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\FORD Project\Ford Proposal\Ford 2.0\Visit _Meeting FORD Team\Cadence Meeting_9th September 2026\District_Diagnose_and_Plan_(Draft)\Kota\"/>
    </mc:Choice>
  </mc:AlternateContent>
  <bookViews>
    <workbookView xWindow="0" yWindow="0" windowWidth="20490" windowHeight="7755" activeTab="3"/>
  </bookViews>
  <sheets>
    <sheet name="SANGOD" sheetId="1" r:id="rId1"/>
    <sheet name="KHERABAD" sheetId="2" r:id="rId2"/>
    <sheet name="SULTANPUR" sheetId="3" r:id="rId3"/>
    <sheet name="LADPURA" sheetId="4" r:id="rId4"/>
    <sheet name="ITAWA" sheetId="5" r:id="rId5"/>
  </sheets>
  <definedNames>
    <definedName name="_xlnm._FilterDatabase" localSheetId="4" hidden="1">ITAWA!$A$2:$AE$177</definedName>
    <definedName name="_xlnm._FilterDatabase" localSheetId="3" hidden="1">LADPURA!$A$2:$AE$173</definedName>
    <definedName name="_xlnm._FilterDatabase" localSheetId="2" hidden="1">SULTANPUR!$A$2:$AE$178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N4" i="1"/>
  <c r="L4" i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N4" i="2"/>
  <c r="L4" i="2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N4" i="3"/>
  <c r="L4" i="3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5" i="4"/>
  <c r="L6" i="4"/>
  <c r="L7" i="4"/>
  <c r="L8" i="4"/>
  <c r="L9" i="4"/>
  <c r="L4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5" i="4"/>
  <c r="N5" i="5"/>
  <c r="N6" i="5"/>
  <c r="N7" i="5"/>
  <c r="N8" i="5"/>
  <c r="N9" i="5"/>
  <c r="N10" i="5"/>
  <c r="N11" i="5"/>
  <c r="N12" i="5"/>
  <c r="N13" i="5"/>
  <c r="N14" i="5"/>
  <c r="N15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L5" i="5"/>
  <c r="L6" i="5"/>
  <c r="L7" i="5"/>
  <c r="L8" i="5"/>
  <c r="L9" i="5"/>
  <c r="L10" i="5"/>
  <c r="L11" i="5"/>
  <c r="L12" i="5"/>
  <c r="L13" i="5"/>
  <c r="L14" i="5"/>
  <c r="L15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N4" i="5"/>
  <c r="L4" i="5"/>
</calcChain>
</file>

<file path=xl/sharedStrings.xml><?xml version="1.0" encoding="utf-8"?>
<sst xmlns="http://schemas.openxmlformats.org/spreadsheetml/2006/main" count="7356" uniqueCount="1957">
  <si>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</si>
  <si>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</si>
  <si>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</si>
  <si>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</si>
  <si>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</si>
  <si>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</si>
  <si>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</si>
  <si>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</si>
  <si>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</si>
  <si>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</si>
  <si>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</si>
  <si>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</si>
  <si>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</si>
  <si>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</si>
  <si>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</si>
  <si>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</si>
  <si>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</si>
  <si>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 xml:space="preserve">Recognition of VI &amp; Tenure over Pasture land under 170 (1) (Sahmati Patra) </t>
  </si>
  <si>
    <t>Entry of Pasture land in Panchayat asset register</t>
  </si>
  <si>
    <t>Village specific bylaws for Pasture land</t>
  </si>
  <si>
    <t>Action taken for demarcation of Pasture land</t>
  </si>
  <si>
    <t>Action taken for removal of enchrochment of Pasture land</t>
  </si>
  <si>
    <t>Removal of encrochment from Pasture Land</t>
  </si>
  <si>
    <t xml:space="preserve">Ecorestoration Plan of Pasture land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</si>
  <si>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</si>
  <si>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</si>
  <si>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</si>
  <si>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</si>
  <si>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Ha</t>
  </si>
  <si>
    <t>No.</t>
  </si>
  <si>
    <t>%</t>
  </si>
  <si>
    <t>Y/N</t>
  </si>
  <si>
    <t>Month/Year</t>
  </si>
  <si>
    <t>Narration</t>
  </si>
  <si>
    <t>Latitude</t>
  </si>
  <si>
    <t>Longitude</t>
  </si>
  <si>
    <t>KOTA</t>
  </si>
  <si>
    <t>ITAWA</t>
  </si>
  <si>
    <t>0</t>
  </si>
  <si>
    <t>Khorawada</t>
  </si>
  <si>
    <t>Itawa</t>
  </si>
  <si>
    <t>AYANA</t>
  </si>
  <si>
    <t>Ayana</t>
  </si>
  <si>
    <t>Matoli</t>
  </si>
  <si>
    <t>Chhatra Pura</t>
  </si>
  <si>
    <t>AYANI</t>
  </si>
  <si>
    <t>Ayani</t>
  </si>
  <si>
    <t>Shripura</t>
  </si>
  <si>
    <t>0812700665101827</t>
  </si>
  <si>
    <t>Kankra</t>
  </si>
  <si>
    <t>0812700665101826</t>
  </si>
  <si>
    <t>Raghunath Pura</t>
  </si>
  <si>
    <t>0812700665101825</t>
  </si>
  <si>
    <t>Doodhli</t>
  </si>
  <si>
    <t>0812700665101822</t>
  </si>
  <si>
    <t>Prempura</t>
  </si>
  <si>
    <t>0812700665101828</t>
  </si>
  <si>
    <t>BAGLI</t>
  </si>
  <si>
    <t>Bagli</t>
  </si>
  <si>
    <t>0812700665101697</t>
  </si>
  <si>
    <t>Chak Guwari</t>
  </si>
  <si>
    <t>0812700665101716</t>
  </si>
  <si>
    <t>Guwadi</t>
  </si>
  <si>
    <t>0812700665101695</t>
  </si>
  <si>
    <t>Udaipura</t>
  </si>
  <si>
    <t>0812700665101694</t>
  </si>
  <si>
    <t>Ghatod</t>
  </si>
  <si>
    <t>0812700665101696</t>
  </si>
  <si>
    <t>Theekarda</t>
  </si>
  <si>
    <t>0812700665101698</t>
  </si>
  <si>
    <t>Gothra Khurd</t>
  </si>
  <si>
    <t>0812700665101699</t>
  </si>
  <si>
    <t>BALUPA</t>
  </si>
  <si>
    <t>Balupa</t>
  </si>
  <si>
    <t>0812700665101713</t>
  </si>
  <si>
    <t>Sangrampura</t>
  </si>
  <si>
    <t>0812700665101711</t>
  </si>
  <si>
    <t>Chhapol</t>
  </si>
  <si>
    <t>0812700665101710</t>
  </si>
  <si>
    <t>Bishanpura</t>
  </si>
  <si>
    <t>0812700665101700</t>
  </si>
  <si>
    <t>Udai Bhanpura</t>
  </si>
  <si>
    <t>0812700665101701</t>
  </si>
  <si>
    <t>Asida</t>
  </si>
  <si>
    <t>0812700665101709</t>
  </si>
  <si>
    <t>BAMBULIYA KALAN</t>
  </si>
  <si>
    <t>Bambooliya Kalan</t>
  </si>
  <si>
    <t>0812700665101733</t>
  </si>
  <si>
    <t>Hawa Kherli</t>
  </si>
  <si>
    <t>0812700665101731</t>
  </si>
  <si>
    <t>Ummedpura</t>
  </si>
  <si>
    <t>0812700665101736</t>
  </si>
  <si>
    <t>Bambooliya Khurd</t>
  </si>
  <si>
    <t>0812700665101735</t>
  </si>
  <si>
    <t>Raghunathpura</t>
  </si>
  <si>
    <t>0812700665101730</t>
  </si>
  <si>
    <t>Rajpura</t>
  </si>
  <si>
    <t>0812700665101729</t>
  </si>
  <si>
    <t>Shyopura</t>
  </si>
  <si>
    <t>0812700665101737</t>
  </si>
  <si>
    <t>Keerpura</t>
  </si>
  <si>
    <t>0812700665101728</t>
  </si>
  <si>
    <t>BINAYAKA</t>
  </si>
  <si>
    <t>Binayaka</t>
  </si>
  <si>
    <t>0812700665101815</t>
  </si>
  <si>
    <t>Dorli</t>
  </si>
  <si>
    <t>0812700665101814</t>
  </si>
  <si>
    <t>Nalawata</t>
  </si>
  <si>
    <t>0812700665101816</t>
  </si>
  <si>
    <t>Mungena</t>
  </si>
  <si>
    <t>0812700665101772</t>
  </si>
  <si>
    <t>BORDA</t>
  </si>
  <si>
    <t>Borda</t>
  </si>
  <si>
    <t>0812700665101740</t>
  </si>
  <si>
    <t>Sanmanpura</t>
  </si>
  <si>
    <t>0812700665101739</t>
  </si>
  <si>
    <t>DHIPRI CHAMBAL</t>
  </si>
  <si>
    <t>Dheepri (Chambal)</t>
  </si>
  <si>
    <t>0812700665101682</t>
  </si>
  <si>
    <t>Adagela @ Haripura</t>
  </si>
  <si>
    <t>0812700665101681</t>
  </si>
  <si>
    <t>Chak Kherli Pema</t>
  </si>
  <si>
    <t>0812700665101685</t>
  </si>
  <si>
    <t>0812700665101722</t>
  </si>
  <si>
    <t>Chak Tori</t>
  </si>
  <si>
    <t>0812700665101684</t>
  </si>
  <si>
    <t>Kherli Pema</t>
  </si>
  <si>
    <t>0812700665101683</t>
  </si>
  <si>
    <t>Sumerpura Urf Barnahali</t>
  </si>
  <si>
    <t>0812700665101686</t>
  </si>
  <si>
    <t>Tori</t>
  </si>
  <si>
    <t>0812700665101687</t>
  </si>
  <si>
    <t>DOONGARLI</t>
  </si>
  <si>
    <t>Dungarli</t>
  </si>
  <si>
    <t>0812700665101793</t>
  </si>
  <si>
    <t>Phoosod</t>
  </si>
  <si>
    <t>0812700665101794</t>
  </si>
  <si>
    <t>Rohli</t>
  </si>
  <si>
    <t>0812700665101795</t>
  </si>
  <si>
    <t>Parli</t>
  </si>
  <si>
    <t>0812700665101788</t>
  </si>
  <si>
    <t>Kherli Berisal</t>
  </si>
  <si>
    <t>0812700665101790</t>
  </si>
  <si>
    <t>Mor Khundna</t>
  </si>
  <si>
    <t>0812700665101791</t>
  </si>
  <si>
    <t>Girdharpura</t>
  </si>
  <si>
    <t>0812700665101749</t>
  </si>
  <si>
    <t>DURJANPURA</t>
  </si>
  <si>
    <t>Durjanpura</t>
  </si>
  <si>
    <t>0812700665101835</t>
  </si>
  <si>
    <t>Baroli</t>
  </si>
  <si>
    <t>0812700665101843</t>
  </si>
  <si>
    <t>Bambooliya Kharda</t>
  </si>
  <si>
    <t>0812700665101836</t>
  </si>
  <si>
    <t>Kherlin dev</t>
  </si>
  <si>
    <t>0812700665101830</t>
  </si>
  <si>
    <t>Karjoda</t>
  </si>
  <si>
    <t>0812700665101834</t>
  </si>
  <si>
    <t>Gandawad</t>
  </si>
  <si>
    <t>0812700665101831</t>
  </si>
  <si>
    <t>Meethod</t>
  </si>
  <si>
    <t>0812700665101833</t>
  </si>
  <si>
    <t>badoli</t>
  </si>
  <si>
    <t>0812700665101796</t>
  </si>
  <si>
    <t>GANESH GANJ</t>
  </si>
  <si>
    <t>Ganeshganj</t>
  </si>
  <si>
    <t>0812700665101776</t>
  </si>
  <si>
    <t>Chanda</t>
  </si>
  <si>
    <t>0812700665101777</t>
  </si>
  <si>
    <t>Doli</t>
  </si>
  <si>
    <t>0812700665101778</t>
  </si>
  <si>
    <t>Gondi</t>
  </si>
  <si>
    <t>0812700665101775</t>
  </si>
  <si>
    <t>Jharol</t>
  </si>
  <si>
    <t>0812700665101779</t>
  </si>
  <si>
    <t>GENTA</t>
  </si>
  <si>
    <t>Genta</t>
  </si>
  <si>
    <t>0812700665101732</t>
  </si>
  <si>
    <t>Amalda</t>
  </si>
  <si>
    <t>0812700665101765</t>
  </si>
  <si>
    <t>0812700665101734</t>
  </si>
  <si>
    <t>JALODA KHATIYAN</t>
  </si>
  <si>
    <t>Jaloda Khatiyan</t>
  </si>
  <si>
    <t>0812700665101823</t>
  </si>
  <si>
    <t>Bambooliya Ghata</t>
  </si>
  <si>
    <t>0812700665101820</t>
  </si>
  <si>
    <t>Dheepri ( Kalisindh)</t>
  </si>
  <si>
    <t>0812700665101819</t>
  </si>
  <si>
    <t>Daulatpura</t>
  </si>
  <si>
    <t>0812700665101821</t>
  </si>
  <si>
    <t>Kolana</t>
  </si>
  <si>
    <t>0812700665101818</t>
  </si>
  <si>
    <t>Kherlimaharaja</t>
  </si>
  <si>
    <t>0812700665101817</t>
  </si>
  <si>
    <t>JATWADA</t>
  </si>
  <si>
    <t>Jatwara</t>
  </si>
  <si>
    <t>0812700665101717</t>
  </si>
  <si>
    <t>Deo Neemri</t>
  </si>
  <si>
    <t>0812700665101746</t>
  </si>
  <si>
    <t>Jhopariya</t>
  </si>
  <si>
    <t>0812700665101745</t>
  </si>
  <si>
    <t>Ram Khera</t>
  </si>
  <si>
    <t>0812700665101720</t>
  </si>
  <si>
    <t>Sumerpura</t>
  </si>
  <si>
    <t>0812700665101721</t>
  </si>
  <si>
    <t>Lakhni</t>
  </si>
  <si>
    <t>0812700665101719</t>
  </si>
  <si>
    <t>Kishanpura @ Khawaspura</t>
  </si>
  <si>
    <t>0812700665101718</t>
  </si>
  <si>
    <t>Jatwari</t>
  </si>
  <si>
    <t>0812700665101714</t>
  </si>
  <si>
    <t>Gopalpura</t>
  </si>
  <si>
    <t>0812700665101715</t>
  </si>
  <si>
    <t>JORAWARPURA</t>
  </si>
  <si>
    <t>Jorawarpura</t>
  </si>
  <si>
    <t>0812700665101757</t>
  </si>
  <si>
    <t>Bhawanipura</t>
  </si>
  <si>
    <t>0812700665101758</t>
  </si>
  <si>
    <t>Kadeela</t>
  </si>
  <si>
    <t>0812700665101753</t>
  </si>
  <si>
    <t>Bhairoopura</t>
  </si>
  <si>
    <t>0812700665101754</t>
  </si>
  <si>
    <t>Beeroda</t>
  </si>
  <si>
    <t>0812700665101752</t>
  </si>
  <si>
    <t>KAKRAVADA</t>
  </si>
  <si>
    <t>Kakrawada</t>
  </si>
  <si>
    <t>0812700665101678</t>
  </si>
  <si>
    <t>Neemsara</t>
  </si>
  <si>
    <t>0812700665101727</t>
  </si>
  <si>
    <t>Para</t>
  </si>
  <si>
    <t>0812700665101677</t>
  </si>
  <si>
    <t>KARWAD</t>
  </si>
  <si>
    <t>Karwar</t>
  </si>
  <si>
    <t>0812700665101784</t>
  </si>
  <si>
    <t>Lakshmipura</t>
  </si>
  <si>
    <t>0812700665101785</t>
  </si>
  <si>
    <t>Shobhagpura</t>
  </si>
  <si>
    <t>0812700665101787</t>
  </si>
  <si>
    <t>Deopura</t>
  </si>
  <si>
    <t>0812700665101789</t>
  </si>
  <si>
    <t>KETHODA</t>
  </si>
  <si>
    <t>Kethoda</t>
  </si>
  <si>
    <t>0812700665101706</t>
  </si>
  <si>
    <t>Bangawada</t>
  </si>
  <si>
    <t>0812700665101708</t>
  </si>
  <si>
    <t>Dhanwan</t>
  </si>
  <si>
    <t>0812700665101702</t>
  </si>
  <si>
    <t>Delod</t>
  </si>
  <si>
    <t>0812700665101703</t>
  </si>
  <si>
    <t>Gurala</t>
  </si>
  <si>
    <t>0812700665101707</t>
  </si>
  <si>
    <t>Naya Gaon</t>
  </si>
  <si>
    <t>0812700665101705</t>
  </si>
  <si>
    <t>Shivdanpura</t>
  </si>
  <si>
    <t>0812700665101704</t>
  </si>
  <si>
    <t>KHATOLI</t>
  </si>
  <si>
    <t>Khatauli</t>
  </si>
  <si>
    <t>0812700665101747</t>
  </si>
  <si>
    <t>Gordhanpura..</t>
  </si>
  <si>
    <t>0812700665101792</t>
  </si>
  <si>
    <t>Farera</t>
  </si>
  <si>
    <t>0812700665101751</t>
  </si>
  <si>
    <t>0812700665101748</t>
  </si>
  <si>
    <t>KHYAWADA</t>
  </si>
  <si>
    <t>Khyawada</t>
  </si>
  <si>
    <t>0812700665101798</t>
  </si>
  <si>
    <t>Peepalda Khurd</t>
  </si>
  <si>
    <t>0812700665101799</t>
  </si>
  <si>
    <t>Kajliya</t>
  </si>
  <si>
    <t>0812700665101800</t>
  </si>
  <si>
    <t>Kherli Peepalda</t>
  </si>
  <si>
    <t>0812700665101801</t>
  </si>
  <si>
    <t>Kherli Borda</t>
  </si>
  <si>
    <t>0812700665101782</t>
  </si>
  <si>
    <t>LAKSHMIPURA</t>
  </si>
  <si>
    <t>Laxmipura</t>
  </si>
  <si>
    <t>0812700665101842</t>
  </si>
  <si>
    <t>Nimoda</t>
  </si>
  <si>
    <t>0812700665101845</t>
  </si>
  <si>
    <t>Kavalda</t>
  </si>
  <si>
    <t>0812700665101840</t>
  </si>
  <si>
    <t>Aranya</t>
  </si>
  <si>
    <t>0812700665101841</t>
  </si>
  <si>
    <t>Haripura</t>
  </si>
  <si>
    <t>0812700665101844</t>
  </si>
  <si>
    <t>Khera</t>
  </si>
  <si>
    <t>0812700665101846</t>
  </si>
  <si>
    <t>Vijai Pura</t>
  </si>
  <si>
    <t>0812700665101839</t>
  </si>
  <si>
    <t>Dheedhora</t>
  </si>
  <si>
    <t>0812700665101837</t>
  </si>
  <si>
    <t>Kherda</t>
  </si>
  <si>
    <t>0812700665101783</t>
  </si>
  <si>
    <t>LUHAWAD</t>
  </si>
  <si>
    <t>Luhawad</t>
  </si>
  <si>
    <t>0812700665101810</t>
  </si>
  <si>
    <t>Amarpura</t>
  </si>
  <si>
    <t>0812700665101812</t>
  </si>
  <si>
    <t>Ganesh Pura</t>
  </si>
  <si>
    <t>0812700665101811</t>
  </si>
  <si>
    <t>Ganesh Khera</t>
  </si>
  <si>
    <t>0812700665101809</t>
  </si>
  <si>
    <t>NIMOLA</t>
  </si>
  <si>
    <t>Neemola</t>
  </si>
  <si>
    <t>0812700665101691</t>
  </si>
  <si>
    <t>Gothra Kalan</t>
  </si>
  <si>
    <t>0812700665101688</t>
  </si>
  <si>
    <t>Shergarh</t>
  </si>
  <si>
    <t>0812700665101689</t>
  </si>
  <si>
    <t>Achalgarh</t>
  </si>
  <si>
    <t>0812700665101692</t>
  </si>
  <si>
    <t>Baijpur</t>
  </si>
  <si>
    <t>0812700665101690</t>
  </si>
  <si>
    <t>Miyana</t>
  </si>
  <si>
    <t>0812700665101693</t>
  </si>
  <si>
    <t>NONERA</t>
  </si>
  <si>
    <t>Navnera</t>
  </si>
  <si>
    <t>0812700665101764</t>
  </si>
  <si>
    <t>Narayanpura</t>
  </si>
  <si>
    <t>0812700665101768</t>
  </si>
  <si>
    <t>Kherli Naunera</t>
  </si>
  <si>
    <t>0812700665101767</t>
  </si>
  <si>
    <t>Kharwan</t>
  </si>
  <si>
    <t>0812700665101766</t>
  </si>
  <si>
    <t>Dadwara</t>
  </si>
  <si>
    <t>0812700665101763</t>
  </si>
  <si>
    <t>PIPLDA KALAN</t>
  </si>
  <si>
    <t>Peepalda Kalan</t>
  </si>
  <si>
    <t>0812700665101797</t>
  </si>
  <si>
    <t>RAJOPA</t>
  </si>
  <si>
    <t>Rajopa</t>
  </si>
  <si>
    <t>0812700665101786</t>
  </si>
  <si>
    <t>Kishanpura @ Allapura</t>
  </si>
  <si>
    <t>0812700665101781</t>
  </si>
  <si>
    <t>Rampura</t>
  </si>
  <si>
    <t>0812700665101760</t>
  </si>
  <si>
    <t>Keshopura</t>
  </si>
  <si>
    <t>0812700665101759</t>
  </si>
  <si>
    <t>Hatholi</t>
  </si>
  <si>
    <t>0812700665101738</t>
  </si>
  <si>
    <t>Fatehpur</t>
  </si>
  <si>
    <t>0812700665101744</t>
  </si>
  <si>
    <t>Rampuriya</t>
  </si>
  <si>
    <t>0812700665101712</t>
  </si>
  <si>
    <t>RANODIYA</t>
  </si>
  <si>
    <t>Ranodiya</t>
  </si>
  <si>
    <t>0812700665101773</t>
  </si>
  <si>
    <t>Mundli</t>
  </si>
  <si>
    <t>0812700665101771</t>
  </si>
  <si>
    <t>Bijawata</t>
  </si>
  <si>
    <t>0812700665101770</t>
  </si>
  <si>
    <t>Kishanwas</t>
  </si>
  <si>
    <t>0812700665101769</t>
  </si>
  <si>
    <t>Manpura</t>
  </si>
  <si>
    <t>0812700665101774</t>
  </si>
  <si>
    <t>SAHNAWDA</t>
  </si>
  <si>
    <t>Shahnawada</t>
  </si>
  <si>
    <t>0812700665101806</t>
  </si>
  <si>
    <t>Kherli Kishanpura</t>
  </si>
  <si>
    <t>0812700665101808</t>
  </si>
  <si>
    <t>Bislai</t>
  </si>
  <si>
    <t>0812700665101832</t>
  </si>
  <si>
    <t>Chyawada</t>
  </si>
  <si>
    <t>0812700665101805</t>
  </si>
  <si>
    <t>Kanwarpura</t>
  </si>
  <si>
    <t>0812700665101807</t>
  </si>
  <si>
    <t>Chak Kherli</t>
  </si>
  <si>
    <t>0812700665101802</t>
  </si>
  <si>
    <t>Ron</t>
  </si>
  <si>
    <t>0812700665101803</t>
  </si>
  <si>
    <t>Marjhana</t>
  </si>
  <si>
    <t>0812700665101804</t>
  </si>
  <si>
    <t>SINOTA</t>
  </si>
  <si>
    <t>Seenota</t>
  </si>
  <si>
    <t>0812700665101679</t>
  </si>
  <si>
    <t>Chak Kakawata</t>
  </si>
  <si>
    <t>0812700665101726</t>
  </si>
  <si>
    <t>Bangrod</t>
  </si>
  <si>
    <t>0812700665101723</t>
  </si>
  <si>
    <t>Ramganj</t>
  </si>
  <si>
    <t>0812700665101676</t>
  </si>
  <si>
    <t>Sherganj</t>
  </si>
  <si>
    <t>0812700665101725</t>
  </si>
  <si>
    <t>Kakawata</t>
  </si>
  <si>
    <t>0812700665101675</t>
  </si>
  <si>
    <t>Sherpur</t>
  </si>
  <si>
    <t>0812700665101724</t>
  </si>
  <si>
    <t>Sumernagar</t>
  </si>
  <si>
    <t>0812700665101673</t>
  </si>
  <si>
    <t>Rodganj @ Haripura</t>
  </si>
  <si>
    <t>0812700665101674</t>
  </si>
  <si>
    <t>Bhairupura</t>
  </si>
  <si>
    <t>0812700665101680</t>
  </si>
  <si>
    <t>TALAV</t>
  </si>
  <si>
    <t>Talab</t>
  </si>
  <si>
    <t>0812700665101755</t>
  </si>
  <si>
    <t>Chhatrapura</t>
  </si>
  <si>
    <t>0812700665101813</t>
  </si>
  <si>
    <t>Fatehhpur</t>
  </si>
  <si>
    <t>0812700665101761</t>
  </si>
  <si>
    <t>Ganeshkhera</t>
  </si>
  <si>
    <t>0812700665101741</t>
  </si>
  <si>
    <t>Bhopalganj</t>
  </si>
  <si>
    <t>0812700665101756</t>
  </si>
  <si>
    <t>Sabzipura</t>
  </si>
  <si>
    <t>0812700665101742</t>
  </si>
  <si>
    <t>Banjari</t>
  </si>
  <si>
    <t>0812700665101743</t>
  </si>
  <si>
    <t>Yes</t>
  </si>
  <si>
    <t>yes</t>
  </si>
  <si>
    <t>-</t>
  </si>
  <si>
    <t>20/1/24</t>
  </si>
  <si>
    <t>NO</t>
  </si>
  <si>
    <t>19/1/24</t>
  </si>
  <si>
    <t>20/2/25</t>
  </si>
  <si>
    <t>18.9.23</t>
  </si>
  <si>
    <t>20.9.23</t>
  </si>
  <si>
    <t>20/1/25</t>
  </si>
  <si>
    <t>KHAIRABAD</t>
  </si>
  <si>
    <t>ALOD</t>
  </si>
  <si>
    <t>Alod</t>
  </si>
  <si>
    <t>0812700668102195</t>
  </si>
  <si>
    <t>14.02.2023</t>
  </si>
  <si>
    <t>Brahma Ka Chapar</t>
  </si>
  <si>
    <t>0812700668102222</t>
  </si>
  <si>
    <t>15.02.2023</t>
  </si>
  <si>
    <t>Khani</t>
  </si>
  <si>
    <t>0812700668102221</t>
  </si>
  <si>
    <t>Motipura Khurd</t>
  </si>
  <si>
    <t>0812700668102196</t>
  </si>
  <si>
    <t>Neemoda</t>
  </si>
  <si>
    <t>0812700668102197</t>
  </si>
  <si>
    <t xml:space="preserve"> </t>
  </si>
  <si>
    <t>ARNIYA KALAN</t>
  </si>
  <si>
    <t>Aranya Kalan</t>
  </si>
  <si>
    <t>0812700668102326</t>
  </si>
  <si>
    <t>Gola</t>
  </si>
  <si>
    <t>0812700668102327</t>
  </si>
  <si>
    <t>22.09.2023</t>
  </si>
  <si>
    <t>Surera</t>
  </si>
  <si>
    <t>0812700668102306</t>
  </si>
  <si>
    <t>Bansya Heri</t>
  </si>
  <si>
    <t>0812700668102304</t>
  </si>
  <si>
    <t>Aranya Khurd</t>
  </si>
  <si>
    <t>0812700668102301</t>
  </si>
  <si>
    <t>20.09.2023</t>
  </si>
  <si>
    <t>Payli</t>
  </si>
  <si>
    <t>0812700668102303</t>
  </si>
  <si>
    <t>ASKALI</t>
  </si>
  <si>
    <t>Askali</t>
  </si>
  <si>
    <t>0812700668102239</t>
  </si>
  <si>
    <t>BARODIYA KALAN</t>
  </si>
  <si>
    <t>Barodiya Kalan</t>
  </si>
  <si>
    <t>0812700668102212</t>
  </si>
  <si>
    <t>23.06.2022</t>
  </si>
  <si>
    <t>Mukandpura</t>
  </si>
  <si>
    <t>0812700668102210</t>
  </si>
  <si>
    <t>Gumanpura</t>
  </si>
  <si>
    <t>0812700668102211</t>
  </si>
  <si>
    <t>23.06.2023</t>
  </si>
  <si>
    <t>Ganeshpura Kalan</t>
  </si>
  <si>
    <t>0812700668102209</t>
  </si>
  <si>
    <t>Hamaun</t>
  </si>
  <si>
    <t>0812700668102204</t>
  </si>
  <si>
    <t>Dharoopura</t>
  </si>
  <si>
    <t>0812700668102201</t>
  </si>
  <si>
    <t>Bholoo</t>
  </si>
  <si>
    <t>0812700668102202</t>
  </si>
  <si>
    <t>Dhaipura</t>
  </si>
  <si>
    <t>0812700668102203</t>
  </si>
  <si>
    <t>Budhkhan (No Gp)</t>
  </si>
  <si>
    <t>0812700668102267</t>
  </si>
  <si>
    <t>BUDHKHAN</t>
  </si>
  <si>
    <t>Budhkhan</t>
  </si>
  <si>
    <t>0812700668102234</t>
  </si>
  <si>
    <t>12.09.2023</t>
  </si>
  <si>
    <t>Goondi</t>
  </si>
  <si>
    <t>0812700668102235</t>
  </si>
  <si>
    <t>Sohan Khera</t>
  </si>
  <si>
    <t>0812700668102236</t>
  </si>
  <si>
    <t>Ganeshpura Khurd</t>
  </si>
  <si>
    <t>0812700668102238</t>
  </si>
  <si>
    <t>0812700668102237</t>
  </si>
  <si>
    <t>Rajoo Khera</t>
  </si>
  <si>
    <t>0812700668102233</t>
  </si>
  <si>
    <t>19.12.2022</t>
  </si>
  <si>
    <t>Salera Kalan</t>
  </si>
  <si>
    <t>0812700668102213</t>
  </si>
  <si>
    <t>yea</t>
  </si>
  <si>
    <t>CHECHAT</t>
  </si>
  <si>
    <t>Chechat (CT)</t>
  </si>
  <si>
    <t>0812700668102329</t>
  </si>
  <si>
    <t>DEVLI KALAN</t>
  </si>
  <si>
    <t>Deoli Kalan</t>
  </si>
  <si>
    <t>0812700668102189</t>
  </si>
  <si>
    <t>20.12.2022</t>
  </si>
  <si>
    <t>Phanda</t>
  </si>
  <si>
    <t>0812700668102200</t>
  </si>
  <si>
    <t>Zalimpura Khurd</t>
  </si>
  <si>
    <t>0812700668102199</t>
  </si>
  <si>
    <t>Sandya Kheri</t>
  </si>
  <si>
    <t>0812700668102188</t>
  </si>
  <si>
    <t>DEVLI KHURD</t>
  </si>
  <si>
    <t>Deoli Khurd</t>
  </si>
  <si>
    <t>0812700668102308</t>
  </si>
  <si>
    <t>0812700668102318</t>
  </si>
  <si>
    <t>Bishanya Kheri</t>
  </si>
  <si>
    <t>0812700668102296</t>
  </si>
  <si>
    <t>Bhaopura</t>
  </si>
  <si>
    <t>0812700668102309</t>
  </si>
  <si>
    <t>DHARNAWAD</t>
  </si>
  <si>
    <t>Dharnawad</t>
  </si>
  <si>
    <t>0812700668102314</t>
  </si>
  <si>
    <t>22.12.2022</t>
  </si>
  <si>
    <t>Hemal Kheri</t>
  </si>
  <si>
    <t>0812700668102317</t>
  </si>
  <si>
    <t>Jagpura</t>
  </si>
  <si>
    <t>0812700668102315</t>
  </si>
  <si>
    <t>Nyamat Kheri</t>
  </si>
  <si>
    <t>0812700668102313</t>
  </si>
  <si>
    <t>Telya Kheri</t>
  </si>
  <si>
    <t>0812700668102240</t>
  </si>
  <si>
    <t>21.12.2022</t>
  </si>
  <si>
    <t>GADIYA</t>
  </si>
  <si>
    <t>Gadiya</t>
  </si>
  <si>
    <t>0812700668102325</t>
  </si>
  <si>
    <t>20.08.2023</t>
  </si>
  <si>
    <t>Hanotya</t>
  </si>
  <si>
    <t>0812700668102324</t>
  </si>
  <si>
    <t>Mandi Veeran</t>
  </si>
  <si>
    <t>0812700668102328</t>
  </si>
  <si>
    <t>Udpura</t>
  </si>
  <si>
    <t>0812700668102323</t>
  </si>
  <si>
    <t>Kola</t>
  </si>
  <si>
    <t>0812700668102321</t>
  </si>
  <si>
    <t>GHATOLI</t>
  </si>
  <si>
    <t>Ghatoli</t>
  </si>
  <si>
    <t>0812700668102169</t>
  </si>
  <si>
    <t>12.09.2923</t>
  </si>
  <si>
    <t>0812700668102173</t>
  </si>
  <si>
    <t>Bordi</t>
  </si>
  <si>
    <t>0812700668102190</t>
  </si>
  <si>
    <t>Hathi Khera</t>
  </si>
  <si>
    <t>0812700668102172</t>
  </si>
  <si>
    <t>Hathona</t>
  </si>
  <si>
    <t>0812700668102170</t>
  </si>
  <si>
    <t>Dudhiya Kheri</t>
  </si>
  <si>
    <t>0812700668102191</t>
  </si>
  <si>
    <t>Bakspura</t>
  </si>
  <si>
    <t>0812700668102171</t>
  </si>
  <si>
    <t>GOYANDA</t>
  </si>
  <si>
    <t>Goynda</t>
  </si>
  <si>
    <t>0812700668102288</t>
  </si>
  <si>
    <t>Buran khedi</t>
  </si>
  <si>
    <t>0812700668102290</t>
  </si>
  <si>
    <t>bhimpura</t>
  </si>
  <si>
    <t>0812700668102289</t>
  </si>
  <si>
    <t>Mundiya</t>
  </si>
  <si>
    <t>0812700668102287</t>
  </si>
  <si>
    <t>lasudiya</t>
  </si>
  <si>
    <t>0812700668102282</t>
  </si>
  <si>
    <t>HATIYA KHERI</t>
  </si>
  <si>
    <t>Hathiya Kheri</t>
  </si>
  <si>
    <t>0812700668102225</t>
  </si>
  <si>
    <t>13.09.2023</t>
  </si>
  <si>
    <t>Amlawad Khera</t>
  </si>
  <si>
    <t>0812700668102227</t>
  </si>
  <si>
    <t>Rai Khera</t>
  </si>
  <si>
    <t>0812700668102214</t>
  </si>
  <si>
    <t>Motipura Kalan</t>
  </si>
  <si>
    <t>0812700668102216</t>
  </si>
  <si>
    <t>Gulabpura</t>
  </si>
  <si>
    <t>0812700668102226</t>
  </si>
  <si>
    <t>Borina</t>
  </si>
  <si>
    <t>0812700668102224</t>
  </si>
  <si>
    <t>Chandrapura</t>
  </si>
  <si>
    <t>0812700668102217</t>
  </si>
  <si>
    <t>HEERIYA KHERI</t>
  </si>
  <si>
    <t>Hiriya Kheri</t>
  </si>
  <si>
    <t>0812700668102253</t>
  </si>
  <si>
    <t>Duhniya</t>
  </si>
  <si>
    <t>0812700668102255</t>
  </si>
  <si>
    <t>Chariya Kheri</t>
  </si>
  <si>
    <t>0812700668102257</t>
  </si>
  <si>
    <t>Chousala</t>
  </si>
  <si>
    <t>0812700668102254</t>
  </si>
  <si>
    <t>YES</t>
  </si>
  <si>
    <t>JHULMI</t>
  </si>
  <si>
    <t>Julmi</t>
  </si>
  <si>
    <t>0812700668102319</t>
  </si>
  <si>
    <t>Khairabad (CT)</t>
  </si>
  <si>
    <t>0812700668102331</t>
  </si>
  <si>
    <t>KHEEMACH</t>
  </si>
  <si>
    <t>Kheemach</t>
  </si>
  <si>
    <t>0812700668102258</t>
  </si>
  <si>
    <t>21.08.2023</t>
  </si>
  <si>
    <t>Kalya Kui</t>
  </si>
  <si>
    <t>0812700668102261</t>
  </si>
  <si>
    <t>Atraliya</t>
  </si>
  <si>
    <t>0812700668102260</t>
  </si>
  <si>
    <t>KHERARUDHHA</t>
  </si>
  <si>
    <t>Khera Rudhda</t>
  </si>
  <si>
    <t>0812700668102193</t>
  </si>
  <si>
    <t>15.12.2022</t>
  </si>
  <si>
    <t>Phawa</t>
  </si>
  <si>
    <t>0812700668102194</t>
  </si>
  <si>
    <t>15.01.2023</t>
  </si>
  <si>
    <t>Arlai</t>
  </si>
  <si>
    <t>0812700668102192</t>
  </si>
  <si>
    <t>Balkoo</t>
  </si>
  <si>
    <t>0812700668102168</t>
  </si>
  <si>
    <t>KHERLI</t>
  </si>
  <si>
    <t>khedli</t>
  </si>
  <si>
    <t>0812700668102186</t>
  </si>
  <si>
    <t>16.12.2022</t>
  </si>
  <si>
    <t>gudala</t>
  </si>
  <si>
    <t>0812700668102184</t>
  </si>
  <si>
    <t>manoharpura</t>
  </si>
  <si>
    <t>0812700668102185</t>
  </si>
  <si>
    <t>kotadi</t>
  </si>
  <si>
    <t>0812700668102187</t>
  </si>
  <si>
    <t>kanwar pura</t>
  </si>
  <si>
    <t>0812700668102175</t>
  </si>
  <si>
    <t>dhani kheriya</t>
  </si>
  <si>
    <t>0812700668102174</t>
  </si>
  <si>
    <t>KOOKRA KHURD</t>
  </si>
  <si>
    <t>Kookara Khurd</t>
  </si>
  <si>
    <t>0812700668102207</t>
  </si>
  <si>
    <t>14.11.2022</t>
  </si>
  <si>
    <t>Jamunya</t>
  </si>
  <si>
    <t>0812700668102251</t>
  </si>
  <si>
    <t>Binda Pahar</t>
  </si>
  <si>
    <t>0812700668102250</t>
  </si>
  <si>
    <t>Kharli Bawari</t>
  </si>
  <si>
    <t>0812700668102249</t>
  </si>
  <si>
    <t>Rakba Pahar</t>
  </si>
  <si>
    <t>0812700668102252</t>
  </si>
  <si>
    <t>Bhapra</t>
  </si>
  <si>
    <t>0812700668102248</t>
  </si>
  <si>
    <t>Nayagaon Khalsa</t>
  </si>
  <si>
    <t>0812700668102247</t>
  </si>
  <si>
    <t>Gadari</t>
  </si>
  <si>
    <t>0812700668102246</t>
  </si>
  <si>
    <t>Kookara Kalan</t>
  </si>
  <si>
    <t>0812700668102244</t>
  </si>
  <si>
    <t>Manpur</t>
  </si>
  <si>
    <t>0812700668102243</t>
  </si>
  <si>
    <t>Ghati Jageer</t>
  </si>
  <si>
    <t>0812700668102245</t>
  </si>
  <si>
    <t>KUDAILA</t>
  </si>
  <si>
    <t>kudayla</t>
  </si>
  <si>
    <t>0812700668102276</t>
  </si>
  <si>
    <t>28.12.2022</t>
  </si>
  <si>
    <t>0812700668102297</t>
  </si>
  <si>
    <t>20.09.2022</t>
  </si>
  <si>
    <t>Mayala</t>
  </si>
  <si>
    <t>0812700668102298</t>
  </si>
  <si>
    <t>sandpur</t>
  </si>
  <si>
    <t>0812700668102275</t>
  </si>
  <si>
    <t>KUMBHKOT</t>
  </si>
  <si>
    <t>Kumbhkot (CT)</t>
  </si>
  <si>
    <t>0812700668102335</t>
  </si>
  <si>
    <t>LAHARIYA</t>
  </si>
  <si>
    <t>Lakhariya</t>
  </si>
  <si>
    <t>0812700668102322</t>
  </si>
  <si>
    <t>Amrit Kheri</t>
  </si>
  <si>
    <t>0812700668102320</t>
  </si>
  <si>
    <t>Semalkheri</t>
  </si>
  <si>
    <t>0812700668102305</t>
  </si>
  <si>
    <t>Nalodiya</t>
  </si>
  <si>
    <t>0812700668102307</t>
  </si>
  <si>
    <t>laxmipura</t>
  </si>
  <si>
    <t>0812700668102300</t>
  </si>
  <si>
    <t>durjanpura</t>
  </si>
  <si>
    <t>0812700668102302</t>
  </si>
  <si>
    <t>nathan mandi</t>
  </si>
  <si>
    <t>0812700668102299</t>
  </si>
  <si>
    <t>beed mandi</t>
  </si>
  <si>
    <t>0812700668102274</t>
  </si>
  <si>
    <t>MADANPURA</t>
  </si>
  <si>
    <t>Madanpura</t>
  </si>
  <si>
    <t>0812700668102228</t>
  </si>
  <si>
    <t>Noorpura</t>
  </si>
  <si>
    <t>0812700668102281</t>
  </si>
  <si>
    <t>Sarang Kheri</t>
  </si>
  <si>
    <t>0812700668102279</t>
  </si>
  <si>
    <t>Jodhpura</t>
  </si>
  <si>
    <t>0812700668102280</t>
  </si>
  <si>
    <t>Rooppura</t>
  </si>
  <si>
    <t>0812700668102229</t>
  </si>
  <si>
    <t>0812700668102230</t>
  </si>
  <si>
    <t>Sohanpuna</t>
  </si>
  <si>
    <t>0812700668102231</t>
  </si>
  <si>
    <t>Kalya Kheri</t>
  </si>
  <si>
    <t>0812700668102215</t>
  </si>
  <si>
    <t>MANDA</t>
  </si>
  <si>
    <t>manda</t>
  </si>
  <si>
    <t>0812700668102292</t>
  </si>
  <si>
    <t>Mandali</t>
  </si>
  <si>
    <t>0812700668102311</t>
  </si>
  <si>
    <t>23.12.2022</t>
  </si>
  <si>
    <t>san khera</t>
  </si>
  <si>
    <t>0812700668102291</t>
  </si>
  <si>
    <t>dod kheri</t>
  </si>
  <si>
    <t>0812700668102293</t>
  </si>
  <si>
    <t>rawali</t>
  </si>
  <si>
    <t>0812700668102295</t>
  </si>
  <si>
    <t>kishorpura</t>
  </si>
  <si>
    <t>0812700668102294</t>
  </si>
  <si>
    <t>24.12.2022</t>
  </si>
  <si>
    <t>MODAK GAON</t>
  </si>
  <si>
    <t>Modak (CT)</t>
  </si>
  <si>
    <t>0812700668102330</t>
  </si>
  <si>
    <t>02.10.2022</t>
  </si>
  <si>
    <t>PEEPA KHERI</t>
  </si>
  <si>
    <t>Peepa Kheri</t>
  </si>
  <si>
    <t>0812700668102262</t>
  </si>
  <si>
    <t>Kutkya</t>
  </si>
  <si>
    <t>0812700668102263</t>
  </si>
  <si>
    <t>Nimana</t>
  </si>
  <si>
    <t>0812700668102256</t>
  </si>
  <si>
    <t>PIPLDA</t>
  </si>
  <si>
    <t>Pipalda</t>
  </si>
  <si>
    <t>0812700668102205</t>
  </si>
  <si>
    <t>Zalimpura</t>
  </si>
  <si>
    <t>0812700668102208</t>
  </si>
  <si>
    <t>Bhagwanpura</t>
  </si>
  <si>
    <t>0812700668102183</t>
  </si>
  <si>
    <t>Kamalpura</t>
  </si>
  <si>
    <t>0812700668102206</t>
  </si>
  <si>
    <t>Isarpura</t>
  </si>
  <si>
    <t>0812700668102181</t>
  </si>
  <si>
    <t>Meenya Kheri</t>
  </si>
  <si>
    <t>0812700668102182</t>
  </si>
  <si>
    <t>Amjhar</t>
  </si>
  <si>
    <t>0812700668102180</t>
  </si>
  <si>
    <t>Bhatwara</t>
  </si>
  <si>
    <t>0812700668102178</t>
  </si>
  <si>
    <t>Jhamra</t>
  </si>
  <si>
    <t>0812700668102177</t>
  </si>
  <si>
    <t>Nayagaon</t>
  </si>
  <si>
    <t>0812700668102176</t>
  </si>
  <si>
    <t>Mukndara</t>
  </si>
  <si>
    <t>0812700668102179</t>
  </si>
  <si>
    <t>RICHADIYA</t>
  </si>
  <si>
    <t>0812700668102286</t>
  </si>
  <si>
    <t>Durkali</t>
  </si>
  <si>
    <t>0812700668102283</t>
  </si>
  <si>
    <t>Dariya</t>
  </si>
  <si>
    <t>0812700668102284</t>
  </si>
  <si>
    <t>Devipura</t>
  </si>
  <si>
    <t>0812700668102285</t>
  </si>
  <si>
    <t>0812700668102277</t>
  </si>
  <si>
    <t>Tamoliya</t>
  </si>
  <si>
    <t>0812700668102278</t>
  </si>
  <si>
    <t>Dhakya</t>
  </si>
  <si>
    <t>0812700668102232</t>
  </si>
  <si>
    <t>SAHARAWDA</t>
  </si>
  <si>
    <t>Sahrawada</t>
  </si>
  <si>
    <t>0812700668102241</t>
  </si>
  <si>
    <t>0812700668102316</t>
  </si>
  <si>
    <t>Goojariya Kheri</t>
  </si>
  <si>
    <t>0812700668102242</t>
  </si>
  <si>
    <t>SALAWAD KHURD</t>
  </si>
  <si>
    <t>Salawad Khurd</t>
  </si>
  <si>
    <t>0812700668102268</t>
  </si>
  <si>
    <t>0812700668102264</t>
  </si>
  <si>
    <t>22.3.2023</t>
  </si>
  <si>
    <t>0812700668102265</t>
  </si>
  <si>
    <t>Pama Kheri</t>
  </si>
  <si>
    <t>0812700668102259</t>
  </si>
  <si>
    <t>Dingasi</t>
  </si>
  <si>
    <t>0812700668102266</t>
  </si>
  <si>
    <t>Salawad Kalan</t>
  </si>
  <si>
    <t>0812700668102273</t>
  </si>
  <si>
    <t>Barodiya Antari</t>
  </si>
  <si>
    <t>0812700668102272</t>
  </si>
  <si>
    <t>Jhilara</t>
  </si>
  <si>
    <t>0812700668102271</t>
  </si>
  <si>
    <t>Gaupura</t>
  </si>
  <si>
    <t>0812700668102270</t>
  </si>
  <si>
    <t>Jhiri</t>
  </si>
  <si>
    <t>0812700668102269</t>
  </si>
  <si>
    <t>SALERA KHURD</t>
  </si>
  <si>
    <t>Salera Khurd</t>
  </si>
  <si>
    <t>0812700668102219</t>
  </si>
  <si>
    <t>Rajpura Khurd</t>
  </si>
  <si>
    <t>0812700668102223</t>
  </si>
  <si>
    <t>Rinchhi</t>
  </si>
  <si>
    <t>0812700668102220</t>
  </si>
  <si>
    <t>Jagpura Khurd</t>
  </si>
  <si>
    <t>0812700668102218</t>
  </si>
  <si>
    <t>Mawasa</t>
  </si>
  <si>
    <t>0812700668102198</t>
  </si>
  <si>
    <t>SATAL KHERI</t>
  </si>
  <si>
    <t>Satalkheri (CT)</t>
  </si>
  <si>
    <t>0812700668102333</t>
  </si>
  <si>
    <t>SUKET</t>
  </si>
  <si>
    <t>Suket (CT)</t>
  </si>
  <si>
    <t>0812700668102334</t>
  </si>
  <si>
    <t>UDPURA @ MODAK STATION</t>
  </si>
  <si>
    <t>Udpura (CT)</t>
  </si>
  <si>
    <t>0812700668102332</t>
  </si>
  <si>
    <t>UNDWA</t>
  </si>
  <si>
    <t>Undwa</t>
  </si>
  <si>
    <t>0812700668102312</t>
  </si>
  <si>
    <t>27.12.2022</t>
  </si>
  <si>
    <t>Banda</t>
  </si>
  <si>
    <t>0812700668102310</t>
  </si>
  <si>
    <t>27.09.2023</t>
  </si>
  <si>
    <t>Ramganj Mandi (M)</t>
  </si>
  <si>
    <t>0812700668800611</t>
  </si>
  <si>
    <t>LADPURA</t>
  </si>
  <si>
    <t>AARAMPURA</t>
  </si>
  <si>
    <t>Jalkhera</t>
  </si>
  <si>
    <t>0812700667102042</t>
  </si>
  <si>
    <t>Bhojpura</t>
  </si>
  <si>
    <t>0812700667102039</t>
  </si>
  <si>
    <t>Chareenda</t>
  </si>
  <si>
    <t>0812700667102040</t>
  </si>
  <si>
    <t>ALANIYA</t>
  </si>
  <si>
    <t>Alniya</t>
  </si>
  <si>
    <t>0812700667102071</t>
  </si>
  <si>
    <t xml:space="preserve">  </t>
  </si>
  <si>
    <t>0812700667102114</t>
  </si>
  <si>
    <t>Kewal Nagar</t>
  </si>
  <si>
    <t>0812700667102070</t>
  </si>
  <si>
    <t>Nechalpura</t>
  </si>
  <si>
    <t>0812700667102069</t>
  </si>
  <si>
    <t>Vijaipura</t>
  </si>
  <si>
    <t>0812700667102065</t>
  </si>
  <si>
    <t>ARANDKHERA</t>
  </si>
  <si>
    <t>Arand Khera</t>
  </si>
  <si>
    <t>0812700667102090</t>
  </si>
  <si>
    <t>26 - 6 25</t>
  </si>
  <si>
    <t>Charan Heri</t>
  </si>
  <si>
    <t>0812700667102088</t>
  </si>
  <si>
    <t>27 - 6 25</t>
  </si>
  <si>
    <t>Parlya</t>
  </si>
  <si>
    <t>0812700667102089</t>
  </si>
  <si>
    <t>28 - 6 25</t>
  </si>
  <si>
    <t>Peepal Heri</t>
  </si>
  <si>
    <t>0812700667102084</t>
  </si>
  <si>
    <t>29 - 6 25</t>
  </si>
  <si>
    <t>Balapura</t>
  </si>
  <si>
    <t>0812700667102059</t>
  </si>
  <si>
    <t>30 - 6 25</t>
  </si>
  <si>
    <t>Arlya Jageer</t>
  </si>
  <si>
    <t>0812700667102083</t>
  </si>
  <si>
    <t>31 - 6 25</t>
  </si>
  <si>
    <t>BANIYANI</t>
  </si>
  <si>
    <t>Baniyani</t>
  </si>
  <si>
    <t>0812700667102093</t>
  </si>
  <si>
    <t>Seemalheri</t>
  </si>
  <si>
    <t>0812700667102094</t>
  </si>
  <si>
    <t>Deeppura</t>
  </si>
  <si>
    <t>0812700667102092</t>
  </si>
  <si>
    <t>Keetalhera</t>
  </si>
  <si>
    <t>0812700667102091</t>
  </si>
  <si>
    <t>Shankarpura</t>
  </si>
  <si>
    <t>0812700667102087</t>
  </si>
  <si>
    <t>BHANWARIA</t>
  </si>
  <si>
    <t>Bhanwariya</t>
  </si>
  <si>
    <t>0812700667102157</t>
  </si>
  <si>
    <t>0812700667102156</t>
  </si>
  <si>
    <t>0812700667102155</t>
  </si>
  <si>
    <t>0812700667102163</t>
  </si>
  <si>
    <t>Ama Ka Pani</t>
  </si>
  <si>
    <t>0812700667102136</t>
  </si>
  <si>
    <t>Damodarpura</t>
  </si>
  <si>
    <t>0812700667102142</t>
  </si>
  <si>
    <t>0812700667102141</t>
  </si>
  <si>
    <t>0812700667102152</t>
  </si>
  <si>
    <t>Kharli Baori</t>
  </si>
  <si>
    <t>0812700667102137</t>
  </si>
  <si>
    <t>Mohan Pura</t>
  </si>
  <si>
    <t>0812700667102143</t>
  </si>
  <si>
    <t>Ranwatha</t>
  </si>
  <si>
    <t>0812700667102154</t>
  </si>
  <si>
    <t>Sohan Pura</t>
  </si>
  <si>
    <t>0812700667102144</t>
  </si>
  <si>
    <t>0812700667102138</t>
  </si>
  <si>
    <t>Mandargarh.</t>
  </si>
  <si>
    <t>0812700667102140</t>
  </si>
  <si>
    <t>Rojhala</t>
  </si>
  <si>
    <t>0812700667102139</t>
  </si>
  <si>
    <t>Haripura.</t>
  </si>
  <si>
    <t>0812700667102099</t>
  </si>
  <si>
    <t>Rel</t>
  </si>
  <si>
    <t>0812700667102102</t>
  </si>
  <si>
    <t>BHIMPURA</t>
  </si>
  <si>
    <t>Bhimpura</t>
  </si>
  <si>
    <t>0812700667102044</t>
  </si>
  <si>
    <t>Ramnagar</t>
  </si>
  <si>
    <t>0812700667102048</t>
  </si>
  <si>
    <t>Nagpura</t>
  </si>
  <si>
    <t>0812700667102047</t>
  </si>
  <si>
    <t>Motipura</t>
  </si>
  <si>
    <t>0812700667102046</t>
  </si>
  <si>
    <t>0812700667102045</t>
  </si>
  <si>
    <t>BORABAS</t>
  </si>
  <si>
    <t>Borabas</t>
  </si>
  <si>
    <t>0812700667102105</t>
  </si>
  <si>
    <t>Shyodanpura</t>
  </si>
  <si>
    <t>0812700667102113</t>
  </si>
  <si>
    <t>0812700667102111</t>
  </si>
  <si>
    <t>Ratariya</t>
  </si>
  <si>
    <t>0812700667102110</t>
  </si>
  <si>
    <t>Kolipura</t>
  </si>
  <si>
    <t>0812700667102109</t>
  </si>
  <si>
    <t>Ghodon Ka Gaon</t>
  </si>
  <si>
    <t>0812700667102108</t>
  </si>
  <si>
    <t>Kotbaori</t>
  </si>
  <si>
    <t>0812700667102107</t>
  </si>
  <si>
    <t>Tholanpur</t>
  </si>
  <si>
    <t>0812700667102106</t>
  </si>
  <si>
    <t>Akhawa</t>
  </si>
  <si>
    <t>0812700667102104</t>
  </si>
  <si>
    <t>0812700667102068</t>
  </si>
  <si>
    <t>Jamoonya</t>
  </si>
  <si>
    <t>0812700667102066</t>
  </si>
  <si>
    <t>DOLIYA</t>
  </si>
  <si>
    <t>Dolya</t>
  </si>
  <si>
    <t>0812700667102103</t>
  </si>
  <si>
    <t>0812700667102153</t>
  </si>
  <si>
    <t>0812700667102129</t>
  </si>
  <si>
    <t>0812700667102134</t>
  </si>
  <si>
    <t>Indrapura</t>
  </si>
  <si>
    <t>0812700667102132</t>
  </si>
  <si>
    <t>Dohnya</t>
  </si>
  <si>
    <t>0812700667102131</t>
  </si>
  <si>
    <t>Khangarpura</t>
  </si>
  <si>
    <t>0812700667102130</t>
  </si>
  <si>
    <t>Nemkhera</t>
  </si>
  <si>
    <t>0812700667102148</t>
  </si>
  <si>
    <t>Prithvipura</t>
  </si>
  <si>
    <t>0812700667102128</t>
  </si>
  <si>
    <t>Bugchach Khurd</t>
  </si>
  <si>
    <t>0812700667102118</t>
  </si>
  <si>
    <t>0812700667102119</t>
  </si>
  <si>
    <t>0812700667102127</t>
  </si>
  <si>
    <t>Jaspura</t>
  </si>
  <si>
    <t>0812700667102133</t>
  </si>
  <si>
    <t>0812700667102125</t>
  </si>
  <si>
    <t>0812700667102120</t>
  </si>
  <si>
    <t>Bugchach Kalan</t>
  </si>
  <si>
    <t>0812700667102117</t>
  </si>
  <si>
    <t>Kishanpura</t>
  </si>
  <si>
    <t>0812700667102124</t>
  </si>
  <si>
    <t>Bachhriya</t>
  </si>
  <si>
    <t>0812700667102116</t>
  </si>
  <si>
    <t>Borkui</t>
  </si>
  <si>
    <t>0812700667102115</t>
  </si>
  <si>
    <t>Sabalpura</t>
  </si>
  <si>
    <t>0812700667102123</t>
  </si>
  <si>
    <t>Chand Baori</t>
  </si>
  <si>
    <t>0812700667102122</t>
  </si>
  <si>
    <t>0812700667102060</t>
  </si>
  <si>
    <t>0812700667102041</t>
  </si>
  <si>
    <t>GANDI FALEE</t>
  </si>
  <si>
    <t>Gandi Phali</t>
  </si>
  <si>
    <t>0812700667102061</t>
  </si>
  <si>
    <t>0812700667102126</t>
  </si>
  <si>
    <t>Barodiya</t>
  </si>
  <si>
    <t>0812700667102082</t>
  </si>
  <si>
    <t>Ranipura</t>
  </si>
  <si>
    <t>0812700667102062</t>
  </si>
  <si>
    <t>Galana</t>
  </si>
  <si>
    <t>0812700667102058</t>
  </si>
  <si>
    <t>GODLIYA HERI</t>
  </si>
  <si>
    <t>Godalyaheri</t>
  </si>
  <si>
    <t>0812700667102034</t>
  </si>
  <si>
    <t>20 - 6 25</t>
  </si>
  <si>
    <t>0812700667102056</t>
  </si>
  <si>
    <t>21 - 6 25</t>
  </si>
  <si>
    <t>0812700667102036</t>
  </si>
  <si>
    <t>22 - 6 25</t>
  </si>
  <si>
    <t>Morpa</t>
  </si>
  <si>
    <t>0812700667102035</t>
  </si>
  <si>
    <t>Dahra</t>
  </si>
  <si>
    <t>0812700667102033</t>
  </si>
  <si>
    <t>Kethori</t>
  </si>
  <si>
    <t>0812700667102032</t>
  </si>
  <si>
    <t>25 - 6 25</t>
  </si>
  <si>
    <t>JAKHORA</t>
  </si>
  <si>
    <t>Jakhora</t>
  </si>
  <si>
    <t>0812700667102054</t>
  </si>
  <si>
    <t>12.9.23</t>
  </si>
  <si>
    <t>Abhaipur</t>
  </si>
  <si>
    <t>0812700667102052</t>
  </si>
  <si>
    <t>Ladpura Kaithoon</t>
  </si>
  <si>
    <t>0812700667102053</t>
  </si>
  <si>
    <t>Kadihera</t>
  </si>
  <si>
    <t>0812700667102057</t>
  </si>
  <si>
    <t>Kishanpura Kaithoon</t>
  </si>
  <si>
    <t>0812700667102055</t>
  </si>
  <si>
    <t>KALIYA KHERI</t>
  </si>
  <si>
    <t>0812700667102161</t>
  </si>
  <si>
    <t>06.10.2022</t>
  </si>
  <si>
    <t>Padampura</t>
  </si>
  <si>
    <t>0812700667102165</t>
  </si>
  <si>
    <t>Kothala</t>
  </si>
  <si>
    <t>0812700667102164</t>
  </si>
  <si>
    <t>Dobara</t>
  </si>
  <si>
    <t>0812700667102167</t>
  </si>
  <si>
    <t>31.10.2022</t>
  </si>
  <si>
    <t>0812700667102166</t>
  </si>
  <si>
    <t>Tholpura</t>
  </si>
  <si>
    <t>0812700667102162</t>
  </si>
  <si>
    <t>04.10.2022</t>
  </si>
  <si>
    <t>Beel Kheri</t>
  </si>
  <si>
    <t>0812700667102158</t>
  </si>
  <si>
    <t>Singh Pura</t>
  </si>
  <si>
    <t>0812700667102160</t>
  </si>
  <si>
    <t>0812700667102151</t>
  </si>
  <si>
    <t>0812700667102159</t>
  </si>
  <si>
    <t>Bheenlot</t>
  </si>
  <si>
    <t>0812700667102150</t>
  </si>
  <si>
    <t>03.10.2022</t>
  </si>
  <si>
    <t>Phata Khera</t>
  </si>
  <si>
    <t>0812700667102149</t>
  </si>
  <si>
    <t>Neemkheri</t>
  </si>
  <si>
    <t>0812700667102112</t>
  </si>
  <si>
    <t>KASAR</t>
  </si>
  <si>
    <t>Kasar</t>
  </si>
  <si>
    <t>0812700667102078</t>
  </si>
  <si>
    <t>12.10.2022</t>
  </si>
  <si>
    <t>Jheetiya @ Ramnagar</t>
  </si>
  <si>
    <t>0812700667102077</t>
  </si>
  <si>
    <t>Renkyakheri</t>
  </si>
  <si>
    <t>0812700667102076</t>
  </si>
  <si>
    <t>Khanpuriya</t>
  </si>
  <si>
    <t>0812700667102086</t>
  </si>
  <si>
    <t>30,08</t>
  </si>
  <si>
    <t>Chorda</t>
  </si>
  <si>
    <t>0812700667102079</t>
  </si>
  <si>
    <t>Chandresal</t>
  </si>
  <si>
    <t>0812700667102080</t>
  </si>
  <si>
    <t>KHERA RASULPUR</t>
  </si>
  <si>
    <t>0812700667102037</t>
  </si>
  <si>
    <t>07.11.2022</t>
  </si>
  <si>
    <t>Chaipura</t>
  </si>
  <si>
    <t>0812700667102043</t>
  </si>
  <si>
    <t>0812700667102038</t>
  </si>
  <si>
    <t>KISHANPURA TAKIA</t>
  </si>
  <si>
    <t>Kishanpura Takiya</t>
  </si>
  <si>
    <t>0812700667102021</t>
  </si>
  <si>
    <t>Notana</t>
  </si>
  <si>
    <t>0812700667102023</t>
  </si>
  <si>
    <t>Deolimachhiyan</t>
  </si>
  <si>
    <t>0812700667102022</t>
  </si>
  <si>
    <t>KOLANA</t>
  </si>
  <si>
    <t>Kolana @ Laxmipura</t>
  </si>
  <si>
    <t>0812700667102074</t>
  </si>
  <si>
    <t>Sarangpur</t>
  </si>
  <si>
    <t>0812700667102098</t>
  </si>
  <si>
    <t>Pachpahar</t>
  </si>
  <si>
    <t>0812700667102075</t>
  </si>
  <si>
    <t>Shyampura</t>
  </si>
  <si>
    <t>0812700667102072</t>
  </si>
  <si>
    <t>Baori Khera</t>
  </si>
  <si>
    <t>0812700667102073</t>
  </si>
  <si>
    <t>Pachankui</t>
  </si>
  <si>
    <t>0812700667102067</t>
  </si>
  <si>
    <t>Manpura (No Gp)</t>
  </si>
  <si>
    <t>0812700667102145</t>
  </si>
  <si>
    <t>MANDANA</t>
  </si>
  <si>
    <t>Mandana</t>
  </si>
  <si>
    <t>0812700667102095</t>
  </si>
  <si>
    <t>Mukundpura</t>
  </si>
  <si>
    <t>0812700667102096</t>
  </si>
  <si>
    <t>MANDLIYA</t>
  </si>
  <si>
    <t>Mandalya</t>
  </si>
  <si>
    <t>0812700667102101</t>
  </si>
  <si>
    <t>0812700667102146</t>
  </si>
  <si>
    <t>Bakshpura</t>
  </si>
  <si>
    <t>0812700667102147</t>
  </si>
  <si>
    <t>0812700667102100</t>
  </si>
  <si>
    <t>Heerapur</t>
  </si>
  <si>
    <t>0812700667102121</t>
  </si>
  <si>
    <t>0812700667102097</t>
  </si>
  <si>
    <t>MANS GAON</t>
  </si>
  <si>
    <t>Manasgaon</t>
  </si>
  <si>
    <t>0812700667102025</t>
  </si>
  <si>
    <t>Ramrajpura</t>
  </si>
  <si>
    <t>0812700667102026</t>
  </si>
  <si>
    <t>Ghaghtana</t>
  </si>
  <si>
    <t>0812700667102024</t>
  </si>
  <si>
    <t>MAWASA</t>
  </si>
  <si>
    <t>0812700667102063</t>
  </si>
  <si>
    <t>Ganeshpura</t>
  </si>
  <si>
    <t>0812700667102135</t>
  </si>
  <si>
    <t>Chhipan Heri</t>
  </si>
  <si>
    <t>0812700667102085</t>
  </si>
  <si>
    <t>Dhani</t>
  </si>
  <si>
    <t>0812700667102081</t>
  </si>
  <si>
    <t>Boriyakheri</t>
  </si>
  <si>
    <t>0812700667102051</t>
  </si>
  <si>
    <t>Jampura</t>
  </si>
  <si>
    <t>0812700667102050</t>
  </si>
  <si>
    <t>Rooparel</t>
  </si>
  <si>
    <t>0812700667102064</t>
  </si>
  <si>
    <t>Prahladpura</t>
  </si>
  <si>
    <t>0812700667102049</t>
  </si>
  <si>
    <t>RANGPUR</t>
  </si>
  <si>
    <t>Rangpur</t>
  </si>
  <si>
    <t>0812700667102020</t>
  </si>
  <si>
    <t>Gangaycha</t>
  </si>
  <si>
    <t>0812700667102018</t>
  </si>
  <si>
    <t>Gaonri</t>
  </si>
  <si>
    <t>0812700667102019</t>
  </si>
  <si>
    <t>TATHER</t>
  </si>
  <si>
    <t>Tather</t>
  </si>
  <si>
    <t>0812700667102031</t>
  </si>
  <si>
    <t>Brajeshpura</t>
  </si>
  <si>
    <t>0812700667102030</t>
  </si>
  <si>
    <t>Kherli Pande</t>
  </si>
  <si>
    <t>0812700667102029</t>
  </si>
  <si>
    <t>Ram Kherli</t>
  </si>
  <si>
    <t>0812700667102028</t>
  </si>
  <si>
    <t>Pipalda Shekhan</t>
  </si>
  <si>
    <t>0812700667102027</t>
  </si>
  <si>
    <t>Kaithoon (M)</t>
  </si>
  <si>
    <t>0812700667800610</t>
  </si>
  <si>
    <t>Kota (M Corp.)</t>
  </si>
  <si>
    <t>0812700667800609</t>
  </si>
  <si>
    <t>SANGOD</t>
  </si>
  <si>
    <t>AMRITKUAN</t>
  </si>
  <si>
    <t xml:space="preserve">Amrat kuaa </t>
  </si>
  <si>
    <t>0812700669102516</t>
  </si>
  <si>
    <t>25.08.2023</t>
  </si>
  <si>
    <t>khajuri</t>
  </si>
  <si>
    <t>0812700669102549</t>
  </si>
  <si>
    <t>Barkhedi</t>
  </si>
  <si>
    <t>0812700669102508</t>
  </si>
  <si>
    <t>bambuliya</t>
  </si>
  <si>
    <t>0812700669102509</t>
  </si>
  <si>
    <t>bhankya khedi</t>
  </si>
  <si>
    <t>0812700669102517</t>
  </si>
  <si>
    <t>Gurayta khedi</t>
  </si>
  <si>
    <t>0812700669102510</t>
  </si>
  <si>
    <t>kharkhana khedi</t>
  </si>
  <si>
    <t>0812700669102361</t>
  </si>
  <si>
    <t>AWAN</t>
  </si>
  <si>
    <t>Awan</t>
  </si>
  <si>
    <t>0812700669102397</t>
  </si>
  <si>
    <t>BALUHERA</t>
  </si>
  <si>
    <t>Baloohera</t>
  </si>
  <si>
    <t>0812700669102402</t>
  </si>
  <si>
    <t>22.02.2024</t>
  </si>
  <si>
    <t>Palahera</t>
  </si>
  <si>
    <t>0812700669102455</t>
  </si>
  <si>
    <t>Kherli Kakoonya</t>
  </si>
  <si>
    <t>0812700669102382</t>
  </si>
  <si>
    <t>Garmori</t>
  </si>
  <si>
    <t>0812700669102401</t>
  </si>
  <si>
    <t>Khand gaon</t>
  </si>
  <si>
    <t>0812700669102400</t>
  </si>
  <si>
    <t>Umarheri</t>
  </si>
  <si>
    <t>0812700669102383</t>
  </si>
  <si>
    <t>Kacholya</t>
  </si>
  <si>
    <t>0812700669102381</t>
  </si>
  <si>
    <t>BAPAWAR KALA</t>
  </si>
  <si>
    <t>Bapawar Kalan</t>
  </si>
  <si>
    <t>0812700669102434</t>
  </si>
  <si>
    <t>BASIYAHERI</t>
  </si>
  <si>
    <t xml:space="preserve">kaliyakhedi </t>
  </si>
  <si>
    <t>0812700669102532</t>
  </si>
  <si>
    <t>18.5.23</t>
  </si>
  <si>
    <t xml:space="preserve">kishanpura </t>
  </si>
  <si>
    <t>0812700669102546</t>
  </si>
  <si>
    <t>19.5.23</t>
  </si>
  <si>
    <t xml:space="preserve">Girdharpura </t>
  </si>
  <si>
    <t>0812700669102541</t>
  </si>
  <si>
    <t>20.5.23</t>
  </si>
  <si>
    <t xml:space="preserve">Barkheda </t>
  </si>
  <si>
    <t>0812700669102544</t>
  </si>
  <si>
    <t>17.5.23</t>
  </si>
  <si>
    <t xml:space="preserve">Nimkhedi </t>
  </si>
  <si>
    <t>0812700669102533</t>
  </si>
  <si>
    <t xml:space="preserve">mandariya </t>
  </si>
  <si>
    <t>0812700669102531</t>
  </si>
  <si>
    <t>Mandariya</t>
  </si>
  <si>
    <t>0812700669102538</t>
  </si>
  <si>
    <t>Simliya</t>
  </si>
  <si>
    <t>0812700669102436</t>
  </si>
  <si>
    <t>BORINAKALAN</t>
  </si>
  <si>
    <t>Borina Kalan</t>
  </si>
  <si>
    <t>0812700669102515</t>
  </si>
  <si>
    <t>Tarkasya</t>
  </si>
  <si>
    <t>0812700669102518</t>
  </si>
  <si>
    <t>Borina Khurd</t>
  </si>
  <si>
    <t>0812700669102521</t>
  </si>
  <si>
    <t>Vijaipur</t>
  </si>
  <si>
    <t>0812700669102482</t>
  </si>
  <si>
    <t>Kudet</t>
  </si>
  <si>
    <t>0812700669102481</t>
  </si>
  <si>
    <t>Nagra Kheri</t>
  </si>
  <si>
    <t>0812700669102451</t>
  </si>
  <si>
    <t>DANTA</t>
  </si>
  <si>
    <t>Danta</t>
  </si>
  <si>
    <t>0812700669102551</t>
  </si>
  <si>
    <t>76/148977</t>
  </si>
  <si>
    <t>15/8/23</t>
  </si>
  <si>
    <t>Nalodi</t>
  </si>
  <si>
    <t>0812700669102550</t>
  </si>
  <si>
    <t>Chak Dhoolet</t>
  </si>
  <si>
    <t>0812700669102552</t>
  </si>
  <si>
    <t>Garda</t>
  </si>
  <si>
    <t>0812700669102520</t>
  </si>
  <si>
    <t>0812700669102452</t>
  </si>
  <si>
    <t>DEEGOD</t>
  </si>
  <si>
    <t>Digod</t>
  </si>
  <si>
    <t>0812700669102487</t>
  </si>
  <si>
    <t>0812700669102503</t>
  </si>
  <si>
    <t xml:space="preserve">      </t>
  </si>
  <si>
    <t>Dobari</t>
  </si>
  <si>
    <t>0812700669102488</t>
  </si>
  <si>
    <t>0812700669102486</t>
  </si>
  <si>
    <t>Talchhi</t>
  </si>
  <si>
    <t>0812700669102445</t>
  </si>
  <si>
    <t>Lasariya Khurd</t>
  </si>
  <si>
    <t>0812700669102446</t>
  </si>
  <si>
    <t>0812700669102444</t>
  </si>
  <si>
    <t>Rakspuriya</t>
  </si>
  <si>
    <t>0812700669102447</t>
  </si>
  <si>
    <t>DEVLI</t>
  </si>
  <si>
    <t>Deoli</t>
  </si>
  <si>
    <t>0812700669102362</t>
  </si>
  <si>
    <t>0812700669102398</t>
  </si>
  <si>
    <t>Alyaheri</t>
  </si>
  <si>
    <t>0812700669102384</t>
  </si>
  <si>
    <t>Kharipur</t>
  </si>
  <si>
    <t>0812700669102387</t>
  </si>
  <si>
    <t>Gardana</t>
  </si>
  <si>
    <t>0812700669102380</t>
  </si>
  <si>
    <t>Dhikoli</t>
  </si>
  <si>
    <t>0812700669102385</t>
  </si>
  <si>
    <t>Kherli Kandaphal</t>
  </si>
  <si>
    <t>0812700669102363</t>
  </si>
  <si>
    <t>27.01.22</t>
  </si>
  <si>
    <t>DILLIPURA</t>
  </si>
  <si>
    <t>Dillipura</t>
  </si>
  <si>
    <t>0812700669102448</t>
  </si>
  <si>
    <t>Rosalya</t>
  </si>
  <si>
    <t>0812700669102443</t>
  </si>
  <si>
    <t>Dabari Kalan</t>
  </si>
  <si>
    <t>0812700669102425</t>
  </si>
  <si>
    <t>DOTI</t>
  </si>
  <si>
    <t>Dhoti</t>
  </si>
  <si>
    <t>0812700669102357</t>
  </si>
  <si>
    <t>Kandaphal</t>
  </si>
  <si>
    <t>0812700669102356</t>
  </si>
  <si>
    <t>Islamnagar</t>
  </si>
  <si>
    <t>0812700669102355</t>
  </si>
  <si>
    <t>Kadhaun</t>
  </si>
  <si>
    <t>0812700669102354</t>
  </si>
  <si>
    <t>Moryaheri</t>
  </si>
  <si>
    <t>0812700669102341</t>
  </si>
  <si>
    <t>Charawad</t>
  </si>
  <si>
    <t>0812700669102342</t>
  </si>
  <si>
    <t>Ramnagar Jhonpariya</t>
  </si>
  <si>
    <t>0812700669102358</t>
  </si>
  <si>
    <t>02/02.22</t>
  </si>
  <si>
    <t>Haripura Manji</t>
  </si>
  <si>
    <t>0812700669102340</t>
  </si>
  <si>
    <t>DULET</t>
  </si>
  <si>
    <t>Dhoolet</t>
  </si>
  <si>
    <t>0812700669102543</t>
  </si>
  <si>
    <t>0812700669102542</t>
  </si>
  <si>
    <t>Charchriya @ Kashipura</t>
  </si>
  <si>
    <t>0812700669102540</t>
  </si>
  <si>
    <t>HINGI</t>
  </si>
  <si>
    <t>Heengi</t>
  </si>
  <si>
    <t>0812700669102505</t>
  </si>
  <si>
    <t>Sahipur</t>
  </si>
  <si>
    <t>0812700669102506</t>
  </si>
  <si>
    <t>Chatarpura</t>
  </si>
  <si>
    <t>0812700669102504</t>
  </si>
  <si>
    <t>Jogari</t>
  </si>
  <si>
    <t>0812700669102485</t>
  </si>
  <si>
    <t>Jogara</t>
  </si>
  <si>
    <t>0812700669102484</t>
  </si>
  <si>
    <t>HINGONIYA</t>
  </si>
  <si>
    <t>Hingoniya</t>
  </si>
  <si>
    <t>0812700669102474</t>
  </si>
  <si>
    <t>Bachhihera</t>
  </si>
  <si>
    <t>0812700669102525</t>
  </si>
  <si>
    <t>Jagdishpura</t>
  </si>
  <si>
    <t>0812700669102468</t>
  </si>
  <si>
    <t>Kolani</t>
  </si>
  <si>
    <t>0812700669102469</t>
  </si>
  <si>
    <t>0812700669102472</t>
  </si>
  <si>
    <t>JALIMPURA</t>
  </si>
  <si>
    <t>0812700669102464</t>
  </si>
  <si>
    <t>Madhopur</t>
  </si>
  <si>
    <t>0812700669102467</t>
  </si>
  <si>
    <t>Chak Jagdishpura</t>
  </si>
  <si>
    <t>0812700669102527</t>
  </si>
  <si>
    <t>Goojariya Heri</t>
  </si>
  <si>
    <t>0812700669102470</t>
  </si>
  <si>
    <t>Kolanajageer</t>
  </si>
  <si>
    <t>0812700669102471</t>
  </si>
  <si>
    <t>Haripura Dhanriya</t>
  </si>
  <si>
    <t>0812700669102465</t>
  </si>
  <si>
    <t>Peetampura</t>
  </si>
  <si>
    <t>0812700669102462</t>
  </si>
  <si>
    <t>JHALRI</t>
  </si>
  <si>
    <t>Jhalari</t>
  </si>
  <si>
    <t>0812700669102457</t>
  </si>
  <si>
    <t>76..146941</t>
  </si>
  <si>
    <t>8.8.2023</t>
  </si>
  <si>
    <t>Kheri</t>
  </si>
  <si>
    <t>0812700669102473</t>
  </si>
  <si>
    <t>Roopahera</t>
  </si>
  <si>
    <t>0812700669102456</t>
  </si>
  <si>
    <t>0812700669102459</t>
  </si>
  <si>
    <t>Niyana</t>
  </si>
  <si>
    <t>0812700669102399</t>
  </si>
  <si>
    <t>Jhalara</t>
  </si>
  <si>
    <t>0812700669102458</t>
  </si>
  <si>
    <t>KAMOLAR</t>
  </si>
  <si>
    <t>Kamolar</t>
  </si>
  <si>
    <t>0812700669102437</t>
  </si>
  <si>
    <t>Pratappura</t>
  </si>
  <si>
    <t>0812700669102441</t>
  </si>
  <si>
    <t>Nayapura</t>
  </si>
  <si>
    <t>0812700669102442</t>
  </si>
  <si>
    <t>Lasariya Kalan</t>
  </si>
  <si>
    <t>0812700669102440</t>
  </si>
  <si>
    <t>KANWAS</t>
  </si>
  <si>
    <t>Kanwas</t>
  </si>
  <si>
    <t>0812700669102526</t>
  </si>
  <si>
    <t>2/14/2022</t>
  </si>
  <si>
    <t>KHADIYA</t>
  </si>
  <si>
    <t>Khariya</t>
  </si>
  <si>
    <t>0812700669102439</t>
  </si>
  <si>
    <t>Gehun Kheri</t>
  </si>
  <si>
    <t>0812700669102438</t>
  </si>
  <si>
    <t>Lola Heri</t>
  </si>
  <si>
    <t>0812700669102431</t>
  </si>
  <si>
    <t>Boodhani</t>
  </si>
  <si>
    <t>0812700669102430</t>
  </si>
  <si>
    <t>Soonda</t>
  </si>
  <si>
    <t>0812700669102429</t>
  </si>
  <si>
    <t>Umarda</t>
  </si>
  <si>
    <t>0812700669102428</t>
  </si>
  <si>
    <t>Relawad</t>
  </si>
  <si>
    <t>0812700669102427</t>
  </si>
  <si>
    <t>Ghas Khera</t>
  </si>
  <si>
    <t>0812700669102426</t>
  </si>
  <si>
    <t>Arniya</t>
  </si>
  <si>
    <t>0812700669102553</t>
  </si>
  <si>
    <t>KHAJOORI</t>
  </si>
  <si>
    <t>Khajoori</t>
  </si>
  <si>
    <t>0812700669102519</t>
  </si>
  <si>
    <t>Peesahera</t>
  </si>
  <si>
    <t>0812700669102386</t>
  </si>
  <si>
    <t>KHJOORNA</t>
  </si>
  <si>
    <t>Khajoorna</t>
  </si>
  <si>
    <t>0812700669102392</t>
  </si>
  <si>
    <t>07.03.2023</t>
  </si>
  <si>
    <t>Kishorpura</t>
  </si>
  <si>
    <t>0812700669102548</t>
  </si>
  <si>
    <t>Kisanpura</t>
  </si>
  <si>
    <t>0812700669102463</t>
  </si>
  <si>
    <t>Ladpura</t>
  </si>
  <si>
    <t>0812700669102396</t>
  </si>
  <si>
    <t>06.03.2023</t>
  </si>
  <si>
    <t>Mangalpura</t>
  </si>
  <si>
    <t>0812700669102395</t>
  </si>
  <si>
    <t>Kot Baori</t>
  </si>
  <si>
    <t>0812700669102394</t>
  </si>
  <si>
    <t>Mohanpura</t>
  </si>
  <si>
    <t>0812700669102391</t>
  </si>
  <si>
    <t>Amli</t>
  </si>
  <si>
    <t>0812700669102388</t>
  </si>
  <si>
    <t>Jagalyaheri</t>
  </si>
  <si>
    <t>0812700669102393</t>
  </si>
  <si>
    <t>Urna</t>
  </si>
  <si>
    <t>0812700669102390</t>
  </si>
  <si>
    <t>Khodya Kheri</t>
  </si>
  <si>
    <t>0812700669102389</t>
  </si>
  <si>
    <t>KISHANPURA</t>
  </si>
  <si>
    <t>0812700669102514</t>
  </si>
  <si>
    <t>Bangadsya</t>
  </si>
  <si>
    <t>0812700669102507</t>
  </si>
  <si>
    <t>Akodiya</t>
  </si>
  <si>
    <t>0812700669102511</t>
  </si>
  <si>
    <t>Moi Khurd</t>
  </si>
  <si>
    <t>0812700669102512</t>
  </si>
  <si>
    <t>Gadarwara</t>
  </si>
  <si>
    <t>0812700669102513</t>
  </si>
  <si>
    <t>Baisar</t>
  </si>
  <si>
    <t>0812700669102483</t>
  </si>
  <si>
    <t>KUNDANPUR</t>
  </si>
  <si>
    <t>Kundanpur</t>
  </si>
  <si>
    <t>0812700669102371</t>
  </si>
  <si>
    <t>0812700669102369</t>
  </si>
  <si>
    <t>Sundkya</t>
  </si>
  <si>
    <t>0812700669102373</t>
  </si>
  <si>
    <t>Kanganya</t>
  </si>
  <si>
    <t>0812700669102374</t>
  </si>
  <si>
    <t>Ghatoliya</t>
  </si>
  <si>
    <t>0812700669102370</t>
  </si>
  <si>
    <t>Kurariya Kalan</t>
  </si>
  <si>
    <t>0812700669102368</t>
  </si>
  <si>
    <t>Palkya</t>
  </si>
  <si>
    <t>0812700669102367</t>
  </si>
  <si>
    <t>Adoosa</t>
  </si>
  <si>
    <t>0812700669102351</t>
  </si>
  <si>
    <t>KURAD</t>
  </si>
  <si>
    <t>Kurar</t>
  </si>
  <si>
    <t>0812700669102338</t>
  </si>
  <si>
    <t>12.10.23</t>
  </si>
  <si>
    <t>0812700669102360</t>
  </si>
  <si>
    <t>Brijalya</t>
  </si>
  <si>
    <t>0812700669102359</t>
  </si>
  <si>
    <t>Kushalipuramajrakhatipura</t>
  </si>
  <si>
    <t>0812700669102339</t>
  </si>
  <si>
    <t>Brijnagar</t>
  </si>
  <si>
    <t>0812700669102337</t>
  </si>
  <si>
    <t>Toomra</t>
  </si>
  <si>
    <t>0812700669102336</t>
  </si>
  <si>
    <t>KURADIYA KHURD</t>
  </si>
  <si>
    <t>Kurariya Khurd</t>
  </si>
  <si>
    <t>0812700669102414</t>
  </si>
  <si>
    <t>0812700669102547</t>
  </si>
  <si>
    <t>Kotari</t>
  </si>
  <si>
    <t>0812700669102480</t>
  </si>
  <si>
    <t>Pamla Kheri</t>
  </si>
  <si>
    <t>0812700669102449</t>
  </si>
  <si>
    <t>0812700669102450</t>
  </si>
  <si>
    <t>Narsinghpura</t>
  </si>
  <si>
    <t>0812700669102453</t>
  </si>
  <si>
    <t>Machhalya</t>
  </si>
  <si>
    <t>0812700669102423</t>
  </si>
  <si>
    <t>Ramoti</t>
  </si>
  <si>
    <t>0812700669102422</t>
  </si>
  <si>
    <t>Jali Hera</t>
  </si>
  <si>
    <t>0812700669102413</t>
  </si>
  <si>
    <t>Dabri Khurd</t>
  </si>
  <si>
    <t>0812700669102420</t>
  </si>
  <si>
    <t>Dheeraheri</t>
  </si>
  <si>
    <t>0812700669102424</t>
  </si>
  <si>
    <t>Aloti</t>
  </si>
  <si>
    <t>0812700669102421</t>
  </si>
  <si>
    <t>Nagalheri</t>
  </si>
  <si>
    <t>0812700669102415</t>
  </si>
  <si>
    <t>Dhandiya</t>
  </si>
  <si>
    <t>0812700669102416</t>
  </si>
  <si>
    <t>LABANIYA</t>
  </si>
  <si>
    <t>Labaniya</t>
  </si>
  <si>
    <t>0812700669102493</t>
  </si>
  <si>
    <t>Sankhera</t>
  </si>
  <si>
    <t>0812700669102495</t>
  </si>
  <si>
    <t>Hanuwat Khera</t>
  </si>
  <si>
    <t>0812700669102492</t>
  </si>
  <si>
    <t>Charel</t>
  </si>
  <si>
    <t>0812700669102496</t>
  </si>
  <si>
    <t>Barna</t>
  </si>
  <si>
    <t>0812700669102494</t>
  </si>
  <si>
    <t>Kotra</t>
  </si>
  <si>
    <t>0812700669102433</t>
  </si>
  <si>
    <t>Bapawar Khurd</t>
  </si>
  <si>
    <t>0812700669102432</t>
  </si>
  <si>
    <t>Bayra</t>
  </si>
  <si>
    <t>0812700669102372</t>
  </si>
  <si>
    <t>LATOORI</t>
  </si>
  <si>
    <t>Latoori</t>
  </si>
  <si>
    <t>0812700669102490</t>
  </si>
  <si>
    <t>Barukheri</t>
  </si>
  <si>
    <t>0812700669102545</t>
  </si>
  <si>
    <t>Budhan Hera</t>
  </si>
  <si>
    <t>0812700669102500</t>
  </si>
  <si>
    <t>Dhani @ Naya Gaon</t>
  </si>
  <si>
    <t>0812700669102498</t>
  </si>
  <si>
    <t>Doongarpur</t>
  </si>
  <si>
    <t>0812700669102502</t>
  </si>
  <si>
    <t>Daurani</t>
  </si>
  <si>
    <t>0812700669102497</t>
  </si>
  <si>
    <t>Jithani</t>
  </si>
  <si>
    <t>0812700669102499</t>
  </si>
  <si>
    <t>Bhoola Hera</t>
  </si>
  <si>
    <t>0812700669102489</t>
  </si>
  <si>
    <t>Latoora</t>
  </si>
  <si>
    <t>0812700669102491</t>
  </si>
  <si>
    <t>Bhoola Heri</t>
  </si>
  <si>
    <t>0812700669102435</t>
  </si>
  <si>
    <t>LODA HEDA</t>
  </si>
  <si>
    <t>Loda Hera</t>
  </si>
  <si>
    <t>0812700669102539</t>
  </si>
  <si>
    <t>Tosya</t>
  </si>
  <si>
    <t>0812700669102537</t>
  </si>
  <si>
    <t>Tolya</t>
  </si>
  <si>
    <t>0812700669102536</t>
  </si>
  <si>
    <t>Gunjara</t>
  </si>
  <si>
    <t>0812700669102535</t>
  </si>
  <si>
    <t>MAMOR</t>
  </si>
  <si>
    <t>Mamor</t>
  </si>
  <si>
    <t>0812700669102479</t>
  </si>
  <si>
    <t>17.10.2025</t>
  </si>
  <si>
    <t>Saloneya</t>
  </si>
  <si>
    <t>0812700669102534</t>
  </si>
  <si>
    <t>Saloniya</t>
  </si>
  <si>
    <t>0812700669102523</t>
  </si>
  <si>
    <t>Kesoli</t>
  </si>
  <si>
    <t>0812700669102524</t>
  </si>
  <si>
    <t>Kalmandi</t>
  </si>
  <si>
    <t>0812700669102522</t>
  </si>
  <si>
    <t>Panahera</t>
  </si>
  <si>
    <t>0812700669102476</t>
  </si>
  <si>
    <t>Mandoohera</t>
  </si>
  <si>
    <t>0812700669102477</t>
  </si>
  <si>
    <t>Sarola</t>
  </si>
  <si>
    <t>0812700669102475</t>
  </si>
  <si>
    <t>MANDAP</t>
  </si>
  <si>
    <t>Mandap</t>
  </si>
  <si>
    <t>0812700669102378</t>
  </si>
  <si>
    <t>PENDING</t>
  </si>
  <si>
    <t>Lala Hera</t>
  </si>
  <si>
    <t>0812700669102405</t>
  </si>
  <si>
    <t>Deganya</t>
  </si>
  <si>
    <t>0812700669102406</t>
  </si>
  <si>
    <t>Makrawad</t>
  </si>
  <si>
    <t>0812700669102379</t>
  </si>
  <si>
    <t>0812700669102364</t>
  </si>
  <si>
    <t>Keelyaheri</t>
  </si>
  <si>
    <t>0812700669102376</t>
  </si>
  <si>
    <t>Tahroli</t>
  </si>
  <si>
    <t>0812700669102377</t>
  </si>
  <si>
    <t>Ghatal</t>
  </si>
  <si>
    <t>0812700669102365</t>
  </si>
  <si>
    <t>0812700669102366</t>
  </si>
  <si>
    <t>Kareeriya</t>
  </si>
  <si>
    <t>0812700669102353</t>
  </si>
  <si>
    <t>MANDITA</t>
  </si>
  <si>
    <t>Mandeeta</t>
  </si>
  <si>
    <t>0812700669102352</t>
  </si>
  <si>
    <t>Thoonpur</t>
  </si>
  <si>
    <t>0812700669102343</t>
  </si>
  <si>
    <t>Khobda</t>
  </si>
  <si>
    <t>0812700669102350</t>
  </si>
  <si>
    <t>Guhavada</t>
  </si>
  <si>
    <t>0812700669102344</t>
  </si>
  <si>
    <t>Gurla</t>
  </si>
  <si>
    <t>0812700669102345</t>
  </si>
  <si>
    <t>Rajgarh</t>
  </si>
  <si>
    <t>0812700669102349</t>
  </si>
  <si>
    <t>0812700669102348</t>
  </si>
  <si>
    <t>Kherli Gurla</t>
  </si>
  <si>
    <t>0812700669102346</t>
  </si>
  <si>
    <t>Ramgarh</t>
  </si>
  <si>
    <t>0812700669102347</t>
  </si>
  <si>
    <t>MORU KALAN</t>
  </si>
  <si>
    <t>Moru Kalan</t>
  </si>
  <si>
    <t>0812700669102530</t>
  </si>
  <si>
    <t>MOINKALAN</t>
  </si>
  <si>
    <t>0812700669102501</t>
  </si>
  <si>
    <t>Moru Khurd</t>
  </si>
  <si>
    <t>0812700669102529</t>
  </si>
  <si>
    <t>Kishor Sagar</t>
  </si>
  <si>
    <t>0812700669102528</t>
  </si>
  <si>
    <t>SAWAN BHADO</t>
  </si>
  <si>
    <t>Sawan Bhadon</t>
  </si>
  <si>
    <t>0812700669102461</t>
  </si>
  <si>
    <t>Jugalpura</t>
  </si>
  <si>
    <t>0812700669102460</t>
  </si>
  <si>
    <t>SHYAMPURA</t>
  </si>
  <si>
    <t>0812700669102419</t>
  </si>
  <si>
    <t>Ghanahera</t>
  </si>
  <si>
    <t>0812700669102478</t>
  </si>
  <si>
    <t>Nahariya</t>
  </si>
  <si>
    <t>0812700669102454</t>
  </si>
  <si>
    <t>Kherli Khoda</t>
  </si>
  <si>
    <t>0812700669102403</t>
  </si>
  <si>
    <t>Chanawata</t>
  </si>
  <si>
    <t>0812700669102418</t>
  </si>
  <si>
    <t>Idalpur</t>
  </si>
  <si>
    <t>0812700669102404</t>
  </si>
  <si>
    <t>Melkheri</t>
  </si>
  <si>
    <t>0812700669102417</t>
  </si>
  <si>
    <t>Jhonpariya Rampuriya</t>
  </si>
  <si>
    <t>0812700669102407</t>
  </si>
  <si>
    <t>VINOD KHURD</t>
  </si>
  <si>
    <t>Vinod Khurd</t>
  </si>
  <si>
    <t>0812700669102409</t>
  </si>
  <si>
    <t>Malihera</t>
  </si>
  <si>
    <t>0812700669102466</t>
  </si>
  <si>
    <t>Theemli</t>
  </si>
  <si>
    <t>0812700669102411</t>
  </si>
  <si>
    <t>0812700669102412</t>
  </si>
  <si>
    <t>Bambooliya Kataria</t>
  </si>
  <si>
    <t>0812700669102410</t>
  </si>
  <si>
    <t>Vinod Kalan</t>
  </si>
  <si>
    <t>0812700669102408</t>
  </si>
  <si>
    <t>Rolana</t>
  </si>
  <si>
    <t>0812700669102375</t>
  </si>
  <si>
    <t>SULTANPUR</t>
  </si>
  <si>
    <t>Khandgaon</t>
  </si>
  <si>
    <t>0812700666101913</t>
  </si>
  <si>
    <t>Sultanpur</t>
  </si>
  <si>
    <t>0812700666101925</t>
  </si>
  <si>
    <t>Notara</t>
  </si>
  <si>
    <t>0812700666101914</t>
  </si>
  <si>
    <t>AMARPURA</t>
  </si>
  <si>
    <t>0812700666101933</t>
  </si>
  <si>
    <t>Nathoo Balai Ki Jhopariya</t>
  </si>
  <si>
    <t>0812700666101959</t>
  </si>
  <si>
    <t>Surela</t>
  </si>
  <si>
    <t>0812700666101956</t>
  </si>
  <si>
    <t>Chawandheri</t>
  </si>
  <si>
    <t>0812700666101958</t>
  </si>
  <si>
    <t>Reechhaheri</t>
  </si>
  <si>
    <t>0812700666101952</t>
  </si>
  <si>
    <t>Kherli Ghata</t>
  </si>
  <si>
    <t>0812700666101953</t>
  </si>
  <si>
    <t>Kherli Dhakran</t>
  </si>
  <si>
    <t>0812700666101932</t>
  </si>
  <si>
    <t>Rampuria @ Nayagaon</t>
  </si>
  <si>
    <t>0812700666101926</t>
  </si>
  <si>
    <t>Jiyaheri</t>
  </si>
  <si>
    <t>0812700666101894</t>
  </si>
  <si>
    <t>BAMORI</t>
  </si>
  <si>
    <t>Bamori</t>
  </si>
  <si>
    <t>0812700666101990</t>
  </si>
  <si>
    <t>Kherli Mahadeet</t>
  </si>
  <si>
    <t>0812700666101989</t>
  </si>
  <si>
    <t>Amora</t>
  </si>
  <si>
    <t>0812700666101974</t>
  </si>
  <si>
    <t>BANETHYA</t>
  </si>
  <si>
    <t>Banethiya</t>
  </si>
  <si>
    <t>0812700666101891</t>
  </si>
  <si>
    <t>Hanotiya</t>
  </si>
  <si>
    <t>0812700666101999</t>
  </si>
  <si>
    <t>0812700666101962</t>
  </si>
  <si>
    <t>Dhanwa</t>
  </si>
  <si>
    <t>0812700666101900</t>
  </si>
  <si>
    <t>Jahangeerpura</t>
  </si>
  <si>
    <t>0812700666101899</t>
  </si>
  <si>
    <t>BAROD</t>
  </si>
  <si>
    <t>Barod</t>
  </si>
  <si>
    <t>0812700666101886</t>
  </si>
  <si>
    <t>BHANDA HEDA</t>
  </si>
  <si>
    <t>Bhanda Hera</t>
  </si>
  <si>
    <t>0812700666102000</t>
  </si>
  <si>
    <t>Tehla</t>
  </si>
  <si>
    <t>0812700666102002</t>
  </si>
  <si>
    <t>Suwana</t>
  </si>
  <si>
    <t>0812700666102001</t>
  </si>
  <si>
    <t>Kurari</t>
  </si>
  <si>
    <t>0812700666101982</t>
  </si>
  <si>
    <t>Brijpura</t>
  </si>
  <si>
    <t>0812700666101984</t>
  </si>
  <si>
    <t>BHORA</t>
  </si>
  <si>
    <t>Dhaba</t>
  </si>
  <si>
    <t>0812700666101998</t>
  </si>
  <si>
    <t>Ballabhpura</t>
  </si>
  <si>
    <t>0812700666101997</t>
  </si>
  <si>
    <t>Pachara</t>
  </si>
  <si>
    <t>0812700666101996</t>
  </si>
  <si>
    <t>Pachara Ki Jhonpariyan</t>
  </si>
  <si>
    <t>0812700666101995</t>
  </si>
  <si>
    <t>Kareerka Khera</t>
  </si>
  <si>
    <t>0812700666101988</t>
  </si>
  <si>
    <t>Kalarewa</t>
  </si>
  <si>
    <t>0812700666101975</t>
  </si>
  <si>
    <t>BISLAI</t>
  </si>
  <si>
    <t>0812700666101907</t>
  </si>
  <si>
    <t>Barana</t>
  </si>
  <si>
    <t>0812700666101908</t>
  </si>
  <si>
    <t>Dhansuri</t>
  </si>
  <si>
    <t>0812700666101906</t>
  </si>
  <si>
    <t>Bambuliya Rawtan</t>
  </si>
  <si>
    <t>0812700666101905</t>
  </si>
  <si>
    <t>BOODADEET</t>
  </si>
  <si>
    <t>Budhadeet</t>
  </si>
  <si>
    <t>0812700666101882</t>
  </si>
  <si>
    <t>0812700666101951</t>
  </si>
  <si>
    <t>Pali</t>
  </si>
  <si>
    <t>0812700666101881</t>
  </si>
  <si>
    <t>Dediyaheri</t>
  </si>
  <si>
    <t>0812700666101880</t>
  </si>
  <si>
    <t>Kishan Ganj</t>
  </si>
  <si>
    <t>0812700666101883</t>
  </si>
  <si>
    <t>CHOMA MALIYAN</t>
  </si>
  <si>
    <t>Choma Maliyan</t>
  </si>
  <si>
    <t>0812700666102012</t>
  </si>
  <si>
    <t>0812700666102006</t>
  </si>
  <si>
    <t>Jatipura</t>
  </si>
  <si>
    <t>0812700666102007</t>
  </si>
  <si>
    <t>Choma Biboo</t>
  </si>
  <si>
    <t>0812700666102005</t>
  </si>
  <si>
    <t>Bamooli</t>
  </si>
  <si>
    <t>0812700666102003</t>
  </si>
  <si>
    <t>Choma Moondli</t>
  </si>
  <si>
    <t>0812700666102011</t>
  </si>
  <si>
    <t>Dangawad</t>
  </si>
  <si>
    <t>0812700666102008</t>
  </si>
  <si>
    <t>Bhat Kheri</t>
  </si>
  <si>
    <t>0812700666102009</t>
  </si>
  <si>
    <t>Ramri</t>
  </si>
  <si>
    <t>0812700666102010</t>
  </si>
  <si>
    <t>Chomakot</t>
  </si>
  <si>
    <t>0812700666102004</t>
  </si>
  <si>
    <t>Saderi</t>
  </si>
  <si>
    <t>0812700666102013</t>
  </si>
  <si>
    <t>DIGOD</t>
  </si>
  <si>
    <t>0812700666101963</t>
  </si>
  <si>
    <t>Kasampura</t>
  </si>
  <si>
    <t>0812700666101964</t>
  </si>
  <si>
    <t>0812700666101970</t>
  </si>
  <si>
    <t>Sholi</t>
  </si>
  <si>
    <t>0812700666101944</t>
  </si>
  <si>
    <t>DOONGARJA</t>
  </si>
  <si>
    <t>Doongarjya</t>
  </si>
  <si>
    <t>0812700666101946</t>
  </si>
  <si>
    <t>0812700666101945</t>
  </si>
  <si>
    <t>0812700666101961</t>
  </si>
  <si>
    <t>Kacholiya</t>
  </si>
  <si>
    <t>0812700666101947</t>
  </si>
  <si>
    <t>Udpuriya</t>
  </si>
  <si>
    <t>0812700666101938</t>
  </si>
  <si>
    <t>0812700666101890</t>
  </si>
  <si>
    <t>GADEPAN</t>
  </si>
  <si>
    <t>Gadepan</t>
  </si>
  <si>
    <t>0812700666101994</t>
  </si>
  <si>
    <t>Bhattipura</t>
  </si>
  <si>
    <t>0812700666102015</t>
  </si>
  <si>
    <t>Dhori</t>
  </si>
  <si>
    <t>0812700666102016</t>
  </si>
  <si>
    <t>Janakpur</t>
  </si>
  <si>
    <t>0812700666102017</t>
  </si>
  <si>
    <t>Rugghi</t>
  </si>
  <si>
    <t>0812700666101993</t>
  </si>
  <si>
    <t>Cheensa</t>
  </si>
  <si>
    <t>0812700666101992</t>
  </si>
  <si>
    <t>Jalimpura</t>
  </si>
  <si>
    <t>0812700666101935</t>
  </si>
  <si>
    <t>Tharla</t>
  </si>
  <si>
    <t>0812700666101936</t>
  </si>
  <si>
    <t>Kherli Kalya</t>
  </si>
  <si>
    <t>0812700666101937</t>
  </si>
  <si>
    <t>Bagtari</t>
  </si>
  <si>
    <t>0812700666101924</t>
  </si>
  <si>
    <t>Gokulpura</t>
  </si>
  <si>
    <t>0812700666101917</t>
  </si>
  <si>
    <t>Shopura @ Baldeopura</t>
  </si>
  <si>
    <t>0812700666101916</t>
  </si>
  <si>
    <t>JHADGAO</t>
  </si>
  <si>
    <t>Jhargaon</t>
  </si>
  <si>
    <t>0812700666101877</t>
  </si>
  <si>
    <t>Jhonpariya</t>
  </si>
  <si>
    <t>0812700666101876</t>
  </si>
  <si>
    <t>Khera Bhopal</t>
  </si>
  <si>
    <t>0812700666101879</t>
  </si>
  <si>
    <t>Peepalda Sand</t>
  </si>
  <si>
    <t>0812700666101875</t>
  </si>
  <si>
    <t>Chopar Kheri</t>
  </si>
  <si>
    <t>0812700666101878</t>
  </si>
  <si>
    <t>Madariya</t>
  </si>
  <si>
    <t>0812700666101874</t>
  </si>
  <si>
    <t>0812700666101866</t>
  </si>
  <si>
    <t>Morana</t>
  </si>
  <si>
    <t>0812700666101873</t>
  </si>
  <si>
    <t>KHERLI TAWRAN</t>
  </si>
  <si>
    <t>Kherli Tawran</t>
  </si>
  <si>
    <t>0812700666101897</t>
  </si>
  <si>
    <t>Jhotoli</t>
  </si>
  <si>
    <t>0812700666101915</t>
  </si>
  <si>
    <t>Neemli</t>
  </si>
  <si>
    <t>0812700666101898</t>
  </si>
  <si>
    <t>Maharana</t>
  </si>
  <si>
    <t>0812700666101896</t>
  </si>
  <si>
    <t>Dobarli</t>
  </si>
  <si>
    <t>0812700666101893</t>
  </si>
  <si>
    <t>KHERULA</t>
  </si>
  <si>
    <t>Kherula</t>
  </si>
  <si>
    <t>0812700666101903</t>
  </si>
  <si>
    <t>Bhoonen</t>
  </si>
  <si>
    <t>0812700666101987</t>
  </si>
  <si>
    <t>Khyavada</t>
  </si>
  <si>
    <t>0812700666101991</t>
  </si>
  <si>
    <t>Bhooden</t>
  </si>
  <si>
    <t>0812700666101904</t>
  </si>
  <si>
    <t>Kherli Parasram</t>
  </si>
  <si>
    <t>0812700666101902</t>
  </si>
  <si>
    <t>Saneeja Baori</t>
  </si>
  <si>
    <t>0812700666101901</t>
  </si>
  <si>
    <t>0812700666101887</t>
  </si>
  <si>
    <t>Bagawada</t>
  </si>
  <si>
    <t>0812700666101889</t>
  </si>
  <si>
    <t>Idalgarh</t>
  </si>
  <si>
    <t>0812700666101888</t>
  </si>
  <si>
    <t>KISHORPURA</t>
  </si>
  <si>
    <t>0812700666101928</t>
  </si>
  <si>
    <t>Aaton</t>
  </si>
  <si>
    <t>0812700666101931</t>
  </si>
  <si>
    <t>Jakhrond</t>
  </si>
  <si>
    <t>0812700666101930</t>
  </si>
  <si>
    <t>Bakyan</t>
  </si>
  <si>
    <t>0812700666101929</t>
  </si>
  <si>
    <t>Napahera</t>
  </si>
  <si>
    <t>0812700666101927</t>
  </si>
  <si>
    <t>KOTRA DEEPSING</t>
  </si>
  <si>
    <t>Kotra Deepsingh</t>
  </si>
  <si>
    <t>0812700666101870</t>
  </si>
  <si>
    <t>0812700666101885</t>
  </si>
  <si>
    <t>Peepalda Beeram</t>
  </si>
  <si>
    <t>0812700666101884</t>
  </si>
  <si>
    <t>Ralayata</t>
  </si>
  <si>
    <t>0812700666101857</t>
  </si>
  <si>
    <t>Ebra</t>
  </si>
  <si>
    <t>0812700666101856</t>
  </si>
  <si>
    <t>KOTSUWA</t>
  </si>
  <si>
    <t>Kotsuwan</t>
  </si>
  <si>
    <t>0812700666101941</t>
  </si>
  <si>
    <t>Mandawari</t>
  </si>
  <si>
    <t>0812700666101942</t>
  </si>
  <si>
    <t>0812700666101940</t>
  </si>
  <si>
    <t>0812700666101939</t>
  </si>
  <si>
    <t>Chandrawala</t>
  </si>
  <si>
    <t>0812700666101922</t>
  </si>
  <si>
    <t>0812700666101921</t>
  </si>
  <si>
    <t>LAKHSANIJA</t>
  </si>
  <si>
    <t>Lakh Saneeja</t>
  </si>
  <si>
    <t>0812700666101864</t>
  </si>
  <si>
    <t>Kunethiya</t>
  </si>
  <si>
    <t>0812700666101865</t>
  </si>
  <si>
    <t>Rampuria</t>
  </si>
  <si>
    <t>0812700666101862</t>
  </si>
  <si>
    <t>0812700666101863</t>
  </si>
  <si>
    <t>Fatahpur Khushk</t>
  </si>
  <si>
    <t>0812700666101847</t>
  </si>
  <si>
    <t>Kherli Khushk</t>
  </si>
  <si>
    <t>0812700666101848</t>
  </si>
  <si>
    <t>Kotrapura</t>
  </si>
  <si>
    <t>0812700666101849</t>
  </si>
  <si>
    <t>0812700666101858</t>
  </si>
  <si>
    <t>Kherli Shahran</t>
  </si>
  <si>
    <t>0812700666101861</t>
  </si>
  <si>
    <t>Bamoolya Ranmal</t>
  </si>
  <si>
    <t>0812700666101860</t>
  </si>
  <si>
    <t>0812700666101859</t>
  </si>
  <si>
    <t>Deewaniyan</t>
  </si>
  <si>
    <t>0812700666101855</t>
  </si>
  <si>
    <t>Neemoda Ujar</t>
  </si>
  <si>
    <t>0812700666101850</t>
  </si>
  <si>
    <t>Mangaheri</t>
  </si>
  <si>
    <t>0812700666101854</t>
  </si>
  <si>
    <t>Sangaheri</t>
  </si>
  <si>
    <t>0812700666101851</t>
  </si>
  <si>
    <t>Mohammad Pura</t>
  </si>
  <si>
    <t>0812700666101853</t>
  </si>
  <si>
    <t>Peeplda Samel</t>
  </si>
  <si>
    <t>0812700666101852</t>
  </si>
  <si>
    <t>MANDAWARA</t>
  </si>
  <si>
    <t>Mandawara</t>
  </si>
  <si>
    <t>0812700666101895</t>
  </si>
  <si>
    <t>MORPA</t>
  </si>
  <si>
    <t>0812700666101910</t>
  </si>
  <si>
    <t>Champa Khera</t>
  </si>
  <si>
    <t>0812700666101909</t>
  </si>
  <si>
    <t>Shahpura</t>
  </si>
  <si>
    <t>0812700666101912</t>
  </si>
  <si>
    <t>Borkhera</t>
  </si>
  <si>
    <t>0812700666101911</t>
  </si>
  <si>
    <t>MUNDLA</t>
  </si>
  <si>
    <t>Moondla</t>
  </si>
  <si>
    <t>0812700666101966</t>
  </si>
  <si>
    <t>Parliya</t>
  </si>
  <si>
    <t>0812700666101967</t>
  </si>
  <si>
    <t>Dagariya</t>
  </si>
  <si>
    <t>0812700666101969</t>
  </si>
  <si>
    <t>0812700666101965</t>
  </si>
  <si>
    <t>Nayagaon Ahiran</t>
  </si>
  <si>
    <t>0812700666101943</t>
  </si>
  <si>
    <t>NIMODA</t>
  </si>
  <si>
    <t>0812700666101919</t>
  </si>
  <si>
    <t>0812700666101923</t>
  </si>
  <si>
    <t>Onkarpura</t>
  </si>
  <si>
    <t>0812700666101920</t>
  </si>
  <si>
    <t>Chhiparda</t>
  </si>
  <si>
    <t>0812700666101918</t>
  </si>
  <si>
    <t>POLAI KALAN</t>
  </si>
  <si>
    <t>Polai Kalan</t>
  </si>
  <si>
    <t>0812700666101980</t>
  </si>
  <si>
    <t>Bargu</t>
  </si>
  <si>
    <t>0812700666101983</t>
  </si>
  <si>
    <t>Nohati</t>
  </si>
  <si>
    <t>0812700666101981</t>
  </si>
  <si>
    <t>Charheri</t>
  </si>
  <si>
    <t>0812700666101979</t>
  </si>
  <si>
    <t>Polai Khurd</t>
  </si>
  <si>
    <t>0812700666101978</t>
  </si>
  <si>
    <t>Char</t>
  </si>
  <si>
    <t>0812700666101968</t>
  </si>
  <si>
    <t>RAILGAON</t>
  </si>
  <si>
    <t>0812700666102014</t>
  </si>
  <si>
    <t>0812700666101892</t>
  </si>
  <si>
    <t>SAROLA</t>
  </si>
  <si>
    <t>0812700666101950</t>
  </si>
  <si>
    <t>Motikuan</t>
  </si>
  <si>
    <t>0812700666101955</t>
  </si>
  <si>
    <t>Darbiji</t>
  </si>
  <si>
    <t>0812700666101973</t>
  </si>
  <si>
    <t>Dabar</t>
  </si>
  <si>
    <t>0812700666101957</t>
  </si>
  <si>
    <t>Kachnawada</t>
  </si>
  <si>
    <t>0812700666101954</t>
  </si>
  <si>
    <t>SIMLIYA</t>
  </si>
  <si>
    <t>Seemalya</t>
  </si>
  <si>
    <t>0812700666101986</t>
  </si>
  <si>
    <t>Karariya</t>
  </si>
  <si>
    <t>0812700666101985</t>
  </si>
  <si>
    <t>Mandola</t>
  </si>
  <si>
    <t>0812700666101977</t>
  </si>
  <si>
    <t>0812700666101976</t>
  </si>
  <si>
    <t>Kalyanpura</t>
  </si>
  <si>
    <t>0812700666101971</t>
  </si>
  <si>
    <t>TAKARWADA</t>
  </si>
  <si>
    <t>Takarwara</t>
  </si>
  <si>
    <t>0812700666101871</t>
  </si>
  <si>
    <t>Narpatkheri</t>
  </si>
  <si>
    <t>0812700666101872</t>
  </si>
  <si>
    <t>jhadol</t>
  </si>
  <si>
    <t>0812700666101867</t>
  </si>
  <si>
    <t>Koomla Jageer</t>
  </si>
  <si>
    <t>0812700666101868</t>
  </si>
  <si>
    <t>Haripura @ Nayagaon</t>
  </si>
  <si>
    <t>0812700666101869</t>
  </si>
  <si>
    <t>TORAN</t>
  </si>
  <si>
    <t>Toran</t>
  </si>
  <si>
    <t>0812700666101934</t>
  </si>
  <si>
    <t>Ukalda</t>
  </si>
  <si>
    <t>0812700666101972</t>
  </si>
  <si>
    <t>Padasalya</t>
  </si>
  <si>
    <t>0812700666101960</t>
  </si>
  <si>
    <t>Mehandi</t>
  </si>
  <si>
    <t>0812700666101948</t>
  </si>
  <si>
    <t>0812700666101949</t>
  </si>
  <si>
    <t>21.2.2022</t>
  </si>
  <si>
    <t>.76.0678</t>
  </si>
  <si>
    <t>25 .09</t>
  </si>
  <si>
    <t>21.3.22</t>
  </si>
  <si>
    <t>22.3.22</t>
  </si>
  <si>
    <t>13.3.22</t>
  </si>
  <si>
    <t>.25.1746</t>
  </si>
  <si>
    <t>.76.110</t>
  </si>
  <si>
    <t>No</t>
  </si>
  <si>
    <t>41..72</t>
  </si>
  <si>
    <t>9,67</t>
  </si>
  <si>
    <t>6,85</t>
  </si>
  <si>
    <t>P1/L1</t>
  </si>
  <si>
    <t>P1/L2</t>
  </si>
  <si>
    <t>P2/L2</t>
  </si>
  <si>
    <t>P3/L3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</si>
</sst>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charset val="134"/>
      <scheme val="minor"/>
    </font>
    <font>
      <sz val="10"/>
      <color indexed="8"/>
      <name val="Arial"/>
      <family val="2"/>
    </font>
    <font>
      <sz val="10"/>
      <color theme="1"/>
      <name val="Tahoma"/>
      <family val="2"/>
    </font>
    <font>
      <sz val="11"/>
      <name val="Calibri"/>
      <charset val="134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99">
    <xf numFmtId="0" fontId="0" fillId="0" borderId="0" xfId="0"/>
    <xf numFmtId="0" fontId="2" fillId="2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0" fillId="2" borderId="1" xfId="0" applyNumberForma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14" fontId="0" fillId="2" borderId="1" xfId="0" applyNumberFormat="1" applyFill="1" applyBorder="1" applyAlignme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14" fontId="0" fillId="2" borderId="1" xfId="0" applyNumberFormat="1" applyFill="1" applyBorder="1"/>
    <xf numFmtId="15" fontId="0" fillId="2" borderId="1" xfId="0" applyNumberForma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8" fillId="2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2" borderId="1" xfId="0" applyNumberFormat="1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top"/>
    </xf>
    <xf numFmtId="0" fontId="10" fillId="2" borderId="1" xfId="0" applyNumberFormat="1" applyFont="1" applyFill="1" applyBorder="1" applyAlignment="1" applyProtection="1">
      <alignment horizontal="center" vertical="center" wrapText="1"/>
    </xf>
    <xf numFmtId="0" fontId="12" fillId="2" borderId="1" xfId="0" applyNumberFormat="1" applyFon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 applyProtection="1">
      <alignment horizontal="center" vertical="center" wrapText="1"/>
    </xf>
    <xf numFmtId="14" fontId="7" fillId="2" borderId="1" xfId="0" applyNumberFormat="1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left" vertical="top"/>
    </xf>
    <xf numFmtId="0" fontId="0" fillId="2" borderId="0" xfId="0" applyFill="1"/>
    <xf numFmtId="1" fontId="14" fillId="0" borderId="1" xfId="0" applyNumberFormat="1" applyFont="1" applyBorder="1"/>
    <xf numFmtId="0" fontId="0" fillId="0" borderId="0" xfId="0" applyBorder="1"/>
    <xf numFmtId="0" fontId="4" fillId="2" borderId="3" xfId="0" applyFont="1" applyFill="1" applyBorder="1" applyAlignment="1">
      <alignment horizontal="center" vertical="center"/>
    </xf>
    <xf numFmtId="0" fontId="0" fillId="0" borderId="3" xfId="0" applyBorder="1"/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7" fillId="2" borderId="3" xfId="0" applyNumberFormat="1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7" fillId="2" borderId="3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0" fontId="0" fillId="0" borderId="4" xfId="0" applyBorder="1"/>
    <xf numFmtId="0" fontId="0" fillId="0" borderId="5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 applyProtection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wrapText="1"/>
    </xf>
    <xf numFmtId="0" fontId="15" fillId="2" borderId="1" xfId="0" applyNumberFormat="1" applyFont="1" applyFill="1" applyBorder="1" applyAlignment="1">
      <alignment horizontal="center" wrapText="1"/>
    </xf>
    <xf numFmtId="0" fontId="15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2 2 2" xfId="1"/>
  </cellStyles>
  <dxfs count="4"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5"/>
  <sheetViews>
    <sheetView zoomScale="80" zoomScaleNormal="80" workbookViewId="0">
      <pane xSplit="4" ySplit="3" topLeftCell="P4" activePane="bottomRight" state="frozen"/>
      <selection pane="topRight" activeCell="E1" sqref="E1"/>
      <selection pane="bottomLeft" activeCell="A3" sqref="A3"/>
      <selection pane="bottomRight" activeCell="Q1" sqref="Q1:AE1"/>
    </sheetView>
  </sheetViews>
  <sheetFormatPr defaultRowHeight="15"/>
  <cols>
    <col min="3" max="3" width="16.140625" customWidth="1"/>
    <col min="4" max="4" width="18.42578125" customWidth="1"/>
    <col min="5" max="5" width="17.140625" customWidth="1"/>
    <col min="12" max="12" width="15.42578125" customWidth="1"/>
    <col min="14" max="14" width="14.85546875" customWidth="1"/>
    <col min="17" max="17" width="15.42578125" customWidth="1"/>
    <col min="18" max="18" width="12.85546875" customWidth="1"/>
    <col min="27" max="27" width="12" customWidth="1"/>
    <col min="31" max="31" width="13.42578125" customWidth="1"/>
  </cols>
  <sheetData>
    <row r="1" spans="1:31">
      <c r="Q1" s="92" t="s">
        <v>1953</v>
      </c>
      <c r="R1" s="92" t="s">
        <v>1953</v>
      </c>
      <c r="S1" s="92" t="s">
        <v>1954</v>
      </c>
      <c r="T1" s="93" t="s">
        <v>1955</v>
      </c>
      <c r="U1" s="92" t="s">
        <v>1955</v>
      </c>
      <c r="V1" s="92" t="s">
        <v>1955</v>
      </c>
      <c r="W1" s="92" t="s">
        <v>1955</v>
      </c>
      <c r="X1" s="92" t="s">
        <v>1955</v>
      </c>
      <c r="Y1" s="92" t="s">
        <v>1955</v>
      </c>
      <c r="Z1" s="94" t="s">
        <v>1956</v>
      </c>
      <c r="AA1" s="94" t="s">
        <v>1956</v>
      </c>
      <c r="AB1" s="94" t="s">
        <v>1956</v>
      </c>
      <c r="AC1" s="94" t="s">
        <v>1956</v>
      </c>
      <c r="AD1" s="94" t="s">
        <v>1956</v>
      </c>
      <c r="AE1" s="94" t="s">
        <v>1956</v>
      </c>
    </row>
    <row r="2" spans="1:31" ht="16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90" t="s">
        <v>10</v>
      </c>
      <c r="L2" s="90"/>
      <c r="M2" s="90" t="s">
        <v>11</v>
      </c>
      <c r="N2" s="90"/>
      <c r="O2" s="1" t="s">
        <v>12</v>
      </c>
      <c r="P2" s="1" t="s">
        <v>13</v>
      </c>
      <c r="Q2" s="3" t="s">
        <v>14</v>
      </c>
      <c r="R2" s="3" t="s">
        <v>15</v>
      </c>
      <c r="S2" s="1" t="s">
        <v>16</v>
      </c>
      <c r="T2" s="4" t="s">
        <v>17</v>
      </c>
      <c r="U2" s="1" t="s">
        <v>18</v>
      </c>
      <c r="V2" s="4" t="s">
        <v>19</v>
      </c>
      <c r="W2" s="1" t="s">
        <v>20</v>
      </c>
      <c r="X2" s="1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91" t="s">
        <v>27</v>
      </c>
      <c r="AE2" s="91"/>
    </row>
    <row r="3" spans="1:31" ht="30">
      <c r="A3" s="5"/>
      <c r="B3" s="5"/>
      <c r="C3" s="5"/>
      <c r="D3" s="5"/>
      <c r="E3" s="5"/>
      <c r="F3" s="5" t="s">
        <v>28</v>
      </c>
      <c r="G3" s="5" t="s">
        <v>29</v>
      </c>
      <c r="H3" s="5" t="s">
        <v>29</v>
      </c>
      <c r="I3" s="5" t="s">
        <v>29</v>
      </c>
      <c r="J3" s="5" t="s">
        <v>29</v>
      </c>
      <c r="K3" s="5" t="s">
        <v>29</v>
      </c>
      <c r="L3" s="6" t="s">
        <v>30</v>
      </c>
      <c r="M3" s="5"/>
      <c r="N3" s="6" t="s">
        <v>30</v>
      </c>
      <c r="O3" s="5" t="s">
        <v>28</v>
      </c>
      <c r="P3" s="5" t="s">
        <v>28</v>
      </c>
      <c r="Q3" s="5" t="s">
        <v>31</v>
      </c>
      <c r="R3" s="5" t="s">
        <v>32</v>
      </c>
      <c r="S3" s="5" t="s">
        <v>28</v>
      </c>
      <c r="T3" s="7" t="s">
        <v>28</v>
      </c>
      <c r="U3" s="5" t="s">
        <v>31</v>
      </c>
      <c r="V3" s="5" t="s">
        <v>31</v>
      </c>
      <c r="W3" s="7" t="s">
        <v>31</v>
      </c>
      <c r="X3" s="7" t="s">
        <v>31</v>
      </c>
      <c r="Y3" s="7" t="s">
        <v>28</v>
      </c>
      <c r="Z3" s="7" t="s">
        <v>31</v>
      </c>
      <c r="AA3" s="7" t="s">
        <v>31</v>
      </c>
      <c r="AB3" s="7" t="s">
        <v>28</v>
      </c>
      <c r="AC3" s="5" t="s">
        <v>33</v>
      </c>
      <c r="AD3" s="7" t="s">
        <v>34</v>
      </c>
      <c r="AE3" s="7" t="s">
        <v>35</v>
      </c>
    </row>
    <row r="4" spans="1:31">
      <c r="A4" s="8" t="s">
        <v>36</v>
      </c>
      <c r="B4" s="8" t="s">
        <v>1126</v>
      </c>
      <c r="C4" s="8" t="s">
        <v>1127</v>
      </c>
      <c r="D4" s="13" t="s">
        <v>1128</v>
      </c>
      <c r="E4" s="8" t="s">
        <v>1129</v>
      </c>
      <c r="F4" s="8">
        <v>350.08</v>
      </c>
      <c r="G4" s="8">
        <v>137</v>
      </c>
      <c r="H4" s="8">
        <v>622</v>
      </c>
      <c r="I4" s="8">
        <v>329</v>
      </c>
      <c r="J4" s="8">
        <v>293</v>
      </c>
      <c r="K4" s="8">
        <v>170</v>
      </c>
      <c r="L4" s="10">
        <f t="shared" ref="L4:L67" si="0">K4/H4*100</f>
        <v>27.331189710610932</v>
      </c>
      <c r="M4" s="8">
        <v>292</v>
      </c>
      <c r="N4" s="10">
        <f>M4/H4*100</f>
        <v>46.945337620578783</v>
      </c>
      <c r="O4" s="8">
        <v>27.94</v>
      </c>
      <c r="P4" s="8">
        <v>0</v>
      </c>
      <c r="Q4" s="13" t="s">
        <v>409</v>
      </c>
      <c r="R4" s="60" t="s">
        <v>1130</v>
      </c>
      <c r="S4" s="10" t="s">
        <v>432</v>
      </c>
      <c r="T4" s="13">
        <v>27.94</v>
      </c>
      <c r="U4" s="10"/>
      <c r="V4" s="10"/>
      <c r="W4" s="10"/>
      <c r="X4" s="10"/>
      <c r="Y4" s="10"/>
      <c r="Z4" s="10"/>
      <c r="AA4" s="10" t="s">
        <v>408</v>
      </c>
      <c r="AB4" s="17">
        <v>20</v>
      </c>
      <c r="AC4" s="10"/>
      <c r="AD4" s="69">
        <v>24.843945999999999</v>
      </c>
      <c r="AE4" s="13">
        <v>76.273122000000001</v>
      </c>
    </row>
    <row r="5" spans="1:31">
      <c r="A5" s="8" t="s">
        <v>36</v>
      </c>
      <c r="B5" s="8" t="s">
        <v>1126</v>
      </c>
      <c r="C5" s="8" t="s">
        <v>1127</v>
      </c>
      <c r="D5" s="13" t="s">
        <v>1131</v>
      </c>
      <c r="E5" s="8" t="s">
        <v>1132</v>
      </c>
      <c r="F5" s="8">
        <v>482</v>
      </c>
      <c r="G5" s="8">
        <v>197</v>
      </c>
      <c r="H5" s="8">
        <v>956</v>
      </c>
      <c r="I5" s="8">
        <v>473</v>
      </c>
      <c r="J5" s="8">
        <v>483</v>
      </c>
      <c r="K5" s="8">
        <v>0</v>
      </c>
      <c r="L5" s="10">
        <f t="shared" si="0"/>
        <v>0</v>
      </c>
      <c r="M5" s="8">
        <v>0</v>
      </c>
      <c r="N5" s="10">
        <f t="shared" ref="N5:N68" si="1">M5/H5*100</f>
        <v>0</v>
      </c>
      <c r="O5" s="8">
        <v>41</v>
      </c>
      <c r="P5" s="8">
        <v>0</v>
      </c>
      <c r="Q5" s="13" t="s">
        <v>409</v>
      </c>
      <c r="R5" s="60" t="s">
        <v>1130</v>
      </c>
      <c r="S5" s="13"/>
      <c r="T5" s="13">
        <v>25.21</v>
      </c>
      <c r="U5" s="13"/>
      <c r="V5" s="10"/>
      <c r="W5" s="10"/>
      <c r="X5" s="10"/>
      <c r="Y5" s="10"/>
      <c r="Z5" s="10"/>
      <c r="AA5" s="10" t="s">
        <v>408</v>
      </c>
      <c r="AB5" s="17">
        <v>15</v>
      </c>
      <c r="AC5" s="10"/>
      <c r="AD5" s="69">
        <v>24.815280000000001</v>
      </c>
      <c r="AE5" s="13">
        <v>76.282190999999997</v>
      </c>
    </row>
    <row r="6" spans="1:31">
      <c r="A6" s="8" t="s">
        <v>36</v>
      </c>
      <c r="B6" s="8" t="s">
        <v>1126</v>
      </c>
      <c r="C6" s="8" t="s">
        <v>1127</v>
      </c>
      <c r="D6" s="13" t="s">
        <v>1133</v>
      </c>
      <c r="E6" s="8" t="s">
        <v>1134</v>
      </c>
      <c r="F6" s="8">
        <v>212.73</v>
      </c>
      <c r="G6" s="8">
        <v>120</v>
      </c>
      <c r="H6" s="8">
        <v>624</v>
      </c>
      <c r="I6" s="8">
        <v>301</v>
      </c>
      <c r="J6" s="8">
        <v>323</v>
      </c>
      <c r="K6" s="8">
        <v>191</v>
      </c>
      <c r="L6" s="10">
        <f t="shared" si="0"/>
        <v>30.608974358974361</v>
      </c>
      <c r="M6" s="8">
        <v>138</v>
      </c>
      <c r="N6" s="10">
        <f t="shared" si="1"/>
        <v>22.115384615384613</v>
      </c>
      <c r="O6" s="8">
        <v>3.63</v>
      </c>
      <c r="P6" s="8">
        <v>0</v>
      </c>
      <c r="Q6" s="13" t="s">
        <v>409</v>
      </c>
      <c r="R6" s="60" t="s">
        <v>1130</v>
      </c>
      <c r="S6" s="13"/>
      <c r="T6" s="13">
        <v>0.69</v>
      </c>
      <c r="U6" s="13"/>
      <c r="V6" s="10"/>
      <c r="W6" s="10"/>
      <c r="X6" s="10"/>
      <c r="Y6" s="10"/>
      <c r="Z6" s="10"/>
      <c r="AA6" s="10" t="s">
        <v>408</v>
      </c>
      <c r="AB6" s="17">
        <v>0.69</v>
      </c>
      <c r="AC6" s="10"/>
      <c r="AD6" s="69">
        <v>24.841336999999999</v>
      </c>
      <c r="AE6" s="13">
        <v>76.271741000000006</v>
      </c>
    </row>
    <row r="7" spans="1:31">
      <c r="A7" s="8" t="s">
        <v>36</v>
      </c>
      <c r="B7" s="8" t="s">
        <v>1126</v>
      </c>
      <c r="C7" s="8" t="s">
        <v>1127</v>
      </c>
      <c r="D7" s="13" t="s">
        <v>1135</v>
      </c>
      <c r="E7" s="8" t="s">
        <v>1136</v>
      </c>
      <c r="F7" s="8">
        <v>95.36</v>
      </c>
      <c r="G7" s="8">
        <v>28</v>
      </c>
      <c r="H7" s="8">
        <v>151</v>
      </c>
      <c r="I7" s="8">
        <v>85</v>
      </c>
      <c r="J7" s="8">
        <v>66</v>
      </c>
      <c r="K7" s="8">
        <v>55</v>
      </c>
      <c r="L7" s="10">
        <f t="shared" si="0"/>
        <v>36.423841059602644</v>
      </c>
      <c r="M7" s="8">
        <v>24</v>
      </c>
      <c r="N7" s="10">
        <f t="shared" si="1"/>
        <v>15.894039735099339</v>
      </c>
      <c r="O7" s="8">
        <v>1.5</v>
      </c>
      <c r="P7" s="8">
        <v>0</v>
      </c>
      <c r="Q7" s="13" t="s">
        <v>409</v>
      </c>
      <c r="R7" s="60" t="s">
        <v>1130</v>
      </c>
      <c r="S7" s="13"/>
      <c r="T7" s="13">
        <v>3.43</v>
      </c>
      <c r="U7" s="13"/>
      <c r="V7" s="10"/>
      <c r="W7" s="10"/>
      <c r="X7" s="10"/>
      <c r="Y7" s="10"/>
      <c r="Z7" s="10"/>
      <c r="AA7" s="10" t="s">
        <v>408</v>
      </c>
      <c r="AB7" s="17">
        <v>3.43</v>
      </c>
      <c r="AC7" s="10"/>
      <c r="AD7" s="69">
        <v>24.830494000000002</v>
      </c>
      <c r="AE7" s="13">
        <v>76.270847000000003</v>
      </c>
    </row>
    <row r="8" spans="1:31">
      <c r="A8" s="8" t="s">
        <v>36</v>
      </c>
      <c r="B8" s="8" t="s">
        <v>1126</v>
      </c>
      <c r="C8" s="8" t="s">
        <v>1127</v>
      </c>
      <c r="D8" s="13" t="s">
        <v>1137</v>
      </c>
      <c r="E8" s="8" t="s">
        <v>1138</v>
      </c>
      <c r="F8" s="8">
        <v>209.92</v>
      </c>
      <c r="G8" s="8">
        <v>46</v>
      </c>
      <c r="H8" s="8">
        <v>227</v>
      </c>
      <c r="I8" s="8">
        <v>124</v>
      </c>
      <c r="J8" s="8">
        <v>103</v>
      </c>
      <c r="K8" s="8">
        <v>86</v>
      </c>
      <c r="L8" s="10">
        <f t="shared" si="0"/>
        <v>37.885462555066077</v>
      </c>
      <c r="M8" s="8">
        <v>0</v>
      </c>
      <c r="N8" s="10">
        <f t="shared" si="1"/>
        <v>0</v>
      </c>
      <c r="O8" s="8">
        <v>1.17</v>
      </c>
      <c r="P8" s="8">
        <v>0</v>
      </c>
      <c r="Q8" s="13" t="s">
        <v>409</v>
      </c>
      <c r="R8" s="60" t="s">
        <v>1130</v>
      </c>
      <c r="S8" s="13"/>
      <c r="T8" s="13">
        <v>4.7300000000000004</v>
      </c>
      <c r="U8" s="13"/>
      <c r="V8" s="10"/>
      <c r="W8" s="10"/>
      <c r="X8" s="10"/>
      <c r="Y8" s="10"/>
      <c r="Z8" s="10"/>
      <c r="AA8" s="10" t="s">
        <v>408</v>
      </c>
      <c r="AB8" s="17">
        <v>4</v>
      </c>
      <c r="AC8" s="10"/>
      <c r="AD8" s="69">
        <v>24.846104</v>
      </c>
      <c r="AE8" s="13">
        <v>76.267206999999999</v>
      </c>
    </row>
    <row r="9" spans="1:31">
      <c r="A9" s="8" t="s">
        <v>36</v>
      </c>
      <c r="B9" s="8" t="s">
        <v>1126</v>
      </c>
      <c r="C9" s="8" t="s">
        <v>1127</v>
      </c>
      <c r="D9" s="13" t="s">
        <v>1139</v>
      </c>
      <c r="E9" s="8" t="s">
        <v>1140</v>
      </c>
      <c r="F9" s="8">
        <v>65.040000000000006</v>
      </c>
      <c r="G9" s="8">
        <v>9</v>
      </c>
      <c r="H9" s="8">
        <v>74</v>
      </c>
      <c r="I9" s="8">
        <v>36</v>
      </c>
      <c r="J9" s="8">
        <v>38</v>
      </c>
      <c r="K9" s="8">
        <v>0</v>
      </c>
      <c r="L9" s="10">
        <f t="shared" si="0"/>
        <v>0</v>
      </c>
      <c r="M9" s="8">
        <v>74</v>
      </c>
      <c r="N9" s="10">
        <f t="shared" si="1"/>
        <v>100</v>
      </c>
      <c r="O9" s="8">
        <v>4.46</v>
      </c>
      <c r="P9" s="8">
        <v>0</v>
      </c>
      <c r="Q9" s="13" t="s">
        <v>409</v>
      </c>
      <c r="R9" s="60" t="s">
        <v>1130</v>
      </c>
      <c r="S9" s="13"/>
      <c r="T9" s="13">
        <v>69.95</v>
      </c>
      <c r="U9" s="13"/>
      <c r="V9" s="10"/>
      <c r="W9" s="10"/>
      <c r="X9" s="10"/>
      <c r="Y9" s="10"/>
      <c r="Z9" s="10"/>
      <c r="AA9" s="10" t="s">
        <v>408</v>
      </c>
      <c r="AB9" s="17">
        <v>40</v>
      </c>
      <c r="AC9" s="10"/>
      <c r="AD9" s="69">
        <v>24.842478</v>
      </c>
      <c r="AE9" s="13">
        <v>76.220140999999998</v>
      </c>
    </row>
    <row r="10" spans="1:31">
      <c r="A10" s="8" t="s">
        <v>36</v>
      </c>
      <c r="B10" s="8" t="s">
        <v>1126</v>
      </c>
      <c r="C10" s="8" t="s">
        <v>1127</v>
      </c>
      <c r="D10" s="13" t="s">
        <v>1141</v>
      </c>
      <c r="E10" s="8" t="s">
        <v>1142</v>
      </c>
      <c r="F10" s="8">
        <v>1203</v>
      </c>
      <c r="G10" s="8">
        <v>297</v>
      </c>
      <c r="H10" s="8">
        <v>1601</v>
      </c>
      <c r="I10" s="8">
        <v>821</v>
      </c>
      <c r="J10" s="8">
        <v>780</v>
      </c>
      <c r="K10" s="8">
        <v>223</v>
      </c>
      <c r="L10" s="10">
        <f t="shared" si="0"/>
        <v>13.928794503435352</v>
      </c>
      <c r="M10" s="8">
        <v>2</v>
      </c>
      <c r="N10" s="10">
        <f t="shared" si="1"/>
        <v>0.12492192379762648</v>
      </c>
      <c r="O10" s="8">
        <v>89</v>
      </c>
      <c r="P10" s="8">
        <v>0</v>
      </c>
      <c r="Q10" s="13" t="s">
        <v>409</v>
      </c>
      <c r="R10" s="60" t="s">
        <v>1130</v>
      </c>
      <c r="S10" s="13"/>
      <c r="T10" s="13">
        <v>1.17</v>
      </c>
      <c r="U10" s="13"/>
      <c r="V10" s="10"/>
      <c r="W10" s="10"/>
      <c r="X10" s="10"/>
      <c r="Y10" s="10"/>
      <c r="Z10" s="10"/>
      <c r="AA10" s="10" t="s">
        <v>408</v>
      </c>
      <c r="AB10" s="17">
        <v>1</v>
      </c>
      <c r="AC10" s="10"/>
      <c r="AD10" s="69">
        <v>24.817502000000001</v>
      </c>
      <c r="AE10" s="13">
        <v>76.283542999999995</v>
      </c>
    </row>
    <row r="11" spans="1:31">
      <c r="A11" s="8" t="s">
        <v>36</v>
      </c>
      <c r="B11" s="8" t="s">
        <v>1126</v>
      </c>
      <c r="C11" s="8" t="s">
        <v>1143</v>
      </c>
      <c r="D11" s="9" t="s">
        <v>1144</v>
      </c>
      <c r="E11" s="8" t="s">
        <v>1145</v>
      </c>
      <c r="F11" s="8">
        <v>1445</v>
      </c>
      <c r="G11" s="8">
        <v>876</v>
      </c>
      <c r="H11" s="8">
        <v>4364</v>
      </c>
      <c r="I11" s="8">
        <v>2218</v>
      </c>
      <c r="J11" s="8">
        <v>2146</v>
      </c>
      <c r="K11" s="8">
        <v>679</v>
      </c>
      <c r="L11" s="10">
        <f t="shared" si="0"/>
        <v>15.559120073327223</v>
      </c>
      <c r="M11" s="8">
        <v>38</v>
      </c>
      <c r="N11" s="10">
        <f t="shared" si="1"/>
        <v>0.87076076993583862</v>
      </c>
      <c r="O11" s="8">
        <v>0</v>
      </c>
      <c r="P11" s="8">
        <v>3</v>
      </c>
      <c r="Q11" s="10"/>
      <c r="R11" s="10"/>
      <c r="S11" s="13"/>
      <c r="T11" s="10"/>
      <c r="U11" s="13"/>
      <c r="V11" s="10"/>
      <c r="W11" s="10"/>
      <c r="X11" s="10"/>
      <c r="Y11" s="10"/>
      <c r="Z11" s="10"/>
      <c r="AA11" s="10" t="s">
        <v>1949</v>
      </c>
      <c r="AB11" s="10"/>
      <c r="AC11" s="10"/>
      <c r="AD11" s="70"/>
      <c r="AE11" s="10"/>
    </row>
    <row r="12" spans="1:31">
      <c r="A12" s="8" t="s">
        <v>36</v>
      </c>
      <c r="B12" s="8" t="s">
        <v>1126</v>
      </c>
      <c r="C12" s="8" t="s">
        <v>1146</v>
      </c>
      <c r="D12" s="15" t="s">
        <v>1147</v>
      </c>
      <c r="E12" s="8" t="s">
        <v>1148</v>
      </c>
      <c r="F12" s="8">
        <v>506</v>
      </c>
      <c r="G12" s="8">
        <v>242</v>
      </c>
      <c r="H12" s="8">
        <v>1307</v>
      </c>
      <c r="I12" s="8">
        <v>666</v>
      </c>
      <c r="J12" s="8">
        <v>641</v>
      </c>
      <c r="K12" s="8">
        <v>462</v>
      </c>
      <c r="L12" s="10">
        <f t="shared" si="0"/>
        <v>35.348125478194333</v>
      </c>
      <c r="M12" s="8">
        <v>4</v>
      </c>
      <c r="N12" s="10">
        <f t="shared" si="1"/>
        <v>0.30604437643458299</v>
      </c>
      <c r="O12" s="8">
        <v>49</v>
      </c>
      <c r="P12" s="8">
        <v>0</v>
      </c>
      <c r="Q12" s="13" t="s">
        <v>408</v>
      </c>
      <c r="R12" s="11" t="s">
        <v>1149</v>
      </c>
      <c r="S12" s="13"/>
      <c r="T12" s="12">
        <v>49</v>
      </c>
      <c r="U12" s="13"/>
      <c r="V12" s="10"/>
      <c r="W12" s="10"/>
      <c r="X12" s="10"/>
      <c r="Y12" s="10"/>
      <c r="Z12" s="10"/>
      <c r="AA12" s="10" t="s">
        <v>408</v>
      </c>
      <c r="AB12" s="16">
        <v>33</v>
      </c>
      <c r="AC12" s="10"/>
      <c r="AD12" s="71">
        <v>24.947686000000001</v>
      </c>
      <c r="AE12" s="11">
        <v>76.157501999999994</v>
      </c>
    </row>
    <row r="13" spans="1:31">
      <c r="A13" s="8" t="s">
        <v>36</v>
      </c>
      <c r="B13" s="8" t="s">
        <v>1126</v>
      </c>
      <c r="C13" s="8" t="s">
        <v>1146</v>
      </c>
      <c r="D13" s="15" t="s">
        <v>1150</v>
      </c>
      <c r="E13" s="8" t="s">
        <v>1151</v>
      </c>
      <c r="F13" s="8">
        <v>381</v>
      </c>
      <c r="G13" s="8">
        <v>92</v>
      </c>
      <c r="H13" s="8">
        <v>532</v>
      </c>
      <c r="I13" s="8">
        <v>264</v>
      </c>
      <c r="J13" s="8">
        <v>268</v>
      </c>
      <c r="K13" s="8">
        <v>146</v>
      </c>
      <c r="L13" s="10">
        <f t="shared" si="0"/>
        <v>27.443609022556391</v>
      </c>
      <c r="M13" s="8">
        <v>9</v>
      </c>
      <c r="N13" s="10">
        <f t="shared" si="1"/>
        <v>1.6917293233082706</v>
      </c>
      <c r="O13" s="8">
        <v>18</v>
      </c>
      <c r="P13" s="8">
        <v>0</v>
      </c>
      <c r="Q13" s="13" t="s">
        <v>408</v>
      </c>
      <c r="R13" s="11" t="s">
        <v>1149</v>
      </c>
      <c r="S13" s="13"/>
      <c r="T13" s="12">
        <v>18</v>
      </c>
      <c r="U13" s="13"/>
      <c r="V13" s="10"/>
      <c r="W13" s="10"/>
      <c r="X13" s="10"/>
      <c r="Y13" s="10"/>
      <c r="Z13" s="10"/>
      <c r="AA13" s="10" t="s">
        <v>408</v>
      </c>
      <c r="AB13" s="16">
        <v>12</v>
      </c>
      <c r="AC13" s="10"/>
      <c r="AD13" s="71">
        <v>24.933302000000001</v>
      </c>
      <c r="AE13" s="11">
        <v>76.167877000000004</v>
      </c>
    </row>
    <row r="14" spans="1:31">
      <c r="A14" s="8" t="s">
        <v>36</v>
      </c>
      <c r="B14" s="8" t="s">
        <v>1126</v>
      </c>
      <c r="C14" s="8" t="s">
        <v>1146</v>
      </c>
      <c r="D14" s="15" t="s">
        <v>1150</v>
      </c>
      <c r="E14" s="8"/>
      <c r="F14" s="8"/>
      <c r="G14" s="8"/>
      <c r="H14" s="8"/>
      <c r="I14" s="8"/>
      <c r="J14" s="8"/>
      <c r="K14" s="8"/>
      <c r="L14" s="10" t="e">
        <f t="shared" si="0"/>
        <v>#DIV/0!</v>
      </c>
      <c r="M14" s="8"/>
      <c r="N14" s="10" t="e">
        <f t="shared" si="1"/>
        <v>#DIV/0!</v>
      </c>
      <c r="O14" s="8"/>
      <c r="P14" s="8"/>
      <c r="Q14" s="51" t="s">
        <v>586</v>
      </c>
      <c r="R14" s="18"/>
      <c r="S14" s="13"/>
      <c r="T14" s="12">
        <v>15</v>
      </c>
      <c r="U14" s="13"/>
      <c r="V14" s="10"/>
      <c r="W14" s="10"/>
      <c r="X14" s="10"/>
      <c r="Y14" s="10"/>
      <c r="Z14" s="10"/>
      <c r="AA14" s="10" t="s">
        <v>408</v>
      </c>
      <c r="AB14" s="16">
        <v>15</v>
      </c>
      <c r="AC14" s="10"/>
      <c r="AD14" s="72"/>
      <c r="AE14" s="18"/>
    </row>
    <row r="15" spans="1:31">
      <c r="A15" s="8" t="s">
        <v>36</v>
      </c>
      <c r="B15" s="8" t="s">
        <v>1126</v>
      </c>
      <c r="C15" s="8" t="s">
        <v>1146</v>
      </c>
      <c r="D15" s="15" t="s">
        <v>1150</v>
      </c>
      <c r="E15" s="8"/>
      <c r="F15" s="8"/>
      <c r="G15" s="8"/>
      <c r="H15" s="8"/>
      <c r="I15" s="8"/>
      <c r="J15" s="8"/>
      <c r="K15" s="8"/>
      <c r="L15" s="10" t="e">
        <f t="shared" si="0"/>
        <v>#DIV/0!</v>
      </c>
      <c r="M15" s="8"/>
      <c r="N15" s="10" t="e">
        <f t="shared" si="1"/>
        <v>#DIV/0!</v>
      </c>
      <c r="O15" s="8"/>
      <c r="P15" s="8"/>
      <c r="Q15" s="18"/>
      <c r="R15" s="18"/>
      <c r="S15" s="13"/>
      <c r="T15" s="12">
        <v>5</v>
      </c>
      <c r="U15" s="13"/>
      <c r="V15" s="10"/>
      <c r="W15" s="10"/>
      <c r="X15" s="10"/>
      <c r="Y15" s="10"/>
      <c r="Z15" s="10"/>
      <c r="AA15" s="10" t="s">
        <v>408</v>
      </c>
      <c r="AB15" s="16">
        <v>2</v>
      </c>
      <c r="AC15" s="10"/>
      <c r="AD15" s="71">
        <v>24.933302000000001</v>
      </c>
      <c r="AE15" s="11">
        <v>76.167877000000004</v>
      </c>
    </row>
    <row r="16" spans="1:31">
      <c r="A16" s="8" t="s">
        <v>36</v>
      </c>
      <c r="B16" s="8" t="s">
        <v>1126</v>
      </c>
      <c r="C16" s="8" t="s">
        <v>1146</v>
      </c>
      <c r="D16" s="15" t="s">
        <v>1152</v>
      </c>
      <c r="E16" s="8" t="s">
        <v>1153</v>
      </c>
      <c r="F16" s="8">
        <v>272</v>
      </c>
      <c r="G16" s="8">
        <v>82</v>
      </c>
      <c r="H16" s="8">
        <v>508</v>
      </c>
      <c r="I16" s="8">
        <v>272</v>
      </c>
      <c r="J16" s="8">
        <v>236</v>
      </c>
      <c r="K16" s="8">
        <v>94</v>
      </c>
      <c r="L16" s="10">
        <f t="shared" si="0"/>
        <v>18.503937007874015</v>
      </c>
      <c r="M16" s="8">
        <v>18</v>
      </c>
      <c r="N16" s="10">
        <f t="shared" si="1"/>
        <v>3.5433070866141732</v>
      </c>
      <c r="O16" s="8">
        <v>15</v>
      </c>
      <c r="P16" s="8">
        <v>0</v>
      </c>
      <c r="Q16" s="13" t="s">
        <v>408</v>
      </c>
      <c r="R16" s="11" t="s">
        <v>1149</v>
      </c>
      <c r="S16" s="13"/>
      <c r="T16" s="12">
        <v>0</v>
      </c>
      <c r="U16" s="13"/>
      <c r="V16" s="10"/>
      <c r="W16" s="10"/>
      <c r="X16" s="10"/>
      <c r="Y16" s="10"/>
      <c r="Z16" s="10"/>
      <c r="AA16" s="10" t="s">
        <v>408</v>
      </c>
      <c r="AB16" s="16"/>
      <c r="AC16" s="10"/>
      <c r="AD16" s="71">
        <v>24.966737999999999</v>
      </c>
      <c r="AE16" s="11">
        <v>76.159188999999998</v>
      </c>
    </row>
    <row r="17" spans="1:31">
      <c r="A17" s="8" t="s">
        <v>36</v>
      </c>
      <c r="B17" s="8" t="s">
        <v>1126</v>
      </c>
      <c r="C17" s="8" t="s">
        <v>1146</v>
      </c>
      <c r="D17" s="15" t="s">
        <v>1154</v>
      </c>
      <c r="E17" s="8" t="s">
        <v>1155</v>
      </c>
      <c r="F17" s="8">
        <v>164</v>
      </c>
      <c r="G17" s="8">
        <v>56</v>
      </c>
      <c r="H17" s="8">
        <v>336</v>
      </c>
      <c r="I17" s="8">
        <v>177</v>
      </c>
      <c r="J17" s="8">
        <v>159</v>
      </c>
      <c r="K17" s="8">
        <v>38</v>
      </c>
      <c r="L17" s="10">
        <f t="shared" si="0"/>
        <v>11.30952380952381</v>
      </c>
      <c r="M17" s="8">
        <v>65</v>
      </c>
      <c r="N17" s="10">
        <f t="shared" si="1"/>
        <v>19.345238095238095</v>
      </c>
      <c r="O17" s="8">
        <v>5</v>
      </c>
      <c r="P17" s="8">
        <v>0</v>
      </c>
      <c r="Q17" s="13" t="s">
        <v>408</v>
      </c>
      <c r="R17" s="11" t="s">
        <v>1149</v>
      </c>
      <c r="S17" s="13"/>
      <c r="T17" s="12">
        <v>5</v>
      </c>
      <c r="U17" s="13"/>
      <c r="V17" s="10"/>
      <c r="W17" s="10"/>
      <c r="X17" s="10"/>
      <c r="Y17" s="10"/>
      <c r="Z17" s="10"/>
      <c r="AA17" s="10" t="s">
        <v>408</v>
      </c>
      <c r="AB17" s="16">
        <v>5</v>
      </c>
      <c r="AC17" s="10"/>
      <c r="AD17" s="71">
        <v>24.960094999999999</v>
      </c>
      <c r="AE17" s="11">
        <v>76.139758</v>
      </c>
    </row>
    <row r="18" spans="1:31">
      <c r="A18" s="8" t="s">
        <v>36</v>
      </c>
      <c r="B18" s="8" t="s">
        <v>1126</v>
      </c>
      <c r="C18" s="8" t="s">
        <v>1146</v>
      </c>
      <c r="D18" s="15" t="s">
        <v>1156</v>
      </c>
      <c r="E18" s="8" t="s">
        <v>1157</v>
      </c>
      <c r="F18" s="8">
        <v>451</v>
      </c>
      <c r="G18" s="8">
        <v>97</v>
      </c>
      <c r="H18" s="8">
        <v>481</v>
      </c>
      <c r="I18" s="8">
        <v>229</v>
      </c>
      <c r="J18" s="8">
        <v>252</v>
      </c>
      <c r="K18" s="8">
        <v>174</v>
      </c>
      <c r="L18" s="10">
        <f t="shared" si="0"/>
        <v>36.174636174636177</v>
      </c>
      <c r="M18" s="8">
        <v>108</v>
      </c>
      <c r="N18" s="10">
        <f t="shared" si="1"/>
        <v>22.453222453222455</v>
      </c>
      <c r="O18" s="8">
        <v>0</v>
      </c>
      <c r="P18" s="8">
        <v>110</v>
      </c>
      <c r="Q18" s="13" t="s">
        <v>408</v>
      </c>
      <c r="R18" s="11" t="s">
        <v>1149</v>
      </c>
      <c r="S18" s="13"/>
      <c r="T18" s="12">
        <v>3</v>
      </c>
      <c r="U18" s="13"/>
      <c r="V18" s="10"/>
      <c r="W18" s="10"/>
      <c r="X18" s="10"/>
      <c r="Y18" s="10"/>
      <c r="Z18" s="10"/>
      <c r="AA18" s="10" t="s">
        <v>408</v>
      </c>
      <c r="AB18" s="16">
        <v>3</v>
      </c>
      <c r="AC18" s="10"/>
      <c r="AD18" s="69" t="s">
        <v>410</v>
      </c>
      <c r="AE18" s="13" t="s">
        <v>410</v>
      </c>
    </row>
    <row r="19" spans="1:31">
      <c r="A19" s="8" t="s">
        <v>36</v>
      </c>
      <c r="B19" s="8" t="s">
        <v>1126</v>
      </c>
      <c r="C19" s="8" t="s">
        <v>1146</v>
      </c>
      <c r="D19" s="15" t="s">
        <v>1158</v>
      </c>
      <c r="E19" s="8" t="s">
        <v>1159</v>
      </c>
      <c r="F19" s="8">
        <v>191</v>
      </c>
      <c r="G19" s="8">
        <v>90</v>
      </c>
      <c r="H19" s="8">
        <v>468</v>
      </c>
      <c r="I19" s="8">
        <v>233</v>
      </c>
      <c r="J19" s="8">
        <v>235</v>
      </c>
      <c r="K19" s="8">
        <v>174</v>
      </c>
      <c r="L19" s="10">
        <f t="shared" si="0"/>
        <v>37.179487179487182</v>
      </c>
      <c r="M19" s="8">
        <v>61</v>
      </c>
      <c r="N19" s="10">
        <f t="shared" si="1"/>
        <v>13.034188034188036</v>
      </c>
      <c r="O19" s="8">
        <v>5</v>
      </c>
      <c r="P19" s="8">
        <v>0</v>
      </c>
      <c r="Q19" s="13" t="s">
        <v>408</v>
      </c>
      <c r="R19" s="11" t="s">
        <v>1149</v>
      </c>
      <c r="S19" s="13"/>
      <c r="T19" s="33">
        <v>121</v>
      </c>
      <c r="U19" s="13"/>
      <c r="V19" s="10"/>
      <c r="W19" s="10"/>
      <c r="X19" s="10"/>
      <c r="Y19" s="10"/>
      <c r="Z19" s="10"/>
      <c r="AA19" s="10" t="s">
        <v>408</v>
      </c>
      <c r="AB19" s="33">
        <v>15</v>
      </c>
      <c r="AC19" s="10"/>
      <c r="AD19" s="71">
        <v>24.969719000000001</v>
      </c>
      <c r="AE19" s="11">
        <v>76.135110999999995</v>
      </c>
    </row>
    <row r="20" spans="1:31">
      <c r="A20" s="8" t="s">
        <v>36</v>
      </c>
      <c r="B20" s="8" t="s">
        <v>1126</v>
      </c>
      <c r="C20" s="8" t="s">
        <v>1146</v>
      </c>
      <c r="D20" s="15" t="s">
        <v>1160</v>
      </c>
      <c r="E20" s="8" t="s">
        <v>1161</v>
      </c>
      <c r="F20" s="8">
        <v>233</v>
      </c>
      <c r="G20" s="8">
        <v>73</v>
      </c>
      <c r="H20" s="8">
        <v>407</v>
      </c>
      <c r="I20" s="8">
        <v>203</v>
      </c>
      <c r="J20" s="8">
        <v>204</v>
      </c>
      <c r="K20" s="8">
        <v>133</v>
      </c>
      <c r="L20" s="10">
        <f t="shared" si="0"/>
        <v>32.678132678132677</v>
      </c>
      <c r="M20" s="8">
        <v>9</v>
      </c>
      <c r="N20" s="10">
        <f t="shared" si="1"/>
        <v>2.2113022113022112</v>
      </c>
      <c r="O20" s="8">
        <v>3</v>
      </c>
      <c r="P20" s="8">
        <v>30</v>
      </c>
      <c r="Q20" s="13" t="s">
        <v>408</v>
      </c>
      <c r="R20" s="20">
        <v>45342</v>
      </c>
      <c r="S20" s="13"/>
      <c r="T20" s="13">
        <v>8.49</v>
      </c>
      <c r="U20" s="13"/>
      <c r="V20" s="10"/>
      <c r="W20" s="10"/>
      <c r="X20" s="10"/>
      <c r="Y20" s="10"/>
      <c r="Z20" s="10"/>
      <c r="AA20" s="10" t="s">
        <v>408</v>
      </c>
      <c r="AB20" s="13">
        <v>4</v>
      </c>
      <c r="AC20" s="10"/>
      <c r="AD20" s="71">
        <v>24.974651999999999</v>
      </c>
      <c r="AE20" s="11">
        <v>76.156720000000007</v>
      </c>
    </row>
    <row r="21" spans="1:31">
      <c r="A21" s="8" t="s">
        <v>36</v>
      </c>
      <c r="B21" s="8" t="s">
        <v>1126</v>
      </c>
      <c r="C21" s="8" t="s">
        <v>1162</v>
      </c>
      <c r="D21" s="9" t="s">
        <v>1163</v>
      </c>
      <c r="E21" s="8" t="s">
        <v>1164</v>
      </c>
      <c r="F21" s="8">
        <v>1374.96</v>
      </c>
      <c r="G21" s="8">
        <v>1416</v>
      </c>
      <c r="H21" s="8">
        <v>7170</v>
      </c>
      <c r="I21" s="8">
        <v>3729</v>
      </c>
      <c r="J21" s="8">
        <v>3441</v>
      </c>
      <c r="K21" s="8">
        <v>1310</v>
      </c>
      <c r="L21" s="10">
        <f t="shared" si="0"/>
        <v>18.270571827057182</v>
      </c>
      <c r="M21" s="8">
        <v>357</v>
      </c>
      <c r="N21" s="10">
        <f t="shared" si="1"/>
        <v>4.97907949790795</v>
      </c>
      <c r="O21" s="8">
        <v>123.51</v>
      </c>
      <c r="P21" s="8">
        <v>0</v>
      </c>
      <c r="Q21" s="33" t="s">
        <v>409</v>
      </c>
      <c r="R21" s="61">
        <v>44747</v>
      </c>
      <c r="S21" s="13"/>
      <c r="T21" s="13">
        <v>10.199999999999999</v>
      </c>
      <c r="U21" s="13" t="s">
        <v>408</v>
      </c>
      <c r="V21" s="10"/>
      <c r="W21" s="10"/>
      <c r="X21" s="10"/>
      <c r="Y21" s="10"/>
      <c r="Z21" s="10"/>
      <c r="AA21" s="10" t="s">
        <v>408</v>
      </c>
      <c r="AB21" s="13">
        <v>6</v>
      </c>
      <c r="AC21" s="10"/>
      <c r="AD21" s="73">
        <v>24.922405999999999</v>
      </c>
      <c r="AE21" s="33">
        <v>76.449083999999999</v>
      </c>
    </row>
    <row r="22" spans="1:31">
      <c r="A22" s="8" t="s">
        <v>36</v>
      </c>
      <c r="B22" s="8" t="s">
        <v>1126</v>
      </c>
      <c r="C22" s="8" t="s">
        <v>1162</v>
      </c>
      <c r="D22" s="9" t="s">
        <v>1163</v>
      </c>
      <c r="E22" s="8"/>
      <c r="F22" s="8"/>
      <c r="G22" s="8"/>
      <c r="H22" s="8"/>
      <c r="I22" s="8"/>
      <c r="J22" s="8"/>
      <c r="K22" s="8"/>
      <c r="L22" s="10" t="e">
        <f t="shared" si="0"/>
        <v>#DIV/0!</v>
      </c>
      <c r="M22" s="8"/>
      <c r="N22" s="10" t="e">
        <f t="shared" si="1"/>
        <v>#DIV/0!</v>
      </c>
      <c r="O22" s="8"/>
      <c r="P22" s="8"/>
      <c r="Q22" s="33"/>
      <c r="R22" s="33"/>
      <c r="S22" s="34"/>
      <c r="T22" s="13">
        <v>12.32</v>
      </c>
      <c r="U22" s="13" t="s">
        <v>408</v>
      </c>
      <c r="V22" s="10"/>
      <c r="W22" s="10"/>
      <c r="X22" s="10"/>
      <c r="Y22" s="10"/>
      <c r="Z22" s="10"/>
      <c r="AA22" s="10" t="s">
        <v>408</v>
      </c>
      <c r="AB22" s="13">
        <v>5</v>
      </c>
      <c r="AC22" s="10"/>
      <c r="AD22" s="73">
        <v>24.920472</v>
      </c>
      <c r="AE22" s="33">
        <v>76.449162999999999</v>
      </c>
    </row>
    <row r="23" spans="1:31">
      <c r="A23" s="8" t="s">
        <v>36</v>
      </c>
      <c r="B23" s="8" t="s">
        <v>1126</v>
      </c>
      <c r="C23" s="8" t="s">
        <v>1162</v>
      </c>
      <c r="D23" s="9" t="s">
        <v>1163</v>
      </c>
      <c r="E23" s="8"/>
      <c r="F23" s="8"/>
      <c r="G23" s="8"/>
      <c r="H23" s="8"/>
      <c r="I23" s="8"/>
      <c r="J23" s="8"/>
      <c r="K23" s="8"/>
      <c r="L23" s="10" t="e">
        <f t="shared" si="0"/>
        <v>#DIV/0!</v>
      </c>
      <c r="M23" s="8"/>
      <c r="N23" s="10" t="e">
        <f t="shared" si="1"/>
        <v>#DIV/0!</v>
      </c>
      <c r="O23" s="8"/>
      <c r="P23" s="8"/>
      <c r="Q23" s="33"/>
      <c r="R23" s="33"/>
      <c r="S23" s="34"/>
      <c r="T23" s="13">
        <v>38.57</v>
      </c>
      <c r="U23" s="13" t="s">
        <v>408</v>
      </c>
      <c r="V23" s="10"/>
      <c r="W23" s="10"/>
      <c r="X23" s="10"/>
      <c r="Y23" s="10"/>
      <c r="Z23" s="10"/>
      <c r="AA23" s="10" t="s">
        <v>408</v>
      </c>
      <c r="AB23" s="13">
        <v>17</v>
      </c>
      <c r="AC23" s="10"/>
      <c r="AD23" s="73">
        <v>24.920597000000001</v>
      </c>
      <c r="AE23" s="33">
        <v>76.451463000000004</v>
      </c>
    </row>
    <row r="24" spans="1:31">
      <c r="A24" s="8" t="s">
        <v>36</v>
      </c>
      <c r="B24" s="8" t="s">
        <v>1126</v>
      </c>
      <c r="C24" s="8" t="s">
        <v>1162</v>
      </c>
      <c r="D24" s="9" t="s">
        <v>1163</v>
      </c>
      <c r="E24" s="8"/>
      <c r="F24" s="8"/>
      <c r="G24" s="8"/>
      <c r="H24" s="8"/>
      <c r="I24" s="8"/>
      <c r="J24" s="8"/>
      <c r="K24" s="8"/>
      <c r="L24" s="10" t="e">
        <f t="shared" si="0"/>
        <v>#DIV/0!</v>
      </c>
      <c r="M24" s="8"/>
      <c r="N24" s="10" t="e">
        <f t="shared" si="1"/>
        <v>#DIV/0!</v>
      </c>
      <c r="O24" s="8"/>
      <c r="P24" s="8"/>
      <c r="Q24" s="33"/>
      <c r="R24" s="33"/>
      <c r="S24" s="34"/>
      <c r="T24" s="13">
        <v>0</v>
      </c>
      <c r="U24" s="13" t="s">
        <v>408</v>
      </c>
      <c r="V24" s="10"/>
      <c r="W24" s="10"/>
      <c r="X24" s="10"/>
      <c r="Y24" s="10"/>
      <c r="Z24" s="10"/>
      <c r="AA24" s="10" t="s">
        <v>1949</v>
      </c>
      <c r="AB24" s="13"/>
      <c r="AC24" s="10"/>
      <c r="AD24" s="73">
        <v>24.920472</v>
      </c>
      <c r="AE24" s="33">
        <v>76.449162999999999</v>
      </c>
    </row>
    <row r="25" spans="1:31">
      <c r="A25" s="8" t="s">
        <v>36</v>
      </c>
      <c r="B25" s="8" t="s">
        <v>1126</v>
      </c>
      <c r="C25" s="8" t="s">
        <v>1162</v>
      </c>
      <c r="D25" s="9" t="s">
        <v>1163</v>
      </c>
      <c r="E25" s="8"/>
      <c r="F25" s="8"/>
      <c r="G25" s="8"/>
      <c r="H25" s="8"/>
      <c r="I25" s="8"/>
      <c r="J25" s="8"/>
      <c r="K25" s="8"/>
      <c r="L25" s="10" t="e">
        <f t="shared" si="0"/>
        <v>#DIV/0!</v>
      </c>
      <c r="M25" s="8"/>
      <c r="N25" s="10" t="e">
        <f t="shared" si="1"/>
        <v>#DIV/0!</v>
      </c>
      <c r="O25" s="8"/>
      <c r="P25" s="8"/>
      <c r="Q25" s="33"/>
      <c r="R25" s="33"/>
      <c r="S25" s="34"/>
      <c r="T25" s="49">
        <v>0</v>
      </c>
      <c r="U25" s="13" t="s">
        <v>408</v>
      </c>
      <c r="V25" s="10"/>
      <c r="W25" s="10"/>
      <c r="X25" s="10"/>
      <c r="Y25" s="10"/>
      <c r="Z25" s="10"/>
      <c r="AA25" s="10" t="s">
        <v>408</v>
      </c>
      <c r="AB25" s="49">
        <v>9</v>
      </c>
      <c r="AC25" s="10"/>
      <c r="AD25" s="73">
        <v>24.920472</v>
      </c>
      <c r="AE25" s="33">
        <v>76.449162999999999</v>
      </c>
    </row>
    <row r="26" spans="1:31">
      <c r="A26" s="8" t="s">
        <v>36</v>
      </c>
      <c r="B26" s="8" t="s">
        <v>1126</v>
      </c>
      <c r="C26" s="8" t="s">
        <v>1162</v>
      </c>
      <c r="D26" s="9" t="s">
        <v>1163</v>
      </c>
      <c r="E26" s="8"/>
      <c r="F26" s="8"/>
      <c r="G26" s="8"/>
      <c r="H26" s="8"/>
      <c r="I26" s="8"/>
      <c r="J26" s="8"/>
      <c r="K26" s="8"/>
      <c r="L26" s="10" t="e">
        <f t="shared" si="0"/>
        <v>#DIV/0!</v>
      </c>
      <c r="M26" s="8"/>
      <c r="N26" s="10" t="e">
        <f t="shared" si="1"/>
        <v>#DIV/0!</v>
      </c>
      <c r="O26" s="8"/>
      <c r="P26" s="8"/>
      <c r="Q26" s="33"/>
      <c r="R26" s="33"/>
      <c r="S26" s="34"/>
      <c r="T26" s="18">
        <v>0</v>
      </c>
      <c r="U26" s="13" t="s">
        <v>408</v>
      </c>
      <c r="V26" s="10"/>
      <c r="W26" s="10"/>
      <c r="X26" s="10"/>
      <c r="Y26" s="10"/>
      <c r="Z26" s="10"/>
      <c r="AA26" s="10" t="s">
        <v>408</v>
      </c>
      <c r="AB26" s="18">
        <v>11</v>
      </c>
      <c r="AC26" s="10"/>
      <c r="AD26" s="73">
        <v>24.920597000000001</v>
      </c>
      <c r="AE26" s="33">
        <v>76.451463000000004</v>
      </c>
    </row>
    <row r="27" spans="1:31">
      <c r="A27" s="8" t="s">
        <v>36</v>
      </c>
      <c r="B27" s="8" t="s">
        <v>1126</v>
      </c>
      <c r="C27" s="8" t="s">
        <v>1162</v>
      </c>
      <c r="D27" s="9" t="s">
        <v>1163</v>
      </c>
      <c r="E27" s="8"/>
      <c r="F27" s="8"/>
      <c r="G27" s="8"/>
      <c r="H27" s="8"/>
      <c r="I27" s="8"/>
      <c r="J27" s="8"/>
      <c r="K27" s="8"/>
      <c r="L27" s="10" t="e">
        <f t="shared" si="0"/>
        <v>#DIV/0!</v>
      </c>
      <c r="M27" s="8"/>
      <c r="N27" s="10" t="e">
        <f t="shared" si="1"/>
        <v>#DIV/0!</v>
      </c>
      <c r="O27" s="8"/>
      <c r="P27" s="8"/>
      <c r="Q27" s="33"/>
      <c r="R27" s="33"/>
      <c r="S27" s="34"/>
      <c r="T27" s="18">
        <v>0</v>
      </c>
      <c r="U27" s="13" t="s">
        <v>408</v>
      </c>
      <c r="V27" s="10"/>
      <c r="W27" s="10"/>
      <c r="X27" s="10"/>
      <c r="Y27" s="10"/>
      <c r="Z27" s="10"/>
      <c r="AA27" s="10" t="s">
        <v>408</v>
      </c>
      <c r="AB27" s="18">
        <v>12</v>
      </c>
      <c r="AC27" s="10"/>
      <c r="AD27" s="73">
        <v>24.920472</v>
      </c>
      <c r="AE27" s="33">
        <v>76.449162999999999</v>
      </c>
    </row>
    <row r="28" spans="1:31">
      <c r="A28" s="8" t="s">
        <v>36</v>
      </c>
      <c r="B28" s="8" t="s">
        <v>1126</v>
      </c>
      <c r="C28" s="8" t="s">
        <v>1162</v>
      </c>
      <c r="D28" s="9" t="s">
        <v>1163</v>
      </c>
      <c r="E28" s="8"/>
      <c r="F28" s="8"/>
      <c r="G28" s="8"/>
      <c r="H28" s="8"/>
      <c r="I28" s="8"/>
      <c r="J28" s="8"/>
      <c r="K28" s="8"/>
      <c r="L28" s="10" t="e">
        <f t="shared" si="0"/>
        <v>#DIV/0!</v>
      </c>
      <c r="M28" s="8"/>
      <c r="N28" s="10" t="e">
        <f t="shared" si="1"/>
        <v>#DIV/0!</v>
      </c>
      <c r="O28" s="8"/>
      <c r="P28" s="8"/>
      <c r="Q28" s="43" t="s">
        <v>409</v>
      </c>
      <c r="R28" s="33"/>
      <c r="S28" s="34"/>
      <c r="T28" s="12">
        <v>48.13</v>
      </c>
      <c r="U28" s="13" t="s">
        <v>408</v>
      </c>
      <c r="V28" s="10"/>
      <c r="W28" s="10"/>
      <c r="X28" s="10"/>
      <c r="Y28" s="10"/>
      <c r="Z28" s="10"/>
      <c r="AA28" s="10" t="s">
        <v>408</v>
      </c>
      <c r="AB28" s="13">
        <v>38</v>
      </c>
      <c r="AC28" s="10"/>
      <c r="AD28" s="71">
        <v>24.920472</v>
      </c>
      <c r="AE28" s="11">
        <v>76.449162999999999</v>
      </c>
    </row>
    <row r="29" spans="1:31">
      <c r="A29" s="8" t="s">
        <v>36</v>
      </c>
      <c r="B29" s="8" t="s">
        <v>1126</v>
      </c>
      <c r="C29" s="8" t="s">
        <v>1162</v>
      </c>
      <c r="D29" s="9" t="s">
        <v>1163</v>
      </c>
      <c r="E29" s="8"/>
      <c r="F29" s="8"/>
      <c r="G29" s="8"/>
      <c r="H29" s="8"/>
      <c r="I29" s="8"/>
      <c r="J29" s="8"/>
      <c r="K29" s="8"/>
      <c r="L29" s="10" t="e">
        <f t="shared" si="0"/>
        <v>#DIV/0!</v>
      </c>
      <c r="M29" s="8"/>
      <c r="N29" s="10" t="e">
        <f t="shared" si="1"/>
        <v>#DIV/0!</v>
      </c>
      <c r="O29" s="8"/>
      <c r="P29" s="8"/>
      <c r="Q29" s="33" t="s">
        <v>409</v>
      </c>
      <c r="R29" s="61">
        <v>44747</v>
      </c>
      <c r="S29" s="33"/>
      <c r="T29" s="12">
        <v>7.34</v>
      </c>
      <c r="U29" s="13" t="s">
        <v>408</v>
      </c>
      <c r="V29" s="10"/>
      <c r="W29" s="10"/>
      <c r="X29" s="10"/>
      <c r="Y29" s="10"/>
      <c r="Z29" s="10"/>
      <c r="AA29" s="10" t="s">
        <v>408</v>
      </c>
      <c r="AB29" s="13">
        <v>4</v>
      </c>
      <c r="AC29" s="10"/>
      <c r="AD29" s="73">
        <v>24.922405999999999</v>
      </c>
      <c r="AE29" s="33">
        <v>76.449083999999999</v>
      </c>
    </row>
    <row r="30" spans="1:31" ht="15" customHeight="1">
      <c r="A30" s="8" t="s">
        <v>36</v>
      </c>
      <c r="B30" s="8" t="s">
        <v>1126</v>
      </c>
      <c r="C30" s="8" t="s">
        <v>1162</v>
      </c>
      <c r="D30" s="9" t="s">
        <v>1163</v>
      </c>
      <c r="E30" s="8"/>
      <c r="F30" s="8"/>
      <c r="G30" s="8"/>
      <c r="H30" s="8"/>
      <c r="I30" s="8"/>
      <c r="J30" s="8"/>
      <c r="K30" s="8"/>
      <c r="L30" s="10" t="e">
        <f t="shared" si="0"/>
        <v>#DIV/0!</v>
      </c>
      <c r="M30" s="8"/>
      <c r="N30" s="10" t="e">
        <f t="shared" si="1"/>
        <v>#DIV/0!</v>
      </c>
      <c r="O30" s="8"/>
      <c r="P30" s="8"/>
      <c r="Q30" s="18" t="s">
        <v>409</v>
      </c>
      <c r="R30" s="18"/>
      <c r="S30" s="33"/>
      <c r="T30" s="12">
        <v>14.26</v>
      </c>
      <c r="U30" s="13" t="s">
        <v>408</v>
      </c>
      <c r="V30" s="10"/>
      <c r="W30" s="10"/>
      <c r="X30" s="10"/>
      <c r="Y30" s="10"/>
      <c r="Z30" s="10"/>
      <c r="AA30" s="10" t="s">
        <v>408</v>
      </c>
      <c r="AB30" s="13">
        <v>10</v>
      </c>
      <c r="AC30" s="10"/>
      <c r="AD30" s="74">
        <v>24.920472</v>
      </c>
      <c r="AE30" s="62">
        <v>76.449162999999999</v>
      </c>
    </row>
    <row r="31" spans="1:31" ht="15" customHeight="1">
      <c r="A31" s="8" t="s">
        <v>36</v>
      </c>
      <c r="B31" s="8" t="s">
        <v>1126</v>
      </c>
      <c r="C31" s="8" t="s">
        <v>1162</v>
      </c>
      <c r="D31" s="9" t="s">
        <v>1163</v>
      </c>
      <c r="E31" s="8"/>
      <c r="F31" s="8"/>
      <c r="G31" s="8"/>
      <c r="H31" s="8"/>
      <c r="I31" s="8"/>
      <c r="J31" s="8"/>
      <c r="K31" s="8"/>
      <c r="L31" s="10" t="e">
        <f t="shared" si="0"/>
        <v>#DIV/0!</v>
      </c>
      <c r="M31" s="8"/>
      <c r="N31" s="10" t="e">
        <f t="shared" si="1"/>
        <v>#DIV/0!</v>
      </c>
      <c r="O31" s="8"/>
      <c r="P31" s="8"/>
      <c r="Q31" s="18" t="s">
        <v>409</v>
      </c>
      <c r="R31" s="18"/>
      <c r="S31" s="33"/>
      <c r="T31" s="12">
        <v>24.42</v>
      </c>
      <c r="U31" s="13" t="s">
        <v>408</v>
      </c>
      <c r="V31" s="10"/>
      <c r="W31" s="10"/>
      <c r="X31" s="10"/>
      <c r="Y31" s="10"/>
      <c r="Z31" s="10"/>
      <c r="AA31" s="10" t="s">
        <v>408</v>
      </c>
      <c r="AB31" s="13">
        <v>18</v>
      </c>
      <c r="AC31" s="10"/>
      <c r="AD31" s="74">
        <v>24.920472</v>
      </c>
      <c r="AE31" s="62">
        <v>76.449162999999999</v>
      </c>
    </row>
    <row r="32" spans="1:31">
      <c r="A32" s="8" t="s">
        <v>36</v>
      </c>
      <c r="B32" s="8" t="s">
        <v>1126</v>
      </c>
      <c r="C32" s="8" t="s">
        <v>1162</v>
      </c>
      <c r="D32" s="9" t="s">
        <v>1163</v>
      </c>
      <c r="E32" s="8"/>
      <c r="F32" s="8"/>
      <c r="G32" s="8"/>
      <c r="H32" s="8"/>
      <c r="I32" s="8"/>
      <c r="J32" s="8"/>
      <c r="K32" s="8"/>
      <c r="L32" s="10" t="e">
        <f t="shared" si="0"/>
        <v>#DIV/0!</v>
      </c>
      <c r="M32" s="8"/>
      <c r="N32" s="10" t="e">
        <f t="shared" si="1"/>
        <v>#DIV/0!</v>
      </c>
      <c r="O32" s="8"/>
      <c r="P32" s="8"/>
      <c r="Q32" s="18"/>
      <c r="R32" s="18"/>
      <c r="S32" s="18"/>
      <c r="T32" s="12">
        <v>21.15</v>
      </c>
      <c r="U32" s="13" t="s">
        <v>408</v>
      </c>
      <c r="V32" s="10"/>
      <c r="W32" s="10"/>
      <c r="X32" s="10"/>
      <c r="Y32" s="10"/>
      <c r="Z32" s="10"/>
      <c r="AA32" s="10" t="s">
        <v>408</v>
      </c>
      <c r="AB32" s="13">
        <v>14</v>
      </c>
      <c r="AC32" s="10"/>
      <c r="AD32" s="73">
        <v>24.922405999999999</v>
      </c>
      <c r="AE32" s="33">
        <v>76.449083999999999</v>
      </c>
    </row>
    <row r="33" spans="1:31">
      <c r="A33" s="8" t="s">
        <v>36</v>
      </c>
      <c r="B33" s="8" t="s">
        <v>1126</v>
      </c>
      <c r="C33" s="8" t="s">
        <v>1165</v>
      </c>
      <c r="D33" s="13" t="s">
        <v>1166</v>
      </c>
      <c r="E33" s="8" t="s">
        <v>1167</v>
      </c>
      <c r="F33" s="8">
        <v>515</v>
      </c>
      <c r="G33" s="8">
        <v>189</v>
      </c>
      <c r="H33" s="8">
        <v>898</v>
      </c>
      <c r="I33" s="8">
        <v>471</v>
      </c>
      <c r="J33" s="8">
        <v>427</v>
      </c>
      <c r="K33" s="8">
        <v>151</v>
      </c>
      <c r="L33" s="10">
        <f t="shared" si="0"/>
        <v>16.815144766146993</v>
      </c>
      <c r="M33" s="8">
        <v>27</v>
      </c>
      <c r="N33" s="10">
        <f t="shared" si="1"/>
        <v>3.0066815144766146</v>
      </c>
      <c r="O33" s="8">
        <v>17</v>
      </c>
      <c r="P33" s="8">
        <v>50</v>
      </c>
      <c r="Q33" s="17" t="s">
        <v>409</v>
      </c>
      <c r="R33" s="17" t="s">
        <v>1168</v>
      </c>
      <c r="S33" s="33"/>
      <c r="T33" s="12">
        <v>0.72</v>
      </c>
      <c r="U33" s="13" t="s">
        <v>408</v>
      </c>
      <c r="V33" s="10"/>
      <c r="W33" s="10"/>
      <c r="X33" s="10"/>
      <c r="Y33" s="10"/>
      <c r="Z33" s="10"/>
      <c r="AA33" s="10" t="s">
        <v>408</v>
      </c>
      <c r="AB33" s="13">
        <v>1</v>
      </c>
      <c r="AC33" s="10"/>
      <c r="AD33" s="69">
        <v>24.812075</v>
      </c>
      <c r="AE33" s="13">
        <v>76.203458999999995</v>
      </c>
    </row>
    <row r="34" spans="1:31">
      <c r="A34" s="8" t="s">
        <v>36</v>
      </c>
      <c r="B34" s="8" t="s">
        <v>1126</v>
      </c>
      <c r="C34" s="8" t="s">
        <v>1165</v>
      </c>
      <c r="D34" s="13" t="s">
        <v>1169</v>
      </c>
      <c r="E34" s="8" t="s">
        <v>1170</v>
      </c>
      <c r="F34" s="8">
        <v>326.31</v>
      </c>
      <c r="G34" s="8">
        <v>84</v>
      </c>
      <c r="H34" s="8">
        <v>403</v>
      </c>
      <c r="I34" s="8">
        <v>218</v>
      </c>
      <c r="J34" s="8">
        <v>185</v>
      </c>
      <c r="K34" s="8">
        <v>77</v>
      </c>
      <c r="L34" s="10">
        <f t="shared" si="0"/>
        <v>19.106699751861044</v>
      </c>
      <c r="M34" s="8">
        <v>35</v>
      </c>
      <c r="N34" s="10">
        <f t="shared" si="1"/>
        <v>8.6848635235732008</v>
      </c>
      <c r="O34" s="8">
        <v>61.69</v>
      </c>
      <c r="P34" s="8">
        <v>0</v>
      </c>
      <c r="Q34" s="17" t="s">
        <v>409</v>
      </c>
      <c r="R34" s="17" t="s">
        <v>1171</v>
      </c>
      <c r="S34" s="33"/>
      <c r="T34" s="13">
        <v>13.51</v>
      </c>
      <c r="U34" s="33"/>
      <c r="V34" s="10"/>
      <c r="W34" s="10"/>
      <c r="X34" s="10"/>
      <c r="Y34" s="10"/>
      <c r="Z34" s="10"/>
      <c r="AA34" s="10" t="s">
        <v>408</v>
      </c>
      <c r="AB34" s="13">
        <v>7</v>
      </c>
      <c r="AC34" s="10"/>
      <c r="AD34" s="69">
        <v>24.795168</v>
      </c>
      <c r="AE34" s="13">
        <v>76.203835999999995</v>
      </c>
    </row>
    <row r="35" spans="1:31">
      <c r="A35" s="8" t="s">
        <v>36</v>
      </c>
      <c r="B35" s="8" t="s">
        <v>1126</v>
      </c>
      <c r="C35" s="8" t="s">
        <v>1165</v>
      </c>
      <c r="D35" s="13" t="s">
        <v>1172</v>
      </c>
      <c r="E35" s="8" t="s">
        <v>1173</v>
      </c>
      <c r="F35" s="8">
        <v>131</v>
      </c>
      <c r="G35" s="8">
        <v>55</v>
      </c>
      <c r="H35" s="8">
        <v>291</v>
      </c>
      <c r="I35" s="8">
        <v>144</v>
      </c>
      <c r="J35" s="8">
        <v>147</v>
      </c>
      <c r="K35" s="8">
        <v>0</v>
      </c>
      <c r="L35" s="10">
        <f t="shared" si="0"/>
        <v>0</v>
      </c>
      <c r="M35" s="8">
        <v>222</v>
      </c>
      <c r="N35" s="10">
        <f t="shared" si="1"/>
        <v>76.288659793814432</v>
      </c>
      <c r="O35" s="8">
        <v>9</v>
      </c>
      <c r="P35" s="8">
        <v>0</v>
      </c>
      <c r="Q35" s="17" t="s">
        <v>409</v>
      </c>
      <c r="R35" s="17" t="s">
        <v>1174</v>
      </c>
      <c r="S35" s="17"/>
      <c r="T35" s="13">
        <v>50.47</v>
      </c>
      <c r="U35" s="13"/>
      <c r="V35" s="10"/>
      <c r="W35" s="10"/>
      <c r="X35" s="10"/>
      <c r="Y35" s="10"/>
      <c r="Z35" s="10"/>
      <c r="AA35" s="10" t="s">
        <v>408</v>
      </c>
      <c r="AB35" s="13">
        <v>31</v>
      </c>
      <c r="AC35" s="10"/>
      <c r="AD35" s="69">
        <v>24.815132999999999</v>
      </c>
      <c r="AE35" s="13">
        <v>76.169909000000004</v>
      </c>
    </row>
    <row r="36" spans="1:31">
      <c r="A36" s="8" t="s">
        <v>36</v>
      </c>
      <c r="B36" s="8" t="s">
        <v>1126</v>
      </c>
      <c r="C36" s="8" t="s">
        <v>1165</v>
      </c>
      <c r="D36" s="13" t="s">
        <v>1175</v>
      </c>
      <c r="E36" s="8" t="s">
        <v>1176</v>
      </c>
      <c r="F36" s="8">
        <v>120.31</v>
      </c>
      <c r="G36" s="8">
        <v>73</v>
      </c>
      <c r="H36" s="8">
        <v>400</v>
      </c>
      <c r="I36" s="8">
        <v>202</v>
      </c>
      <c r="J36" s="8">
        <v>198</v>
      </c>
      <c r="K36" s="8">
        <v>270</v>
      </c>
      <c r="L36" s="10">
        <f t="shared" si="0"/>
        <v>67.5</v>
      </c>
      <c r="M36" s="8">
        <v>0</v>
      </c>
      <c r="N36" s="10">
        <f t="shared" si="1"/>
        <v>0</v>
      </c>
      <c r="O36" s="8">
        <v>13.32</v>
      </c>
      <c r="P36" s="8">
        <v>0</v>
      </c>
      <c r="Q36" s="17" t="s">
        <v>409</v>
      </c>
      <c r="R36" s="17" t="s">
        <v>1177</v>
      </c>
      <c r="S36" s="17"/>
      <c r="T36" s="10"/>
      <c r="U36" s="13"/>
      <c r="V36" s="10"/>
      <c r="W36" s="10"/>
      <c r="X36" s="10"/>
      <c r="Y36" s="10"/>
      <c r="Z36" s="10"/>
      <c r="AA36" s="10" t="s">
        <v>1949</v>
      </c>
      <c r="AB36" s="10"/>
      <c r="AC36" s="10"/>
      <c r="AD36" s="69">
        <v>24.806646000000001</v>
      </c>
      <c r="AE36" s="13">
        <v>76.147570000000002</v>
      </c>
    </row>
    <row r="37" spans="1:31">
      <c r="A37" s="8" t="s">
        <v>36</v>
      </c>
      <c r="B37" s="8" t="s">
        <v>1126</v>
      </c>
      <c r="C37" s="8" t="s">
        <v>1165</v>
      </c>
      <c r="D37" s="13" t="s">
        <v>1178</v>
      </c>
      <c r="E37" s="8" t="s">
        <v>1179</v>
      </c>
      <c r="F37" s="8">
        <v>239</v>
      </c>
      <c r="G37" s="8">
        <v>196</v>
      </c>
      <c r="H37" s="8">
        <v>953</v>
      </c>
      <c r="I37" s="8">
        <v>469</v>
      </c>
      <c r="J37" s="8">
        <v>484</v>
      </c>
      <c r="K37" s="8">
        <v>6</v>
      </c>
      <c r="L37" s="10">
        <f t="shared" si="0"/>
        <v>0.62959076600209862</v>
      </c>
      <c r="M37" s="8">
        <v>0</v>
      </c>
      <c r="N37" s="10">
        <f t="shared" si="1"/>
        <v>0</v>
      </c>
      <c r="O37" s="8">
        <v>22</v>
      </c>
      <c r="P37" s="8">
        <v>0</v>
      </c>
      <c r="Q37" s="17" t="s">
        <v>409</v>
      </c>
      <c r="R37" s="17" t="s">
        <v>1168</v>
      </c>
      <c r="S37" s="17"/>
      <c r="T37" s="13" t="s">
        <v>1950</v>
      </c>
      <c r="U37" s="13"/>
      <c r="V37" s="10"/>
      <c r="W37" s="10"/>
      <c r="X37" s="10"/>
      <c r="Y37" s="10"/>
      <c r="Z37" s="10"/>
      <c r="AA37" s="10" t="s">
        <v>408</v>
      </c>
      <c r="AB37" s="13">
        <v>33</v>
      </c>
      <c r="AC37" s="10"/>
      <c r="AD37" s="69">
        <v>24.837152</v>
      </c>
      <c r="AE37" s="13">
        <v>76.176152999999999</v>
      </c>
    </row>
    <row r="38" spans="1:31">
      <c r="A38" s="8" t="s">
        <v>36</v>
      </c>
      <c r="B38" s="8" t="s">
        <v>1126</v>
      </c>
      <c r="C38" s="8" t="s">
        <v>1165</v>
      </c>
      <c r="D38" s="49" t="s">
        <v>1180</v>
      </c>
      <c r="E38" s="8" t="s">
        <v>1181</v>
      </c>
      <c r="F38" s="8">
        <v>259.56</v>
      </c>
      <c r="G38" s="8">
        <v>126</v>
      </c>
      <c r="H38" s="8">
        <v>597</v>
      </c>
      <c r="I38" s="8">
        <v>296</v>
      </c>
      <c r="J38" s="8">
        <v>301</v>
      </c>
      <c r="K38" s="8">
        <v>55</v>
      </c>
      <c r="L38" s="10">
        <f t="shared" si="0"/>
        <v>9.2127303182579574</v>
      </c>
      <c r="M38" s="8">
        <v>165</v>
      </c>
      <c r="N38" s="10">
        <f t="shared" si="1"/>
        <v>27.638190954773869</v>
      </c>
      <c r="O38" s="8">
        <v>2.12</v>
      </c>
      <c r="P38" s="8">
        <v>9.14</v>
      </c>
      <c r="Q38" s="63" t="s">
        <v>409</v>
      </c>
      <c r="R38" s="50" t="s">
        <v>1177</v>
      </c>
      <c r="T38" s="13">
        <v>3.23</v>
      </c>
      <c r="U38" s="10"/>
      <c r="V38" s="10"/>
      <c r="W38" s="10"/>
      <c r="X38" s="10"/>
      <c r="Y38" s="10"/>
      <c r="Z38" s="10"/>
      <c r="AA38" s="10" t="s">
        <v>408</v>
      </c>
      <c r="AB38" s="13">
        <v>2</v>
      </c>
      <c r="AC38" s="10"/>
      <c r="AD38" s="75">
        <v>24.798964999999999</v>
      </c>
      <c r="AE38" s="50">
        <v>76.163488999999998</v>
      </c>
    </row>
    <row r="39" spans="1:31">
      <c r="A39" s="8" t="s">
        <v>36</v>
      </c>
      <c r="B39" s="8" t="s">
        <v>1126</v>
      </c>
      <c r="C39" s="8" t="s">
        <v>1165</v>
      </c>
      <c r="D39" s="18" t="s">
        <v>1182</v>
      </c>
      <c r="E39" s="8" t="s">
        <v>1183</v>
      </c>
      <c r="F39" s="8">
        <v>132.88999999999999</v>
      </c>
      <c r="G39" s="8">
        <v>2</v>
      </c>
      <c r="H39" s="8">
        <v>10</v>
      </c>
      <c r="I39" s="8">
        <v>6</v>
      </c>
      <c r="J39" s="8">
        <v>4</v>
      </c>
      <c r="K39" s="8">
        <v>0</v>
      </c>
      <c r="L39" s="10">
        <f t="shared" si="0"/>
        <v>0</v>
      </c>
      <c r="M39" s="8">
        <v>0</v>
      </c>
      <c r="N39" s="10">
        <f t="shared" si="1"/>
        <v>0</v>
      </c>
      <c r="O39" s="8">
        <v>0</v>
      </c>
      <c r="P39" s="8">
        <v>0</v>
      </c>
      <c r="Q39" s="51" t="s">
        <v>586</v>
      </c>
      <c r="R39" s="18"/>
      <c r="S39" s="50"/>
      <c r="T39" s="18">
        <v>14.64</v>
      </c>
      <c r="U39" s="18"/>
      <c r="V39" s="10"/>
      <c r="W39" s="10"/>
      <c r="X39" s="10"/>
      <c r="Y39" s="10"/>
      <c r="Z39" s="10"/>
      <c r="AA39" s="10" t="s">
        <v>408</v>
      </c>
      <c r="AB39" s="18">
        <v>6</v>
      </c>
      <c r="AC39" s="10"/>
      <c r="AD39" s="72"/>
      <c r="AE39" s="18"/>
    </row>
    <row r="40" spans="1:31">
      <c r="A40" s="8" t="s">
        <v>36</v>
      </c>
      <c r="B40" s="8" t="s">
        <v>1126</v>
      </c>
      <c r="C40" s="8" t="s">
        <v>1165</v>
      </c>
      <c r="D40" s="18" t="s">
        <v>1184</v>
      </c>
      <c r="E40" s="8" t="s">
        <v>1185</v>
      </c>
      <c r="F40" s="8">
        <v>146.76</v>
      </c>
      <c r="G40" s="8">
        <v>31</v>
      </c>
      <c r="H40" s="8">
        <v>177</v>
      </c>
      <c r="I40" s="8">
        <v>90</v>
      </c>
      <c r="J40" s="8">
        <v>87</v>
      </c>
      <c r="K40" s="8">
        <v>0</v>
      </c>
      <c r="L40" s="10">
        <f t="shared" si="0"/>
        <v>0</v>
      </c>
      <c r="M40" s="8">
        <v>174</v>
      </c>
      <c r="N40" s="10">
        <f t="shared" si="1"/>
        <v>98.305084745762713</v>
      </c>
      <c r="O40" s="8">
        <v>6.76</v>
      </c>
      <c r="P40" s="8">
        <v>0</v>
      </c>
      <c r="Q40" s="51" t="s">
        <v>586</v>
      </c>
      <c r="R40" s="18"/>
      <c r="S40" s="50"/>
      <c r="T40" s="18">
        <v>18.03</v>
      </c>
      <c r="U40" s="18"/>
      <c r="V40" s="10"/>
      <c r="W40" s="10"/>
      <c r="X40" s="10"/>
      <c r="Y40" s="10"/>
      <c r="Z40" s="10"/>
      <c r="AA40" s="10" t="s">
        <v>1949</v>
      </c>
      <c r="AB40" s="18"/>
      <c r="AC40" s="10"/>
      <c r="AD40" s="72"/>
      <c r="AE40" s="18"/>
    </row>
    <row r="41" spans="1:31">
      <c r="A41" s="8" t="s">
        <v>36</v>
      </c>
      <c r="B41" s="8" t="s">
        <v>1126</v>
      </c>
      <c r="C41" s="8" t="s">
        <v>1186</v>
      </c>
      <c r="D41" s="9" t="s">
        <v>1187</v>
      </c>
      <c r="E41" s="8" t="s">
        <v>1188</v>
      </c>
      <c r="F41" s="8">
        <v>659.06</v>
      </c>
      <c r="G41" s="8">
        <v>233</v>
      </c>
      <c r="H41" s="8">
        <v>1323</v>
      </c>
      <c r="I41" s="8">
        <v>692</v>
      </c>
      <c r="J41" s="8">
        <v>631</v>
      </c>
      <c r="K41" s="8">
        <v>282</v>
      </c>
      <c r="L41" s="10">
        <f t="shared" si="0"/>
        <v>21.315192743764172</v>
      </c>
      <c r="M41" s="8">
        <v>5</v>
      </c>
      <c r="N41" s="10">
        <f t="shared" si="1"/>
        <v>0.3779289493575208</v>
      </c>
      <c r="O41" s="8">
        <v>48.13</v>
      </c>
      <c r="P41" s="8">
        <v>0</v>
      </c>
      <c r="Q41" s="13" t="s">
        <v>408</v>
      </c>
      <c r="R41" s="14">
        <v>44238</v>
      </c>
      <c r="S41" s="65"/>
      <c r="T41" s="18">
        <v>17.920000000000002</v>
      </c>
      <c r="U41" s="44"/>
      <c r="V41" s="10"/>
      <c r="W41" s="10"/>
      <c r="X41" s="10"/>
      <c r="Y41" s="10"/>
      <c r="Z41" s="10"/>
      <c r="AA41" s="10" t="s">
        <v>408</v>
      </c>
      <c r="AB41" s="18">
        <v>7</v>
      </c>
      <c r="AC41" s="10"/>
      <c r="AD41" s="76">
        <v>24.863700999999999</v>
      </c>
      <c r="AE41" s="44">
        <v>76.251559999999998</v>
      </c>
    </row>
    <row r="42" spans="1:31">
      <c r="A42" s="8" t="s">
        <v>36</v>
      </c>
      <c r="B42" s="8" t="s">
        <v>1126</v>
      </c>
      <c r="C42" s="8" t="s">
        <v>1186</v>
      </c>
      <c r="D42" s="9" t="s">
        <v>1189</v>
      </c>
      <c r="E42" s="8" t="s">
        <v>1190</v>
      </c>
      <c r="F42" s="8">
        <v>249.17</v>
      </c>
      <c r="G42" s="8">
        <v>61</v>
      </c>
      <c r="H42" s="8">
        <v>290</v>
      </c>
      <c r="I42" s="8">
        <v>164</v>
      </c>
      <c r="J42" s="8">
        <v>126</v>
      </c>
      <c r="K42" s="8">
        <v>7</v>
      </c>
      <c r="L42" s="10">
        <f t="shared" si="0"/>
        <v>2.4137931034482758</v>
      </c>
      <c r="M42" s="8">
        <v>0</v>
      </c>
      <c r="N42" s="10">
        <f t="shared" si="1"/>
        <v>0</v>
      </c>
      <c r="O42" s="8">
        <v>7.34</v>
      </c>
      <c r="P42" s="8">
        <v>0</v>
      </c>
      <c r="Q42" s="13" t="s">
        <v>408</v>
      </c>
      <c r="R42" s="14">
        <v>44238</v>
      </c>
      <c r="S42" s="65"/>
      <c r="T42" s="18">
        <v>0.81</v>
      </c>
      <c r="U42" s="44"/>
      <c r="V42" s="10"/>
      <c r="W42" s="10"/>
      <c r="X42" s="10"/>
      <c r="Y42" s="10"/>
      <c r="Z42" s="10"/>
      <c r="AA42" s="10" t="s">
        <v>1949</v>
      </c>
      <c r="AB42" s="18"/>
      <c r="AC42" s="10"/>
      <c r="AD42" s="76">
        <v>24.848022</v>
      </c>
      <c r="AE42" s="44">
        <v>76.244964999999993</v>
      </c>
    </row>
    <row r="43" spans="1:31">
      <c r="A43" s="8" t="s">
        <v>36</v>
      </c>
      <c r="B43" s="8" t="s">
        <v>1126</v>
      </c>
      <c r="C43" s="8" t="s">
        <v>1186</v>
      </c>
      <c r="D43" s="9" t="s">
        <v>1191</v>
      </c>
      <c r="E43" s="8" t="s">
        <v>1192</v>
      </c>
      <c r="F43" s="8">
        <v>418.08</v>
      </c>
      <c r="G43" s="8">
        <v>73</v>
      </c>
      <c r="H43" s="8">
        <v>456</v>
      </c>
      <c r="I43" s="8">
        <v>219</v>
      </c>
      <c r="J43" s="8">
        <v>237</v>
      </c>
      <c r="K43" s="8">
        <v>38</v>
      </c>
      <c r="L43" s="10">
        <f t="shared" si="0"/>
        <v>8.3333333333333321</v>
      </c>
      <c r="M43" s="8">
        <v>24</v>
      </c>
      <c r="N43" s="10">
        <f t="shared" si="1"/>
        <v>5.2631578947368416</v>
      </c>
      <c r="O43" s="8">
        <v>14.26</v>
      </c>
      <c r="P43" s="8">
        <v>0</v>
      </c>
      <c r="Q43" s="13" t="s">
        <v>408</v>
      </c>
      <c r="R43" s="14">
        <v>44238</v>
      </c>
      <c r="S43" s="65"/>
      <c r="T43" s="18">
        <v>17.510000000000002</v>
      </c>
      <c r="U43" s="44"/>
      <c r="V43" s="10"/>
      <c r="W43" s="10"/>
      <c r="X43" s="10"/>
      <c r="Y43" s="10"/>
      <c r="Z43" s="10"/>
      <c r="AA43" s="10" t="s">
        <v>408</v>
      </c>
      <c r="AB43" s="18">
        <v>9</v>
      </c>
      <c r="AC43" s="10"/>
      <c r="AD43" s="76">
        <v>24.857154999999999</v>
      </c>
      <c r="AE43" s="44">
        <v>76.232257000000004</v>
      </c>
    </row>
    <row r="44" spans="1:31">
      <c r="A44" s="8" t="s">
        <v>36</v>
      </c>
      <c r="B44" s="8" t="s">
        <v>1126</v>
      </c>
      <c r="C44" s="8" t="s">
        <v>1186</v>
      </c>
      <c r="D44" s="9" t="s">
        <v>1193</v>
      </c>
      <c r="E44" s="8" t="s">
        <v>1194</v>
      </c>
      <c r="F44" s="8">
        <v>368.35</v>
      </c>
      <c r="G44" s="8">
        <v>75</v>
      </c>
      <c r="H44" s="8">
        <v>534</v>
      </c>
      <c r="I44" s="8">
        <v>287</v>
      </c>
      <c r="J44" s="8">
        <v>247</v>
      </c>
      <c r="K44" s="8">
        <v>74</v>
      </c>
      <c r="L44" s="10">
        <f t="shared" si="0"/>
        <v>13.857677902621724</v>
      </c>
      <c r="M44" s="8">
        <v>97</v>
      </c>
      <c r="N44" s="10">
        <f t="shared" si="1"/>
        <v>18.164794007490638</v>
      </c>
      <c r="O44" s="8">
        <v>24.42</v>
      </c>
      <c r="P44" s="8">
        <v>3.44</v>
      </c>
      <c r="Q44" s="13" t="s">
        <v>408</v>
      </c>
      <c r="R44" s="14">
        <v>45201</v>
      </c>
      <c r="S44" s="65"/>
      <c r="T44" s="18">
        <v>6.14</v>
      </c>
      <c r="U44" s="44"/>
      <c r="V44" s="10"/>
      <c r="W44" s="10"/>
      <c r="X44" s="10"/>
      <c r="Y44" s="10"/>
      <c r="Z44" s="10"/>
      <c r="AA44" s="10" t="s">
        <v>408</v>
      </c>
      <c r="AB44" s="18">
        <v>4</v>
      </c>
      <c r="AC44" s="10"/>
      <c r="AD44" s="76">
        <v>24.874707000000001</v>
      </c>
      <c r="AE44" s="44">
        <v>76.238758000000004</v>
      </c>
    </row>
    <row r="45" spans="1:31">
      <c r="A45" s="8" t="s">
        <v>36</v>
      </c>
      <c r="B45" s="8" t="s">
        <v>1126</v>
      </c>
      <c r="C45" s="8" t="s">
        <v>1186</v>
      </c>
      <c r="D45" s="9" t="s">
        <v>1195</v>
      </c>
      <c r="E45" s="8" t="s">
        <v>1196</v>
      </c>
      <c r="F45" s="8">
        <v>344.25</v>
      </c>
      <c r="G45" s="8">
        <v>82</v>
      </c>
      <c r="H45" s="8">
        <v>462</v>
      </c>
      <c r="I45" s="8">
        <v>250</v>
      </c>
      <c r="J45" s="8">
        <v>212</v>
      </c>
      <c r="K45" s="8">
        <v>98</v>
      </c>
      <c r="L45" s="10">
        <f t="shared" si="0"/>
        <v>21.212121212121211</v>
      </c>
      <c r="M45" s="8">
        <v>0</v>
      </c>
      <c r="N45" s="10">
        <f t="shared" si="1"/>
        <v>0</v>
      </c>
      <c r="O45" s="8">
        <v>21.15</v>
      </c>
      <c r="P45" s="8">
        <v>6.57</v>
      </c>
      <c r="Q45" s="13" t="s">
        <v>408</v>
      </c>
      <c r="R45" s="14">
        <v>45201</v>
      </c>
      <c r="S45" s="65"/>
      <c r="T45" s="18">
        <v>13.31</v>
      </c>
      <c r="U45" s="44"/>
      <c r="V45" s="10"/>
      <c r="W45" s="10"/>
      <c r="X45" s="10"/>
      <c r="Y45" s="10"/>
      <c r="Z45" s="10"/>
      <c r="AA45" s="10" t="s">
        <v>408</v>
      </c>
      <c r="AB45" s="18">
        <v>10</v>
      </c>
      <c r="AC45" s="10"/>
      <c r="AD45" s="76">
        <v>24.881695000000001</v>
      </c>
      <c r="AE45" s="44">
        <v>76.236272</v>
      </c>
    </row>
    <row r="46" spans="1:31">
      <c r="A46" s="8" t="s">
        <v>36</v>
      </c>
      <c r="B46" s="8" t="s">
        <v>1126</v>
      </c>
      <c r="C46" s="8" t="s">
        <v>1186</v>
      </c>
      <c r="D46" s="9" t="s">
        <v>1197</v>
      </c>
      <c r="E46" s="8" t="s">
        <v>1198</v>
      </c>
      <c r="F46" s="8">
        <v>219.35</v>
      </c>
      <c r="G46" s="8">
        <v>56</v>
      </c>
      <c r="H46" s="8">
        <v>215</v>
      </c>
      <c r="I46" s="8">
        <v>116</v>
      </c>
      <c r="J46" s="8">
        <v>99</v>
      </c>
      <c r="K46" s="8">
        <v>139</v>
      </c>
      <c r="L46" s="10">
        <f t="shared" si="0"/>
        <v>64.651162790697668</v>
      </c>
      <c r="M46" s="8">
        <v>10</v>
      </c>
      <c r="N46" s="10">
        <f t="shared" si="1"/>
        <v>4.6511627906976747</v>
      </c>
      <c r="O46" s="8">
        <v>0.72</v>
      </c>
      <c r="P46" s="8">
        <v>6.7</v>
      </c>
      <c r="Q46" s="13" t="s">
        <v>408</v>
      </c>
      <c r="R46" s="14">
        <v>45201</v>
      </c>
      <c r="S46" s="65"/>
      <c r="T46" s="18">
        <v>20.38</v>
      </c>
      <c r="U46" s="44"/>
      <c r="V46" s="10"/>
      <c r="W46" s="10"/>
      <c r="X46" s="10"/>
      <c r="Y46" s="10"/>
      <c r="Z46" s="10"/>
      <c r="AA46" s="10" t="s">
        <v>408</v>
      </c>
      <c r="AB46" s="18">
        <v>5</v>
      </c>
      <c r="AC46" s="10"/>
      <c r="AD46" s="76">
        <v>24.905114999999999</v>
      </c>
      <c r="AE46" s="44">
        <v>76.250597999999997</v>
      </c>
    </row>
    <row r="47" spans="1:31">
      <c r="A47" s="8" t="s">
        <v>36</v>
      </c>
      <c r="B47" s="8" t="s">
        <v>1126</v>
      </c>
      <c r="C47" s="8" t="s">
        <v>1199</v>
      </c>
      <c r="D47" s="9" t="s">
        <v>1200</v>
      </c>
      <c r="E47" s="8" t="s">
        <v>1201</v>
      </c>
      <c r="F47" s="8">
        <v>753</v>
      </c>
      <c r="G47" s="8">
        <v>216</v>
      </c>
      <c r="H47" s="8">
        <v>1007</v>
      </c>
      <c r="I47" s="8">
        <v>547</v>
      </c>
      <c r="J47" s="8">
        <v>460</v>
      </c>
      <c r="K47" s="8">
        <v>126</v>
      </c>
      <c r="L47" s="10">
        <f t="shared" si="0"/>
        <v>12.512413108242304</v>
      </c>
      <c r="M47" s="8">
        <v>440</v>
      </c>
      <c r="N47" s="10">
        <f t="shared" si="1"/>
        <v>43.694141012909633</v>
      </c>
      <c r="O47" s="8">
        <v>9</v>
      </c>
      <c r="P47" s="8">
        <v>450</v>
      </c>
      <c r="Q47" s="13" t="s">
        <v>408</v>
      </c>
      <c r="R47" s="13" t="s">
        <v>1203</v>
      </c>
      <c r="S47" s="15"/>
      <c r="T47" s="50">
        <v>38.56</v>
      </c>
      <c r="U47" s="13"/>
      <c r="V47" s="10"/>
      <c r="W47" s="10"/>
      <c r="X47" s="10"/>
      <c r="Y47" s="10"/>
      <c r="Z47" s="10"/>
      <c r="AA47" s="10" t="s">
        <v>408</v>
      </c>
      <c r="AB47" s="50">
        <v>3</v>
      </c>
      <c r="AC47" s="10"/>
      <c r="AD47" s="69">
        <v>24.781918000000001</v>
      </c>
      <c r="AE47" s="13" t="s">
        <v>1202</v>
      </c>
    </row>
    <row r="48" spans="1:31">
      <c r="A48" s="8" t="s">
        <v>36</v>
      </c>
      <c r="B48" s="8" t="s">
        <v>1126</v>
      </c>
      <c r="C48" s="8" t="s">
        <v>1199</v>
      </c>
      <c r="D48" s="9" t="s">
        <v>1204</v>
      </c>
      <c r="E48" s="8" t="s">
        <v>1205</v>
      </c>
      <c r="F48" s="8">
        <v>699</v>
      </c>
      <c r="G48" s="8">
        <v>213</v>
      </c>
      <c r="H48" s="8">
        <v>1074</v>
      </c>
      <c r="I48" s="8">
        <v>543</v>
      </c>
      <c r="J48" s="8">
        <v>531</v>
      </c>
      <c r="K48" s="8">
        <v>16</v>
      </c>
      <c r="L48" s="10">
        <f t="shared" si="0"/>
        <v>1.4897579143389199</v>
      </c>
      <c r="M48" s="8">
        <v>272</v>
      </c>
      <c r="N48" s="10">
        <f t="shared" si="1"/>
        <v>25.325884543761639</v>
      </c>
      <c r="O48" s="8">
        <v>51</v>
      </c>
      <c r="P48" s="8">
        <v>104</v>
      </c>
      <c r="Q48" s="13" t="s">
        <v>408</v>
      </c>
      <c r="R48" s="13" t="s">
        <v>1203</v>
      </c>
      <c r="S48" s="15"/>
      <c r="T48" s="10"/>
      <c r="U48" s="13"/>
      <c r="V48" s="10"/>
      <c r="W48" s="10"/>
      <c r="X48" s="10"/>
      <c r="Y48" s="10"/>
      <c r="Z48" s="10"/>
      <c r="AA48" s="10" t="s">
        <v>1949</v>
      </c>
      <c r="AB48" s="10"/>
      <c r="AC48" s="10"/>
      <c r="AD48" s="69">
        <v>24.771720999999999</v>
      </c>
      <c r="AE48" s="13">
        <v>76.192807000000002</v>
      </c>
    </row>
    <row r="49" spans="1:31">
      <c r="A49" s="8" t="s">
        <v>36</v>
      </c>
      <c r="B49" s="8" t="s">
        <v>1126</v>
      </c>
      <c r="C49" s="8" t="s">
        <v>1199</v>
      </c>
      <c r="D49" s="9" t="s">
        <v>1206</v>
      </c>
      <c r="E49" s="8" t="s">
        <v>1207</v>
      </c>
      <c r="F49" s="8">
        <v>2425</v>
      </c>
      <c r="G49" s="8">
        <v>25</v>
      </c>
      <c r="H49" s="8">
        <v>108</v>
      </c>
      <c r="I49" s="8">
        <v>55</v>
      </c>
      <c r="J49" s="8">
        <v>53</v>
      </c>
      <c r="K49" s="8">
        <v>0</v>
      </c>
      <c r="L49" s="10">
        <f t="shared" si="0"/>
        <v>0</v>
      </c>
      <c r="M49" s="8">
        <v>108</v>
      </c>
      <c r="N49" s="10">
        <f t="shared" si="1"/>
        <v>100</v>
      </c>
      <c r="O49" s="8">
        <v>0</v>
      </c>
      <c r="P49" s="8">
        <v>2133</v>
      </c>
      <c r="Q49" s="10"/>
      <c r="R49" s="10"/>
      <c r="S49" s="10"/>
      <c r="T49" s="50">
        <v>4.5</v>
      </c>
      <c r="U49" s="10"/>
      <c r="V49" s="10"/>
      <c r="W49" s="10"/>
      <c r="X49" s="10"/>
      <c r="Y49" s="10"/>
      <c r="Z49" s="10"/>
      <c r="AA49" s="10" t="s">
        <v>408</v>
      </c>
      <c r="AB49" s="50">
        <v>5</v>
      </c>
      <c r="AC49" s="10"/>
      <c r="AD49" s="70"/>
      <c r="AE49" s="10"/>
    </row>
    <row r="50" spans="1:31">
      <c r="A50" s="8" t="s">
        <v>36</v>
      </c>
      <c r="B50" s="8" t="s">
        <v>1126</v>
      </c>
      <c r="C50" s="8" t="s">
        <v>1199</v>
      </c>
      <c r="D50" s="9" t="s">
        <v>1208</v>
      </c>
      <c r="E50" s="8" t="s">
        <v>1209</v>
      </c>
      <c r="F50" s="8">
        <v>344.15</v>
      </c>
      <c r="G50" s="8">
        <v>178</v>
      </c>
      <c r="H50" s="8">
        <v>1012</v>
      </c>
      <c r="I50" s="8">
        <v>529</v>
      </c>
      <c r="J50" s="8">
        <v>483</v>
      </c>
      <c r="K50" s="8">
        <v>150</v>
      </c>
      <c r="L50" s="10">
        <f t="shared" si="0"/>
        <v>14.822134387351779</v>
      </c>
      <c r="M50" s="8">
        <v>193</v>
      </c>
      <c r="N50" s="10">
        <f t="shared" si="1"/>
        <v>19.071146245059289</v>
      </c>
      <c r="O50" s="8">
        <v>21.15</v>
      </c>
      <c r="P50" s="8">
        <v>6.57</v>
      </c>
      <c r="Q50" s="13" t="s">
        <v>408</v>
      </c>
      <c r="R50" s="13" t="s">
        <v>1203</v>
      </c>
      <c r="S50" s="15"/>
      <c r="T50" s="50">
        <v>5</v>
      </c>
      <c r="U50" s="13"/>
      <c r="V50" s="10"/>
      <c r="W50" s="10"/>
      <c r="X50" s="10"/>
      <c r="Y50" s="10"/>
      <c r="Z50" s="10"/>
      <c r="AA50" s="10" t="s">
        <v>408</v>
      </c>
      <c r="AB50" s="50">
        <v>6</v>
      </c>
      <c r="AC50" s="10"/>
      <c r="AD50" s="69">
        <v>24.783450999999999</v>
      </c>
      <c r="AE50" s="13">
        <v>76.187078999999997</v>
      </c>
    </row>
    <row r="51" spans="1:31">
      <c r="A51" s="8" t="s">
        <v>36</v>
      </c>
      <c r="B51" s="8" t="s">
        <v>1126</v>
      </c>
      <c r="C51" s="8" t="s">
        <v>1199</v>
      </c>
      <c r="D51" s="9" t="s">
        <v>275</v>
      </c>
      <c r="E51" s="8" t="s">
        <v>1210</v>
      </c>
      <c r="F51" s="8">
        <v>743.75</v>
      </c>
      <c r="G51" s="8">
        <v>171</v>
      </c>
      <c r="H51" s="8">
        <v>1002</v>
      </c>
      <c r="I51" s="8">
        <v>516</v>
      </c>
      <c r="J51" s="8">
        <v>486</v>
      </c>
      <c r="K51" s="8">
        <v>92</v>
      </c>
      <c r="L51" s="10">
        <f t="shared" si="0"/>
        <v>9.1816367265469054</v>
      </c>
      <c r="M51" s="8">
        <v>7</v>
      </c>
      <c r="N51" s="10">
        <f t="shared" si="1"/>
        <v>0.69860279441117767</v>
      </c>
      <c r="O51" s="8">
        <v>27.02</v>
      </c>
      <c r="P51" s="8">
        <v>0</v>
      </c>
      <c r="Q51" s="13" t="s">
        <v>408</v>
      </c>
      <c r="R51" s="13" t="s">
        <v>1203</v>
      </c>
      <c r="S51" s="15"/>
      <c r="T51" s="10"/>
      <c r="U51" s="13"/>
      <c r="V51" s="10"/>
      <c r="W51" s="10"/>
      <c r="X51" s="10"/>
      <c r="Y51" s="10"/>
      <c r="Z51" s="10"/>
      <c r="AA51" s="10" t="s">
        <v>1949</v>
      </c>
      <c r="AB51" s="10"/>
      <c r="AC51" s="10"/>
      <c r="AD51" s="69">
        <v>24.790849999999999</v>
      </c>
      <c r="AE51" s="13">
        <v>76.191383000000002</v>
      </c>
    </row>
    <row r="52" spans="1:31">
      <c r="A52" s="8" t="s">
        <v>36</v>
      </c>
      <c r="B52" s="8" t="s">
        <v>1126</v>
      </c>
      <c r="C52" s="8" t="s">
        <v>1211</v>
      </c>
      <c r="D52" s="9" t="s">
        <v>1212</v>
      </c>
      <c r="E52" s="8" t="s">
        <v>1213</v>
      </c>
      <c r="F52" s="8">
        <v>855.52</v>
      </c>
      <c r="G52" s="8">
        <v>267</v>
      </c>
      <c r="H52" s="8">
        <v>1528</v>
      </c>
      <c r="I52" s="8">
        <v>760</v>
      </c>
      <c r="J52" s="8">
        <v>768</v>
      </c>
      <c r="K52" s="8">
        <v>454</v>
      </c>
      <c r="L52" s="10">
        <f t="shared" si="0"/>
        <v>29.712041884816752</v>
      </c>
      <c r="M52" s="8">
        <v>274</v>
      </c>
      <c r="N52" s="10">
        <f t="shared" si="1"/>
        <v>17.93193717277487</v>
      </c>
      <c r="O52" s="8">
        <v>14.64</v>
      </c>
      <c r="P52" s="8">
        <v>0.65</v>
      </c>
      <c r="Q52" s="13" t="s">
        <v>408</v>
      </c>
      <c r="R52" s="21">
        <v>45932</v>
      </c>
      <c r="S52" s="18"/>
      <c r="T52" s="50">
        <v>7</v>
      </c>
      <c r="U52" s="18"/>
      <c r="V52" s="10"/>
      <c r="W52" s="10"/>
      <c r="X52" s="10"/>
      <c r="Y52" s="10"/>
      <c r="Z52" s="10"/>
      <c r="AA52" s="10" t="s">
        <v>408</v>
      </c>
      <c r="AB52" s="50">
        <v>10</v>
      </c>
      <c r="AC52" s="10"/>
      <c r="AD52" s="72"/>
      <c r="AE52" s="18"/>
    </row>
    <row r="53" spans="1:31">
      <c r="A53" s="8" t="s">
        <v>36</v>
      </c>
      <c r="B53" s="8" t="s">
        <v>1126</v>
      </c>
      <c r="C53" s="8" t="s">
        <v>1211</v>
      </c>
      <c r="D53" s="9" t="s">
        <v>1003</v>
      </c>
      <c r="E53" s="8" t="s">
        <v>1214</v>
      </c>
      <c r="F53" s="8">
        <v>408.74</v>
      </c>
      <c r="G53" s="8">
        <v>71</v>
      </c>
      <c r="H53" s="8">
        <v>337</v>
      </c>
      <c r="I53" s="8">
        <v>174</v>
      </c>
      <c r="J53" s="8">
        <v>163</v>
      </c>
      <c r="K53" s="8">
        <v>72</v>
      </c>
      <c r="L53" s="10">
        <f t="shared" si="0"/>
        <v>21.364985163204746</v>
      </c>
      <c r="M53" s="8">
        <v>184</v>
      </c>
      <c r="N53" s="10">
        <f t="shared" si="1"/>
        <v>54.59940652818991</v>
      </c>
      <c r="O53" s="8">
        <v>15.9</v>
      </c>
      <c r="P53" s="8">
        <v>0</v>
      </c>
      <c r="Q53" s="13" t="s">
        <v>408</v>
      </c>
      <c r="R53" s="21">
        <v>45932</v>
      </c>
      <c r="S53" s="18"/>
      <c r="T53" s="50">
        <v>5</v>
      </c>
      <c r="U53" s="18"/>
      <c r="V53" s="10"/>
      <c r="W53" s="10"/>
      <c r="X53" s="10"/>
      <c r="Y53" s="10"/>
      <c r="Z53" s="10"/>
      <c r="AA53" s="10" t="s">
        <v>408</v>
      </c>
      <c r="AB53" s="50">
        <v>1.5</v>
      </c>
      <c r="AC53" s="10"/>
      <c r="AD53" s="72"/>
      <c r="AE53" s="18"/>
    </row>
    <row r="54" spans="1:31">
      <c r="A54" s="8" t="s">
        <v>36</v>
      </c>
      <c r="B54" s="8" t="s">
        <v>1126</v>
      </c>
      <c r="C54" s="8" t="s">
        <v>1211</v>
      </c>
      <c r="D54" s="9" t="s">
        <v>1216</v>
      </c>
      <c r="E54" s="8" t="s">
        <v>1217</v>
      </c>
      <c r="F54" s="8">
        <v>186.5</v>
      </c>
      <c r="G54" s="8">
        <v>103</v>
      </c>
      <c r="H54" s="8">
        <v>605</v>
      </c>
      <c r="I54" s="8">
        <v>320</v>
      </c>
      <c r="J54" s="8">
        <v>285</v>
      </c>
      <c r="K54" s="8">
        <v>136</v>
      </c>
      <c r="L54" s="10">
        <f t="shared" si="0"/>
        <v>22.479338842975206</v>
      </c>
      <c r="M54" s="8">
        <v>265</v>
      </c>
      <c r="N54" s="10">
        <f t="shared" si="1"/>
        <v>43.801652892561982</v>
      </c>
      <c r="O54" s="8">
        <v>18.670000000000002</v>
      </c>
      <c r="P54" s="8">
        <v>0</v>
      </c>
      <c r="Q54" s="13" t="s">
        <v>408</v>
      </c>
      <c r="R54" s="21">
        <v>45932</v>
      </c>
      <c r="S54" s="18"/>
      <c r="T54" s="52">
        <v>36.549999999999997</v>
      </c>
      <c r="U54" s="18"/>
      <c r="V54" s="10"/>
      <c r="W54" s="10"/>
      <c r="X54" s="10"/>
      <c r="Y54" s="10"/>
      <c r="Z54" s="10"/>
      <c r="AA54" s="10" t="s">
        <v>408</v>
      </c>
      <c r="AB54" s="52">
        <v>30</v>
      </c>
      <c r="AC54" s="10"/>
      <c r="AD54" s="72"/>
      <c r="AE54" s="18"/>
    </row>
    <row r="55" spans="1:31">
      <c r="A55" s="8" t="s">
        <v>36</v>
      </c>
      <c r="B55" s="8" t="s">
        <v>1126</v>
      </c>
      <c r="C55" s="8" t="s">
        <v>1211</v>
      </c>
      <c r="D55" s="9" t="s">
        <v>283</v>
      </c>
      <c r="E55" s="8" t="s">
        <v>1218</v>
      </c>
      <c r="F55" s="8">
        <v>491.18</v>
      </c>
      <c r="G55" s="8">
        <v>126</v>
      </c>
      <c r="H55" s="8">
        <v>733</v>
      </c>
      <c r="I55" s="8">
        <v>376</v>
      </c>
      <c r="J55" s="8">
        <v>357</v>
      </c>
      <c r="K55" s="8">
        <v>44</v>
      </c>
      <c r="L55" s="10">
        <f t="shared" si="0"/>
        <v>6.0027285129604371</v>
      </c>
      <c r="M55" s="8">
        <v>0</v>
      </c>
      <c r="N55" s="10">
        <f t="shared" si="1"/>
        <v>0</v>
      </c>
      <c r="O55" s="8">
        <v>25.1</v>
      </c>
      <c r="P55" s="8">
        <v>0</v>
      </c>
      <c r="Q55" s="13" t="s">
        <v>408</v>
      </c>
      <c r="R55" s="21">
        <v>45932</v>
      </c>
      <c r="S55" s="18"/>
      <c r="T55" s="52">
        <v>15.04</v>
      </c>
      <c r="U55" s="18"/>
      <c r="V55" s="10"/>
      <c r="W55" s="10"/>
      <c r="X55" s="10"/>
      <c r="Y55" s="10"/>
      <c r="Z55" s="10"/>
      <c r="AA55" s="10" t="s">
        <v>408</v>
      </c>
      <c r="AB55" s="52">
        <v>10</v>
      </c>
      <c r="AC55" s="10"/>
      <c r="AD55" s="72"/>
      <c r="AE55" s="18"/>
    </row>
    <row r="56" spans="1:31">
      <c r="A56" s="8" t="s">
        <v>36</v>
      </c>
      <c r="B56" s="8" t="s">
        <v>1126</v>
      </c>
      <c r="C56" s="8" t="s">
        <v>1211</v>
      </c>
      <c r="D56" s="9" t="s">
        <v>1219</v>
      </c>
      <c r="E56" s="8" t="s">
        <v>1220</v>
      </c>
      <c r="F56" s="8">
        <v>205.77</v>
      </c>
      <c r="G56" s="8">
        <v>48</v>
      </c>
      <c r="H56" s="8">
        <v>233</v>
      </c>
      <c r="I56" s="8">
        <v>135</v>
      </c>
      <c r="J56" s="8">
        <v>98</v>
      </c>
      <c r="K56" s="8">
        <v>61</v>
      </c>
      <c r="L56" s="10">
        <f t="shared" si="0"/>
        <v>26.180257510729614</v>
      </c>
      <c r="M56" s="8">
        <v>147</v>
      </c>
      <c r="N56" s="10">
        <f t="shared" si="1"/>
        <v>63.090128755364802</v>
      </c>
      <c r="O56" s="8">
        <v>16.09</v>
      </c>
      <c r="P56" s="8">
        <v>0</v>
      </c>
      <c r="Q56" s="13" t="s">
        <v>408</v>
      </c>
      <c r="R56" s="21">
        <v>45932</v>
      </c>
      <c r="S56" s="18"/>
      <c r="T56" s="52">
        <v>48.44</v>
      </c>
      <c r="U56" s="18"/>
      <c r="V56" s="10"/>
      <c r="W56" s="10"/>
      <c r="X56" s="10"/>
      <c r="Y56" s="10"/>
      <c r="Z56" s="10"/>
      <c r="AA56" s="10" t="s">
        <v>408</v>
      </c>
      <c r="AB56" s="52">
        <v>40</v>
      </c>
      <c r="AC56" s="10"/>
      <c r="AD56" s="72"/>
      <c r="AE56" s="18"/>
    </row>
    <row r="57" spans="1:31">
      <c r="A57" s="8" t="s">
        <v>36</v>
      </c>
      <c r="B57" s="8" t="s">
        <v>1126</v>
      </c>
      <c r="C57" s="8" t="s">
        <v>1211</v>
      </c>
      <c r="D57" s="9" t="s">
        <v>1221</v>
      </c>
      <c r="E57" s="8" t="s">
        <v>1222</v>
      </c>
      <c r="F57" s="8">
        <v>90.46</v>
      </c>
      <c r="G57" s="8">
        <v>37</v>
      </c>
      <c r="H57" s="8">
        <v>165</v>
      </c>
      <c r="I57" s="8">
        <v>90</v>
      </c>
      <c r="J57" s="8">
        <v>75</v>
      </c>
      <c r="K57" s="8">
        <v>17</v>
      </c>
      <c r="L57" s="10">
        <f t="shared" si="0"/>
        <v>10.303030303030303</v>
      </c>
      <c r="M57" s="8">
        <v>120</v>
      </c>
      <c r="N57" s="10">
        <f t="shared" si="1"/>
        <v>72.727272727272734</v>
      </c>
      <c r="O57" s="8">
        <v>5.5</v>
      </c>
      <c r="P57" s="8">
        <v>0</v>
      </c>
      <c r="Q57" s="13" t="s">
        <v>408</v>
      </c>
      <c r="R57" s="21">
        <v>45932</v>
      </c>
      <c r="S57" s="18"/>
      <c r="T57" s="10"/>
      <c r="U57" s="18"/>
      <c r="V57" s="10"/>
      <c r="W57" s="10"/>
      <c r="X57" s="10"/>
      <c r="Y57" s="10"/>
      <c r="Z57" s="10"/>
      <c r="AA57" s="10" t="s">
        <v>1949</v>
      </c>
      <c r="AB57" s="10"/>
      <c r="AC57" s="10"/>
      <c r="AD57" s="72"/>
      <c r="AE57" s="18"/>
    </row>
    <row r="58" spans="1:31">
      <c r="A58" s="8" t="s">
        <v>36</v>
      </c>
      <c r="B58" s="8" t="s">
        <v>1126</v>
      </c>
      <c r="C58" s="8" t="s">
        <v>1211</v>
      </c>
      <c r="D58" s="9" t="s">
        <v>112</v>
      </c>
      <c r="E58" s="8" t="s">
        <v>1223</v>
      </c>
      <c r="F58" s="8">
        <v>357.67</v>
      </c>
      <c r="G58" s="8">
        <v>93</v>
      </c>
      <c r="H58" s="8">
        <v>517</v>
      </c>
      <c r="I58" s="8">
        <v>277</v>
      </c>
      <c r="J58" s="8">
        <v>240</v>
      </c>
      <c r="K58" s="8">
        <v>92</v>
      </c>
      <c r="L58" s="10">
        <f t="shared" si="0"/>
        <v>17.794970986460349</v>
      </c>
      <c r="M58" s="8">
        <v>44</v>
      </c>
      <c r="N58" s="10">
        <f t="shared" si="1"/>
        <v>8.5106382978723403</v>
      </c>
      <c r="O58" s="8">
        <v>14.45</v>
      </c>
      <c r="P58" s="8">
        <v>3.72</v>
      </c>
      <c r="Q58" s="13" t="s">
        <v>408</v>
      </c>
      <c r="R58" s="21">
        <v>45932</v>
      </c>
      <c r="S58" s="18"/>
      <c r="T58" s="10"/>
      <c r="U58" s="18"/>
      <c r="V58" s="10"/>
      <c r="W58" s="10"/>
      <c r="X58" s="10"/>
      <c r="Y58" s="10"/>
      <c r="Z58" s="10"/>
      <c r="AA58" s="10" t="s">
        <v>1949</v>
      </c>
      <c r="AB58" s="10"/>
      <c r="AC58" s="10"/>
      <c r="AD58" s="72"/>
      <c r="AE58" s="18"/>
    </row>
    <row r="59" spans="1:31">
      <c r="A59" s="8" t="s">
        <v>36</v>
      </c>
      <c r="B59" s="8" t="s">
        <v>1126</v>
      </c>
      <c r="C59" s="8" t="s">
        <v>1211</v>
      </c>
      <c r="D59" s="9" t="s">
        <v>1224</v>
      </c>
      <c r="E59" s="8" t="s">
        <v>1225</v>
      </c>
      <c r="F59" s="8">
        <v>90.75</v>
      </c>
      <c r="G59" s="8">
        <v>116</v>
      </c>
      <c r="H59" s="8">
        <v>576</v>
      </c>
      <c r="I59" s="8">
        <v>318</v>
      </c>
      <c r="J59" s="8">
        <v>258</v>
      </c>
      <c r="K59" s="8">
        <v>2</v>
      </c>
      <c r="L59" s="10">
        <f t="shared" si="0"/>
        <v>0.34722222222222221</v>
      </c>
      <c r="M59" s="8">
        <v>570</v>
      </c>
      <c r="N59" s="10">
        <f t="shared" si="1"/>
        <v>98.958333333333343</v>
      </c>
      <c r="O59" s="8">
        <v>20.04</v>
      </c>
      <c r="P59" s="8">
        <v>0</v>
      </c>
      <c r="Q59" s="13" t="s">
        <v>408</v>
      </c>
      <c r="R59" s="21">
        <v>45932</v>
      </c>
      <c r="S59" s="18"/>
      <c r="T59" s="50">
        <v>18.09</v>
      </c>
      <c r="U59" s="18"/>
      <c r="V59" s="10"/>
      <c r="W59" s="10"/>
      <c r="X59" s="10"/>
      <c r="Y59" s="10"/>
      <c r="Z59" s="10"/>
      <c r="AA59" s="10" t="s">
        <v>408</v>
      </c>
      <c r="AB59" s="50">
        <v>2</v>
      </c>
      <c r="AC59" s="10"/>
      <c r="AD59" s="72"/>
      <c r="AE59" s="18"/>
    </row>
    <row r="60" spans="1:31">
      <c r="A60" s="8" t="s">
        <v>36</v>
      </c>
      <c r="B60" s="8" t="s">
        <v>1126</v>
      </c>
      <c r="C60" s="8" t="s">
        <v>1226</v>
      </c>
      <c r="D60" s="9" t="s">
        <v>1227</v>
      </c>
      <c r="E60" s="8" t="s">
        <v>1228</v>
      </c>
      <c r="F60" s="8">
        <v>950.55</v>
      </c>
      <c r="G60" s="8">
        <v>427</v>
      </c>
      <c r="H60" s="8">
        <v>2416</v>
      </c>
      <c r="I60" s="8">
        <v>1284</v>
      </c>
      <c r="J60" s="8">
        <v>1132</v>
      </c>
      <c r="K60" s="8">
        <v>862</v>
      </c>
      <c r="L60" s="10">
        <f t="shared" si="0"/>
        <v>35.67880794701987</v>
      </c>
      <c r="M60" s="8">
        <v>66</v>
      </c>
      <c r="N60" s="10">
        <f t="shared" si="1"/>
        <v>2.7317880794701987</v>
      </c>
      <c r="O60" s="8">
        <v>45</v>
      </c>
      <c r="P60" s="8">
        <v>29</v>
      </c>
      <c r="Q60" s="50" t="s">
        <v>586</v>
      </c>
      <c r="R60" s="53">
        <v>44582</v>
      </c>
      <c r="S60" s="52"/>
      <c r="T60" s="50">
        <v>11.98</v>
      </c>
      <c r="U60" s="52" t="s">
        <v>408</v>
      </c>
      <c r="V60" s="10"/>
      <c r="W60" s="10"/>
      <c r="X60" s="10"/>
      <c r="Y60" s="10"/>
      <c r="Z60" s="10"/>
      <c r="AA60" s="10" t="s">
        <v>408</v>
      </c>
      <c r="AB60" s="50">
        <v>6</v>
      </c>
      <c r="AC60" s="10"/>
      <c r="AD60" s="77">
        <v>25.005141999999999</v>
      </c>
      <c r="AE60" s="52">
        <v>76.119664</v>
      </c>
    </row>
    <row r="61" spans="1:31">
      <c r="A61" s="8" t="s">
        <v>36</v>
      </c>
      <c r="B61" s="8" t="s">
        <v>1126</v>
      </c>
      <c r="C61" s="8" t="s">
        <v>1226</v>
      </c>
      <c r="D61" s="9" t="s">
        <v>96</v>
      </c>
      <c r="E61" s="8" t="s">
        <v>1229</v>
      </c>
      <c r="F61" s="8">
        <v>256.37</v>
      </c>
      <c r="G61" s="8">
        <v>39</v>
      </c>
      <c r="H61" s="8">
        <v>236</v>
      </c>
      <c r="I61" s="8">
        <v>127</v>
      </c>
      <c r="J61" s="8">
        <v>109</v>
      </c>
      <c r="K61" s="8">
        <v>7</v>
      </c>
      <c r="L61" s="10">
        <f t="shared" si="0"/>
        <v>2.9661016949152543</v>
      </c>
      <c r="M61" s="8">
        <v>17</v>
      </c>
      <c r="N61" s="10">
        <f t="shared" si="1"/>
        <v>7.2033898305084749</v>
      </c>
      <c r="O61" s="8">
        <v>0</v>
      </c>
      <c r="P61" s="8">
        <v>23</v>
      </c>
      <c r="Q61" s="10"/>
      <c r="R61" s="10"/>
      <c r="S61" s="10"/>
      <c r="T61" s="10"/>
      <c r="U61" s="52" t="s">
        <v>408</v>
      </c>
      <c r="V61" s="10"/>
      <c r="W61" s="10"/>
      <c r="X61" s="10"/>
      <c r="Y61" s="10"/>
      <c r="Z61" s="10"/>
      <c r="AA61" s="10" t="s">
        <v>1949</v>
      </c>
      <c r="AB61" s="10"/>
      <c r="AC61" s="10"/>
      <c r="AD61" s="70"/>
      <c r="AE61" s="10"/>
    </row>
    <row r="62" spans="1:31">
      <c r="A62" s="8" t="s">
        <v>36</v>
      </c>
      <c r="B62" s="8" t="s">
        <v>1126</v>
      </c>
      <c r="C62" s="8" t="s">
        <v>1226</v>
      </c>
      <c r="D62" s="9" t="s">
        <v>1230</v>
      </c>
      <c r="E62" s="8" t="s">
        <v>1231</v>
      </c>
      <c r="F62" s="8">
        <v>180.28</v>
      </c>
      <c r="G62" s="8">
        <v>37</v>
      </c>
      <c r="H62" s="8">
        <v>155</v>
      </c>
      <c r="I62" s="8">
        <v>84</v>
      </c>
      <c r="J62" s="8">
        <v>71</v>
      </c>
      <c r="K62" s="8">
        <v>7</v>
      </c>
      <c r="L62" s="10">
        <f t="shared" si="0"/>
        <v>4.5161290322580641</v>
      </c>
      <c r="M62" s="8">
        <v>124</v>
      </c>
      <c r="N62" s="10">
        <f t="shared" si="1"/>
        <v>80</v>
      </c>
      <c r="O62" s="8">
        <v>10</v>
      </c>
      <c r="P62" s="8">
        <v>28</v>
      </c>
      <c r="Q62" s="50" t="s">
        <v>586</v>
      </c>
      <c r="R62" s="53">
        <v>44592</v>
      </c>
      <c r="S62" s="52"/>
      <c r="T62" s="50">
        <v>3.71</v>
      </c>
      <c r="U62" s="52" t="s">
        <v>408</v>
      </c>
      <c r="V62" s="10"/>
      <c r="W62" s="10"/>
      <c r="X62" s="10"/>
      <c r="Y62" s="10"/>
      <c r="Z62" s="10"/>
      <c r="AA62" s="10" t="s">
        <v>408</v>
      </c>
      <c r="AB62" s="50">
        <v>1.3</v>
      </c>
      <c r="AC62" s="10"/>
      <c r="AD62" s="77"/>
      <c r="AE62" s="52"/>
    </row>
    <row r="63" spans="1:31">
      <c r="A63" s="8" t="s">
        <v>36</v>
      </c>
      <c r="B63" s="8" t="s">
        <v>1126</v>
      </c>
      <c r="C63" s="8" t="s">
        <v>1226</v>
      </c>
      <c r="D63" s="9" t="s">
        <v>1232</v>
      </c>
      <c r="E63" s="8" t="s">
        <v>1233</v>
      </c>
      <c r="F63" s="8">
        <v>325.55</v>
      </c>
      <c r="G63" s="8">
        <v>59</v>
      </c>
      <c r="H63" s="8">
        <v>301</v>
      </c>
      <c r="I63" s="8">
        <v>150</v>
      </c>
      <c r="J63" s="8">
        <v>151</v>
      </c>
      <c r="K63" s="8">
        <v>131</v>
      </c>
      <c r="L63" s="10">
        <f t="shared" si="0"/>
        <v>43.521594684385384</v>
      </c>
      <c r="M63" s="8">
        <v>19</v>
      </c>
      <c r="N63" s="10">
        <f t="shared" si="1"/>
        <v>6.3122923588039868</v>
      </c>
      <c r="O63" s="8">
        <v>8.5500000000000007</v>
      </c>
      <c r="P63" s="8">
        <v>0</v>
      </c>
      <c r="Q63" s="50" t="s">
        <v>586</v>
      </c>
      <c r="R63" s="53">
        <v>44588</v>
      </c>
      <c r="S63" s="52"/>
      <c r="T63" s="50">
        <v>50.59</v>
      </c>
      <c r="U63" s="52" t="s">
        <v>408</v>
      </c>
      <c r="V63" s="10"/>
      <c r="W63" s="10"/>
      <c r="X63" s="10"/>
      <c r="Y63" s="10"/>
      <c r="Z63" s="10"/>
      <c r="AA63" s="10" t="s">
        <v>408</v>
      </c>
      <c r="AB63" s="50">
        <v>3</v>
      </c>
      <c r="AC63" s="10"/>
      <c r="AD63" s="77">
        <v>24.997046000000001</v>
      </c>
      <c r="AE63" s="52">
        <v>76.099913000000001</v>
      </c>
    </row>
    <row r="64" spans="1:31">
      <c r="A64" s="8" t="s">
        <v>36</v>
      </c>
      <c r="B64" s="8" t="s">
        <v>1126</v>
      </c>
      <c r="C64" s="8" t="s">
        <v>1226</v>
      </c>
      <c r="D64" s="9" t="s">
        <v>1234</v>
      </c>
      <c r="E64" s="8" t="s">
        <v>1235</v>
      </c>
      <c r="F64" s="8">
        <v>685.82</v>
      </c>
      <c r="G64" s="8">
        <v>158</v>
      </c>
      <c r="H64" s="8">
        <v>804</v>
      </c>
      <c r="I64" s="8">
        <v>418</v>
      </c>
      <c r="J64" s="8">
        <v>386</v>
      </c>
      <c r="K64" s="8">
        <v>251</v>
      </c>
      <c r="L64" s="10">
        <f t="shared" si="0"/>
        <v>31.218905472636816</v>
      </c>
      <c r="M64" s="8">
        <v>99</v>
      </c>
      <c r="N64" s="10">
        <f t="shared" si="1"/>
        <v>12.313432835820896</v>
      </c>
      <c r="O64" s="8">
        <v>44</v>
      </c>
      <c r="P64" s="8">
        <v>1</v>
      </c>
      <c r="Q64" s="10"/>
      <c r="R64" s="10"/>
      <c r="S64" s="10"/>
      <c r="T64" s="50">
        <v>26.72</v>
      </c>
      <c r="U64" s="52" t="s">
        <v>408</v>
      </c>
      <c r="V64" s="10"/>
      <c r="W64" s="10"/>
      <c r="X64" s="10"/>
      <c r="Y64" s="10"/>
      <c r="Z64" s="10"/>
      <c r="AA64" s="10" t="s">
        <v>408</v>
      </c>
      <c r="AB64" s="50">
        <v>10.5</v>
      </c>
      <c r="AC64" s="10"/>
      <c r="AD64" s="70"/>
      <c r="AE64" s="10"/>
    </row>
    <row r="65" spans="1:31">
      <c r="A65" s="8" t="s">
        <v>36</v>
      </c>
      <c r="B65" s="8" t="s">
        <v>1126</v>
      </c>
      <c r="C65" s="8" t="s">
        <v>1226</v>
      </c>
      <c r="D65" s="9" t="s">
        <v>1236</v>
      </c>
      <c r="E65" s="8" t="s">
        <v>1237</v>
      </c>
      <c r="F65" s="8">
        <v>256.26</v>
      </c>
      <c r="G65" s="8">
        <v>279</v>
      </c>
      <c r="H65" s="8">
        <v>1536</v>
      </c>
      <c r="I65" s="8">
        <v>778</v>
      </c>
      <c r="J65" s="8">
        <v>758</v>
      </c>
      <c r="K65" s="8">
        <v>340</v>
      </c>
      <c r="L65" s="10">
        <f t="shared" si="0"/>
        <v>22.135416666666664</v>
      </c>
      <c r="M65" s="8">
        <v>44</v>
      </c>
      <c r="N65" s="10">
        <f t="shared" si="1"/>
        <v>2.864583333333333</v>
      </c>
      <c r="O65" s="8">
        <v>13</v>
      </c>
      <c r="P65" s="8">
        <v>0</v>
      </c>
      <c r="Q65" s="50" t="s">
        <v>586</v>
      </c>
      <c r="R65" s="53">
        <v>44588</v>
      </c>
      <c r="S65" s="52"/>
      <c r="T65" s="10"/>
      <c r="U65" s="52" t="s">
        <v>408</v>
      </c>
      <c r="V65" s="10"/>
      <c r="W65" s="10"/>
      <c r="X65" s="10"/>
      <c r="Y65" s="10"/>
      <c r="Z65" s="10"/>
      <c r="AA65" s="10" t="s">
        <v>1949</v>
      </c>
      <c r="AB65" s="10"/>
      <c r="AC65" s="10"/>
      <c r="AD65" s="77">
        <v>24.997962999999999</v>
      </c>
      <c r="AE65" s="52">
        <v>76.107760999999996</v>
      </c>
    </row>
    <row r="66" spans="1:31">
      <c r="A66" s="8" t="s">
        <v>36</v>
      </c>
      <c r="B66" s="8" t="s">
        <v>1126</v>
      </c>
      <c r="C66" s="8" t="s">
        <v>1226</v>
      </c>
      <c r="D66" s="9" t="s">
        <v>1238</v>
      </c>
      <c r="E66" s="8" t="s">
        <v>1239</v>
      </c>
      <c r="F66" s="8">
        <v>339.09</v>
      </c>
      <c r="G66" s="8">
        <v>80</v>
      </c>
      <c r="H66" s="8">
        <v>431</v>
      </c>
      <c r="I66" s="8">
        <v>214</v>
      </c>
      <c r="J66" s="8">
        <v>217</v>
      </c>
      <c r="K66" s="8">
        <v>78</v>
      </c>
      <c r="L66" s="10">
        <f t="shared" si="0"/>
        <v>18.097447795823665</v>
      </c>
      <c r="M66" s="8">
        <v>20</v>
      </c>
      <c r="N66" s="10">
        <f t="shared" si="1"/>
        <v>4.6403712296983759</v>
      </c>
      <c r="O66" s="8">
        <v>20</v>
      </c>
      <c r="P66" s="8">
        <v>0</v>
      </c>
      <c r="Q66" s="50" t="s">
        <v>409</v>
      </c>
      <c r="R66" s="52" t="s">
        <v>1240</v>
      </c>
      <c r="S66" s="52"/>
      <c r="T66" s="10"/>
      <c r="U66" s="52" t="s">
        <v>408</v>
      </c>
      <c r="V66" s="10"/>
      <c r="W66" s="10"/>
      <c r="X66" s="10"/>
      <c r="Y66" s="10"/>
      <c r="Z66" s="10"/>
      <c r="AA66" s="10" t="s">
        <v>1949</v>
      </c>
      <c r="AB66" s="10"/>
      <c r="AC66" s="10"/>
      <c r="AD66" s="77">
        <v>25.01557</v>
      </c>
      <c r="AE66" s="52">
        <v>76.157619999999994</v>
      </c>
    </row>
    <row r="67" spans="1:31">
      <c r="A67" s="8" t="s">
        <v>36</v>
      </c>
      <c r="B67" s="8" t="s">
        <v>1126</v>
      </c>
      <c r="C67" s="8" t="s">
        <v>1241</v>
      </c>
      <c r="D67" s="9" t="s">
        <v>1242</v>
      </c>
      <c r="E67" s="8" t="s">
        <v>1243</v>
      </c>
      <c r="F67" s="8">
        <v>624</v>
      </c>
      <c r="G67" s="8">
        <v>231</v>
      </c>
      <c r="H67" s="8">
        <v>1274</v>
      </c>
      <c r="I67" s="8">
        <v>671</v>
      </c>
      <c r="J67" s="8">
        <v>603</v>
      </c>
      <c r="K67" s="8">
        <v>260</v>
      </c>
      <c r="L67" s="10">
        <f t="shared" si="0"/>
        <v>20.408163265306122</v>
      </c>
      <c r="M67" s="8">
        <v>12</v>
      </c>
      <c r="N67" s="10">
        <f t="shared" si="1"/>
        <v>0.9419152276295133</v>
      </c>
      <c r="O67" s="8">
        <v>37</v>
      </c>
      <c r="P67" s="8">
        <v>77</v>
      </c>
      <c r="Q67" s="50" t="s">
        <v>586</v>
      </c>
      <c r="R67" s="53">
        <v>44600</v>
      </c>
      <c r="S67" s="52"/>
      <c r="T67" s="10"/>
      <c r="U67" s="52" t="s">
        <v>408</v>
      </c>
      <c r="V67" s="10"/>
      <c r="W67" s="10"/>
      <c r="X67" s="10"/>
      <c r="Y67" s="10"/>
      <c r="Z67" s="10"/>
      <c r="AA67" s="10" t="s">
        <v>1949</v>
      </c>
      <c r="AB67" s="10"/>
      <c r="AC67" s="10"/>
      <c r="AD67" s="77">
        <v>24.941020999999999</v>
      </c>
      <c r="AE67" s="52">
        <v>76.320656999999997</v>
      </c>
    </row>
    <row r="68" spans="1:31">
      <c r="A68" s="8" t="s">
        <v>36</v>
      </c>
      <c r="B68" s="8" t="s">
        <v>1126</v>
      </c>
      <c r="C68" s="8" t="s">
        <v>1241</v>
      </c>
      <c r="D68" s="9" t="s">
        <v>1244</v>
      </c>
      <c r="E68" s="8" t="s">
        <v>1245</v>
      </c>
      <c r="F68" s="8">
        <v>350</v>
      </c>
      <c r="G68" s="8">
        <v>129</v>
      </c>
      <c r="H68" s="8">
        <v>729</v>
      </c>
      <c r="I68" s="8">
        <v>372</v>
      </c>
      <c r="J68" s="8">
        <v>357</v>
      </c>
      <c r="K68" s="8">
        <v>310</v>
      </c>
      <c r="L68" s="10">
        <f t="shared" ref="L68:L131" si="2">K68/H68*100</f>
        <v>42.524005486968456</v>
      </c>
      <c r="M68" s="8">
        <v>86</v>
      </c>
      <c r="N68" s="10">
        <f t="shared" si="1"/>
        <v>11.796982167352537</v>
      </c>
      <c r="O68" s="8">
        <v>11</v>
      </c>
      <c r="P68" s="8">
        <v>0</v>
      </c>
      <c r="Q68" s="50" t="s">
        <v>586</v>
      </c>
      <c r="R68" s="53">
        <v>44599</v>
      </c>
      <c r="S68" s="52"/>
      <c r="T68" s="52">
        <v>79.599999999999994</v>
      </c>
      <c r="U68" s="52" t="s">
        <v>408</v>
      </c>
      <c r="V68" s="10"/>
      <c r="W68" s="10"/>
      <c r="X68" s="10"/>
      <c r="Y68" s="10"/>
      <c r="Z68" s="10"/>
      <c r="AA68" s="10" t="s">
        <v>408</v>
      </c>
      <c r="AB68" s="52">
        <v>37</v>
      </c>
      <c r="AC68" s="10"/>
      <c r="AD68" s="77">
        <v>24.932448000000001</v>
      </c>
      <c r="AE68" s="52">
        <v>76.343478000000005</v>
      </c>
    </row>
    <row r="69" spans="1:31">
      <c r="A69" s="8" t="s">
        <v>36</v>
      </c>
      <c r="B69" s="8" t="s">
        <v>1126</v>
      </c>
      <c r="C69" s="8" t="s">
        <v>1241</v>
      </c>
      <c r="D69" s="9" t="s">
        <v>1246</v>
      </c>
      <c r="E69" s="8" t="s">
        <v>1247</v>
      </c>
      <c r="F69" s="8">
        <v>1351</v>
      </c>
      <c r="G69" s="8">
        <v>216</v>
      </c>
      <c r="H69" s="8">
        <v>1177</v>
      </c>
      <c r="I69" s="8">
        <v>600</v>
      </c>
      <c r="J69" s="8">
        <v>577</v>
      </c>
      <c r="K69" s="8">
        <v>465</v>
      </c>
      <c r="L69" s="10">
        <f t="shared" si="2"/>
        <v>39.507221750212409</v>
      </c>
      <c r="M69" s="8">
        <v>93</v>
      </c>
      <c r="N69" s="10">
        <f t="shared" ref="N69:N132" si="3">M69/H69*100</f>
        <v>7.90144435004248</v>
      </c>
      <c r="O69" s="8">
        <v>145</v>
      </c>
      <c r="P69" s="8">
        <v>145</v>
      </c>
      <c r="Q69" s="50" t="s">
        <v>586</v>
      </c>
      <c r="R69" s="53">
        <v>44599</v>
      </c>
      <c r="S69" s="52"/>
      <c r="T69" s="10"/>
      <c r="U69" s="52" t="s">
        <v>408</v>
      </c>
      <c r="V69" s="10"/>
      <c r="W69" s="10"/>
      <c r="X69" s="10"/>
      <c r="Y69" s="10"/>
      <c r="Z69" s="10"/>
      <c r="AA69" s="10" t="s">
        <v>1949</v>
      </c>
      <c r="AB69" s="10"/>
      <c r="AC69" s="10"/>
      <c r="AD69" s="77">
        <v>24.952444</v>
      </c>
      <c r="AE69" s="52">
        <v>76.345249999999993</v>
      </c>
    </row>
    <row r="70" spans="1:31">
      <c r="A70" s="8" t="s">
        <v>36</v>
      </c>
      <c r="B70" s="8" t="s">
        <v>1126</v>
      </c>
      <c r="C70" s="8" t="s">
        <v>1248</v>
      </c>
      <c r="D70" s="9" t="s">
        <v>1249</v>
      </c>
      <c r="E70" s="8" t="s">
        <v>1250</v>
      </c>
      <c r="F70" s="8">
        <v>960.14</v>
      </c>
      <c r="G70" s="8">
        <v>280</v>
      </c>
      <c r="H70" s="8">
        <v>1651</v>
      </c>
      <c r="I70" s="8">
        <v>830</v>
      </c>
      <c r="J70" s="8">
        <v>821</v>
      </c>
      <c r="K70" s="8">
        <v>700</v>
      </c>
      <c r="L70" s="10">
        <f t="shared" si="2"/>
        <v>42.398546335554208</v>
      </c>
      <c r="M70" s="8">
        <v>4</v>
      </c>
      <c r="N70" s="10">
        <f t="shared" si="3"/>
        <v>0.24227740763173833</v>
      </c>
      <c r="O70" s="8">
        <v>0</v>
      </c>
      <c r="P70" s="8">
        <v>0</v>
      </c>
      <c r="Q70" s="10"/>
      <c r="R70" s="10"/>
      <c r="S70" s="10"/>
      <c r="T70" s="52">
        <v>23.29</v>
      </c>
      <c r="U70" s="10"/>
      <c r="V70" s="10"/>
      <c r="W70" s="10"/>
      <c r="X70" s="10"/>
      <c r="Y70" s="10"/>
      <c r="Z70" s="10"/>
      <c r="AA70" s="10" t="s">
        <v>408</v>
      </c>
      <c r="AB70" s="52">
        <v>13</v>
      </c>
      <c r="AC70" s="10"/>
      <c r="AD70" s="70"/>
      <c r="AE70" s="10"/>
    </row>
    <row r="71" spans="1:31">
      <c r="A71" s="8" t="s">
        <v>36</v>
      </c>
      <c r="B71" s="8" t="s">
        <v>1126</v>
      </c>
      <c r="C71" s="8" t="s">
        <v>1248</v>
      </c>
      <c r="D71" s="9" t="s">
        <v>1251</v>
      </c>
      <c r="E71" s="8" t="s">
        <v>1252</v>
      </c>
      <c r="F71" s="8">
        <v>339</v>
      </c>
      <c r="G71" s="8">
        <v>106</v>
      </c>
      <c r="H71" s="8">
        <v>574</v>
      </c>
      <c r="I71" s="8">
        <v>297</v>
      </c>
      <c r="J71" s="8">
        <v>277</v>
      </c>
      <c r="K71" s="8">
        <v>61</v>
      </c>
      <c r="L71" s="10">
        <f t="shared" si="2"/>
        <v>10.627177700348431</v>
      </c>
      <c r="M71" s="8">
        <v>149</v>
      </c>
      <c r="N71" s="10">
        <f t="shared" si="3"/>
        <v>25.958188153310104</v>
      </c>
      <c r="O71" s="8">
        <v>23</v>
      </c>
      <c r="P71" s="8">
        <v>0</v>
      </c>
      <c r="Q71" s="10"/>
      <c r="R71" s="10"/>
      <c r="S71" s="10"/>
      <c r="T71" s="52">
        <v>7.36</v>
      </c>
      <c r="U71" s="10"/>
      <c r="V71" s="10"/>
      <c r="W71" s="10"/>
      <c r="X71" s="10"/>
      <c r="Y71" s="10"/>
      <c r="Z71" s="10"/>
      <c r="AA71" s="10" t="s">
        <v>408</v>
      </c>
      <c r="AB71" s="52">
        <v>2</v>
      </c>
      <c r="AC71" s="10"/>
      <c r="AD71" s="70"/>
      <c r="AE71" s="10"/>
    </row>
    <row r="72" spans="1:31">
      <c r="A72" s="8" t="s">
        <v>36</v>
      </c>
      <c r="B72" s="8" t="s">
        <v>1126</v>
      </c>
      <c r="C72" s="8" t="s">
        <v>1248</v>
      </c>
      <c r="D72" s="9" t="s">
        <v>1253</v>
      </c>
      <c r="E72" s="8" t="s">
        <v>1254</v>
      </c>
      <c r="F72" s="8">
        <v>225</v>
      </c>
      <c r="G72" s="8">
        <v>79</v>
      </c>
      <c r="H72" s="8">
        <v>514</v>
      </c>
      <c r="I72" s="8">
        <v>268</v>
      </c>
      <c r="J72" s="8">
        <v>246</v>
      </c>
      <c r="K72" s="8">
        <v>0</v>
      </c>
      <c r="L72" s="10">
        <f t="shared" si="2"/>
        <v>0</v>
      </c>
      <c r="M72" s="8">
        <v>50</v>
      </c>
      <c r="N72" s="10">
        <f t="shared" si="3"/>
        <v>9.7276264591439698</v>
      </c>
      <c r="O72" s="8">
        <v>20</v>
      </c>
      <c r="P72" s="8">
        <v>0</v>
      </c>
      <c r="Q72" s="50" t="s">
        <v>586</v>
      </c>
      <c r="R72" s="54">
        <v>44598</v>
      </c>
      <c r="S72" s="52"/>
      <c r="T72" s="52">
        <v>7.36</v>
      </c>
      <c r="U72" s="52"/>
      <c r="V72" s="10"/>
      <c r="W72" s="10"/>
      <c r="X72" s="10"/>
      <c r="Y72" s="10"/>
      <c r="Z72" s="10"/>
      <c r="AA72" s="10" t="s">
        <v>408</v>
      </c>
      <c r="AB72" s="52">
        <v>4</v>
      </c>
      <c r="AC72" s="10"/>
      <c r="AD72" s="77">
        <v>25.033726999999999</v>
      </c>
      <c r="AE72" s="52">
        <v>76.170181999999997</v>
      </c>
    </row>
    <row r="73" spans="1:31">
      <c r="A73" s="8" t="s">
        <v>36</v>
      </c>
      <c r="B73" s="8" t="s">
        <v>1126</v>
      </c>
      <c r="C73" s="8" t="s">
        <v>1248</v>
      </c>
      <c r="D73" s="9" t="s">
        <v>1255</v>
      </c>
      <c r="E73" s="8" t="s">
        <v>1256</v>
      </c>
      <c r="F73" s="8">
        <v>315.02</v>
      </c>
      <c r="G73" s="8">
        <v>75</v>
      </c>
      <c r="H73" s="8">
        <v>474</v>
      </c>
      <c r="I73" s="8">
        <v>255</v>
      </c>
      <c r="J73" s="8">
        <v>219</v>
      </c>
      <c r="K73" s="8">
        <v>164</v>
      </c>
      <c r="L73" s="10">
        <f t="shared" si="2"/>
        <v>34.599156118143462</v>
      </c>
      <c r="M73" s="8">
        <v>57</v>
      </c>
      <c r="N73" s="10">
        <f t="shared" si="3"/>
        <v>12.025316455696203</v>
      </c>
      <c r="O73" s="8">
        <v>17.82</v>
      </c>
      <c r="P73" s="8">
        <v>0</v>
      </c>
      <c r="Q73" s="50" t="s">
        <v>586</v>
      </c>
      <c r="R73" s="54">
        <v>44600</v>
      </c>
      <c r="S73" s="52"/>
      <c r="T73" s="12">
        <v>21</v>
      </c>
      <c r="U73" s="52"/>
      <c r="V73" s="10"/>
      <c r="W73" s="10"/>
      <c r="X73" s="10"/>
      <c r="Y73" s="10"/>
      <c r="Z73" s="10"/>
      <c r="AA73" s="10" t="s">
        <v>408</v>
      </c>
      <c r="AB73" s="13">
        <v>18</v>
      </c>
      <c r="AC73" s="10"/>
      <c r="AD73" s="77">
        <v>25.053467000000001</v>
      </c>
      <c r="AE73" s="52">
        <v>76.166413000000006</v>
      </c>
    </row>
    <row r="74" spans="1:31">
      <c r="A74" s="8" t="s">
        <v>36</v>
      </c>
      <c r="B74" s="8" t="s">
        <v>1126</v>
      </c>
      <c r="C74" s="8" t="s">
        <v>1248</v>
      </c>
      <c r="D74" s="9" t="s">
        <v>1257</v>
      </c>
      <c r="E74" s="8" t="s">
        <v>1258</v>
      </c>
      <c r="F74" s="8">
        <v>103.8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10" t="e">
        <f t="shared" si="2"/>
        <v>#DIV/0!</v>
      </c>
      <c r="M74" s="8">
        <v>0</v>
      </c>
      <c r="N74" s="10" t="e">
        <f t="shared" si="3"/>
        <v>#DIV/0!</v>
      </c>
      <c r="O74" s="8">
        <v>0</v>
      </c>
      <c r="P74" s="8">
        <v>0</v>
      </c>
      <c r="Q74" s="10"/>
      <c r="R74" s="10"/>
      <c r="S74" s="10"/>
      <c r="T74" s="12">
        <v>16</v>
      </c>
      <c r="U74" s="10"/>
      <c r="V74" s="10"/>
      <c r="W74" s="10"/>
      <c r="X74" s="10"/>
      <c r="Y74" s="10"/>
      <c r="Z74" s="10"/>
      <c r="AA74" s="10" t="s">
        <v>408</v>
      </c>
      <c r="AB74" s="13">
        <v>12</v>
      </c>
      <c r="AC74" s="10"/>
      <c r="AD74" s="70"/>
      <c r="AE74" s="10"/>
    </row>
    <row r="75" spans="1:31">
      <c r="A75" s="8" t="s">
        <v>36</v>
      </c>
      <c r="B75" s="8" t="s">
        <v>1126</v>
      </c>
      <c r="C75" s="8" t="s">
        <v>1248</v>
      </c>
      <c r="D75" s="9" t="s">
        <v>1259</v>
      </c>
      <c r="E75" s="8" t="s">
        <v>1260</v>
      </c>
      <c r="F75" s="8">
        <v>202</v>
      </c>
      <c r="G75" s="8">
        <v>54</v>
      </c>
      <c r="H75" s="8">
        <v>243</v>
      </c>
      <c r="I75" s="8">
        <v>132</v>
      </c>
      <c r="J75" s="8">
        <v>111</v>
      </c>
      <c r="K75" s="8">
        <v>39</v>
      </c>
      <c r="L75" s="10">
        <f t="shared" si="2"/>
        <v>16.049382716049383</v>
      </c>
      <c r="M75" s="8">
        <v>108</v>
      </c>
      <c r="N75" s="10">
        <f t="shared" si="3"/>
        <v>44.444444444444443</v>
      </c>
      <c r="O75" s="8">
        <v>4.74</v>
      </c>
      <c r="P75" s="8">
        <v>0</v>
      </c>
      <c r="Q75" s="50" t="s">
        <v>586</v>
      </c>
      <c r="R75" s="54">
        <v>44599</v>
      </c>
      <c r="S75" s="52"/>
      <c r="T75" s="12">
        <v>9</v>
      </c>
      <c r="U75" s="52"/>
      <c r="V75" s="10"/>
      <c r="W75" s="10"/>
      <c r="X75" s="10"/>
      <c r="Y75" s="10"/>
      <c r="Z75" s="10"/>
      <c r="AA75" s="10" t="s">
        <v>408</v>
      </c>
      <c r="AB75" s="13">
        <v>7</v>
      </c>
      <c r="AC75" s="10"/>
      <c r="AD75" s="77">
        <v>25.057894000000001</v>
      </c>
      <c r="AE75" s="52">
        <v>76.168226000000004</v>
      </c>
    </row>
    <row r="76" spans="1:31">
      <c r="A76" s="8" t="s">
        <v>36</v>
      </c>
      <c r="B76" s="8" t="s">
        <v>1126</v>
      </c>
      <c r="C76" s="8" t="s">
        <v>1248</v>
      </c>
      <c r="D76" s="9" t="s">
        <v>1261</v>
      </c>
      <c r="E76" s="8" t="s">
        <v>1262</v>
      </c>
      <c r="F76" s="8">
        <v>207</v>
      </c>
      <c r="G76" s="8">
        <v>80</v>
      </c>
      <c r="H76" s="8">
        <v>359</v>
      </c>
      <c r="I76" s="8">
        <v>181</v>
      </c>
      <c r="J76" s="8">
        <v>178</v>
      </c>
      <c r="K76" s="8">
        <v>356</v>
      </c>
      <c r="L76" s="10">
        <f t="shared" si="2"/>
        <v>99.164345403899716</v>
      </c>
      <c r="M76" s="8">
        <v>0</v>
      </c>
      <c r="N76" s="10">
        <f t="shared" si="3"/>
        <v>0</v>
      </c>
      <c r="O76" s="8">
        <v>53.59</v>
      </c>
      <c r="P76" s="8">
        <v>0</v>
      </c>
      <c r="Q76" s="50" t="s">
        <v>586</v>
      </c>
      <c r="R76" s="52" t="s">
        <v>1263</v>
      </c>
      <c r="S76" s="52"/>
      <c r="T76" s="12">
        <v>16.079999999999998</v>
      </c>
      <c r="U76" s="52"/>
      <c r="V76" s="10"/>
      <c r="W76" s="10"/>
      <c r="X76" s="10"/>
      <c r="Y76" s="10"/>
      <c r="Z76" s="10"/>
      <c r="AA76" s="10" t="s">
        <v>408</v>
      </c>
      <c r="AB76" s="13">
        <v>12</v>
      </c>
      <c r="AC76" s="10"/>
      <c r="AD76" s="77">
        <v>25.046592</v>
      </c>
      <c r="AE76" s="52">
        <v>76.137791000000007</v>
      </c>
    </row>
    <row r="77" spans="1:31">
      <c r="A77" s="8" t="s">
        <v>36</v>
      </c>
      <c r="B77" s="8" t="s">
        <v>1126</v>
      </c>
      <c r="C77" s="8" t="s">
        <v>1248</v>
      </c>
      <c r="D77" s="9" t="s">
        <v>1264</v>
      </c>
      <c r="E77" s="8" t="s">
        <v>1265</v>
      </c>
      <c r="F77" s="8">
        <v>613.24</v>
      </c>
      <c r="G77" s="8">
        <v>299</v>
      </c>
      <c r="H77" s="8">
        <v>1480</v>
      </c>
      <c r="I77" s="8">
        <v>728</v>
      </c>
      <c r="J77" s="8">
        <v>752</v>
      </c>
      <c r="K77" s="8">
        <v>236</v>
      </c>
      <c r="L77" s="10">
        <f t="shared" si="2"/>
        <v>15.945945945945947</v>
      </c>
      <c r="M77" s="8">
        <v>11</v>
      </c>
      <c r="N77" s="10">
        <f t="shared" si="3"/>
        <v>0.74324324324324331</v>
      </c>
      <c r="O77" s="8">
        <v>26.57</v>
      </c>
      <c r="P77" s="8">
        <v>0</v>
      </c>
      <c r="Q77" s="50" t="s">
        <v>586</v>
      </c>
      <c r="R77" s="54">
        <v>44595</v>
      </c>
      <c r="S77" s="52"/>
      <c r="T77" s="12">
        <v>23.05</v>
      </c>
      <c r="U77" s="52"/>
      <c r="V77" s="10"/>
      <c r="W77" s="10"/>
      <c r="X77" s="10"/>
      <c r="Y77" s="10"/>
      <c r="Z77" s="10"/>
      <c r="AA77" s="10" t="s">
        <v>408</v>
      </c>
      <c r="AB77" s="13">
        <v>21</v>
      </c>
      <c r="AC77" s="10"/>
      <c r="AD77" s="77">
        <v>25.061319999999998</v>
      </c>
      <c r="AE77" s="52">
        <v>76.153565999999998</v>
      </c>
    </row>
    <row r="78" spans="1:31">
      <c r="A78" s="8" t="s">
        <v>36</v>
      </c>
      <c r="B78" s="8" t="s">
        <v>1126</v>
      </c>
      <c r="C78" s="8" t="s">
        <v>1266</v>
      </c>
      <c r="D78" s="9" t="s">
        <v>1267</v>
      </c>
      <c r="E78" s="8" t="s">
        <v>1268</v>
      </c>
      <c r="F78" s="8">
        <v>1139.05</v>
      </c>
      <c r="G78" s="8">
        <v>731</v>
      </c>
      <c r="H78" s="8">
        <v>3306</v>
      </c>
      <c r="I78" s="8">
        <v>1720</v>
      </c>
      <c r="J78" s="8">
        <v>1586</v>
      </c>
      <c r="K78" s="8">
        <v>890</v>
      </c>
      <c r="L78" s="10">
        <f t="shared" si="2"/>
        <v>26.920750151240171</v>
      </c>
      <c r="M78" s="8">
        <v>7</v>
      </c>
      <c r="N78" s="10">
        <f t="shared" si="3"/>
        <v>0.21173623714458562</v>
      </c>
      <c r="O78" s="8">
        <v>90.33</v>
      </c>
      <c r="P78" s="8">
        <v>241.79</v>
      </c>
      <c r="Q78" s="10"/>
      <c r="R78" s="10"/>
      <c r="S78" s="10"/>
      <c r="T78" s="13">
        <v>50.85</v>
      </c>
      <c r="U78" s="10"/>
      <c r="V78" s="10"/>
      <c r="W78" s="10"/>
      <c r="X78" s="10"/>
      <c r="Y78" s="10"/>
      <c r="Z78" s="10"/>
      <c r="AA78" s="10" t="s">
        <v>408</v>
      </c>
      <c r="AB78" s="17">
        <v>29</v>
      </c>
      <c r="AC78" s="10"/>
      <c r="AD78" s="70"/>
      <c r="AE78" s="10"/>
    </row>
    <row r="79" spans="1:31">
      <c r="A79" s="8" t="s">
        <v>36</v>
      </c>
      <c r="B79" s="8" t="s">
        <v>1126</v>
      </c>
      <c r="C79" s="8" t="s">
        <v>1266</v>
      </c>
      <c r="D79" s="9" t="s">
        <v>740</v>
      </c>
      <c r="E79" s="8" t="s">
        <v>1269</v>
      </c>
      <c r="F79" s="8">
        <v>373.98</v>
      </c>
      <c r="G79" s="8">
        <v>284</v>
      </c>
      <c r="H79" s="8">
        <v>1250</v>
      </c>
      <c r="I79" s="8">
        <v>647</v>
      </c>
      <c r="J79" s="8">
        <v>603</v>
      </c>
      <c r="K79" s="8">
        <v>173</v>
      </c>
      <c r="L79" s="10">
        <f t="shared" si="2"/>
        <v>13.84</v>
      </c>
      <c r="M79" s="8">
        <v>0</v>
      </c>
      <c r="N79" s="10">
        <f t="shared" si="3"/>
        <v>0</v>
      </c>
      <c r="O79" s="8">
        <v>1.5</v>
      </c>
      <c r="P79" s="8">
        <v>0</v>
      </c>
      <c r="Q79" s="10"/>
      <c r="R79" s="10"/>
      <c r="S79" s="10"/>
      <c r="T79" s="13">
        <v>17.63</v>
      </c>
      <c r="U79" s="10"/>
      <c r="V79" s="10"/>
      <c r="W79" s="10"/>
      <c r="X79" s="10"/>
      <c r="Y79" s="10"/>
      <c r="Z79" s="10"/>
      <c r="AA79" s="10" t="s">
        <v>408</v>
      </c>
      <c r="AB79" s="13">
        <v>14</v>
      </c>
      <c r="AC79" s="10"/>
      <c r="AD79" s="70"/>
      <c r="AE79" s="10"/>
    </row>
    <row r="80" spans="1:31">
      <c r="A80" s="8" t="s">
        <v>36</v>
      </c>
      <c r="B80" s="8" t="s">
        <v>1126</v>
      </c>
      <c r="C80" s="8" t="s">
        <v>1266</v>
      </c>
      <c r="D80" s="9" t="s">
        <v>1270</v>
      </c>
      <c r="E80" s="8" t="s">
        <v>1271</v>
      </c>
      <c r="F80" s="8">
        <v>391.5</v>
      </c>
      <c r="G80" s="8">
        <v>38</v>
      </c>
      <c r="H80" s="8">
        <v>177</v>
      </c>
      <c r="I80" s="8">
        <v>95</v>
      </c>
      <c r="J80" s="8">
        <v>82</v>
      </c>
      <c r="K80" s="8">
        <v>0</v>
      </c>
      <c r="L80" s="10">
        <f t="shared" si="2"/>
        <v>0</v>
      </c>
      <c r="M80" s="8">
        <v>150</v>
      </c>
      <c r="N80" s="10">
        <f t="shared" si="3"/>
        <v>84.745762711864401</v>
      </c>
      <c r="O80" s="8">
        <v>9.07</v>
      </c>
      <c r="P80" s="8">
        <v>0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 t="s">
        <v>1949</v>
      </c>
      <c r="AB80" s="10"/>
      <c r="AC80" s="10"/>
      <c r="AD80" s="70"/>
      <c r="AE80" s="10"/>
    </row>
    <row r="81" spans="1:31">
      <c r="A81" s="8" t="s">
        <v>36</v>
      </c>
      <c r="B81" s="8" t="s">
        <v>1126</v>
      </c>
      <c r="C81" s="8" t="s">
        <v>1272</v>
      </c>
      <c r="D81" s="9" t="s">
        <v>1273</v>
      </c>
      <c r="E81" s="8" t="s">
        <v>1274</v>
      </c>
      <c r="F81" s="8">
        <v>978.05</v>
      </c>
      <c r="G81" s="8">
        <v>290</v>
      </c>
      <c r="H81" s="8">
        <v>2094</v>
      </c>
      <c r="I81" s="8">
        <v>831</v>
      </c>
      <c r="J81" s="8">
        <v>1263</v>
      </c>
      <c r="K81" s="8">
        <v>781</v>
      </c>
      <c r="L81" s="10">
        <f t="shared" si="2"/>
        <v>37.297039159503342</v>
      </c>
      <c r="M81" s="8">
        <v>433</v>
      </c>
      <c r="N81" s="10">
        <f t="shared" si="3"/>
        <v>20.678127984718241</v>
      </c>
      <c r="O81" s="8">
        <v>82.5</v>
      </c>
      <c r="P81" s="8">
        <v>0</v>
      </c>
      <c r="Q81" s="50" t="s">
        <v>586</v>
      </c>
      <c r="R81" s="53">
        <v>44591</v>
      </c>
      <c r="S81" s="52"/>
      <c r="T81" s="13">
        <v>18.850000000000001</v>
      </c>
      <c r="U81" s="52"/>
      <c r="V81" s="10"/>
      <c r="W81" s="10"/>
      <c r="X81" s="10"/>
      <c r="Y81" s="10"/>
      <c r="Z81" s="10"/>
      <c r="AA81" s="10" t="s">
        <v>408</v>
      </c>
      <c r="AB81" s="17">
        <v>14</v>
      </c>
      <c r="AC81" s="10"/>
      <c r="AD81" s="77">
        <v>24.869215000000001</v>
      </c>
      <c r="AE81" s="52">
        <v>76.322992999999997</v>
      </c>
    </row>
    <row r="82" spans="1:31">
      <c r="A82" s="8" t="s">
        <v>36</v>
      </c>
      <c r="B82" s="8" t="s">
        <v>1126</v>
      </c>
      <c r="C82" s="8" t="s">
        <v>1272</v>
      </c>
      <c r="D82" s="9" t="s">
        <v>1275</v>
      </c>
      <c r="E82" s="8" t="s">
        <v>1276</v>
      </c>
      <c r="F82" s="8">
        <v>202.04</v>
      </c>
      <c r="G82" s="8">
        <v>17</v>
      </c>
      <c r="H82" s="8">
        <v>100</v>
      </c>
      <c r="I82" s="8">
        <v>53</v>
      </c>
      <c r="J82" s="8">
        <v>47</v>
      </c>
      <c r="K82" s="8">
        <v>29</v>
      </c>
      <c r="L82" s="10">
        <f t="shared" si="2"/>
        <v>28.999999999999996</v>
      </c>
      <c r="M82" s="8">
        <v>65</v>
      </c>
      <c r="N82" s="10">
        <f t="shared" si="3"/>
        <v>65</v>
      </c>
      <c r="O82" s="8">
        <v>1.95</v>
      </c>
      <c r="P82" s="8">
        <v>0</v>
      </c>
      <c r="Q82" s="10"/>
      <c r="R82" s="10"/>
      <c r="S82" s="10"/>
      <c r="T82" s="13" t="s">
        <v>1951</v>
      </c>
      <c r="U82" s="10"/>
      <c r="V82" s="10"/>
      <c r="W82" s="10"/>
      <c r="X82" s="10"/>
      <c r="Y82" s="10"/>
      <c r="Z82" s="10"/>
      <c r="AA82" s="10" t="s">
        <v>408</v>
      </c>
      <c r="AB82" s="13">
        <v>9</v>
      </c>
      <c r="AC82" s="10"/>
      <c r="AD82" s="70"/>
      <c r="AE82" s="10"/>
    </row>
    <row r="83" spans="1:31">
      <c r="A83" s="8" t="s">
        <v>36</v>
      </c>
      <c r="B83" s="8" t="s">
        <v>1126</v>
      </c>
      <c r="C83" s="8" t="s">
        <v>1272</v>
      </c>
      <c r="D83" s="9" t="s">
        <v>1277</v>
      </c>
      <c r="E83" s="8" t="s">
        <v>1278</v>
      </c>
      <c r="F83" s="8">
        <v>477</v>
      </c>
      <c r="G83" s="8">
        <v>145</v>
      </c>
      <c r="H83" s="8">
        <v>954</v>
      </c>
      <c r="I83" s="8">
        <v>491</v>
      </c>
      <c r="J83" s="8">
        <v>463</v>
      </c>
      <c r="K83" s="8">
        <v>266</v>
      </c>
      <c r="L83" s="10">
        <f t="shared" si="2"/>
        <v>27.882599580712785</v>
      </c>
      <c r="M83" s="8">
        <v>0</v>
      </c>
      <c r="N83" s="10">
        <f t="shared" si="3"/>
        <v>0</v>
      </c>
      <c r="O83" s="8">
        <v>18.600000000000001</v>
      </c>
      <c r="P83" s="8">
        <v>0</v>
      </c>
      <c r="Q83" s="50" t="s">
        <v>586</v>
      </c>
      <c r="R83" s="53">
        <v>44591</v>
      </c>
      <c r="S83" s="52"/>
      <c r="T83" s="10"/>
      <c r="U83" s="52"/>
      <c r="V83" s="10"/>
      <c r="W83" s="10"/>
      <c r="X83" s="10"/>
      <c r="Y83" s="10"/>
      <c r="Z83" s="10"/>
      <c r="AA83" s="10" t="s">
        <v>1949</v>
      </c>
      <c r="AB83" s="10"/>
      <c r="AC83" s="10"/>
      <c r="AD83" s="77">
        <v>24.873301000000001</v>
      </c>
      <c r="AE83" s="52">
        <v>76.324865000000003</v>
      </c>
    </row>
    <row r="84" spans="1:31">
      <c r="A84" s="8" t="s">
        <v>36</v>
      </c>
      <c r="B84" s="8" t="s">
        <v>1126</v>
      </c>
      <c r="C84" s="8" t="s">
        <v>1272</v>
      </c>
      <c r="D84" s="9" t="s">
        <v>1279</v>
      </c>
      <c r="E84" s="8" t="s">
        <v>1280</v>
      </c>
      <c r="F84" s="8">
        <v>212.72</v>
      </c>
      <c r="G84" s="8">
        <v>64</v>
      </c>
      <c r="H84" s="8">
        <v>367</v>
      </c>
      <c r="I84" s="8">
        <v>186</v>
      </c>
      <c r="J84" s="8">
        <v>181</v>
      </c>
      <c r="K84" s="8">
        <v>52</v>
      </c>
      <c r="L84" s="10">
        <f t="shared" si="2"/>
        <v>14.168937329700274</v>
      </c>
      <c r="M84" s="8">
        <v>22</v>
      </c>
      <c r="N84" s="10">
        <f t="shared" si="3"/>
        <v>5.9945504087193457</v>
      </c>
      <c r="O84" s="8">
        <v>7.05</v>
      </c>
      <c r="P84" s="8">
        <v>0</v>
      </c>
      <c r="Q84" s="50" t="s">
        <v>586</v>
      </c>
      <c r="R84" s="53">
        <v>44592</v>
      </c>
      <c r="S84" s="52"/>
      <c r="T84" s="13">
        <v>42.47</v>
      </c>
      <c r="U84" s="52"/>
      <c r="V84" s="10"/>
      <c r="W84" s="10"/>
      <c r="X84" s="10"/>
      <c r="Y84" s="10"/>
      <c r="Z84" s="10"/>
      <c r="AA84" s="10" t="s">
        <v>408</v>
      </c>
      <c r="AB84" s="17">
        <v>11</v>
      </c>
      <c r="AC84" s="10"/>
      <c r="AD84" s="77">
        <v>24.880362999999999</v>
      </c>
      <c r="AE84" s="52">
        <v>76.302788000000007</v>
      </c>
    </row>
    <row r="85" spans="1:31">
      <c r="A85" s="8" t="s">
        <v>36</v>
      </c>
      <c r="B85" s="8" t="s">
        <v>1126</v>
      </c>
      <c r="C85" s="8" t="s">
        <v>1272</v>
      </c>
      <c r="D85" s="9" t="s">
        <v>1281</v>
      </c>
      <c r="E85" s="8" t="s">
        <v>1282</v>
      </c>
      <c r="F85" s="8">
        <v>447.56</v>
      </c>
      <c r="G85" s="8">
        <v>148</v>
      </c>
      <c r="H85" s="8">
        <v>735</v>
      </c>
      <c r="I85" s="8">
        <v>387</v>
      </c>
      <c r="J85" s="8">
        <v>348</v>
      </c>
      <c r="K85" s="8">
        <v>309</v>
      </c>
      <c r="L85" s="10">
        <f t="shared" si="2"/>
        <v>42.04081632653061</v>
      </c>
      <c r="M85" s="8">
        <v>0</v>
      </c>
      <c r="N85" s="10">
        <f t="shared" si="3"/>
        <v>0</v>
      </c>
      <c r="O85" s="8">
        <v>25.1</v>
      </c>
      <c r="P85" s="8">
        <v>0</v>
      </c>
      <c r="Q85" s="50" t="s">
        <v>586</v>
      </c>
      <c r="R85" s="53">
        <v>44592</v>
      </c>
      <c r="S85" s="52"/>
      <c r="T85" s="13">
        <v>4.1500000000000004</v>
      </c>
      <c r="U85" s="52"/>
      <c r="V85" s="10"/>
      <c r="W85" s="10"/>
      <c r="X85" s="10"/>
      <c r="Y85" s="10"/>
      <c r="Z85" s="10"/>
      <c r="AA85" s="10" t="s">
        <v>408</v>
      </c>
      <c r="AB85" s="13">
        <v>2</v>
      </c>
      <c r="AC85" s="10"/>
      <c r="AD85" s="77">
        <v>24.891490000000001</v>
      </c>
      <c r="AE85" s="52">
        <v>76.297172000000003</v>
      </c>
    </row>
    <row r="86" spans="1:31">
      <c r="A86" s="8" t="s">
        <v>36</v>
      </c>
      <c r="B86" s="8" t="s">
        <v>1126</v>
      </c>
      <c r="C86" s="8" t="s">
        <v>1283</v>
      </c>
      <c r="D86" s="9" t="s">
        <v>1284</v>
      </c>
      <c r="E86" s="8" t="s">
        <v>1285</v>
      </c>
      <c r="F86" s="8">
        <v>636.02</v>
      </c>
      <c r="G86" s="8">
        <v>260</v>
      </c>
      <c r="H86" s="8">
        <v>1491</v>
      </c>
      <c r="I86" s="8">
        <v>793</v>
      </c>
      <c r="J86" s="8">
        <v>698</v>
      </c>
      <c r="K86" s="8">
        <v>315</v>
      </c>
      <c r="L86" s="10">
        <f t="shared" si="2"/>
        <v>21.12676056338028</v>
      </c>
      <c r="M86" s="8">
        <v>658</v>
      </c>
      <c r="N86" s="10">
        <f t="shared" si="3"/>
        <v>44.131455399061032</v>
      </c>
      <c r="O86" s="8">
        <v>21</v>
      </c>
      <c r="P86" s="8">
        <v>0</v>
      </c>
      <c r="Q86" s="13" t="s">
        <v>408</v>
      </c>
      <c r="R86" s="14">
        <v>45319</v>
      </c>
      <c r="S86" s="15"/>
      <c r="T86" s="13">
        <v>12.4</v>
      </c>
      <c r="U86" s="64"/>
      <c r="V86" s="10"/>
      <c r="W86" s="10"/>
      <c r="X86" s="10"/>
      <c r="Y86" s="10"/>
      <c r="Z86" s="10"/>
      <c r="AA86" s="10" t="s">
        <v>408</v>
      </c>
      <c r="AB86" s="13">
        <v>10</v>
      </c>
      <c r="AC86" s="10"/>
      <c r="AD86" s="78">
        <v>24.997046000000001</v>
      </c>
      <c r="AE86" s="64">
        <v>76.099913000000001</v>
      </c>
    </row>
    <row r="87" spans="1:31">
      <c r="A87" s="8" t="s">
        <v>36</v>
      </c>
      <c r="B87" s="8" t="s">
        <v>1126</v>
      </c>
      <c r="C87" s="8" t="s">
        <v>1283</v>
      </c>
      <c r="D87" s="9" t="s">
        <v>1286</v>
      </c>
      <c r="E87" s="8" t="s">
        <v>1287</v>
      </c>
      <c r="F87" s="8">
        <v>735.71</v>
      </c>
      <c r="G87" s="8">
        <v>209</v>
      </c>
      <c r="H87" s="8">
        <v>1115</v>
      </c>
      <c r="I87" s="8">
        <v>590</v>
      </c>
      <c r="J87" s="8">
        <v>525</v>
      </c>
      <c r="K87" s="8">
        <v>182</v>
      </c>
      <c r="L87" s="10">
        <f t="shared" si="2"/>
        <v>16.322869955156953</v>
      </c>
      <c r="M87" s="8">
        <v>65</v>
      </c>
      <c r="N87" s="10">
        <f t="shared" si="3"/>
        <v>5.8295964125560538</v>
      </c>
      <c r="O87" s="8">
        <v>16</v>
      </c>
      <c r="P87" s="8">
        <v>0</v>
      </c>
      <c r="Q87" s="13" t="s">
        <v>408</v>
      </c>
      <c r="R87" s="14">
        <v>45319</v>
      </c>
      <c r="S87" s="15"/>
      <c r="T87" s="13" t="s">
        <v>1952</v>
      </c>
      <c r="U87" s="64"/>
      <c r="V87" s="10"/>
      <c r="W87" s="10"/>
      <c r="X87" s="10"/>
      <c r="Y87" s="10"/>
      <c r="Z87" s="10"/>
      <c r="AA87" s="10" t="s">
        <v>408</v>
      </c>
      <c r="AB87" s="13">
        <v>5</v>
      </c>
      <c r="AC87" s="10"/>
      <c r="AD87" s="78">
        <v>24.997962999999999</v>
      </c>
      <c r="AE87" s="64">
        <v>76.107760999999996</v>
      </c>
    </row>
    <row r="88" spans="1:31">
      <c r="A88" s="8" t="s">
        <v>36</v>
      </c>
      <c r="B88" s="8" t="s">
        <v>1126</v>
      </c>
      <c r="C88" s="8" t="s">
        <v>1283</v>
      </c>
      <c r="D88" s="9" t="s">
        <v>1288</v>
      </c>
      <c r="E88" s="8" t="s">
        <v>1289</v>
      </c>
      <c r="F88" s="8">
        <v>265.63</v>
      </c>
      <c r="G88" s="8">
        <v>92</v>
      </c>
      <c r="H88" s="8">
        <v>482</v>
      </c>
      <c r="I88" s="8">
        <v>259</v>
      </c>
      <c r="J88" s="8">
        <v>223</v>
      </c>
      <c r="K88" s="8">
        <v>149</v>
      </c>
      <c r="L88" s="10">
        <f t="shared" si="2"/>
        <v>30.912863070539419</v>
      </c>
      <c r="M88" s="8">
        <v>5</v>
      </c>
      <c r="N88" s="10">
        <f t="shared" si="3"/>
        <v>1.0373443983402488</v>
      </c>
      <c r="O88" s="8">
        <v>9</v>
      </c>
      <c r="P88" s="8">
        <v>0</v>
      </c>
      <c r="Q88" s="13" t="s">
        <v>408</v>
      </c>
      <c r="R88" s="20">
        <v>45342</v>
      </c>
      <c r="S88" s="15"/>
      <c r="T88" s="13">
        <v>32.549999999999997</v>
      </c>
      <c r="U88" s="64"/>
      <c r="V88" s="10"/>
      <c r="W88" s="10"/>
      <c r="X88" s="10"/>
      <c r="Y88" s="10"/>
      <c r="Z88" s="10"/>
      <c r="AA88" s="10" t="s">
        <v>408</v>
      </c>
      <c r="AB88" s="13">
        <v>25</v>
      </c>
      <c r="AC88" s="10"/>
      <c r="AD88" s="78">
        <v>25.01557</v>
      </c>
      <c r="AE88" s="64">
        <v>76.157619999999994</v>
      </c>
    </row>
    <row r="89" spans="1:31">
      <c r="A89" s="8" t="s">
        <v>36</v>
      </c>
      <c r="B89" s="8" t="s">
        <v>1126</v>
      </c>
      <c r="C89" s="8" t="s">
        <v>1283</v>
      </c>
      <c r="D89" s="9" t="s">
        <v>1290</v>
      </c>
      <c r="E89" s="8" t="s">
        <v>1291</v>
      </c>
      <c r="F89" s="8">
        <v>212.18</v>
      </c>
      <c r="G89" s="8">
        <v>52</v>
      </c>
      <c r="H89" s="8">
        <v>244</v>
      </c>
      <c r="I89" s="8">
        <v>139</v>
      </c>
      <c r="J89" s="8">
        <v>105</v>
      </c>
      <c r="K89" s="8">
        <v>3</v>
      </c>
      <c r="L89" s="10">
        <f t="shared" si="2"/>
        <v>1.2295081967213115</v>
      </c>
      <c r="M89" s="8">
        <v>0</v>
      </c>
      <c r="N89" s="10">
        <f t="shared" si="3"/>
        <v>0</v>
      </c>
      <c r="O89" s="8">
        <v>16.079999999999998</v>
      </c>
      <c r="P89" s="8">
        <v>0</v>
      </c>
      <c r="Q89" s="13" t="s">
        <v>408</v>
      </c>
      <c r="R89" s="20">
        <v>45342</v>
      </c>
      <c r="S89" s="15"/>
      <c r="T89" s="13">
        <v>36.590000000000003</v>
      </c>
      <c r="U89" s="64"/>
      <c r="V89" s="10"/>
      <c r="W89" s="10"/>
      <c r="X89" s="10"/>
      <c r="Y89" s="10"/>
      <c r="Z89" s="10"/>
      <c r="AA89" s="10" t="s">
        <v>408</v>
      </c>
      <c r="AB89" s="13">
        <v>30</v>
      </c>
      <c r="AC89" s="10"/>
      <c r="AD89" s="78">
        <v>25.046592</v>
      </c>
      <c r="AE89" s="64">
        <v>76.137791000000007</v>
      </c>
    </row>
    <row r="90" spans="1:31">
      <c r="A90" s="8" t="s">
        <v>36</v>
      </c>
      <c r="B90" s="8" t="s">
        <v>1126</v>
      </c>
      <c r="C90" s="8" t="s">
        <v>1283</v>
      </c>
      <c r="D90" s="9" t="s">
        <v>79</v>
      </c>
      <c r="E90" s="8" t="s">
        <v>1292</v>
      </c>
      <c r="F90" s="8">
        <v>673.77</v>
      </c>
      <c r="G90" s="8">
        <v>91</v>
      </c>
      <c r="H90" s="8">
        <v>591</v>
      </c>
      <c r="I90" s="8">
        <v>311</v>
      </c>
      <c r="J90" s="8">
        <v>280</v>
      </c>
      <c r="K90" s="8">
        <v>104</v>
      </c>
      <c r="L90" s="10">
        <f t="shared" si="2"/>
        <v>17.597292724196279</v>
      </c>
      <c r="M90" s="8">
        <v>57</v>
      </c>
      <c r="N90" s="10">
        <f t="shared" si="3"/>
        <v>9.6446700507614214</v>
      </c>
      <c r="O90" s="8">
        <v>23.05</v>
      </c>
      <c r="P90" s="8">
        <v>0</v>
      </c>
      <c r="Q90" s="13" t="s">
        <v>408</v>
      </c>
      <c r="R90" s="20">
        <v>45342</v>
      </c>
      <c r="S90" s="15"/>
      <c r="T90" s="13">
        <v>0.4</v>
      </c>
      <c r="U90" s="64"/>
      <c r="V90" s="10"/>
      <c r="W90" s="10"/>
      <c r="X90" s="10"/>
      <c r="Y90" s="10"/>
      <c r="Z90" s="10"/>
      <c r="AA90" s="10" t="s">
        <v>1949</v>
      </c>
      <c r="AB90" s="13"/>
      <c r="AC90" s="10"/>
      <c r="AD90" s="78">
        <v>25.061319999999998</v>
      </c>
      <c r="AE90" s="64">
        <v>76.153565999999998</v>
      </c>
    </row>
    <row r="91" spans="1:31">
      <c r="A91" s="8" t="s">
        <v>36</v>
      </c>
      <c r="B91" s="8" t="s">
        <v>1126</v>
      </c>
      <c r="C91" s="8" t="s">
        <v>1283</v>
      </c>
      <c r="D91" s="9" t="s">
        <v>79</v>
      </c>
      <c r="E91" s="8"/>
      <c r="F91" s="8"/>
      <c r="G91" s="8"/>
      <c r="H91" s="8"/>
      <c r="I91" s="8"/>
      <c r="J91" s="8"/>
      <c r="K91" s="8"/>
      <c r="L91" s="10" t="e">
        <f t="shared" si="2"/>
        <v>#DIV/0!</v>
      </c>
      <c r="M91" s="8"/>
      <c r="N91" s="10" t="e">
        <f t="shared" si="3"/>
        <v>#DIV/0!</v>
      </c>
      <c r="O91" s="8"/>
      <c r="P91" s="8"/>
      <c r="Q91" s="51" t="s">
        <v>586</v>
      </c>
      <c r="R91" s="18"/>
      <c r="S91" s="87"/>
      <c r="T91" s="10"/>
      <c r="U91" s="13"/>
      <c r="V91" s="10"/>
      <c r="W91" s="10"/>
      <c r="X91" s="10"/>
      <c r="Y91" s="10"/>
      <c r="Z91" s="10"/>
      <c r="AA91" s="10" t="s">
        <v>1949</v>
      </c>
      <c r="AB91" s="10"/>
      <c r="AC91" s="10"/>
      <c r="AD91" s="72"/>
      <c r="AE91" s="18"/>
    </row>
    <row r="92" spans="1:31">
      <c r="A92" s="8" t="s">
        <v>36</v>
      </c>
      <c r="B92" s="8" t="s">
        <v>1126</v>
      </c>
      <c r="C92" s="8" t="s">
        <v>1293</v>
      </c>
      <c r="D92" s="9" t="s">
        <v>724</v>
      </c>
      <c r="E92" s="8" t="s">
        <v>1294</v>
      </c>
      <c r="F92" s="8">
        <v>406</v>
      </c>
      <c r="G92" s="8">
        <v>218</v>
      </c>
      <c r="H92" s="8">
        <v>988</v>
      </c>
      <c r="I92" s="8">
        <v>516</v>
      </c>
      <c r="J92" s="8">
        <v>472</v>
      </c>
      <c r="K92" s="8">
        <v>264</v>
      </c>
      <c r="L92" s="10">
        <f t="shared" si="2"/>
        <v>26.720647773279353</v>
      </c>
      <c r="M92" s="8">
        <v>86</v>
      </c>
      <c r="N92" s="10">
        <f t="shared" si="3"/>
        <v>8.7044534412955468</v>
      </c>
      <c r="O92" s="8">
        <v>47</v>
      </c>
      <c r="P92" s="8">
        <v>0</v>
      </c>
      <c r="Q92" s="19" t="s">
        <v>409</v>
      </c>
      <c r="R92" s="42">
        <v>44967</v>
      </c>
      <c r="S92" s="19"/>
      <c r="T92" s="10"/>
      <c r="U92" s="19"/>
      <c r="V92" s="10"/>
      <c r="W92" s="10"/>
      <c r="X92" s="10"/>
      <c r="Y92" s="10"/>
      <c r="Z92" s="10"/>
      <c r="AA92" s="10" t="s">
        <v>1949</v>
      </c>
      <c r="AB92" s="10"/>
      <c r="AC92" s="10"/>
      <c r="AD92" s="79">
        <v>24.891739999999999</v>
      </c>
      <c r="AE92" s="19">
        <v>76.079943999999998</v>
      </c>
    </row>
    <row r="93" spans="1:31">
      <c r="A93" s="8" t="s">
        <v>36</v>
      </c>
      <c r="B93" s="8" t="s">
        <v>1126</v>
      </c>
      <c r="C93" s="8" t="s">
        <v>1293</v>
      </c>
      <c r="D93" s="9" t="s">
        <v>724</v>
      </c>
      <c r="E93" s="8"/>
      <c r="F93" s="8"/>
      <c r="G93" s="8"/>
      <c r="H93" s="8"/>
      <c r="I93" s="8"/>
      <c r="J93" s="8"/>
      <c r="K93" s="8"/>
      <c r="L93" s="10" t="e">
        <f t="shared" si="2"/>
        <v>#DIV/0!</v>
      </c>
      <c r="M93" s="8"/>
      <c r="N93" s="10" t="e">
        <f t="shared" si="3"/>
        <v>#DIV/0!</v>
      </c>
      <c r="O93" s="8"/>
      <c r="P93" s="8"/>
      <c r="Q93" s="18" t="s">
        <v>409</v>
      </c>
      <c r="R93" s="18"/>
      <c r="S93" s="86"/>
      <c r="T93" s="34">
        <v>0</v>
      </c>
      <c r="U93" s="17"/>
      <c r="V93" s="10"/>
      <c r="W93" s="10"/>
      <c r="X93" s="10"/>
      <c r="Y93" s="10"/>
      <c r="Z93" s="10"/>
      <c r="AA93" s="10" t="s">
        <v>408</v>
      </c>
      <c r="AB93" s="34">
        <v>3</v>
      </c>
      <c r="AC93" s="10"/>
      <c r="AD93" s="79">
        <v>24.891739999999999</v>
      </c>
      <c r="AE93" s="19">
        <v>76.079943999999998</v>
      </c>
    </row>
    <row r="94" spans="1:31">
      <c r="A94" s="8" t="s">
        <v>36</v>
      </c>
      <c r="B94" s="8" t="s">
        <v>1126</v>
      </c>
      <c r="C94" s="8" t="s">
        <v>1293</v>
      </c>
      <c r="D94" s="9" t="s">
        <v>1295</v>
      </c>
      <c r="E94" s="8" t="s">
        <v>1296</v>
      </c>
      <c r="F94" s="8">
        <v>111</v>
      </c>
      <c r="G94" s="8">
        <v>102</v>
      </c>
      <c r="H94" s="8">
        <v>516</v>
      </c>
      <c r="I94" s="8">
        <v>276</v>
      </c>
      <c r="J94" s="8">
        <v>240</v>
      </c>
      <c r="K94" s="8">
        <v>7</v>
      </c>
      <c r="L94" s="10">
        <f t="shared" si="2"/>
        <v>1.3565891472868217</v>
      </c>
      <c r="M94" s="8">
        <v>11</v>
      </c>
      <c r="N94" s="10">
        <f t="shared" si="3"/>
        <v>2.1317829457364339</v>
      </c>
      <c r="O94" s="8">
        <v>0</v>
      </c>
      <c r="P94" s="8">
        <v>0</v>
      </c>
      <c r="Q94" s="19" t="s">
        <v>409</v>
      </c>
      <c r="R94" s="42">
        <v>44967</v>
      </c>
      <c r="S94" s="19"/>
      <c r="T94" s="34">
        <v>0</v>
      </c>
      <c r="U94" s="19"/>
      <c r="V94" s="10"/>
      <c r="W94" s="10"/>
      <c r="X94" s="10"/>
      <c r="Y94" s="10"/>
      <c r="Z94" s="10"/>
      <c r="AA94" s="10" t="s">
        <v>408</v>
      </c>
      <c r="AB94" s="34">
        <v>12</v>
      </c>
      <c r="AC94" s="10"/>
      <c r="AD94" s="79">
        <v>24.874784999999999</v>
      </c>
      <c r="AE94" s="19">
        <v>76.116552999999996</v>
      </c>
    </row>
    <row r="95" spans="1:31">
      <c r="A95" s="8" t="s">
        <v>36</v>
      </c>
      <c r="B95" s="8" t="s">
        <v>1126</v>
      </c>
      <c r="C95" s="8" t="s">
        <v>1293</v>
      </c>
      <c r="D95" s="9" t="s">
        <v>1297</v>
      </c>
      <c r="E95" s="8" t="s">
        <v>1298</v>
      </c>
      <c r="F95" s="8">
        <v>279</v>
      </c>
      <c r="G95" s="8">
        <v>8</v>
      </c>
      <c r="H95" s="8">
        <v>33</v>
      </c>
      <c r="I95" s="8">
        <v>19</v>
      </c>
      <c r="J95" s="8">
        <v>14</v>
      </c>
      <c r="K95" s="8">
        <v>2</v>
      </c>
      <c r="L95" s="10">
        <f t="shared" si="2"/>
        <v>6.0606060606060606</v>
      </c>
      <c r="M95" s="8">
        <v>3</v>
      </c>
      <c r="N95" s="10">
        <f t="shared" si="3"/>
        <v>9.0909090909090917</v>
      </c>
      <c r="O95" s="8">
        <v>13</v>
      </c>
      <c r="P95" s="8">
        <v>0</v>
      </c>
      <c r="Q95" s="10"/>
      <c r="R95" s="10"/>
      <c r="S95" s="10"/>
      <c r="T95" s="52">
        <v>67.03</v>
      </c>
      <c r="U95" s="10"/>
      <c r="V95" s="10"/>
      <c r="W95" s="10"/>
      <c r="X95" s="10"/>
      <c r="Y95" s="10"/>
      <c r="Z95" s="10"/>
      <c r="AA95" s="10" t="s">
        <v>408</v>
      </c>
      <c r="AB95" s="52">
        <v>1</v>
      </c>
      <c r="AC95" s="10"/>
      <c r="AD95" s="70"/>
      <c r="AE95" s="10"/>
    </row>
    <row r="96" spans="1:31">
      <c r="A96" s="8" t="s">
        <v>36</v>
      </c>
      <c r="B96" s="8" t="s">
        <v>1126</v>
      </c>
      <c r="C96" s="8" t="s">
        <v>1293</v>
      </c>
      <c r="D96" s="9" t="s">
        <v>1299</v>
      </c>
      <c r="E96" s="8" t="s">
        <v>1300</v>
      </c>
      <c r="F96" s="8">
        <v>174</v>
      </c>
      <c r="G96" s="8">
        <v>51</v>
      </c>
      <c r="H96" s="8">
        <v>237</v>
      </c>
      <c r="I96" s="8">
        <v>124</v>
      </c>
      <c r="J96" s="8">
        <v>113</v>
      </c>
      <c r="K96" s="8">
        <v>8</v>
      </c>
      <c r="L96" s="10">
        <f t="shared" si="2"/>
        <v>3.3755274261603372</v>
      </c>
      <c r="M96" s="8">
        <v>0</v>
      </c>
      <c r="N96" s="10">
        <f t="shared" si="3"/>
        <v>0</v>
      </c>
      <c r="O96" s="8">
        <v>14</v>
      </c>
      <c r="P96" s="8">
        <v>0</v>
      </c>
      <c r="Q96" s="19" t="s">
        <v>409</v>
      </c>
      <c r="R96" s="42">
        <v>44967</v>
      </c>
      <c r="S96" s="19"/>
      <c r="T96" s="12">
        <v>16.53</v>
      </c>
      <c r="U96" s="19"/>
      <c r="V96" s="10"/>
      <c r="W96" s="10"/>
      <c r="X96" s="10"/>
      <c r="Y96" s="10"/>
      <c r="Z96" s="10"/>
      <c r="AA96" s="10" t="s">
        <v>408</v>
      </c>
      <c r="AB96" s="13">
        <v>12</v>
      </c>
      <c r="AC96" s="10"/>
      <c r="AD96" s="79">
        <v>24.740423</v>
      </c>
      <c r="AE96" s="19">
        <v>76.005691999999996</v>
      </c>
    </row>
    <row r="97" spans="1:31">
      <c r="A97" s="8" t="s">
        <v>36</v>
      </c>
      <c r="B97" s="8" t="s">
        <v>1126</v>
      </c>
      <c r="C97" s="8" t="s">
        <v>1293</v>
      </c>
      <c r="D97" s="9" t="s">
        <v>1299</v>
      </c>
      <c r="E97" s="8"/>
      <c r="F97" s="8"/>
      <c r="G97" s="8"/>
      <c r="H97" s="8"/>
      <c r="I97" s="8"/>
      <c r="J97" s="8"/>
      <c r="K97" s="8"/>
      <c r="L97" s="10" t="e">
        <f t="shared" si="2"/>
        <v>#DIV/0!</v>
      </c>
      <c r="M97" s="8"/>
      <c r="N97" s="10" t="e">
        <f t="shared" si="3"/>
        <v>#DIV/0!</v>
      </c>
      <c r="O97" s="8"/>
      <c r="P97" s="8"/>
      <c r="Q97" s="18" t="s">
        <v>409</v>
      </c>
      <c r="R97" s="18"/>
      <c r="S97" s="86"/>
      <c r="T97" s="12">
        <v>2.4</v>
      </c>
      <c r="U97" s="17"/>
      <c r="V97" s="10"/>
      <c r="W97" s="10"/>
      <c r="X97" s="10"/>
      <c r="Y97" s="10"/>
      <c r="Z97" s="10"/>
      <c r="AA97" s="10" t="s">
        <v>408</v>
      </c>
      <c r="AB97" s="13">
        <v>2</v>
      </c>
      <c r="AC97" s="10"/>
      <c r="AD97" s="79">
        <v>24.740423</v>
      </c>
      <c r="AE97" s="19">
        <v>76.005691999999996</v>
      </c>
    </row>
    <row r="98" spans="1:31">
      <c r="A98" s="8" t="s">
        <v>36</v>
      </c>
      <c r="B98" s="8" t="s">
        <v>1126</v>
      </c>
      <c r="C98" s="8" t="s">
        <v>1293</v>
      </c>
      <c r="D98" s="9" t="s">
        <v>1301</v>
      </c>
      <c r="E98" s="8" t="s">
        <v>1302</v>
      </c>
      <c r="F98" s="8">
        <v>162</v>
      </c>
      <c r="G98" s="8">
        <v>69</v>
      </c>
      <c r="H98" s="8">
        <v>257</v>
      </c>
      <c r="I98" s="8">
        <v>139</v>
      </c>
      <c r="J98" s="8">
        <v>118</v>
      </c>
      <c r="K98" s="8">
        <v>49</v>
      </c>
      <c r="L98" s="10">
        <f t="shared" si="2"/>
        <v>19.066147859922179</v>
      </c>
      <c r="M98" s="8">
        <v>152</v>
      </c>
      <c r="N98" s="10">
        <f t="shared" si="3"/>
        <v>59.143968871595334</v>
      </c>
      <c r="O98" s="8">
        <v>6</v>
      </c>
      <c r="P98" s="8">
        <v>0</v>
      </c>
      <c r="Q98" s="19" t="s">
        <v>409</v>
      </c>
      <c r="R98" s="42">
        <v>44967</v>
      </c>
      <c r="S98" s="19"/>
      <c r="T98" s="12">
        <v>2.9</v>
      </c>
      <c r="U98" s="19"/>
      <c r="V98" s="10"/>
      <c r="W98" s="10"/>
      <c r="X98" s="10"/>
      <c r="Y98" s="10"/>
      <c r="Z98" s="10"/>
      <c r="AA98" s="10" t="s">
        <v>408</v>
      </c>
      <c r="AB98" s="13">
        <v>2</v>
      </c>
      <c r="AC98" s="10"/>
      <c r="AD98" s="79">
        <v>24.892958</v>
      </c>
      <c r="AE98" s="19">
        <v>76.116690000000006</v>
      </c>
    </row>
    <row r="99" spans="1:31">
      <c r="A99" s="8" t="s">
        <v>36</v>
      </c>
      <c r="B99" s="8" t="s">
        <v>1126</v>
      </c>
      <c r="C99" s="8" t="s">
        <v>1293</v>
      </c>
      <c r="D99" s="9" t="s">
        <v>1303</v>
      </c>
      <c r="E99" s="8" t="s">
        <v>1304</v>
      </c>
      <c r="F99" s="8">
        <v>187</v>
      </c>
      <c r="G99" s="8">
        <v>3</v>
      </c>
      <c r="H99" s="8">
        <v>13</v>
      </c>
      <c r="I99" s="8">
        <v>7</v>
      </c>
      <c r="J99" s="8">
        <v>6</v>
      </c>
      <c r="K99" s="8">
        <v>0</v>
      </c>
      <c r="L99" s="10">
        <f t="shared" si="2"/>
        <v>0</v>
      </c>
      <c r="M99" s="8">
        <v>13</v>
      </c>
      <c r="N99" s="10">
        <f t="shared" si="3"/>
        <v>100</v>
      </c>
      <c r="O99" s="8">
        <v>0</v>
      </c>
      <c r="P99" s="8">
        <v>0</v>
      </c>
      <c r="Q99" s="10"/>
      <c r="R99" s="10"/>
      <c r="S99" s="10"/>
      <c r="T99" s="12">
        <v>9.7100000000000009</v>
      </c>
      <c r="U99" s="10"/>
      <c r="V99" s="10"/>
      <c r="W99" s="10"/>
      <c r="X99" s="10"/>
      <c r="Y99" s="10"/>
      <c r="Z99" s="10"/>
      <c r="AA99" s="10" t="s">
        <v>408</v>
      </c>
      <c r="AB99" s="13">
        <v>7</v>
      </c>
      <c r="AC99" s="10"/>
      <c r="AD99" s="70"/>
      <c r="AE99" s="10"/>
    </row>
    <row r="100" spans="1:31">
      <c r="A100" s="8" t="s">
        <v>36</v>
      </c>
      <c r="B100" s="8" t="s">
        <v>1126</v>
      </c>
      <c r="C100" s="8" t="s">
        <v>1293</v>
      </c>
      <c r="D100" s="9" t="s">
        <v>1305</v>
      </c>
      <c r="E100" s="8" t="s">
        <v>1306</v>
      </c>
      <c r="F100" s="8">
        <v>521</v>
      </c>
      <c r="G100" s="8">
        <v>128</v>
      </c>
      <c r="H100" s="8">
        <v>624</v>
      </c>
      <c r="I100" s="8">
        <v>341</v>
      </c>
      <c r="J100" s="8">
        <v>283</v>
      </c>
      <c r="K100" s="8">
        <v>6</v>
      </c>
      <c r="L100" s="10">
        <f t="shared" si="2"/>
        <v>0.96153846153846156</v>
      </c>
      <c r="M100" s="8">
        <v>60</v>
      </c>
      <c r="N100" s="10">
        <f t="shared" si="3"/>
        <v>9.6153846153846168</v>
      </c>
      <c r="O100" s="8">
        <v>43.6</v>
      </c>
      <c r="P100" s="8">
        <v>41</v>
      </c>
      <c r="Q100" s="19" t="s">
        <v>409</v>
      </c>
      <c r="R100" s="42">
        <v>44967</v>
      </c>
      <c r="S100" s="19"/>
      <c r="T100" s="12">
        <v>0</v>
      </c>
      <c r="U100" s="19"/>
      <c r="V100" s="10"/>
      <c r="W100" s="10"/>
      <c r="X100" s="10"/>
      <c r="Y100" s="10"/>
      <c r="Z100" s="10"/>
      <c r="AA100" s="10" t="s">
        <v>1949</v>
      </c>
      <c r="AB100" s="13"/>
      <c r="AC100" s="10"/>
      <c r="AD100" s="79">
        <v>24.901933</v>
      </c>
      <c r="AE100" s="19">
        <v>76.095017999999996</v>
      </c>
    </row>
    <row r="101" spans="1:31">
      <c r="A101" s="8" t="s">
        <v>36</v>
      </c>
      <c r="B101" s="8" t="s">
        <v>1126</v>
      </c>
      <c r="C101" s="8" t="s">
        <v>1307</v>
      </c>
      <c r="D101" s="9" t="s">
        <v>1308</v>
      </c>
      <c r="E101" s="8" t="s">
        <v>1309</v>
      </c>
      <c r="F101" s="8">
        <v>234.92</v>
      </c>
      <c r="G101" s="8">
        <v>122</v>
      </c>
      <c r="H101" s="8">
        <v>664</v>
      </c>
      <c r="I101" s="8">
        <v>337</v>
      </c>
      <c r="J101" s="8">
        <v>327</v>
      </c>
      <c r="K101" s="8">
        <v>149</v>
      </c>
      <c r="L101" s="10">
        <f t="shared" si="2"/>
        <v>22.439759036144576</v>
      </c>
      <c r="M101" s="8">
        <v>0</v>
      </c>
      <c r="N101" s="10">
        <f t="shared" si="3"/>
        <v>0</v>
      </c>
      <c r="O101" s="8">
        <v>5.25</v>
      </c>
      <c r="P101" s="8">
        <v>5.5</v>
      </c>
      <c r="Q101" s="13" t="s">
        <v>409</v>
      </c>
      <c r="R101" s="13" t="s">
        <v>1311</v>
      </c>
      <c r="S101" s="13"/>
      <c r="T101" s="12">
        <v>9.41</v>
      </c>
      <c r="U101" s="13"/>
      <c r="V101" s="10"/>
      <c r="W101" s="10"/>
      <c r="X101" s="10"/>
      <c r="Y101" s="10"/>
      <c r="Z101" s="10"/>
      <c r="AA101" s="10" t="s">
        <v>408</v>
      </c>
      <c r="AB101" s="13">
        <v>8</v>
      </c>
      <c r="AC101" s="10"/>
      <c r="AD101" s="69">
        <v>24.923244</v>
      </c>
      <c r="AE101" s="13" t="s">
        <v>1310</v>
      </c>
    </row>
    <row r="102" spans="1:31">
      <c r="A102" s="8" t="s">
        <v>36</v>
      </c>
      <c r="B102" s="8" t="s">
        <v>1126</v>
      </c>
      <c r="C102" s="8" t="s">
        <v>1307</v>
      </c>
      <c r="D102" s="9" t="s">
        <v>1312</v>
      </c>
      <c r="E102" s="8" t="s">
        <v>1313</v>
      </c>
      <c r="F102" s="8">
        <v>312.27</v>
      </c>
      <c r="G102" s="8">
        <v>102</v>
      </c>
      <c r="H102" s="8">
        <v>548</v>
      </c>
      <c r="I102" s="8">
        <v>286</v>
      </c>
      <c r="J102" s="8">
        <v>262</v>
      </c>
      <c r="K102" s="8">
        <v>184</v>
      </c>
      <c r="L102" s="10">
        <f t="shared" si="2"/>
        <v>33.576642335766422</v>
      </c>
      <c r="M102" s="8">
        <v>0</v>
      </c>
      <c r="N102" s="10">
        <f t="shared" si="3"/>
        <v>0</v>
      </c>
      <c r="O102" s="8">
        <v>13.56</v>
      </c>
      <c r="P102" s="8">
        <v>0</v>
      </c>
      <c r="Q102" s="13" t="s">
        <v>409</v>
      </c>
      <c r="R102" s="13" t="s">
        <v>1311</v>
      </c>
      <c r="S102" s="13"/>
      <c r="T102" s="12">
        <v>12.1</v>
      </c>
      <c r="U102" s="13"/>
      <c r="V102" s="10"/>
      <c r="W102" s="10"/>
      <c r="X102" s="10"/>
      <c r="Y102" s="10"/>
      <c r="Z102" s="10"/>
      <c r="AA102" s="10" t="s">
        <v>408</v>
      </c>
      <c r="AB102" s="13">
        <v>10</v>
      </c>
      <c r="AC102" s="10"/>
      <c r="AD102" s="69">
        <v>24.907589000000002</v>
      </c>
      <c r="AE102" s="13">
        <v>76.152023</v>
      </c>
    </row>
    <row r="103" spans="1:31">
      <c r="A103" s="8" t="s">
        <v>36</v>
      </c>
      <c r="B103" s="8" t="s">
        <v>1126</v>
      </c>
      <c r="C103" s="8" t="s">
        <v>1307</v>
      </c>
      <c r="D103" s="9" t="s">
        <v>1314</v>
      </c>
      <c r="E103" s="8" t="s">
        <v>1315</v>
      </c>
      <c r="F103" s="8">
        <v>561.52</v>
      </c>
      <c r="G103" s="8">
        <v>253</v>
      </c>
      <c r="H103" s="8">
        <v>1411</v>
      </c>
      <c r="I103" s="8">
        <v>719</v>
      </c>
      <c r="J103" s="8">
        <v>692</v>
      </c>
      <c r="K103" s="8">
        <v>266</v>
      </c>
      <c r="L103" s="10">
        <f t="shared" si="2"/>
        <v>18.851878100637844</v>
      </c>
      <c r="M103" s="8">
        <v>23</v>
      </c>
      <c r="N103" s="10">
        <f t="shared" si="3"/>
        <v>1.630049610205528</v>
      </c>
      <c r="O103" s="8">
        <v>30.36</v>
      </c>
      <c r="P103" s="8">
        <v>0</v>
      </c>
      <c r="Q103" s="13" t="s">
        <v>409</v>
      </c>
      <c r="R103" s="13" t="s">
        <v>1311</v>
      </c>
      <c r="S103" s="13"/>
      <c r="T103" s="12">
        <v>5.69</v>
      </c>
      <c r="U103" s="13"/>
      <c r="V103" s="10"/>
      <c r="W103" s="10"/>
      <c r="X103" s="10"/>
      <c r="Y103" s="10"/>
      <c r="Z103" s="10"/>
      <c r="AA103" s="10" t="s">
        <v>408</v>
      </c>
      <c r="AB103" s="13">
        <v>6</v>
      </c>
      <c r="AC103" s="10"/>
      <c r="AD103" s="69">
        <v>24.913193</v>
      </c>
      <c r="AE103" s="13">
        <v>76.180126999999999</v>
      </c>
    </row>
    <row r="104" spans="1:31">
      <c r="A104" s="8" t="s">
        <v>36</v>
      </c>
      <c r="B104" s="8" t="s">
        <v>1126</v>
      </c>
      <c r="C104" s="8" t="s">
        <v>1307</v>
      </c>
      <c r="D104" s="9" t="s">
        <v>211</v>
      </c>
      <c r="E104" s="8" t="s">
        <v>1316</v>
      </c>
      <c r="F104" s="8">
        <v>555.41999999999996</v>
      </c>
      <c r="G104" s="8">
        <v>108</v>
      </c>
      <c r="H104" s="8">
        <v>563</v>
      </c>
      <c r="I104" s="8">
        <v>300</v>
      </c>
      <c r="J104" s="8">
        <v>263</v>
      </c>
      <c r="K104" s="8">
        <v>202</v>
      </c>
      <c r="L104" s="10">
        <f t="shared" si="2"/>
        <v>35.879218472468914</v>
      </c>
      <c r="M104" s="8">
        <v>4</v>
      </c>
      <c r="N104" s="10">
        <f t="shared" si="3"/>
        <v>0.71047957371225579</v>
      </c>
      <c r="O104" s="8">
        <v>34.380000000000003</v>
      </c>
      <c r="P104" s="8">
        <v>0</v>
      </c>
      <c r="Q104" s="13" t="s">
        <v>409</v>
      </c>
      <c r="R104" s="13" t="s">
        <v>1311</v>
      </c>
      <c r="S104" s="13"/>
      <c r="T104" s="12">
        <v>37.090000000000003</v>
      </c>
      <c r="U104" s="13"/>
      <c r="V104" s="10"/>
      <c r="W104" s="10"/>
      <c r="X104" s="10"/>
      <c r="Y104" s="10"/>
      <c r="Z104" s="10"/>
      <c r="AA104" s="10" t="s">
        <v>408</v>
      </c>
      <c r="AB104" s="13">
        <v>32</v>
      </c>
      <c r="AC104" s="10"/>
      <c r="AD104" s="69">
        <v>24.920375</v>
      </c>
      <c r="AE104" s="13">
        <v>76.125</v>
      </c>
    </row>
    <row r="105" spans="1:31">
      <c r="A105" s="8" t="s">
        <v>36</v>
      </c>
      <c r="B105" s="8" t="s">
        <v>1126</v>
      </c>
      <c r="C105" s="8" t="s">
        <v>1307</v>
      </c>
      <c r="D105" s="9" t="s">
        <v>211</v>
      </c>
      <c r="E105" s="8"/>
      <c r="F105" s="8"/>
      <c r="G105" s="8"/>
      <c r="H105" s="8"/>
      <c r="I105" s="8"/>
      <c r="J105" s="8"/>
      <c r="K105" s="8"/>
      <c r="L105" s="10" t="e">
        <f t="shared" si="2"/>
        <v>#DIV/0!</v>
      </c>
      <c r="M105" s="8"/>
      <c r="N105" s="10" t="e">
        <f t="shared" si="3"/>
        <v>#DIV/0!</v>
      </c>
      <c r="O105" s="8"/>
      <c r="P105" s="8"/>
      <c r="Q105" s="18"/>
      <c r="R105" s="18"/>
      <c r="S105" s="18"/>
      <c r="T105" s="50">
        <v>79.8</v>
      </c>
      <c r="U105" s="18"/>
      <c r="V105" s="10"/>
      <c r="W105" s="10"/>
      <c r="X105" s="10"/>
      <c r="Y105" s="10"/>
      <c r="Z105" s="10"/>
      <c r="AA105" s="10" t="s">
        <v>408</v>
      </c>
      <c r="AB105" s="50">
        <v>11</v>
      </c>
      <c r="AC105" s="10"/>
      <c r="AD105" s="69">
        <v>24.920375</v>
      </c>
      <c r="AE105" s="13">
        <v>76.125</v>
      </c>
    </row>
    <row r="106" spans="1:31">
      <c r="A106" s="8" t="s">
        <v>36</v>
      </c>
      <c r="B106" s="8" t="s">
        <v>1126</v>
      </c>
      <c r="C106" s="8" t="s">
        <v>1307</v>
      </c>
      <c r="D106" s="9" t="s">
        <v>1317</v>
      </c>
      <c r="E106" s="8" t="s">
        <v>1318</v>
      </c>
      <c r="F106" s="8">
        <v>104.67</v>
      </c>
      <c r="G106" s="8">
        <v>34</v>
      </c>
      <c r="H106" s="8">
        <v>196</v>
      </c>
      <c r="I106" s="8">
        <v>99</v>
      </c>
      <c r="J106" s="8">
        <v>97</v>
      </c>
      <c r="K106" s="8">
        <v>146</v>
      </c>
      <c r="L106" s="10">
        <f t="shared" si="2"/>
        <v>74.489795918367349</v>
      </c>
      <c r="M106" s="8">
        <v>6</v>
      </c>
      <c r="N106" s="10">
        <f t="shared" si="3"/>
        <v>3.0612244897959182</v>
      </c>
      <c r="O106" s="8">
        <v>5.5</v>
      </c>
      <c r="P106" s="8">
        <v>0</v>
      </c>
      <c r="Q106" s="13" t="s">
        <v>409</v>
      </c>
      <c r="R106" s="13" t="s">
        <v>1311</v>
      </c>
      <c r="S106" s="13"/>
      <c r="T106" s="50">
        <v>81.75</v>
      </c>
      <c r="U106" s="13"/>
      <c r="V106" s="10"/>
      <c r="W106" s="10"/>
      <c r="X106" s="10"/>
      <c r="Y106" s="10"/>
      <c r="Z106" s="10"/>
      <c r="AA106" s="10" t="s">
        <v>408</v>
      </c>
      <c r="AB106" s="50">
        <v>2</v>
      </c>
      <c r="AC106" s="10"/>
      <c r="AD106" s="69">
        <v>24.946888000000001</v>
      </c>
      <c r="AE106" s="13">
        <v>76.127740000000003</v>
      </c>
    </row>
    <row r="107" spans="1:31">
      <c r="A107" s="8" t="s">
        <v>36</v>
      </c>
      <c r="B107" s="8" t="s">
        <v>1126</v>
      </c>
      <c r="C107" s="8" t="s">
        <v>1307</v>
      </c>
      <c r="D107" s="9" t="s">
        <v>1319</v>
      </c>
      <c r="E107" s="8" t="s">
        <v>1320</v>
      </c>
      <c r="F107" s="8">
        <v>326.67</v>
      </c>
      <c r="G107" s="8">
        <v>59</v>
      </c>
      <c r="H107" s="8">
        <v>327</v>
      </c>
      <c r="I107" s="8">
        <v>163</v>
      </c>
      <c r="J107" s="8">
        <v>164</v>
      </c>
      <c r="K107" s="8">
        <v>96</v>
      </c>
      <c r="L107" s="10">
        <f t="shared" si="2"/>
        <v>29.357798165137616</v>
      </c>
      <c r="M107" s="8">
        <v>0</v>
      </c>
      <c r="N107" s="10">
        <f t="shared" si="3"/>
        <v>0</v>
      </c>
      <c r="O107" s="8">
        <v>12.17</v>
      </c>
      <c r="P107" s="8">
        <v>0</v>
      </c>
      <c r="Q107" s="13" t="s">
        <v>409</v>
      </c>
      <c r="R107" s="13" t="s">
        <v>1311</v>
      </c>
      <c r="S107" s="13"/>
      <c r="T107" s="37">
        <v>2</v>
      </c>
      <c r="U107" s="13"/>
      <c r="V107" s="10"/>
      <c r="W107" s="10"/>
      <c r="X107" s="10"/>
      <c r="Y107" s="10"/>
      <c r="Z107" s="10"/>
      <c r="AA107" s="10" t="s">
        <v>408</v>
      </c>
      <c r="AB107" s="37">
        <v>11</v>
      </c>
      <c r="AC107" s="10"/>
      <c r="AD107" s="69">
        <v>24.935381</v>
      </c>
      <c r="AE107" s="13">
        <v>78.139992000000007</v>
      </c>
    </row>
    <row r="108" spans="1:31">
      <c r="A108" s="8" t="s">
        <v>36</v>
      </c>
      <c r="B108" s="8" t="s">
        <v>1126</v>
      </c>
      <c r="C108" s="8" t="s">
        <v>1321</v>
      </c>
      <c r="D108" s="9" t="s">
        <v>1322</v>
      </c>
      <c r="E108" s="8" t="s">
        <v>1323</v>
      </c>
      <c r="F108" s="8">
        <v>1181.17</v>
      </c>
      <c r="G108" s="8">
        <v>451</v>
      </c>
      <c r="H108" s="8">
        <v>2358</v>
      </c>
      <c r="I108" s="8">
        <v>1209</v>
      </c>
      <c r="J108" s="8">
        <v>1149</v>
      </c>
      <c r="K108" s="8">
        <v>472</v>
      </c>
      <c r="L108" s="10">
        <f t="shared" si="2"/>
        <v>20.01696352841391</v>
      </c>
      <c r="M108" s="8">
        <v>35</v>
      </c>
      <c r="N108" s="10">
        <f t="shared" si="3"/>
        <v>1.4843087362171332</v>
      </c>
      <c r="O108" s="8">
        <v>0</v>
      </c>
      <c r="P108" s="8">
        <v>45.91</v>
      </c>
      <c r="Q108" s="10"/>
      <c r="R108" s="10"/>
      <c r="S108" s="10"/>
      <c r="T108" s="37">
        <v>2</v>
      </c>
      <c r="U108" s="10"/>
      <c r="V108" s="10"/>
      <c r="W108" s="10"/>
      <c r="X108" s="10"/>
      <c r="Y108" s="10"/>
      <c r="Z108" s="10"/>
      <c r="AA108" s="10" t="s">
        <v>408</v>
      </c>
      <c r="AB108" s="37">
        <v>11</v>
      </c>
      <c r="AC108" s="10"/>
      <c r="AD108" s="70"/>
      <c r="AE108" s="10"/>
    </row>
    <row r="109" spans="1:31">
      <c r="A109" s="8" t="s">
        <v>36</v>
      </c>
      <c r="B109" s="8" t="s">
        <v>1126</v>
      </c>
      <c r="C109" s="8" t="s">
        <v>1321</v>
      </c>
      <c r="D109" s="9" t="s">
        <v>1324</v>
      </c>
      <c r="E109" s="8" t="s">
        <v>1325</v>
      </c>
      <c r="F109" s="8">
        <v>86.97</v>
      </c>
      <c r="G109" s="8">
        <v>5</v>
      </c>
      <c r="H109" s="8">
        <v>10</v>
      </c>
      <c r="I109" s="8">
        <v>9</v>
      </c>
      <c r="J109" s="8">
        <v>1</v>
      </c>
      <c r="K109" s="8">
        <v>0</v>
      </c>
      <c r="L109" s="10">
        <f t="shared" si="2"/>
        <v>0</v>
      </c>
      <c r="M109" s="8">
        <v>0</v>
      </c>
      <c r="N109" s="10">
        <f t="shared" si="3"/>
        <v>0</v>
      </c>
      <c r="O109" s="8">
        <v>0</v>
      </c>
      <c r="P109" s="8">
        <v>0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 t="s">
        <v>1949</v>
      </c>
      <c r="AB109" s="10"/>
      <c r="AC109" s="10"/>
      <c r="AD109" s="70"/>
      <c r="AE109" s="10"/>
    </row>
    <row r="110" spans="1:31">
      <c r="A110" s="8" t="s">
        <v>36</v>
      </c>
      <c r="B110" s="8" t="s">
        <v>1126</v>
      </c>
      <c r="C110" s="8" t="s">
        <v>1321</v>
      </c>
      <c r="D110" s="9" t="s">
        <v>1326</v>
      </c>
      <c r="E110" s="8" t="s">
        <v>1327</v>
      </c>
      <c r="F110" s="8">
        <v>473.82</v>
      </c>
      <c r="G110" s="8">
        <v>119</v>
      </c>
      <c r="H110" s="8">
        <v>654</v>
      </c>
      <c r="I110" s="8">
        <v>349</v>
      </c>
      <c r="J110" s="8">
        <v>305</v>
      </c>
      <c r="K110" s="8">
        <v>94</v>
      </c>
      <c r="L110" s="10">
        <f t="shared" si="2"/>
        <v>14.37308868501529</v>
      </c>
      <c r="M110" s="8">
        <v>128</v>
      </c>
      <c r="N110" s="10">
        <f t="shared" si="3"/>
        <v>19.571865443425075</v>
      </c>
      <c r="O110" s="8">
        <v>30.55</v>
      </c>
      <c r="P110" s="8">
        <v>0</v>
      </c>
      <c r="Q110" s="33"/>
      <c r="R110" s="33"/>
      <c r="S110" s="34"/>
      <c r="T110" s="37">
        <v>4</v>
      </c>
      <c r="U110" s="33"/>
      <c r="V110" s="10"/>
      <c r="W110" s="10"/>
      <c r="X110" s="10"/>
      <c r="Y110" s="10"/>
      <c r="Z110" s="10"/>
      <c r="AA110" s="10" t="s">
        <v>408</v>
      </c>
      <c r="AB110" s="37">
        <v>50</v>
      </c>
      <c r="AC110" s="10"/>
      <c r="AD110" s="80">
        <v>24.926093000000002</v>
      </c>
      <c r="AE110" s="34">
        <v>76.365165000000005</v>
      </c>
    </row>
    <row r="111" spans="1:31">
      <c r="A111" s="8" t="s">
        <v>36</v>
      </c>
      <c r="B111" s="8" t="s">
        <v>1126</v>
      </c>
      <c r="C111" s="8" t="s">
        <v>1321</v>
      </c>
      <c r="D111" s="9" t="s">
        <v>1328</v>
      </c>
      <c r="E111" s="8" t="s">
        <v>1329</v>
      </c>
      <c r="F111" s="8">
        <v>283.05</v>
      </c>
      <c r="G111" s="8">
        <v>195</v>
      </c>
      <c r="H111" s="8">
        <v>1204</v>
      </c>
      <c r="I111" s="8">
        <v>646</v>
      </c>
      <c r="J111" s="8">
        <v>558</v>
      </c>
      <c r="K111" s="8">
        <v>331</v>
      </c>
      <c r="L111" s="10">
        <f t="shared" si="2"/>
        <v>27.491694352159467</v>
      </c>
      <c r="M111" s="8">
        <v>6</v>
      </c>
      <c r="N111" s="10">
        <f t="shared" si="3"/>
        <v>0.49833887043189368</v>
      </c>
      <c r="O111" s="8">
        <v>30.55</v>
      </c>
      <c r="P111" s="8">
        <v>0</v>
      </c>
      <c r="Q111" s="33" t="s">
        <v>412</v>
      </c>
      <c r="R111" s="33"/>
      <c r="S111" s="34"/>
      <c r="T111" s="37">
        <v>0</v>
      </c>
      <c r="U111" s="33"/>
      <c r="V111" s="10"/>
      <c r="W111" s="10"/>
      <c r="X111" s="10"/>
      <c r="Y111" s="10"/>
      <c r="Z111" s="10"/>
      <c r="AA111" s="10" t="s">
        <v>1949</v>
      </c>
      <c r="AB111" s="37"/>
      <c r="AC111" s="10"/>
      <c r="AD111" s="73">
        <v>24.562799999999999</v>
      </c>
      <c r="AE111" s="33">
        <v>76.236999999999995</v>
      </c>
    </row>
    <row r="112" spans="1:31">
      <c r="A112" s="8" t="s">
        <v>36</v>
      </c>
      <c r="B112" s="8" t="s">
        <v>1126</v>
      </c>
      <c r="C112" s="8" t="s">
        <v>1330</v>
      </c>
      <c r="D112" s="9" t="s">
        <v>1331</v>
      </c>
      <c r="E112" s="8" t="s">
        <v>1332</v>
      </c>
      <c r="F112" s="8">
        <v>8270</v>
      </c>
      <c r="G112" s="8">
        <v>1575</v>
      </c>
      <c r="H112" s="8">
        <v>8011</v>
      </c>
      <c r="I112" s="8">
        <v>4151</v>
      </c>
      <c r="J112" s="8">
        <v>3860</v>
      </c>
      <c r="K112" s="8">
        <v>2237</v>
      </c>
      <c r="L112" s="10">
        <f t="shared" si="2"/>
        <v>27.924104356509797</v>
      </c>
      <c r="M112" s="8">
        <v>508</v>
      </c>
      <c r="N112" s="10">
        <f t="shared" si="3"/>
        <v>6.3412807389838965</v>
      </c>
      <c r="O112" s="8">
        <v>52</v>
      </c>
      <c r="P112" s="8">
        <v>6911</v>
      </c>
      <c r="Q112" s="50" t="s">
        <v>586</v>
      </c>
      <c r="R112" s="50" t="s">
        <v>1333</v>
      </c>
      <c r="S112" s="52"/>
      <c r="T112" s="37">
        <v>0</v>
      </c>
      <c r="U112" s="52" t="s">
        <v>408</v>
      </c>
      <c r="V112" s="10"/>
      <c r="W112" s="10"/>
      <c r="X112" s="10"/>
      <c r="Y112" s="10"/>
      <c r="Z112" s="10"/>
      <c r="AA112" s="10" t="s">
        <v>1949</v>
      </c>
      <c r="AB112" s="37"/>
      <c r="AC112" s="10"/>
      <c r="AD112" s="77">
        <v>25.096687800000002</v>
      </c>
      <c r="AE112" s="52">
        <v>76.096294799999995</v>
      </c>
    </row>
    <row r="113" spans="1:31">
      <c r="A113" s="8"/>
      <c r="B113" s="8" t="s">
        <v>1126</v>
      </c>
      <c r="C113" s="8" t="s">
        <v>1330</v>
      </c>
      <c r="D113" s="9" t="s">
        <v>1331</v>
      </c>
      <c r="E113" s="8"/>
      <c r="F113" s="8"/>
      <c r="G113" s="8"/>
      <c r="H113" s="8"/>
      <c r="I113" s="8"/>
      <c r="J113" s="8"/>
      <c r="K113" s="8"/>
      <c r="L113" s="10" t="e">
        <f t="shared" si="2"/>
        <v>#DIV/0!</v>
      </c>
      <c r="M113" s="8"/>
      <c r="N113" s="10" t="e">
        <f t="shared" si="3"/>
        <v>#DIV/0!</v>
      </c>
      <c r="O113" s="8"/>
      <c r="P113" s="8"/>
      <c r="Q113" s="51" t="s">
        <v>586</v>
      </c>
      <c r="R113" s="51"/>
      <c r="S113" s="52"/>
      <c r="T113" s="37">
        <v>0</v>
      </c>
      <c r="U113" s="52" t="s">
        <v>408</v>
      </c>
      <c r="V113" s="10"/>
      <c r="W113" s="10"/>
      <c r="X113" s="10"/>
      <c r="Y113" s="10"/>
      <c r="Z113" s="10"/>
      <c r="AA113" s="10" t="s">
        <v>1949</v>
      </c>
      <c r="AB113" s="37"/>
      <c r="AC113" s="10"/>
      <c r="AD113" s="73">
        <v>24.922405999999999</v>
      </c>
      <c r="AE113" s="33">
        <v>76.449083999999999</v>
      </c>
    </row>
    <row r="114" spans="1:31">
      <c r="A114" s="8"/>
      <c r="B114" s="8" t="s">
        <v>1126</v>
      </c>
      <c r="C114" s="8" t="s">
        <v>1330</v>
      </c>
      <c r="D114" s="9" t="s">
        <v>1331</v>
      </c>
      <c r="E114" s="8"/>
      <c r="F114" s="8"/>
      <c r="G114" s="8"/>
      <c r="H114" s="8"/>
      <c r="I114" s="8"/>
      <c r="J114" s="8"/>
      <c r="K114" s="8"/>
      <c r="L114" s="10" t="e">
        <f t="shared" si="2"/>
        <v>#DIV/0!</v>
      </c>
      <c r="M114" s="8"/>
      <c r="N114" s="10" t="e">
        <f t="shared" si="3"/>
        <v>#DIV/0!</v>
      </c>
      <c r="O114" s="8"/>
      <c r="P114" s="8"/>
      <c r="Q114" s="18" t="s">
        <v>409</v>
      </c>
      <c r="R114" s="18"/>
      <c r="S114" s="52"/>
      <c r="T114" s="50">
        <v>61.5</v>
      </c>
      <c r="U114" s="52" t="s">
        <v>408</v>
      </c>
      <c r="V114" s="10"/>
      <c r="W114" s="10"/>
      <c r="X114" s="10"/>
      <c r="Y114" s="10"/>
      <c r="Z114" s="10"/>
      <c r="AA114" s="10" t="s">
        <v>408</v>
      </c>
      <c r="AB114" s="50">
        <v>10</v>
      </c>
      <c r="AC114" s="10"/>
      <c r="AD114" s="81">
        <v>25.096687800000002</v>
      </c>
      <c r="AE114" s="56">
        <v>76.096294799999995</v>
      </c>
    </row>
    <row r="115" spans="1:31">
      <c r="A115" s="8"/>
      <c r="B115" s="8" t="s">
        <v>1126</v>
      </c>
      <c r="C115" s="8" t="s">
        <v>1330</v>
      </c>
      <c r="D115" s="9" t="s">
        <v>1331</v>
      </c>
      <c r="E115" s="8"/>
      <c r="F115" s="8"/>
      <c r="G115" s="8"/>
      <c r="H115" s="8"/>
      <c r="I115" s="8"/>
      <c r="J115" s="8"/>
      <c r="K115" s="8"/>
      <c r="L115" s="10" t="e">
        <f t="shared" si="2"/>
        <v>#DIV/0!</v>
      </c>
      <c r="M115" s="8"/>
      <c r="N115" s="10" t="e">
        <f t="shared" si="3"/>
        <v>#DIV/0!</v>
      </c>
      <c r="O115" s="8"/>
      <c r="P115" s="8"/>
      <c r="Q115" s="18"/>
      <c r="R115" s="18"/>
      <c r="S115" s="18"/>
      <c r="T115" s="10"/>
      <c r="U115" s="52" t="s">
        <v>408</v>
      </c>
      <c r="V115" s="10"/>
      <c r="W115" s="10"/>
      <c r="X115" s="10"/>
      <c r="Y115" s="10"/>
      <c r="Z115" s="10"/>
      <c r="AA115" s="10" t="s">
        <v>1949</v>
      </c>
      <c r="AB115" s="10"/>
      <c r="AC115" s="10"/>
      <c r="AD115" s="81">
        <v>25.096687800000002</v>
      </c>
      <c r="AE115" s="56">
        <v>76.096294799999995</v>
      </c>
    </row>
    <row r="116" spans="1:31">
      <c r="A116" s="8" t="s">
        <v>36</v>
      </c>
      <c r="B116" s="8" t="s">
        <v>1126</v>
      </c>
      <c r="C116" s="8" t="s">
        <v>1334</v>
      </c>
      <c r="D116" s="9" t="s">
        <v>1335</v>
      </c>
      <c r="E116" s="8" t="s">
        <v>1336</v>
      </c>
      <c r="F116" s="8">
        <v>593.79</v>
      </c>
      <c r="G116" s="8">
        <v>285</v>
      </c>
      <c r="H116" s="8">
        <v>1558</v>
      </c>
      <c r="I116" s="8">
        <v>783</v>
      </c>
      <c r="J116" s="8">
        <v>775</v>
      </c>
      <c r="K116" s="8">
        <v>304</v>
      </c>
      <c r="L116" s="10">
        <f t="shared" si="2"/>
        <v>19.512195121951219</v>
      </c>
      <c r="M116" s="8">
        <v>18</v>
      </c>
      <c r="N116" s="10">
        <f t="shared" si="3"/>
        <v>1.1553273427471118</v>
      </c>
      <c r="O116" s="8">
        <v>8.26</v>
      </c>
      <c r="P116" s="8">
        <v>71.3</v>
      </c>
      <c r="Q116" s="13" t="s">
        <v>408</v>
      </c>
      <c r="R116" s="14">
        <v>45201</v>
      </c>
      <c r="S116" s="15"/>
      <c r="T116" s="37">
        <v>0</v>
      </c>
      <c r="U116" s="44"/>
      <c r="V116" s="10"/>
      <c r="W116" s="10"/>
      <c r="X116" s="10"/>
      <c r="Y116" s="10"/>
      <c r="Z116" s="10"/>
      <c r="AA116" s="10" t="s">
        <v>1949</v>
      </c>
      <c r="AB116" s="37"/>
      <c r="AC116" s="10"/>
      <c r="AD116" s="76">
        <v>24.869215000000001</v>
      </c>
      <c r="AE116" s="44">
        <v>76.322992999999997</v>
      </c>
    </row>
    <row r="117" spans="1:31">
      <c r="A117" s="8" t="s">
        <v>36</v>
      </c>
      <c r="B117" s="8" t="s">
        <v>1126</v>
      </c>
      <c r="C117" s="8" t="s">
        <v>1334</v>
      </c>
      <c r="D117" s="9" t="s">
        <v>1337</v>
      </c>
      <c r="E117" s="8" t="s">
        <v>1338</v>
      </c>
      <c r="F117" s="8">
        <v>262.33</v>
      </c>
      <c r="G117" s="8">
        <v>93</v>
      </c>
      <c r="H117" s="8">
        <v>519</v>
      </c>
      <c r="I117" s="8">
        <v>264</v>
      </c>
      <c r="J117" s="8">
        <v>255</v>
      </c>
      <c r="K117" s="8">
        <v>89</v>
      </c>
      <c r="L117" s="10">
        <f t="shared" si="2"/>
        <v>17.148362235067438</v>
      </c>
      <c r="M117" s="8">
        <v>0</v>
      </c>
      <c r="N117" s="10">
        <f t="shared" si="3"/>
        <v>0</v>
      </c>
      <c r="O117" s="8">
        <v>9.76</v>
      </c>
      <c r="P117" s="8">
        <v>0</v>
      </c>
      <c r="Q117" s="13" t="s">
        <v>408</v>
      </c>
      <c r="R117" s="14">
        <v>45201</v>
      </c>
      <c r="S117" s="15"/>
      <c r="T117" s="37">
        <v>24</v>
      </c>
      <c r="U117" s="44"/>
      <c r="V117" s="10"/>
      <c r="W117" s="10"/>
      <c r="X117" s="10"/>
      <c r="Y117" s="10"/>
      <c r="Z117" s="10"/>
      <c r="AA117" s="10" t="s">
        <v>408</v>
      </c>
      <c r="AB117" s="37">
        <v>10</v>
      </c>
      <c r="AC117" s="10"/>
      <c r="AD117" s="76">
        <v>24.880362999999999</v>
      </c>
      <c r="AE117" s="44">
        <v>76.302788000000007</v>
      </c>
    </row>
    <row r="118" spans="1:31">
      <c r="A118" s="8" t="s">
        <v>36</v>
      </c>
      <c r="B118" s="8" t="s">
        <v>1126</v>
      </c>
      <c r="C118" s="8" t="s">
        <v>1334</v>
      </c>
      <c r="D118" s="9" t="s">
        <v>1339</v>
      </c>
      <c r="E118" s="8" t="s">
        <v>1340</v>
      </c>
      <c r="F118" s="8">
        <v>271.29000000000002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10" t="e">
        <f t="shared" si="2"/>
        <v>#DIV/0!</v>
      </c>
      <c r="M118" s="8">
        <v>0</v>
      </c>
      <c r="N118" s="10" t="e">
        <f t="shared" si="3"/>
        <v>#DIV/0!</v>
      </c>
      <c r="O118" s="8">
        <v>0</v>
      </c>
      <c r="P118" s="8">
        <v>0</v>
      </c>
      <c r="Q118" s="13" t="s">
        <v>408</v>
      </c>
      <c r="R118" s="14">
        <v>45201</v>
      </c>
      <c r="S118" s="15"/>
      <c r="T118" s="52">
        <v>11.41</v>
      </c>
      <c r="U118" s="44"/>
      <c r="V118" s="10"/>
      <c r="W118" s="10"/>
      <c r="X118" s="10"/>
      <c r="Y118" s="10"/>
      <c r="Z118" s="10"/>
      <c r="AA118" s="10" t="s">
        <v>408</v>
      </c>
      <c r="AB118" s="52">
        <v>7</v>
      </c>
      <c r="AC118" s="10"/>
      <c r="AD118" s="76">
        <v>24.867087999999999</v>
      </c>
      <c r="AE118" s="44">
        <v>76.295147999999998</v>
      </c>
    </row>
    <row r="119" spans="1:31">
      <c r="A119" s="8" t="s">
        <v>36</v>
      </c>
      <c r="B119" s="8" t="s">
        <v>1126</v>
      </c>
      <c r="C119" s="8" t="s">
        <v>1334</v>
      </c>
      <c r="D119" s="9" t="s">
        <v>1341</v>
      </c>
      <c r="E119" s="8" t="s">
        <v>1342</v>
      </c>
      <c r="F119" s="8">
        <v>438.6</v>
      </c>
      <c r="G119" s="8">
        <v>146</v>
      </c>
      <c r="H119" s="8">
        <v>798</v>
      </c>
      <c r="I119" s="8">
        <v>409</v>
      </c>
      <c r="J119" s="8">
        <v>389</v>
      </c>
      <c r="K119" s="8">
        <v>73</v>
      </c>
      <c r="L119" s="10">
        <f t="shared" si="2"/>
        <v>9.147869674185463</v>
      </c>
      <c r="M119" s="8">
        <v>13</v>
      </c>
      <c r="N119" s="10">
        <f t="shared" si="3"/>
        <v>1.6290726817042605</v>
      </c>
      <c r="O119" s="8">
        <v>21.48</v>
      </c>
      <c r="P119" s="8">
        <v>0</v>
      </c>
      <c r="Q119" s="13" t="s">
        <v>408</v>
      </c>
      <c r="R119" s="14">
        <v>45201</v>
      </c>
      <c r="S119" s="15"/>
      <c r="T119" s="52">
        <v>14.28</v>
      </c>
      <c r="U119" s="44"/>
      <c r="V119" s="10"/>
      <c r="W119" s="10"/>
      <c r="X119" s="10"/>
      <c r="Y119" s="10"/>
      <c r="Z119" s="10"/>
      <c r="AA119" s="10" t="s">
        <v>408</v>
      </c>
      <c r="AB119" s="52">
        <v>6.9</v>
      </c>
      <c r="AC119" s="10"/>
      <c r="AD119" s="76">
        <v>24.837675000000001</v>
      </c>
      <c r="AE119" s="44">
        <v>76.292534000000003</v>
      </c>
    </row>
    <row r="120" spans="1:31">
      <c r="A120" s="8" t="s">
        <v>36</v>
      </c>
      <c r="B120" s="8" t="s">
        <v>1126</v>
      </c>
      <c r="C120" s="8" t="s">
        <v>1334</v>
      </c>
      <c r="D120" s="9" t="s">
        <v>1343</v>
      </c>
      <c r="E120" s="8" t="s">
        <v>1344</v>
      </c>
      <c r="F120" s="8">
        <v>132.02000000000001</v>
      </c>
      <c r="G120" s="8">
        <v>3</v>
      </c>
      <c r="H120" s="8">
        <v>12</v>
      </c>
      <c r="I120" s="8">
        <v>5</v>
      </c>
      <c r="J120" s="8">
        <v>7</v>
      </c>
      <c r="K120" s="8">
        <v>0</v>
      </c>
      <c r="L120" s="10">
        <f t="shared" si="2"/>
        <v>0</v>
      </c>
      <c r="M120" s="8">
        <v>0</v>
      </c>
      <c r="N120" s="10">
        <f t="shared" si="3"/>
        <v>0</v>
      </c>
      <c r="O120" s="8">
        <v>0</v>
      </c>
      <c r="P120" s="8">
        <v>0</v>
      </c>
      <c r="Q120" s="13" t="s">
        <v>408</v>
      </c>
      <c r="R120" s="14">
        <v>45181</v>
      </c>
      <c r="S120" s="15"/>
      <c r="T120" s="10"/>
      <c r="U120" s="44"/>
      <c r="V120" s="10"/>
      <c r="W120" s="10"/>
      <c r="X120" s="10"/>
      <c r="Y120" s="10"/>
      <c r="Z120" s="10"/>
      <c r="AA120" s="10" t="s">
        <v>1949</v>
      </c>
      <c r="AB120" s="10"/>
      <c r="AC120" s="10"/>
      <c r="AD120" s="76"/>
      <c r="AE120" s="44"/>
    </row>
    <row r="121" spans="1:31">
      <c r="A121" s="8" t="s">
        <v>36</v>
      </c>
      <c r="B121" s="8" t="s">
        <v>1126</v>
      </c>
      <c r="C121" s="8" t="s">
        <v>1334</v>
      </c>
      <c r="D121" s="9" t="s">
        <v>1345</v>
      </c>
      <c r="E121" s="8" t="s">
        <v>1346</v>
      </c>
      <c r="F121" s="8">
        <v>580.42999999999995</v>
      </c>
      <c r="G121" s="8">
        <v>181</v>
      </c>
      <c r="H121" s="8">
        <v>924</v>
      </c>
      <c r="I121" s="8">
        <v>465</v>
      </c>
      <c r="J121" s="8">
        <v>459</v>
      </c>
      <c r="K121" s="8">
        <v>119</v>
      </c>
      <c r="L121" s="10">
        <f t="shared" si="2"/>
        <v>12.878787878787879</v>
      </c>
      <c r="M121" s="8">
        <v>38</v>
      </c>
      <c r="N121" s="10">
        <f t="shared" si="3"/>
        <v>4.112554112554113</v>
      </c>
      <c r="O121" s="8">
        <v>57.83</v>
      </c>
      <c r="P121" s="8">
        <v>0</v>
      </c>
      <c r="Q121" s="13" t="s">
        <v>408</v>
      </c>
      <c r="R121" s="14">
        <v>45181</v>
      </c>
      <c r="S121" s="15"/>
      <c r="T121" s="52">
        <v>48.47</v>
      </c>
      <c r="U121" s="44"/>
      <c r="V121" s="10"/>
      <c r="W121" s="10"/>
      <c r="X121" s="10"/>
      <c r="Y121" s="10"/>
      <c r="Z121" s="10"/>
      <c r="AA121" s="10" t="s">
        <v>408</v>
      </c>
      <c r="AB121" s="52">
        <v>35</v>
      </c>
      <c r="AC121" s="10"/>
      <c r="AD121" s="76">
        <v>24.867087999999999</v>
      </c>
      <c r="AE121" s="44">
        <v>76.295147999999998</v>
      </c>
    </row>
    <row r="122" spans="1:31">
      <c r="A122" s="8" t="s">
        <v>36</v>
      </c>
      <c r="B122" s="8" t="s">
        <v>1126</v>
      </c>
      <c r="C122" s="8" t="s">
        <v>1334</v>
      </c>
      <c r="D122" s="9" t="s">
        <v>1347</v>
      </c>
      <c r="E122" s="8" t="s">
        <v>1348</v>
      </c>
      <c r="F122" s="8">
        <v>298.88</v>
      </c>
      <c r="G122" s="8">
        <v>100</v>
      </c>
      <c r="H122" s="8">
        <v>569</v>
      </c>
      <c r="I122" s="8">
        <v>290</v>
      </c>
      <c r="J122" s="8">
        <v>279</v>
      </c>
      <c r="K122" s="8">
        <v>129</v>
      </c>
      <c r="L122" s="10">
        <f t="shared" si="2"/>
        <v>22.671353251318102</v>
      </c>
      <c r="M122" s="8">
        <v>9</v>
      </c>
      <c r="N122" s="10">
        <f t="shared" si="3"/>
        <v>1.5817223198594026</v>
      </c>
      <c r="O122" s="8">
        <v>22.72</v>
      </c>
      <c r="P122" s="8">
        <v>0</v>
      </c>
      <c r="Q122" s="13" t="s">
        <v>408</v>
      </c>
      <c r="R122" s="14">
        <v>45181</v>
      </c>
      <c r="S122" s="15"/>
      <c r="T122" s="52">
        <v>11.41</v>
      </c>
      <c r="U122" s="44"/>
      <c r="V122" s="10"/>
      <c r="W122" s="10"/>
      <c r="X122" s="10"/>
      <c r="Y122" s="10"/>
      <c r="Z122" s="10"/>
      <c r="AA122" s="10" t="s">
        <v>408</v>
      </c>
      <c r="AB122" s="52">
        <v>7</v>
      </c>
      <c r="AC122" s="10"/>
      <c r="AD122" s="76">
        <v>24.888739000000001</v>
      </c>
      <c r="AE122" s="44">
        <v>76.267708999999996</v>
      </c>
    </row>
    <row r="123" spans="1:31">
      <c r="A123" s="8" t="s">
        <v>36</v>
      </c>
      <c r="B123" s="8" t="s">
        <v>1126</v>
      </c>
      <c r="C123" s="8" t="s">
        <v>1334</v>
      </c>
      <c r="D123" s="9" t="s">
        <v>1349</v>
      </c>
      <c r="E123" s="8" t="s">
        <v>1350</v>
      </c>
      <c r="F123" s="8">
        <v>200.84</v>
      </c>
      <c r="G123" s="8">
        <v>24</v>
      </c>
      <c r="H123" s="8">
        <v>161</v>
      </c>
      <c r="I123" s="8">
        <v>76</v>
      </c>
      <c r="J123" s="8">
        <v>85</v>
      </c>
      <c r="K123" s="8">
        <v>18</v>
      </c>
      <c r="L123" s="10">
        <f t="shared" si="2"/>
        <v>11.180124223602485</v>
      </c>
      <c r="M123" s="8">
        <v>114</v>
      </c>
      <c r="N123" s="10">
        <f t="shared" si="3"/>
        <v>70.807453416149073</v>
      </c>
      <c r="O123" s="8">
        <v>6.95</v>
      </c>
      <c r="P123" s="8">
        <v>0</v>
      </c>
      <c r="Q123" s="13" t="s">
        <v>408</v>
      </c>
      <c r="R123" s="14">
        <v>45181</v>
      </c>
      <c r="S123" s="15"/>
      <c r="T123" s="52">
        <v>27.54</v>
      </c>
      <c r="U123" s="44"/>
      <c r="V123" s="10"/>
      <c r="W123" s="10"/>
      <c r="X123" s="10"/>
      <c r="Y123" s="10"/>
      <c r="Z123" s="10"/>
      <c r="AA123" s="10" t="s">
        <v>408</v>
      </c>
      <c r="AB123" s="52">
        <v>20</v>
      </c>
      <c r="AC123" s="10"/>
      <c r="AD123" s="76">
        <v>24.952444</v>
      </c>
      <c r="AE123" s="44">
        <v>76.345249999999993</v>
      </c>
    </row>
    <row r="124" spans="1:31">
      <c r="A124" s="8" t="s">
        <v>36</v>
      </c>
      <c r="B124" s="8" t="s">
        <v>1126</v>
      </c>
      <c r="C124" s="8" t="s">
        <v>1334</v>
      </c>
      <c r="D124" s="9" t="s">
        <v>1351</v>
      </c>
      <c r="E124" s="8" t="s">
        <v>1352</v>
      </c>
      <c r="F124" s="8">
        <v>191.01</v>
      </c>
      <c r="G124" s="8">
        <v>34</v>
      </c>
      <c r="H124" s="8">
        <v>201</v>
      </c>
      <c r="I124" s="8">
        <v>101</v>
      </c>
      <c r="J124" s="8">
        <v>100</v>
      </c>
      <c r="K124" s="8">
        <v>69</v>
      </c>
      <c r="L124" s="10">
        <f t="shared" si="2"/>
        <v>34.328358208955223</v>
      </c>
      <c r="M124" s="8">
        <v>0</v>
      </c>
      <c r="N124" s="10">
        <f t="shared" si="3"/>
        <v>0</v>
      </c>
      <c r="O124" s="8">
        <v>6.72</v>
      </c>
      <c r="P124" s="8">
        <v>0</v>
      </c>
      <c r="Q124" s="13" t="s">
        <v>408</v>
      </c>
      <c r="R124" s="14">
        <v>45181</v>
      </c>
      <c r="S124" s="15"/>
      <c r="T124" s="33">
        <v>0</v>
      </c>
      <c r="U124" s="44"/>
      <c r="V124" s="10"/>
      <c r="W124" s="10"/>
      <c r="X124" s="10"/>
      <c r="Y124" s="10"/>
      <c r="Z124" s="10"/>
      <c r="AA124" s="10" t="s">
        <v>408</v>
      </c>
      <c r="AB124" s="34">
        <v>4</v>
      </c>
      <c r="AC124" s="10"/>
      <c r="AD124" s="76">
        <v>24.941020999999999</v>
      </c>
      <c r="AE124" s="44">
        <v>76.320656999999997</v>
      </c>
    </row>
    <row r="125" spans="1:31">
      <c r="A125" s="8" t="s">
        <v>36</v>
      </c>
      <c r="B125" s="8" t="s">
        <v>1126</v>
      </c>
      <c r="C125" s="8" t="s">
        <v>1353</v>
      </c>
      <c r="D125" s="9" t="s">
        <v>1354</v>
      </c>
      <c r="E125" s="8" t="s">
        <v>1355</v>
      </c>
      <c r="F125" s="8">
        <v>281.66000000000003</v>
      </c>
      <c r="G125" s="8">
        <v>214</v>
      </c>
      <c r="H125" s="8">
        <v>1118</v>
      </c>
      <c r="I125" s="8">
        <v>561</v>
      </c>
      <c r="J125" s="8">
        <v>557</v>
      </c>
      <c r="K125" s="8">
        <v>95</v>
      </c>
      <c r="L125" s="10">
        <f t="shared" si="2"/>
        <v>8.4973166368515205</v>
      </c>
      <c r="M125" s="8">
        <v>3</v>
      </c>
      <c r="N125" s="10">
        <f t="shared" si="3"/>
        <v>0.26833631484794274</v>
      </c>
      <c r="O125" s="8">
        <v>21.56</v>
      </c>
      <c r="P125" s="8">
        <v>0</v>
      </c>
      <c r="Q125" s="50" t="s">
        <v>586</v>
      </c>
      <c r="R125" s="54">
        <v>44602</v>
      </c>
      <c r="S125" s="52"/>
      <c r="T125" s="12">
        <v>11.85</v>
      </c>
      <c r="U125" s="52"/>
      <c r="V125" s="10"/>
      <c r="W125" s="10"/>
      <c r="X125" s="10"/>
      <c r="Y125" s="10"/>
      <c r="Z125" s="10"/>
      <c r="AA125" s="10" t="s">
        <v>408</v>
      </c>
      <c r="AB125" s="13">
        <v>6</v>
      </c>
      <c r="AC125" s="10"/>
      <c r="AD125" s="77"/>
      <c r="AE125" s="52"/>
    </row>
    <row r="126" spans="1:31">
      <c r="A126" s="8" t="s">
        <v>36</v>
      </c>
      <c r="B126" s="8" t="s">
        <v>1126</v>
      </c>
      <c r="C126" s="8" t="s">
        <v>1353</v>
      </c>
      <c r="D126" s="9" t="s">
        <v>1356</v>
      </c>
      <c r="E126" s="8" t="s">
        <v>1357</v>
      </c>
      <c r="F126" s="8">
        <v>959</v>
      </c>
      <c r="G126" s="8">
        <v>265</v>
      </c>
      <c r="H126" s="8">
        <v>1410</v>
      </c>
      <c r="I126" s="8">
        <v>735</v>
      </c>
      <c r="J126" s="8">
        <v>675</v>
      </c>
      <c r="K126" s="8">
        <v>398</v>
      </c>
      <c r="L126" s="10">
        <f t="shared" si="2"/>
        <v>28.226950354609929</v>
      </c>
      <c r="M126" s="8">
        <v>72</v>
      </c>
      <c r="N126" s="10">
        <f t="shared" si="3"/>
        <v>5.1063829787234036</v>
      </c>
      <c r="O126" s="8">
        <v>64</v>
      </c>
      <c r="P126" s="8">
        <v>18</v>
      </c>
      <c r="Q126" s="50" t="s">
        <v>586</v>
      </c>
      <c r="R126" s="54">
        <v>44603</v>
      </c>
      <c r="S126" s="52"/>
      <c r="T126" s="12">
        <v>0</v>
      </c>
      <c r="U126" s="52"/>
      <c r="V126" s="10"/>
      <c r="W126" s="10"/>
      <c r="X126" s="10"/>
      <c r="Y126" s="10"/>
      <c r="Z126" s="10"/>
      <c r="AA126" s="10" t="s">
        <v>1949</v>
      </c>
      <c r="AB126" s="13"/>
      <c r="AC126" s="10"/>
      <c r="AD126" s="77">
        <v>24.973538000000001</v>
      </c>
      <c r="AE126" s="52">
        <v>76.092003000000005</v>
      </c>
    </row>
    <row r="127" spans="1:31">
      <c r="A127" s="8" t="s">
        <v>36</v>
      </c>
      <c r="B127" s="8" t="s">
        <v>1126</v>
      </c>
      <c r="C127" s="8" t="s">
        <v>1358</v>
      </c>
      <c r="D127" s="9" t="s">
        <v>1359</v>
      </c>
      <c r="E127" s="8" t="s">
        <v>1360</v>
      </c>
      <c r="F127" s="8">
        <v>336.02</v>
      </c>
      <c r="G127" s="8">
        <v>76</v>
      </c>
      <c r="H127" s="8">
        <v>406</v>
      </c>
      <c r="I127" s="8">
        <v>210</v>
      </c>
      <c r="J127" s="8">
        <v>196</v>
      </c>
      <c r="K127" s="8">
        <v>111</v>
      </c>
      <c r="L127" s="10">
        <f t="shared" si="2"/>
        <v>27.339901477832512</v>
      </c>
      <c r="M127" s="8">
        <v>0</v>
      </c>
      <c r="N127" s="10">
        <f t="shared" si="3"/>
        <v>0</v>
      </c>
      <c r="O127" s="8">
        <v>11.09</v>
      </c>
      <c r="P127" s="8">
        <v>0</v>
      </c>
      <c r="Q127" s="34" t="s">
        <v>409</v>
      </c>
      <c r="R127" s="33" t="s">
        <v>1361</v>
      </c>
      <c r="S127" s="33"/>
      <c r="T127" s="12">
        <v>41.8</v>
      </c>
      <c r="U127" s="34"/>
      <c r="V127" s="10"/>
      <c r="W127" s="10"/>
      <c r="X127" s="10"/>
      <c r="Y127" s="10"/>
      <c r="Z127" s="10"/>
      <c r="AA127" s="10" t="s">
        <v>408</v>
      </c>
      <c r="AB127" s="13">
        <v>32</v>
      </c>
      <c r="AC127" s="10"/>
      <c r="AD127" s="80">
        <v>24.951083000000001</v>
      </c>
      <c r="AE127" s="34">
        <v>76.065027999999998</v>
      </c>
    </row>
    <row r="128" spans="1:31">
      <c r="A128" s="8" t="s">
        <v>36</v>
      </c>
      <c r="B128" s="8" t="s">
        <v>1126</v>
      </c>
      <c r="C128" s="8" t="s">
        <v>1358</v>
      </c>
      <c r="D128" s="9" t="s">
        <v>1362</v>
      </c>
      <c r="E128" s="8" t="s">
        <v>1363</v>
      </c>
      <c r="F128" s="8">
        <v>181</v>
      </c>
      <c r="G128" s="8">
        <v>96</v>
      </c>
      <c r="H128" s="8">
        <v>489</v>
      </c>
      <c r="I128" s="8">
        <v>254</v>
      </c>
      <c r="J128" s="8">
        <v>235</v>
      </c>
      <c r="K128" s="8">
        <v>0</v>
      </c>
      <c r="L128" s="10">
        <f t="shared" si="2"/>
        <v>0</v>
      </c>
      <c r="M128" s="8">
        <v>0</v>
      </c>
      <c r="N128" s="10">
        <f t="shared" si="3"/>
        <v>0</v>
      </c>
      <c r="O128" s="8">
        <v>8</v>
      </c>
      <c r="P128" s="8">
        <v>0</v>
      </c>
      <c r="Q128" s="34"/>
      <c r="R128" s="33" t="s">
        <v>1361</v>
      </c>
      <c r="S128" s="33"/>
      <c r="T128" s="12">
        <v>19.95</v>
      </c>
      <c r="U128" s="34"/>
      <c r="V128" s="10"/>
      <c r="W128" s="10"/>
      <c r="X128" s="10"/>
      <c r="Y128" s="10"/>
      <c r="Z128" s="10"/>
      <c r="AA128" s="10" t="s">
        <v>408</v>
      </c>
      <c r="AB128" s="13">
        <v>14</v>
      </c>
      <c r="AC128" s="10"/>
      <c r="AD128" s="80">
        <v>24.887857</v>
      </c>
      <c r="AE128" s="34">
        <v>76.044786999999999</v>
      </c>
    </row>
    <row r="129" spans="1:31">
      <c r="A129" s="8" t="s">
        <v>36</v>
      </c>
      <c r="B129" s="8" t="s">
        <v>1126</v>
      </c>
      <c r="C129" s="8" t="s">
        <v>1358</v>
      </c>
      <c r="D129" s="9" t="s">
        <v>1364</v>
      </c>
      <c r="E129" s="8" t="s">
        <v>1365</v>
      </c>
      <c r="F129" s="8">
        <v>879.32</v>
      </c>
      <c r="G129" s="8">
        <v>153</v>
      </c>
      <c r="H129" s="8">
        <v>668</v>
      </c>
      <c r="I129" s="8">
        <v>349</v>
      </c>
      <c r="J129" s="8">
        <v>319</v>
      </c>
      <c r="K129" s="8">
        <v>107</v>
      </c>
      <c r="L129" s="10">
        <f t="shared" si="2"/>
        <v>16.017964071856287</v>
      </c>
      <c r="M129" s="8">
        <v>215</v>
      </c>
      <c r="N129" s="10">
        <f t="shared" si="3"/>
        <v>32.185628742514972</v>
      </c>
      <c r="O129" s="8">
        <v>26.55</v>
      </c>
      <c r="P129" s="8">
        <v>488.4</v>
      </c>
      <c r="Q129" s="10"/>
      <c r="R129" s="10"/>
      <c r="S129" s="10"/>
      <c r="T129" s="12">
        <v>31.8</v>
      </c>
      <c r="U129" s="10"/>
      <c r="V129" s="10"/>
      <c r="W129" s="10"/>
      <c r="X129" s="10"/>
      <c r="Y129" s="10"/>
      <c r="Z129" s="10"/>
      <c r="AA129" s="10" t="s">
        <v>408</v>
      </c>
      <c r="AB129" s="13">
        <v>22</v>
      </c>
      <c r="AC129" s="10"/>
      <c r="AD129" s="70"/>
      <c r="AE129" s="10"/>
    </row>
    <row r="130" spans="1:31">
      <c r="A130" s="8" t="s">
        <v>36</v>
      </c>
      <c r="B130" s="8" t="s">
        <v>1126</v>
      </c>
      <c r="C130" s="8" t="s">
        <v>1358</v>
      </c>
      <c r="D130" s="9" t="s">
        <v>1366</v>
      </c>
      <c r="E130" s="8" t="s">
        <v>1367</v>
      </c>
      <c r="F130" s="8">
        <v>1390.1</v>
      </c>
      <c r="G130" s="8">
        <v>72</v>
      </c>
      <c r="H130" s="8">
        <v>270</v>
      </c>
      <c r="I130" s="8">
        <v>144</v>
      </c>
      <c r="J130" s="8">
        <v>126</v>
      </c>
      <c r="K130" s="8">
        <v>66</v>
      </c>
      <c r="L130" s="10">
        <f t="shared" si="2"/>
        <v>24.444444444444443</v>
      </c>
      <c r="M130" s="8">
        <v>0</v>
      </c>
      <c r="N130" s="10">
        <f t="shared" si="3"/>
        <v>0</v>
      </c>
      <c r="O130" s="8">
        <v>84.55</v>
      </c>
      <c r="P130" s="8">
        <v>902.59</v>
      </c>
      <c r="Q130" s="34" t="s">
        <v>409</v>
      </c>
      <c r="R130" s="33" t="s">
        <v>1368</v>
      </c>
      <c r="S130" s="33"/>
      <c r="T130" s="12">
        <v>7.65</v>
      </c>
      <c r="U130" s="34"/>
      <c r="V130" s="10"/>
      <c r="W130" s="10"/>
      <c r="X130" s="10"/>
      <c r="Y130" s="10"/>
      <c r="Z130" s="10"/>
      <c r="AA130" s="10" t="s">
        <v>408</v>
      </c>
      <c r="AB130" s="13">
        <v>7</v>
      </c>
      <c r="AC130" s="10"/>
      <c r="AD130" s="80">
        <v>24.906621999999999</v>
      </c>
      <c r="AE130" s="34">
        <v>76.039696000000006</v>
      </c>
    </row>
    <row r="131" spans="1:31">
      <c r="A131" s="8" t="s">
        <v>36</v>
      </c>
      <c r="B131" s="8" t="s">
        <v>1126</v>
      </c>
      <c r="C131" s="8" t="s">
        <v>1358</v>
      </c>
      <c r="D131" s="9" t="s">
        <v>1369</v>
      </c>
      <c r="E131" s="8" t="s">
        <v>1370</v>
      </c>
      <c r="F131" s="8">
        <v>229.87</v>
      </c>
      <c r="G131" s="8">
        <v>93</v>
      </c>
      <c r="H131" s="8">
        <v>437</v>
      </c>
      <c r="I131" s="8">
        <v>224</v>
      </c>
      <c r="J131" s="8">
        <v>213</v>
      </c>
      <c r="K131" s="8">
        <v>62</v>
      </c>
      <c r="L131" s="10">
        <f t="shared" si="2"/>
        <v>14.187643020594965</v>
      </c>
      <c r="M131" s="8">
        <v>0</v>
      </c>
      <c r="N131" s="10">
        <f t="shared" si="3"/>
        <v>0</v>
      </c>
      <c r="O131" s="8">
        <v>6.24</v>
      </c>
      <c r="P131" s="8">
        <v>10.4</v>
      </c>
      <c r="Q131" s="34"/>
      <c r="R131" s="33" t="s">
        <v>1361</v>
      </c>
      <c r="S131" s="33"/>
      <c r="T131" s="12">
        <v>33.1</v>
      </c>
      <c r="U131" s="34"/>
      <c r="V131" s="10"/>
      <c r="W131" s="10"/>
      <c r="X131" s="10"/>
      <c r="Y131" s="10"/>
      <c r="Z131" s="10"/>
      <c r="AA131" s="10" t="s">
        <v>408</v>
      </c>
      <c r="AB131" s="13">
        <v>24</v>
      </c>
      <c r="AC131" s="10"/>
      <c r="AD131" s="80">
        <v>24.916445</v>
      </c>
      <c r="AE131" s="34">
        <v>76.052030000000002</v>
      </c>
    </row>
    <row r="132" spans="1:31">
      <c r="A132" s="8" t="s">
        <v>36</v>
      </c>
      <c r="B132" s="8" t="s">
        <v>1126</v>
      </c>
      <c r="C132" s="8" t="s">
        <v>1358</v>
      </c>
      <c r="D132" s="9" t="s">
        <v>1371</v>
      </c>
      <c r="E132" s="8" t="s">
        <v>1372</v>
      </c>
      <c r="F132" s="8">
        <v>227.92</v>
      </c>
      <c r="G132" s="8">
        <v>40</v>
      </c>
      <c r="H132" s="8">
        <v>208</v>
      </c>
      <c r="I132" s="8">
        <v>119</v>
      </c>
      <c r="J132" s="8">
        <v>89</v>
      </c>
      <c r="K132" s="8">
        <v>16</v>
      </c>
      <c r="L132" s="10">
        <f t="shared" ref="L132:L195" si="4">K132/H132*100</f>
        <v>7.6923076923076925</v>
      </c>
      <c r="M132" s="8">
        <v>0</v>
      </c>
      <c r="N132" s="10">
        <f t="shared" si="3"/>
        <v>0</v>
      </c>
      <c r="O132" s="8">
        <v>15.5</v>
      </c>
      <c r="P132" s="8">
        <v>90.05</v>
      </c>
      <c r="Q132" s="34"/>
      <c r="R132" s="33" t="s">
        <v>1361</v>
      </c>
      <c r="S132" s="33"/>
      <c r="T132" s="12">
        <v>59</v>
      </c>
      <c r="U132" s="34"/>
      <c r="V132" s="10"/>
      <c r="W132" s="10"/>
      <c r="X132" s="10"/>
      <c r="Y132" s="10"/>
      <c r="Z132" s="10"/>
      <c r="AA132" s="10" t="s">
        <v>408</v>
      </c>
      <c r="AB132" s="12">
        <v>20</v>
      </c>
      <c r="AC132" s="10"/>
      <c r="AD132" s="80" t="s">
        <v>410</v>
      </c>
      <c r="AE132" s="34" t="s">
        <v>410</v>
      </c>
    </row>
    <row r="133" spans="1:31">
      <c r="A133" s="8" t="s">
        <v>36</v>
      </c>
      <c r="B133" s="8" t="s">
        <v>1126</v>
      </c>
      <c r="C133" s="8" t="s">
        <v>1358</v>
      </c>
      <c r="D133" s="9" t="s">
        <v>1373</v>
      </c>
      <c r="E133" s="8" t="s">
        <v>1374</v>
      </c>
      <c r="F133" s="8">
        <v>902.25</v>
      </c>
      <c r="G133" s="8">
        <v>25</v>
      </c>
      <c r="H133" s="8">
        <v>126</v>
      </c>
      <c r="I133" s="8">
        <v>67</v>
      </c>
      <c r="J133" s="8">
        <v>59</v>
      </c>
      <c r="K133" s="8">
        <v>26</v>
      </c>
      <c r="L133" s="10">
        <f t="shared" si="4"/>
        <v>20.634920634920633</v>
      </c>
      <c r="M133" s="8">
        <v>0</v>
      </c>
      <c r="N133" s="10">
        <f t="shared" ref="N133:N196" si="5">M133/H133*100</f>
        <v>0</v>
      </c>
      <c r="O133" s="8">
        <v>12.5</v>
      </c>
      <c r="P133" s="8">
        <v>734.93</v>
      </c>
      <c r="Q133" s="34"/>
      <c r="R133" s="33" t="s">
        <v>1368</v>
      </c>
      <c r="S133" s="33"/>
      <c r="T133" s="12">
        <v>0</v>
      </c>
      <c r="U133" s="34"/>
      <c r="V133" s="10"/>
      <c r="W133" s="10"/>
      <c r="X133" s="10"/>
      <c r="Y133" s="10"/>
      <c r="Z133" s="10"/>
      <c r="AA133" s="10" t="s">
        <v>1949</v>
      </c>
      <c r="AB133" s="12"/>
      <c r="AC133" s="10"/>
      <c r="AD133" s="80" t="s">
        <v>410</v>
      </c>
      <c r="AE133" s="34" t="s">
        <v>410</v>
      </c>
    </row>
    <row r="134" spans="1:31">
      <c r="A134" s="8" t="s">
        <v>36</v>
      </c>
      <c r="B134" s="8" t="s">
        <v>1126</v>
      </c>
      <c r="C134" s="8" t="s">
        <v>1358</v>
      </c>
      <c r="D134" s="9" t="s">
        <v>1375</v>
      </c>
      <c r="E134" s="8" t="s">
        <v>1376</v>
      </c>
      <c r="F134" s="8">
        <v>468</v>
      </c>
      <c r="G134" s="8">
        <v>338</v>
      </c>
      <c r="H134" s="8">
        <v>1635</v>
      </c>
      <c r="I134" s="8">
        <v>858</v>
      </c>
      <c r="J134" s="8">
        <v>777</v>
      </c>
      <c r="K134" s="8">
        <v>288</v>
      </c>
      <c r="L134" s="10">
        <f t="shared" si="4"/>
        <v>17.61467889908257</v>
      </c>
      <c r="M134" s="8">
        <v>165</v>
      </c>
      <c r="N134" s="10">
        <f t="shared" si="5"/>
        <v>10.091743119266056</v>
      </c>
      <c r="O134" s="8">
        <v>71</v>
      </c>
      <c r="P134" s="8">
        <v>0</v>
      </c>
      <c r="Q134" s="50" t="s">
        <v>586</v>
      </c>
      <c r="R134" s="54">
        <v>44477</v>
      </c>
      <c r="S134" s="52"/>
      <c r="T134" s="12">
        <v>36</v>
      </c>
      <c r="U134" s="52"/>
      <c r="V134" s="10"/>
      <c r="W134" s="10"/>
      <c r="X134" s="10"/>
      <c r="Y134" s="10"/>
      <c r="Z134" s="10"/>
      <c r="AA134" s="10" t="s">
        <v>408</v>
      </c>
      <c r="AB134" s="12">
        <v>14</v>
      </c>
      <c r="AC134" s="10"/>
      <c r="AD134" s="77">
        <v>24.986335</v>
      </c>
      <c r="AE134" s="52">
        <v>76.075323999999995</v>
      </c>
    </row>
    <row r="135" spans="1:31">
      <c r="A135" s="8" t="s">
        <v>36</v>
      </c>
      <c r="B135" s="8" t="s">
        <v>1126</v>
      </c>
      <c r="C135" s="8" t="s">
        <v>1358</v>
      </c>
      <c r="D135" s="9" t="s">
        <v>1377</v>
      </c>
      <c r="E135" s="8" t="s">
        <v>1378</v>
      </c>
      <c r="F135" s="8">
        <v>178.24</v>
      </c>
      <c r="G135" s="8">
        <v>41</v>
      </c>
      <c r="H135" s="8">
        <v>204</v>
      </c>
      <c r="I135" s="8">
        <v>103</v>
      </c>
      <c r="J135" s="8">
        <v>101</v>
      </c>
      <c r="K135" s="8">
        <v>45</v>
      </c>
      <c r="L135" s="10">
        <f t="shared" si="4"/>
        <v>22.058823529411764</v>
      </c>
      <c r="M135" s="8">
        <v>0</v>
      </c>
      <c r="N135" s="10">
        <f t="shared" si="5"/>
        <v>0</v>
      </c>
      <c r="O135" s="8">
        <v>11.9</v>
      </c>
      <c r="P135" s="8">
        <v>0</v>
      </c>
      <c r="Q135" s="10"/>
      <c r="R135" s="10"/>
      <c r="S135" s="10"/>
      <c r="T135" s="12">
        <v>33</v>
      </c>
      <c r="U135" s="10"/>
      <c r="V135" s="10"/>
      <c r="W135" s="10"/>
      <c r="X135" s="10"/>
      <c r="Y135" s="10"/>
      <c r="Z135" s="10"/>
      <c r="AA135" s="10" t="s">
        <v>408</v>
      </c>
      <c r="AB135" s="12">
        <v>13</v>
      </c>
      <c r="AC135" s="10"/>
      <c r="AD135" s="70"/>
      <c r="AE135" s="10"/>
    </row>
    <row r="136" spans="1:31">
      <c r="A136" s="8" t="s">
        <v>36</v>
      </c>
      <c r="B136" s="8" t="s">
        <v>1126</v>
      </c>
      <c r="C136" s="8" t="s">
        <v>1358</v>
      </c>
      <c r="D136" s="9" t="s">
        <v>1379</v>
      </c>
      <c r="E136" s="8" t="s">
        <v>1380</v>
      </c>
      <c r="F136" s="8">
        <v>429.65</v>
      </c>
      <c r="G136" s="8">
        <v>154</v>
      </c>
      <c r="H136" s="8">
        <v>825</v>
      </c>
      <c r="I136" s="8">
        <v>433</v>
      </c>
      <c r="J136" s="8">
        <v>392</v>
      </c>
      <c r="K136" s="8">
        <v>62</v>
      </c>
      <c r="L136" s="10">
        <f t="shared" si="4"/>
        <v>7.5151515151515147</v>
      </c>
      <c r="M136" s="8">
        <v>231</v>
      </c>
      <c r="N136" s="10">
        <f t="shared" si="5"/>
        <v>28.000000000000004</v>
      </c>
      <c r="O136" s="8">
        <v>46.9</v>
      </c>
      <c r="P136" s="8">
        <v>55.3</v>
      </c>
      <c r="Q136" s="34"/>
      <c r="R136" s="33" t="s">
        <v>1368</v>
      </c>
      <c r="S136" s="33"/>
      <c r="T136" s="12">
        <v>34</v>
      </c>
      <c r="U136" s="34"/>
      <c r="V136" s="10"/>
      <c r="W136" s="10"/>
      <c r="X136" s="10"/>
      <c r="Y136" s="10"/>
      <c r="Z136" s="10"/>
      <c r="AA136" s="10" t="s">
        <v>408</v>
      </c>
      <c r="AB136" s="12">
        <v>15</v>
      </c>
      <c r="AC136" s="10"/>
      <c r="AD136" s="66"/>
      <c r="AE136" s="66"/>
    </row>
    <row r="137" spans="1:31">
      <c r="A137" s="8" t="s">
        <v>36</v>
      </c>
      <c r="B137" s="8" t="s">
        <v>1126</v>
      </c>
      <c r="C137" s="8" t="s">
        <v>1358</v>
      </c>
      <c r="D137" s="9" t="s">
        <v>1379</v>
      </c>
      <c r="E137" s="8"/>
      <c r="F137" s="8"/>
      <c r="G137" s="8"/>
      <c r="H137" s="8"/>
      <c r="I137" s="8"/>
      <c r="J137" s="8"/>
      <c r="K137" s="8"/>
      <c r="L137" s="10" t="e">
        <f t="shared" si="4"/>
        <v>#DIV/0!</v>
      </c>
      <c r="M137" s="8"/>
      <c r="N137" s="10" t="e">
        <f t="shared" si="5"/>
        <v>#DIV/0!</v>
      </c>
      <c r="O137" s="8"/>
      <c r="P137" s="8"/>
      <c r="Q137" s="18" t="s">
        <v>409</v>
      </c>
      <c r="R137" s="18"/>
      <c r="S137" s="86"/>
      <c r="T137" s="12">
        <v>16</v>
      </c>
      <c r="U137" s="17"/>
      <c r="V137" s="10"/>
      <c r="W137" s="10"/>
      <c r="X137" s="10"/>
      <c r="Y137" s="10"/>
      <c r="Z137" s="10"/>
      <c r="AA137" s="10" t="s">
        <v>408</v>
      </c>
      <c r="AB137" s="12">
        <v>4</v>
      </c>
      <c r="AC137" s="10"/>
      <c r="AD137" s="80">
        <v>24.942499000000002</v>
      </c>
      <c r="AE137" s="34">
        <v>76.046347999999995</v>
      </c>
    </row>
    <row r="138" spans="1:31">
      <c r="A138" s="8" t="s">
        <v>36</v>
      </c>
      <c r="B138" s="8" t="s">
        <v>1126</v>
      </c>
      <c r="C138" s="8" t="s">
        <v>1358</v>
      </c>
      <c r="D138" s="9" t="s">
        <v>1381</v>
      </c>
      <c r="E138" s="8" t="s">
        <v>1382</v>
      </c>
      <c r="F138" s="8">
        <v>839.8</v>
      </c>
      <c r="G138" s="8">
        <v>77</v>
      </c>
      <c r="H138" s="8">
        <v>389</v>
      </c>
      <c r="I138" s="8">
        <v>199</v>
      </c>
      <c r="J138" s="8">
        <v>190</v>
      </c>
      <c r="K138" s="8">
        <v>31</v>
      </c>
      <c r="L138" s="10">
        <f t="shared" si="4"/>
        <v>7.9691516709511561</v>
      </c>
      <c r="M138" s="8">
        <v>4</v>
      </c>
      <c r="N138" s="10">
        <f t="shared" si="5"/>
        <v>1.0282776349614395</v>
      </c>
      <c r="O138" s="8">
        <v>34.5</v>
      </c>
      <c r="P138" s="8">
        <v>561.9</v>
      </c>
      <c r="Q138" s="34" t="s">
        <v>409</v>
      </c>
      <c r="R138" s="33" t="s">
        <v>1368</v>
      </c>
      <c r="S138" s="33"/>
      <c r="T138" s="52">
        <v>23.38</v>
      </c>
      <c r="U138" s="34"/>
      <c r="V138" s="10"/>
      <c r="W138" s="10"/>
      <c r="X138" s="10"/>
      <c r="Y138" s="10"/>
      <c r="Z138" s="10"/>
      <c r="AA138" s="10" t="s">
        <v>408</v>
      </c>
      <c r="AB138" s="52">
        <v>15</v>
      </c>
      <c r="AC138" s="10"/>
      <c r="AD138" s="80">
        <v>24.965664</v>
      </c>
      <c r="AE138" s="34">
        <v>76.030491999999995</v>
      </c>
    </row>
    <row r="139" spans="1:31">
      <c r="A139" s="8" t="s">
        <v>36</v>
      </c>
      <c r="B139" s="8" t="s">
        <v>1126</v>
      </c>
      <c r="C139" s="67" t="s">
        <v>1383</v>
      </c>
      <c r="D139" s="9" t="s">
        <v>947</v>
      </c>
      <c r="E139" s="8" t="s">
        <v>1384</v>
      </c>
      <c r="F139" s="8">
        <v>659.67</v>
      </c>
      <c r="G139" s="8">
        <v>205</v>
      </c>
      <c r="H139" s="8">
        <v>1206</v>
      </c>
      <c r="I139" s="8">
        <v>631</v>
      </c>
      <c r="J139" s="8">
        <v>575</v>
      </c>
      <c r="K139" s="8">
        <v>495</v>
      </c>
      <c r="L139" s="10">
        <f t="shared" si="4"/>
        <v>41.044776119402989</v>
      </c>
      <c r="M139" s="8">
        <v>0</v>
      </c>
      <c r="N139" s="10">
        <f t="shared" si="5"/>
        <v>0</v>
      </c>
      <c r="O139" s="8">
        <v>0</v>
      </c>
      <c r="P139" s="8">
        <v>0</v>
      </c>
      <c r="Q139" s="50" t="s">
        <v>586</v>
      </c>
      <c r="R139" s="53">
        <v>44595</v>
      </c>
      <c r="S139" s="52"/>
      <c r="T139" s="10"/>
      <c r="U139" s="52"/>
      <c r="V139" s="10"/>
      <c r="W139" s="10"/>
      <c r="X139" s="10"/>
      <c r="Y139" s="10"/>
      <c r="Z139" s="10"/>
      <c r="AA139" s="10" t="s">
        <v>1949</v>
      </c>
      <c r="AB139" s="10"/>
      <c r="AC139" s="10"/>
      <c r="AD139" s="77">
        <v>24.867087999999999</v>
      </c>
      <c r="AE139" s="52">
        <v>76.295147999999998</v>
      </c>
    </row>
    <row r="140" spans="1:31">
      <c r="A140" s="8" t="s">
        <v>36</v>
      </c>
      <c r="B140" s="8" t="s">
        <v>1126</v>
      </c>
      <c r="C140" s="67" t="s">
        <v>1383</v>
      </c>
      <c r="D140" s="9" t="s">
        <v>947</v>
      </c>
      <c r="E140" s="37">
        <v>25.030847999999999</v>
      </c>
      <c r="F140" s="37">
        <v>76.225747999999996</v>
      </c>
      <c r="G140" s="37"/>
      <c r="H140" s="37"/>
      <c r="I140" s="37"/>
      <c r="J140" s="37"/>
      <c r="K140" s="37"/>
      <c r="L140" s="10" t="e">
        <f t="shared" si="4"/>
        <v>#DIV/0!</v>
      </c>
      <c r="M140" s="37"/>
      <c r="N140" s="10" t="e">
        <f t="shared" si="5"/>
        <v>#DIV/0!</v>
      </c>
      <c r="O140" s="37"/>
      <c r="P140" s="37"/>
      <c r="Q140" s="37"/>
      <c r="R140" s="37"/>
      <c r="S140" s="37"/>
      <c r="T140" s="52">
        <v>28.31</v>
      </c>
      <c r="U140" s="37"/>
      <c r="V140" s="10"/>
      <c r="W140" s="10"/>
      <c r="X140" s="10"/>
      <c r="Y140" s="10"/>
      <c r="Z140" s="10"/>
      <c r="AA140" s="10" t="s">
        <v>408</v>
      </c>
      <c r="AB140" s="52">
        <v>14.7</v>
      </c>
      <c r="AC140" s="10"/>
      <c r="AD140" s="82">
        <v>25.030847999999999</v>
      </c>
      <c r="AE140" s="37">
        <v>76.225747999999996</v>
      </c>
    </row>
    <row r="141" spans="1:31">
      <c r="A141" s="8" t="s">
        <v>36</v>
      </c>
      <c r="B141" s="8" t="s">
        <v>1126</v>
      </c>
      <c r="C141" s="67" t="s">
        <v>1383</v>
      </c>
      <c r="D141" s="9" t="s">
        <v>1385</v>
      </c>
      <c r="E141" s="8" t="s">
        <v>1386</v>
      </c>
      <c r="F141" s="8">
        <v>196.79</v>
      </c>
      <c r="G141" s="8">
        <v>75</v>
      </c>
      <c r="H141" s="8">
        <v>397</v>
      </c>
      <c r="I141" s="8">
        <v>208</v>
      </c>
      <c r="J141" s="8">
        <v>189</v>
      </c>
      <c r="K141" s="8">
        <v>27</v>
      </c>
      <c r="L141" s="10">
        <f t="shared" si="4"/>
        <v>6.8010075566750636</v>
      </c>
      <c r="M141" s="8">
        <v>313</v>
      </c>
      <c r="N141" s="10">
        <f t="shared" si="5"/>
        <v>78.841309823677591</v>
      </c>
      <c r="O141" s="8">
        <v>17</v>
      </c>
      <c r="P141" s="8">
        <v>61</v>
      </c>
      <c r="Q141" s="50" t="s">
        <v>586</v>
      </c>
      <c r="R141" s="53">
        <v>44593</v>
      </c>
      <c r="S141" s="52"/>
      <c r="T141" s="10"/>
      <c r="U141" s="52"/>
      <c r="V141" s="10"/>
      <c r="W141" s="10"/>
      <c r="X141" s="10"/>
      <c r="Y141" s="10"/>
      <c r="Z141" s="10"/>
      <c r="AA141" s="10" t="s">
        <v>1949</v>
      </c>
      <c r="AB141" s="10"/>
      <c r="AC141" s="10"/>
      <c r="AD141" s="77">
        <v>24.837675000000001</v>
      </c>
      <c r="AE141" s="52">
        <v>76.292534000000003</v>
      </c>
    </row>
    <row r="142" spans="1:31">
      <c r="A142" s="8" t="s">
        <v>36</v>
      </c>
      <c r="B142" s="8" t="s">
        <v>1126</v>
      </c>
      <c r="C142" s="67" t="s">
        <v>1383</v>
      </c>
      <c r="D142" s="9" t="s">
        <v>1387</v>
      </c>
      <c r="E142" s="8" t="s">
        <v>1388</v>
      </c>
      <c r="F142" s="8">
        <v>213.21</v>
      </c>
      <c r="G142" s="8">
        <v>70</v>
      </c>
      <c r="H142" s="8">
        <v>519</v>
      </c>
      <c r="I142" s="8">
        <v>276</v>
      </c>
      <c r="J142" s="8">
        <v>243</v>
      </c>
      <c r="K142" s="8">
        <v>167</v>
      </c>
      <c r="L142" s="10">
        <f t="shared" si="4"/>
        <v>32.177263969171484</v>
      </c>
      <c r="M142" s="8">
        <v>0</v>
      </c>
      <c r="N142" s="10">
        <f t="shared" si="5"/>
        <v>0</v>
      </c>
      <c r="O142" s="8">
        <v>4.0999999999999996</v>
      </c>
      <c r="P142" s="8">
        <v>0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 t="s">
        <v>1949</v>
      </c>
      <c r="AB142" s="10"/>
      <c r="AC142" s="10"/>
      <c r="AD142" s="70"/>
      <c r="AE142" s="10"/>
    </row>
    <row r="143" spans="1:31">
      <c r="A143" s="8" t="s">
        <v>36</v>
      </c>
      <c r="B143" s="8" t="s">
        <v>1126</v>
      </c>
      <c r="C143" s="67" t="s">
        <v>1383</v>
      </c>
      <c r="D143" s="9" t="s">
        <v>1389</v>
      </c>
      <c r="E143" s="8" t="s">
        <v>1390</v>
      </c>
      <c r="F143" s="8">
        <v>662.65</v>
      </c>
      <c r="G143" s="8">
        <v>199</v>
      </c>
      <c r="H143" s="8">
        <v>1135</v>
      </c>
      <c r="I143" s="8">
        <v>586</v>
      </c>
      <c r="J143" s="8">
        <v>549</v>
      </c>
      <c r="K143" s="8">
        <v>394</v>
      </c>
      <c r="L143" s="10">
        <f t="shared" si="4"/>
        <v>34.713656387665196</v>
      </c>
      <c r="M143" s="8">
        <v>0</v>
      </c>
      <c r="N143" s="10">
        <f t="shared" si="5"/>
        <v>0</v>
      </c>
      <c r="O143" s="8">
        <v>48</v>
      </c>
      <c r="P143" s="8">
        <v>30.85</v>
      </c>
      <c r="Q143" s="50" t="s">
        <v>586</v>
      </c>
      <c r="R143" s="53">
        <v>44593</v>
      </c>
      <c r="S143" s="52"/>
      <c r="T143" s="10"/>
      <c r="U143" s="52"/>
      <c r="V143" s="10"/>
      <c r="W143" s="10"/>
      <c r="X143" s="10"/>
      <c r="Y143" s="10"/>
      <c r="Z143" s="10"/>
      <c r="AA143" s="10" t="s">
        <v>1949</v>
      </c>
      <c r="AB143" s="10"/>
      <c r="AC143" s="10"/>
      <c r="AD143" s="77">
        <v>24.863688</v>
      </c>
      <c r="AE143" s="52">
        <v>76.315366999999995</v>
      </c>
    </row>
    <row r="144" spans="1:31">
      <c r="A144" s="8" t="s">
        <v>36</v>
      </c>
      <c r="B144" s="8" t="s">
        <v>1126</v>
      </c>
      <c r="C144" s="67" t="s">
        <v>1383</v>
      </c>
      <c r="D144" s="9" t="s">
        <v>1391</v>
      </c>
      <c r="E144" s="8" t="s">
        <v>1392</v>
      </c>
      <c r="F144" s="8">
        <v>240.58</v>
      </c>
      <c r="G144" s="8">
        <v>36</v>
      </c>
      <c r="H144" s="8">
        <v>179</v>
      </c>
      <c r="I144" s="8">
        <v>95</v>
      </c>
      <c r="J144" s="8">
        <v>84</v>
      </c>
      <c r="K144" s="8">
        <v>4</v>
      </c>
      <c r="L144" s="10">
        <f t="shared" si="4"/>
        <v>2.2346368715083798</v>
      </c>
      <c r="M144" s="8">
        <v>0</v>
      </c>
      <c r="N144" s="10">
        <f t="shared" si="5"/>
        <v>0</v>
      </c>
      <c r="O144" s="8">
        <v>7</v>
      </c>
      <c r="P144" s="8">
        <v>44.08</v>
      </c>
      <c r="Q144" s="50" t="s">
        <v>586</v>
      </c>
      <c r="R144" s="53">
        <v>44595</v>
      </c>
      <c r="S144" s="52"/>
      <c r="T144" s="10"/>
      <c r="U144" s="52"/>
      <c r="V144" s="10"/>
      <c r="W144" s="10"/>
      <c r="X144" s="10"/>
      <c r="Y144" s="10"/>
      <c r="Z144" s="10"/>
      <c r="AA144" s="10" t="s">
        <v>1949</v>
      </c>
      <c r="AB144" s="10"/>
      <c r="AC144" s="10"/>
      <c r="AD144" s="77">
        <v>24.867087999999999</v>
      </c>
      <c r="AE144" s="52">
        <v>76.295147999999998</v>
      </c>
    </row>
    <row r="145" spans="1:31">
      <c r="A145" s="8" t="s">
        <v>36</v>
      </c>
      <c r="B145" s="8" t="s">
        <v>1126</v>
      </c>
      <c r="C145" s="67" t="s">
        <v>1383</v>
      </c>
      <c r="D145" s="9" t="s">
        <v>1393</v>
      </c>
      <c r="E145" s="8" t="s">
        <v>1394</v>
      </c>
      <c r="F145" s="8">
        <v>349.68</v>
      </c>
      <c r="G145" s="8">
        <v>117</v>
      </c>
      <c r="H145" s="8">
        <v>705</v>
      </c>
      <c r="I145" s="8">
        <v>383</v>
      </c>
      <c r="J145" s="8">
        <v>322</v>
      </c>
      <c r="K145" s="8">
        <v>224</v>
      </c>
      <c r="L145" s="10">
        <f t="shared" si="4"/>
        <v>31.773049645390074</v>
      </c>
      <c r="M145" s="8">
        <v>0</v>
      </c>
      <c r="N145" s="10">
        <f t="shared" si="5"/>
        <v>0</v>
      </c>
      <c r="O145" s="8">
        <v>19.68</v>
      </c>
      <c r="P145" s="8">
        <v>0</v>
      </c>
      <c r="Q145" s="50" t="s">
        <v>586</v>
      </c>
      <c r="R145" s="53">
        <v>44595</v>
      </c>
      <c r="S145" s="52"/>
      <c r="T145" s="10"/>
      <c r="U145" s="52"/>
      <c r="V145" s="10"/>
      <c r="W145" s="10"/>
      <c r="X145" s="10"/>
      <c r="Y145" s="10"/>
      <c r="Z145" s="10"/>
      <c r="AA145" s="10" t="s">
        <v>1949</v>
      </c>
      <c r="AB145" s="10"/>
      <c r="AC145" s="10"/>
      <c r="AD145" s="77">
        <v>24.888739000000001</v>
      </c>
      <c r="AE145" s="52">
        <v>76.267708999999996</v>
      </c>
    </row>
    <row r="146" spans="1:31">
      <c r="A146" s="8" t="s">
        <v>36</v>
      </c>
      <c r="B146" s="8" t="s">
        <v>1126</v>
      </c>
      <c r="C146" s="8" t="s">
        <v>1395</v>
      </c>
      <c r="D146" s="9" t="s">
        <v>1396</v>
      </c>
      <c r="E146" s="8" t="s">
        <v>1397</v>
      </c>
      <c r="F146" s="8">
        <v>427.83</v>
      </c>
      <c r="G146" s="8">
        <v>225</v>
      </c>
      <c r="H146" s="8">
        <v>1325</v>
      </c>
      <c r="I146" s="8">
        <v>698</v>
      </c>
      <c r="J146" s="8">
        <v>627</v>
      </c>
      <c r="K146" s="8">
        <v>296</v>
      </c>
      <c r="L146" s="10">
        <f t="shared" si="4"/>
        <v>22.339622641509436</v>
      </c>
      <c r="M146" s="8">
        <v>2</v>
      </c>
      <c r="N146" s="10">
        <f t="shared" si="5"/>
        <v>0.15094339622641509</v>
      </c>
      <c r="O146" s="8">
        <v>0</v>
      </c>
      <c r="P146" s="8">
        <v>44.1</v>
      </c>
      <c r="Q146" s="37"/>
      <c r="R146" s="37"/>
      <c r="S146" s="37"/>
      <c r="T146" s="52">
        <v>3.48</v>
      </c>
      <c r="U146" s="37"/>
      <c r="V146" s="10"/>
      <c r="W146" s="10"/>
      <c r="X146" s="10"/>
      <c r="Y146" s="10"/>
      <c r="Z146" s="10"/>
      <c r="AA146" s="10" t="s">
        <v>408</v>
      </c>
      <c r="AB146" s="52">
        <v>10.48</v>
      </c>
      <c r="AC146" s="10"/>
      <c r="AD146" s="82">
        <v>25.030847999999999</v>
      </c>
      <c r="AE146" s="37">
        <v>76.225747999999996</v>
      </c>
    </row>
    <row r="147" spans="1:31">
      <c r="A147" s="8" t="s">
        <v>36</v>
      </c>
      <c r="B147" s="8" t="s">
        <v>1126</v>
      </c>
      <c r="C147" s="8" t="s">
        <v>1395</v>
      </c>
      <c r="D147" s="9" t="s">
        <v>1396</v>
      </c>
      <c r="E147" s="8"/>
      <c r="F147" s="8"/>
      <c r="G147" s="8"/>
      <c r="H147" s="8"/>
      <c r="I147" s="8"/>
      <c r="J147" s="8"/>
      <c r="K147" s="8"/>
      <c r="L147" s="10" t="e">
        <f t="shared" si="4"/>
        <v>#DIV/0!</v>
      </c>
      <c r="M147" s="8"/>
      <c r="N147" s="10" t="e">
        <f t="shared" si="5"/>
        <v>#DIV/0!</v>
      </c>
      <c r="O147" s="8"/>
      <c r="P147" s="8"/>
      <c r="Q147" s="37"/>
      <c r="R147" s="37"/>
      <c r="S147" s="37"/>
      <c r="T147" s="10"/>
      <c r="U147" s="37"/>
      <c r="V147" s="10"/>
      <c r="W147" s="10"/>
      <c r="X147" s="10"/>
      <c r="Y147" s="10"/>
      <c r="Z147" s="10"/>
      <c r="AA147" s="10" t="s">
        <v>1949</v>
      </c>
      <c r="AB147" s="10"/>
      <c r="AC147" s="10"/>
      <c r="AD147" s="82">
        <v>25.027256000000001</v>
      </c>
      <c r="AE147" s="37">
        <v>76.231487999999999</v>
      </c>
    </row>
    <row r="148" spans="1:31">
      <c r="A148" s="8" t="s">
        <v>36</v>
      </c>
      <c r="B148" s="8" t="s">
        <v>1126</v>
      </c>
      <c r="C148" s="8" t="s">
        <v>1395</v>
      </c>
      <c r="D148" s="9" t="s">
        <v>947</v>
      </c>
      <c r="E148" s="8" t="s">
        <v>1398</v>
      </c>
      <c r="F148" s="8">
        <v>171.36</v>
      </c>
      <c r="G148" s="8">
        <v>48</v>
      </c>
      <c r="H148" s="8">
        <v>278</v>
      </c>
      <c r="I148" s="8">
        <v>151</v>
      </c>
      <c r="J148" s="8">
        <v>127</v>
      </c>
      <c r="K148" s="8">
        <v>68</v>
      </c>
      <c r="L148" s="10">
        <f t="shared" si="4"/>
        <v>24.46043165467626</v>
      </c>
      <c r="M148" s="8">
        <v>0</v>
      </c>
      <c r="N148" s="10">
        <f t="shared" si="5"/>
        <v>0</v>
      </c>
      <c r="O148" s="8">
        <v>11.85</v>
      </c>
      <c r="P148" s="8">
        <v>0</v>
      </c>
      <c r="Q148" s="13" t="s">
        <v>408</v>
      </c>
      <c r="R148" s="14">
        <v>45174</v>
      </c>
      <c r="S148" s="15"/>
      <c r="T148" s="10"/>
      <c r="U148" s="44"/>
      <c r="V148" s="10"/>
      <c r="W148" s="10"/>
      <c r="X148" s="10"/>
      <c r="Y148" s="10"/>
      <c r="Z148" s="10"/>
      <c r="AA148" s="10" t="s">
        <v>1949</v>
      </c>
      <c r="AB148" s="10"/>
      <c r="AC148" s="10"/>
      <c r="AD148" s="76">
        <v>25.096336999999998</v>
      </c>
      <c r="AE148" s="44">
        <v>76.174952000000005</v>
      </c>
    </row>
    <row r="149" spans="1:31">
      <c r="A149" s="8" t="s">
        <v>36</v>
      </c>
      <c r="B149" s="8" t="s">
        <v>1126</v>
      </c>
      <c r="C149" s="8" t="s">
        <v>1395</v>
      </c>
      <c r="D149" s="9" t="s">
        <v>1399</v>
      </c>
      <c r="E149" s="8" t="s">
        <v>1400</v>
      </c>
      <c r="F149" s="8">
        <v>187.03</v>
      </c>
      <c r="G149" s="8">
        <v>53</v>
      </c>
      <c r="H149" s="8">
        <v>306</v>
      </c>
      <c r="I149" s="8">
        <v>152</v>
      </c>
      <c r="J149" s="8">
        <v>154</v>
      </c>
      <c r="K149" s="8">
        <v>14</v>
      </c>
      <c r="L149" s="10">
        <f t="shared" si="4"/>
        <v>4.5751633986928102</v>
      </c>
      <c r="M149" s="8">
        <v>0</v>
      </c>
      <c r="N149" s="10">
        <f t="shared" si="5"/>
        <v>0</v>
      </c>
      <c r="O149" s="8">
        <v>0</v>
      </c>
      <c r="P149" s="8">
        <v>12.6</v>
      </c>
      <c r="Q149" s="13" t="s">
        <v>408</v>
      </c>
      <c r="R149" s="14">
        <v>45174</v>
      </c>
      <c r="S149" s="15"/>
      <c r="T149" s="10"/>
      <c r="U149" s="44"/>
      <c r="V149" s="10"/>
      <c r="W149" s="10"/>
      <c r="X149" s="10"/>
      <c r="Y149" s="10"/>
      <c r="Z149" s="10"/>
      <c r="AA149" s="10" t="s">
        <v>1949</v>
      </c>
      <c r="AB149" s="10"/>
      <c r="AC149" s="10"/>
      <c r="AD149" s="76"/>
      <c r="AE149" s="44"/>
    </row>
    <row r="150" spans="1:31">
      <c r="A150" s="8" t="s">
        <v>36</v>
      </c>
      <c r="B150" s="8" t="s">
        <v>1126</v>
      </c>
      <c r="C150" s="8" t="s">
        <v>1395</v>
      </c>
      <c r="D150" s="9" t="s">
        <v>1401</v>
      </c>
      <c r="E150" s="8" t="s">
        <v>1402</v>
      </c>
      <c r="F150" s="8">
        <v>373.45</v>
      </c>
      <c r="G150" s="8">
        <v>150</v>
      </c>
      <c r="H150" s="8">
        <v>827</v>
      </c>
      <c r="I150" s="8">
        <v>435</v>
      </c>
      <c r="J150" s="8">
        <v>392</v>
      </c>
      <c r="K150" s="8">
        <v>205</v>
      </c>
      <c r="L150" s="10">
        <f t="shared" si="4"/>
        <v>24.788391777509069</v>
      </c>
      <c r="M150" s="8">
        <v>29</v>
      </c>
      <c r="N150" s="10">
        <f t="shared" si="5"/>
        <v>3.5066505441354292</v>
      </c>
      <c r="O150" s="8">
        <v>41.8</v>
      </c>
      <c r="P150" s="8">
        <v>0</v>
      </c>
      <c r="Q150" s="13" t="s">
        <v>408</v>
      </c>
      <c r="R150" s="14">
        <v>45174</v>
      </c>
      <c r="S150" s="15"/>
      <c r="T150" s="52">
        <v>11.94</v>
      </c>
      <c r="U150" s="44"/>
      <c r="V150" s="10"/>
      <c r="W150" s="10"/>
      <c r="X150" s="10"/>
      <c r="Y150" s="10"/>
      <c r="Z150" s="10"/>
      <c r="AA150" s="10" t="s">
        <v>408</v>
      </c>
      <c r="AB150" s="52">
        <v>10.94</v>
      </c>
      <c r="AC150" s="10"/>
      <c r="AD150" s="76">
        <v>24.957733999999999</v>
      </c>
      <c r="AE150" s="44">
        <v>76.252581000000006</v>
      </c>
    </row>
    <row r="151" spans="1:31">
      <c r="A151" s="8" t="s">
        <v>36</v>
      </c>
      <c r="B151" s="8" t="s">
        <v>1126</v>
      </c>
      <c r="C151" s="8" t="s">
        <v>1395</v>
      </c>
      <c r="D151" s="9" t="s">
        <v>1403</v>
      </c>
      <c r="E151" s="8" t="s">
        <v>1404</v>
      </c>
      <c r="F151" s="8">
        <v>153.16</v>
      </c>
      <c r="G151" s="8">
        <v>101</v>
      </c>
      <c r="H151" s="8">
        <v>571</v>
      </c>
      <c r="I151" s="8">
        <v>298</v>
      </c>
      <c r="J151" s="8">
        <v>273</v>
      </c>
      <c r="K151" s="8">
        <v>142</v>
      </c>
      <c r="L151" s="10">
        <f t="shared" si="4"/>
        <v>24.868651488616461</v>
      </c>
      <c r="M151" s="8">
        <v>0</v>
      </c>
      <c r="N151" s="10">
        <f t="shared" si="5"/>
        <v>0</v>
      </c>
      <c r="O151" s="8">
        <v>19.95</v>
      </c>
      <c r="P151" s="8">
        <v>0</v>
      </c>
      <c r="Q151" s="13" t="s">
        <v>408</v>
      </c>
      <c r="R151" s="14">
        <v>45174</v>
      </c>
      <c r="S151" s="15"/>
      <c r="T151" s="52">
        <v>14.4</v>
      </c>
      <c r="U151" s="44"/>
      <c r="V151" s="10"/>
      <c r="W151" s="10"/>
      <c r="X151" s="10"/>
      <c r="Y151" s="10"/>
      <c r="Z151" s="10"/>
      <c r="AA151" s="10" t="s">
        <v>408</v>
      </c>
      <c r="AB151" s="52">
        <v>9.4</v>
      </c>
      <c r="AC151" s="10"/>
      <c r="AD151" s="76">
        <v>24.971029999999999</v>
      </c>
      <c r="AE151" s="44">
        <v>76.255381</v>
      </c>
    </row>
    <row r="152" spans="1:31">
      <c r="A152" s="8" t="s">
        <v>36</v>
      </c>
      <c r="B152" s="8" t="s">
        <v>1126</v>
      </c>
      <c r="C152" s="8" t="s">
        <v>1395</v>
      </c>
      <c r="D152" s="9" t="s">
        <v>1405</v>
      </c>
      <c r="E152" s="8" t="s">
        <v>1406</v>
      </c>
      <c r="F152" s="8">
        <v>316.89</v>
      </c>
      <c r="G152" s="8">
        <v>73</v>
      </c>
      <c r="H152" s="8">
        <v>451</v>
      </c>
      <c r="I152" s="8">
        <v>241</v>
      </c>
      <c r="J152" s="8">
        <v>210</v>
      </c>
      <c r="K152" s="8">
        <v>48</v>
      </c>
      <c r="L152" s="10">
        <f t="shared" si="4"/>
        <v>10.643015521064301</v>
      </c>
      <c r="M152" s="8">
        <v>6</v>
      </c>
      <c r="N152" s="10">
        <f t="shared" si="5"/>
        <v>1.3303769401330376</v>
      </c>
      <c r="O152" s="8">
        <v>31.8</v>
      </c>
      <c r="P152" s="8">
        <v>0</v>
      </c>
      <c r="Q152" s="13" t="s">
        <v>408</v>
      </c>
      <c r="R152" s="14">
        <v>45174</v>
      </c>
      <c r="S152" s="15"/>
      <c r="T152" s="12">
        <v>12.98</v>
      </c>
      <c r="U152" s="44"/>
      <c r="V152" s="10"/>
      <c r="W152" s="10"/>
      <c r="X152" s="10"/>
      <c r="Y152" s="10"/>
      <c r="Z152" s="10"/>
      <c r="AA152" s="10" t="s">
        <v>408</v>
      </c>
      <c r="AB152" s="13">
        <v>10</v>
      </c>
      <c r="AC152" s="10"/>
      <c r="AD152" s="76">
        <v>29.974557000000001</v>
      </c>
      <c r="AE152" s="44">
        <v>76.237958000000006</v>
      </c>
    </row>
    <row r="153" spans="1:31">
      <c r="A153" s="8" t="s">
        <v>36</v>
      </c>
      <c r="B153" s="8" t="s">
        <v>1126</v>
      </c>
      <c r="C153" s="8" t="s">
        <v>1395</v>
      </c>
      <c r="D153" s="9" t="s">
        <v>1407</v>
      </c>
      <c r="E153" s="8" t="s">
        <v>1408</v>
      </c>
      <c r="F153" s="8">
        <v>197.39</v>
      </c>
      <c r="G153" s="8">
        <v>67</v>
      </c>
      <c r="H153" s="8">
        <v>364</v>
      </c>
      <c r="I153" s="8">
        <v>185</v>
      </c>
      <c r="J153" s="8">
        <v>179</v>
      </c>
      <c r="K153" s="8">
        <v>109</v>
      </c>
      <c r="L153" s="10">
        <f t="shared" si="4"/>
        <v>29.945054945054945</v>
      </c>
      <c r="M153" s="8">
        <v>34</v>
      </c>
      <c r="N153" s="10">
        <f t="shared" si="5"/>
        <v>9.3406593406593412</v>
      </c>
      <c r="O153" s="8">
        <v>7.65</v>
      </c>
      <c r="P153" s="8">
        <v>0</v>
      </c>
      <c r="Q153" s="13" t="s">
        <v>408</v>
      </c>
      <c r="R153" s="14">
        <v>45174</v>
      </c>
      <c r="S153" s="15"/>
      <c r="T153" s="12">
        <v>27.44</v>
      </c>
      <c r="U153" s="64"/>
      <c r="V153" s="10"/>
      <c r="W153" s="10"/>
      <c r="X153" s="10"/>
      <c r="Y153" s="10"/>
      <c r="Z153" s="10"/>
      <c r="AA153" s="10" t="s">
        <v>408</v>
      </c>
      <c r="AB153" s="13">
        <v>22</v>
      </c>
      <c r="AC153" s="10"/>
      <c r="AD153" s="78">
        <v>25.005141999999999</v>
      </c>
      <c r="AE153" s="64">
        <v>76.119664</v>
      </c>
    </row>
    <row r="154" spans="1:31">
      <c r="A154" s="8" t="s">
        <v>36</v>
      </c>
      <c r="B154" s="8" t="s">
        <v>1126</v>
      </c>
      <c r="C154" s="8" t="s">
        <v>1395</v>
      </c>
      <c r="D154" s="9" t="s">
        <v>1409</v>
      </c>
      <c r="E154" s="8" t="s">
        <v>1410</v>
      </c>
      <c r="F154" s="8">
        <v>540.22</v>
      </c>
      <c r="G154" s="8">
        <v>135</v>
      </c>
      <c r="H154" s="8">
        <v>814</v>
      </c>
      <c r="I154" s="8">
        <v>443</v>
      </c>
      <c r="J154" s="8">
        <v>371</v>
      </c>
      <c r="K154" s="8">
        <v>202</v>
      </c>
      <c r="L154" s="10">
        <f t="shared" si="4"/>
        <v>24.815724815724817</v>
      </c>
      <c r="M154" s="8">
        <v>14</v>
      </c>
      <c r="N154" s="10">
        <f t="shared" si="5"/>
        <v>1.7199017199017199</v>
      </c>
      <c r="O154" s="8">
        <v>33.1</v>
      </c>
      <c r="P154" s="8">
        <v>2.0499999999999998</v>
      </c>
      <c r="Q154" s="13" t="s">
        <v>408</v>
      </c>
      <c r="R154" s="14">
        <v>45319</v>
      </c>
      <c r="S154" s="15"/>
      <c r="T154" s="12">
        <v>21.37</v>
      </c>
      <c r="U154" s="64"/>
      <c r="V154" s="10"/>
      <c r="W154" s="10"/>
      <c r="X154" s="10"/>
      <c r="Y154" s="10"/>
      <c r="Z154" s="10"/>
      <c r="AA154" s="10" t="s">
        <v>408</v>
      </c>
      <c r="AB154" s="13">
        <v>12</v>
      </c>
      <c r="AC154" s="10"/>
      <c r="AD154" s="78"/>
      <c r="AE154" s="64"/>
    </row>
    <row r="155" spans="1:31">
      <c r="A155" s="8" t="s">
        <v>36</v>
      </c>
      <c r="B155" s="8" t="s">
        <v>1126</v>
      </c>
      <c r="C155" s="8" t="s">
        <v>1411</v>
      </c>
      <c r="D155" s="9" t="s">
        <v>1412</v>
      </c>
      <c r="E155" s="8" t="s">
        <v>1413</v>
      </c>
      <c r="F155" s="8">
        <v>1638.56</v>
      </c>
      <c r="G155" s="8">
        <v>327</v>
      </c>
      <c r="H155" s="8">
        <v>1816</v>
      </c>
      <c r="I155" s="8">
        <v>932</v>
      </c>
      <c r="J155" s="8">
        <v>884</v>
      </c>
      <c r="K155" s="8">
        <v>289</v>
      </c>
      <c r="L155" s="10">
        <f t="shared" si="4"/>
        <v>15.914096916299558</v>
      </c>
      <c r="M155" s="8">
        <v>106</v>
      </c>
      <c r="N155" s="10">
        <f t="shared" si="5"/>
        <v>5.8370044052863435</v>
      </c>
      <c r="O155" s="8">
        <v>50</v>
      </c>
      <c r="P155" s="8">
        <v>0</v>
      </c>
      <c r="Q155" s="13" t="s">
        <v>409</v>
      </c>
      <c r="R155" s="13" t="s">
        <v>1414</v>
      </c>
      <c r="S155" s="12"/>
      <c r="T155" s="12">
        <v>30.06</v>
      </c>
      <c r="U155" s="13"/>
      <c r="V155" s="10"/>
      <c r="W155" s="10"/>
      <c r="X155" s="10"/>
      <c r="Y155" s="10"/>
      <c r="Z155" s="10"/>
      <c r="AA155" s="10" t="s">
        <v>408</v>
      </c>
      <c r="AB155" s="13">
        <v>19</v>
      </c>
      <c r="AC155" s="10"/>
      <c r="AD155" s="69">
        <v>25.053355</v>
      </c>
      <c r="AE155" s="13">
        <v>76.066128000000006</v>
      </c>
    </row>
    <row r="156" spans="1:31">
      <c r="A156" s="8" t="s">
        <v>36</v>
      </c>
      <c r="B156" s="8" t="s">
        <v>1126</v>
      </c>
      <c r="C156" s="8" t="s">
        <v>1411</v>
      </c>
      <c r="D156" s="9" t="s">
        <v>807</v>
      </c>
      <c r="E156" s="8" t="s">
        <v>1415</v>
      </c>
      <c r="F156" s="8">
        <v>138.19999999999999</v>
      </c>
      <c r="G156" s="8">
        <v>84</v>
      </c>
      <c r="H156" s="8">
        <v>483</v>
      </c>
      <c r="I156" s="8">
        <v>240</v>
      </c>
      <c r="J156" s="8">
        <v>243</v>
      </c>
      <c r="K156" s="8">
        <v>5</v>
      </c>
      <c r="L156" s="10">
        <f t="shared" si="4"/>
        <v>1.0351966873706004</v>
      </c>
      <c r="M156" s="8">
        <v>58</v>
      </c>
      <c r="N156" s="10">
        <f t="shared" si="5"/>
        <v>12.008281573498964</v>
      </c>
      <c r="O156" s="8">
        <v>5.45</v>
      </c>
      <c r="P156" s="8">
        <v>0</v>
      </c>
      <c r="Q156" s="13" t="s">
        <v>409</v>
      </c>
      <c r="R156" s="13" t="s">
        <v>1414</v>
      </c>
      <c r="S156" s="12"/>
      <c r="T156" s="12">
        <v>23</v>
      </c>
      <c r="U156" s="13"/>
      <c r="V156" s="10"/>
      <c r="W156" s="10"/>
      <c r="X156" s="10"/>
      <c r="Y156" s="10"/>
      <c r="Z156" s="10"/>
      <c r="AA156" s="10" t="s">
        <v>408</v>
      </c>
      <c r="AB156" s="13">
        <v>13</v>
      </c>
      <c r="AC156" s="10"/>
      <c r="AD156" s="69">
        <v>25.011044999999999</v>
      </c>
      <c r="AE156" s="13">
        <v>76.066614999999999</v>
      </c>
    </row>
    <row r="157" spans="1:31">
      <c r="A157" s="8" t="s">
        <v>36</v>
      </c>
      <c r="B157" s="8" t="s">
        <v>1126</v>
      </c>
      <c r="C157" s="8" t="s">
        <v>1411</v>
      </c>
      <c r="D157" s="9" t="s">
        <v>1416</v>
      </c>
      <c r="E157" s="8" t="s">
        <v>1417</v>
      </c>
      <c r="F157" s="8">
        <v>464.24</v>
      </c>
      <c r="G157" s="8">
        <v>169</v>
      </c>
      <c r="H157" s="8">
        <v>913</v>
      </c>
      <c r="I157" s="8">
        <v>480</v>
      </c>
      <c r="J157" s="8">
        <v>433</v>
      </c>
      <c r="K157" s="8">
        <v>438</v>
      </c>
      <c r="L157" s="10">
        <f t="shared" si="4"/>
        <v>47.973713033953999</v>
      </c>
      <c r="M157" s="8">
        <v>144</v>
      </c>
      <c r="N157" s="10">
        <f t="shared" si="5"/>
        <v>15.772179627601316</v>
      </c>
      <c r="O157" s="8">
        <v>48.57</v>
      </c>
      <c r="P157" s="8">
        <v>0</v>
      </c>
      <c r="Q157" s="13" t="s">
        <v>409</v>
      </c>
      <c r="R157" s="13" t="s">
        <v>1414</v>
      </c>
      <c r="S157" s="12"/>
      <c r="T157" s="12">
        <v>23.5</v>
      </c>
      <c r="U157" s="13"/>
      <c r="V157" s="10"/>
      <c r="W157" s="10"/>
      <c r="X157" s="10"/>
      <c r="Y157" s="10"/>
      <c r="Z157" s="10"/>
      <c r="AA157" s="10" t="s">
        <v>408</v>
      </c>
      <c r="AB157" s="13">
        <v>17</v>
      </c>
      <c r="AC157" s="10"/>
      <c r="AD157" s="69">
        <v>25.029928999999999</v>
      </c>
      <c r="AE157" s="13">
        <v>76.095639000000006</v>
      </c>
    </row>
    <row r="158" spans="1:31">
      <c r="A158" s="8" t="s">
        <v>36</v>
      </c>
      <c r="B158" s="8" t="s">
        <v>1126</v>
      </c>
      <c r="C158" s="8" t="s">
        <v>1411</v>
      </c>
      <c r="D158" s="9" t="s">
        <v>1418</v>
      </c>
      <c r="E158" s="8" t="s">
        <v>1419</v>
      </c>
      <c r="F158" s="8">
        <v>580.9</v>
      </c>
      <c r="G158" s="8">
        <v>144</v>
      </c>
      <c r="H158" s="8">
        <v>799</v>
      </c>
      <c r="I158" s="8">
        <v>419</v>
      </c>
      <c r="J158" s="8">
        <v>380</v>
      </c>
      <c r="K158" s="8">
        <v>539</v>
      </c>
      <c r="L158" s="10">
        <f t="shared" si="4"/>
        <v>67.459324155193983</v>
      </c>
      <c r="M158" s="8">
        <v>0</v>
      </c>
      <c r="N158" s="10">
        <f t="shared" si="5"/>
        <v>0</v>
      </c>
      <c r="O158" s="8">
        <v>33</v>
      </c>
      <c r="P158" s="8">
        <v>0</v>
      </c>
      <c r="Q158" s="13" t="s">
        <v>409</v>
      </c>
      <c r="R158" s="13" t="s">
        <v>1414</v>
      </c>
      <c r="S158" s="12"/>
      <c r="T158" s="12">
        <v>20.03</v>
      </c>
      <c r="U158" s="13"/>
      <c r="V158" s="10"/>
      <c r="W158" s="10"/>
      <c r="X158" s="10"/>
      <c r="Y158" s="10"/>
      <c r="Z158" s="10"/>
      <c r="AA158" s="10" t="s">
        <v>408</v>
      </c>
      <c r="AB158" s="13">
        <v>11</v>
      </c>
      <c r="AC158" s="10"/>
      <c r="AD158" s="69">
        <v>25.049306000000001</v>
      </c>
      <c r="AE158" s="13">
        <v>76.107584000000003</v>
      </c>
    </row>
    <row r="159" spans="1:31">
      <c r="A159" s="8" t="s">
        <v>36</v>
      </c>
      <c r="B159" s="8" t="s">
        <v>1126</v>
      </c>
      <c r="C159" s="8" t="s">
        <v>1411</v>
      </c>
      <c r="D159" s="9" t="s">
        <v>1420</v>
      </c>
      <c r="E159" s="8" t="s">
        <v>1421</v>
      </c>
      <c r="F159" s="8">
        <v>599.05999999999995</v>
      </c>
      <c r="G159" s="8">
        <v>171</v>
      </c>
      <c r="H159" s="8">
        <v>926</v>
      </c>
      <c r="I159" s="8">
        <v>493</v>
      </c>
      <c r="J159" s="8">
        <v>433</v>
      </c>
      <c r="K159" s="8">
        <v>135</v>
      </c>
      <c r="L159" s="10">
        <f t="shared" si="4"/>
        <v>14.578833693304535</v>
      </c>
      <c r="M159" s="8">
        <v>381</v>
      </c>
      <c r="N159" s="10">
        <f t="shared" si="5"/>
        <v>41.144708423326129</v>
      </c>
      <c r="O159" s="8">
        <v>20.51</v>
      </c>
      <c r="P159" s="8">
        <v>0</v>
      </c>
      <c r="Q159" s="13" t="s">
        <v>409</v>
      </c>
      <c r="R159" s="13" t="s">
        <v>1414</v>
      </c>
      <c r="S159" s="12"/>
      <c r="T159" s="12">
        <v>3.55</v>
      </c>
      <c r="U159" s="13"/>
      <c r="V159" s="10"/>
      <c r="W159" s="10"/>
      <c r="X159" s="10"/>
      <c r="Y159" s="10"/>
      <c r="Z159" s="10"/>
      <c r="AA159" s="10" t="s">
        <v>408</v>
      </c>
      <c r="AB159" s="13">
        <v>4</v>
      </c>
      <c r="AC159" s="10"/>
      <c r="AD159" s="69">
        <v>25.060760999999999</v>
      </c>
      <c r="AE159" s="13">
        <v>76.054147999999998</v>
      </c>
    </row>
    <row r="160" spans="1:31">
      <c r="A160" s="8" t="s">
        <v>36</v>
      </c>
      <c r="B160" s="8" t="s">
        <v>1126</v>
      </c>
      <c r="C160" s="8" t="s">
        <v>1411</v>
      </c>
      <c r="D160" s="9" t="s">
        <v>1422</v>
      </c>
      <c r="E160" s="8" t="s">
        <v>1423</v>
      </c>
      <c r="F160" s="8">
        <v>247.27</v>
      </c>
      <c r="G160" s="8">
        <v>88</v>
      </c>
      <c r="H160" s="8">
        <v>456</v>
      </c>
      <c r="I160" s="8">
        <v>249</v>
      </c>
      <c r="J160" s="8">
        <v>207</v>
      </c>
      <c r="K160" s="8">
        <v>144</v>
      </c>
      <c r="L160" s="10">
        <f t="shared" si="4"/>
        <v>31.578947368421051</v>
      </c>
      <c r="M160" s="8">
        <v>237</v>
      </c>
      <c r="N160" s="10">
        <f t="shared" si="5"/>
        <v>51.973684210526315</v>
      </c>
      <c r="O160" s="8">
        <v>16</v>
      </c>
      <c r="P160" s="8">
        <v>0</v>
      </c>
      <c r="Q160" s="13" t="s">
        <v>409</v>
      </c>
      <c r="R160" s="13" t="s">
        <v>1414</v>
      </c>
      <c r="S160" s="12"/>
      <c r="T160" s="12">
        <v>1.93</v>
      </c>
      <c r="U160" s="13"/>
      <c r="V160" s="10"/>
      <c r="W160" s="10"/>
      <c r="X160" s="10"/>
      <c r="Y160" s="10"/>
      <c r="Z160" s="10"/>
      <c r="AA160" s="10" t="s">
        <v>408</v>
      </c>
      <c r="AB160" s="16">
        <v>2</v>
      </c>
      <c r="AC160" s="10"/>
      <c r="AD160" s="69">
        <v>25.083203999999999</v>
      </c>
      <c r="AE160" s="13">
        <v>76.043338700000007</v>
      </c>
    </row>
    <row r="161" spans="1:31">
      <c r="A161" s="8" t="s">
        <v>36</v>
      </c>
      <c r="B161" s="8" t="s">
        <v>1126</v>
      </c>
      <c r="C161" s="8" t="s">
        <v>1424</v>
      </c>
      <c r="D161" s="9" t="s">
        <v>1425</v>
      </c>
      <c r="E161" s="8" t="s">
        <v>1426</v>
      </c>
      <c r="F161" s="8">
        <v>110.58</v>
      </c>
      <c r="G161" s="8">
        <v>138</v>
      </c>
      <c r="H161" s="8">
        <v>777</v>
      </c>
      <c r="I161" s="8">
        <v>377</v>
      </c>
      <c r="J161" s="8">
        <v>400</v>
      </c>
      <c r="K161" s="8">
        <v>264</v>
      </c>
      <c r="L161" s="10">
        <f t="shared" si="4"/>
        <v>33.976833976833973</v>
      </c>
      <c r="M161" s="8">
        <v>1</v>
      </c>
      <c r="N161" s="10">
        <f t="shared" si="5"/>
        <v>0.1287001287001287</v>
      </c>
      <c r="O161" s="8">
        <v>23.02</v>
      </c>
      <c r="P161" s="8">
        <v>0</v>
      </c>
      <c r="Q161" s="50" t="s">
        <v>586</v>
      </c>
      <c r="R161" s="53">
        <v>44606</v>
      </c>
      <c r="S161" s="52"/>
      <c r="T161" s="12">
        <v>41</v>
      </c>
      <c r="U161" s="52"/>
      <c r="V161" s="10"/>
      <c r="W161" s="10"/>
      <c r="X161" s="10"/>
      <c r="Y161" s="10"/>
      <c r="Z161" s="10"/>
      <c r="AA161" s="10" t="s">
        <v>408</v>
      </c>
      <c r="AB161" s="16">
        <v>32</v>
      </c>
      <c r="AC161" s="10"/>
      <c r="AD161" s="77">
        <v>24.957733999999999</v>
      </c>
      <c r="AE161" s="52">
        <v>76.252581000000006</v>
      </c>
    </row>
    <row r="162" spans="1:31">
      <c r="A162" s="8" t="s">
        <v>36</v>
      </c>
      <c r="B162" s="8" t="s">
        <v>1126</v>
      </c>
      <c r="C162" s="8" t="s">
        <v>1424</v>
      </c>
      <c r="D162" s="9" t="s">
        <v>275</v>
      </c>
      <c r="E162" s="8" t="s">
        <v>1427</v>
      </c>
      <c r="F162" s="8">
        <v>265</v>
      </c>
      <c r="G162" s="8">
        <v>36</v>
      </c>
      <c r="H162" s="8">
        <v>186</v>
      </c>
      <c r="I162" s="8">
        <v>95</v>
      </c>
      <c r="J162" s="8">
        <v>91</v>
      </c>
      <c r="K162" s="8">
        <v>69</v>
      </c>
      <c r="L162" s="10">
        <f t="shared" si="4"/>
        <v>37.096774193548384</v>
      </c>
      <c r="M162" s="8">
        <v>0</v>
      </c>
      <c r="N162" s="10">
        <f t="shared" si="5"/>
        <v>0</v>
      </c>
      <c r="O162" s="8">
        <v>3</v>
      </c>
      <c r="P162" s="8">
        <v>0</v>
      </c>
      <c r="Q162" s="10"/>
      <c r="R162" s="10"/>
      <c r="S162" s="10"/>
      <c r="T162" s="12">
        <v>0</v>
      </c>
      <c r="U162" s="10"/>
      <c r="V162" s="10"/>
      <c r="W162" s="10"/>
      <c r="X162" s="10"/>
      <c r="Y162" s="10"/>
      <c r="Z162" s="10"/>
      <c r="AA162" s="10" t="s">
        <v>1949</v>
      </c>
      <c r="AB162" s="16"/>
      <c r="AC162" s="10"/>
      <c r="AD162" s="70"/>
      <c r="AE162" s="10"/>
    </row>
    <row r="163" spans="1:31">
      <c r="A163" s="8" t="s">
        <v>36</v>
      </c>
      <c r="B163" s="8" t="s">
        <v>1126</v>
      </c>
      <c r="C163" s="8" t="s">
        <v>1424</v>
      </c>
      <c r="D163" s="9" t="s">
        <v>1428</v>
      </c>
      <c r="E163" s="8" t="s">
        <v>1429</v>
      </c>
      <c r="F163" s="8">
        <v>918.47</v>
      </c>
      <c r="G163" s="8">
        <v>223</v>
      </c>
      <c r="H163" s="8">
        <v>1250</v>
      </c>
      <c r="I163" s="8">
        <v>640</v>
      </c>
      <c r="J163" s="8">
        <v>610</v>
      </c>
      <c r="K163" s="8">
        <v>340</v>
      </c>
      <c r="L163" s="10">
        <f t="shared" si="4"/>
        <v>27.200000000000003</v>
      </c>
      <c r="M163" s="8">
        <v>5</v>
      </c>
      <c r="N163" s="10">
        <f t="shared" si="5"/>
        <v>0.4</v>
      </c>
      <c r="O163" s="8">
        <v>31.31</v>
      </c>
      <c r="P163" s="8">
        <v>0</v>
      </c>
      <c r="Q163" s="50" t="s">
        <v>586</v>
      </c>
      <c r="R163" s="53">
        <v>44607</v>
      </c>
      <c r="S163" s="52"/>
      <c r="T163" s="12">
        <v>26.98</v>
      </c>
      <c r="U163" s="52"/>
      <c r="V163" s="10"/>
      <c r="W163" s="10"/>
      <c r="X163" s="10"/>
      <c r="Y163" s="10"/>
      <c r="Z163" s="10"/>
      <c r="AA163" s="10" t="s">
        <v>408</v>
      </c>
      <c r="AB163" s="16">
        <v>22</v>
      </c>
      <c r="AC163" s="10"/>
      <c r="AD163" s="77">
        <v>24.894760999999999</v>
      </c>
      <c r="AE163" s="52">
        <v>76.230866000000006</v>
      </c>
    </row>
    <row r="164" spans="1:31">
      <c r="A164" s="8" t="s">
        <v>36</v>
      </c>
      <c r="B164" s="8" t="s">
        <v>1126</v>
      </c>
      <c r="C164" s="8" t="s">
        <v>1424</v>
      </c>
      <c r="D164" s="9" t="s">
        <v>1430</v>
      </c>
      <c r="E164" s="8" t="s">
        <v>1431</v>
      </c>
      <c r="F164" s="8">
        <v>276.02</v>
      </c>
      <c r="G164" s="8">
        <v>57</v>
      </c>
      <c r="H164" s="8">
        <v>304</v>
      </c>
      <c r="I164" s="8">
        <v>164</v>
      </c>
      <c r="J164" s="8">
        <v>140</v>
      </c>
      <c r="K164" s="8">
        <v>23</v>
      </c>
      <c r="L164" s="10">
        <f t="shared" si="4"/>
        <v>7.5657894736842106</v>
      </c>
      <c r="M164" s="8">
        <v>12</v>
      </c>
      <c r="N164" s="10">
        <f t="shared" si="5"/>
        <v>3.9473684210526314</v>
      </c>
      <c r="O164" s="8">
        <v>0</v>
      </c>
      <c r="P164" s="8">
        <v>0</v>
      </c>
      <c r="Q164" s="10"/>
      <c r="R164" s="10"/>
      <c r="S164" s="10"/>
      <c r="T164" s="12">
        <v>30</v>
      </c>
      <c r="U164" s="10"/>
      <c r="V164" s="10"/>
      <c r="W164" s="10"/>
      <c r="X164" s="10"/>
      <c r="Y164" s="10"/>
      <c r="Z164" s="10"/>
      <c r="AA164" s="10" t="s">
        <v>408</v>
      </c>
      <c r="AB164" s="16">
        <v>23</v>
      </c>
      <c r="AC164" s="10"/>
      <c r="AD164" s="70"/>
      <c r="AE164" s="10"/>
    </row>
    <row r="165" spans="1:31">
      <c r="A165" s="8" t="s">
        <v>36</v>
      </c>
      <c r="B165" s="8" t="s">
        <v>1126</v>
      </c>
      <c r="C165" s="8" t="s">
        <v>1424</v>
      </c>
      <c r="D165" s="9" t="s">
        <v>665</v>
      </c>
      <c r="E165" s="8" t="s">
        <v>1432</v>
      </c>
      <c r="F165" s="8">
        <v>275.91000000000003</v>
      </c>
      <c r="G165" s="8">
        <v>50</v>
      </c>
      <c r="H165" s="8">
        <v>235</v>
      </c>
      <c r="I165" s="8">
        <v>124</v>
      </c>
      <c r="J165" s="8">
        <v>111</v>
      </c>
      <c r="K165" s="8">
        <v>12</v>
      </c>
      <c r="L165" s="10">
        <f t="shared" si="4"/>
        <v>5.1063829787234036</v>
      </c>
      <c r="M165" s="8">
        <v>34</v>
      </c>
      <c r="N165" s="10">
        <f t="shared" si="5"/>
        <v>14.468085106382977</v>
      </c>
      <c r="O165" s="8">
        <v>0</v>
      </c>
      <c r="P165" s="8">
        <v>0</v>
      </c>
      <c r="Q165" s="10"/>
      <c r="R165" s="10"/>
      <c r="S165" s="10"/>
      <c r="T165" s="12">
        <v>16.47</v>
      </c>
      <c r="U165" s="10"/>
      <c r="V165" s="10"/>
      <c r="W165" s="10"/>
      <c r="X165" s="10"/>
      <c r="Y165" s="10"/>
      <c r="Z165" s="10"/>
      <c r="AA165" s="10" t="s">
        <v>408</v>
      </c>
      <c r="AB165" s="16">
        <v>11</v>
      </c>
      <c r="AC165" s="10"/>
      <c r="AD165" s="70"/>
      <c r="AE165" s="10"/>
    </row>
    <row r="166" spans="1:31">
      <c r="A166" s="8" t="s">
        <v>36</v>
      </c>
      <c r="B166" s="8" t="s">
        <v>1126</v>
      </c>
      <c r="C166" s="8" t="s">
        <v>1424</v>
      </c>
      <c r="D166" s="9" t="s">
        <v>1433</v>
      </c>
      <c r="E166" s="8" t="s">
        <v>1434</v>
      </c>
      <c r="F166" s="8">
        <v>186.46</v>
      </c>
      <c r="G166" s="8">
        <v>2</v>
      </c>
      <c r="H166" s="8">
        <v>7</v>
      </c>
      <c r="I166" s="8">
        <v>3</v>
      </c>
      <c r="J166" s="8">
        <v>4</v>
      </c>
      <c r="K166" s="8">
        <v>0</v>
      </c>
      <c r="L166" s="10">
        <f t="shared" si="4"/>
        <v>0</v>
      </c>
      <c r="M166" s="8">
        <v>0</v>
      </c>
      <c r="N166" s="10">
        <f t="shared" si="5"/>
        <v>0</v>
      </c>
      <c r="O166" s="8">
        <v>0</v>
      </c>
      <c r="P166" s="8">
        <v>0</v>
      </c>
      <c r="Q166" s="10"/>
      <c r="R166" s="10"/>
      <c r="S166" s="10"/>
      <c r="T166" s="12">
        <v>21.9</v>
      </c>
      <c r="U166" s="10"/>
      <c r="V166" s="10"/>
      <c r="W166" s="10"/>
      <c r="X166" s="10"/>
      <c r="Y166" s="10"/>
      <c r="Z166" s="10"/>
      <c r="AA166" s="10" t="s">
        <v>408</v>
      </c>
      <c r="AB166" s="16">
        <v>20</v>
      </c>
      <c r="AC166" s="10"/>
      <c r="AD166" s="70"/>
      <c r="AE166" s="10"/>
    </row>
    <row r="167" spans="1:31">
      <c r="A167" s="8" t="s">
        <v>36</v>
      </c>
      <c r="B167" s="8" t="s">
        <v>1126</v>
      </c>
      <c r="C167" s="8" t="s">
        <v>1424</v>
      </c>
      <c r="D167" s="9" t="s">
        <v>1435</v>
      </c>
      <c r="E167" s="8" t="s">
        <v>1436</v>
      </c>
      <c r="F167" s="8">
        <v>221.24</v>
      </c>
      <c r="G167" s="8">
        <v>8</v>
      </c>
      <c r="H167" s="8">
        <v>39</v>
      </c>
      <c r="I167" s="8">
        <v>18</v>
      </c>
      <c r="J167" s="8">
        <v>21</v>
      </c>
      <c r="K167" s="8">
        <v>0</v>
      </c>
      <c r="L167" s="10">
        <f t="shared" si="4"/>
        <v>0</v>
      </c>
      <c r="M167" s="8">
        <v>8</v>
      </c>
      <c r="N167" s="10">
        <f t="shared" si="5"/>
        <v>20.512820512820511</v>
      </c>
      <c r="O167" s="8">
        <v>0</v>
      </c>
      <c r="P167" s="8">
        <v>0</v>
      </c>
      <c r="Q167" s="10"/>
      <c r="R167" s="10"/>
      <c r="S167" s="10"/>
      <c r="T167" s="12">
        <v>31.39</v>
      </c>
      <c r="U167" s="10"/>
      <c r="V167" s="10"/>
      <c r="W167" s="10"/>
      <c r="X167" s="10"/>
      <c r="Y167" s="10"/>
      <c r="Z167" s="10"/>
      <c r="AA167" s="10" t="s">
        <v>408</v>
      </c>
      <c r="AB167" s="16">
        <v>27</v>
      </c>
      <c r="AC167" s="10"/>
      <c r="AD167" s="70"/>
      <c r="AE167" s="10"/>
    </row>
    <row r="168" spans="1:31">
      <c r="A168" s="8" t="s">
        <v>36</v>
      </c>
      <c r="B168" s="8" t="s">
        <v>1126</v>
      </c>
      <c r="C168" s="8" t="s">
        <v>1424</v>
      </c>
      <c r="D168" s="9" t="s">
        <v>1437</v>
      </c>
      <c r="E168" s="8" t="s">
        <v>1438</v>
      </c>
      <c r="F168" s="8">
        <v>58.3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10" t="e">
        <f t="shared" si="4"/>
        <v>#DIV/0!</v>
      </c>
      <c r="M168" s="8">
        <v>0</v>
      </c>
      <c r="N168" s="10" t="e">
        <f t="shared" si="5"/>
        <v>#DIV/0!</v>
      </c>
      <c r="O168" s="8">
        <v>0</v>
      </c>
      <c r="P168" s="8">
        <v>0</v>
      </c>
      <c r="Q168" s="10"/>
      <c r="R168" s="10"/>
      <c r="S168" s="10"/>
      <c r="T168" s="12">
        <v>26.95</v>
      </c>
      <c r="U168" s="10"/>
      <c r="V168" s="10"/>
      <c r="W168" s="10"/>
      <c r="X168" s="10"/>
      <c r="Y168" s="10"/>
      <c r="Z168" s="10"/>
      <c r="AA168" s="10" t="s">
        <v>408</v>
      </c>
      <c r="AB168" s="16">
        <v>25</v>
      </c>
      <c r="AC168" s="10"/>
      <c r="AD168" s="70"/>
      <c r="AE168" s="10"/>
    </row>
    <row r="169" spans="1:31">
      <c r="A169" s="8" t="s">
        <v>36</v>
      </c>
      <c r="B169" s="8" t="s">
        <v>1126</v>
      </c>
      <c r="C169" s="8" t="s">
        <v>1424</v>
      </c>
      <c r="D169" s="9" t="s">
        <v>1439</v>
      </c>
      <c r="E169" s="8" t="s">
        <v>1440</v>
      </c>
      <c r="F169" s="8">
        <v>80.069999999999993</v>
      </c>
      <c r="G169" s="8">
        <v>88</v>
      </c>
      <c r="H169" s="8">
        <v>538</v>
      </c>
      <c r="I169" s="8">
        <v>287</v>
      </c>
      <c r="J169" s="8">
        <v>251</v>
      </c>
      <c r="K169" s="8">
        <v>47</v>
      </c>
      <c r="L169" s="10">
        <f t="shared" si="4"/>
        <v>8.7360594795539033</v>
      </c>
      <c r="M169" s="8">
        <v>0</v>
      </c>
      <c r="N169" s="10">
        <f t="shared" si="5"/>
        <v>0</v>
      </c>
      <c r="O169" s="8">
        <v>12.21</v>
      </c>
      <c r="P169" s="8">
        <v>0</v>
      </c>
      <c r="Q169" s="50" t="s">
        <v>586</v>
      </c>
      <c r="R169" s="53">
        <v>44607</v>
      </c>
      <c r="S169" s="52"/>
      <c r="T169" s="12">
        <v>6.71</v>
      </c>
      <c r="U169" s="52"/>
      <c r="V169" s="10"/>
      <c r="W169" s="10"/>
      <c r="X169" s="10"/>
      <c r="Y169" s="10"/>
      <c r="Z169" s="10"/>
      <c r="AA169" s="10" t="s">
        <v>408</v>
      </c>
      <c r="AB169" s="16">
        <v>5</v>
      </c>
      <c r="AC169" s="10"/>
      <c r="AD169" s="77">
        <v>29.974557000000001</v>
      </c>
      <c r="AE169" s="52">
        <v>76.237958000000006</v>
      </c>
    </row>
    <row r="170" spans="1:31">
      <c r="A170" s="8" t="s">
        <v>36</v>
      </c>
      <c r="B170" s="8" t="s">
        <v>1126</v>
      </c>
      <c r="C170" s="8" t="s">
        <v>1424</v>
      </c>
      <c r="D170" s="9" t="s">
        <v>1441</v>
      </c>
      <c r="E170" s="8" t="s">
        <v>1442</v>
      </c>
      <c r="F170" s="8">
        <v>517.79</v>
      </c>
      <c r="G170" s="8">
        <v>143</v>
      </c>
      <c r="H170" s="8">
        <v>758</v>
      </c>
      <c r="I170" s="8">
        <v>400</v>
      </c>
      <c r="J170" s="8">
        <v>358</v>
      </c>
      <c r="K170" s="8">
        <v>268</v>
      </c>
      <c r="L170" s="10">
        <f t="shared" si="4"/>
        <v>35.356200527704488</v>
      </c>
      <c r="M170" s="8">
        <v>0</v>
      </c>
      <c r="N170" s="10">
        <f t="shared" si="5"/>
        <v>0</v>
      </c>
      <c r="O170" s="8">
        <v>0</v>
      </c>
      <c r="P170" s="8">
        <v>19.55</v>
      </c>
      <c r="Q170" s="10"/>
      <c r="R170" s="10"/>
      <c r="S170" s="10"/>
      <c r="T170" s="12">
        <v>30</v>
      </c>
      <c r="U170" s="10"/>
      <c r="V170" s="10"/>
      <c r="W170" s="10"/>
      <c r="X170" s="10"/>
      <c r="Y170" s="10"/>
      <c r="Z170" s="10"/>
      <c r="AA170" s="10" t="s">
        <v>408</v>
      </c>
      <c r="AB170" s="13">
        <v>22</v>
      </c>
      <c r="AC170" s="10"/>
      <c r="AD170" s="70"/>
      <c r="AE170" s="10"/>
    </row>
    <row r="171" spans="1:31">
      <c r="A171" s="8" t="s">
        <v>36</v>
      </c>
      <c r="B171" s="8" t="s">
        <v>1126</v>
      </c>
      <c r="C171" s="8" t="s">
        <v>1424</v>
      </c>
      <c r="D171" s="9" t="s">
        <v>1443</v>
      </c>
      <c r="E171" s="8" t="s">
        <v>1444</v>
      </c>
      <c r="F171" s="8">
        <v>104.89</v>
      </c>
      <c r="G171" s="8">
        <v>39</v>
      </c>
      <c r="H171" s="8">
        <v>168</v>
      </c>
      <c r="I171" s="8">
        <v>89</v>
      </c>
      <c r="J171" s="8">
        <v>79</v>
      </c>
      <c r="K171" s="8">
        <v>87</v>
      </c>
      <c r="L171" s="10">
        <f t="shared" si="4"/>
        <v>51.785714285714292</v>
      </c>
      <c r="M171" s="8">
        <v>0</v>
      </c>
      <c r="N171" s="10">
        <f t="shared" si="5"/>
        <v>0</v>
      </c>
      <c r="O171" s="8">
        <v>0.59</v>
      </c>
      <c r="P171" s="8">
        <v>0</v>
      </c>
      <c r="Q171" s="10"/>
      <c r="R171" s="10"/>
      <c r="S171" s="10"/>
      <c r="T171" s="12">
        <v>16</v>
      </c>
      <c r="U171" s="10"/>
      <c r="V171" s="10"/>
      <c r="W171" s="10"/>
      <c r="X171" s="10"/>
      <c r="Y171" s="10"/>
      <c r="Z171" s="10"/>
      <c r="AA171" s="10" t="s">
        <v>408</v>
      </c>
      <c r="AB171" s="13">
        <v>15</v>
      </c>
      <c r="AC171" s="10"/>
      <c r="AD171" s="70"/>
      <c r="AE171" s="10"/>
    </row>
    <row r="172" spans="1:31">
      <c r="A172" s="8" t="s">
        <v>36</v>
      </c>
      <c r="B172" s="8" t="s">
        <v>1126</v>
      </c>
      <c r="C172" s="8" t="s">
        <v>1424</v>
      </c>
      <c r="D172" s="9" t="s">
        <v>1445</v>
      </c>
      <c r="E172" s="8" t="s">
        <v>1446</v>
      </c>
      <c r="F172" s="8">
        <v>131.61000000000001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10" t="e">
        <f t="shared" si="4"/>
        <v>#DIV/0!</v>
      </c>
      <c r="M172" s="8">
        <v>0</v>
      </c>
      <c r="N172" s="10" t="e">
        <f t="shared" si="5"/>
        <v>#DIV/0!</v>
      </c>
      <c r="O172" s="8">
        <v>0</v>
      </c>
      <c r="P172" s="8">
        <v>0</v>
      </c>
      <c r="Q172" s="10"/>
      <c r="R172" s="10"/>
      <c r="S172" s="10"/>
      <c r="T172" s="12">
        <v>30</v>
      </c>
      <c r="U172" s="10"/>
      <c r="V172" s="10"/>
      <c r="W172" s="10"/>
      <c r="X172" s="10"/>
      <c r="Y172" s="10"/>
      <c r="Z172" s="10"/>
      <c r="AA172" s="10" t="s">
        <v>408</v>
      </c>
      <c r="AB172" s="13">
        <v>24</v>
      </c>
      <c r="AC172" s="10"/>
      <c r="AD172" s="70"/>
      <c r="AE172" s="10"/>
    </row>
    <row r="173" spans="1:31">
      <c r="A173" s="8" t="s">
        <v>36</v>
      </c>
      <c r="B173" s="8" t="s">
        <v>1126</v>
      </c>
      <c r="C173" s="8" t="s">
        <v>1424</v>
      </c>
      <c r="D173" s="9" t="s">
        <v>1447</v>
      </c>
      <c r="E173" s="8" t="s">
        <v>1448</v>
      </c>
      <c r="F173" s="8">
        <v>297.36</v>
      </c>
      <c r="G173" s="8">
        <v>79</v>
      </c>
      <c r="H173" s="8">
        <v>406</v>
      </c>
      <c r="I173" s="8">
        <v>220</v>
      </c>
      <c r="J173" s="8">
        <v>186</v>
      </c>
      <c r="K173" s="8">
        <v>138</v>
      </c>
      <c r="L173" s="10">
        <f t="shared" si="4"/>
        <v>33.990147783251231</v>
      </c>
      <c r="M173" s="8">
        <v>50</v>
      </c>
      <c r="N173" s="10">
        <f t="shared" si="5"/>
        <v>12.315270935960591</v>
      </c>
      <c r="O173" s="8">
        <v>12</v>
      </c>
      <c r="P173" s="8">
        <v>0</v>
      </c>
      <c r="Q173" s="50" t="s">
        <v>586</v>
      </c>
      <c r="R173" s="53">
        <v>44603</v>
      </c>
      <c r="S173" s="52"/>
      <c r="T173" s="12">
        <v>4</v>
      </c>
      <c r="U173" s="52"/>
      <c r="V173" s="10"/>
      <c r="W173" s="10"/>
      <c r="X173" s="10"/>
      <c r="Y173" s="10"/>
      <c r="Z173" s="10"/>
      <c r="AA173" s="10" t="s">
        <v>408</v>
      </c>
      <c r="AB173" s="13">
        <v>4</v>
      </c>
      <c r="AC173" s="10"/>
      <c r="AD173" s="77">
        <v>24.971029999999999</v>
      </c>
      <c r="AE173" s="52">
        <v>76.255381</v>
      </c>
    </row>
    <row r="174" spans="1:31">
      <c r="A174" s="8" t="s">
        <v>36</v>
      </c>
      <c r="B174" s="8" t="s">
        <v>1126</v>
      </c>
      <c r="C174" s="8" t="s">
        <v>1424</v>
      </c>
      <c r="D174" s="9" t="s">
        <v>1449</v>
      </c>
      <c r="E174" s="8" t="s">
        <v>1450</v>
      </c>
      <c r="F174" s="8">
        <v>347.96</v>
      </c>
      <c r="G174" s="8">
        <v>63</v>
      </c>
      <c r="H174" s="8">
        <v>295</v>
      </c>
      <c r="I174" s="8">
        <v>158</v>
      </c>
      <c r="J174" s="8">
        <v>137</v>
      </c>
      <c r="K174" s="8">
        <v>87</v>
      </c>
      <c r="L174" s="10">
        <f t="shared" si="4"/>
        <v>29.491525423728817</v>
      </c>
      <c r="M174" s="8">
        <v>106</v>
      </c>
      <c r="N174" s="10">
        <f t="shared" si="5"/>
        <v>35.932203389830505</v>
      </c>
      <c r="O174" s="8">
        <v>14.4</v>
      </c>
      <c r="P174" s="8">
        <v>0</v>
      </c>
      <c r="Q174" s="50" t="s">
        <v>586</v>
      </c>
      <c r="R174" s="53">
        <v>44606</v>
      </c>
      <c r="S174" s="52"/>
      <c r="T174" s="18">
        <v>33.61</v>
      </c>
      <c r="U174" s="52"/>
      <c r="V174" s="10"/>
      <c r="W174" s="10"/>
      <c r="X174" s="10"/>
      <c r="Y174" s="10"/>
      <c r="Z174" s="10"/>
      <c r="AA174" s="10" t="s">
        <v>408</v>
      </c>
      <c r="AB174" s="18">
        <v>7</v>
      </c>
      <c r="AC174" s="10"/>
      <c r="AD174" s="77">
        <v>24.966387999999998</v>
      </c>
      <c r="AE174" s="52">
        <v>76.237206</v>
      </c>
    </row>
    <row r="175" spans="1:31">
      <c r="A175" s="8" t="s">
        <v>36</v>
      </c>
      <c r="B175" s="8" t="s">
        <v>1126</v>
      </c>
      <c r="C175" s="8" t="s">
        <v>1451</v>
      </c>
      <c r="D175" s="9" t="s">
        <v>1452</v>
      </c>
      <c r="E175" s="8" t="s">
        <v>1453</v>
      </c>
      <c r="F175" s="8">
        <v>303.57</v>
      </c>
      <c r="G175" s="8">
        <v>132</v>
      </c>
      <c r="H175" s="8">
        <v>700</v>
      </c>
      <c r="I175" s="8">
        <v>376</v>
      </c>
      <c r="J175" s="8">
        <v>324</v>
      </c>
      <c r="K175" s="8">
        <v>79</v>
      </c>
      <c r="L175" s="10">
        <f t="shared" si="4"/>
        <v>11.285714285714285</v>
      </c>
      <c r="M175" s="8">
        <v>218</v>
      </c>
      <c r="N175" s="10">
        <f t="shared" si="5"/>
        <v>31.142857142857146</v>
      </c>
      <c r="O175" s="8">
        <v>12.98</v>
      </c>
      <c r="P175" s="8">
        <v>20.81</v>
      </c>
      <c r="Q175" s="13" t="s">
        <v>408</v>
      </c>
      <c r="R175" s="20">
        <v>45342</v>
      </c>
      <c r="S175" s="15"/>
      <c r="T175" s="18">
        <v>28.34</v>
      </c>
      <c r="U175" s="64"/>
      <c r="V175" s="10"/>
      <c r="W175" s="10"/>
      <c r="X175" s="10"/>
      <c r="Y175" s="10"/>
      <c r="Z175" s="10"/>
      <c r="AA175" s="10" t="s">
        <v>408</v>
      </c>
      <c r="AB175" s="18">
        <v>10</v>
      </c>
      <c r="AC175" s="10"/>
      <c r="AD175" s="78">
        <v>25.033726999999999</v>
      </c>
      <c r="AE175" s="64">
        <v>76.170181999999997</v>
      </c>
    </row>
    <row r="176" spans="1:31">
      <c r="A176" s="8" t="s">
        <v>36</v>
      </c>
      <c r="B176" s="8" t="s">
        <v>1126</v>
      </c>
      <c r="C176" s="8" t="s">
        <v>1451</v>
      </c>
      <c r="D176" s="9" t="s">
        <v>1454</v>
      </c>
      <c r="E176" s="8" t="s">
        <v>1455</v>
      </c>
      <c r="F176" s="8">
        <v>252.41</v>
      </c>
      <c r="G176" s="8">
        <v>46</v>
      </c>
      <c r="H176" s="8">
        <v>248</v>
      </c>
      <c r="I176" s="8">
        <v>123</v>
      </c>
      <c r="J176" s="8">
        <v>125</v>
      </c>
      <c r="K176" s="8">
        <v>12</v>
      </c>
      <c r="L176" s="10">
        <f t="shared" si="4"/>
        <v>4.838709677419355</v>
      </c>
      <c r="M176" s="8">
        <v>0</v>
      </c>
      <c r="N176" s="10">
        <f t="shared" si="5"/>
        <v>0</v>
      </c>
      <c r="O176" s="8">
        <v>27.44</v>
      </c>
      <c r="P176" s="8">
        <v>0</v>
      </c>
      <c r="Q176" s="13" t="s">
        <v>408</v>
      </c>
      <c r="R176" s="20">
        <v>45342</v>
      </c>
      <c r="S176" s="15"/>
      <c r="T176" s="18"/>
      <c r="U176" s="64"/>
      <c r="V176" s="10"/>
      <c r="W176" s="10"/>
      <c r="X176" s="10"/>
      <c r="Y176" s="10"/>
      <c r="Z176" s="10"/>
      <c r="AA176" s="10" t="s">
        <v>1949</v>
      </c>
      <c r="AB176" s="18"/>
      <c r="AC176" s="10"/>
      <c r="AD176" s="78">
        <v>25.053467000000001</v>
      </c>
      <c r="AE176" s="64">
        <v>76.166413000000006</v>
      </c>
    </row>
    <row r="177" spans="1:31">
      <c r="A177" s="8" t="s">
        <v>36</v>
      </c>
      <c r="B177" s="8" t="s">
        <v>1126</v>
      </c>
      <c r="C177" s="8" t="s">
        <v>1451</v>
      </c>
      <c r="D177" s="9" t="s">
        <v>1456</v>
      </c>
      <c r="E177" s="8" t="s">
        <v>1457</v>
      </c>
      <c r="F177" s="8">
        <v>306.79000000000002</v>
      </c>
      <c r="G177" s="8">
        <v>93</v>
      </c>
      <c r="H177" s="8">
        <v>386</v>
      </c>
      <c r="I177" s="8">
        <v>192</v>
      </c>
      <c r="J177" s="8">
        <v>194</v>
      </c>
      <c r="K177" s="8">
        <v>105</v>
      </c>
      <c r="L177" s="10">
        <f t="shared" si="4"/>
        <v>27.202072538860104</v>
      </c>
      <c r="M177" s="8">
        <v>250</v>
      </c>
      <c r="N177" s="10">
        <f t="shared" si="5"/>
        <v>64.766839378238345</v>
      </c>
      <c r="O177" s="8">
        <v>21.37</v>
      </c>
      <c r="P177" s="8">
        <v>104.77</v>
      </c>
      <c r="Q177" s="13" t="s">
        <v>408</v>
      </c>
      <c r="R177" s="60">
        <v>45142</v>
      </c>
      <c r="S177" s="15"/>
      <c r="T177" s="18">
        <v>26.06</v>
      </c>
      <c r="U177" s="64"/>
      <c r="V177" s="10"/>
      <c r="W177" s="10"/>
      <c r="X177" s="10"/>
      <c r="Y177" s="10"/>
      <c r="Z177" s="10"/>
      <c r="AA177" s="10" t="s">
        <v>408</v>
      </c>
      <c r="AB177" s="18">
        <v>11</v>
      </c>
      <c r="AC177" s="10"/>
      <c r="AD177" s="78">
        <v>25.057894000000001</v>
      </c>
      <c r="AE177" s="64">
        <v>76.168226000000004</v>
      </c>
    </row>
    <row r="178" spans="1:31">
      <c r="A178" s="8" t="s">
        <v>36</v>
      </c>
      <c r="B178" s="8" t="s">
        <v>1126</v>
      </c>
      <c r="C178" s="8" t="s">
        <v>1451</v>
      </c>
      <c r="D178" s="9" t="s">
        <v>1458</v>
      </c>
      <c r="E178" s="8" t="s">
        <v>1459</v>
      </c>
      <c r="F178" s="8">
        <v>819.93</v>
      </c>
      <c r="G178" s="8">
        <v>171</v>
      </c>
      <c r="H178" s="8">
        <v>887</v>
      </c>
      <c r="I178" s="8">
        <v>464</v>
      </c>
      <c r="J178" s="8">
        <v>423</v>
      </c>
      <c r="K178" s="8">
        <v>73</v>
      </c>
      <c r="L178" s="10">
        <f t="shared" si="4"/>
        <v>8.2299887260428424</v>
      </c>
      <c r="M178" s="8">
        <v>12</v>
      </c>
      <c r="N178" s="10">
        <f t="shared" si="5"/>
        <v>1.3528748590755355</v>
      </c>
      <c r="O178" s="8">
        <v>30.06</v>
      </c>
      <c r="P178" s="8">
        <v>9.1999999999999993</v>
      </c>
      <c r="Q178" s="13" t="s">
        <v>408</v>
      </c>
      <c r="R178" s="60">
        <v>45327</v>
      </c>
      <c r="S178" s="15"/>
      <c r="T178" s="18">
        <v>14.62</v>
      </c>
      <c r="U178" s="64"/>
      <c r="V178" s="10"/>
      <c r="W178" s="10"/>
      <c r="X178" s="10"/>
      <c r="Y178" s="10"/>
      <c r="Z178" s="10"/>
      <c r="AA178" s="10" t="s">
        <v>408</v>
      </c>
      <c r="AB178" s="18">
        <v>8</v>
      </c>
      <c r="AC178" s="10"/>
      <c r="AD178" s="78">
        <v>24.89847</v>
      </c>
      <c r="AE178" s="64">
        <v>76.110377999999997</v>
      </c>
    </row>
    <row r="179" spans="1:31">
      <c r="A179" s="8" t="s">
        <v>36</v>
      </c>
      <c r="B179" s="8" t="s">
        <v>1126</v>
      </c>
      <c r="C179" s="8" t="s">
        <v>1451</v>
      </c>
      <c r="D179" s="9" t="s">
        <v>1460</v>
      </c>
      <c r="E179" s="8" t="s">
        <v>1461</v>
      </c>
      <c r="F179" s="8">
        <v>416.25</v>
      </c>
      <c r="G179" s="8">
        <v>59</v>
      </c>
      <c r="H179" s="8">
        <v>284</v>
      </c>
      <c r="I179" s="8">
        <v>151</v>
      </c>
      <c r="J179" s="8">
        <v>133</v>
      </c>
      <c r="K179" s="8">
        <v>84</v>
      </c>
      <c r="L179" s="10">
        <f t="shared" si="4"/>
        <v>29.577464788732392</v>
      </c>
      <c r="M179" s="8">
        <v>0</v>
      </c>
      <c r="N179" s="10">
        <f t="shared" si="5"/>
        <v>0</v>
      </c>
      <c r="O179" s="8">
        <v>23</v>
      </c>
      <c r="P179" s="8">
        <v>10.51</v>
      </c>
      <c r="Q179" s="13" t="s">
        <v>408</v>
      </c>
      <c r="R179" s="60">
        <v>45327</v>
      </c>
      <c r="S179" s="15"/>
      <c r="T179" s="18">
        <v>47.97</v>
      </c>
      <c r="U179" s="64"/>
      <c r="V179" s="10"/>
      <c r="W179" s="10"/>
      <c r="X179" s="10"/>
      <c r="Y179" s="10"/>
      <c r="Z179" s="10"/>
      <c r="AA179" s="10" t="s">
        <v>408</v>
      </c>
      <c r="AB179" s="18">
        <v>12</v>
      </c>
      <c r="AC179" s="10"/>
      <c r="AD179" s="78"/>
      <c r="AE179" s="64"/>
    </row>
    <row r="180" spans="1:31">
      <c r="A180" s="8" t="s">
        <v>36</v>
      </c>
      <c r="B180" s="8" t="s">
        <v>1126</v>
      </c>
      <c r="C180" s="8" t="s">
        <v>1451</v>
      </c>
      <c r="D180" s="9" t="s">
        <v>1462</v>
      </c>
      <c r="E180" s="8" t="s">
        <v>1463</v>
      </c>
      <c r="F180" s="8">
        <v>412.56</v>
      </c>
      <c r="G180" s="8">
        <v>71</v>
      </c>
      <c r="H180" s="8">
        <v>475</v>
      </c>
      <c r="I180" s="8">
        <v>250</v>
      </c>
      <c r="J180" s="8">
        <v>225</v>
      </c>
      <c r="K180" s="8">
        <v>254</v>
      </c>
      <c r="L180" s="10">
        <f t="shared" si="4"/>
        <v>53.473684210526315</v>
      </c>
      <c r="M180" s="8">
        <v>0</v>
      </c>
      <c r="N180" s="10">
        <f t="shared" si="5"/>
        <v>0</v>
      </c>
      <c r="O180" s="8">
        <v>23.5</v>
      </c>
      <c r="P180" s="8">
        <v>59.3</v>
      </c>
      <c r="Q180" s="13" t="s">
        <v>408</v>
      </c>
      <c r="R180" s="60">
        <v>45327</v>
      </c>
      <c r="S180" s="15"/>
      <c r="T180" s="18">
        <v>19.09</v>
      </c>
      <c r="U180" s="64"/>
      <c r="V180" s="10"/>
      <c r="W180" s="10"/>
      <c r="X180" s="10"/>
      <c r="Y180" s="10"/>
      <c r="Z180" s="10"/>
      <c r="AA180" s="10" t="s">
        <v>408</v>
      </c>
      <c r="AB180" s="18">
        <v>12</v>
      </c>
      <c r="AC180" s="10"/>
      <c r="AD180" s="78">
        <v>24.973538000000001</v>
      </c>
      <c r="AE180" s="64">
        <v>76.092003000000005</v>
      </c>
    </row>
    <row r="181" spans="1:31">
      <c r="A181" s="8" t="s">
        <v>36</v>
      </c>
      <c r="B181" s="8" t="s">
        <v>1126</v>
      </c>
      <c r="C181" s="8" t="s">
        <v>1451</v>
      </c>
      <c r="D181" s="9" t="s">
        <v>1464</v>
      </c>
      <c r="E181" s="8" t="s">
        <v>1465</v>
      </c>
      <c r="F181" s="8">
        <v>131.16999999999999</v>
      </c>
      <c r="G181" s="8">
        <v>124</v>
      </c>
      <c r="H181" s="8">
        <v>672</v>
      </c>
      <c r="I181" s="8">
        <v>353</v>
      </c>
      <c r="J181" s="8">
        <v>319</v>
      </c>
      <c r="K181" s="8">
        <v>41</v>
      </c>
      <c r="L181" s="10">
        <f t="shared" si="4"/>
        <v>6.1011904761904763</v>
      </c>
      <c r="M181" s="8">
        <v>549</v>
      </c>
      <c r="N181" s="10">
        <f t="shared" si="5"/>
        <v>81.696428571428569</v>
      </c>
      <c r="O181" s="8">
        <v>20.03</v>
      </c>
      <c r="P181" s="8">
        <v>1.46</v>
      </c>
      <c r="Q181" s="13" t="s">
        <v>408</v>
      </c>
      <c r="R181" s="60">
        <v>45327</v>
      </c>
      <c r="S181" s="15"/>
      <c r="T181" s="18">
        <v>3.65</v>
      </c>
      <c r="U181" s="64"/>
      <c r="V181" s="10"/>
      <c r="W181" s="10"/>
      <c r="X181" s="10"/>
      <c r="Y181" s="10"/>
      <c r="Z181" s="10"/>
      <c r="AA181" s="10" t="s">
        <v>408</v>
      </c>
      <c r="AB181" s="18">
        <v>2</v>
      </c>
      <c r="AC181" s="10"/>
      <c r="AD181" s="78">
        <v>24.986335</v>
      </c>
      <c r="AE181" s="64">
        <v>76.075323999999995</v>
      </c>
    </row>
    <row r="182" spans="1:31">
      <c r="A182" s="8" t="s">
        <v>36</v>
      </c>
      <c r="B182" s="8" t="s">
        <v>1126</v>
      </c>
      <c r="C182" s="8" t="s">
        <v>1451</v>
      </c>
      <c r="D182" s="9" t="s">
        <v>1466</v>
      </c>
      <c r="E182" s="8" t="s">
        <v>1467</v>
      </c>
      <c r="F182" s="8">
        <v>339.16</v>
      </c>
      <c r="G182" s="8">
        <v>43</v>
      </c>
      <c r="H182" s="8">
        <v>213</v>
      </c>
      <c r="I182" s="8">
        <v>115</v>
      </c>
      <c r="J182" s="8">
        <v>98</v>
      </c>
      <c r="K182" s="8">
        <v>35</v>
      </c>
      <c r="L182" s="10">
        <f t="shared" si="4"/>
        <v>16.431924882629108</v>
      </c>
      <c r="M182" s="8">
        <v>66</v>
      </c>
      <c r="N182" s="10">
        <f t="shared" si="5"/>
        <v>30.985915492957744</v>
      </c>
      <c r="O182" s="8">
        <v>3.55</v>
      </c>
      <c r="P182" s="8">
        <v>91.1</v>
      </c>
      <c r="Q182" s="13" t="s">
        <v>408</v>
      </c>
      <c r="R182" s="60">
        <v>45327</v>
      </c>
      <c r="S182" s="15"/>
      <c r="T182" s="34">
        <v>0</v>
      </c>
      <c r="U182" s="44"/>
      <c r="V182" s="10"/>
      <c r="W182" s="10"/>
      <c r="X182" s="10"/>
      <c r="Y182" s="10"/>
      <c r="Z182" s="10"/>
      <c r="AA182" s="10" t="s">
        <v>408</v>
      </c>
      <c r="AB182" s="33">
        <v>10</v>
      </c>
      <c r="AC182" s="10"/>
      <c r="AD182" s="76">
        <v>25.096687800000002</v>
      </c>
      <c r="AE182" s="44">
        <v>76.096294799999995</v>
      </c>
    </row>
    <row r="183" spans="1:31">
      <c r="A183" s="8" t="s">
        <v>36</v>
      </c>
      <c r="B183" s="8" t="s">
        <v>1126</v>
      </c>
      <c r="C183" s="8" t="s">
        <v>1468</v>
      </c>
      <c r="D183" s="9" t="s">
        <v>1469</v>
      </c>
      <c r="E183" s="8" t="s">
        <v>1470</v>
      </c>
      <c r="F183" s="8">
        <v>746.61</v>
      </c>
      <c r="G183" s="8">
        <v>300</v>
      </c>
      <c r="H183" s="8">
        <v>1532</v>
      </c>
      <c r="I183" s="8">
        <v>779</v>
      </c>
      <c r="J183" s="8">
        <v>753</v>
      </c>
      <c r="K183" s="8">
        <v>579</v>
      </c>
      <c r="L183" s="10">
        <f t="shared" si="4"/>
        <v>37.793733681462136</v>
      </c>
      <c r="M183" s="8">
        <v>12</v>
      </c>
      <c r="N183" s="10">
        <f t="shared" si="5"/>
        <v>0.7832898172323759</v>
      </c>
      <c r="O183" s="8">
        <v>1.93</v>
      </c>
      <c r="P183" s="8">
        <v>274.75</v>
      </c>
      <c r="Q183" s="13" t="s">
        <v>408</v>
      </c>
      <c r="R183" s="14">
        <v>45319</v>
      </c>
      <c r="S183" s="15"/>
      <c r="T183" s="10"/>
      <c r="U183" s="11"/>
      <c r="V183" s="10"/>
      <c r="W183" s="10"/>
      <c r="X183" s="10"/>
      <c r="Y183" s="10"/>
      <c r="Z183" s="10"/>
      <c r="AA183" s="10" t="s">
        <v>1949</v>
      </c>
      <c r="AB183" s="10"/>
      <c r="AC183" s="10"/>
      <c r="AD183" s="71">
        <v>24.892223000000001</v>
      </c>
      <c r="AE183" s="11">
        <v>76.426220000000001</v>
      </c>
    </row>
    <row r="184" spans="1:31">
      <c r="A184" s="8" t="s">
        <v>36</v>
      </c>
      <c r="B184" s="8" t="s">
        <v>1126</v>
      </c>
      <c r="C184" s="8" t="s">
        <v>1468</v>
      </c>
      <c r="D184" s="9" t="s">
        <v>1471</v>
      </c>
      <c r="E184" s="8" t="s">
        <v>1472</v>
      </c>
      <c r="F184" s="8">
        <v>738</v>
      </c>
      <c r="G184" s="8">
        <v>188</v>
      </c>
      <c r="H184" s="8">
        <v>947</v>
      </c>
      <c r="I184" s="8">
        <v>502</v>
      </c>
      <c r="J184" s="8">
        <v>445</v>
      </c>
      <c r="K184" s="8">
        <v>133</v>
      </c>
      <c r="L184" s="10">
        <f t="shared" si="4"/>
        <v>14.044350580781414</v>
      </c>
      <c r="M184" s="8">
        <v>132</v>
      </c>
      <c r="N184" s="10">
        <f t="shared" si="5"/>
        <v>13.938753959873285</v>
      </c>
      <c r="O184" s="8">
        <v>41</v>
      </c>
      <c r="P184" s="8">
        <v>328</v>
      </c>
      <c r="Q184" s="13" t="s">
        <v>408</v>
      </c>
      <c r="R184" s="14">
        <v>45319</v>
      </c>
      <c r="S184" s="15"/>
      <c r="T184" s="10"/>
      <c r="U184" s="11"/>
      <c r="V184" s="10"/>
      <c r="W184" s="10"/>
      <c r="X184" s="10"/>
      <c r="Y184" s="10"/>
      <c r="Z184" s="10"/>
      <c r="AA184" s="10" t="s">
        <v>1949</v>
      </c>
      <c r="AB184" s="10"/>
      <c r="AC184" s="10"/>
      <c r="AD184" s="71">
        <v>24.896349000000001</v>
      </c>
      <c r="AE184" s="11">
        <v>76.397086999999999</v>
      </c>
    </row>
    <row r="185" spans="1:31">
      <c r="A185" s="8" t="s">
        <v>36</v>
      </c>
      <c r="B185" s="8" t="s">
        <v>1126</v>
      </c>
      <c r="C185" s="8" t="s">
        <v>1468</v>
      </c>
      <c r="D185" s="9" t="s">
        <v>1473</v>
      </c>
      <c r="E185" s="8" t="s">
        <v>1474</v>
      </c>
      <c r="F185" s="8">
        <v>219.26</v>
      </c>
      <c r="G185" s="8">
        <v>8</v>
      </c>
      <c r="H185" s="8">
        <v>35</v>
      </c>
      <c r="I185" s="8">
        <v>20</v>
      </c>
      <c r="J185" s="8">
        <v>15</v>
      </c>
      <c r="K185" s="8">
        <v>0</v>
      </c>
      <c r="L185" s="10">
        <f t="shared" si="4"/>
        <v>0</v>
      </c>
      <c r="M185" s="8">
        <v>0</v>
      </c>
      <c r="N185" s="10">
        <f t="shared" si="5"/>
        <v>0</v>
      </c>
      <c r="O185" s="8">
        <v>0</v>
      </c>
      <c r="P185" s="8">
        <v>38.58</v>
      </c>
      <c r="Q185" s="13" t="s">
        <v>408</v>
      </c>
      <c r="R185" s="14">
        <v>45319</v>
      </c>
      <c r="S185" s="15"/>
      <c r="T185" s="34">
        <v>0</v>
      </c>
      <c r="U185" s="11"/>
      <c r="V185" s="10"/>
      <c r="W185" s="10"/>
      <c r="X185" s="10"/>
      <c r="Y185" s="10"/>
      <c r="Z185" s="10"/>
      <c r="AA185" s="10" t="s">
        <v>408</v>
      </c>
      <c r="AB185" s="33">
        <v>4</v>
      </c>
      <c r="AC185" s="10"/>
      <c r="AD185" s="69" t="s">
        <v>410</v>
      </c>
      <c r="AE185" s="13" t="s">
        <v>410</v>
      </c>
    </row>
    <row r="186" spans="1:31">
      <c r="A186" s="8" t="s">
        <v>36</v>
      </c>
      <c r="B186" s="8" t="s">
        <v>1126</v>
      </c>
      <c r="C186" s="8" t="s">
        <v>1468</v>
      </c>
      <c r="D186" s="9" t="s">
        <v>1475</v>
      </c>
      <c r="E186" s="8" t="s">
        <v>1476</v>
      </c>
      <c r="F186" s="8">
        <v>471.48</v>
      </c>
      <c r="G186" s="8">
        <v>45</v>
      </c>
      <c r="H186" s="8">
        <v>201</v>
      </c>
      <c r="I186" s="8">
        <v>103</v>
      </c>
      <c r="J186" s="8">
        <v>98</v>
      </c>
      <c r="K186" s="8">
        <v>23</v>
      </c>
      <c r="L186" s="10">
        <f t="shared" si="4"/>
        <v>11.442786069651742</v>
      </c>
      <c r="M186" s="8">
        <v>12</v>
      </c>
      <c r="N186" s="10">
        <f t="shared" si="5"/>
        <v>5.9701492537313428</v>
      </c>
      <c r="O186" s="8">
        <v>26.98</v>
      </c>
      <c r="P186" s="8">
        <v>320.64999999999998</v>
      </c>
      <c r="Q186" s="13" t="s">
        <v>408</v>
      </c>
      <c r="R186" s="14">
        <v>45319</v>
      </c>
      <c r="S186" s="15"/>
      <c r="T186" s="10"/>
      <c r="U186" s="11"/>
      <c r="V186" s="10"/>
      <c r="W186" s="10"/>
      <c r="X186" s="10"/>
      <c r="Y186" s="10"/>
      <c r="Z186" s="10"/>
      <c r="AA186" s="10" t="s">
        <v>1949</v>
      </c>
      <c r="AB186" s="10"/>
      <c r="AC186" s="10"/>
      <c r="AD186" s="71"/>
      <c r="AE186" s="11"/>
    </row>
    <row r="187" spans="1:31">
      <c r="A187" s="8" t="s">
        <v>36</v>
      </c>
      <c r="B187" s="8" t="s">
        <v>1126</v>
      </c>
      <c r="C187" s="8" t="s">
        <v>1468</v>
      </c>
      <c r="D187" s="9" t="s">
        <v>1477</v>
      </c>
      <c r="E187" s="8" t="s">
        <v>1478</v>
      </c>
      <c r="F187" s="8">
        <v>629.95000000000005</v>
      </c>
      <c r="G187" s="8">
        <v>163</v>
      </c>
      <c r="H187" s="8">
        <v>798</v>
      </c>
      <c r="I187" s="8">
        <v>414</v>
      </c>
      <c r="J187" s="8">
        <v>384</v>
      </c>
      <c r="K187" s="8">
        <v>172</v>
      </c>
      <c r="L187" s="10">
        <f t="shared" si="4"/>
        <v>21.553884711779446</v>
      </c>
      <c r="M187" s="8">
        <v>58</v>
      </c>
      <c r="N187" s="10">
        <f t="shared" si="5"/>
        <v>7.2681704260651623</v>
      </c>
      <c r="O187" s="8">
        <v>30</v>
      </c>
      <c r="P187" s="8">
        <v>162.07</v>
      </c>
      <c r="Q187" s="13" t="s">
        <v>408</v>
      </c>
      <c r="R187" s="14">
        <v>45319</v>
      </c>
      <c r="S187" s="15"/>
      <c r="T187" s="10"/>
      <c r="U187" s="11"/>
      <c r="V187" s="10"/>
      <c r="W187" s="10"/>
      <c r="X187" s="10"/>
      <c r="Y187" s="10"/>
      <c r="Z187" s="10"/>
      <c r="AA187" s="10" t="s">
        <v>1949</v>
      </c>
      <c r="AB187" s="10"/>
      <c r="AC187" s="10"/>
      <c r="AD187" s="71">
        <v>24.870809000000001</v>
      </c>
      <c r="AE187" s="11">
        <v>76.401239000000004</v>
      </c>
    </row>
    <row r="188" spans="1:31">
      <c r="A188" s="8" t="s">
        <v>36</v>
      </c>
      <c r="B188" s="8" t="s">
        <v>1126</v>
      </c>
      <c r="C188" s="8" t="s">
        <v>1468</v>
      </c>
      <c r="D188" s="9" t="s">
        <v>1479</v>
      </c>
      <c r="E188" s="8" t="s">
        <v>1480</v>
      </c>
      <c r="F188" s="8">
        <v>158.13</v>
      </c>
      <c r="G188" s="8">
        <v>74</v>
      </c>
      <c r="H188" s="8">
        <v>411</v>
      </c>
      <c r="I188" s="8">
        <v>205</v>
      </c>
      <c r="J188" s="8">
        <v>206</v>
      </c>
      <c r="K188" s="8">
        <v>73</v>
      </c>
      <c r="L188" s="10">
        <f t="shared" si="4"/>
        <v>17.761557177615572</v>
      </c>
      <c r="M188" s="8">
        <v>2</v>
      </c>
      <c r="N188" s="10">
        <f t="shared" si="5"/>
        <v>0.48661800486618007</v>
      </c>
      <c r="O188" s="8">
        <v>16.47</v>
      </c>
      <c r="P188" s="8">
        <v>16.32</v>
      </c>
      <c r="Q188" s="13" t="s">
        <v>408</v>
      </c>
      <c r="R188" s="14">
        <v>45319</v>
      </c>
      <c r="S188" s="15"/>
      <c r="T188" s="10"/>
      <c r="U188" s="11"/>
      <c r="V188" s="10"/>
      <c r="W188" s="10"/>
      <c r="X188" s="10"/>
      <c r="Y188" s="10"/>
      <c r="Z188" s="10"/>
      <c r="AA188" s="10" t="s">
        <v>1949</v>
      </c>
      <c r="AB188" s="10"/>
      <c r="AC188" s="10"/>
      <c r="AD188" s="71">
        <v>24.866378999999998</v>
      </c>
      <c r="AE188" s="11">
        <v>76.469042999999999</v>
      </c>
    </row>
    <row r="189" spans="1:31">
      <c r="A189" s="8" t="s">
        <v>36</v>
      </c>
      <c r="B189" s="8" t="s">
        <v>1126</v>
      </c>
      <c r="C189" s="8" t="s">
        <v>1468</v>
      </c>
      <c r="D189" s="9" t="s">
        <v>1481</v>
      </c>
      <c r="E189" s="8" t="s">
        <v>1482</v>
      </c>
      <c r="F189" s="8">
        <v>248.4</v>
      </c>
      <c r="G189" s="8">
        <v>73</v>
      </c>
      <c r="H189" s="8">
        <v>339</v>
      </c>
      <c r="I189" s="8">
        <v>178</v>
      </c>
      <c r="J189" s="8">
        <v>161</v>
      </c>
      <c r="K189" s="8">
        <v>35</v>
      </c>
      <c r="L189" s="10">
        <f t="shared" si="4"/>
        <v>10.32448377581121</v>
      </c>
      <c r="M189" s="8">
        <v>144</v>
      </c>
      <c r="N189" s="10">
        <f t="shared" si="5"/>
        <v>42.477876106194692</v>
      </c>
      <c r="O189" s="8">
        <v>21.9</v>
      </c>
      <c r="P189" s="8">
        <v>26.04</v>
      </c>
      <c r="Q189" s="13" t="s">
        <v>408</v>
      </c>
      <c r="R189" s="14">
        <v>45319</v>
      </c>
      <c r="S189" s="15"/>
      <c r="T189" s="10"/>
      <c r="U189" s="11"/>
      <c r="V189" s="10"/>
      <c r="W189" s="10"/>
      <c r="X189" s="10"/>
      <c r="Y189" s="10"/>
      <c r="Z189" s="10"/>
      <c r="AA189" s="10" t="s">
        <v>1949</v>
      </c>
      <c r="AB189" s="10"/>
      <c r="AC189" s="10"/>
      <c r="AD189" s="71">
        <v>24.876228000000001</v>
      </c>
      <c r="AE189" s="11">
        <v>76.446922000000001</v>
      </c>
    </row>
    <row r="190" spans="1:31">
      <c r="A190" s="8" t="s">
        <v>36</v>
      </c>
      <c r="B190" s="8" t="s">
        <v>1126</v>
      </c>
      <c r="C190" s="8" t="s">
        <v>1468</v>
      </c>
      <c r="D190" s="9" t="s">
        <v>1483</v>
      </c>
      <c r="E190" s="8" t="s">
        <v>1484</v>
      </c>
      <c r="F190" s="8">
        <v>494.2</v>
      </c>
      <c r="G190" s="8">
        <v>127</v>
      </c>
      <c r="H190" s="8">
        <v>714</v>
      </c>
      <c r="I190" s="8">
        <v>359</v>
      </c>
      <c r="J190" s="8">
        <v>355</v>
      </c>
      <c r="K190" s="8">
        <v>256</v>
      </c>
      <c r="L190" s="10">
        <f t="shared" si="4"/>
        <v>35.854341736694678</v>
      </c>
      <c r="M190" s="8">
        <v>54</v>
      </c>
      <c r="N190" s="10">
        <f t="shared" si="5"/>
        <v>7.5630252100840334</v>
      </c>
      <c r="O190" s="8">
        <v>31.39</v>
      </c>
      <c r="P190" s="8">
        <v>2.2000000000000002</v>
      </c>
      <c r="Q190" s="13" t="s">
        <v>408</v>
      </c>
      <c r="R190" s="14">
        <v>45319</v>
      </c>
      <c r="S190" s="15"/>
      <c r="T190" s="10"/>
      <c r="U190" s="11"/>
      <c r="V190" s="10"/>
      <c r="W190" s="10"/>
      <c r="X190" s="10"/>
      <c r="Y190" s="10"/>
      <c r="Z190" s="10"/>
      <c r="AA190" s="10" t="s">
        <v>1949</v>
      </c>
      <c r="AB190" s="10"/>
      <c r="AC190" s="10"/>
      <c r="AD190" s="71">
        <v>24.906389000000001</v>
      </c>
      <c r="AE190" s="11">
        <v>76.389927</v>
      </c>
    </row>
    <row r="191" spans="1:31">
      <c r="A191" s="8" t="s">
        <v>36</v>
      </c>
      <c r="B191" s="8" t="s">
        <v>1126</v>
      </c>
      <c r="C191" s="8" t="s">
        <v>1468</v>
      </c>
      <c r="D191" s="9" t="s">
        <v>1485</v>
      </c>
      <c r="E191" s="8" t="s">
        <v>1486</v>
      </c>
      <c r="F191" s="8">
        <v>242.92</v>
      </c>
      <c r="G191" s="8">
        <v>75</v>
      </c>
      <c r="H191" s="8">
        <v>397</v>
      </c>
      <c r="I191" s="8">
        <v>205</v>
      </c>
      <c r="J191" s="8">
        <v>192</v>
      </c>
      <c r="K191" s="8">
        <v>103</v>
      </c>
      <c r="L191" s="10">
        <f t="shared" si="4"/>
        <v>25.94458438287154</v>
      </c>
      <c r="M191" s="8">
        <v>0</v>
      </c>
      <c r="N191" s="10">
        <f t="shared" si="5"/>
        <v>0</v>
      </c>
      <c r="O191" s="8">
        <v>26.95</v>
      </c>
      <c r="P191" s="8">
        <v>115.69</v>
      </c>
      <c r="Q191" s="13" t="s">
        <v>408</v>
      </c>
      <c r="R191" s="14">
        <v>45319</v>
      </c>
      <c r="S191" s="15"/>
      <c r="T191" s="10"/>
      <c r="U191" s="11"/>
      <c r="V191" s="10"/>
      <c r="W191" s="10"/>
      <c r="X191" s="10"/>
      <c r="Y191" s="10"/>
      <c r="Z191" s="10"/>
      <c r="AA191" s="10" t="s">
        <v>1949</v>
      </c>
      <c r="AB191" s="10"/>
      <c r="AC191" s="10"/>
      <c r="AD191" s="71">
        <v>24.903808999999999</v>
      </c>
      <c r="AE191" s="11">
        <v>76.427721000000005</v>
      </c>
    </row>
    <row r="192" spans="1:31">
      <c r="A192" s="8" t="s">
        <v>36</v>
      </c>
      <c r="B192" s="8" t="s">
        <v>1126</v>
      </c>
      <c r="C192" s="8" t="s">
        <v>1468</v>
      </c>
      <c r="D192" s="9" t="s">
        <v>1487</v>
      </c>
      <c r="E192" s="8" t="s">
        <v>1488</v>
      </c>
      <c r="F192" s="8">
        <v>249.89</v>
      </c>
      <c r="G192" s="8">
        <v>84</v>
      </c>
      <c r="H192" s="8">
        <v>477</v>
      </c>
      <c r="I192" s="8">
        <v>257</v>
      </c>
      <c r="J192" s="8">
        <v>220</v>
      </c>
      <c r="K192" s="8">
        <v>77</v>
      </c>
      <c r="L192" s="10">
        <f t="shared" si="4"/>
        <v>16.142557651991616</v>
      </c>
      <c r="M192" s="8">
        <v>172</v>
      </c>
      <c r="N192" s="10">
        <f t="shared" si="5"/>
        <v>36.058700209643604</v>
      </c>
      <c r="O192" s="8">
        <v>6.71</v>
      </c>
      <c r="P192" s="8">
        <v>0</v>
      </c>
      <c r="Q192" s="13" t="s">
        <v>408</v>
      </c>
      <c r="R192" s="11" t="s">
        <v>1149</v>
      </c>
      <c r="S192" s="15"/>
      <c r="T192" s="52">
        <v>40.770000000000003</v>
      </c>
      <c r="U192" s="11"/>
      <c r="V192" s="10"/>
      <c r="W192" s="10"/>
      <c r="X192" s="10"/>
      <c r="Y192" s="10"/>
      <c r="Z192" s="10"/>
      <c r="AA192" s="10" t="s">
        <v>408</v>
      </c>
      <c r="AB192" s="52">
        <v>15</v>
      </c>
      <c r="AC192" s="10"/>
      <c r="AD192" s="71">
        <v>24.907133999999999</v>
      </c>
      <c r="AE192" s="11">
        <v>76.390130999999997</v>
      </c>
    </row>
    <row r="193" spans="1:31">
      <c r="A193" s="8" t="s">
        <v>36</v>
      </c>
      <c r="B193" s="8" t="s">
        <v>1126</v>
      </c>
      <c r="C193" s="8" t="s">
        <v>1489</v>
      </c>
      <c r="D193" s="9" t="s">
        <v>1490</v>
      </c>
      <c r="E193" s="8" t="s">
        <v>1491</v>
      </c>
      <c r="F193" s="8">
        <v>457</v>
      </c>
      <c r="G193" s="8">
        <v>272</v>
      </c>
      <c r="H193" s="8">
        <v>1128</v>
      </c>
      <c r="I193" s="8">
        <v>598</v>
      </c>
      <c r="J193" s="8">
        <v>530</v>
      </c>
      <c r="K193" s="8">
        <v>74</v>
      </c>
      <c r="L193" s="10">
        <f t="shared" si="4"/>
        <v>6.5602836879432624</v>
      </c>
      <c r="M193" s="8">
        <v>125</v>
      </c>
      <c r="N193" s="10">
        <f t="shared" si="5"/>
        <v>11.081560283687942</v>
      </c>
      <c r="O193" s="8">
        <v>30</v>
      </c>
      <c r="P193" s="8">
        <v>0</v>
      </c>
      <c r="Q193" s="13" t="s">
        <v>408</v>
      </c>
      <c r="R193" s="60">
        <v>45112</v>
      </c>
      <c r="S193" s="15"/>
      <c r="T193" s="52">
        <v>24.8</v>
      </c>
      <c r="U193" s="44"/>
      <c r="V193" s="10"/>
      <c r="W193" s="10"/>
      <c r="X193" s="10"/>
      <c r="Y193" s="10"/>
      <c r="Z193" s="10"/>
      <c r="AA193" s="10" t="s">
        <v>408</v>
      </c>
      <c r="AB193" s="52">
        <v>12.7</v>
      </c>
      <c r="AC193" s="10"/>
      <c r="AD193" s="76">
        <v>24.873301000000001</v>
      </c>
      <c r="AE193" s="44">
        <v>76.324865000000003</v>
      </c>
    </row>
    <row r="194" spans="1:31">
      <c r="A194" s="8" t="s">
        <v>36</v>
      </c>
      <c r="B194" s="8" t="s">
        <v>1126</v>
      </c>
      <c r="C194" s="8" t="s">
        <v>1489</v>
      </c>
      <c r="D194" s="9" t="s">
        <v>1492</v>
      </c>
      <c r="E194" s="8" t="s">
        <v>1493</v>
      </c>
      <c r="F194" s="8">
        <v>197</v>
      </c>
      <c r="G194" s="8">
        <v>77</v>
      </c>
      <c r="H194" s="8">
        <v>408</v>
      </c>
      <c r="I194" s="8">
        <v>214</v>
      </c>
      <c r="J194" s="8">
        <v>194</v>
      </c>
      <c r="K194" s="8">
        <v>176</v>
      </c>
      <c r="L194" s="10">
        <f t="shared" si="4"/>
        <v>43.137254901960787</v>
      </c>
      <c r="M194" s="8">
        <v>99</v>
      </c>
      <c r="N194" s="10">
        <f t="shared" si="5"/>
        <v>24.264705882352942</v>
      </c>
      <c r="O194" s="8">
        <v>16</v>
      </c>
      <c r="P194" s="8">
        <v>0</v>
      </c>
      <c r="Q194" s="13" t="s">
        <v>408</v>
      </c>
      <c r="R194" s="60">
        <v>45112</v>
      </c>
      <c r="S194" s="15"/>
      <c r="T194" s="10"/>
      <c r="U194" s="44"/>
      <c r="V194" s="10"/>
      <c r="W194" s="10"/>
      <c r="X194" s="10"/>
      <c r="Y194" s="10"/>
      <c r="Z194" s="10"/>
      <c r="AA194" s="10" t="s">
        <v>1949</v>
      </c>
      <c r="AB194" s="10"/>
      <c r="AC194" s="10"/>
      <c r="AD194" s="76">
        <v>24.891490000000001</v>
      </c>
      <c r="AE194" s="44">
        <v>76.297172000000003</v>
      </c>
    </row>
    <row r="195" spans="1:31">
      <c r="A195" s="8" t="s">
        <v>36</v>
      </c>
      <c r="B195" s="8" t="s">
        <v>1126</v>
      </c>
      <c r="C195" s="8" t="s">
        <v>1489</v>
      </c>
      <c r="D195" s="9" t="s">
        <v>1494</v>
      </c>
      <c r="E195" s="8" t="s">
        <v>1495</v>
      </c>
      <c r="F195" s="8">
        <v>315</v>
      </c>
      <c r="G195" s="8">
        <v>166</v>
      </c>
      <c r="H195" s="8">
        <v>841</v>
      </c>
      <c r="I195" s="8">
        <v>440</v>
      </c>
      <c r="J195" s="8">
        <v>401</v>
      </c>
      <c r="K195" s="8">
        <v>42</v>
      </c>
      <c r="L195" s="10">
        <f t="shared" si="4"/>
        <v>4.9940546967895365</v>
      </c>
      <c r="M195" s="8">
        <v>17</v>
      </c>
      <c r="N195" s="10">
        <f t="shared" si="5"/>
        <v>2.0214030915576697</v>
      </c>
      <c r="O195" s="8">
        <v>30</v>
      </c>
      <c r="P195" s="8">
        <v>0</v>
      </c>
      <c r="Q195" s="13" t="s">
        <v>408</v>
      </c>
      <c r="R195" s="60">
        <v>45112</v>
      </c>
      <c r="S195" s="15"/>
      <c r="T195" s="10"/>
      <c r="U195" s="44"/>
      <c r="V195" s="10"/>
      <c r="W195" s="10"/>
      <c r="X195" s="10"/>
      <c r="Y195" s="10"/>
      <c r="Z195" s="10"/>
      <c r="AA195" s="10" t="s">
        <v>1949</v>
      </c>
      <c r="AB195" s="10"/>
      <c r="AC195" s="10"/>
      <c r="AD195" s="76">
        <v>24.932448000000001</v>
      </c>
      <c r="AE195" s="44">
        <v>76.343478000000005</v>
      </c>
    </row>
    <row r="196" spans="1:31">
      <c r="A196" s="8" t="s">
        <v>36</v>
      </c>
      <c r="B196" s="8" t="s">
        <v>1126</v>
      </c>
      <c r="C196" s="8" t="s">
        <v>1489</v>
      </c>
      <c r="D196" s="9" t="s">
        <v>1496</v>
      </c>
      <c r="E196" s="8" t="s">
        <v>1497</v>
      </c>
      <c r="F196" s="8">
        <v>253</v>
      </c>
      <c r="G196" s="8">
        <v>184</v>
      </c>
      <c r="H196" s="8">
        <v>871</v>
      </c>
      <c r="I196" s="8">
        <v>449</v>
      </c>
      <c r="J196" s="8">
        <v>422</v>
      </c>
      <c r="K196" s="8">
        <v>520</v>
      </c>
      <c r="L196" s="10">
        <f t="shared" ref="L196:L245" si="6">K196/H196*100</f>
        <v>59.701492537313428</v>
      </c>
      <c r="M196" s="8">
        <v>0</v>
      </c>
      <c r="N196" s="10">
        <f t="shared" si="5"/>
        <v>0</v>
      </c>
      <c r="O196" s="8">
        <v>4</v>
      </c>
      <c r="P196" s="8">
        <v>0</v>
      </c>
      <c r="Q196" s="13" t="s">
        <v>408</v>
      </c>
      <c r="R196" s="60">
        <v>45112</v>
      </c>
      <c r="S196" s="15"/>
      <c r="T196" s="52">
        <v>14.71</v>
      </c>
      <c r="U196" s="44"/>
      <c r="V196" s="10"/>
      <c r="W196" s="10"/>
      <c r="X196" s="10"/>
      <c r="Y196" s="10"/>
      <c r="Z196" s="10"/>
      <c r="AA196" s="10" t="s">
        <v>408</v>
      </c>
      <c r="AB196" s="52">
        <v>5.0069999999999997</v>
      </c>
      <c r="AC196" s="10"/>
      <c r="AD196" s="76">
        <v>25.105915</v>
      </c>
      <c r="AE196" s="44">
        <v>76.207449999999994</v>
      </c>
    </row>
    <row r="197" spans="1:31">
      <c r="A197" s="8" t="s">
        <v>36</v>
      </c>
      <c r="B197" s="8" t="s">
        <v>1126</v>
      </c>
      <c r="C197" s="8" t="s">
        <v>1498</v>
      </c>
      <c r="D197" s="9" t="s">
        <v>1499</v>
      </c>
      <c r="E197" s="8" t="s">
        <v>1500</v>
      </c>
      <c r="F197" s="8">
        <v>651</v>
      </c>
      <c r="G197" s="8">
        <v>213</v>
      </c>
      <c r="H197" s="8">
        <v>1011</v>
      </c>
      <c r="I197" s="8">
        <v>514</v>
      </c>
      <c r="J197" s="8">
        <v>497</v>
      </c>
      <c r="K197" s="8">
        <v>46</v>
      </c>
      <c r="L197" s="10">
        <f t="shared" si="6"/>
        <v>4.5499505440158261</v>
      </c>
      <c r="M197" s="8">
        <v>397</v>
      </c>
      <c r="N197" s="10">
        <f t="shared" ref="N197:N245" si="7">M197/H197*100</f>
        <v>39.268051434223537</v>
      </c>
      <c r="O197" s="8">
        <v>33</v>
      </c>
      <c r="P197" s="8">
        <v>0</v>
      </c>
      <c r="Q197" s="13" t="s">
        <v>408</v>
      </c>
      <c r="R197" s="18" t="s">
        <v>1501</v>
      </c>
      <c r="S197" s="18"/>
      <c r="T197" s="52">
        <v>19.78</v>
      </c>
      <c r="U197" s="18"/>
      <c r="V197" s="10"/>
      <c r="W197" s="10"/>
      <c r="X197" s="10"/>
      <c r="Y197" s="10"/>
      <c r="Z197" s="10"/>
      <c r="AA197" s="10" t="s">
        <v>408</v>
      </c>
      <c r="AB197" s="52">
        <v>10</v>
      </c>
      <c r="AC197" s="10"/>
      <c r="AD197" s="72"/>
      <c r="AE197" s="18"/>
    </row>
    <row r="198" spans="1:31">
      <c r="A198" s="8" t="s">
        <v>36</v>
      </c>
      <c r="B198" s="8" t="s">
        <v>1126</v>
      </c>
      <c r="C198" s="8" t="s">
        <v>1498</v>
      </c>
      <c r="D198" s="9" t="s">
        <v>1502</v>
      </c>
      <c r="E198" s="8" t="s">
        <v>1503</v>
      </c>
      <c r="F198" s="8">
        <v>437.42</v>
      </c>
      <c r="G198" s="8">
        <v>108</v>
      </c>
      <c r="H198" s="8">
        <v>600</v>
      </c>
      <c r="I198" s="8">
        <v>341</v>
      </c>
      <c r="J198" s="8">
        <v>259</v>
      </c>
      <c r="K198" s="8">
        <v>391</v>
      </c>
      <c r="L198" s="10">
        <f t="shared" si="6"/>
        <v>65.166666666666657</v>
      </c>
      <c r="M198" s="8">
        <v>39</v>
      </c>
      <c r="N198" s="10">
        <f t="shared" si="7"/>
        <v>6.5</v>
      </c>
      <c r="O198" s="8">
        <v>22.2</v>
      </c>
      <c r="P198" s="8">
        <v>0</v>
      </c>
      <c r="Q198" s="13" t="s">
        <v>408</v>
      </c>
      <c r="R198" s="18" t="s">
        <v>1501</v>
      </c>
      <c r="S198" s="18"/>
      <c r="T198" s="10"/>
      <c r="U198" s="18"/>
      <c r="V198" s="10"/>
      <c r="W198" s="10"/>
      <c r="X198" s="10"/>
      <c r="Y198" s="10"/>
      <c r="Z198" s="10"/>
      <c r="AA198" s="10" t="s">
        <v>1949</v>
      </c>
      <c r="AB198" s="10"/>
      <c r="AC198" s="10"/>
      <c r="AD198" s="72"/>
      <c r="AE198" s="18"/>
    </row>
    <row r="199" spans="1:31">
      <c r="A199" s="8" t="s">
        <v>36</v>
      </c>
      <c r="B199" s="8" t="s">
        <v>1126</v>
      </c>
      <c r="C199" s="8" t="s">
        <v>1498</v>
      </c>
      <c r="D199" s="9" t="s">
        <v>1504</v>
      </c>
      <c r="E199" s="8" t="s">
        <v>1505</v>
      </c>
      <c r="F199" s="8">
        <v>444</v>
      </c>
      <c r="G199" s="8">
        <v>131</v>
      </c>
      <c r="H199" s="8">
        <v>625</v>
      </c>
      <c r="I199" s="8">
        <v>331</v>
      </c>
      <c r="J199" s="8">
        <v>294</v>
      </c>
      <c r="K199" s="8">
        <v>53</v>
      </c>
      <c r="L199" s="10">
        <f t="shared" si="6"/>
        <v>8.48</v>
      </c>
      <c r="M199" s="8">
        <v>0</v>
      </c>
      <c r="N199" s="10">
        <f t="shared" si="7"/>
        <v>0</v>
      </c>
      <c r="O199" s="8">
        <v>27.1</v>
      </c>
      <c r="P199" s="8">
        <v>0</v>
      </c>
      <c r="Q199" s="13" t="s">
        <v>408</v>
      </c>
      <c r="R199" s="18"/>
      <c r="S199" s="18"/>
      <c r="T199" s="52">
        <v>13.98</v>
      </c>
      <c r="U199" s="18"/>
      <c r="V199" s="10"/>
      <c r="W199" s="10"/>
      <c r="X199" s="10"/>
      <c r="Y199" s="10"/>
      <c r="Z199" s="10"/>
      <c r="AA199" s="10" t="s">
        <v>408</v>
      </c>
      <c r="AB199" s="52">
        <v>7.67</v>
      </c>
      <c r="AC199" s="10"/>
      <c r="AD199" s="72"/>
      <c r="AE199" s="18"/>
    </row>
    <row r="200" spans="1:31">
      <c r="A200" s="8" t="s">
        <v>36</v>
      </c>
      <c r="B200" s="8" t="s">
        <v>1126</v>
      </c>
      <c r="C200" s="8" t="s">
        <v>1498</v>
      </c>
      <c r="D200" s="9" t="s">
        <v>1506</v>
      </c>
      <c r="E200" s="8" t="s">
        <v>1507</v>
      </c>
      <c r="F200" s="8">
        <v>391</v>
      </c>
      <c r="G200" s="8">
        <v>103</v>
      </c>
      <c r="H200" s="8">
        <v>526</v>
      </c>
      <c r="I200" s="8">
        <v>288</v>
      </c>
      <c r="J200" s="8">
        <v>238</v>
      </c>
      <c r="K200" s="8">
        <v>92</v>
      </c>
      <c r="L200" s="10">
        <f t="shared" si="6"/>
        <v>17.490494296577946</v>
      </c>
      <c r="M200" s="8">
        <v>8</v>
      </c>
      <c r="N200" s="10">
        <f t="shared" si="7"/>
        <v>1.520912547528517</v>
      </c>
      <c r="O200" s="8">
        <v>22.1</v>
      </c>
      <c r="P200" s="8">
        <v>0</v>
      </c>
      <c r="Q200" s="13" t="s">
        <v>408</v>
      </c>
      <c r="R200" s="18" t="s">
        <v>1501</v>
      </c>
      <c r="S200" s="18"/>
      <c r="T200" s="52">
        <v>8.4</v>
      </c>
      <c r="U200" s="18"/>
      <c r="V200" s="10"/>
      <c r="W200" s="10"/>
      <c r="X200" s="10"/>
      <c r="Y200" s="10"/>
      <c r="Z200" s="10"/>
      <c r="AA200" s="10" t="s">
        <v>408</v>
      </c>
      <c r="AB200" s="52">
        <v>3.9</v>
      </c>
      <c r="AC200" s="10"/>
      <c r="AD200" s="72" t="s">
        <v>823</v>
      </c>
      <c r="AE200" s="18"/>
    </row>
    <row r="201" spans="1:31">
      <c r="A201" s="8" t="s">
        <v>36</v>
      </c>
      <c r="B201" s="8" t="s">
        <v>1126</v>
      </c>
      <c r="C201" s="8" t="s">
        <v>1498</v>
      </c>
      <c r="D201" s="9" t="s">
        <v>1508</v>
      </c>
      <c r="E201" s="8" t="s">
        <v>1509</v>
      </c>
      <c r="F201" s="8">
        <v>203.5</v>
      </c>
      <c r="G201" s="8">
        <v>91</v>
      </c>
      <c r="H201" s="8">
        <v>459</v>
      </c>
      <c r="I201" s="8">
        <v>242</v>
      </c>
      <c r="J201" s="8">
        <v>217</v>
      </c>
      <c r="K201" s="8">
        <v>0</v>
      </c>
      <c r="L201" s="10">
        <f t="shared" si="6"/>
        <v>0</v>
      </c>
      <c r="M201" s="8">
        <v>63</v>
      </c>
      <c r="N201" s="10">
        <f t="shared" si="7"/>
        <v>13.725490196078432</v>
      </c>
      <c r="O201" s="8">
        <v>14</v>
      </c>
      <c r="P201" s="8">
        <v>0</v>
      </c>
      <c r="Q201" s="13" t="s">
        <v>408</v>
      </c>
      <c r="R201" s="18" t="s">
        <v>1501</v>
      </c>
      <c r="S201" s="18"/>
      <c r="T201" s="13">
        <v>0</v>
      </c>
      <c r="U201" s="18"/>
      <c r="V201" s="10"/>
      <c r="W201" s="10"/>
      <c r="X201" s="10"/>
      <c r="Y201" s="10"/>
      <c r="Z201" s="10"/>
      <c r="AA201" s="10" t="s">
        <v>1949</v>
      </c>
      <c r="AB201" s="13"/>
      <c r="AC201" s="10"/>
      <c r="AD201" s="72"/>
      <c r="AE201" s="18"/>
    </row>
    <row r="202" spans="1:31">
      <c r="A202" s="8" t="s">
        <v>36</v>
      </c>
      <c r="B202" s="8" t="s">
        <v>1126</v>
      </c>
      <c r="C202" s="8" t="s">
        <v>1498</v>
      </c>
      <c r="D202" s="9" t="s">
        <v>1510</v>
      </c>
      <c r="E202" s="8" t="s">
        <v>1511</v>
      </c>
      <c r="F202" s="8">
        <v>555.20000000000005</v>
      </c>
      <c r="G202" s="8">
        <v>158</v>
      </c>
      <c r="H202" s="8">
        <v>838</v>
      </c>
      <c r="I202" s="8">
        <v>423</v>
      </c>
      <c r="J202" s="8">
        <v>415</v>
      </c>
      <c r="K202" s="8">
        <v>359</v>
      </c>
      <c r="L202" s="10">
        <f t="shared" si="6"/>
        <v>42.840095465393794</v>
      </c>
      <c r="M202" s="8">
        <v>186</v>
      </c>
      <c r="N202" s="10">
        <f t="shared" si="7"/>
        <v>22.195704057279237</v>
      </c>
      <c r="O202" s="8">
        <v>47.04</v>
      </c>
      <c r="P202" s="8">
        <v>0</v>
      </c>
      <c r="Q202" s="13" t="s">
        <v>408</v>
      </c>
      <c r="R202" s="18" t="s">
        <v>1501</v>
      </c>
      <c r="S202" s="18"/>
      <c r="T202" s="10"/>
      <c r="U202" s="18"/>
      <c r="V202" s="10"/>
      <c r="W202" s="10"/>
      <c r="X202" s="10"/>
      <c r="Y202" s="10"/>
      <c r="Z202" s="10"/>
      <c r="AA202" s="10" t="s">
        <v>1949</v>
      </c>
      <c r="AB202" s="10"/>
      <c r="AC202" s="10"/>
      <c r="AD202" s="72"/>
      <c r="AE202" s="18"/>
    </row>
    <row r="203" spans="1:31">
      <c r="A203" s="8" t="s">
        <v>36</v>
      </c>
      <c r="B203" s="8" t="s">
        <v>1126</v>
      </c>
      <c r="C203" s="8" t="s">
        <v>1498</v>
      </c>
      <c r="D203" s="9" t="s">
        <v>1512</v>
      </c>
      <c r="E203" s="8" t="s">
        <v>1513</v>
      </c>
      <c r="F203" s="8">
        <v>241</v>
      </c>
      <c r="G203" s="8">
        <v>65</v>
      </c>
      <c r="H203" s="8">
        <v>318</v>
      </c>
      <c r="I203" s="8">
        <v>162</v>
      </c>
      <c r="J203" s="8">
        <v>156</v>
      </c>
      <c r="K203" s="8">
        <v>207</v>
      </c>
      <c r="L203" s="10">
        <f t="shared" si="6"/>
        <v>65.094339622641513</v>
      </c>
      <c r="M203" s="8">
        <v>0</v>
      </c>
      <c r="N203" s="10">
        <f t="shared" si="7"/>
        <v>0</v>
      </c>
      <c r="O203" s="8">
        <v>21</v>
      </c>
      <c r="P203" s="8">
        <v>0</v>
      </c>
      <c r="Q203" s="13" t="s">
        <v>408</v>
      </c>
      <c r="R203" s="18" t="s">
        <v>1501</v>
      </c>
      <c r="S203" s="18"/>
      <c r="T203" s="13">
        <v>15</v>
      </c>
      <c r="U203" s="18"/>
      <c r="V203" s="10"/>
      <c r="W203" s="10"/>
      <c r="X203" s="10"/>
      <c r="Y203" s="10"/>
      <c r="Z203" s="10"/>
      <c r="AA203" s="10" t="s">
        <v>408</v>
      </c>
      <c r="AB203" s="13">
        <v>11</v>
      </c>
      <c r="AC203" s="10"/>
      <c r="AD203" s="72"/>
      <c r="AE203" s="18"/>
    </row>
    <row r="204" spans="1:31">
      <c r="A204" s="8" t="s">
        <v>36</v>
      </c>
      <c r="B204" s="8" t="s">
        <v>1126</v>
      </c>
      <c r="C204" s="8" t="s">
        <v>1498</v>
      </c>
      <c r="D204" s="9" t="s">
        <v>1514</v>
      </c>
      <c r="E204" s="8" t="s">
        <v>1515</v>
      </c>
      <c r="F204" s="8">
        <v>156</v>
      </c>
      <c r="G204" s="8">
        <v>46</v>
      </c>
      <c r="H204" s="8">
        <v>297</v>
      </c>
      <c r="I204" s="8">
        <v>150</v>
      </c>
      <c r="J204" s="8">
        <v>147</v>
      </c>
      <c r="K204" s="8">
        <v>16</v>
      </c>
      <c r="L204" s="10">
        <f t="shared" si="6"/>
        <v>5.3872053872053867</v>
      </c>
      <c r="M204" s="8">
        <v>34</v>
      </c>
      <c r="N204" s="10">
        <f t="shared" si="7"/>
        <v>11.447811447811448</v>
      </c>
      <c r="O204" s="8">
        <v>9</v>
      </c>
      <c r="P204" s="8">
        <v>0</v>
      </c>
      <c r="Q204" s="13" t="s">
        <v>408</v>
      </c>
      <c r="R204" s="18" t="s">
        <v>1501</v>
      </c>
      <c r="S204" s="18"/>
      <c r="T204" s="13">
        <v>0</v>
      </c>
      <c r="U204" s="18"/>
      <c r="V204" s="10"/>
      <c r="W204" s="10"/>
      <c r="X204" s="10"/>
      <c r="Y204" s="10"/>
      <c r="Z204" s="10"/>
      <c r="AA204" s="10" t="s">
        <v>1949</v>
      </c>
      <c r="AB204" s="13"/>
      <c r="AC204" s="10"/>
      <c r="AD204" s="72"/>
      <c r="AE204" s="18"/>
    </row>
    <row r="205" spans="1:31">
      <c r="A205" s="8" t="s">
        <v>36</v>
      </c>
      <c r="B205" s="8" t="s">
        <v>1126</v>
      </c>
      <c r="C205" s="8" t="s">
        <v>1516</v>
      </c>
      <c r="D205" s="9" t="s">
        <v>1517</v>
      </c>
      <c r="E205" s="8" t="s">
        <v>1518</v>
      </c>
      <c r="F205" s="8">
        <v>583.44000000000005</v>
      </c>
      <c r="G205" s="8">
        <v>144</v>
      </c>
      <c r="H205" s="8">
        <v>839</v>
      </c>
      <c r="I205" s="8">
        <v>421</v>
      </c>
      <c r="J205" s="8">
        <v>418</v>
      </c>
      <c r="K205" s="8">
        <v>348</v>
      </c>
      <c r="L205" s="10">
        <f t="shared" si="6"/>
        <v>41.477949940405246</v>
      </c>
      <c r="M205" s="8">
        <v>82</v>
      </c>
      <c r="N205" s="10">
        <f t="shared" si="7"/>
        <v>9.7735399284862918</v>
      </c>
      <c r="O205" s="8">
        <v>22.85</v>
      </c>
      <c r="P205" s="8">
        <v>0</v>
      </c>
      <c r="Q205" s="33" t="s">
        <v>1519</v>
      </c>
      <c r="R205" s="33"/>
      <c r="S205" s="34"/>
      <c r="T205" s="50">
        <v>60.68</v>
      </c>
      <c r="U205" s="33"/>
      <c r="V205" s="10"/>
      <c r="W205" s="10"/>
      <c r="X205" s="10"/>
      <c r="Y205" s="10"/>
      <c r="Z205" s="10"/>
      <c r="AA205" s="10" t="s">
        <v>408</v>
      </c>
      <c r="AB205" s="50">
        <v>10.5</v>
      </c>
      <c r="AC205" s="10"/>
      <c r="AD205" s="73">
        <v>25.041264999999999</v>
      </c>
      <c r="AE205" s="33">
        <v>76.214327999999995</v>
      </c>
    </row>
    <row r="206" spans="1:31">
      <c r="A206" s="8" t="s">
        <v>36</v>
      </c>
      <c r="B206" s="8" t="s">
        <v>1126</v>
      </c>
      <c r="C206" s="8" t="s">
        <v>1516</v>
      </c>
      <c r="D206" s="9" t="s">
        <v>1520</v>
      </c>
      <c r="E206" s="8" t="s">
        <v>1521</v>
      </c>
      <c r="F206" s="8">
        <v>602</v>
      </c>
      <c r="G206" s="8">
        <v>131</v>
      </c>
      <c r="H206" s="8">
        <v>819</v>
      </c>
      <c r="I206" s="8">
        <v>410</v>
      </c>
      <c r="J206" s="8">
        <v>409</v>
      </c>
      <c r="K206" s="8">
        <v>208</v>
      </c>
      <c r="L206" s="10">
        <f t="shared" si="6"/>
        <v>25.396825396825395</v>
      </c>
      <c r="M206" s="8">
        <v>0</v>
      </c>
      <c r="N206" s="10">
        <f t="shared" si="7"/>
        <v>0</v>
      </c>
      <c r="O206" s="8">
        <v>17</v>
      </c>
      <c r="P206" s="8">
        <v>0</v>
      </c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 t="s">
        <v>408</v>
      </c>
      <c r="AB206" s="10"/>
      <c r="AC206" s="10"/>
      <c r="AD206" s="70"/>
      <c r="AE206" s="10"/>
    </row>
    <row r="207" spans="1:31">
      <c r="A207" s="8" t="s">
        <v>36</v>
      </c>
      <c r="B207" s="8" t="s">
        <v>1126</v>
      </c>
      <c r="C207" s="8" t="s">
        <v>1516</v>
      </c>
      <c r="D207" s="9" t="s">
        <v>1522</v>
      </c>
      <c r="E207" s="8" t="s">
        <v>1523</v>
      </c>
      <c r="F207" s="8">
        <v>318.36</v>
      </c>
      <c r="G207" s="8">
        <v>109</v>
      </c>
      <c r="H207" s="8">
        <v>580</v>
      </c>
      <c r="I207" s="8">
        <v>302</v>
      </c>
      <c r="J207" s="8">
        <v>278</v>
      </c>
      <c r="K207" s="8">
        <v>270</v>
      </c>
      <c r="L207" s="10">
        <f t="shared" si="6"/>
        <v>46.551724137931032</v>
      </c>
      <c r="M207" s="8">
        <v>60</v>
      </c>
      <c r="N207" s="10">
        <f t="shared" si="7"/>
        <v>10.344827586206897</v>
      </c>
      <c r="O207" s="8">
        <v>4</v>
      </c>
      <c r="P207" s="8">
        <v>0</v>
      </c>
      <c r="Q207" s="10"/>
      <c r="R207" s="10"/>
      <c r="S207" s="10"/>
      <c r="T207" s="12">
        <v>39</v>
      </c>
      <c r="U207" s="10"/>
      <c r="V207" s="10"/>
      <c r="W207" s="10"/>
      <c r="X207" s="10"/>
      <c r="Y207" s="10"/>
      <c r="Z207" s="10"/>
      <c r="AA207" s="10" t="s">
        <v>408</v>
      </c>
      <c r="AB207" s="13">
        <v>32</v>
      </c>
      <c r="AC207" s="10"/>
      <c r="AD207" s="70"/>
      <c r="AE207" s="10"/>
    </row>
    <row r="208" spans="1:31">
      <c r="A208" s="8" t="s">
        <v>36</v>
      </c>
      <c r="B208" s="8" t="s">
        <v>1126</v>
      </c>
      <c r="C208" s="8" t="s">
        <v>1516</v>
      </c>
      <c r="D208" s="9" t="s">
        <v>1524</v>
      </c>
      <c r="E208" s="8" t="s">
        <v>1525</v>
      </c>
      <c r="F208" s="8">
        <v>758</v>
      </c>
      <c r="G208" s="8">
        <v>116</v>
      </c>
      <c r="H208" s="8">
        <v>687</v>
      </c>
      <c r="I208" s="8">
        <v>378</v>
      </c>
      <c r="J208" s="8">
        <v>309</v>
      </c>
      <c r="K208" s="8">
        <v>353</v>
      </c>
      <c r="L208" s="10">
        <f t="shared" si="6"/>
        <v>51.382823871906844</v>
      </c>
      <c r="M208" s="8">
        <v>5</v>
      </c>
      <c r="N208" s="10">
        <f t="shared" si="7"/>
        <v>0.72780203784570596</v>
      </c>
      <c r="O208" s="8">
        <v>15</v>
      </c>
      <c r="P208" s="8">
        <v>26</v>
      </c>
      <c r="Q208" s="33"/>
      <c r="R208" s="33"/>
      <c r="S208" s="34"/>
      <c r="T208" s="12">
        <v>28</v>
      </c>
      <c r="U208" s="33"/>
      <c r="V208" s="10"/>
      <c r="W208" s="10"/>
      <c r="X208" s="10"/>
      <c r="Y208" s="10"/>
      <c r="Z208" s="10"/>
      <c r="AA208" s="10" t="s">
        <v>408</v>
      </c>
      <c r="AB208" s="13">
        <v>22</v>
      </c>
      <c r="AC208" s="10"/>
      <c r="AD208" s="80">
        <v>24.99494</v>
      </c>
      <c r="AE208" s="34">
        <v>76.184399999999997</v>
      </c>
    </row>
    <row r="209" spans="1:31">
      <c r="A209" s="8" t="s">
        <v>36</v>
      </c>
      <c r="B209" s="8" t="s">
        <v>1126</v>
      </c>
      <c r="C209" s="8" t="s">
        <v>1516</v>
      </c>
      <c r="D209" s="9" t="s">
        <v>1375</v>
      </c>
      <c r="E209" s="8" t="s">
        <v>1526</v>
      </c>
      <c r="F209" s="8">
        <v>270</v>
      </c>
      <c r="G209" s="8">
        <v>145</v>
      </c>
      <c r="H209" s="8">
        <v>724</v>
      </c>
      <c r="I209" s="8">
        <v>388</v>
      </c>
      <c r="J209" s="8">
        <v>336</v>
      </c>
      <c r="K209" s="8">
        <v>209</v>
      </c>
      <c r="L209" s="10">
        <f t="shared" si="6"/>
        <v>28.867403314917127</v>
      </c>
      <c r="M209" s="8">
        <v>234</v>
      </c>
      <c r="N209" s="10">
        <f t="shared" si="7"/>
        <v>32.320441988950279</v>
      </c>
      <c r="O209" s="8">
        <v>7</v>
      </c>
      <c r="P209" s="8">
        <v>22</v>
      </c>
      <c r="Q209" s="10"/>
      <c r="R209" s="10"/>
      <c r="S209" s="10"/>
      <c r="T209" s="12">
        <v>22</v>
      </c>
      <c r="U209" s="10"/>
      <c r="V209" s="10"/>
      <c r="W209" s="10"/>
      <c r="X209" s="10"/>
      <c r="Y209" s="10"/>
      <c r="Z209" s="10"/>
      <c r="AA209" s="10" t="s">
        <v>408</v>
      </c>
      <c r="AB209" s="13">
        <v>16</v>
      </c>
      <c r="AC209" s="10"/>
      <c r="AD209" s="70"/>
      <c r="AE209" s="10"/>
    </row>
    <row r="210" spans="1:31">
      <c r="A210" s="8" t="s">
        <v>36</v>
      </c>
      <c r="B210" s="8" t="s">
        <v>1126</v>
      </c>
      <c r="C210" s="8" t="s">
        <v>1516</v>
      </c>
      <c r="D210" s="9" t="s">
        <v>1527</v>
      </c>
      <c r="E210" s="8" t="s">
        <v>1528</v>
      </c>
      <c r="F210" s="8">
        <v>92.53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10" t="e">
        <f t="shared" si="6"/>
        <v>#DIV/0!</v>
      </c>
      <c r="M210" s="8">
        <v>0</v>
      </c>
      <c r="N210" s="10" t="e">
        <f t="shared" si="7"/>
        <v>#DIV/0!</v>
      </c>
      <c r="O210" s="8">
        <v>0</v>
      </c>
      <c r="P210" s="8">
        <v>0</v>
      </c>
      <c r="Q210" s="10"/>
      <c r="R210" s="10"/>
      <c r="S210" s="10"/>
      <c r="T210" s="12">
        <v>6</v>
      </c>
      <c r="U210" s="10"/>
      <c r="V210" s="10"/>
      <c r="W210" s="10"/>
      <c r="X210" s="10"/>
      <c r="Y210" s="10"/>
      <c r="Z210" s="10"/>
      <c r="AA210" s="10" t="s">
        <v>408</v>
      </c>
      <c r="AB210" s="13">
        <v>4</v>
      </c>
      <c r="AC210" s="10"/>
      <c r="AD210" s="70"/>
      <c r="AE210" s="10"/>
    </row>
    <row r="211" spans="1:31">
      <c r="A211" s="8" t="s">
        <v>36</v>
      </c>
      <c r="B211" s="8" t="s">
        <v>1126</v>
      </c>
      <c r="C211" s="8" t="s">
        <v>1516</v>
      </c>
      <c r="D211" s="9" t="s">
        <v>1529</v>
      </c>
      <c r="E211" s="8" t="s">
        <v>1530</v>
      </c>
      <c r="F211" s="8">
        <v>160.61000000000001</v>
      </c>
      <c r="G211" s="8">
        <v>113</v>
      </c>
      <c r="H211" s="8">
        <v>624</v>
      </c>
      <c r="I211" s="8">
        <v>331</v>
      </c>
      <c r="J211" s="8">
        <v>293</v>
      </c>
      <c r="K211" s="8">
        <v>176</v>
      </c>
      <c r="L211" s="10">
        <f t="shared" si="6"/>
        <v>28.205128205128204</v>
      </c>
      <c r="M211" s="8">
        <v>175</v>
      </c>
      <c r="N211" s="10">
        <f t="shared" si="7"/>
        <v>28.044871794871796</v>
      </c>
      <c r="O211" s="8">
        <v>9.73</v>
      </c>
      <c r="P211" s="8">
        <v>0</v>
      </c>
      <c r="Q211" s="10"/>
      <c r="R211" s="10"/>
      <c r="S211" s="10"/>
      <c r="T211" s="12">
        <v>25</v>
      </c>
      <c r="U211" s="10"/>
      <c r="V211" s="10"/>
      <c r="W211" s="10"/>
      <c r="X211" s="10"/>
      <c r="Y211" s="10"/>
      <c r="Z211" s="10"/>
      <c r="AA211" s="10" t="s">
        <v>408</v>
      </c>
      <c r="AB211" s="13">
        <v>22</v>
      </c>
      <c r="AC211" s="10"/>
      <c r="AD211" s="70"/>
      <c r="AE211" s="10"/>
    </row>
    <row r="212" spans="1:31">
      <c r="A212" s="8" t="s">
        <v>36</v>
      </c>
      <c r="B212" s="8" t="s">
        <v>1126</v>
      </c>
      <c r="C212" s="8" t="s">
        <v>1516</v>
      </c>
      <c r="D212" s="9" t="s">
        <v>1531</v>
      </c>
      <c r="E212" s="8" t="s">
        <v>1532</v>
      </c>
      <c r="F212" s="8">
        <v>433</v>
      </c>
      <c r="G212" s="8">
        <v>96</v>
      </c>
      <c r="H212" s="8">
        <v>576</v>
      </c>
      <c r="I212" s="8">
        <v>283</v>
      </c>
      <c r="J212" s="8">
        <v>293</v>
      </c>
      <c r="K212" s="8">
        <v>164</v>
      </c>
      <c r="L212" s="10">
        <f t="shared" si="6"/>
        <v>28.472222222222221</v>
      </c>
      <c r="M212" s="8">
        <v>296</v>
      </c>
      <c r="N212" s="10">
        <f t="shared" si="7"/>
        <v>51.388888888888886</v>
      </c>
      <c r="O212" s="8">
        <v>26</v>
      </c>
      <c r="P212" s="8">
        <v>0</v>
      </c>
      <c r="Q212" s="10"/>
      <c r="R212" s="10"/>
      <c r="S212" s="10"/>
      <c r="T212" s="12">
        <v>10</v>
      </c>
      <c r="U212" s="10"/>
      <c r="V212" s="10"/>
      <c r="W212" s="10"/>
      <c r="X212" s="10"/>
      <c r="Y212" s="10"/>
      <c r="Z212" s="10"/>
      <c r="AA212" s="10" t="s">
        <v>408</v>
      </c>
      <c r="AB212" s="13">
        <v>9</v>
      </c>
      <c r="AC212" s="10"/>
      <c r="AD212" s="70"/>
      <c r="AE212" s="10"/>
    </row>
    <row r="213" spans="1:31">
      <c r="A213" s="8" t="s">
        <v>36</v>
      </c>
      <c r="B213" s="8" t="s">
        <v>1126</v>
      </c>
      <c r="C213" s="8" t="s">
        <v>1516</v>
      </c>
      <c r="D213" s="9" t="s">
        <v>598</v>
      </c>
      <c r="E213" s="8" t="s">
        <v>1533</v>
      </c>
      <c r="F213" s="8">
        <v>392.71</v>
      </c>
      <c r="G213" s="8">
        <v>124</v>
      </c>
      <c r="H213" s="8">
        <v>687</v>
      </c>
      <c r="I213" s="8">
        <v>355</v>
      </c>
      <c r="J213" s="8">
        <v>332</v>
      </c>
      <c r="K213" s="8">
        <v>224</v>
      </c>
      <c r="L213" s="10">
        <f t="shared" si="6"/>
        <v>32.60553129548763</v>
      </c>
      <c r="M213" s="8">
        <v>94</v>
      </c>
      <c r="N213" s="10">
        <f t="shared" si="7"/>
        <v>13.682678311499272</v>
      </c>
      <c r="O213" s="8">
        <v>8.7200000000000006</v>
      </c>
      <c r="P213" s="8">
        <v>0</v>
      </c>
      <c r="Q213" s="10"/>
      <c r="R213" s="10"/>
      <c r="S213" s="10"/>
      <c r="T213" s="12">
        <v>14</v>
      </c>
      <c r="U213" s="10"/>
      <c r="V213" s="10"/>
      <c r="W213" s="10"/>
      <c r="X213" s="10"/>
      <c r="Y213" s="10"/>
      <c r="Z213" s="10"/>
      <c r="AA213" s="10" t="s">
        <v>408</v>
      </c>
      <c r="AB213" s="13">
        <v>11</v>
      </c>
      <c r="AC213" s="10"/>
      <c r="AD213" s="70"/>
      <c r="AE213" s="10"/>
    </row>
    <row r="214" spans="1:31">
      <c r="A214" s="8" t="s">
        <v>36</v>
      </c>
      <c r="B214" s="8" t="s">
        <v>1126</v>
      </c>
      <c r="C214" s="8" t="s">
        <v>1516</v>
      </c>
      <c r="D214" s="9" t="s">
        <v>1534</v>
      </c>
      <c r="E214" s="8" t="s">
        <v>1535</v>
      </c>
      <c r="F214" s="8">
        <v>313.29000000000002</v>
      </c>
      <c r="G214" s="8">
        <v>28</v>
      </c>
      <c r="H214" s="8">
        <v>215</v>
      </c>
      <c r="I214" s="8">
        <v>126</v>
      </c>
      <c r="J214" s="8">
        <v>89</v>
      </c>
      <c r="K214" s="8">
        <v>17</v>
      </c>
      <c r="L214" s="10">
        <f t="shared" si="6"/>
        <v>7.9069767441860463</v>
      </c>
      <c r="M214" s="8">
        <v>0</v>
      </c>
      <c r="N214" s="10">
        <f t="shared" si="7"/>
        <v>0</v>
      </c>
      <c r="O214" s="8">
        <v>22.02</v>
      </c>
      <c r="P214" s="8">
        <v>15.23</v>
      </c>
      <c r="Q214" s="10"/>
      <c r="R214" s="10"/>
      <c r="S214" s="10"/>
      <c r="T214" s="12">
        <v>38</v>
      </c>
      <c r="U214" s="10"/>
      <c r="V214" s="10"/>
      <c r="W214" s="10"/>
      <c r="X214" s="10"/>
      <c r="Y214" s="10"/>
      <c r="Z214" s="10"/>
      <c r="AA214" s="10" t="s">
        <v>408</v>
      </c>
      <c r="AB214" s="13">
        <v>33</v>
      </c>
      <c r="AC214" s="10"/>
      <c r="AD214" s="70"/>
      <c r="AE214" s="10"/>
    </row>
    <row r="215" spans="1:31">
      <c r="A215" s="8" t="s">
        <v>36</v>
      </c>
      <c r="B215" s="8" t="s">
        <v>1126</v>
      </c>
      <c r="C215" s="8" t="s">
        <v>1536</v>
      </c>
      <c r="D215" s="9" t="s">
        <v>1537</v>
      </c>
      <c r="E215" s="8" t="s">
        <v>1538</v>
      </c>
      <c r="F215" s="8">
        <v>460.63</v>
      </c>
      <c r="G215" s="8">
        <v>173</v>
      </c>
      <c r="H215" s="8">
        <v>907</v>
      </c>
      <c r="I215" s="8">
        <v>473</v>
      </c>
      <c r="J215" s="8">
        <v>434</v>
      </c>
      <c r="K215" s="8">
        <v>259</v>
      </c>
      <c r="L215" s="10">
        <f t="shared" si="6"/>
        <v>28.555678059536937</v>
      </c>
      <c r="M215" s="8">
        <v>232</v>
      </c>
      <c r="N215" s="10">
        <f t="shared" si="7"/>
        <v>25.578831312017641</v>
      </c>
      <c r="O215" s="8">
        <v>37.159999999999997</v>
      </c>
      <c r="P215" s="8">
        <v>42.72</v>
      </c>
      <c r="Q215" s="50" t="s">
        <v>586</v>
      </c>
      <c r="R215" s="53">
        <v>44603</v>
      </c>
      <c r="S215" s="52"/>
      <c r="T215" s="52">
        <v>74.510000000000005</v>
      </c>
      <c r="U215" s="52"/>
      <c r="V215" s="10"/>
      <c r="W215" s="10"/>
      <c r="X215" s="10"/>
      <c r="Y215" s="10"/>
      <c r="Z215" s="10"/>
      <c r="AA215" s="10" t="s">
        <v>408</v>
      </c>
      <c r="AB215" s="52">
        <v>50</v>
      </c>
      <c r="AC215" s="10"/>
      <c r="AD215" s="77">
        <v>24.974786999999999</v>
      </c>
      <c r="AE215" s="52">
        <v>76.255002000000005</v>
      </c>
    </row>
    <row r="216" spans="1:31">
      <c r="A216" s="8" t="s">
        <v>36</v>
      </c>
      <c r="B216" s="8" t="s">
        <v>1126</v>
      </c>
      <c r="C216" s="8" t="s">
        <v>1536</v>
      </c>
      <c r="D216" s="9" t="s">
        <v>1539</v>
      </c>
      <c r="E216" s="8" t="s">
        <v>1540</v>
      </c>
      <c r="F216" s="8">
        <v>350.73</v>
      </c>
      <c r="G216" s="8">
        <v>103</v>
      </c>
      <c r="H216" s="8">
        <v>589</v>
      </c>
      <c r="I216" s="8">
        <v>296</v>
      </c>
      <c r="J216" s="8">
        <v>293</v>
      </c>
      <c r="K216" s="8">
        <v>183</v>
      </c>
      <c r="L216" s="10">
        <f t="shared" si="6"/>
        <v>31.069609507640067</v>
      </c>
      <c r="M216" s="8">
        <v>0</v>
      </c>
      <c r="N216" s="10">
        <f t="shared" si="7"/>
        <v>0</v>
      </c>
      <c r="O216" s="8">
        <v>20.97</v>
      </c>
      <c r="P216" s="8">
        <v>0.74</v>
      </c>
      <c r="Q216" s="50" t="s">
        <v>586</v>
      </c>
      <c r="R216" s="53">
        <v>44602</v>
      </c>
      <c r="S216" s="52"/>
      <c r="T216" s="10"/>
      <c r="U216" s="52"/>
      <c r="V216" s="10"/>
      <c r="W216" s="10"/>
      <c r="X216" s="10"/>
      <c r="Y216" s="10"/>
      <c r="Z216" s="10"/>
      <c r="AA216" s="10" t="s">
        <v>1949</v>
      </c>
      <c r="AB216" s="10"/>
      <c r="AC216" s="10"/>
      <c r="AD216" s="77">
        <v>25.069289000000001</v>
      </c>
      <c r="AE216" s="52">
        <v>76.176530999999997</v>
      </c>
    </row>
    <row r="217" spans="1:31">
      <c r="A217" s="8" t="s">
        <v>36</v>
      </c>
      <c r="B217" s="8" t="s">
        <v>1126</v>
      </c>
      <c r="C217" s="8" t="s">
        <v>1536</v>
      </c>
      <c r="D217" s="9" t="s">
        <v>1541</v>
      </c>
      <c r="E217" s="8" t="s">
        <v>1542</v>
      </c>
      <c r="F217" s="8">
        <v>133.65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10" t="e">
        <f t="shared" si="6"/>
        <v>#DIV/0!</v>
      </c>
      <c r="M217" s="8">
        <v>0</v>
      </c>
      <c r="N217" s="10" t="e">
        <f t="shared" si="7"/>
        <v>#DIV/0!</v>
      </c>
      <c r="O217" s="8">
        <v>0</v>
      </c>
      <c r="P217" s="8">
        <v>0</v>
      </c>
      <c r="Q217" s="10"/>
      <c r="R217" s="10"/>
      <c r="S217" s="10"/>
      <c r="T217" s="52">
        <v>14.11</v>
      </c>
      <c r="U217" s="10"/>
      <c r="V217" s="10"/>
      <c r="W217" s="10"/>
      <c r="X217" s="10"/>
      <c r="Y217" s="10"/>
      <c r="Z217" s="10"/>
      <c r="AA217" s="10" t="s">
        <v>408</v>
      </c>
      <c r="AB217" s="52">
        <v>10</v>
      </c>
      <c r="AC217" s="10"/>
      <c r="AD217" s="70"/>
      <c r="AE217" s="10"/>
    </row>
    <row r="218" spans="1:31">
      <c r="A218" s="8" t="s">
        <v>36</v>
      </c>
      <c r="B218" s="8" t="s">
        <v>1126</v>
      </c>
      <c r="C218" s="8" t="s">
        <v>1536</v>
      </c>
      <c r="D218" s="9" t="s">
        <v>1543</v>
      </c>
      <c r="E218" s="8" t="s">
        <v>1544</v>
      </c>
      <c r="F218" s="8">
        <v>117.12</v>
      </c>
      <c r="G218" s="8">
        <v>43</v>
      </c>
      <c r="H218" s="8">
        <v>240</v>
      </c>
      <c r="I218" s="8">
        <v>128</v>
      </c>
      <c r="J218" s="8">
        <v>112</v>
      </c>
      <c r="K218" s="8">
        <v>0</v>
      </c>
      <c r="L218" s="10">
        <f t="shared" si="6"/>
        <v>0</v>
      </c>
      <c r="M218" s="8">
        <v>237</v>
      </c>
      <c r="N218" s="10">
        <f t="shared" si="7"/>
        <v>98.75</v>
      </c>
      <c r="O218" s="8">
        <v>0</v>
      </c>
      <c r="P218" s="8">
        <v>8.16</v>
      </c>
      <c r="Q218" s="10"/>
      <c r="R218" s="10"/>
      <c r="S218" s="10"/>
      <c r="T218" s="52">
        <v>29.41</v>
      </c>
      <c r="U218" s="10"/>
      <c r="V218" s="10"/>
      <c r="W218" s="10"/>
      <c r="X218" s="10"/>
      <c r="Y218" s="10"/>
      <c r="Z218" s="10"/>
      <c r="AA218" s="10" t="s">
        <v>408</v>
      </c>
      <c r="AB218" s="52">
        <v>20</v>
      </c>
      <c r="AC218" s="10"/>
      <c r="AD218" s="70"/>
      <c r="AE218" s="10"/>
    </row>
    <row r="219" spans="1:31">
      <c r="A219" s="8" t="s">
        <v>36</v>
      </c>
      <c r="B219" s="8" t="s">
        <v>1126</v>
      </c>
      <c r="C219" s="8" t="s">
        <v>1536</v>
      </c>
      <c r="D219" s="9" t="s">
        <v>1545</v>
      </c>
      <c r="E219" s="8" t="s">
        <v>1546</v>
      </c>
      <c r="F219" s="8">
        <v>295.48</v>
      </c>
      <c r="G219" s="8">
        <v>80</v>
      </c>
      <c r="H219" s="8">
        <v>413</v>
      </c>
      <c r="I219" s="8">
        <v>207</v>
      </c>
      <c r="J219" s="8">
        <v>206</v>
      </c>
      <c r="K219" s="8">
        <v>233</v>
      </c>
      <c r="L219" s="10">
        <f t="shared" si="6"/>
        <v>56.416464891041166</v>
      </c>
      <c r="M219" s="8">
        <v>166</v>
      </c>
      <c r="N219" s="10">
        <f t="shared" si="7"/>
        <v>40.19370460048426</v>
      </c>
      <c r="O219" s="8">
        <v>11.57</v>
      </c>
      <c r="P219" s="8">
        <v>12.83</v>
      </c>
      <c r="Q219" s="50" t="s">
        <v>586</v>
      </c>
      <c r="R219" s="53">
        <v>44601</v>
      </c>
      <c r="S219" s="52"/>
      <c r="T219" s="52">
        <v>15.53</v>
      </c>
      <c r="U219" s="52"/>
      <c r="V219" s="10"/>
      <c r="W219" s="10"/>
      <c r="X219" s="10"/>
      <c r="Y219" s="10"/>
      <c r="Z219" s="10"/>
      <c r="AA219" s="10" t="s">
        <v>408</v>
      </c>
      <c r="AB219" s="52">
        <v>10</v>
      </c>
      <c r="AC219" s="10"/>
      <c r="AD219" s="77">
        <v>25.096336999999998</v>
      </c>
      <c r="AE219" s="52">
        <v>76.174952000000005</v>
      </c>
    </row>
    <row r="220" spans="1:31">
      <c r="A220" s="8" t="s">
        <v>36</v>
      </c>
      <c r="B220" s="8" t="s">
        <v>1126</v>
      </c>
      <c r="C220" s="8" t="s">
        <v>1536</v>
      </c>
      <c r="D220" s="9" t="s">
        <v>1547</v>
      </c>
      <c r="E220" s="8" t="s">
        <v>1548</v>
      </c>
      <c r="F220" s="8">
        <v>731.61</v>
      </c>
      <c r="G220" s="8">
        <v>344</v>
      </c>
      <c r="H220" s="8">
        <v>1781</v>
      </c>
      <c r="I220" s="8">
        <v>927</v>
      </c>
      <c r="J220" s="8">
        <v>854</v>
      </c>
      <c r="K220" s="8">
        <v>701</v>
      </c>
      <c r="L220" s="10">
        <f t="shared" si="6"/>
        <v>39.35991016282987</v>
      </c>
      <c r="M220" s="8">
        <v>73</v>
      </c>
      <c r="N220" s="10">
        <f t="shared" si="7"/>
        <v>4.0988208871420548</v>
      </c>
      <c r="O220" s="8">
        <v>19.78</v>
      </c>
      <c r="P220" s="8">
        <v>5.16</v>
      </c>
      <c r="Q220" s="50" t="s">
        <v>586</v>
      </c>
      <c r="R220" s="53">
        <v>44600</v>
      </c>
      <c r="S220" s="52"/>
      <c r="T220" s="52">
        <v>30</v>
      </c>
      <c r="U220" s="52"/>
      <c r="V220" s="10"/>
      <c r="W220" s="10"/>
      <c r="X220" s="10"/>
      <c r="Y220" s="10"/>
      <c r="Z220" s="10"/>
      <c r="AA220" s="10" t="s">
        <v>408</v>
      </c>
      <c r="AB220" s="52">
        <v>17</v>
      </c>
      <c r="AC220" s="10"/>
      <c r="AD220" s="77">
        <v>25.105915</v>
      </c>
      <c r="AE220" s="52">
        <v>76.207449999999994</v>
      </c>
    </row>
    <row r="221" spans="1:31">
      <c r="A221" s="8" t="s">
        <v>36</v>
      </c>
      <c r="B221" s="8" t="s">
        <v>1126</v>
      </c>
      <c r="C221" s="8" t="s">
        <v>1536</v>
      </c>
      <c r="D221" s="9" t="s">
        <v>1504</v>
      </c>
      <c r="E221" s="8" t="s">
        <v>1549</v>
      </c>
      <c r="F221" s="8">
        <v>217.98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10" t="e">
        <f t="shared" si="6"/>
        <v>#DIV/0!</v>
      </c>
      <c r="M221" s="8">
        <v>0</v>
      </c>
      <c r="N221" s="10" t="e">
        <f t="shared" si="7"/>
        <v>#DIV/0!</v>
      </c>
      <c r="O221" s="8">
        <v>0</v>
      </c>
      <c r="P221" s="8">
        <v>4.3099999999999996</v>
      </c>
      <c r="Q221" s="10"/>
      <c r="R221" s="10"/>
      <c r="S221" s="10"/>
      <c r="T221" s="52">
        <v>26.35</v>
      </c>
      <c r="U221" s="10"/>
      <c r="V221" s="10"/>
      <c r="W221" s="10"/>
      <c r="X221" s="10"/>
      <c r="Y221" s="10"/>
      <c r="Z221" s="10"/>
      <c r="AA221" s="10" t="s">
        <v>408</v>
      </c>
      <c r="AB221" s="52">
        <v>15</v>
      </c>
      <c r="AC221" s="10"/>
      <c r="AD221" s="70"/>
      <c r="AE221" s="10"/>
    </row>
    <row r="222" spans="1:31">
      <c r="A222" s="8" t="s">
        <v>36</v>
      </c>
      <c r="B222" s="8" t="s">
        <v>1126</v>
      </c>
      <c r="C222" s="8" t="s">
        <v>1536</v>
      </c>
      <c r="D222" s="9" t="s">
        <v>1550</v>
      </c>
      <c r="E222" s="8" t="s">
        <v>1551</v>
      </c>
      <c r="F222" s="8">
        <v>331.11</v>
      </c>
      <c r="G222" s="8">
        <v>100</v>
      </c>
      <c r="H222" s="8">
        <v>509</v>
      </c>
      <c r="I222" s="8">
        <v>274</v>
      </c>
      <c r="J222" s="8">
        <v>235</v>
      </c>
      <c r="K222" s="8">
        <v>165</v>
      </c>
      <c r="L222" s="10">
        <f t="shared" si="6"/>
        <v>32.416502946954814</v>
      </c>
      <c r="M222" s="8">
        <v>125</v>
      </c>
      <c r="N222" s="10">
        <f t="shared" si="7"/>
        <v>24.557956777996072</v>
      </c>
      <c r="O222" s="8">
        <v>14.33</v>
      </c>
      <c r="P222" s="8">
        <v>27.31</v>
      </c>
      <c r="Q222" s="50" t="s">
        <v>586</v>
      </c>
      <c r="R222" s="53">
        <v>44602</v>
      </c>
      <c r="S222" s="52"/>
      <c r="T222" s="10"/>
      <c r="U222" s="52"/>
      <c r="V222" s="10"/>
      <c r="W222" s="10"/>
      <c r="X222" s="10"/>
      <c r="Y222" s="10"/>
      <c r="Z222" s="10"/>
      <c r="AA222" s="10" t="s">
        <v>1949</v>
      </c>
      <c r="AB222" s="10"/>
      <c r="AC222" s="10"/>
      <c r="AD222" s="77">
        <v>24.678899999999999</v>
      </c>
      <c r="AE222" s="52">
        <v>76.850491000000005</v>
      </c>
    </row>
    <row r="223" spans="1:31">
      <c r="A223" s="8" t="s">
        <v>36</v>
      </c>
      <c r="B223" s="8" t="s">
        <v>1126</v>
      </c>
      <c r="C223" s="8" t="s">
        <v>1536</v>
      </c>
      <c r="D223" s="9" t="s">
        <v>1552</v>
      </c>
      <c r="E223" s="8" t="s">
        <v>1553</v>
      </c>
      <c r="F223" s="8">
        <v>365.75</v>
      </c>
      <c r="G223" s="8">
        <v>67</v>
      </c>
      <c r="H223" s="8">
        <v>358</v>
      </c>
      <c r="I223" s="8">
        <v>199</v>
      </c>
      <c r="J223" s="8">
        <v>159</v>
      </c>
      <c r="K223" s="8">
        <v>46</v>
      </c>
      <c r="L223" s="10">
        <f t="shared" si="6"/>
        <v>12.849162011173185</v>
      </c>
      <c r="M223" s="8">
        <v>0</v>
      </c>
      <c r="N223" s="10">
        <f t="shared" si="7"/>
        <v>0</v>
      </c>
      <c r="O223" s="8">
        <v>8.4</v>
      </c>
      <c r="P223" s="8">
        <v>41.34</v>
      </c>
      <c r="Q223" s="50" t="s">
        <v>586</v>
      </c>
      <c r="R223" s="53">
        <v>44601</v>
      </c>
      <c r="S223" s="52"/>
      <c r="T223" s="10"/>
      <c r="U223" s="52"/>
      <c r="V223" s="10"/>
      <c r="W223" s="10"/>
      <c r="X223" s="10"/>
      <c r="Y223" s="10"/>
      <c r="Z223" s="10"/>
      <c r="AA223" s="10" t="s">
        <v>1949</v>
      </c>
      <c r="AB223" s="10"/>
      <c r="AC223" s="10"/>
      <c r="AD223" s="77">
        <v>25.119405</v>
      </c>
      <c r="AE223" s="52">
        <v>76.186957000000007</v>
      </c>
    </row>
    <row r="224" spans="1:31">
      <c r="A224" s="8" t="s">
        <v>36</v>
      </c>
      <c r="B224" s="8" t="s">
        <v>1126</v>
      </c>
      <c r="C224" s="8" t="s">
        <v>1554</v>
      </c>
      <c r="D224" s="9" t="s">
        <v>1555</v>
      </c>
      <c r="E224" s="8" t="s">
        <v>1556</v>
      </c>
      <c r="F224" s="8">
        <v>1063</v>
      </c>
      <c r="G224" s="8">
        <v>713</v>
      </c>
      <c r="H224" s="8">
        <v>3778</v>
      </c>
      <c r="I224" s="8">
        <v>1963</v>
      </c>
      <c r="J224" s="8">
        <v>1815</v>
      </c>
      <c r="K224" s="8">
        <v>449</v>
      </c>
      <c r="L224" s="10">
        <f t="shared" si="6"/>
        <v>11.884595023822127</v>
      </c>
      <c r="M224" s="8">
        <v>534</v>
      </c>
      <c r="N224" s="10">
        <f t="shared" si="7"/>
        <v>14.13446267866596</v>
      </c>
      <c r="O224" s="8">
        <v>0</v>
      </c>
      <c r="P224" s="8">
        <v>835</v>
      </c>
      <c r="Q224" s="13" t="s">
        <v>408</v>
      </c>
      <c r="R224" s="60">
        <v>45112</v>
      </c>
      <c r="S224" s="15"/>
      <c r="T224" s="44"/>
      <c r="U224" s="44"/>
      <c r="V224" s="10"/>
      <c r="W224" s="10"/>
      <c r="X224" s="10"/>
      <c r="Y224" s="10"/>
      <c r="Z224" s="10"/>
      <c r="AA224" s="10" t="s">
        <v>1949</v>
      </c>
      <c r="AB224" s="10"/>
      <c r="AC224" s="10"/>
      <c r="AD224" s="76"/>
      <c r="AE224" s="44"/>
    </row>
    <row r="225" spans="1:31">
      <c r="A225" s="8" t="s">
        <v>36</v>
      </c>
      <c r="B225" s="8" t="s">
        <v>1126</v>
      </c>
      <c r="C225" s="8" t="s">
        <v>1557</v>
      </c>
      <c r="D225" s="9" t="s">
        <v>1257</v>
      </c>
      <c r="E225" s="8" t="s">
        <v>1558</v>
      </c>
      <c r="F225" s="8">
        <v>2634.19</v>
      </c>
      <c r="G225" s="8">
        <v>835</v>
      </c>
      <c r="H225" s="8">
        <v>4229</v>
      </c>
      <c r="I225" s="8">
        <v>2177</v>
      </c>
      <c r="J225" s="8">
        <v>2052</v>
      </c>
      <c r="K225" s="8">
        <v>1112</v>
      </c>
      <c r="L225" s="10">
        <f t="shared" si="6"/>
        <v>26.294632300780325</v>
      </c>
      <c r="M225" s="8">
        <v>222</v>
      </c>
      <c r="N225" s="10">
        <f t="shared" si="7"/>
        <v>5.249467959328447</v>
      </c>
      <c r="O225" s="8">
        <v>127.14</v>
      </c>
      <c r="P225" s="8">
        <v>768.3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 t="s">
        <v>1949</v>
      </c>
      <c r="AB225" s="10"/>
      <c r="AC225" s="10"/>
      <c r="AD225" s="70"/>
      <c r="AE225" s="10"/>
    </row>
    <row r="226" spans="1:31">
      <c r="A226" s="8" t="s">
        <v>36</v>
      </c>
      <c r="B226" s="8" t="s">
        <v>1126</v>
      </c>
      <c r="C226" s="8" t="s">
        <v>1554</v>
      </c>
      <c r="D226" s="9" t="s">
        <v>1559</v>
      </c>
      <c r="E226" s="8" t="s">
        <v>1560</v>
      </c>
      <c r="F226" s="8">
        <v>138.53</v>
      </c>
      <c r="G226" s="8">
        <v>122</v>
      </c>
      <c r="H226" s="8">
        <v>693</v>
      </c>
      <c r="I226" s="8">
        <v>371</v>
      </c>
      <c r="J226" s="8">
        <v>322</v>
      </c>
      <c r="K226" s="8">
        <v>10</v>
      </c>
      <c r="L226" s="10">
        <f t="shared" si="6"/>
        <v>1.4430014430014431</v>
      </c>
      <c r="M226" s="8">
        <v>355</v>
      </c>
      <c r="N226" s="10">
        <f t="shared" si="7"/>
        <v>51.22655122655123</v>
      </c>
      <c r="O226" s="8">
        <v>15.03</v>
      </c>
      <c r="P226" s="8">
        <v>0</v>
      </c>
      <c r="Q226" s="13" t="s">
        <v>408</v>
      </c>
      <c r="R226" s="60">
        <v>45112</v>
      </c>
      <c r="S226" s="15"/>
      <c r="T226" s="44"/>
      <c r="U226" s="44"/>
      <c r="V226" s="10"/>
      <c r="W226" s="10"/>
      <c r="X226" s="10"/>
      <c r="Y226" s="10"/>
      <c r="Z226" s="10"/>
      <c r="AA226" s="10" t="s">
        <v>1949</v>
      </c>
      <c r="AB226" s="10"/>
      <c r="AC226" s="10"/>
      <c r="AD226" s="76">
        <v>25.119405</v>
      </c>
      <c r="AE226" s="44">
        <v>76.186957000000007</v>
      </c>
    </row>
    <row r="227" spans="1:31">
      <c r="A227" s="8" t="s">
        <v>36</v>
      </c>
      <c r="B227" s="8" t="s">
        <v>1126</v>
      </c>
      <c r="C227" s="8" t="s">
        <v>1554</v>
      </c>
      <c r="D227" s="9" t="s">
        <v>1561</v>
      </c>
      <c r="E227" s="8" t="s">
        <v>1562</v>
      </c>
      <c r="F227" s="8">
        <v>3676.96</v>
      </c>
      <c r="G227" s="8">
        <v>91</v>
      </c>
      <c r="H227" s="8">
        <v>545</v>
      </c>
      <c r="I227" s="8">
        <v>268</v>
      </c>
      <c r="J227" s="8">
        <v>277</v>
      </c>
      <c r="K227" s="8">
        <v>0</v>
      </c>
      <c r="L227" s="10">
        <f t="shared" si="6"/>
        <v>0</v>
      </c>
      <c r="M227" s="8">
        <v>0</v>
      </c>
      <c r="N227" s="10">
        <f t="shared" si="7"/>
        <v>0</v>
      </c>
      <c r="O227" s="8">
        <v>0</v>
      </c>
      <c r="P227" s="8">
        <v>3201.46</v>
      </c>
      <c r="Q227" s="13" t="s">
        <v>408</v>
      </c>
      <c r="R227" s="60">
        <v>45112</v>
      </c>
      <c r="S227" s="15"/>
      <c r="T227" s="44"/>
      <c r="U227" s="44"/>
      <c r="V227" s="10"/>
      <c r="W227" s="10"/>
      <c r="X227" s="10"/>
      <c r="Y227" s="10"/>
      <c r="Z227" s="10"/>
      <c r="AA227" s="10" t="s">
        <v>1949</v>
      </c>
      <c r="AB227" s="10"/>
      <c r="AC227" s="10"/>
      <c r="AD227" s="76"/>
      <c r="AE227" s="44"/>
    </row>
    <row r="228" spans="1:31">
      <c r="A228" s="8" t="s">
        <v>36</v>
      </c>
      <c r="B228" s="8" t="s">
        <v>1126</v>
      </c>
      <c r="C228" s="8" t="s">
        <v>1563</v>
      </c>
      <c r="D228" s="9" t="s">
        <v>1564</v>
      </c>
      <c r="E228" s="8" t="s">
        <v>1565</v>
      </c>
      <c r="F228" s="8">
        <v>1192.47</v>
      </c>
      <c r="G228" s="8">
        <v>403</v>
      </c>
      <c r="H228" s="8">
        <v>2099</v>
      </c>
      <c r="I228" s="8">
        <v>1058</v>
      </c>
      <c r="J228" s="8">
        <v>1041</v>
      </c>
      <c r="K228" s="8">
        <v>301</v>
      </c>
      <c r="L228" s="10">
        <f t="shared" si="6"/>
        <v>14.340161981896141</v>
      </c>
      <c r="M228" s="8">
        <v>5</v>
      </c>
      <c r="N228" s="10">
        <f t="shared" si="7"/>
        <v>0.23820867079561697</v>
      </c>
      <c r="O228" s="8">
        <v>47.88</v>
      </c>
      <c r="P228" s="8">
        <v>0</v>
      </c>
      <c r="Q228" s="50" t="s">
        <v>586</v>
      </c>
      <c r="R228" s="54">
        <v>44601</v>
      </c>
      <c r="S228" s="52"/>
      <c r="T228" s="52"/>
      <c r="U228" s="52" t="s">
        <v>408</v>
      </c>
      <c r="V228" s="10"/>
      <c r="W228" s="10"/>
      <c r="X228" s="10"/>
      <c r="Y228" s="10"/>
      <c r="Z228" s="10"/>
      <c r="AA228" s="10" t="s">
        <v>1949</v>
      </c>
      <c r="AB228" s="10"/>
      <c r="AC228" s="10"/>
      <c r="AD228" s="77">
        <v>24.89847</v>
      </c>
      <c r="AE228" s="52">
        <v>76.110377999999997</v>
      </c>
    </row>
    <row r="229" spans="1:31">
      <c r="A229" s="8" t="s">
        <v>36</v>
      </c>
      <c r="B229" s="8" t="s">
        <v>1126</v>
      </c>
      <c r="C229" s="8" t="s">
        <v>1563</v>
      </c>
      <c r="D229" s="9" t="s">
        <v>1566</v>
      </c>
      <c r="E229" s="8" t="s">
        <v>1567</v>
      </c>
      <c r="F229" s="8">
        <v>84.25</v>
      </c>
      <c r="G229" s="8">
        <v>92</v>
      </c>
      <c r="H229" s="8">
        <v>464</v>
      </c>
      <c r="I229" s="8">
        <v>245</v>
      </c>
      <c r="J229" s="8">
        <v>219</v>
      </c>
      <c r="K229" s="8">
        <v>129</v>
      </c>
      <c r="L229" s="10">
        <f t="shared" si="6"/>
        <v>27.801724137931032</v>
      </c>
      <c r="M229" s="8">
        <v>14</v>
      </c>
      <c r="N229" s="10">
        <f t="shared" si="7"/>
        <v>3.0172413793103448</v>
      </c>
      <c r="O229" s="8">
        <v>3.58</v>
      </c>
      <c r="P229" s="8">
        <v>0</v>
      </c>
      <c r="Q229" s="10"/>
      <c r="R229" s="10"/>
      <c r="S229" s="10"/>
      <c r="T229" s="10"/>
      <c r="U229" s="10" t="s">
        <v>408</v>
      </c>
      <c r="V229" s="10"/>
      <c r="W229" s="10"/>
      <c r="X229" s="10"/>
      <c r="Y229" s="10"/>
      <c r="Z229" s="10"/>
      <c r="AA229" s="10" t="s">
        <v>1949</v>
      </c>
      <c r="AB229" s="10"/>
      <c r="AC229" s="10"/>
      <c r="AD229" s="70"/>
      <c r="AE229" s="10"/>
    </row>
    <row r="230" spans="1:31">
      <c r="A230" s="8" t="s">
        <v>36</v>
      </c>
      <c r="B230" s="8" t="s">
        <v>1126</v>
      </c>
      <c r="C230" s="8" t="s">
        <v>1568</v>
      </c>
      <c r="D230" s="9" t="s">
        <v>1058</v>
      </c>
      <c r="E230" s="8" t="s">
        <v>1569</v>
      </c>
      <c r="F230" s="8">
        <v>491.43</v>
      </c>
      <c r="G230" s="8">
        <v>219</v>
      </c>
      <c r="H230" s="8">
        <v>1160</v>
      </c>
      <c r="I230" s="8">
        <v>614</v>
      </c>
      <c r="J230" s="8">
        <v>546</v>
      </c>
      <c r="K230" s="8">
        <v>194</v>
      </c>
      <c r="L230" s="10">
        <f t="shared" si="6"/>
        <v>16.724137931034484</v>
      </c>
      <c r="M230" s="8">
        <v>0</v>
      </c>
      <c r="N230" s="10">
        <f t="shared" si="7"/>
        <v>0</v>
      </c>
      <c r="O230" s="8">
        <v>39</v>
      </c>
      <c r="P230" s="8">
        <v>0</v>
      </c>
      <c r="Q230" s="13" t="s">
        <v>408</v>
      </c>
      <c r="R230" s="14">
        <v>44238</v>
      </c>
      <c r="S230" s="15"/>
      <c r="T230" s="44"/>
      <c r="U230" s="44"/>
      <c r="V230" s="10"/>
      <c r="W230" s="10"/>
      <c r="X230" s="10"/>
      <c r="Y230" s="10"/>
      <c r="Z230" s="10"/>
      <c r="AA230" s="10" t="s">
        <v>1949</v>
      </c>
      <c r="AB230" s="10"/>
      <c r="AC230" s="10"/>
      <c r="AD230" s="76">
        <v>24.966387999999998</v>
      </c>
      <c r="AE230" s="44">
        <v>76.237206</v>
      </c>
    </row>
    <row r="231" spans="1:31">
      <c r="A231" s="8" t="s">
        <v>36</v>
      </c>
      <c r="B231" s="8" t="s">
        <v>1126</v>
      </c>
      <c r="C231" s="8" t="s">
        <v>1568</v>
      </c>
      <c r="D231" s="9" t="s">
        <v>1058</v>
      </c>
      <c r="E231" s="8"/>
      <c r="F231" s="8"/>
      <c r="G231" s="8"/>
      <c r="H231" s="8"/>
      <c r="I231" s="8"/>
      <c r="J231" s="8"/>
      <c r="K231" s="8"/>
      <c r="L231" s="10" t="e">
        <f t="shared" si="6"/>
        <v>#DIV/0!</v>
      </c>
      <c r="M231" s="8"/>
      <c r="N231" s="10" t="e">
        <f t="shared" si="7"/>
        <v>#DIV/0!</v>
      </c>
      <c r="O231" s="8"/>
      <c r="P231" s="8"/>
      <c r="Q231" s="13"/>
      <c r="R231" s="14"/>
      <c r="S231" s="15"/>
      <c r="T231" s="44"/>
      <c r="U231" s="44"/>
      <c r="V231" s="10"/>
      <c r="W231" s="10"/>
      <c r="X231" s="10"/>
      <c r="Y231" s="10"/>
      <c r="Z231" s="10"/>
      <c r="AA231" s="10" t="s">
        <v>1949</v>
      </c>
      <c r="AB231" s="10"/>
      <c r="AC231" s="10"/>
      <c r="AD231" s="76"/>
      <c r="AE231" s="44"/>
    </row>
    <row r="232" spans="1:31">
      <c r="A232" s="8" t="s">
        <v>36</v>
      </c>
      <c r="B232" s="8" t="s">
        <v>1126</v>
      </c>
      <c r="C232" s="8" t="s">
        <v>1568</v>
      </c>
      <c r="D232" s="9" t="s">
        <v>1570</v>
      </c>
      <c r="E232" s="8" t="s">
        <v>1571</v>
      </c>
      <c r="F232" s="8">
        <v>341</v>
      </c>
      <c r="G232" s="8">
        <v>173</v>
      </c>
      <c r="H232" s="8">
        <v>927</v>
      </c>
      <c r="I232" s="8">
        <v>465</v>
      </c>
      <c r="J232" s="8">
        <v>462</v>
      </c>
      <c r="K232" s="8">
        <v>237</v>
      </c>
      <c r="L232" s="10">
        <f t="shared" si="6"/>
        <v>25.5663430420712</v>
      </c>
      <c r="M232" s="8">
        <v>0</v>
      </c>
      <c r="N232" s="10">
        <f t="shared" si="7"/>
        <v>0</v>
      </c>
      <c r="O232" s="8">
        <v>28</v>
      </c>
      <c r="P232" s="8">
        <v>0</v>
      </c>
      <c r="Q232" s="13" t="s">
        <v>408</v>
      </c>
      <c r="R232" s="14">
        <v>44238</v>
      </c>
      <c r="S232" s="15"/>
      <c r="T232" s="44"/>
      <c r="U232" s="44"/>
      <c r="V232" s="10"/>
      <c r="W232" s="10"/>
      <c r="X232" s="10"/>
      <c r="Y232" s="10"/>
      <c r="Z232" s="10"/>
      <c r="AA232" s="10" t="s">
        <v>1949</v>
      </c>
      <c r="AB232" s="10"/>
      <c r="AC232" s="10"/>
      <c r="AD232" s="76">
        <v>24.894760999999999</v>
      </c>
      <c r="AE232" s="44">
        <v>76.230866000000006</v>
      </c>
    </row>
    <row r="233" spans="1:31">
      <c r="A233" s="8" t="s">
        <v>36</v>
      </c>
      <c r="B233" s="8" t="s">
        <v>1126</v>
      </c>
      <c r="C233" s="8" t="s">
        <v>1568</v>
      </c>
      <c r="D233" s="9" t="s">
        <v>1572</v>
      </c>
      <c r="E233" s="8" t="s">
        <v>1573</v>
      </c>
      <c r="F233" s="8">
        <v>890</v>
      </c>
      <c r="G233" s="8">
        <v>232</v>
      </c>
      <c r="H233" s="8">
        <v>1191</v>
      </c>
      <c r="I233" s="8">
        <v>621</v>
      </c>
      <c r="J233" s="8">
        <v>570</v>
      </c>
      <c r="K233" s="8">
        <v>239</v>
      </c>
      <c r="L233" s="10">
        <f t="shared" si="6"/>
        <v>20.067170445004198</v>
      </c>
      <c r="M233" s="8">
        <v>0</v>
      </c>
      <c r="N233" s="10">
        <f t="shared" si="7"/>
        <v>0</v>
      </c>
      <c r="O233" s="8">
        <v>22</v>
      </c>
      <c r="P233" s="8">
        <v>0</v>
      </c>
      <c r="Q233" s="13" t="s">
        <v>408</v>
      </c>
      <c r="R233" s="14">
        <v>44238</v>
      </c>
      <c r="S233" s="15"/>
      <c r="T233" s="16"/>
      <c r="U233" s="16"/>
      <c r="V233" s="10"/>
      <c r="W233" s="10"/>
      <c r="X233" s="10"/>
      <c r="Y233" s="10"/>
      <c r="Z233" s="10"/>
      <c r="AA233" s="10" t="s">
        <v>1949</v>
      </c>
      <c r="AB233" s="10"/>
      <c r="AC233" s="10"/>
      <c r="AD233" s="76">
        <v>24.678899999999999</v>
      </c>
      <c r="AE233" s="44">
        <v>76.850491000000005</v>
      </c>
    </row>
    <row r="234" spans="1:31">
      <c r="A234" s="8" t="s">
        <v>36</v>
      </c>
      <c r="B234" s="8" t="s">
        <v>1126</v>
      </c>
      <c r="C234" s="8" t="s">
        <v>1568</v>
      </c>
      <c r="D234" s="9" t="s">
        <v>1574</v>
      </c>
      <c r="E234" s="8" t="s">
        <v>1575</v>
      </c>
      <c r="F234" s="8">
        <v>123</v>
      </c>
      <c r="G234" s="8">
        <v>33</v>
      </c>
      <c r="H234" s="8">
        <v>182</v>
      </c>
      <c r="I234" s="8">
        <v>90</v>
      </c>
      <c r="J234" s="8">
        <v>92</v>
      </c>
      <c r="K234" s="8">
        <v>0</v>
      </c>
      <c r="L234" s="10">
        <f t="shared" si="6"/>
        <v>0</v>
      </c>
      <c r="M234" s="8">
        <v>180</v>
      </c>
      <c r="N234" s="10">
        <f t="shared" si="7"/>
        <v>98.901098901098905</v>
      </c>
      <c r="O234" s="8">
        <v>6</v>
      </c>
      <c r="P234" s="8">
        <v>0</v>
      </c>
      <c r="Q234" s="13" t="s">
        <v>408</v>
      </c>
      <c r="R234" s="14">
        <v>45201</v>
      </c>
      <c r="S234" s="15"/>
      <c r="T234" s="16"/>
      <c r="U234" s="16"/>
      <c r="V234" s="10"/>
      <c r="W234" s="10"/>
      <c r="X234" s="10"/>
      <c r="Y234" s="10"/>
      <c r="Z234" s="10"/>
      <c r="AA234" s="10" t="s">
        <v>1949</v>
      </c>
      <c r="AB234" s="10"/>
      <c r="AC234" s="10"/>
      <c r="AD234" s="76">
        <v>24.863688</v>
      </c>
      <c r="AE234" s="44">
        <v>76.315366999999995</v>
      </c>
    </row>
    <row r="235" spans="1:31">
      <c r="A235" s="8" t="s">
        <v>36</v>
      </c>
      <c r="B235" s="8" t="s">
        <v>1126</v>
      </c>
      <c r="C235" s="8" t="s">
        <v>1568</v>
      </c>
      <c r="D235" s="9" t="s">
        <v>1576</v>
      </c>
      <c r="E235" s="8" t="s">
        <v>1577</v>
      </c>
      <c r="F235" s="8">
        <v>265</v>
      </c>
      <c r="G235" s="8">
        <v>142</v>
      </c>
      <c r="H235" s="8">
        <v>702</v>
      </c>
      <c r="I235" s="8">
        <v>361</v>
      </c>
      <c r="J235" s="8">
        <v>341</v>
      </c>
      <c r="K235" s="8">
        <v>92</v>
      </c>
      <c r="L235" s="10">
        <f t="shared" si="6"/>
        <v>13.105413105413104</v>
      </c>
      <c r="M235" s="8">
        <v>14</v>
      </c>
      <c r="N235" s="10">
        <f t="shared" si="7"/>
        <v>1.9943019943019942</v>
      </c>
      <c r="O235" s="8">
        <v>25</v>
      </c>
      <c r="P235" s="8">
        <v>0</v>
      </c>
      <c r="Q235" s="13" t="s">
        <v>408</v>
      </c>
      <c r="R235" s="14">
        <v>45201</v>
      </c>
      <c r="S235" s="15"/>
      <c r="T235" s="16"/>
      <c r="U235" s="16"/>
      <c r="V235" s="10"/>
      <c r="W235" s="10"/>
      <c r="X235" s="10"/>
      <c r="Y235" s="10"/>
      <c r="Z235" s="10"/>
      <c r="AA235" s="10" t="s">
        <v>1949</v>
      </c>
      <c r="AB235" s="10"/>
      <c r="AC235" s="10"/>
      <c r="AD235" s="76">
        <v>24.974786999999999</v>
      </c>
      <c r="AE235" s="44">
        <v>76.255002000000005</v>
      </c>
    </row>
    <row r="236" spans="1:31">
      <c r="A236" s="8" t="s">
        <v>36</v>
      </c>
      <c r="B236" s="8" t="s">
        <v>1126</v>
      </c>
      <c r="C236" s="8" t="s">
        <v>1568</v>
      </c>
      <c r="D236" s="9" t="s">
        <v>1578</v>
      </c>
      <c r="E236" s="8" t="s">
        <v>1579</v>
      </c>
      <c r="F236" s="8">
        <v>215.07</v>
      </c>
      <c r="G236" s="8">
        <v>38</v>
      </c>
      <c r="H236" s="8">
        <v>217</v>
      </c>
      <c r="I236" s="8">
        <v>118</v>
      </c>
      <c r="J236" s="8">
        <v>99</v>
      </c>
      <c r="K236" s="8">
        <v>58</v>
      </c>
      <c r="L236" s="10">
        <f t="shared" si="6"/>
        <v>26.728110599078342</v>
      </c>
      <c r="M236" s="8">
        <v>0</v>
      </c>
      <c r="N236" s="10">
        <f t="shared" si="7"/>
        <v>0</v>
      </c>
      <c r="O236" s="8">
        <v>10</v>
      </c>
      <c r="P236" s="8">
        <v>0</v>
      </c>
      <c r="Q236" s="13" t="s">
        <v>408</v>
      </c>
      <c r="R236" s="14">
        <v>45201</v>
      </c>
      <c r="S236" s="15"/>
      <c r="T236" s="16"/>
      <c r="U236" s="16"/>
      <c r="V236" s="10"/>
      <c r="W236" s="10"/>
      <c r="X236" s="10"/>
      <c r="Y236" s="10"/>
      <c r="Z236" s="10"/>
      <c r="AA236" s="10" t="s">
        <v>1949</v>
      </c>
      <c r="AB236" s="10"/>
      <c r="AC236" s="10"/>
      <c r="AD236" s="76">
        <v>24.678899999999999</v>
      </c>
      <c r="AE236" s="44">
        <v>76.850491000000005</v>
      </c>
    </row>
    <row r="237" spans="1:31">
      <c r="A237" s="8" t="s">
        <v>36</v>
      </c>
      <c r="B237" s="8" t="s">
        <v>1126</v>
      </c>
      <c r="C237" s="8" t="s">
        <v>1568</v>
      </c>
      <c r="D237" s="9" t="s">
        <v>1580</v>
      </c>
      <c r="E237" s="8" t="s">
        <v>1581</v>
      </c>
      <c r="F237" s="8">
        <v>61.77</v>
      </c>
      <c r="G237" s="8">
        <v>2</v>
      </c>
      <c r="H237" s="8">
        <v>5</v>
      </c>
      <c r="I237" s="8">
        <v>3</v>
      </c>
      <c r="J237" s="8">
        <v>2</v>
      </c>
      <c r="K237" s="8">
        <v>0</v>
      </c>
      <c r="L237" s="10">
        <f t="shared" si="6"/>
        <v>0</v>
      </c>
      <c r="M237" s="8">
        <v>0</v>
      </c>
      <c r="N237" s="10">
        <f t="shared" si="7"/>
        <v>0</v>
      </c>
      <c r="O237" s="8">
        <v>14</v>
      </c>
      <c r="P237" s="8">
        <v>0</v>
      </c>
      <c r="Q237" s="13" t="s">
        <v>408</v>
      </c>
      <c r="R237" s="14">
        <v>45201</v>
      </c>
      <c r="S237" s="15"/>
      <c r="T237" s="16"/>
      <c r="U237" s="16"/>
      <c r="V237" s="10"/>
      <c r="W237" s="10"/>
      <c r="X237" s="10"/>
      <c r="Y237" s="10"/>
      <c r="Z237" s="10"/>
      <c r="AA237" s="10" t="s">
        <v>1949</v>
      </c>
      <c r="AB237" s="10"/>
      <c r="AC237" s="10"/>
      <c r="AD237" s="71">
        <v>24.922405999999999</v>
      </c>
      <c r="AE237" s="11">
        <v>76.449083999999999</v>
      </c>
    </row>
    <row r="238" spans="1:31">
      <c r="A238" s="8" t="s">
        <v>36</v>
      </c>
      <c r="B238" s="8" t="s">
        <v>1126</v>
      </c>
      <c r="C238" s="8" t="s">
        <v>1568</v>
      </c>
      <c r="D238" s="9" t="s">
        <v>1582</v>
      </c>
      <c r="E238" s="8" t="s">
        <v>1583</v>
      </c>
      <c r="F238" s="8">
        <v>308</v>
      </c>
      <c r="G238" s="8">
        <v>115</v>
      </c>
      <c r="H238" s="8">
        <v>661</v>
      </c>
      <c r="I238" s="8">
        <v>351</v>
      </c>
      <c r="J238" s="8">
        <v>310</v>
      </c>
      <c r="K238" s="8">
        <v>26</v>
      </c>
      <c r="L238" s="10">
        <f t="shared" si="6"/>
        <v>3.9334341906202726</v>
      </c>
      <c r="M238" s="8">
        <v>129</v>
      </c>
      <c r="N238" s="10">
        <f t="shared" si="7"/>
        <v>19.515885022692888</v>
      </c>
      <c r="O238" s="8">
        <v>38</v>
      </c>
      <c r="P238" s="8">
        <v>0</v>
      </c>
      <c r="Q238" s="13" t="s">
        <v>408</v>
      </c>
      <c r="R238" s="14">
        <v>45201</v>
      </c>
      <c r="S238" s="15"/>
      <c r="T238" s="16"/>
      <c r="U238" s="16"/>
      <c r="V238" s="10"/>
      <c r="W238" s="10"/>
      <c r="X238" s="10"/>
      <c r="Y238" s="10"/>
      <c r="Z238" s="10"/>
      <c r="AA238" s="10" t="s">
        <v>1949</v>
      </c>
      <c r="AB238" s="10"/>
      <c r="AC238" s="10"/>
      <c r="AD238" s="71">
        <v>24.920472</v>
      </c>
      <c r="AE238" s="11">
        <v>76.449162999999999</v>
      </c>
    </row>
    <row r="239" spans="1:31">
      <c r="A239" s="8" t="s">
        <v>36</v>
      </c>
      <c r="B239" s="8" t="s">
        <v>1126</v>
      </c>
      <c r="C239" s="8" t="s">
        <v>1584</v>
      </c>
      <c r="D239" s="9" t="s">
        <v>1585</v>
      </c>
      <c r="E239" s="8" t="s">
        <v>1586</v>
      </c>
      <c r="F239" s="8">
        <v>367</v>
      </c>
      <c r="G239" s="8">
        <v>219</v>
      </c>
      <c r="H239" s="8">
        <v>1128</v>
      </c>
      <c r="I239" s="8">
        <v>598</v>
      </c>
      <c r="J239" s="8">
        <v>530</v>
      </c>
      <c r="K239" s="8">
        <v>314</v>
      </c>
      <c r="L239" s="10">
        <f t="shared" si="6"/>
        <v>27.836879432624112</v>
      </c>
      <c r="M239" s="8">
        <v>341</v>
      </c>
      <c r="N239" s="10">
        <f t="shared" si="7"/>
        <v>30.230496453900706</v>
      </c>
      <c r="O239" s="8">
        <v>14</v>
      </c>
      <c r="P239" s="8">
        <v>0</v>
      </c>
      <c r="Q239" s="50" t="s">
        <v>586</v>
      </c>
      <c r="R239" s="53">
        <v>44589</v>
      </c>
      <c r="S239" s="52"/>
      <c r="T239" s="52"/>
      <c r="U239" s="52"/>
      <c r="V239" s="10"/>
      <c r="W239" s="10"/>
      <c r="X239" s="10"/>
      <c r="Y239" s="10"/>
      <c r="Z239" s="10"/>
      <c r="AA239" s="10" t="s">
        <v>1949</v>
      </c>
      <c r="AB239" s="10"/>
      <c r="AC239" s="10"/>
      <c r="AD239" s="77">
        <v>24.975425999999999</v>
      </c>
      <c r="AE239" s="52">
        <v>76.256371000000001</v>
      </c>
    </row>
    <row r="240" spans="1:31">
      <c r="A240" s="8" t="s">
        <v>36</v>
      </c>
      <c r="B240" s="8" t="s">
        <v>1126</v>
      </c>
      <c r="C240" s="8" t="s">
        <v>1584</v>
      </c>
      <c r="D240" s="9" t="s">
        <v>1587</v>
      </c>
      <c r="E240" s="8" t="s">
        <v>1588</v>
      </c>
      <c r="F240" s="8">
        <v>194</v>
      </c>
      <c r="G240" s="8">
        <v>204</v>
      </c>
      <c r="H240" s="8">
        <v>926</v>
      </c>
      <c r="I240" s="8">
        <v>483</v>
      </c>
      <c r="J240" s="8">
        <v>443</v>
      </c>
      <c r="K240" s="8">
        <v>243</v>
      </c>
      <c r="L240" s="10">
        <f t="shared" si="6"/>
        <v>26.241900647948164</v>
      </c>
      <c r="M240" s="8">
        <v>459</v>
      </c>
      <c r="N240" s="10">
        <f t="shared" si="7"/>
        <v>49.568034557235421</v>
      </c>
      <c r="O240" s="8">
        <v>19</v>
      </c>
      <c r="P240" s="8">
        <v>0</v>
      </c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 t="s">
        <v>1949</v>
      </c>
      <c r="AB240" s="10"/>
      <c r="AC240" s="10"/>
      <c r="AD240" s="70"/>
      <c r="AE240" s="10"/>
    </row>
    <row r="241" spans="1:31">
      <c r="A241" s="8" t="s">
        <v>36</v>
      </c>
      <c r="B241" s="8" t="s">
        <v>1126</v>
      </c>
      <c r="C241" s="8" t="s">
        <v>1584</v>
      </c>
      <c r="D241" s="9" t="s">
        <v>1589</v>
      </c>
      <c r="E241" s="8" t="s">
        <v>1590</v>
      </c>
      <c r="F241" s="8">
        <v>187.11</v>
      </c>
      <c r="G241" s="8">
        <v>37</v>
      </c>
      <c r="H241" s="8">
        <v>238</v>
      </c>
      <c r="I241" s="8">
        <v>128</v>
      </c>
      <c r="J241" s="8">
        <v>110</v>
      </c>
      <c r="K241" s="8">
        <v>11</v>
      </c>
      <c r="L241" s="10">
        <f t="shared" si="6"/>
        <v>4.6218487394957988</v>
      </c>
      <c r="M241" s="8">
        <v>0</v>
      </c>
      <c r="N241" s="10">
        <f t="shared" si="7"/>
        <v>0</v>
      </c>
      <c r="O241" s="8">
        <v>13</v>
      </c>
      <c r="P241" s="8">
        <v>0</v>
      </c>
      <c r="Q241" s="50" t="s">
        <v>586</v>
      </c>
      <c r="R241" s="53">
        <v>44590</v>
      </c>
      <c r="S241" s="52"/>
      <c r="T241" s="52"/>
      <c r="U241" s="52"/>
      <c r="V241" s="10"/>
      <c r="W241" s="10"/>
      <c r="X241" s="10"/>
      <c r="Y241" s="10"/>
      <c r="Z241" s="10"/>
      <c r="AA241" s="10" t="s">
        <v>1949</v>
      </c>
      <c r="AB241" s="10"/>
      <c r="AC241" s="10"/>
      <c r="AD241" s="77">
        <v>24.961179999999999</v>
      </c>
      <c r="AE241" s="52">
        <v>76.288555400000007</v>
      </c>
    </row>
    <row r="242" spans="1:31">
      <c r="A242" s="8" t="s">
        <v>36</v>
      </c>
      <c r="B242" s="8" t="s">
        <v>1126</v>
      </c>
      <c r="C242" s="8" t="s">
        <v>1584</v>
      </c>
      <c r="D242" s="9" t="s">
        <v>1587</v>
      </c>
      <c r="E242" s="8" t="s">
        <v>1591</v>
      </c>
      <c r="F242" s="8">
        <v>440</v>
      </c>
      <c r="G242" s="8">
        <v>146</v>
      </c>
      <c r="H242" s="8">
        <v>794</v>
      </c>
      <c r="I242" s="8">
        <v>420</v>
      </c>
      <c r="J242" s="8">
        <v>374</v>
      </c>
      <c r="K242" s="8">
        <v>171</v>
      </c>
      <c r="L242" s="10">
        <f t="shared" si="6"/>
        <v>21.536523929471034</v>
      </c>
      <c r="M242" s="8">
        <v>342</v>
      </c>
      <c r="N242" s="10">
        <f t="shared" si="7"/>
        <v>43.073047858942068</v>
      </c>
      <c r="O242" s="8">
        <v>25</v>
      </c>
      <c r="P242" s="8">
        <v>0</v>
      </c>
      <c r="Q242" s="50" t="s">
        <v>586</v>
      </c>
      <c r="R242" s="53">
        <v>44588</v>
      </c>
      <c r="S242" s="52"/>
      <c r="T242" s="52"/>
      <c r="U242" s="52"/>
      <c r="V242" s="10"/>
      <c r="W242" s="10"/>
      <c r="X242" s="10"/>
      <c r="Y242" s="10"/>
      <c r="Z242" s="10"/>
      <c r="AA242" s="10" t="s">
        <v>1949</v>
      </c>
      <c r="AB242" s="10"/>
      <c r="AC242" s="10"/>
      <c r="AD242" s="77">
        <v>24.95</v>
      </c>
      <c r="AE242" s="52">
        <v>76.261842000000001</v>
      </c>
    </row>
    <row r="243" spans="1:31">
      <c r="A243" s="8" t="s">
        <v>36</v>
      </c>
      <c r="B243" s="8" t="s">
        <v>1126</v>
      </c>
      <c r="C243" s="8" t="s">
        <v>1584</v>
      </c>
      <c r="D243" s="9" t="s">
        <v>1592</v>
      </c>
      <c r="E243" s="8" t="s">
        <v>1593</v>
      </c>
      <c r="F243" s="8">
        <v>373.39</v>
      </c>
      <c r="G243" s="8">
        <v>56</v>
      </c>
      <c r="H243" s="8">
        <v>328</v>
      </c>
      <c r="I243" s="8">
        <v>180</v>
      </c>
      <c r="J243" s="8">
        <v>148</v>
      </c>
      <c r="K243" s="8">
        <v>66</v>
      </c>
      <c r="L243" s="10">
        <f t="shared" si="6"/>
        <v>20.121951219512198</v>
      </c>
      <c r="M243" s="8">
        <v>25</v>
      </c>
      <c r="N243" s="10">
        <f t="shared" si="7"/>
        <v>7.6219512195121952</v>
      </c>
      <c r="O243" s="8">
        <v>15.53</v>
      </c>
      <c r="P243" s="8">
        <v>0</v>
      </c>
      <c r="Q243" s="50" t="s">
        <v>586</v>
      </c>
      <c r="R243" s="53">
        <v>44588</v>
      </c>
      <c r="S243" s="52"/>
      <c r="T243" s="52"/>
      <c r="U243" s="52"/>
      <c r="V243" s="10"/>
      <c r="W243" s="10"/>
      <c r="X243" s="10"/>
      <c r="Y243" s="10"/>
      <c r="Z243" s="10"/>
      <c r="AA243" s="10" t="s">
        <v>1949</v>
      </c>
      <c r="AB243" s="10"/>
      <c r="AC243" s="10"/>
      <c r="AD243" s="77">
        <v>24.980353999999998</v>
      </c>
      <c r="AE243" s="52">
        <v>76.276630999999995</v>
      </c>
    </row>
    <row r="244" spans="1:31">
      <c r="A244" s="8" t="s">
        <v>36</v>
      </c>
      <c r="B244" s="8" t="s">
        <v>1126</v>
      </c>
      <c r="C244" s="8" t="s">
        <v>1584</v>
      </c>
      <c r="D244" s="9" t="s">
        <v>1594</v>
      </c>
      <c r="E244" s="8" t="s">
        <v>1595</v>
      </c>
      <c r="F244" s="8">
        <v>875</v>
      </c>
      <c r="G244" s="8">
        <v>197</v>
      </c>
      <c r="H244" s="8">
        <v>1329</v>
      </c>
      <c r="I244" s="8">
        <v>684</v>
      </c>
      <c r="J244" s="8">
        <v>645</v>
      </c>
      <c r="K244" s="8">
        <v>259</v>
      </c>
      <c r="L244" s="10">
        <f t="shared" si="6"/>
        <v>19.488337095560571</v>
      </c>
      <c r="M244" s="8">
        <v>385</v>
      </c>
      <c r="N244" s="10">
        <f t="shared" si="7"/>
        <v>28.969149736644095</v>
      </c>
      <c r="O244" s="8">
        <v>28</v>
      </c>
      <c r="P244" s="8">
        <v>0</v>
      </c>
      <c r="Q244" s="50" t="s">
        <v>586</v>
      </c>
      <c r="R244" s="53">
        <v>44589</v>
      </c>
      <c r="S244" s="52"/>
      <c r="T244" s="52"/>
      <c r="U244" s="52"/>
      <c r="V244" s="10"/>
      <c r="W244" s="10"/>
      <c r="X244" s="10"/>
      <c r="Y244" s="10"/>
      <c r="Z244" s="10"/>
      <c r="AA244" s="10" t="s">
        <v>1949</v>
      </c>
      <c r="AB244" s="10"/>
      <c r="AC244" s="10"/>
      <c r="AD244" s="77">
        <v>24.980353999999998</v>
      </c>
      <c r="AE244" s="52">
        <v>76.276630999999995</v>
      </c>
    </row>
    <row r="245" spans="1:31">
      <c r="A245" s="8" t="s">
        <v>36</v>
      </c>
      <c r="B245" s="8" t="s">
        <v>1126</v>
      </c>
      <c r="C245" s="8" t="s">
        <v>1584</v>
      </c>
      <c r="D245" s="9" t="s">
        <v>1596</v>
      </c>
      <c r="E245" s="8" t="s">
        <v>1597</v>
      </c>
      <c r="F245" s="8">
        <v>529</v>
      </c>
      <c r="G245" s="8">
        <v>113</v>
      </c>
      <c r="H245" s="8">
        <v>644</v>
      </c>
      <c r="I245" s="8">
        <v>340</v>
      </c>
      <c r="J245" s="8">
        <v>304</v>
      </c>
      <c r="K245" s="8">
        <v>135</v>
      </c>
      <c r="L245" s="10">
        <f t="shared" si="6"/>
        <v>20.962732919254659</v>
      </c>
      <c r="M245" s="8">
        <v>0</v>
      </c>
      <c r="N245" s="10">
        <f t="shared" si="7"/>
        <v>0</v>
      </c>
      <c r="O245" s="8">
        <v>26</v>
      </c>
      <c r="P245" s="8">
        <v>0</v>
      </c>
      <c r="Q245" s="50" t="s">
        <v>586</v>
      </c>
      <c r="R245" s="53">
        <v>44590</v>
      </c>
      <c r="S245" s="52"/>
      <c r="T245" s="52"/>
      <c r="U245" s="52"/>
      <c r="V245" s="10"/>
      <c r="W245" s="10"/>
      <c r="X245" s="10"/>
      <c r="Y245" s="10"/>
      <c r="Z245" s="10"/>
      <c r="AA245" s="10" t="s">
        <v>1949</v>
      </c>
      <c r="AB245" s="10"/>
      <c r="AC245" s="10"/>
      <c r="AD245" s="77">
        <v>25.011365999999999</v>
      </c>
      <c r="AE245" s="52">
        <v>76.219514000000004</v>
      </c>
    </row>
  </sheetData>
  <mergeCells count="3">
    <mergeCell ref="K2:L2"/>
    <mergeCell ref="M2:N2"/>
    <mergeCell ref="AD2:AE2"/>
  </mergeCells>
  <conditionalFormatting sqref="S47:S48">
    <cfRule type="expression" dxfId="3" priority="4" stopIfTrue="1">
      <formula>AND(COUNTIF($B$35:$B$67,S47)+COUNTIF($B$85:$B$65511,S47)+COUNTIF($B$2:$B$2,S47)+COUNTIF(#REF!,S47)&gt;1,NOT(ISBLANK(S47)))</formula>
    </cfRule>
  </conditionalFormatting>
  <conditionalFormatting sqref="S50:S51">
    <cfRule type="expression" dxfId="2" priority="3" stopIfTrue="1">
      <formula>AND(COUNTIF($B$35:$B$67,S50)+COUNTIF($B$85:$B$65511,S50)+COUNTIF($B$2:$B$2,S50)+COUNTIF(#REF!,S50)&gt;1,NOT(ISBLANK(S50)))</formula>
    </cfRule>
  </conditionalFormatting>
  <conditionalFormatting sqref="S101:S104 S106:S107">
    <cfRule type="expression" dxfId="1" priority="2" stopIfTrue="1">
      <formula>AND(COUNTIF($B$34:$B$66,S101)+COUNTIF($B$84:$B$65507,S101)+COUNTIF(#REF!,S101)+COUNTIF(#REF!,S101)&gt;1,NOT(ISBLANK(S101)))</formula>
    </cfRule>
  </conditionalFormatting>
  <conditionalFormatting sqref="S156:S160">
    <cfRule type="expression" dxfId="0" priority="1" stopIfTrue="1">
      <formula>AND(COUNTIF($B$34:$B$66,S156)+COUNTIF($B$84:$B$65501,S156)+COUNTIF(#REF!,S156)+COUNTIF(#REF!,S156)&gt;1,NOT(ISBLANK(S156)))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0"/>
  <sheetViews>
    <sheetView topLeftCell="C1" workbookViewId="0">
      <pane xSplit="2" ySplit="3" topLeftCell="I4" activePane="bottomRight" state="frozen"/>
      <selection activeCell="C1" sqref="C1"/>
      <selection pane="topRight" activeCell="E1" sqref="E1"/>
      <selection pane="bottomLeft" activeCell="C3" sqref="C3"/>
      <selection pane="bottomRight" activeCell="Q1" sqref="Q1:AE1"/>
    </sheetView>
  </sheetViews>
  <sheetFormatPr defaultRowHeight="15"/>
  <cols>
    <col min="2" max="2" width="14.28515625" customWidth="1"/>
    <col min="3" max="3" width="18.85546875" customWidth="1"/>
    <col min="4" max="4" width="23.5703125" customWidth="1"/>
    <col min="5" max="5" width="24" customWidth="1"/>
    <col min="17" max="17" width="14" customWidth="1"/>
    <col min="18" max="18" width="13.85546875" customWidth="1"/>
  </cols>
  <sheetData>
    <row r="1" spans="1:31">
      <c r="Q1" s="92" t="s">
        <v>1953</v>
      </c>
      <c r="R1" s="92" t="s">
        <v>1953</v>
      </c>
      <c r="S1" s="92" t="s">
        <v>1954</v>
      </c>
      <c r="T1" s="93" t="s">
        <v>1955</v>
      </c>
      <c r="U1" s="92" t="s">
        <v>1955</v>
      </c>
      <c r="V1" s="92" t="s">
        <v>1955</v>
      </c>
      <c r="W1" s="92" t="s">
        <v>1955</v>
      </c>
      <c r="X1" s="92" t="s">
        <v>1955</v>
      </c>
      <c r="Y1" s="92" t="s">
        <v>1955</v>
      </c>
      <c r="Z1" s="94" t="s">
        <v>1956</v>
      </c>
      <c r="AA1" s="94" t="s">
        <v>1956</v>
      </c>
      <c r="AB1" s="94" t="s">
        <v>1956</v>
      </c>
      <c r="AC1" s="94" t="s">
        <v>1956</v>
      </c>
      <c r="AD1" s="94" t="s">
        <v>1956</v>
      </c>
      <c r="AE1" s="94" t="s">
        <v>1956</v>
      </c>
    </row>
    <row r="2" spans="1:31" ht="16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90" t="s">
        <v>10</v>
      </c>
      <c r="L2" s="90"/>
      <c r="M2" s="90" t="s">
        <v>11</v>
      </c>
      <c r="N2" s="90"/>
      <c r="O2" s="1" t="s">
        <v>12</v>
      </c>
      <c r="P2" s="1" t="s">
        <v>13</v>
      </c>
      <c r="Q2" s="3" t="s">
        <v>14</v>
      </c>
      <c r="R2" s="3" t="s">
        <v>15</v>
      </c>
      <c r="S2" s="1" t="s">
        <v>16</v>
      </c>
      <c r="T2" s="4" t="s">
        <v>17</v>
      </c>
      <c r="U2" s="1" t="s">
        <v>18</v>
      </c>
      <c r="V2" s="4" t="s">
        <v>19</v>
      </c>
      <c r="W2" s="1" t="s">
        <v>20</v>
      </c>
      <c r="X2" s="1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91" t="s">
        <v>27</v>
      </c>
      <c r="AE2" s="91"/>
    </row>
    <row r="3" spans="1:31" ht="30">
      <c r="A3" s="5"/>
      <c r="B3" s="5"/>
      <c r="C3" s="5"/>
      <c r="D3" s="5"/>
      <c r="E3" s="5"/>
      <c r="F3" s="5" t="s">
        <v>28</v>
      </c>
      <c r="G3" s="5" t="s">
        <v>29</v>
      </c>
      <c r="H3" s="5" t="s">
        <v>29</v>
      </c>
      <c r="I3" s="5" t="s">
        <v>29</v>
      </c>
      <c r="J3" s="5" t="s">
        <v>29</v>
      </c>
      <c r="K3" s="5" t="s">
        <v>29</v>
      </c>
      <c r="L3" s="6" t="s">
        <v>30</v>
      </c>
      <c r="M3" s="5"/>
      <c r="N3" s="6" t="s">
        <v>30</v>
      </c>
      <c r="O3" s="5" t="s">
        <v>28</v>
      </c>
      <c r="P3" s="5" t="s">
        <v>28</v>
      </c>
      <c r="Q3" s="5" t="s">
        <v>31</v>
      </c>
      <c r="R3" s="5" t="s">
        <v>32</v>
      </c>
      <c r="S3" s="5" t="s">
        <v>28</v>
      </c>
      <c r="T3" s="7" t="s">
        <v>28</v>
      </c>
      <c r="U3" s="5" t="s">
        <v>31</v>
      </c>
      <c r="V3" s="5" t="s">
        <v>31</v>
      </c>
      <c r="W3" s="7" t="s">
        <v>31</v>
      </c>
      <c r="X3" s="7" t="s">
        <v>31</v>
      </c>
      <c r="Y3" s="7" t="s">
        <v>28</v>
      </c>
      <c r="Z3" s="7" t="s">
        <v>31</v>
      </c>
      <c r="AA3" s="7" t="s">
        <v>31</v>
      </c>
      <c r="AB3" s="7" t="s">
        <v>28</v>
      </c>
      <c r="AC3" s="5" t="s">
        <v>33</v>
      </c>
      <c r="AD3" s="7" t="s">
        <v>34</v>
      </c>
      <c r="AE3" s="7" t="s">
        <v>35</v>
      </c>
    </row>
    <row r="4" spans="1:31">
      <c r="A4" s="8" t="s">
        <v>36</v>
      </c>
      <c r="B4" s="8" t="s">
        <v>418</v>
      </c>
      <c r="C4" s="8" t="s">
        <v>419</v>
      </c>
      <c r="D4" s="9" t="s">
        <v>420</v>
      </c>
      <c r="E4" s="8" t="s">
        <v>421</v>
      </c>
      <c r="F4" s="8">
        <v>729</v>
      </c>
      <c r="G4" s="8">
        <v>326</v>
      </c>
      <c r="H4" s="8">
        <v>1728</v>
      </c>
      <c r="I4" s="8">
        <v>875</v>
      </c>
      <c r="J4" s="8">
        <v>853</v>
      </c>
      <c r="K4" s="8">
        <v>405</v>
      </c>
      <c r="L4" s="10">
        <f t="shared" ref="L4:L67" si="0">K4/H4*100</f>
        <v>23.4375</v>
      </c>
      <c r="M4" s="8">
        <v>32</v>
      </c>
      <c r="N4" s="10">
        <f>M4/H4*100</f>
        <v>1.8518518518518516</v>
      </c>
      <c r="O4" s="8">
        <v>59</v>
      </c>
      <c r="P4" s="8">
        <v>32</v>
      </c>
      <c r="Q4" s="33" t="s">
        <v>409</v>
      </c>
      <c r="R4" s="33" t="s">
        <v>422</v>
      </c>
      <c r="S4" s="10"/>
      <c r="T4" s="37">
        <v>36</v>
      </c>
      <c r="U4" s="10" t="s">
        <v>408</v>
      </c>
      <c r="V4" s="10"/>
      <c r="W4" s="10"/>
      <c r="X4" s="10"/>
      <c r="Y4" s="10"/>
      <c r="Z4" s="10"/>
      <c r="AA4" s="10" t="s">
        <v>408</v>
      </c>
      <c r="AB4" s="37">
        <v>14</v>
      </c>
      <c r="AC4" s="10"/>
      <c r="AD4" s="33">
        <v>24.788177999999998</v>
      </c>
      <c r="AE4" s="33">
        <v>75.811205000000001</v>
      </c>
    </row>
    <row r="5" spans="1:31">
      <c r="A5" s="8" t="s">
        <v>36</v>
      </c>
      <c r="B5" s="8" t="s">
        <v>418</v>
      </c>
      <c r="C5" s="8" t="s">
        <v>419</v>
      </c>
      <c r="D5" s="9" t="s">
        <v>423</v>
      </c>
      <c r="E5" s="8" t="s">
        <v>424</v>
      </c>
      <c r="F5" s="8">
        <v>365</v>
      </c>
      <c r="G5" s="8">
        <v>68</v>
      </c>
      <c r="H5" s="8">
        <v>317</v>
      </c>
      <c r="I5" s="8">
        <v>162</v>
      </c>
      <c r="J5" s="8">
        <v>155</v>
      </c>
      <c r="K5" s="8">
        <v>88</v>
      </c>
      <c r="L5" s="10">
        <f t="shared" si="0"/>
        <v>27.760252365930597</v>
      </c>
      <c r="M5" s="8">
        <v>0</v>
      </c>
      <c r="N5" s="10">
        <f t="shared" ref="N5:N68" si="1">M5/H5*100</f>
        <v>0</v>
      </c>
      <c r="O5" s="8">
        <v>0</v>
      </c>
      <c r="P5" s="8">
        <v>0</v>
      </c>
      <c r="Q5" s="19" t="s">
        <v>409</v>
      </c>
      <c r="R5" s="19" t="s">
        <v>425</v>
      </c>
      <c r="S5" s="10"/>
      <c r="T5" s="13">
        <v>0</v>
      </c>
      <c r="U5" s="10" t="s">
        <v>408</v>
      </c>
      <c r="V5" s="10"/>
      <c r="W5" s="10"/>
      <c r="X5" s="10"/>
      <c r="Y5" s="10"/>
      <c r="Z5" s="10"/>
      <c r="AA5" s="10" t="s">
        <v>1949</v>
      </c>
      <c r="AB5" s="13"/>
      <c r="AC5" s="10"/>
      <c r="AD5" s="13">
        <v>0</v>
      </c>
      <c r="AE5" s="13">
        <v>0</v>
      </c>
    </row>
    <row r="6" spans="1:31">
      <c r="A6" s="8" t="s">
        <v>36</v>
      </c>
      <c r="B6" s="8" t="s">
        <v>418</v>
      </c>
      <c r="C6" s="8" t="s">
        <v>419</v>
      </c>
      <c r="D6" s="9" t="s">
        <v>426</v>
      </c>
      <c r="E6" s="8" t="s">
        <v>427</v>
      </c>
      <c r="F6" s="8">
        <v>403</v>
      </c>
      <c r="G6" s="8">
        <v>129</v>
      </c>
      <c r="H6" s="8">
        <v>583</v>
      </c>
      <c r="I6" s="8">
        <v>296</v>
      </c>
      <c r="J6" s="8">
        <v>287</v>
      </c>
      <c r="K6" s="8">
        <v>2</v>
      </c>
      <c r="L6" s="10">
        <f t="shared" si="0"/>
        <v>0.34305317324185247</v>
      </c>
      <c r="M6" s="8">
        <v>577</v>
      </c>
      <c r="N6" s="10">
        <f t="shared" si="1"/>
        <v>98.970840480274447</v>
      </c>
      <c r="O6" s="8">
        <v>0</v>
      </c>
      <c r="P6" s="8">
        <v>577</v>
      </c>
      <c r="Q6" s="19" t="s">
        <v>409</v>
      </c>
      <c r="R6" s="19" t="s">
        <v>425</v>
      </c>
      <c r="S6" s="10"/>
      <c r="T6" s="13">
        <v>0</v>
      </c>
      <c r="U6" s="10" t="s">
        <v>408</v>
      </c>
      <c r="V6" s="10"/>
      <c r="W6" s="10"/>
      <c r="X6" s="10"/>
      <c r="Y6" s="10"/>
      <c r="Z6" s="10"/>
      <c r="AA6" s="10" t="s">
        <v>1949</v>
      </c>
      <c r="AB6" s="13"/>
      <c r="AC6" s="10"/>
      <c r="AD6" s="13">
        <v>0</v>
      </c>
      <c r="AE6" s="13">
        <v>0</v>
      </c>
    </row>
    <row r="7" spans="1:31">
      <c r="A7" s="8" t="s">
        <v>36</v>
      </c>
      <c r="B7" s="8" t="s">
        <v>418</v>
      </c>
      <c r="C7" s="8" t="s">
        <v>419</v>
      </c>
      <c r="D7" s="9" t="s">
        <v>428</v>
      </c>
      <c r="E7" s="8" t="s">
        <v>429</v>
      </c>
      <c r="F7" s="8">
        <v>171</v>
      </c>
      <c r="G7" s="8">
        <v>57</v>
      </c>
      <c r="H7" s="8">
        <v>327</v>
      </c>
      <c r="I7" s="8">
        <v>168</v>
      </c>
      <c r="J7" s="8">
        <v>159</v>
      </c>
      <c r="K7" s="8">
        <v>0</v>
      </c>
      <c r="L7" s="10">
        <f t="shared" si="0"/>
        <v>0</v>
      </c>
      <c r="M7" s="8">
        <v>0</v>
      </c>
      <c r="N7" s="10">
        <f t="shared" si="1"/>
        <v>0</v>
      </c>
      <c r="O7" s="8">
        <v>0</v>
      </c>
      <c r="P7" s="8">
        <v>0</v>
      </c>
      <c r="Q7" s="19" t="s">
        <v>409</v>
      </c>
      <c r="R7" s="19" t="s">
        <v>425</v>
      </c>
      <c r="S7" s="10"/>
      <c r="T7" s="13">
        <v>0</v>
      </c>
      <c r="U7" s="10" t="s">
        <v>408</v>
      </c>
      <c r="V7" s="10"/>
      <c r="W7" s="10"/>
      <c r="X7" s="10"/>
      <c r="Y7" s="10"/>
      <c r="Z7" s="10"/>
      <c r="AA7" s="10" t="s">
        <v>1949</v>
      </c>
      <c r="AB7" s="13"/>
      <c r="AC7" s="10"/>
      <c r="AD7" s="19">
        <v>0</v>
      </c>
      <c r="AE7" s="19">
        <v>0</v>
      </c>
    </row>
    <row r="8" spans="1:31">
      <c r="A8" s="8" t="s">
        <v>36</v>
      </c>
      <c r="B8" s="8" t="s">
        <v>418</v>
      </c>
      <c r="C8" s="8" t="s">
        <v>419</v>
      </c>
      <c r="D8" s="9" t="s">
        <v>430</v>
      </c>
      <c r="E8" s="8" t="s">
        <v>431</v>
      </c>
      <c r="F8" s="8">
        <v>474</v>
      </c>
      <c r="G8" s="8">
        <v>133</v>
      </c>
      <c r="H8" s="8">
        <v>620</v>
      </c>
      <c r="I8" s="8">
        <v>338</v>
      </c>
      <c r="J8" s="8">
        <v>282</v>
      </c>
      <c r="K8" s="8">
        <v>217</v>
      </c>
      <c r="L8" s="10">
        <f t="shared" si="0"/>
        <v>35</v>
      </c>
      <c r="M8" s="8">
        <v>26</v>
      </c>
      <c r="N8" s="10">
        <f t="shared" si="1"/>
        <v>4.1935483870967749</v>
      </c>
      <c r="O8" s="8">
        <v>29</v>
      </c>
      <c r="P8" s="8">
        <v>26</v>
      </c>
      <c r="Q8" s="33" t="s">
        <v>409</v>
      </c>
      <c r="R8" s="33" t="s">
        <v>422</v>
      </c>
      <c r="S8" s="10"/>
      <c r="T8" s="37">
        <v>14</v>
      </c>
      <c r="U8" s="10" t="s">
        <v>408</v>
      </c>
      <c r="V8" s="10"/>
      <c r="W8" s="10"/>
      <c r="X8" s="10"/>
      <c r="Y8" s="10"/>
      <c r="Z8" s="10"/>
      <c r="AA8" s="10" t="s">
        <v>408</v>
      </c>
      <c r="AB8" s="37">
        <v>14</v>
      </c>
      <c r="AC8" s="10"/>
      <c r="AD8" s="33">
        <v>24.773733</v>
      </c>
      <c r="AE8" s="33">
        <v>75.813485</v>
      </c>
    </row>
    <row r="9" spans="1:31">
      <c r="A9" s="8" t="s">
        <v>36</v>
      </c>
      <c r="B9" s="8" t="s">
        <v>418</v>
      </c>
      <c r="C9" s="8" t="s">
        <v>433</v>
      </c>
      <c r="D9" s="9" t="s">
        <v>434</v>
      </c>
      <c r="E9" s="8" t="s">
        <v>435</v>
      </c>
      <c r="F9" s="8">
        <v>318</v>
      </c>
      <c r="G9" s="8">
        <v>155</v>
      </c>
      <c r="H9" s="8">
        <v>898</v>
      </c>
      <c r="I9" s="8">
        <v>477</v>
      </c>
      <c r="J9" s="8">
        <v>421</v>
      </c>
      <c r="K9" s="8">
        <v>172</v>
      </c>
      <c r="L9" s="10">
        <f t="shared" si="0"/>
        <v>19.153674832962139</v>
      </c>
      <c r="M9" s="8">
        <v>0</v>
      </c>
      <c r="N9" s="10">
        <f t="shared" si="1"/>
        <v>0</v>
      </c>
      <c r="O9" s="8">
        <v>33</v>
      </c>
      <c r="P9" s="8">
        <v>0</v>
      </c>
      <c r="Q9" s="26"/>
      <c r="R9" s="26"/>
      <c r="S9" s="10"/>
      <c r="T9" s="18">
        <v>0</v>
      </c>
      <c r="U9" s="10" t="s">
        <v>408</v>
      </c>
      <c r="V9" s="10"/>
      <c r="W9" s="10"/>
      <c r="X9" s="10"/>
      <c r="Y9" s="10"/>
      <c r="Z9" s="10"/>
      <c r="AA9" s="10" t="s">
        <v>408</v>
      </c>
      <c r="AB9" s="18">
        <v>9</v>
      </c>
      <c r="AC9" s="10"/>
      <c r="AD9" s="26"/>
      <c r="AE9" s="26"/>
    </row>
    <row r="10" spans="1:31">
      <c r="A10" s="8" t="s">
        <v>36</v>
      </c>
      <c r="B10" s="8" t="s">
        <v>418</v>
      </c>
      <c r="C10" s="8" t="s">
        <v>433</v>
      </c>
      <c r="D10" s="9" t="s">
        <v>436</v>
      </c>
      <c r="E10" s="8" t="s">
        <v>437</v>
      </c>
      <c r="F10" s="8">
        <v>383</v>
      </c>
      <c r="G10" s="8">
        <v>80</v>
      </c>
      <c r="H10" s="8">
        <v>450</v>
      </c>
      <c r="I10" s="8">
        <v>228</v>
      </c>
      <c r="J10" s="8">
        <v>222</v>
      </c>
      <c r="K10" s="8">
        <v>0</v>
      </c>
      <c r="L10" s="10">
        <f t="shared" si="0"/>
        <v>0</v>
      </c>
      <c r="M10" s="8">
        <v>29</v>
      </c>
      <c r="N10" s="10">
        <f t="shared" si="1"/>
        <v>6.4444444444444446</v>
      </c>
      <c r="O10" s="8">
        <v>40</v>
      </c>
      <c r="P10" s="8">
        <v>29</v>
      </c>
      <c r="Q10" s="19" t="s">
        <v>409</v>
      </c>
      <c r="R10" s="19" t="s">
        <v>438</v>
      </c>
      <c r="S10" s="10"/>
      <c r="T10" s="13">
        <v>0</v>
      </c>
      <c r="U10" s="10" t="s">
        <v>408</v>
      </c>
      <c r="V10" s="10"/>
      <c r="W10" s="10"/>
      <c r="X10" s="10"/>
      <c r="Y10" s="10"/>
      <c r="Z10" s="10"/>
      <c r="AA10" s="10" t="s">
        <v>1949</v>
      </c>
      <c r="AB10" s="13"/>
      <c r="AC10" s="10"/>
      <c r="AD10" s="13">
        <v>0</v>
      </c>
      <c r="AE10" s="13">
        <v>0</v>
      </c>
    </row>
    <row r="11" spans="1:31">
      <c r="A11" s="8" t="s">
        <v>36</v>
      </c>
      <c r="B11" s="8" t="s">
        <v>418</v>
      </c>
      <c r="C11" s="8" t="s">
        <v>433</v>
      </c>
      <c r="D11" s="9" t="s">
        <v>439</v>
      </c>
      <c r="E11" s="8" t="s">
        <v>440</v>
      </c>
      <c r="F11" s="8">
        <v>241</v>
      </c>
      <c r="G11" s="8">
        <v>156</v>
      </c>
      <c r="H11" s="8">
        <v>833</v>
      </c>
      <c r="I11" s="8">
        <v>432</v>
      </c>
      <c r="J11" s="8">
        <v>401</v>
      </c>
      <c r="K11" s="8">
        <v>6</v>
      </c>
      <c r="L11" s="10">
        <f t="shared" si="0"/>
        <v>0.72028811524609848</v>
      </c>
      <c r="M11" s="8">
        <v>53</v>
      </c>
      <c r="N11" s="10">
        <f t="shared" si="1"/>
        <v>6.3625450180072027</v>
      </c>
      <c r="O11" s="8">
        <v>5</v>
      </c>
      <c r="P11" s="8">
        <v>53</v>
      </c>
      <c r="Q11" s="19" t="s">
        <v>409</v>
      </c>
      <c r="R11" s="19" t="s">
        <v>438</v>
      </c>
      <c r="S11" s="10"/>
      <c r="T11" s="13">
        <v>0</v>
      </c>
      <c r="U11" s="10" t="s">
        <v>408</v>
      </c>
      <c r="V11" s="10"/>
      <c r="W11" s="10"/>
      <c r="X11" s="10"/>
      <c r="Y11" s="10"/>
      <c r="Z11" s="10"/>
      <c r="AA11" s="10" t="s">
        <v>1949</v>
      </c>
      <c r="AB11" s="13"/>
      <c r="AC11" s="10"/>
      <c r="AD11" s="13">
        <v>0</v>
      </c>
      <c r="AE11" s="13">
        <v>0</v>
      </c>
    </row>
    <row r="12" spans="1:31">
      <c r="A12" s="8" t="s">
        <v>36</v>
      </c>
      <c r="B12" s="8" t="s">
        <v>418</v>
      </c>
      <c r="C12" s="8" t="s">
        <v>433</v>
      </c>
      <c r="D12" s="9" t="s">
        <v>441</v>
      </c>
      <c r="E12" s="8" t="s">
        <v>442</v>
      </c>
      <c r="F12" s="8">
        <v>485</v>
      </c>
      <c r="G12" s="8">
        <v>96</v>
      </c>
      <c r="H12" s="8">
        <v>507</v>
      </c>
      <c r="I12" s="8">
        <v>286</v>
      </c>
      <c r="J12" s="8">
        <v>221</v>
      </c>
      <c r="K12" s="8">
        <v>20</v>
      </c>
      <c r="L12" s="10">
        <f t="shared" si="0"/>
        <v>3.9447731755424065</v>
      </c>
      <c r="M12" s="8">
        <v>0</v>
      </c>
      <c r="N12" s="10">
        <f t="shared" si="1"/>
        <v>0</v>
      </c>
      <c r="O12" s="8">
        <v>21</v>
      </c>
      <c r="P12" s="8">
        <v>0</v>
      </c>
      <c r="Q12" s="19" t="s">
        <v>409</v>
      </c>
      <c r="R12" s="19" t="s">
        <v>438</v>
      </c>
      <c r="S12" s="10"/>
      <c r="T12" s="13">
        <v>0</v>
      </c>
      <c r="U12" s="10" t="s">
        <v>408</v>
      </c>
      <c r="V12" s="10"/>
      <c r="W12" s="10"/>
      <c r="X12" s="10"/>
      <c r="Y12" s="10"/>
      <c r="Z12" s="10"/>
      <c r="AA12" s="10" t="s">
        <v>1949</v>
      </c>
      <c r="AB12" s="13"/>
      <c r="AC12" s="10"/>
      <c r="AD12" s="13">
        <v>0</v>
      </c>
      <c r="AE12" s="13">
        <v>0</v>
      </c>
    </row>
    <row r="13" spans="1:31">
      <c r="A13" s="8" t="s">
        <v>36</v>
      </c>
      <c r="B13" s="8" t="s">
        <v>418</v>
      </c>
      <c r="C13" s="8" t="s">
        <v>433</v>
      </c>
      <c r="D13" s="9" t="s">
        <v>443</v>
      </c>
      <c r="E13" s="8" t="s">
        <v>444</v>
      </c>
      <c r="F13" s="8">
        <v>351</v>
      </c>
      <c r="G13" s="8">
        <v>80</v>
      </c>
      <c r="H13" s="8">
        <v>416</v>
      </c>
      <c r="I13" s="8">
        <v>224</v>
      </c>
      <c r="J13" s="8">
        <v>192</v>
      </c>
      <c r="K13" s="8">
        <v>167</v>
      </c>
      <c r="L13" s="10">
        <f t="shared" si="0"/>
        <v>40.144230769230774</v>
      </c>
      <c r="M13" s="8">
        <v>36</v>
      </c>
      <c r="N13" s="10">
        <f t="shared" si="1"/>
        <v>8.6538461538461533</v>
      </c>
      <c r="O13" s="8">
        <v>13</v>
      </c>
      <c r="P13" s="8">
        <v>36</v>
      </c>
      <c r="Q13" s="19" t="s">
        <v>409</v>
      </c>
      <c r="R13" s="19" t="s">
        <v>445</v>
      </c>
      <c r="S13" s="10"/>
      <c r="T13" s="13">
        <v>0</v>
      </c>
      <c r="U13" s="10" t="s">
        <v>408</v>
      </c>
      <c r="V13" s="10"/>
      <c r="W13" s="10"/>
      <c r="X13" s="10"/>
      <c r="Y13" s="10"/>
      <c r="Z13" s="10"/>
      <c r="AA13" s="10" t="s">
        <v>1949</v>
      </c>
      <c r="AB13" s="13"/>
      <c r="AC13" s="10"/>
      <c r="AD13" s="13">
        <v>0</v>
      </c>
      <c r="AE13" s="13">
        <v>0</v>
      </c>
    </row>
    <row r="14" spans="1:31">
      <c r="A14" s="8" t="s">
        <v>36</v>
      </c>
      <c r="B14" s="8" t="s">
        <v>418</v>
      </c>
      <c r="C14" s="8" t="s">
        <v>433</v>
      </c>
      <c r="D14" s="9" t="s">
        <v>446</v>
      </c>
      <c r="E14" s="8" t="s">
        <v>447</v>
      </c>
      <c r="F14" s="8">
        <v>222</v>
      </c>
      <c r="G14" s="8">
        <v>56</v>
      </c>
      <c r="H14" s="8">
        <v>367</v>
      </c>
      <c r="I14" s="8">
        <v>184</v>
      </c>
      <c r="J14" s="8">
        <v>183</v>
      </c>
      <c r="K14" s="8">
        <v>87</v>
      </c>
      <c r="L14" s="10">
        <f t="shared" si="0"/>
        <v>23.705722070844686</v>
      </c>
      <c r="M14" s="8">
        <v>1</v>
      </c>
      <c r="N14" s="10">
        <f t="shared" si="1"/>
        <v>0.27247956403269752</v>
      </c>
      <c r="O14" s="8">
        <v>18</v>
      </c>
      <c r="P14" s="8">
        <v>1</v>
      </c>
      <c r="Q14" s="19" t="s">
        <v>409</v>
      </c>
      <c r="R14" s="19" t="s">
        <v>438</v>
      </c>
      <c r="S14" s="10"/>
      <c r="T14" s="13">
        <v>0</v>
      </c>
      <c r="U14" s="10" t="s">
        <v>408</v>
      </c>
      <c r="V14" s="10"/>
      <c r="W14" s="10"/>
      <c r="X14" s="10"/>
      <c r="Y14" s="10"/>
      <c r="Z14" s="10"/>
      <c r="AA14" s="10" t="s">
        <v>1949</v>
      </c>
      <c r="AB14" s="13"/>
      <c r="AC14" s="10"/>
      <c r="AD14" s="13">
        <v>0</v>
      </c>
      <c r="AE14" s="13">
        <v>0</v>
      </c>
    </row>
    <row r="15" spans="1:31">
      <c r="A15" s="8" t="s">
        <v>36</v>
      </c>
      <c r="B15" s="8" t="s">
        <v>418</v>
      </c>
      <c r="C15" s="8" t="s">
        <v>448</v>
      </c>
      <c r="D15" s="9" t="s">
        <v>449</v>
      </c>
      <c r="E15" s="8" t="s">
        <v>450</v>
      </c>
      <c r="F15" s="8">
        <v>297</v>
      </c>
      <c r="G15" s="8">
        <v>966</v>
      </c>
      <c r="H15" s="8">
        <v>4678</v>
      </c>
      <c r="I15" s="8">
        <v>2419</v>
      </c>
      <c r="J15" s="8">
        <v>2259</v>
      </c>
      <c r="K15" s="8">
        <v>1716</v>
      </c>
      <c r="L15" s="10">
        <f t="shared" si="0"/>
        <v>36.682342881573319</v>
      </c>
      <c r="M15" s="8">
        <v>681</v>
      </c>
      <c r="N15" s="10">
        <f t="shared" si="1"/>
        <v>14.557503206498504</v>
      </c>
      <c r="O15" s="8">
        <v>14</v>
      </c>
      <c r="P15" s="8">
        <v>681</v>
      </c>
      <c r="Q15" s="19" t="s">
        <v>409</v>
      </c>
      <c r="R15" s="19" t="s">
        <v>445</v>
      </c>
      <c r="S15" s="10"/>
      <c r="T15" s="13">
        <v>0</v>
      </c>
      <c r="U15" s="10" t="s">
        <v>408</v>
      </c>
      <c r="V15" s="10"/>
      <c r="W15" s="10"/>
      <c r="X15" s="10"/>
      <c r="Y15" s="10"/>
      <c r="Z15" s="10"/>
      <c r="AA15" s="10" t="s">
        <v>1949</v>
      </c>
      <c r="AB15" s="13"/>
      <c r="AC15" s="10"/>
      <c r="AD15" s="13">
        <v>0</v>
      </c>
      <c r="AE15" s="13">
        <v>0</v>
      </c>
    </row>
    <row r="16" spans="1:31">
      <c r="A16" s="8" t="s">
        <v>36</v>
      </c>
      <c r="B16" s="8" t="s">
        <v>418</v>
      </c>
      <c r="C16" s="8" t="s">
        <v>451</v>
      </c>
      <c r="D16" s="9" t="s">
        <v>452</v>
      </c>
      <c r="E16" s="8" t="s">
        <v>453</v>
      </c>
      <c r="F16" s="8">
        <v>539</v>
      </c>
      <c r="G16" s="8">
        <v>404</v>
      </c>
      <c r="H16" s="8">
        <v>1964</v>
      </c>
      <c r="I16" s="8">
        <v>995</v>
      </c>
      <c r="J16" s="8">
        <v>969</v>
      </c>
      <c r="K16" s="8">
        <v>287</v>
      </c>
      <c r="L16" s="10">
        <f t="shared" si="0"/>
        <v>14.613034623217921</v>
      </c>
      <c r="M16" s="8">
        <v>13</v>
      </c>
      <c r="N16" s="10">
        <f t="shared" si="1"/>
        <v>0.66191446028513234</v>
      </c>
      <c r="O16" s="8">
        <v>57</v>
      </c>
      <c r="P16" s="8">
        <v>13</v>
      </c>
      <c r="Q16" s="17" t="s">
        <v>409</v>
      </c>
      <c r="R16" s="17" t="s">
        <v>454</v>
      </c>
      <c r="S16" s="10"/>
      <c r="T16" s="17">
        <v>54.59</v>
      </c>
      <c r="U16" s="10" t="s">
        <v>408</v>
      </c>
      <c r="V16" s="10"/>
      <c r="W16" s="10"/>
      <c r="X16" s="10"/>
      <c r="Y16" s="10"/>
      <c r="Z16" s="10"/>
      <c r="AA16" s="10" t="s">
        <v>408</v>
      </c>
      <c r="AB16" s="13">
        <v>13</v>
      </c>
      <c r="AC16" s="10"/>
      <c r="AD16" s="17">
        <v>24.752064000000001</v>
      </c>
      <c r="AE16" s="17">
        <v>75.931146999999996</v>
      </c>
    </row>
    <row r="17" spans="1:31">
      <c r="A17" s="8"/>
      <c r="B17" s="8" t="s">
        <v>418</v>
      </c>
      <c r="C17" s="8" t="s">
        <v>451</v>
      </c>
      <c r="D17" s="9" t="s">
        <v>452</v>
      </c>
      <c r="E17" s="8" t="s">
        <v>453</v>
      </c>
      <c r="F17" s="8"/>
      <c r="G17" s="8"/>
      <c r="H17" s="8"/>
      <c r="I17" s="8"/>
      <c r="J17" s="8"/>
      <c r="K17" s="8"/>
      <c r="L17" s="10" t="e">
        <f t="shared" si="0"/>
        <v>#DIV/0!</v>
      </c>
      <c r="M17" s="8"/>
      <c r="N17" s="10" t="e">
        <f t="shared" si="1"/>
        <v>#DIV/0!</v>
      </c>
      <c r="O17" s="8"/>
      <c r="P17" s="8"/>
      <c r="Q17" s="17" t="s">
        <v>409</v>
      </c>
      <c r="R17" s="17" t="s">
        <v>454</v>
      </c>
      <c r="S17" s="10"/>
      <c r="T17" s="10"/>
      <c r="U17" s="10" t="s">
        <v>408</v>
      </c>
      <c r="V17" s="10"/>
      <c r="W17" s="10"/>
      <c r="X17" s="10"/>
      <c r="Y17" s="10"/>
      <c r="Z17" s="10"/>
      <c r="AA17" s="10" t="s">
        <v>1949</v>
      </c>
      <c r="AB17" s="10"/>
      <c r="AC17" s="10"/>
      <c r="AD17" s="17">
        <v>24.752064000000001</v>
      </c>
      <c r="AE17" s="17">
        <v>75.931146999999996</v>
      </c>
    </row>
    <row r="18" spans="1:31">
      <c r="A18" s="8"/>
      <c r="B18" s="8" t="s">
        <v>418</v>
      </c>
      <c r="C18" s="8" t="s">
        <v>451</v>
      </c>
      <c r="D18" s="9" t="s">
        <v>452</v>
      </c>
      <c r="E18" s="8" t="s">
        <v>453</v>
      </c>
      <c r="F18" s="8"/>
      <c r="G18" s="8"/>
      <c r="H18" s="8"/>
      <c r="I18" s="8"/>
      <c r="J18" s="8"/>
      <c r="K18" s="8"/>
      <c r="L18" s="10" t="e">
        <f t="shared" si="0"/>
        <v>#DIV/0!</v>
      </c>
      <c r="M18" s="8"/>
      <c r="N18" s="10" t="e">
        <f t="shared" si="1"/>
        <v>#DIV/0!</v>
      </c>
      <c r="O18" s="8"/>
      <c r="P18" s="8"/>
      <c r="Q18" s="39"/>
      <c r="R18" s="39"/>
      <c r="S18" s="10"/>
      <c r="T18" s="13">
        <v>0</v>
      </c>
      <c r="U18" s="10" t="s">
        <v>408</v>
      </c>
      <c r="V18" s="10"/>
      <c r="W18" s="10"/>
      <c r="X18" s="10"/>
      <c r="Y18" s="10"/>
      <c r="Z18" s="10"/>
      <c r="AA18" s="10" t="s">
        <v>1949</v>
      </c>
      <c r="AB18" s="13"/>
      <c r="AC18" s="10"/>
      <c r="AD18" s="39"/>
      <c r="AE18" s="39"/>
    </row>
    <row r="19" spans="1:31">
      <c r="A19" s="8" t="s">
        <v>36</v>
      </c>
      <c r="B19" s="8" t="s">
        <v>418</v>
      </c>
      <c r="C19" s="8" t="s">
        <v>451</v>
      </c>
      <c r="D19" s="9" t="s">
        <v>455</v>
      </c>
      <c r="E19" s="8" t="s">
        <v>456</v>
      </c>
      <c r="F19" s="8">
        <v>119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10" t="e">
        <f t="shared" si="0"/>
        <v>#DIV/0!</v>
      </c>
      <c r="M19" s="8">
        <v>0</v>
      </c>
      <c r="N19" s="10" t="e">
        <f t="shared" si="1"/>
        <v>#DIV/0!</v>
      </c>
      <c r="O19" s="8">
        <v>0</v>
      </c>
      <c r="P19" s="8">
        <v>0</v>
      </c>
      <c r="Q19" s="10"/>
      <c r="R19" s="10"/>
      <c r="S19" s="10"/>
      <c r="T19" s="17">
        <v>20.62</v>
      </c>
      <c r="U19" s="10" t="s">
        <v>408</v>
      </c>
      <c r="V19" s="10"/>
      <c r="W19" s="10"/>
      <c r="X19" s="10"/>
      <c r="Y19" s="10"/>
      <c r="Z19" s="10"/>
      <c r="AA19" s="10" t="s">
        <v>408</v>
      </c>
      <c r="AB19" s="13">
        <v>11</v>
      </c>
      <c r="AC19" s="10"/>
      <c r="AD19" s="10"/>
      <c r="AE19" s="10"/>
    </row>
    <row r="20" spans="1:31">
      <c r="A20" s="8" t="s">
        <v>36</v>
      </c>
      <c r="B20" s="8" t="s">
        <v>418</v>
      </c>
      <c r="C20" s="8" t="s">
        <v>451</v>
      </c>
      <c r="D20" s="9" t="s">
        <v>457</v>
      </c>
      <c r="E20" s="8" t="s">
        <v>458</v>
      </c>
      <c r="F20" s="8">
        <v>351</v>
      </c>
      <c r="G20" s="8">
        <v>61</v>
      </c>
      <c r="H20" s="8">
        <v>281</v>
      </c>
      <c r="I20" s="8">
        <v>137</v>
      </c>
      <c r="J20" s="8">
        <v>144</v>
      </c>
      <c r="K20" s="8">
        <v>50</v>
      </c>
      <c r="L20" s="10">
        <f t="shared" si="0"/>
        <v>17.793594306049823</v>
      </c>
      <c r="M20" s="8">
        <v>199</v>
      </c>
      <c r="N20" s="10">
        <f t="shared" si="1"/>
        <v>70.818505338078296</v>
      </c>
      <c r="O20" s="8">
        <v>8</v>
      </c>
      <c r="P20" s="8">
        <v>199</v>
      </c>
      <c r="Q20" s="17" t="s">
        <v>409</v>
      </c>
      <c r="R20" s="17" t="s">
        <v>459</v>
      </c>
      <c r="S20" s="10"/>
      <c r="T20" s="13">
        <v>1.71</v>
      </c>
      <c r="U20" s="10" t="s">
        <v>408</v>
      </c>
      <c r="V20" s="10"/>
      <c r="W20" s="10"/>
      <c r="X20" s="10"/>
      <c r="Y20" s="10"/>
      <c r="Z20" s="10"/>
      <c r="AA20" s="10" t="s">
        <v>408</v>
      </c>
      <c r="AB20" s="13">
        <v>1</v>
      </c>
      <c r="AC20" s="10"/>
      <c r="AD20" s="13">
        <v>24.747843</v>
      </c>
      <c r="AE20" s="13">
        <v>75.942462000000006</v>
      </c>
    </row>
    <row r="21" spans="1:31">
      <c r="A21" s="8" t="s">
        <v>36</v>
      </c>
      <c r="B21" s="8" t="s">
        <v>418</v>
      </c>
      <c r="C21" s="8" t="s">
        <v>451</v>
      </c>
      <c r="D21" s="9" t="s">
        <v>460</v>
      </c>
      <c r="E21" s="8" t="s">
        <v>461</v>
      </c>
      <c r="F21" s="8">
        <v>291</v>
      </c>
      <c r="G21" s="8">
        <v>179</v>
      </c>
      <c r="H21" s="8">
        <v>850</v>
      </c>
      <c r="I21" s="8">
        <v>445</v>
      </c>
      <c r="J21" s="8">
        <v>405</v>
      </c>
      <c r="K21" s="8">
        <v>51</v>
      </c>
      <c r="L21" s="10">
        <f t="shared" si="0"/>
        <v>6</v>
      </c>
      <c r="M21" s="8">
        <v>690</v>
      </c>
      <c r="N21" s="10">
        <f t="shared" si="1"/>
        <v>81.17647058823529</v>
      </c>
      <c r="O21" s="8">
        <v>21</v>
      </c>
      <c r="P21" s="8">
        <v>690</v>
      </c>
      <c r="Q21" s="17" t="s">
        <v>409</v>
      </c>
      <c r="R21" s="17" t="s">
        <v>459</v>
      </c>
      <c r="S21" s="10"/>
      <c r="T21" s="17">
        <v>10.08</v>
      </c>
      <c r="U21" s="10" t="s">
        <v>408</v>
      </c>
      <c r="V21" s="10"/>
      <c r="W21" s="10"/>
      <c r="X21" s="10"/>
      <c r="Y21" s="10"/>
      <c r="Z21" s="10"/>
      <c r="AA21" s="10" t="s">
        <v>408</v>
      </c>
      <c r="AB21" s="13">
        <v>1</v>
      </c>
      <c r="AC21" s="10"/>
      <c r="AD21" s="17">
        <v>24.755075000000001</v>
      </c>
      <c r="AE21" s="17">
        <v>75.961703999999997</v>
      </c>
    </row>
    <row r="22" spans="1:31">
      <c r="A22" s="8" t="s">
        <v>36</v>
      </c>
      <c r="B22" s="8" t="s">
        <v>418</v>
      </c>
      <c r="C22" s="8" t="s">
        <v>451</v>
      </c>
      <c r="D22" s="9" t="s">
        <v>462</v>
      </c>
      <c r="E22" s="8" t="s">
        <v>463</v>
      </c>
      <c r="F22" s="8">
        <v>229</v>
      </c>
      <c r="G22" s="8">
        <v>60</v>
      </c>
      <c r="H22" s="8">
        <v>280</v>
      </c>
      <c r="I22" s="8">
        <v>166</v>
      </c>
      <c r="J22" s="8">
        <v>114</v>
      </c>
      <c r="K22" s="8">
        <v>13</v>
      </c>
      <c r="L22" s="10">
        <f t="shared" si="0"/>
        <v>4.6428571428571432</v>
      </c>
      <c r="M22" s="8">
        <v>172</v>
      </c>
      <c r="N22" s="10">
        <f t="shared" si="1"/>
        <v>61.428571428571431</v>
      </c>
      <c r="O22" s="8">
        <v>17</v>
      </c>
      <c r="P22" s="8">
        <v>172</v>
      </c>
      <c r="Q22" s="17" t="s">
        <v>409</v>
      </c>
      <c r="R22" s="17" t="s">
        <v>459</v>
      </c>
      <c r="S22" s="10"/>
      <c r="T22" s="17">
        <v>0</v>
      </c>
      <c r="U22" s="10" t="s">
        <v>408</v>
      </c>
      <c r="V22" s="10"/>
      <c r="W22" s="10"/>
      <c r="X22" s="10"/>
      <c r="Y22" s="10"/>
      <c r="Z22" s="10"/>
      <c r="AA22" s="10" t="s">
        <v>408</v>
      </c>
      <c r="AB22" s="13">
        <v>12</v>
      </c>
      <c r="AC22" s="10"/>
      <c r="AD22" s="13">
        <v>24.76314</v>
      </c>
      <c r="AE22" s="13">
        <v>75.969040000000007</v>
      </c>
    </row>
    <row r="23" spans="1:31">
      <c r="A23" s="8" t="s">
        <v>36</v>
      </c>
      <c r="B23" s="8" t="s">
        <v>418</v>
      </c>
      <c r="C23" s="8" t="s">
        <v>451</v>
      </c>
      <c r="D23" s="9" t="s">
        <v>464</v>
      </c>
      <c r="E23" s="8" t="s">
        <v>465</v>
      </c>
      <c r="F23" s="8">
        <v>294</v>
      </c>
      <c r="G23" s="8">
        <v>53</v>
      </c>
      <c r="H23" s="8">
        <v>264</v>
      </c>
      <c r="I23" s="8">
        <v>131</v>
      </c>
      <c r="J23" s="8">
        <v>133</v>
      </c>
      <c r="K23" s="8">
        <v>137</v>
      </c>
      <c r="L23" s="10">
        <f t="shared" si="0"/>
        <v>51.893939393939391</v>
      </c>
      <c r="M23" s="8">
        <v>75</v>
      </c>
      <c r="N23" s="10">
        <f t="shared" si="1"/>
        <v>28.40909090909091</v>
      </c>
      <c r="O23" s="8">
        <v>10</v>
      </c>
      <c r="P23" s="8">
        <v>75</v>
      </c>
      <c r="Q23" s="17" t="s">
        <v>409</v>
      </c>
      <c r="R23" s="17" t="s">
        <v>459</v>
      </c>
      <c r="S23" s="10"/>
      <c r="T23" s="17">
        <v>25.99</v>
      </c>
      <c r="U23" s="10" t="s">
        <v>408</v>
      </c>
      <c r="V23" s="10"/>
      <c r="W23" s="10"/>
      <c r="X23" s="10"/>
      <c r="Y23" s="10"/>
      <c r="Z23" s="10"/>
      <c r="AA23" s="10" t="s">
        <v>408</v>
      </c>
      <c r="AB23" s="13">
        <v>25</v>
      </c>
      <c r="AC23" s="10"/>
      <c r="AD23" s="17">
        <v>24.763407999999998</v>
      </c>
      <c r="AE23" s="17">
        <v>75.926214000000002</v>
      </c>
    </row>
    <row r="24" spans="1:31">
      <c r="A24" s="8" t="s">
        <v>36</v>
      </c>
      <c r="B24" s="8" t="s">
        <v>418</v>
      </c>
      <c r="C24" s="8" t="s">
        <v>451</v>
      </c>
      <c r="D24" s="9" t="s">
        <v>466</v>
      </c>
      <c r="E24" s="8" t="s">
        <v>467</v>
      </c>
      <c r="F24" s="8">
        <v>341</v>
      </c>
      <c r="G24" s="8">
        <v>264</v>
      </c>
      <c r="H24" s="8">
        <v>1531</v>
      </c>
      <c r="I24" s="8">
        <v>775</v>
      </c>
      <c r="J24" s="8">
        <v>756</v>
      </c>
      <c r="K24" s="8">
        <v>353</v>
      </c>
      <c r="L24" s="10">
        <f t="shared" si="0"/>
        <v>23.056825604180275</v>
      </c>
      <c r="M24" s="8">
        <v>1</v>
      </c>
      <c r="N24" s="10">
        <f t="shared" si="1"/>
        <v>6.531678641410843E-2</v>
      </c>
      <c r="O24" s="8">
        <v>23</v>
      </c>
      <c r="P24" s="8">
        <v>1</v>
      </c>
      <c r="Q24" s="17" t="s">
        <v>409</v>
      </c>
      <c r="R24" s="17" t="s">
        <v>459</v>
      </c>
      <c r="S24" s="10"/>
      <c r="T24" s="10"/>
      <c r="U24" s="10" t="s">
        <v>408</v>
      </c>
      <c r="V24" s="10"/>
      <c r="W24" s="10"/>
      <c r="X24" s="10"/>
      <c r="Y24" s="10"/>
      <c r="Z24" s="10"/>
      <c r="AA24" s="10" t="s">
        <v>1949</v>
      </c>
      <c r="AB24" s="10"/>
      <c r="AC24" s="10"/>
      <c r="AD24" s="17">
        <v>24.764941</v>
      </c>
      <c r="AE24" s="17">
        <v>75.943617000000003</v>
      </c>
    </row>
    <row r="25" spans="1:31">
      <c r="A25" s="8" t="s">
        <v>36</v>
      </c>
      <c r="B25" s="8" t="s">
        <v>418</v>
      </c>
      <c r="C25" s="8" t="s">
        <v>451</v>
      </c>
      <c r="D25" s="9" t="s">
        <v>468</v>
      </c>
      <c r="E25" s="8" t="s">
        <v>469</v>
      </c>
      <c r="F25" s="8">
        <v>326</v>
      </c>
      <c r="G25" s="8">
        <v>245</v>
      </c>
      <c r="H25" s="8">
        <v>1173</v>
      </c>
      <c r="I25" s="8">
        <v>637</v>
      </c>
      <c r="J25" s="8">
        <v>536</v>
      </c>
      <c r="K25" s="8">
        <v>439</v>
      </c>
      <c r="L25" s="10">
        <f t="shared" si="0"/>
        <v>37.425404944586532</v>
      </c>
      <c r="M25" s="8">
        <v>160</v>
      </c>
      <c r="N25" s="10">
        <f t="shared" si="1"/>
        <v>13.640238704177325</v>
      </c>
      <c r="O25" s="8">
        <v>26</v>
      </c>
      <c r="P25" s="8">
        <v>160</v>
      </c>
      <c r="Q25" s="17" t="s">
        <v>409</v>
      </c>
      <c r="R25" s="17" t="s">
        <v>459</v>
      </c>
      <c r="S25" s="10"/>
      <c r="T25" s="13">
        <v>0</v>
      </c>
      <c r="U25" s="10" t="s">
        <v>408</v>
      </c>
      <c r="V25" s="10"/>
      <c r="W25" s="10"/>
      <c r="X25" s="10"/>
      <c r="Y25" s="10"/>
      <c r="Z25" s="10"/>
      <c r="AA25" s="10" t="s">
        <v>1949</v>
      </c>
      <c r="AB25" s="13"/>
      <c r="AC25" s="10"/>
      <c r="AD25" s="17">
        <v>24.773291</v>
      </c>
      <c r="AE25" s="17">
        <v>75.950829999999996</v>
      </c>
    </row>
    <row r="26" spans="1:31">
      <c r="A26" s="8" t="s">
        <v>36</v>
      </c>
      <c r="B26" s="8" t="s">
        <v>418</v>
      </c>
      <c r="C26" s="8">
        <v>0</v>
      </c>
      <c r="D26" s="9" t="s">
        <v>470</v>
      </c>
      <c r="E26" s="8" t="s">
        <v>471</v>
      </c>
      <c r="F26" s="8">
        <v>74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10" t="e">
        <f t="shared" si="0"/>
        <v>#DIV/0!</v>
      </c>
      <c r="M26" s="8">
        <v>0</v>
      </c>
      <c r="N26" s="10" t="e">
        <f t="shared" si="1"/>
        <v>#DIV/0!</v>
      </c>
      <c r="O26" s="8">
        <v>0</v>
      </c>
      <c r="P26" s="8">
        <v>0</v>
      </c>
      <c r="Q26" s="10"/>
      <c r="R26" s="10"/>
      <c r="S26" s="10"/>
      <c r="T26" s="13">
        <v>0</v>
      </c>
      <c r="U26" s="10"/>
      <c r="V26" s="10"/>
      <c r="W26" s="10"/>
      <c r="X26" s="10"/>
      <c r="Y26" s="10"/>
      <c r="Z26" s="10"/>
      <c r="AA26" s="10" t="s">
        <v>1949</v>
      </c>
      <c r="AB26" s="13"/>
      <c r="AC26" s="10"/>
      <c r="AD26" s="10"/>
      <c r="AE26" s="10"/>
    </row>
    <row r="27" spans="1:31">
      <c r="A27" s="8" t="s">
        <v>36</v>
      </c>
      <c r="B27" s="8" t="s">
        <v>418</v>
      </c>
      <c r="C27" s="8" t="s">
        <v>472</v>
      </c>
      <c r="D27" s="9" t="s">
        <v>473</v>
      </c>
      <c r="E27" s="8" t="s">
        <v>474</v>
      </c>
      <c r="F27" s="8">
        <v>612</v>
      </c>
      <c r="G27" s="8">
        <v>215</v>
      </c>
      <c r="H27" s="8">
        <v>1081</v>
      </c>
      <c r="I27" s="8">
        <v>577</v>
      </c>
      <c r="J27" s="8">
        <v>504</v>
      </c>
      <c r="K27" s="8">
        <v>452</v>
      </c>
      <c r="L27" s="10">
        <f t="shared" si="0"/>
        <v>41.81313598519889</v>
      </c>
      <c r="M27" s="8">
        <v>222</v>
      </c>
      <c r="N27" s="10">
        <f t="shared" si="1"/>
        <v>20.53654024051804</v>
      </c>
      <c r="O27" s="8">
        <v>22</v>
      </c>
      <c r="P27" s="8">
        <v>222</v>
      </c>
      <c r="Q27" s="19" t="s">
        <v>409</v>
      </c>
      <c r="R27" s="19" t="s">
        <v>475</v>
      </c>
      <c r="S27" s="10"/>
      <c r="T27" s="13">
        <v>39.86</v>
      </c>
      <c r="U27" s="10"/>
      <c r="V27" s="10"/>
      <c r="W27" s="10"/>
      <c r="X27" s="10"/>
      <c r="Y27" s="10"/>
      <c r="Z27" s="10"/>
      <c r="AA27" s="10" t="s">
        <v>408</v>
      </c>
      <c r="AB27" s="17">
        <v>6</v>
      </c>
      <c r="AC27" s="10"/>
      <c r="AD27" s="19">
        <v>0</v>
      </c>
      <c r="AE27" s="13">
        <v>0</v>
      </c>
    </row>
    <row r="28" spans="1:31">
      <c r="A28" s="8" t="s">
        <v>36</v>
      </c>
      <c r="B28" s="8" t="s">
        <v>418</v>
      </c>
      <c r="C28" s="8" t="s">
        <v>472</v>
      </c>
      <c r="D28" s="9" t="s">
        <v>476</v>
      </c>
      <c r="E28" s="8" t="s">
        <v>477</v>
      </c>
      <c r="F28" s="8">
        <v>420</v>
      </c>
      <c r="G28" s="8">
        <v>140</v>
      </c>
      <c r="H28" s="8">
        <v>797</v>
      </c>
      <c r="I28" s="8">
        <v>397</v>
      </c>
      <c r="J28" s="8">
        <v>400</v>
      </c>
      <c r="K28" s="8">
        <v>30</v>
      </c>
      <c r="L28" s="10">
        <f t="shared" si="0"/>
        <v>3.7641154328732744</v>
      </c>
      <c r="M28" s="8">
        <v>186</v>
      </c>
      <c r="N28" s="10">
        <f t="shared" si="1"/>
        <v>23.337515683814303</v>
      </c>
      <c r="O28" s="8">
        <v>19</v>
      </c>
      <c r="P28" s="8">
        <v>186</v>
      </c>
      <c r="Q28" s="19" t="s">
        <v>409</v>
      </c>
      <c r="R28" s="19" t="s">
        <v>475</v>
      </c>
      <c r="S28" s="10"/>
      <c r="T28" s="10"/>
      <c r="U28" s="10"/>
      <c r="V28" s="10"/>
      <c r="W28" s="10"/>
      <c r="X28" s="10"/>
      <c r="Y28" s="10"/>
      <c r="Z28" s="10"/>
      <c r="AA28" s="10" t="s">
        <v>1949</v>
      </c>
      <c r="AB28" s="10"/>
      <c r="AC28" s="10"/>
      <c r="AD28" s="19">
        <v>0</v>
      </c>
      <c r="AE28" s="19">
        <v>0</v>
      </c>
    </row>
    <row r="29" spans="1:31">
      <c r="A29" s="8" t="s">
        <v>36</v>
      </c>
      <c r="B29" s="8" t="s">
        <v>418</v>
      </c>
      <c r="C29" s="8" t="s">
        <v>472</v>
      </c>
      <c r="D29" s="9" t="s">
        <v>478</v>
      </c>
      <c r="E29" s="8" t="s">
        <v>479</v>
      </c>
      <c r="F29" s="8">
        <v>277.45999999999998</v>
      </c>
      <c r="G29" s="8">
        <v>240</v>
      </c>
      <c r="H29" s="8">
        <v>1266</v>
      </c>
      <c r="I29" s="8">
        <v>641</v>
      </c>
      <c r="J29" s="8">
        <v>625</v>
      </c>
      <c r="K29" s="8">
        <v>253</v>
      </c>
      <c r="L29" s="10">
        <f t="shared" si="0"/>
        <v>19.984202211690363</v>
      </c>
      <c r="M29" s="8">
        <v>104</v>
      </c>
      <c r="N29" s="10">
        <f t="shared" si="1"/>
        <v>8.2148499210110586</v>
      </c>
      <c r="O29" s="8">
        <v>41</v>
      </c>
      <c r="P29" s="8">
        <v>104</v>
      </c>
      <c r="Q29" s="19" t="s">
        <v>409</v>
      </c>
      <c r="R29" s="19" t="s">
        <v>475</v>
      </c>
      <c r="S29" s="10"/>
      <c r="T29" s="13" t="s">
        <v>1949</v>
      </c>
      <c r="U29" s="10"/>
      <c r="V29" s="10"/>
      <c r="W29" s="10"/>
      <c r="X29" s="10"/>
      <c r="Y29" s="10"/>
      <c r="Z29" s="10"/>
      <c r="AA29" s="10" t="s">
        <v>1949</v>
      </c>
      <c r="AB29" s="13" t="s">
        <v>29</v>
      </c>
      <c r="AC29" s="10"/>
      <c r="AD29" s="19">
        <v>24.694469999999999</v>
      </c>
      <c r="AE29" s="19">
        <v>75.950185000000005</v>
      </c>
    </row>
    <row r="30" spans="1:31">
      <c r="A30" s="8" t="s">
        <v>36</v>
      </c>
      <c r="B30" s="8" t="s">
        <v>418</v>
      </c>
      <c r="C30" s="8" t="s">
        <v>472</v>
      </c>
      <c r="D30" s="9" t="s">
        <v>480</v>
      </c>
      <c r="E30" s="8" t="s">
        <v>481</v>
      </c>
      <c r="F30" s="8">
        <v>131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10" t="e">
        <f t="shared" si="0"/>
        <v>#DIV/0!</v>
      </c>
      <c r="M30" s="8">
        <v>0</v>
      </c>
      <c r="N30" s="10" t="e">
        <f t="shared" si="1"/>
        <v>#DIV/0!</v>
      </c>
      <c r="O30" s="8">
        <v>0</v>
      </c>
      <c r="P30" s="8">
        <v>0</v>
      </c>
      <c r="Q30" s="10"/>
      <c r="R30" s="10"/>
      <c r="S30" s="10"/>
      <c r="T30" s="37">
        <v>10</v>
      </c>
      <c r="U30" s="10"/>
      <c r="V30" s="10"/>
      <c r="W30" s="10"/>
      <c r="X30" s="10"/>
      <c r="Y30" s="10"/>
      <c r="Z30" s="10"/>
      <c r="AA30" s="10" t="s">
        <v>408</v>
      </c>
      <c r="AB30" s="37">
        <v>10</v>
      </c>
      <c r="AC30" s="10"/>
      <c r="AD30" s="10"/>
      <c r="AE30" s="10"/>
    </row>
    <row r="31" spans="1:31">
      <c r="A31" s="8" t="s">
        <v>36</v>
      </c>
      <c r="B31" s="8" t="s">
        <v>418</v>
      </c>
      <c r="C31" s="8" t="s">
        <v>472</v>
      </c>
      <c r="D31" s="9" t="s">
        <v>340</v>
      </c>
      <c r="E31" s="8" t="s">
        <v>482</v>
      </c>
      <c r="F31" s="8">
        <v>434</v>
      </c>
      <c r="G31" s="8">
        <v>210</v>
      </c>
      <c r="H31" s="8">
        <v>959</v>
      </c>
      <c r="I31" s="8">
        <v>499</v>
      </c>
      <c r="J31" s="8">
        <v>460</v>
      </c>
      <c r="K31" s="8">
        <v>483</v>
      </c>
      <c r="L31" s="10">
        <f t="shared" si="0"/>
        <v>50.364963503649641</v>
      </c>
      <c r="M31" s="8">
        <v>58</v>
      </c>
      <c r="N31" s="10">
        <f t="shared" si="1"/>
        <v>6.0479666319082384</v>
      </c>
      <c r="O31" s="8">
        <v>7</v>
      </c>
      <c r="P31" s="8">
        <v>58</v>
      </c>
      <c r="Q31" s="19">
        <v>0</v>
      </c>
      <c r="R31" s="19" t="s">
        <v>409</v>
      </c>
      <c r="S31" s="10"/>
      <c r="T31" s="37">
        <v>23</v>
      </c>
      <c r="U31" s="10"/>
      <c r="V31" s="10"/>
      <c r="W31" s="10"/>
      <c r="X31" s="10"/>
      <c r="Y31" s="10"/>
      <c r="Z31" s="10"/>
      <c r="AA31" s="10" t="s">
        <v>408</v>
      </c>
      <c r="AB31" s="37">
        <v>18</v>
      </c>
      <c r="AC31" s="10"/>
      <c r="AD31" s="13">
        <v>0</v>
      </c>
      <c r="AE31" s="19">
        <v>0</v>
      </c>
    </row>
    <row r="32" spans="1:31">
      <c r="A32" s="8" t="s">
        <v>36</v>
      </c>
      <c r="B32" s="8" t="s">
        <v>418</v>
      </c>
      <c r="C32" s="8" t="s">
        <v>472</v>
      </c>
      <c r="D32" s="9" t="s">
        <v>483</v>
      </c>
      <c r="E32" s="8" t="s">
        <v>484</v>
      </c>
      <c r="F32" s="8">
        <v>426</v>
      </c>
      <c r="G32" s="8">
        <v>112</v>
      </c>
      <c r="H32" s="8">
        <v>562</v>
      </c>
      <c r="I32" s="8">
        <v>290</v>
      </c>
      <c r="J32" s="8">
        <v>272</v>
      </c>
      <c r="K32" s="8">
        <v>2</v>
      </c>
      <c r="L32" s="10">
        <f t="shared" si="0"/>
        <v>0.35587188612099641</v>
      </c>
      <c r="M32" s="8">
        <v>375</v>
      </c>
      <c r="N32" s="10">
        <f t="shared" si="1"/>
        <v>66.72597864768683</v>
      </c>
      <c r="O32" s="8">
        <v>20</v>
      </c>
      <c r="P32" s="8">
        <v>375</v>
      </c>
      <c r="Q32" s="34" t="s">
        <v>409</v>
      </c>
      <c r="R32" s="34" t="s">
        <v>485</v>
      </c>
      <c r="S32" s="10"/>
      <c r="T32" s="13">
        <v>0</v>
      </c>
      <c r="U32" s="10"/>
      <c r="V32" s="10"/>
      <c r="W32" s="10"/>
      <c r="X32" s="10"/>
      <c r="Y32" s="10"/>
      <c r="Z32" s="10"/>
      <c r="AA32" s="10" t="s">
        <v>1949</v>
      </c>
      <c r="AB32" s="13"/>
      <c r="AC32" s="10"/>
      <c r="AD32" s="34">
        <v>24.119582999999999</v>
      </c>
      <c r="AE32" s="34">
        <v>75.910427999999996</v>
      </c>
    </row>
    <row r="33" spans="1:31">
      <c r="A33" s="8" t="s">
        <v>36</v>
      </c>
      <c r="B33" s="8" t="s">
        <v>418</v>
      </c>
      <c r="C33" s="8" t="s">
        <v>472</v>
      </c>
      <c r="D33" s="9" t="s">
        <v>486</v>
      </c>
      <c r="E33" s="8" t="s">
        <v>487</v>
      </c>
      <c r="F33" s="8">
        <v>563</v>
      </c>
      <c r="G33" s="8">
        <v>333</v>
      </c>
      <c r="H33" s="8">
        <v>1782</v>
      </c>
      <c r="I33" s="8">
        <v>930</v>
      </c>
      <c r="J33" s="8">
        <v>852</v>
      </c>
      <c r="K33" s="8">
        <v>432</v>
      </c>
      <c r="L33" s="10">
        <f t="shared" si="0"/>
        <v>24.242424242424242</v>
      </c>
      <c r="M33" s="8">
        <v>129</v>
      </c>
      <c r="N33" s="10">
        <f t="shared" si="1"/>
        <v>7.2390572390572396</v>
      </c>
      <c r="O33" s="8">
        <v>72</v>
      </c>
      <c r="P33" s="8">
        <v>129</v>
      </c>
      <c r="Q33" s="34" t="s">
        <v>488</v>
      </c>
      <c r="R33" s="34" t="s">
        <v>485</v>
      </c>
      <c r="S33" s="10"/>
      <c r="T33" s="37">
        <v>35</v>
      </c>
      <c r="U33" s="10"/>
      <c r="V33" s="10"/>
      <c r="W33" s="10"/>
      <c r="X33" s="10"/>
      <c r="Y33" s="10"/>
      <c r="Z33" s="10"/>
      <c r="AA33" s="10" t="s">
        <v>408</v>
      </c>
      <c r="AB33" s="37">
        <v>16</v>
      </c>
      <c r="AC33" s="10"/>
      <c r="AD33" s="34">
        <v>24.729680999999999</v>
      </c>
      <c r="AE33" s="34">
        <v>75.891285999999994</v>
      </c>
    </row>
    <row r="34" spans="1:31">
      <c r="A34" s="8"/>
      <c r="B34" s="8" t="s">
        <v>418</v>
      </c>
      <c r="C34" s="8" t="s">
        <v>472</v>
      </c>
      <c r="D34" s="9" t="s">
        <v>486</v>
      </c>
      <c r="E34" s="8" t="s">
        <v>487</v>
      </c>
      <c r="F34" s="8"/>
      <c r="G34" s="8"/>
      <c r="H34" s="8"/>
      <c r="I34" s="8"/>
      <c r="J34" s="8"/>
      <c r="K34" s="8"/>
      <c r="L34" s="10" t="e">
        <f t="shared" si="0"/>
        <v>#DIV/0!</v>
      </c>
      <c r="M34" s="8"/>
      <c r="N34" s="10" t="e">
        <f t="shared" si="1"/>
        <v>#DIV/0!</v>
      </c>
      <c r="O34" s="8"/>
      <c r="P34" s="8"/>
      <c r="Q34" s="19" t="s">
        <v>409</v>
      </c>
      <c r="R34" s="19" t="s">
        <v>475</v>
      </c>
      <c r="S34" s="10"/>
      <c r="T34" s="37">
        <v>24</v>
      </c>
      <c r="U34" s="10"/>
      <c r="V34" s="10"/>
      <c r="W34" s="10"/>
      <c r="X34" s="10"/>
      <c r="Y34" s="10"/>
      <c r="Z34" s="10"/>
      <c r="AA34" s="10" t="s">
        <v>408</v>
      </c>
      <c r="AB34" s="37">
        <v>14</v>
      </c>
      <c r="AC34" s="10"/>
      <c r="AD34" s="19">
        <v>24.728090999999999</v>
      </c>
      <c r="AE34" s="19">
        <v>75.880690999999999</v>
      </c>
    </row>
    <row r="35" spans="1:31">
      <c r="A35" s="8"/>
      <c r="B35" s="8" t="s">
        <v>418</v>
      </c>
      <c r="C35" s="8" t="s">
        <v>472</v>
      </c>
      <c r="D35" s="9" t="s">
        <v>486</v>
      </c>
      <c r="E35" s="8" t="s">
        <v>487</v>
      </c>
      <c r="F35" s="8"/>
      <c r="G35" s="8"/>
      <c r="H35" s="8"/>
      <c r="I35" s="8"/>
      <c r="J35" s="8"/>
      <c r="K35" s="8"/>
      <c r="L35" s="10" t="e">
        <f t="shared" si="0"/>
        <v>#DIV/0!</v>
      </c>
      <c r="M35" s="8"/>
      <c r="N35" s="10" t="e">
        <f t="shared" si="1"/>
        <v>#DIV/0!</v>
      </c>
      <c r="O35" s="8"/>
      <c r="P35" s="8"/>
      <c r="Q35" s="19" t="s">
        <v>409</v>
      </c>
      <c r="R35" s="19" t="s">
        <v>475</v>
      </c>
      <c r="S35" s="10"/>
      <c r="T35" s="37">
        <v>0</v>
      </c>
      <c r="U35" s="10"/>
      <c r="V35" s="10"/>
      <c r="W35" s="10"/>
      <c r="X35" s="10"/>
      <c r="Y35" s="10"/>
      <c r="Z35" s="10"/>
      <c r="AA35" s="10" t="s">
        <v>408</v>
      </c>
      <c r="AB35" s="37">
        <v>5</v>
      </c>
      <c r="AC35" s="10"/>
      <c r="AD35" s="19">
        <v>24.728090999999999</v>
      </c>
      <c r="AE35" s="19">
        <v>75.880690999999999</v>
      </c>
    </row>
    <row r="36" spans="1:31">
      <c r="A36" s="8" t="s">
        <v>36</v>
      </c>
      <c r="B36" s="8" t="s">
        <v>418</v>
      </c>
      <c r="C36" s="8" t="s">
        <v>489</v>
      </c>
      <c r="D36" s="9" t="s">
        <v>490</v>
      </c>
      <c r="E36" s="8" t="s">
        <v>491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10" t="e">
        <f t="shared" si="0"/>
        <v>#DIV/0!</v>
      </c>
      <c r="M36" s="8">
        <v>0</v>
      </c>
      <c r="N36" s="10" t="e">
        <f t="shared" si="1"/>
        <v>#DIV/0!</v>
      </c>
      <c r="O36" s="8">
        <v>0</v>
      </c>
      <c r="P36" s="8">
        <v>0</v>
      </c>
      <c r="Q36" s="19" t="s">
        <v>409</v>
      </c>
      <c r="R36" s="19" t="s">
        <v>475</v>
      </c>
      <c r="S36" s="10"/>
      <c r="T36" s="37">
        <v>21</v>
      </c>
      <c r="U36" s="10" t="s">
        <v>408</v>
      </c>
      <c r="V36" s="10"/>
      <c r="W36" s="10"/>
      <c r="X36" s="10"/>
      <c r="Y36" s="10"/>
      <c r="Z36" s="10"/>
      <c r="AA36" s="10" t="s">
        <v>408</v>
      </c>
      <c r="AB36" s="37">
        <v>19</v>
      </c>
      <c r="AC36" s="10"/>
      <c r="AD36" s="13">
        <v>0</v>
      </c>
      <c r="AE36" s="13">
        <v>0</v>
      </c>
    </row>
    <row r="37" spans="1:31">
      <c r="A37" s="8"/>
      <c r="B37" s="8" t="s">
        <v>418</v>
      </c>
      <c r="C37" s="8" t="s">
        <v>489</v>
      </c>
      <c r="D37" s="9" t="s">
        <v>490</v>
      </c>
      <c r="E37" s="8" t="s">
        <v>491</v>
      </c>
      <c r="F37" s="8"/>
      <c r="G37" s="8"/>
      <c r="H37" s="8"/>
      <c r="I37" s="8"/>
      <c r="J37" s="8"/>
      <c r="K37" s="8"/>
      <c r="L37" s="10" t="e">
        <f t="shared" si="0"/>
        <v>#DIV/0!</v>
      </c>
      <c r="M37" s="8"/>
      <c r="N37" s="10" t="e">
        <f t="shared" si="1"/>
        <v>#DIV/0!</v>
      </c>
      <c r="O37" s="8"/>
      <c r="P37" s="8"/>
      <c r="Q37" s="18"/>
      <c r="R37" s="18"/>
      <c r="S37" s="10"/>
      <c r="T37" s="33">
        <v>14.08</v>
      </c>
      <c r="U37" s="10" t="s">
        <v>408</v>
      </c>
      <c r="V37" s="10"/>
      <c r="W37" s="10"/>
      <c r="X37" s="10"/>
      <c r="Y37" s="10"/>
      <c r="Z37" s="10"/>
      <c r="AA37" s="10" t="s">
        <v>1949</v>
      </c>
      <c r="AB37" s="33"/>
      <c r="AC37" s="10"/>
      <c r="AD37" s="18">
        <v>24.325614999999999</v>
      </c>
      <c r="AE37" s="18">
        <v>76.254840999999999</v>
      </c>
    </row>
    <row r="38" spans="1:31">
      <c r="A38" s="8"/>
      <c r="B38" s="8" t="s">
        <v>418</v>
      </c>
      <c r="C38" s="8" t="s">
        <v>489</v>
      </c>
      <c r="D38" s="9" t="s">
        <v>490</v>
      </c>
      <c r="E38" s="8" t="s">
        <v>491</v>
      </c>
      <c r="F38" s="8"/>
      <c r="G38" s="8"/>
      <c r="H38" s="8"/>
      <c r="I38" s="8"/>
      <c r="J38" s="8"/>
      <c r="K38" s="8"/>
      <c r="L38" s="10" t="e">
        <f t="shared" si="0"/>
        <v>#DIV/0!</v>
      </c>
      <c r="M38" s="8"/>
      <c r="N38" s="10" t="e">
        <f t="shared" si="1"/>
        <v>#DIV/0!</v>
      </c>
      <c r="O38" s="8"/>
      <c r="P38" s="8"/>
      <c r="Q38" s="39"/>
      <c r="R38" s="39"/>
      <c r="S38" s="10"/>
      <c r="T38" s="33">
        <v>11.14</v>
      </c>
      <c r="U38" s="10" t="s">
        <v>408</v>
      </c>
      <c r="V38" s="10"/>
      <c r="W38" s="10"/>
      <c r="X38" s="10"/>
      <c r="Y38" s="10"/>
      <c r="Z38" s="10"/>
      <c r="AA38" s="10" t="s">
        <v>1949</v>
      </c>
      <c r="AB38" s="33"/>
      <c r="AC38" s="10"/>
      <c r="AD38" s="18">
        <v>24.325614999999999</v>
      </c>
      <c r="AE38" s="18">
        <v>76.254840999999999</v>
      </c>
    </row>
    <row r="39" spans="1:31">
      <c r="A39" s="8"/>
      <c r="B39" s="8" t="s">
        <v>418</v>
      </c>
      <c r="C39" s="8" t="s">
        <v>489</v>
      </c>
      <c r="D39" s="9" t="s">
        <v>490</v>
      </c>
      <c r="E39" s="8" t="s">
        <v>491</v>
      </c>
      <c r="F39" s="8"/>
      <c r="G39" s="8"/>
      <c r="H39" s="8"/>
      <c r="I39" s="8"/>
      <c r="J39" s="8"/>
      <c r="K39" s="8"/>
      <c r="L39" s="10" t="e">
        <f t="shared" si="0"/>
        <v>#DIV/0!</v>
      </c>
      <c r="M39" s="8"/>
      <c r="N39" s="10" t="e">
        <f t="shared" si="1"/>
        <v>#DIV/0!</v>
      </c>
      <c r="O39" s="8"/>
      <c r="P39" s="8"/>
      <c r="Q39" s="39"/>
      <c r="R39" s="39"/>
      <c r="S39" s="10"/>
      <c r="T39" s="33">
        <v>13.23</v>
      </c>
      <c r="U39" s="10" t="s">
        <v>408</v>
      </c>
      <c r="V39" s="10"/>
      <c r="W39" s="10"/>
      <c r="X39" s="10"/>
      <c r="Y39" s="10"/>
      <c r="Z39" s="10"/>
      <c r="AA39" s="10" t="s">
        <v>1949</v>
      </c>
      <c r="AB39" s="33"/>
      <c r="AC39" s="10"/>
      <c r="AD39" s="18">
        <v>24.325614999999999</v>
      </c>
      <c r="AE39" s="18">
        <v>76.254840999999999</v>
      </c>
    </row>
    <row r="40" spans="1:31">
      <c r="A40" s="8" t="s">
        <v>36</v>
      </c>
      <c r="B40" s="8" t="s">
        <v>418</v>
      </c>
      <c r="C40" s="8" t="s">
        <v>492</v>
      </c>
      <c r="D40" s="9" t="s">
        <v>493</v>
      </c>
      <c r="E40" s="8" t="s">
        <v>494</v>
      </c>
      <c r="F40" s="8">
        <v>813</v>
      </c>
      <c r="G40" s="8">
        <v>366</v>
      </c>
      <c r="H40" s="8">
        <v>1694</v>
      </c>
      <c r="I40" s="8">
        <v>871</v>
      </c>
      <c r="J40" s="8">
        <v>823</v>
      </c>
      <c r="K40" s="8">
        <v>750</v>
      </c>
      <c r="L40" s="10">
        <f t="shared" si="0"/>
        <v>44.273907910271546</v>
      </c>
      <c r="M40" s="8">
        <v>46</v>
      </c>
      <c r="N40" s="10">
        <f t="shared" si="1"/>
        <v>2.715466351829988</v>
      </c>
      <c r="O40" s="8">
        <v>56</v>
      </c>
      <c r="P40" s="8">
        <v>46</v>
      </c>
      <c r="Q40" s="34" t="s">
        <v>409</v>
      </c>
      <c r="R40" s="34" t="s">
        <v>495</v>
      </c>
      <c r="S40" s="10"/>
      <c r="T40" s="33">
        <v>14.68</v>
      </c>
      <c r="U40" s="10" t="s">
        <v>408</v>
      </c>
      <c r="V40" s="10"/>
      <c r="W40" s="10"/>
      <c r="X40" s="10"/>
      <c r="Y40" s="10"/>
      <c r="Z40" s="10"/>
      <c r="AA40" s="10" t="s">
        <v>1949</v>
      </c>
      <c r="AB40" s="33"/>
      <c r="AC40" s="10"/>
      <c r="AD40" s="34">
        <v>24.802378000000001</v>
      </c>
      <c r="AE40" s="34">
        <v>75.861453999999995</v>
      </c>
    </row>
    <row r="41" spans="1:31">
      <c r="A41" s="8"/>
      <c r="B41" s="8" t="s">
        <v>418</v>
      </c>
      <c r="C41" s="8" t="s">
        <v>492</v>
      </c>
      <c r="D41" s="9"/>
      <c r="E41" s="8"/>
      <c r="F41" s="8"/>
      <c r="G41" s="8"/>
      <c r="H41" s="8"/>
      <c r="I41" s="8"/>
      <c r="J41" s="8"/>
      <c r="K41" s="8"/>
      <c r="L41" s="10" t="e">
        <f t="shared" si="0"/>
        <v>#DIV/0!</v>
      </c>
      <c r="M41" s="8"/>
      <c r="N41" s="10" t="e">
        <f t="shared" si="1"/>
        <v>#DIV/0!</v>
      </c>
      <c r="O41" s="8"/>
      <c r="P41" s="8"/>
      <c r="Q41" s="34" t="s">
        <v>409</v>
      </c>
      <c r="R41" s="34" t="s">
        <v>495</v>
      </c>
      <c r="S41" s="10"/>
      <c r="T41" s="37">
        <v>21</v>
      </c>
      <c r="U41" s="10" t="s">
        <v>408</v>
      </c>
      <c r="V41" s="10"/>
      <c r="W41" s="10"/>
      <c r="X41" s="10"/>
      <c r="Y41" s="10"/>
      <c r="Z41" s="10"/>
      <c r="AA41" s="10" t="s">
        <v>408</v>
      </c>
      <c r="AB41" s="37">
        <v>20</v>
      </c>
      <c r="AC41" s="10"/>
      <c r="AD41" s="34">
        <v>24.800156000000001</v>
      </c>
      <c r="AE41" s="34">
        <v>75.858384000000001</v>
      </c>
    </row>
    <row r="42" spans="1:31">
      <c r="A42" s="8"/>
      <c r="B42" s="8" t="s">
        <v>418</v>
      </c>
      <c r="C42" s="8" t="s">
        <v>492</v>
      </c>
      <c r="D42" s="9"/>
      <c r="E42" s="8"/>
      <c r="F42" s="8"/>
      <c r="G42" s="8"/>
      <c r="H42" s="8"/>
      <c r="I42" s="8"/>
      <c r="J42" s="8"/>
      <c r="K42" s="8"/>
      <c r="L42" s="10" t="e">
        <f t="shared" si="0"/>
        <v>#DIV/0!</v>
      </c>
      <c r="M42" s="8"/>
      <c r="N42" s="10" t="e">
        <f t="shared" si="1"/>
        <v>#DIV/0!</v>
      </c>
      <c r="O42" s="8"/>
      <c r="P42" s="8"/>
      <c r="Q42" s="18"/>
      <c r="R42" s="18"/>
      <c r="S42" s="10"/>
      <c r="T42" s="13">
        <v>27.74</v>
      </c>
      <c r="U42" s="10" t="s">
        <v>408</v>
      </c>
      <c r="V42" s="10"/>
      <c r="W42" s="10"/>
      <c r="X42" s="10"/>
      <c r="Y42" s="10"/>
      <c r="Z42" s="10"/>
      <c r="AA42" s="10" t="s">
        <v>408</v>
      </c>
      <c r="AB42" s="13">
        <v>9</v>
      </c>
      <c r="AC42" s="10"/>
      <c r="AD42" s="33">
        <v>24.52581</v>
      </c>
      <c r="AE42" s="33">
        <v>75.967140999999998</v>
      </c>
    </row>
    <row r="43" spans="1:31">
      <c r="A43" s="8" t="s">
        <v>36</v>
      </c>
      <c r="B43" s="8" t="s">
        <v>418</v>
      </c>
      <c r="C43" s="8" t="s">
        <v>492</v>
      </c>
      <c r="D43" s="9" t="s">
        <v>496</v>
      </c>
      <c r="E43" s="8" t="s">
        <v>497</v>
      </c>
      <c r="F43" s="8">
        <v>168</v>
      </c>
      <c r="G43" s="8">
        <v>245</v>
      </c>
      <c r="H43" s="8">
        <v>1245</v>
      </c>
      <c r="I43" s="8">
        <v>653</v>
      </c>
      <c r="J43" s="8">
        <v>592</v>
      </c>
      <c r="K43" s="8">
        <v>534</v>
      </c>
      <c r="L43" s="10">
        <f t="shared" si="0"/>
        <v>42.891566265060241</v>
      </c>
      <c r="M43" s="8">
        <v>9</v>
      </c>
      <c r="N43" s="10">
        <f t="shared" si="1"/>
        <v>0.72289156626506024</v>
      </c>
      <c r="O43" s="8">
        <v>40</v>
      </c>
      <c r="P43" s="8">
        <v>9</v>
      </c>
      <c r="Q43" s="34" t="s">
        <v>409</v>
      </c>
      <c r="R43" s="34" t="s">
        <v>495</v>
      </c>
      <c r="S43" s="10"/>
      <c r="T43" s="13">
        <v>13.26</v>
      </c>
      <c r="U43" s="10" t="s">
        <v>408</v>
      </c>
      <c r="V43" s="10"/>
      <c r="W43" s="10"/>
      <c r="X43" s="10"/>
      <c r="Y43" s="10"/>
      <c r="Z43" s="10"/>
      <c r="AA43" s="10" t="s">
        <v>408</v>
      </c>
      <c r="AB43" s="13">
        <v>9</v>
      </c>
      <c r="AC43" s="10"/>
      <c r="AD43" s="34">
        <v>24.807874000000002</v>
      </c>
      <c r="AE43" s="34">
        <v>75.816659999999999</v>
      </c>
    </row>
    <row r="44" spans="1:31">
      <c r="A44" s="8" t="s">
        <v>36</v>
      </c>
      <c r="B44" s="8" t="s">
        <v>418</v>
      </c>
      <c r="C44" s="8" t="s">
        <v>492</v>
      </c>
      <c r="D44" s="9" t="s">
        <v>498</v>
      </c>
      <c r="E44" s="8" t="s">
        <v>499</v>
      </c>
      <c r="F44" s="8">
        <v>169</v>
      </c>
      <c r="G44" s="8">
        <v>28</v>
      </c>
      <c r="H44" s="8">
        <v>168</v>
      </c>
      <c r="I44" s="8">
        <v>87</v>
      </c>
      <c r="J44" s="8">
        <v>81</v>
      </c>
      <c r="K44" s="8">
        <v>0</v>
      </c>
      <c r="L44" s="10">
        <f t="shared" si="0"/>
        <v>0</v>
      </c>
      <c r="M44" s="8">
        <v>0</v>
      </c>
      <c r="N44" s="10">
        <f t="shared" si="1"/>
        <v>0</v>
      </c>
      <c r="O44" s="8">
        <v>4</v>
      </c>
      <c r="P44" s="8">
        <v>0</v>
      </c>
      <c r="Q44" s="34" t="s">
        <v>409</v>
      </c>
      <c r="R44" s="34" t="s">
        <v>495</v>
      </c>
      <c r="S44" s="10"/>
      <c r="T44" s="13">
        <v>36.97</v>
      </c>
      <c r="U44" s="10" t="s">
        <v>408</v>
      </c>
      <c r="V44" s="10"/>
      <c r="W44" s="10"/>
      <c r="X44" s="10"/>
      <c r="Y44" s="10"/>
      <c r="Z44" s="10"/>
      <c r="AA44" s="10" t="s">
        <v>408</v>
      </c>
      <c r="AB44" s="13">
        <v>9</v>
      </c>
      <c r="AC44" s="10"/>
      <c r="AD44" s="34">
        <v>24.786282</v>
      </c>
      <c r="AE44" s="34">
        <v>75.855050000000006</v>
      </c>
    </row>
    <row r="45" spans="1:31">
      <c r="A45" s="8" t="s">
        <v>36</v>
      </c>
      <c r="B45" s="8" t="s">
        <v>418</v>
      </c>
      <c r="C45" s="8" t="s">
        <v>492</v>
      </c>
      <c r="D45" s="9" t="s">
        <v>500</v>
      </c>
      <c r="E45" s="8" t="s">
        <v>501</v>
      </c>
      <c r="F45" s="8">
        <v>256</v>
      </c>
      <c r="G45" s="8">
        <v>228</v>
      </c>
      <c r="H45" s="8">
        <v>1193</v>
      </c>
      <c r="I45" s="8">
        <v>644</v>
      </c>
      <c r="J45" s="8">
        <v>549</v>
      </c>
      <c r="K45" s="8">
        <v>303</v>
      </c>
      <c r="L45" s="10">
        <f t="shared" si="0"/>
        <v>25.398155909471921</v>
      </c>
      <c r="M45" s="8">
        <v>188</v>
      </c>
      <c r="N45" s="10">
        <f t="shared" si="1"/>
        <v>15.758591785414922</v>
      </c>
      <c r="O45" s="8">
        <v>39</v>
      </c>
      <c r="P45" s="8">
        <v>188</v>
      </c>
      <c r="Q45" s="34" t="s">
        <v>409</v>
      </c>
      <c r="R45" s="34" t="s">
        <v>495</v>
      </c>
      <c r="S45" s="10"/>
      <c r="T45" s="37">
        <v>4</v>
      </c>
      <c r="U45" s="10" t="s">
        <v>408</v>
      </c>
      <c r="V45" s="10"/>
      <c r="W45" s="10"/>
      <c r="X45" s="10"/>
      <c r="Y45" s="10"/>
      <c r="Z45" s="10"/>
      <c r="AA45" s="10" t="s">
        <v>408</v>
      </c>
      <c r="AB45" s="37">
        <v>7</v>
      </c>
      <c r="AC45" s="10"/>
      <c r="AD45" s="34">
        <v>24.807884000000001</v>
      </c>
      <c r="AE45" s="34">
        <v>75.877900999999994</v>
      </c>
    </row>
    <row r="46" spans="1:31">
      <c r="A46" s="8" t="s">
        <v>36</v>
      </c>
      <c r="B46" s="8" t="s">
        <v>418</v>
      </c>
      <c r="C46" s="8" t="s">
        <v>502</v>
      </c>
      <c r="D46" s="9" t="s">
        <v>503</v>
      </c>
      <c r="E46" s="8" t="s">
        <v>504</v>
      </c>
      <c r="F46" s="8">
        <v>747</v>
      </c>
      <c r="G46" s="8">
        <v>420</v>
      </c>
      <c r="H46" s="8">
        <v>2146</v>
      </c>
      <c r="I46" s="8">
        <v>1099</v>
      </c>
      <c r="J46" s="8">
        <v>1047</v>
      </c>
      <c r="K46" s="8">
        <v>807</v>
      </c>
      <c r="L46" s="10">
        <f t="shared" si="0"/>
        <v>37.60484622553588</v>
      </c>
      <c r="M46" s="8">
        <v>182</v>
      </c>
      <c r="N46" s="10">
        <f t="shared" si="1"/>
        <v>8.4808946877912383</v>
      </c>
      <c r="O46" s="8">
        <v>62</v>
      </c>
      <c r="P46" s="8">
        <v>182</v>
      </c>
      <c r="Q46" s="10"/>
      <c r="R46" s="10"/>
      <c r="S46" s="10"/>
      <c r="T46" s="13">
        <v>2.5</v>
      </c>
      <c r="U46" s="10" t="s">
        <v>408</v>
      </c>
      <c r="V46" s="10"/>
      <c r="W46" s="10"/>
      <c r="X46" s="10"/>
      <c r="Y46" s="10"/>
      <c r="Z46" s="10"/>
      <c r="AA46" s="10" t="s">
        <v>408</v>
      </c>
      <c r="AB46" s="17">
        <v>11</v>
      </c>
      <c r="AC46" s="10"/>
      <c r="AD46" s="10"/>
      <c r="AE46" s="10"/>
    </row>
    <row r="47" spans="1:31">
      <c r="A47" s="8"/>
      <c r="B47" s="8" t="s">
        <v>418</v>
      </c>
      <c r="C47" s="8" t="s">
        <v>502</v>
      </c>
      <c r="D47" s="9"/>
      <c r="E47" s="8"/>
      <c r="F47" s="8"/>
      <c r="G47" s="8"/>
      <c r="H47" s="8"/>
      <c r="I47" s="8"/>
      <c r="J47" s="8"/>
      <c r="K47" s="8"/>
      <c r="L47" s="10" t="e">
        <f t="shared" si="0"/>
        <v>#DIV/0!</v>
      </c>
      <c r="M47" s="8"/>
      <c r="N47" s="10" t="e">
        <f t="shared" si="1"/>
        <v>#DIV/0!</v>
      </c>
      <c r="O47" s="8"/>
      <c r="P47" s="8"/>
      <c r="Q47" s="10"/>
      <c r="R47" s="10"/>
      <c r="S47" s="10"/>
      <c r="T47" s="13">
        <v>7.8</v>
      </c>
      <c r="U47" s="10" t="s">
        <v>408</v>
      </c>
      <c r="V47" s="10"/>
      <c r="W47" s="10"/>
      <c r="X47" s="10"/>
      <c r="Y47" s="10"/>
      <c r="Z47" s="10"/>
      <c r="AA47" s="10" t="s">
        <v>408</v>
      </c>
      <c r="AB47" s="17">
        <v>11</v>
      </c>
      <c r="AC47" s="10"/>
      <c r="AD47" s="10"/>
      <c r="AE47" s="10"/>
    </row>
    <row r="48" spans="1:31">
      <c r="A48" s="8"/>
      <c r="B48" s="8" t="s">
        <v>418</v>
      </c>
      <c r="C48" s="8" t="s">
        <v>502</v>
      </c>
      <c r="D48" s="9"/>
      <c r="E48" s="8"/>
      <c r="F48" s="8"/>
      <c r="G48" s="8"/>
      <c r="H48" s="8"/>
      <c r="I48" s="8"/>
      <c r="J48" s="8"/>
      <c r="K48" s="8"/>
      <c r="L48" s="10" t="e">
        <f t="shared" si="0"/>
        <v>#DIV/0!</v>
      </c>
      <c r="M48" s="8"/>
      <c r="N48" s="10" t="e">
        <f t="shared" si="1"/>
        <v>#DIV/0!</v>
      </c>
      <c r="O48" s="8"/>
      <c r="P48" s="8"/>
      <c r="Q48" s="10"/>
      <c r="R48" s="10"/>
      <c r="S48" s="10"/>
      <c r="T48" s="10"/>
      <c r="U48" s="10" t="s">
        <v>408</v>
      </c>
      <c r="V48" s="10"/>
      <c r="W48" s="10"/>
      <c r="X48" s="10"/>
      <c r="Y48" s="10"/>
      <c r="Z48" s="10"/>
      <c r="AA48" s="10" t="s">
        <v>1949</v>
      </c>
      <c r="AB48" s="10"/>
      <c r="AC48" s="10"/>
      <c r="AD48" s="10"/>
      <c r="AE48" s="10"/>
    </row>
    <row r="49" spans="1:31">
      <c r="A49" s="8" t="s">
        <v>36</v>
      </c>
      <c r="B49" s="8" t="s">
        <v>418</v>
      </c>
      <c r="C49" s="8" t="s">
        <v>502</v>
      </c>
      <c r="D49" s="9" t="s">
        <v>283</v>
      </c>
      <c r="E49" s="8" t="s">
        <v>505</v>
      </c>
      <c r="F49" s="8">
        <v>337</v>
      </c>
      <c r="G49" s="8">
        <v>129</v>
      </c>
      <c r="H49" s="8">
        <v>691</v>
      </c>
      <c r="I49" s="8">
        <v>362</v>
      </c>
      <c r="J49" s="8">
        <v>329</v>
      </c>
      <c r="K49" s="8">
        <v>129</v>
      </c>
      <c r="L49" s="10">
        <f t="shared" si="0"/>
        <v>18.668596237337194</v>
      </c>
      <c r="M49" s="8">
        <v>0</v>
      </c>
      <c r="N49" s="10">
        <f t="shared" si="1"/>
        <v>0</v>
      </c>
      <c r="O49" s="8">
        <v>23</v>
      </c>
      <c r="P49" s="8">
        <v>0</v>
      </c>
      <c r="Q49" s="10"/>
      <c r="R49" s="10"/>
      <c r="S49" s="10"/>
      <c r="T49" s="13">
        <v>25.98</v>
      </c>
      <c r="U49" s="10" t="s">
        <v>408</v>
      </c>
      <c r="V49" s="10"/>
      <c r="W49" s="10"/>
      <c r="X49" s="10"/>
      <c r="Y49" s="10"/>
      <c r="Z49" s="10"/>
      <c r="AA49" s="10" t="s">
        <v>408</v>
      </c>
      <c r="AB49" s="17">
        <v>11</v>
      </c>
      <c r="AC49" s="10"/>
      <c r="AD49" s="10"/>
      <c r="AE49" s="10"/>
    </row>
    <row r="50" spans="1:31">
      <c r="A50" s="8" t="s">
        <v>36</v>
      </c>
      <c r="B50" s="8" t="s">
        <v>418</v>
      </c>
      <c r="C50" s="8" t="s">
        <v>502</v>
      </c>
      <c r="D50" s="9" t="s">
        <v>506</v>
      </c>
      <c r="E50" s="8" t="s">
        <v>507</v>
      </c>
      <c r="F50" s="8">
        <v>228</v>
      </c>
      <c r="G50" s="8">
        <v>83</v>
      </c>
      <c r="H50" s="8">
        <v>411</v>
      </c>
      <c r="I50" s="8">
        <v>202</v>
      </c>
      <c r="J50" s="8">
        <v>209</v>
      </c>
      <c r="K50" s="8">
        <v>124</v>
      </c>
      <c r="L50" s="10">
        <f t="shared" si="0"/>
        <v>30.170316301703163</v>
      </c>
      <c r="M50" s="8">
        <v>246</v>
      </c>
      <c r="N50" s="10">
        <f t="shared" si="1"/>
        <v>59.854014598540154</v>
      </c>
      <c r="O50" s="8">
        <v>6</v>
      </c>
      <c r="P50" s="8">
        <v>246</v>
      </c>
      <c r="Q50" s="10"/>
      <c r="R50" s="10"/>
      <c r="S50" s="10"/>
      <c r="T50" s="13">
        <v>22.63</v>
      </c>
      <c r="U50" s="10" t="s">
        <v>408</v>
      </c>
      <c r="V50" s="10"/>
      <c r="W50" s="10"/>
      <c r="X50" s="10"/>
      <c r="Y50" s="10"/>
      <c r="Z50" s="10"/>
      <c r="AA50" s="10" t="s">
        <v>408</v>
      </c>
      <c r="AB50" s="17">
        <v>10</v>
      </c>
      <c r="AC50" s="10"/>
      <c r="AD50" s="10"/>
      <c r="AE50" s="10"/>
    </row>
    <row r="51" spans="1:31">
      <c r="A51" s="8" t="s">
        <v>36</v>
      </c>
      <c r="B51" s="8" t="s">
        <v>418</v>
      </c>
      <c r="C51" s="8" t="s">
        <v>502</v>
      </c>
      <c r="D51" s="9" t="s">
        <v>508</v>
      </c>
      <c r="E51" s="8" t="s">
        <v>509</v>
      </c>
      <c r="F51" s="8">
        <v>371</v>
      </c>
      <c r="G51" s="8">
        <v>113</v>
      </c>
      <c r="H51" s="8">
        <v>676</v>
      </c>
      <c r="I51" s="8">
        <v>352</v>
      </c>
      <c r="J51" s="8">
        <v>324</v>
      </c>
      <c r="K51" s="8">
        <v>109</v>
      </c>
      <c r="L51" s="10">
        <f t="shared" si="0"/>
        <v>16.124260355029584</v>
      </c>
      <c r="M51" s="8">
        <v>143</v>
      </c>
      <c r="N51" s="10">
        <f t="shared" si="1"/>
        <v>21.153846153846153</v>
      </c>
      <c r="O51" s="8">
        <v>15</v>
      </c>
      <c r="P51" s="8">
        <v>143</v>
      </c>
      <c r="Q51" s="10"/>
      <c r="R51" s="10"/>
      <c r="S51" s="10"/>
      <c r="T51" s="13">
        <v>21.86</v>
      </c>
      <c r="U51" s="10" t="s">
        <v>408</v>
      </c>
      <c r="V51" s="10"/>
      <c r="W51" s="10"/>
      <c r="X51" s="10"/>
      <c r="Y51" s="10"/>
      <c r="Z51" s="10"/>
      <c r="AA51" s="10" t="s">
        <v>408</v>
      </c>
      <c r="AB51" s="13">
        <v>9</v>
      </c>
      <c r="AC51" s="10"/>
      <c r="AD51" s="10"/>
      <c r="AE51" s="10"/>
    </row>
    <row r="52" spans="1:31">
      <c r="A52" s="8" t="s">
        <v>36</v>
      </c>
      <c r="B52" s="8" t="s">
        <v>418</v>
      </c>
      <c r="C52" s="8" t="s">
        <v>510</v>
      </c>
      <c r="D52" s="9" t="s">
        <v>511</v>
      </c>
      <c r="E52" s="8" t="s">
        <v>512</v>
      </c>
      <c r="F52" s="8">
        <v>988.78</v>
      </c>
      <c r="G52" s="8">
        <v>292</v>
      </c>
      <c r="H52" s="8">
        <v>1426</v>
      </c>
      <c r="I52" s="8">
        <v>727</v>
      </c>
      <c r="J52" s="8">
        <v>699</v>
      </c>
      <c r="K52" s="8">
        <v>459</v>
      </c>
      <c r="L52" s="10">
        <f t="shared" si="0"/>
        <v>32.187938288920051</v>
      </c>
      <c r="M52" s="8">
        <v>369</v>
      </c>
      <c r="N52" s="10">
        <f t="shared" si="1"/>
        <v>25.876577840112201</v>
      </c>
      <c r="O52" s="8">
        <v>41.11</v>
      </c>
      <c r="P52" s="8">
        <v>369</v>
      </c>
      <c r="Q52" s="34" t="s">
        <v>409</v>
      </c>
      <c r="R52" s="34" t="s">
        <v>513</v>
      </c>
      <c r="S52" s="10"/>
      <c r="T52" s="13">
        <v>15.21</v>
      </c>
      <c r="U52" s="10"/>
      <c r="V52" s="10"/>
      <c r="W52" s="10"/>
      <c r="X52" s="10"/>
      <c r="Y52" s="10"/>
      <c r="Z52" s="10"/>
      <c r="AA52" s="10" t="s">
        <v>408</v>
      </c>
      <c r="AB52" s="13">
        <v>1</v>
      </c>
      <c r="AC52" s="10"/>
      <c r="AD52" s="34">
        <v>24.558588</v>
      </c>
      <c r="AE52" s="34">
        <v>75.925664999999995</v>
      </c>
    </row>
    <row r="53" spans="1:31">
      <c r="A53" s="8" t="s">
        <v>36</v>
      </c>
      <c r="B53" s="8" t="s">
        <v>418</v>
      </c>
      <c r="C53" s="8" t="s">
        <v>510</v>
      </c>
      <c r="D53" s="9" t="s">
        <v>514</v>
      </c>
      <c r="E53" s="8" t="s">
        <v>515</v>
      </c>
      <c r="F53" s="8">
        <v>306.44</v>
      </c>
      <c r="G53" s="8">
        <v>117</v>
      </c>
      <c r="H53" s="8">
        <v>556</v>
      </c>
      <c r="I53" s="8">
        <v>295</v>
      </c>
      <c r="J53" s="8">
        <v>261</v>
      </c>
      <c r="K53" s="8">
        <v>161</v>
      </c>
      <c r="L53" s="10">
        <f t="shared" si="0"/>
        <v>28.956834532374099</v>
      </c>
      <c r="M53" s="8">
        <v>389</v>
      </c>
      <c r="N53" s="10">
        <f t="shared" si="1"/>
        <v>69.964028776978409</v>
      </c>
      <c r="O53" s="8">
        <v>22.21</v>
      </c>
      <c r="P53" s="8">
        <v>389</v>
      </c>
      <c r="Q53" s="19" t="s">
        <v>409</v>
      </c>
      <c r="R53" s="19" t="s">
        <v>513</v>
      </c>
      <c r="S53" s="10"/>
      <c r="T53" s="10"/>
      <c r="U53" s="10"/>
      <c r="V53" s="10"/>
      <c r="W53" s="10"/>
      <c r="X53" s="10"/>
      <c r="Y53" s="10"/>
      <c r="Z53" s="10"/>
      <c r="AA53" s="10" t="s">
        <v>1949</v>
      </c>
      <c r="AB53" s="10"/>
      <c r="AC53" s="10"/>
      <c r="AD53" s="13">
        <v>24.563272000000001</v>
      </c>
      <c r="AE53" s="13">
        <v>75.928360999999995</v>
      </c>
    </row>
    <row r="54" spans="1:31">
      <c r="A54" s="8" t="s">
        <v>36</v>
      </c>
      <c r="B54" s="8" t="s">
        <v>418</v>
      </c>
      <c r="C54" s="8" t="s">
        <v>510</v>
      </c>
      <c r="D54" s="9" t="s">
        <v>516</v>
      </c>
      <c r="E54" s="8" t="s">
        <v>517</v>
      </c>
      <c r="F54" s="8">
        <v>375.89</v>
      </c>
      <c r="G54" s="8">
        <v>166</v>
      </c>
      <c r="H54" s="8">
        <v>793</v>
      </c>
      <c r="I54" s="8">
        <v>398</v>
      </c>
      <c r="J54" s="8">
        <v>395</v>
      </c>
      <c r="K54" s="8">
        <v>156</v>
      </c>
      <c r="L54" s="10">
        <f t="shared" si="0"/>
        <v>19.672131147540984</v>
      </c>
      <c r="M54" s="8">
        <v>290</v>
      </c>
      <c r="N54" s="10">
        <f t="shared" si="1"/>
        <v>36.569987389659516</v>
      </c>
      <c r="O54" s="8">
        <v>13.03</v>
      </c>
      <c r="P54" s="8">
        <v>290</v>
      </c>
      <c r="Q54" s="19" t="s">
        <v>409</v>
      </c>
      <c r="R54" s="19" t="s">
        <v>513</v>
      </c>
      <c r="S54" s="10"/>
      <c r="T54" s="10"/>
      <c r="U54" s="10"/>
      <c r="V54" s="10"/>
      <c r="W54" s="10"/>
      <c r="X54" s="10"/>
      <c r="Y54" s="10"/>
      <c r="Z54" s="10"/>
      <c r="AA54" s="10" t="s">
        <v>1949</v>
      </c>
      <c r="AB54" s="10"/>
      <c r="AC54" s="10"/>
      <c r="AD54" s="13">
        <v>24.542581999999999</v>
      </c>
      <c r="AE54" s="13">
        <v>75.931989000000002</v>
      </c>
    </row>
    <row r="55" spans="1:31">
      <c r="A55" s="8" t="s">
        <v>36</v>
      </c>
      <c r="B55" s="8" t="s">
        <v>418</v>
      </c>
      <c r="C55" s="8" t="s">
        <v>510</v>
      </c>
      <c r="D55" s="9" t="s">
        <v>518</v>
      </c>
      <c r="E55" s="8" t="s">
        <v>519</v>
      </c>
      <c r="F55" s="8">
        <v>475.96</v>
      </c>
      <c r="G55" s="8">
        <v>189</v>
      </c>
      <c r="H55" s="8">
        <v>897</v>
      </c>
      <c r="I55" s="8">
        <v>474</v>
      </c>
      <c r="J55" s="8">
        <v>423</v>
      </c>
      <c r="K55" s="8">
        <v>279</v>
      </c>
      <c r="L55" s="10">
        <f t="shared" si="0"/>
        <v>31.103678929765888</v>
      </c>
      <c r="M55" s="8">
        <v>1</v>
      </c>
      <c r="N55" s="10">
        <f t="shared" si="1"/>
        <v>0.11148272017837235</v>
      </c>
      <c r="O55" s="8">
        <v>36.89</v>
      </c>
      <c r="P55" s="8">
        <v>1</v>
      </c>
      <c r="Q55" s="19" t="s">
        <v>409</v>
      </c>
      <c r="R55" s="19" t="s">
        <v>513</v>
      </c>
      <c r="S55" s="10"/>
      <c r="T55" s="13">
        <v>31.86</v>
      </c>
      <c r="U55" s="10"/>
      <c r="V55" s="10"/>
      <c r="W55" s="10"/>
      <c r="X55" s="10"/>
      <c r="Y55" s="10"/>
      <c r="Z55" s="10"/>
      <c r="AA55" s="10" t="s">
        <v>408</v>
      </c>
      <c r="AB55" s="13">
        <v>0.54</v>
      </c>
      <c r="AC55" s="10"/>
      <c r="AD55" s="13">
        <v>24.562479</v>
      </c>
      <c r="AE55" s="13">
        <v>75.927271000000005</v>
      </c>
    </row>
    <row r="56" spans="1:31">
      <c r="A56" s="8" t="s">
        <v>36</v>
      </c>
      <c r="B56" s="8" t="s">
        <v>418</v>
      </c>
      <c r="C56" s="8" t="s">
        <v>510</v>
      </c>
      <c r="D56" s="9" t="s">
        <v>520</v>
      </c>
      <c r="E56" s="8" t="s">
        <v>521</v>
      </c>
      <c r="F56" s="8">
        <v>352</v>
      </c>
      <c r="G56" s="8">
        <v>206</v>
      </c>
      <c r="H56" s="8">
        <v>921</v>
      </c>
      <c r="I56" s="8">
        <v>495</v>
      </c>
      <c r="J56" s="8">
        <v>426</v>
      </c>
      <c r="K56" s="8">
        <v>145</v>
      </c>
      <c r="L56" s="10">
        <f t="shared" si="0"/>
        <v>15.743756786102061</v>
      </c>
      <c r="M56" s="8">
        <v>52</v>
      </c>
      <c r="N56" s="10">
        <f t="shared" si="1"/>
        <v>5.6460369163952224</v>
      </c>
      <c r="O56" s="8">
        <v>11</v>
      </c>
      <c r="P56" s="8">
        <v>52</v>
      </c>
      <c r="Q56" s="34" t="s">
        <v>409</v>
      </c>
      <c r="R56" s="34" t="s">
        <v>522</v>
      </c>
      <c r="S56" s="10"/>
      <c r="T56" s="13">
        <v>14.12</v>
      </c>
      <c r="U56" s="10"/>
      <c r="V56" s="10"/>
      <c r="W56" s="10"/>
      <c r="X56" s="10"/>
      <c r="Y56" s="10"/>
      <c r="Z56" s="10"/>
      <c r="AA56" s="10" t="s">
        <v>408</v>
      </c>
      <c r="AB56" s="13">
        <v>0.4</v>
      </c>
      <c r="AC56" s="10"/>
      <c r="AD56" s="34">
        <v>24.579103</v>
      </c>
      <c r="AE56" s="34">
        <v>75.961669000000001</v>
      </c>
    </row>
    <row r="57" spans="1:31">
      <c r="A57" s="8" t="s">
        <v>36</v>
      </c>
      <c r="B57" s="8" t="s">
        <v>418</v>
      </c>
      <c r="C57" s="8" t="s">
        <v>523</v>
      </c>
      <c r="D57" s="9" t="s">
        <v>524</v>
      </c>
      <c r="E57" s="8" t="s">
        <v>525</v>
      </c>
      <c r="F57" s="8">
        <v>532</v>
      </c>
      <c r="G57" s="8">
        <v>202</v>
      </c>
      <c r="H57" s="8">
        <v>982</v>
      </c>
      <c r="I57" s="8">
        <v>495</v>
      </c>
      <c r="J57" s="8">
        <v>487</v>
      </c>
      <c r="K57" s="8">
        <v>42</v>
      </c>
      <c r="L57" s="10">
        <f t="shared" si="0"/>
        <v>4.2769857433808554</v>
      </c>
      <c r="M57" s="8">
        <v>48</v>
      </c>
      <c r="N57" s="10">
        <f t="shared" si="1"/>
        <v>4.887983706720977</v>
      </c>
      <c r="O57" s="8">
        <v>33</v>
      </c>
      <c r="P57" s="8">
        <v>48</v>
      </c>
      <c r="Q57" s="19" t="s">
        <v>409</v>
      </c>
      <c r="R57" s="19" t="s">
        <v>526</v>
      </c>
      <c r="S57" s="10"/>
      <c r="T57" s="13">
        <v>16.940000000000001</v>
      </c>
      <c r="U57" s="10"/>
      <c r="V57" s="10"/>
      <c r="W57" s="10"/>
      <c r="X57" s="10"/>
      <c r="Y57" s="10"/>
      <c r="Z57" s="10"/>
      <c r="AA57" s="10" t="s">
        <v>408</v>
      </c>
      <c r="AB57" s="13">
        <v>1</v>
      </c>
      <c r="AC57" s="10"/>
      <c r="AD57" s="19">
        <v>24.576874</v>
      </c>
      <c r="AE57" s="19">
        <v>76.044320099999993</v>
      </c>
    </row>
    <row r="58" spans="1:31">
      <c r="A58" s="8"/>
      <c r="B58" s="8" t="s">
        <v>418</v>
      </c>
      <c r="C58" s="8" t="s">
        <v>523</v>
      </c>
      <c r="D58" s="9"/>
      <c r="E58" s="8"/>
      <c r="F58" s="8"/>
      <c r="G58" s="8"/>
      <c r="H58" s="8"/>
      <c r="I58" s="8"/>
      <c r="J58" s="8"/>
      <c r="K58" s="8"/>
      <c r="L58" s="10" t="e">
        <f t="shared" si="0"/>
        <v>#DIV/0!</v>
      </c>
      <c r="M58" s="8"/>
      <c r="N58" s="10" t="e">
        <f t="shared" si="1"/>
        <v>#DIV/0!</v>
      </c>
      <c r="O58" s="8"/>
      <c r="P58" s="8"/>
      <c r="Q58" s="39"/>
      <c r="R58" s="39"/>
      <c r="S58" s="10"/>
      <c r="T58" s="13">
        <v>74.86</v>
      </c>
      <c r="U58" s="10"/>
      <c r="V58" s="10"/>
      <c r="W58" s="10"/>
      <c r="X58" s="10"/>
      <c r="Y58" s="10"/>
      <c r="Z58" s="10"/>
      <c r="AA58" s="10" t="s">
        <v>408</v>
      </c>
      <c r="AB58" s="17">
        <v>34.85</v>
      </c>
      <c r="AC58" s="10"/>
      <c r="AD58" s="39"/>
      <c r="AE58" s="39"/>
    </row>
    <row r="59" spans="1:31">
      <c r="A59" s="8" t="s">
        <v>36</v>
      </c>
      <c r="B59" s="8" t="s">
        <v>418</v>
      </c>
      <c r="C59" s="8" t="s">
        <v>523</v>
      </c>
      <c r="D59" s="9" t="s">
        <v>527</v>
      </c>
      <c r="E59" s="8" t="s">
        <v>528</v>
      </c>
      <c r="F59" s="8">
        <v>283</v>
      </c>
      <c r="G59" s="8">
        <v>166</v>
      </c>
      <c r="H59" s="8">
        <v>833</v>
      </c>
      <c r="I59" s="8">
        <v>426</v>
      </c>
      <c r="J59" s="8">
        <v>407</v>
      </c>
      <c r="K59" s="8">
        <v>119</v>
      </c>
      <c r="L59" s="10">
        <f t="shared" si="0"/>
        <v>14.285714285714285</v>
      </c>
      <c r="M59" s="8">
        <v>67</v>
      </c>
      <c r="N59" s="10">
        <f t="shared" si="1"/>
        <v>8.043217286914766</v>
      </c>
      <c r="O59" s="8">
        <v>25</v>
      </c>
      <c r="P59" s="8">
        <v>67</v>
      </c>
      <c r="Q59" s="19" t="s">
        <v>409</v>
      </c>
      <c r="R59" s="19" t="s">
        <v>526</v>
      </c>
      <c r="S59" s="10"/>
      <c r="T59" s="13">
        <v>56.53</v>
      </c>
      <c r="U59" s="10"/>
      <c r="V59" s="10"/>
      <c r="W59" s="10"/>
      <c r="X59" s="10"/>
      <c r="Y59" s="10"/>
      <c r="Z59" s="10"/>
      <c r="AA59" s="10" t="s">
        <v>408</v>
      </c>
      <c r="AB59" s="17">
        <v>31</v>
      </c>
      <c r="AC59" s="10"/>
      <c r="AD59" s="19">
        <v>24.569844</v>
      </c>
      <c r="AE59" s="19">
        <v>76.033278999999993</v>
      </c>
    </row>
    <row r="60" spans="1:31">
      <c r="A60" s="8" t="s">
        <v>36</v>
      </c>
      <c r="B60" s="8" t="s">
        <v>418</v>
      </c>
      <c r="C60" s="8" t="s">
        <v>523</v>
      </c>
      <c r="D60" s="9" t="s">
        <v>529</v>
      </c>
      <c r="E60" s="8" t="s">
        <v>530</v>
      </c>
      <c r="F60" s="8">
        <v>61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10" t="e">
        <f t="shared" si="0"/>
        <v>#DIV/0!</v>
      </c>
      <c r="M60" s="8">
        <v>0</v>
      </c>
      <c r="N60" s="10" t="e">
        <f t="shared" si="1"/>
        <v>#DIV/0!</v>
      </c>
      <c r="O60" s="8">
        <v>0</v>
      </c>
      <c r="P60" s="8">
        <v>0</v>
      </c>
      <c r="Q60" s="10"/>
      <c r="R60" s="10"/>
      <c r="S60" s="10"/>
      <c r="T60" s="13">
        <v>34.4</v>
      </c>
      <c r="U60" s="10"/>
      <c r="V60" s="10"/>
      <c r="W60" s="10"/>
      <c r="X60" s="10"/>
      <c r="Y60" s="10"/>
      <c r="Z60" s="10"/>
      <c r="AA60" s="10" t="s">
        <v>408</v>
      </c>
      <c r="AB60" s="17">
        <v>13</v>
      </c>
      <c r="AC60" s="10"/>
      <c r="AD60" s="10"/>
      <c r="AE60" s="10"/>
    </row>
    <row r="61" spans="1:31">
      <c r="A61" s="8" t="s">
        <v>36</v>
      </c>
      <c r="B61" s="8" t="s">
        <v>418</v>
      </c>
      <c r="C61" s="8" t="s">
        <v>523</v>
      </c>
      <c r="D61" s="9" t="s">
        <v>531</v>
      </c>
      <c r="E61" s="8" t="s">
        <v>532</v>
      </c>
      <c r="F61" s="8">
        <v>355</v>
      </c>
      <c r="G61" s="8">
        <v>181</v>
      </c>
      <c r="H61" s="8">
        <v>966</v>
      </c>
      <c r="I61" s="8">
        <v>495</v>
      </c>
      <c r="J61" s="8">
        <v>471</v>
      </c>
      <c r="K61" s="8">
        <v>262</v>
      </c>
      <c r="L61" s="10">
        <f t="shared" si="0"/>
        <v>27.122153209109729</v>
      </c>
      <c r="M61" s="8">
        <v>248</v>
      </c>
      <c r="N61" s="10">
        <f t="shared" si="1"/>
        <v>25.672877846790893</v>
      </c>
      <c r="O61" s="8">
        <v>28</v>
      </c>
      <c r="P61" s="8">
        <v>248</v>
      </c>
      <c r="Q61" s="19" t="s">
        <v>409</v>
      </c>
      <c r="R61" s="19" t="s">
        <v>526</v>
      </c>
      <c r="S61" s="10"/>
      <c r="T61" s="13">
        <v>45.12</v>
      </c>
      <c r="U61" s="10"/>
      <c r="V61" s="10"/>
      <c r="W61" s="10"/>
      <c r="X61" s="10"/>
      <c r="Y61" s="10"/>
      <c r="Z61" s="10"/>
      <c r="AA61" s="10" t="s">
        <v>408</v>
      </c>
      <c r="AB61" s="17">
        <v>12.37</v>
      </c>
      <c r="AC61" s="10"/>
      <c r="AD61" s="19">
        <v>24.563115</v>
      </c>
      <c r="AE61" s="19">
        <v>76.017563999999993</v>
      </c>
    </row>
    <row r="62" spans="1:31">
      <c r="A62" s="8" t="s">
        <v>36</v>
      </c>
      <c r="B62" s="8" t="s">
        <v>418</v>
      </c>
      <c r="C62" s="8" t="s">
        <v>523</v>
      </c>
      <c r="D62" s="9" t="s">
        <v>533</v>
      </c>
      <c r="E62" s="8" t="s">
        <v>534</v>
      </c>
      <c r="F62" s="8">
        <v>507</v>
      </c>
      <c r="G62" s="8">
        <v>144</v>
      </c>
      <c r="H62" s="8">
        <v>811</v>
      </c>
      <c r="I62" s="8">
        <v>428</v>
      </c>
      <c r="J62" s="8">
        <v>383</v>
      </c>
      <c r="K62" s="8">
        <v>314</v>
      </c>
      <c r="L62" s="10">
        <f t="shared" si="0"/>
        <v>38.717632552404439</v>
      </c>
      <c r="M62" s="8">
        <v>39</v>
      </c>
      <c r="N62" s="10">
        <f t="shared" si="1"/>
        <v>4.808877928483354</v>
      </c>
      <c r="O62" s="8">
        <v>28</v>
      </c>
      <c r="P62" s="8">
        <v>39</v>
      </c>
      <c r="Q62" s="19" t="s">
        <v>409</v>
      </c>
      <c r="R62" s="19" t="s">
        <v>526</v>
      </c>
      <c r="S62" s="10"/>
      <c r="T62" s="13">
        <v>24.28</v>
      </c>
      <c r="U62" s="10"/>
      <c r="V62" s="10"/>
      <c r="W62" s="10"/>
      <c r="X62" s="10"/>
      <c r="Y62" s="10"/>
      <c r="Z62" s="10"/>
      <c r="AA62" s="10" t="s">
        <v>408</v>
      </c>
      <c r="AB62" s="17">
        <v>9</v>
      </c>
      <c r="AC62" s="10"/>
      <c r="AD62" s="19">
        <v>24.607175999999999</v>
      </c>
      <c r="AE62" s="19">
        <v>76.026489999999995</v>
      </c>
    </row>
    <row r="63" spans="1:31">
      <c r="A63" s="8" t="s">
        <v>36</v>
      </c>
      <c r="B63" s="8" t="s">
        <v>418</v>
      </c>
      <c r="C63" s="8" t="s">
        <v>535</v>
      </c>
      <c r="D63" s="9" t="s">
        <v>536</v>
      </c>
      <c r="E63" s="8" t="s">
        <v>537</v>
      </c>
      <c r="F63" s="8">
        <v>1341</v>
      </c>
      <c r="G63" s="8">
        <v>253</v>
      </c>
      <c r="H63" s="8">
        <v>951</v>
      </c>
      <c r="I63" s="8">
        <v>494</v>
      </c>
      <c r="J63" s="8">
        <v>457</v>
      </c>
      <c r="K63" s="8">
        <v>149</v>
      </c>
      <c r="L63" s="10">
        <f t="shared" si="0"/>
        <v>15.667718191377498</v>
      </c>
      <c r="M63" s="8">
        <v>114</v>
      </c>
      <c r="N63" s="10">
        <f t="shared" si="1"/>
        <v>11.987381703470032</v>
      </c>
      <c r="O63" s="8">
        <v>20</v>
      </c>
      <c r="P63" s="8">
        <v>114</v>
      </c>
      <c r="Q63" s="19" t="s">
        <v>409</v>
      </c>
      <c r="R63" s="19" t="s">
        <v>538</v>
      </c>
      <c r="S63" s="10"/>
      <c r="T63" s="13">
        <v>24.04</v>
      </c>
      <c r="U63" s="10" t="s">
        <v>408</v>
      </c>
      <c r="V63" s="10"/>
      <c r="W63" s="10"/>
      <c r="X63" s="10"/>
      <c r="Y63" s="10"/>
      <c r="Z63" s="10"/>
      <c r="AA63" s="10" t="s">
        <v>408</v>
      </c>
      <c r="AB63" s="17">
        <v>20</v>
      </c>
      <c r="AC63" s="10"/>
      <c r="AD63" s="13">
        <v>24.8005</v>
      </c>
      <c r="AE63" s="13">
        <v>75.513000000000005</v>
      </c>
    </row>
    <row r="64" spans="1:31">
      <c r="A64" s="8"/>
      <c r="B64" s="8" t="s">
        <v>418</v>
      </c>
      <c r="C64" s="8" t="s">
        <v>535</v>
      </c>
      <c r="D64" s="9"/>
      <c r="E64" s="8"/>
      <c r="F64" s="8"/>
      <c r="G64" s="8"/>
      <c r="H64" s="8"/>
      <c r="I64" s="8"/>
      <c r="J64" s="8"/>
      <c r="K64" s="8"/>
      <c r="L64" s="10" t="e">
        <f t="shared" si="0"/>
        <v>#DIV/0!</v>
      </c>
      <c r="M64" s="8"/>
      <c r="N64" s="10" t="e">
        <f t="shared" si="1"/>
        <v>#DIV/0!</v>
      </c>
      <c r="O64" s="8"/>
      <c r="P64" s="8"/>
      <c r="Q64" s="18"/>
      <c r="R64" s="18"/>
      <c r="S64" s="10"/>
      <c r="T64" s="10"/>
      <c r="U64" s="10" t="s">
        <v>408</v>
      </c>
      <c r="V64" s="10"/>
      <c r="W64" s="10"/>
      <c r="X64" s="10"/>
      <c r="Y64" s="10"/>
      <c r="Z64" s="10"/>
      <c r="AA64" s="10" t="s">
        <v>1949</v>
      </c>
      <c r="AB64" s="10"/>
      <c r="AC64" s="10"/>
      <c r="AD64" s="13">
        <v>24.8005</v>
      </c>
      <c r="AE64" s="13">
        <v>75.513000000000005</v>
      </c>
    </row>
    <row r="65" spans="1:31">
      <c r="A65" s="8" t="s">
        <v>36</v>
      </c>
      <c r="B65" s="8" t="s">
        <v>418</v>
      </c>
      <c r="C65" s="8" t="s">
        <v>535</v>
      </c>
      <c r="D65" s="9" t="s">
        <v>342</v>
      </c>
      <c r="E65" s="8" t="s">
        <v>539</v>
      </c>
      <c r="F65" s="8">
        <v>292</v>
      </c>
      <c r="G65" s="8">
        <v>46</v>
      </c>
      <c r="H65" s="8">
        <v>236</v>
      </c>
      <c r="I65" s="8">
        <v>127</v>
      </c>
      <c r="J65" s="8">
        <v>109</v>
      </c>
      <c r="K65" s="8">
        <v>25</v>
      </c>
      <c r="L65" s="10">
        <f t="shared" si="0"/>
        <v>10.59322033898305</v>
      </c>
      <c r="M65" s="8">
        <v>35</v>
      </c>
      <c r="N65" s="10">
        <f t="shared" si="1"/>
        <v>14.83050847457627</v>
      </c>
      <c r="O65" s="8">
        <v>17</v>
      </c>
      <c r="P65" s="8">
        <v>35</v>
      </c>
      <c r="Q65" s="19" t="s">
        <v>409</v>
      </c>
      <c r="R65" s="19" t="s">
        <v>538</v>
      </c>
      <c r="S65" s="10"/>
      <c r="T65" s="10"/>
      <c r="U65" s="10" t="s">
        <v>408</v>
      </c>
      <c r="V65" s="10"/>
      <c r="W65" s="10"/>
      <c r="X65" s="10"/>
      <c r="Y65" s="10"/>
      <c r="Z65" s="10"/>
      <c r="AA65" s="10" t="s">
        <v>1949</v>
      </c>
      <c r="AB65" s="10"/>
      <c r="AC65" s="10"/>
      <c r="AD65" s="13">
        <v>24.503</v>
      </c>
      <c r="AE65" s="13">
        <v>75.53</v>
      </c>
    </row>
    <row r="66" spans="1:31">
      <c r="A66" s="8" t="s">
        <v>36</v>
      </c>
      <c r="B66" s="8" t="s">
        <v>418</v>
      </c>
      <c r="C66" s="8" t="s">
        <v>535</v>
      </c>
      <c r="D66" s="9" t="s">
        <v>540</v>
      </c>
      <c r="E66" s="8" t="s">
        <v>541</v>
      </c>
      <c r="F66" s="8">
        <v>204</v>
      </c>
      <c r="G66" s="8">
        <v>162</v>
      </c>
      <c r="H66" s="8">
        <v>779</v>
      </c>
      <c r="I66" s="8">
        <v>394</v>
      </c>
      <c r="J66" s="8">
        <v>385</v>
      </c>
      <c r="K66" s="8">
        <v>216</v>
      </c>
      <c r="L66" s="10">
        <f t="shared" si="0"/>
        <v>27.72785622593068</v>
      </c>
      <c r="M66" s="8">
        <v>5</v>
      </c>
      <c r="N66" s="10">
        <f t="shared" si="1"/>
        <v>0.64184852374839541</v>
      </c>
      <c r="O66" s="8">
        <v>19</v>
      </c>
      <c r="P66" s="8">
        <v>5</v>
      </c>
      <c r="Q66" s="10"/>
      <c r="R66" s="10"/>
      <c r="S66" s="10"/>
      <c r="T66" s="13">
        <v>9.84</v>
      </c>
      <c r="U66" s="10" t="s">
        <v>408</v>
      </c>
      <c r="V66" s="10"/>
      <c r="W66" s="10"/>
      <c r="X66" s="10"/>
      <c r="Y66" s="10"/>
      <c r="Z66" s="10"/>
      <c r="AA66" s="10" t="s">
        <v>1949</v>
      </c>
      <c r="AB66" s="13"/>
      <c r="AC66" s="10"/>
      <c r="AD66" s="10"/>
      <c r="AE66" s="10"/>
    </row>
    <row r="67" spans="1:31">
      <c r="A67" s="8" t="s">
        <v>36</v>
      </c>
      <c r="B67" s="8" t="s">
        <v>418</v>
      </c>
      <c r="C67" s="8" t="s">
        <v>535</v>
      </c>
      <c r="D67" s="9" t="s">
        <v>542</v>
      </c>
      <c r="E67" s="8" t="s">
        <v>543</v>
      </c>
      <c r="F67" s="8">
        <v>506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10" t="e">
        <f t="shared" si="0"/>
        <v>#DIV/0!</v>
      </c>
      <c r="M67" s="8">
        <v>0</v>
      </c>
      <c r="N67" s="10" t="e">
        <f t="shared" si="1"/>
        <v>#DIV/0!</v>
      </c>
      <c r="O67" s="8">
        <v>0</v>
      </c>
      <c r="P67" s="8">
        <v>0</v>
      </c>
      <c r="Q67" s="10"/>
      <c r="R67" s="10"/>
      <c r="S67" s="10"/>
      <c r="T67" s="10"/>
      <c r="U67" s="10" t="s">
        <v>408</v>
      </c>
      <c r="V67" s="10"/>
      <c r="W67" s="10"/>
      <c r="X67" s="10"/>
      <c r="Y67" s="10"/>
      <c r="Z67" s="10"/>
      <c r="AA67" s="10" t="s">
        <v>1949</v>
      </c>
      <c r="AB67" s="10"/>
      <c r="AC67" s="10"/>
      <c r="AD67" s="10"/>
      <c r="AE67" s="10"/>
    </row>
    <row r="68" spans="1:31">
      <c r="A68" s="8" t="s">
        <v>36</v>
      </c>
      <c r="B68" s="8" t="s">
        <v>418</v>
      </c>
      <c r="C68" s="8" t="s">
        <v>535</v>
      </c>
      <c r="D68" s="9" t="s">
        <v>544</v>
      </c>
      <c r="E68" s="8" t="s">
        <v>545</v>
      </c>
      <c r="F68" s="8">
        <v>575</v>
      </c>
      <c r="G68" s="8">
        <v>223</v>
      </c>
      <c r="H68" s="8">
        <v>922</v>
      </c>
      <c r="I68" s="8">
        <v>498</v>
      </c>
      <c r="J68" s="8">
        <v>424</v>
      </c>
      <c r="K68" s="8">
        <v>137</v>
      </c>
      <c r="L68" s="10">
        <f t="shared" ref="L68:L131" si="2">K68/H68*100</f>
        <v>14.859002169197396</v>
      </c>
      <c r="M68" s="8">
        <v>82</v>
      </c>
      <c r="N68" s="10">
        <f t="shared" si="1"/>
        <v>8.8937093275488071</v>
      </c>
      <c r="O68" s="8">
        <v>20</v>
      </c>
      <c r="P68" s="8">
        <v>82</v>
      </c>
      <c r="Q68" s="19" t="s">
        <v>409</v>
      </c>
      <c r="R68" s="19" t="s">
        <v>538</v>
      </c>
      <c r="S68" s="10"/>
      <c r="T68" s="13">
        <v>35.869999999999997</v>
      </c>
      <c r="U68" s="10" t="s">
        <v>408</v>
      </c>
      <c r="V68" s="10"/>
      <c r="W68" s="10"/>
      <c r="X68" s="10"/>
      <c r="Y68" s="10"/>
      <c r="Z68" s="10"/>
      <c r="AA68" s="10" t="s">
        <v>408</v>
      </c>
      <c r="AB68" s="17">
        <v>15.38</v>
      </c>
      <c r="AC68" s="10"/>
      <c r="AD68" s="19">
        <v>24.49</v>
      </c>
      <c r="AE68" s="13">
        <v>75.551500000000004</v>
      </c>
    </row>
    <row r="69" spans="1:31">
      <c r="A69" s="8" t="s">
        <v>36</v>
      </c>
      <c r="B69" s="8" t="s">
        <v>418</v>
      </c>
      <c r="C69" s="8" t="s">
        <v>535</v>
      </c>
      <c r="D69" s="9" t="s">
        <v>546</v>
      </c>
      <c r="E69" s="8" t="s">
        <v>547</v>
      </c>
      <c r="F69" s="8">
        <v>149</v>
      </c>
      <c r="G69" s="8">
        <v>67</v>
      </c>
      <c r="H69" s="8">
        <v>347</v>
      </c>
      <c r="I69" s="8">
        <v>181</v>
      </c>
      <c r="J69" s="8">
        <v>166</v>
      </c>
      <c r="K69" s="8">
        <v>99</v>
      </c>
      <c r="L69" s="10">
        <f t="shared" si="2"/>
        <v>28.530259365994237</v>
      </c>
      <c r="M69" s="8">
        <v>0</v>
      </c>
      <c r="N69" s="10">
        <f t="shared" ref="N69:N132" si="3">M69/H69*100</f>
        <v>0</v>
      </c>
      <c r="O69" s="8">
        <v>14</v>
      </c>
      <c r="P69" s="8">
        <v>0</v>
      </c>
      <c r="Q69" s="19" t="s">
        <v>409</v>
      </c>
      <c r="R69" s="19" t="s">
        <v>538</v>
      </c>
      <c r="S69" s="10"/>
      <c r="T69" s="13">
        <v>0</v>
      </c>
      <c r="U69" s="10" t="s">
        <v>408</v>
      </c>
      <c r="V69" s="10"/>
      <c r="W69" s="10"/>
      <c r="X69" s="10"/>
      <c r="Y69" s="10"/>
      <c r="Z69" s="10"/>
      <c r="AA69" s="10" t="s">
        <v>1949</v>
      </c>
      <c r="AB69" s="13"/>
      <c r="AC69" s="10"/>
      <c r="AD69" s="13">
        <v>24.5045</v>
      </c>
      <c r="AE69" s="13">
        <v>75.520499999999998</v>
      </c>
    </row>
    <row r="70" spans="1:31">
      <c r="A70" s="8" t="s">
        <v>36</v>
      </c>
      <c r="B70" s="8" t="s">
        <v>418</v>
      </c>
      <c r="C70" s="8" t="s">
        <v>535</v>
      </c>
      <c r="D70" s="9" t="s">
        <v>548</v>
      </c>
      <c r="E70" s="8" t="s">
        <v>549</v>
      </c>
      <c r="F70" s="8">
        <v>471</v>
      </c>
      <c r="G70" s="8">
        <v>33</v>
      </c>
      <c r="H70" s="8">
        <v>192</v>
      </c>
      <c r="I70" s="8">
        <v>100</v>
      </c>
      <c r="J70" s="8">
        <v>92</v>
      </c>
      <c r="K70" s="8">
        <v>4</v>
      </c>
      <c r="L70" s="10">
        <f t="shared" si="2"/>
        <v>2.083333333333333</v>
      </c>
      <c r="M70" s="8">
        <v>0</v>
      </c>
      <c r="N70" s="10">
        <f t="shared" si="3"/>
        <v>0</v>
      </c>
      <c r="O70" s="8">
        <v>17</v>
      </c>
      <c r="P70" s="8">
        <v>0</v>
      </c>
      <c r="Q70" s="19" t="s">
        <v>409</v>
      </c>
      <c r="R70" s="19" t="s">
        <v>538</v>
      </c>
      <c r="S70" s="10"/>
      <c r="T70" s="12">
        <v>30</v>
      </c>
      <c r="U70" s="10" t="s">
        <v>408</v>
      </c>
      <c r="V70" s="10"/>
      <c r="W70" s="10"/>
      <c r="X70" s="10"/>
      <c r="Y70" s="10"/>
      <c r="Z70" s="10"/>
      <c r="AA70" s="10" t="s">
        <v>408</v>
      </c>
      <c r="AB70" s="13">
        <v>23</v>
      </c>
      <c r="AC70" s="10"/>
      <c r="AD70" s="13">
        <v>24.511500000000002</v>
      </c>
      <c r="AE70" s="13">
        <v>75.521230000000003</v>
      </c>
    </row>
    <row r="71" spans="1:31">
      <c r="A71" s="8" t="s">
        <v>36</v>
      </c>
      <c r="B71" s="8" t="s">
        <v>418</v>
      </c>
      <c r="C71" s="8" t="s">
        <v>550</v>
      </c>
      <c r="D71" s="19" t="s">
        <v>551</v>
      </c>
      <c r="E71" s="8" t="s">
        <v>552</v>
      </c>
      <c r="F71" s="8">
        <v>990</v>
      </c>
      <c r="G71" s="8">
        <v>403</v>
      </c>
      <c r="H71" s="8">
        <v>1992</v>
      </c>
      <c r="I71" s="8">
        <v>1011</v>
      </c>
      <c r="J71" s="8">
        <v>981</v>
      </c>
      <c r="K71" s="8">
        <v>326</v>
      </c>
      <c r="L71" s="10">
        <f t="shared" si="2"/>
        <v>16.365461847389557</v>
      </c>
      <c r="M71" s="8">
        <v>104</v>
      </c>
      <c r="N71" s="10">
        <f t="shared" si="3"/>
        <v>5.2208835341365463</v>
      </c>
      <c r="O71" s="8">
        <v>71</v>
      </c>
      <c r="P71" s="8">
        <v>104</v>
      </c>
      <c r="Q71" s="19" t="s">
        <v>409</v>
      </c>
      <c r="R71" s="42" t="s">
        <v>475</v>
      </c>
      <c r="S71" s="10"/>
      <c r="T71" s="12">
        <v>31</v>
      </c>
      <c r="U71" s="10" t="s">
        <v>408</v>
      </c>
      <c r="V71" s="10"/>
      <c r="W71" s="10"/>
      <c r="X71" s="10"/>
      <c r="Y71" s="10"/>
      <c r="Z71" s="10"/>
      <c r="AA71" s="10" t="s">
        <v>408</v>
      </c>
      <c r="AB71" s="13">
        <v>31</v>
      </c>
      <c r="AC71" s="10"/>
      <c r="AD71" s="19">
        <v>24.648917999999998</v>
      </c>
      <c r="AE71" s="19">
        <v>75.866607999999999</v>
      </c>
    </row>
    <row r="72" spans="1:31">
      <c r="A72" s="8"/>
      <c r="B72" s="8" t="s">
        <v>418</v>
      </c>
      <c r="C72" s="8" t="s">
        <v>550</v>
      </c>
      <c r="D72" s="19"/>
      <c r="E72" s="8"/>
      <c r="F72" s="8"/>
      <c r="G72" s="8"/>
      <c r="H72" s="8"/>
      <c r="I72" s="8"/>
      <c r="J72" s="8"/>
      <c r="K72" s="8"/>
      <c r="L72" s="10" t="e">
        <f t="shared" si="2"/>
        <v>#DIV/0!</v>
      </c>
      <c r="M72" s="8"/>
      <c r="N72" s="10" t="e">
        <f t="shared" si="3"/>
        <v>#DIV/0!</v>
      </c>
      <c r="O72" s="8"/>
      <c r="P72" s="8"/>
      <c r="Q72" s="19" t="s">
        <v>409</v>
      </c>
      <c r="R72" s="42" t="s">
        <v>475</v>
      </c>
      <c r="S72" s="10"/>
      <c r="T72" s="12">
        <v>14</v>
      </c>
      <c r="U72" s="10" t="s">
        <v>408</v>
      </c>
      <c r="V72" s="10"/>
      <c r="W72" s="10"/>
      <c r="X72" s="10"/>
      <c r="Y72" s="10"/>
      <c r="Z72" s="10"/>
      <c r="AA72" s="10" t="s">
        <v>408</v>
      </c>
      <c r="AB72" s="13">
        <v>12</v>
      </c>
      <c r="AC72" s="10"/>
      <c r="AD72" s="19">
        <v>24.648917999999998</v>
      </c>
      <c r="AE72" s="19">
        <v>75.866607999999999</v>
      </c>
    </row>
    <row r="73" spans="1:31">
      <c r="A73" s="8" t="s">
        <v>36</v>
      </c>
      <c r="B73" s="8" t="s">
        <v>418</v>
      </c>
      <c r="C73" s="8" t="s">
        <v>550</v>
      </c>
      <c r="D73" s="19" t="s">
        <v>553</v>
      </c>
      <c r="E73" s="8" t="s">
        <v>554</v>
      </c>
      <c r="F73" s="8">
        <v>490</v>
      </c>
      <c r="G73" s="8">
        <v>101</v>
      </c>
      <c r="H73" s="8">
        <v>537</v>
      </c>
      <c r="I73" s="8">
        <v>279</v>
      </c>
      <c r="J73" s="8">
        <v>258</v>
      </c>
      <c r="K73" s="8">
        <v>145</v>
      </c>
      <c r="L73" s="10">
        <f t="shared" si="2"/>
        <v>27.001862197392924</v>
      </c>
      <c r="M73" s="8">
        <v>73</v>
      </c>
      <c r="N73" s="10">
        <f t="shared" si="3"/>
        <v>13.594040968342643</v>
      </c>
      <c r="O73" s="8">
        <v>37</v>
      </c>
      <c r="P73" s="8">
        <v>73</v>
      </c>
      <c r="Q73" s="19" t="s">
        <v>409</v>
      </c>
      <c r="R73" s="42" t="s">
        <v>475</v>
      </c>
      <c r="S73" s="10"/>
      <c r="T73" s="12">
        <v>24</v>
      </c>
      <c r="U73" s="10" t="s">
        <v>408</v>
      </c>
      <c r="V73" s="10"/>
      <c r="W73" s="10"/>
      <c r="X73" s="10"/>
      <c r="Y73" s="10"/>
      <c r="Z73" s="10"/>
      <c r="AA73" s="10" t="s">
        <v>408</v>
      </c>
      <c r="AB73" s="13">
        <v>20</v>
      </c>
      <c r="AC73" s="10"/>
      <c r="AD73" s="19">
        <v>24.661373000000001</v>
      </c>
      <c r="AE73" s="19">
        <v>75.885244999999998</v>
      </c>
    </row>
    <row r="74" spans="1:31">
      <c r="A74" s="8"/>
      <c r="B74" s="8" t="s">
        <v>418</v>
      </c>
      <c r="C74" s="8" t="s">
        <v>550</v>
      </c>
      <c r="D74" s="19"/>
      <c r="E74" s="8"/>
      <c r="F74" s="8"/>
      <c r="G74" s="8"/>
      <c r="H74" s="8"/>
      <c r="I74" s="8"/>
      <c r="J74" s="8"/>
      <c r="K74" s="8"/>
      <c r="L74" s="10" t="e">
        <f t="shared" si="2"/>
        <v>#DIV/0!</v>
      </c>
      <c r="M74" s="8"/>
      <c r="N74" s="10" t="e">
        <f t="shared" si="3"/>
        <v>#DIV/0!</v>
      </c>
      <c r="O74" s="8"/>
      <c r="P74" s="8"/>
      <c r="Q74" s="19" t="s">
        <v>409</v>
      </c>
      <c r="R74" s="42" t="s">
        <v>475</v>
      </c>
      <c r="S74" s="10"/>
      <c r="T74" s="18">
        <v>0</v>
      </c>
      <c r="U74" s="10" t="s">
        <v>408</v>
      </c>
      <c r="V74" s="10"/>
      <c r="W74" s="10"/>
      <c r="X74" s="10"/>
      <c r="Y74" s="10"/>
      <c r="Z74" s="10"/>
      <c r="AA74" s="10" t="s">
        <v>408</v>
      </c>
      <c r="AB74" s="18">
        <v>10</v>
      </c>
      <c r="AC74" s="10"/>
      <c r="AD74" s="19">
        <v>24.661373000000001</v>
      </c>
      <c r="AE74" s="19">
        <v>75.885244999999998</v>
      </c>
    </row>
    <row r="75" spans="1:31">
      <c r="A75" s="8" t="s">
        <v>36</v>
      </c>
      <c r="B75" s="8" t="s">
        <v>418</v>
      </c>
      <c r="C75" s="8" t="s">
        <v>550</v>
      </c>
      <c r="D75" s="19" t="s">
        <v>555</v>
      </c>
      <c r="E75" s="8" t="s">
        <v>556</v>
      </c>
      <c r="F75" s="8">
        <v>371</v>
      </c>
      <c r="G75" s="8">
        <v>81</v>
      </c>
      <c r="H75" s="8">
        <v>405</v>
      </c>
      <c r="I75" s="8">
        <v>195</v>
      </c>
      <c r="J75" s="8">
        <v>210</v>
      </c>
      <c r="K75" s="8">
        <v>180</v>
      </c>
      <c r="L75" s="10">
        <f t="shared" si="2"/>
        <v>44.444444444444443</v>
      </c>
      <c r="M75" s="8">
        <v>0</v>
      </c>
      <c r="N75" s="10">
        <f t="shared" si="3"/>
        <v>0</v>
      </c>
      <c r="O75" s="8">
        <v>24</v>
      </c>
      <c r="P75" s="8">
        <v>0</v>
      </c>
      <c r="Q75" s="19" t="s">
        <v>409</v>
      </c>
      <c r="R75" s="42" t="s">
        <v>475</v>
      </c>
      <c r="S75" s="10"/>
      <c r="T75" s="13">
        <v>50.77</v>
      </c>
      <c r="U75" s="10" t="s">
        <v>408</v>
      </c>
      <c r="V75" s="10"/>
      <c r="W75" s="10"/>
      <c r="X75" s="10"/>
      <c r="Y75" s="10"/>
      <c r="Z75" s="10"/>
      <c r="AA75" s="10" t="s">
        <v>1949</v>
      </c>
      <c r="AB75" s="13"/>
      <c r="AC75" s="10"/>
      <c r="AD75" s="19">
        <v>24.671365999999999</v>
      </c>
      <c r="AE75" s="19">
        <v>75.867975000000001</v>
      </c>
    </row>
    <row r="76" spans="1:31">
      <c r="A76" s="8" t="s">
        <v>36</v>
      </c>
      <c r="B76" s="8" t="s">
        <v>418</v>
      </c>
      <c r="C76" s="8" t="s">
        <v>550</v>
      </c>
      <c r="D76" s="17" t="s">
        <v>557</v>
      </c>
      <c r="E76" s="8" t="s">
        <v>558</v>
      </c>
      <c r="F76" s="8">
        <v>438</v>
      </c>
      <c r="G76" s="8">
        <v>279</v>
      </c>
      <c r="H76" s="8">
        <v>1551</v>
      </c>
      <c r="I76" s="8">
        <v>793</v>
      </c>
      <c r="J76" s="8">
        <v>758</v>
      </c>
      <c r="K76" s="8">
        <v>255</v>
      </c>
      <c r="L76" s="10">
        <f t="shared" si="2"/>
        <v>16.441005802707931</v>
      </c>
      <c r="M76" s="8">
        <v>0</v>
      </c>
      <c r="N76" s="10">
        <f t="shared" si="3"/>
        <v>0</v>
      </c>
      <c r="O76" s="8">
        <v>57</v>
      </c>
      <c r="P76" s="8">
        <v>0</v>
      </c>
      <c r="Q76" s="19" t="s">
        <v>409</v>
      </c>
      <c r="R76" s="42" t="s">
        <v>475</v>
      </c>
      <c r="S76" s="10"/>
      <c r="T76" s="13">
        <v>13.82</v>
      </c>
      <c r="U76" s="10" t="s">
        <v>408</v>
      </c>
      <c r="V76" s="10"/>
      <c r="W76" s="10"/>
      <c r="X76" s="10"/>
      <c r="Y76" s="10"/>
      <c r="Z76" s="10"/>
      <c r="AA76" s="10" t="s">
        <v>1949</v>
      </c>
      <c r="AB76" s="13"/>
      <c r="AC76" s="10"/>
      <c r="AD76" s="19">
        <v>24.617260999999999</v>
      </c>
      <c r="AE76" s="19">
        <v>75.845206000000005</v>
      </c>
    </row>
    <row r="77" spans="1:31">
      <c r="A77" s="8" t="s">
        <v>36</v>
      </c>
      <c r="B77" s="8" t="s">
        <v>418</v>
      </c>
      <c r="C77" s="8" t="s">
        <v>550</v>
      </c>
      <c r="D77" s="17" t="s">
        <v>559</v>
      </c>
      <c r="E77" s="8" t="s">
        <v>560</v>
      </c>
      <c r="F77" s="8">
        <v>331</v>
      </c>
      <c r="G77" s="8">
        <v>138</v>
      </c>
      <c r="H77" s="8">
        <v>785</v>
      </c>
      <c r="I77" s="8">
        <v>414</v>
      </c>
      <c r="J77" s="8">
        <v>371</v>
      </c>
      <c r="K77" s="8">
        <v>97</v>
      </c>
      <c r="L77" s="10">
        <f t="shared" si="2"/>
        <v>12.356687898089172</v>
      </c>
      <c r="M77" s="8">
        <v>54</v>
      </c>
      <c r="N77" s="10">
        <f t="shared" si="3"/>
        <v>6.8789808917197455</v>
      </c>
      <c r="O77" s="8">
        <v>29</v>
      </c>
      <c r="P77" s="8">
        <v>54</v>
      </c>
      <c r="Q77" s="19" t="s">
        <v>409</v>
      </c>
      <c r="R77" s="42" t="s">
        <v>475</v>
      </c>
      <c r="S77" s="10"/>
      <c r="T77" s="13">
        <v>21.47</v>
      </c>
      <c r="U77" s="10" t="s">
        <v>408</v>
      </c>
      <c r="V77" s="10"/>
      <c r="W77" s="10"/>
      <c r="X77" s="10"/>
      <c r="Y77" s="10"/>
      <c r="Z77" s="10"/>
      <c r="AA77" s="10" t="s">
        <v>1949</v>
      </c>
      <c r="AB77" s="13"/>
      <c r="AC77" s="10"/>
      <c r="AD77" s="19">
        <v>24.628924000000001</v>
      </c>
      <c r="AE77" s="19">
        <v>75.867947999999998</v>
      </c>
    </row>
    <row r="78" spans="1:31">
      <c r="A78" s="8" t="s">
        <v>36</v>
      </c>
      <c r="B78" s="8" t="s">
        <v>418</v>
      </c>
      <c r="C78" s="8" t="s">
        <v>561</v>
      </c>
      <c r="D78" s="9" t="s">
        <v>562</v>
      </c>
      <c r="E78" s="8" t="s">
        <v>563</v>
      </c>
      <c r="F78" s="8">
        <v>540</v>
      </c>
      <c r="G78" s="8">
        <v>98</v>
      </c>
      <c r="H78" s="8">
        <v>505</v>
      </c>
      <c r="I78" s="8">
        <v>265</v>
      </c>
      <c r="J78" s="8">
        <v>240</v>
      </c>
      <c r="K78" s="8">
        <v>60</v>
      </c>
      <c r="L78" s="10">
        <f t="shared" si="2"/>
        <v>11.881188118811881</v>
      </c>
      <c r="M78" s="8">
        <v>0</v>
      </c>
      <c r="N78" s="10">
        <f t="shared" si="3"/>
        <v>0</v>
      </c>
      <c r="O78" s="8">
        <v>31</v>
      </c>
      <c r="P78" s="8">
        <v>0</v>
      </c>
      <c r="Q78" s="19" t="s">
        <v>409</v>
      </c>
      <c r="R78" s="42" t="s">
        <v>564</v>
      </c>
      <c r="S78" s="10"/>
      <c r="T78" s="13">
        <v>0</v>
      </c>
      <c r="U78" s="10"/>
      <c r="V78" s="10"/>
      <c r="W78" s="10"/>
      <c r="X78" s="10"/>
      <c r="Y78" s="10"/>
      <c r="Z78" s="10"/>
      <c r="AA78" s="10" t="s">
        <v>1949</v>
      </c>
      <c r="AB78" s="13"/>
      <c r="AC78" s="10"/>
      <c r="AD78" s="19">
        <v>24.758261000000001</v>
      </c>
      <c r="AE78" s="19">
        <v>75.885694999999998</v>
      </c>
    </row>
    <row r="79" spans="1:31">
      <c r="A79" s="8" t="s">
        <v>36</v>
      </c>
      <c r="B79" s="8" t="s">
        <v>418</v>
      </c>
      <c r="C79" s="8" t="s">
        <v>561</v>
      </c>
      <c r="D79" s="9" t="s">
        <v>565</v>
      </c>
      <c r="E79" s="8" t="s">
        <v>566</v>
      </c>
      <c r="F79" s="8">
        <v>110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10" t="e">
        <f t="shared" si="2"/>
        <v>#DIV/0!</v>
      </c>
      <c r="M79" s="8">
        <v>0</v>
      </c>
      <c r="N79" s="10" t="e">
        <f t="shared" si="3"/>
        <v>#DIV/0!</v>
      </c>
      <c r="O79" s="8">
        <v>0</v>
      </c>
      <c r="P79" s="8">
        <v>0</v>
      </c>
      <c r="Q79" s="10"/>
      <c r="R79" s="10"/>
      <c r="S79" s="10"/>
      <c r="T79" s="40">
        <v>34</v>
      </c>
      <c r="U79" s="10"/>
      <c r="V79" s="10"/>
      <c r="W79" s="10"/>
      <c r="X79" s="10"/>
      <c r="Y79" s="10"/>
      <c r="Z79" s="10"/>
      <c r="AA79" s="10" t="s">
        <v>408</v>
      </c>
      <c r="AB79" s="40">
        <v>12</v>
      </c>
      <c r="AC79" s="10"/>
      <c r="AD79" s="10"/>
      <c r="AE79" s="10"/>
    </row>
    <row r="80" spans="1:31">
      <c r="A80" s="8" t="s">
        <v>36</v>
      </c>
      <c r="B80" s="8" t="s">
        <v>418</v>
      </c>
      <c r="C80" s="8" t="s">
        <v>561</v>
      </c>
      <c r="D80" s="9" t="s">
        <v>567</v>
      </c>
      <c r="E80" s="8" t="s">
        <v>568</v>
      </c>
      <c r="F80" s="8">
        <v>623</v>
      </c>
      <c r="G80" s="8">
        <v>102</v>
      </c>
      <c r="H80" s="8">
        <v>488</v>
      </c>
      <c r="I80" s="8">
        <v>258</v>
      </c>
      <c r="J80" s="8">
        <v>230</v>
      </c>
      <c r="K80" s="8">
        <v>11</v>
      </c>
      <c r="L80" s="10">
        <f t="shared" si="2"/>
        <v>2.2540983606557377</v>
      </c>
      <c r="M80" s="8">
        <v>452</v>
      </c>
      <c r="N80" s="10">
        <f t="shared" si="3"/>
        <v>92.622950819672127</v>
      </c>
      <c r="O80" s="8">
        <v>17</v>
      </c>
      <c r="P80" s="8">
        <v>452</v>
      </c>
      <c r="Q80" s="10"/>
      <c r="R80" s="10"/>
      <c r="S80" s="10"/>
      <c r="T80" s="37">
        <v>2</v>
      </c>
      <c r="U80" s="10"/>
      <c r="V80" s="10"/>
      <c r="W80" s="10"/>
      <c r="X80" s="10"/>
      <c r="Y80" s="10"/>
      <c r="Z80" s="10"/>
      <c r="AA80" s="10" t="s">
        <v>408</v>
      </c>
      <c r="AB80" s="37">
        <v>11</v>
      </c>
      <c r="AC80" s="10"/>
      <c r="AD80" s="10"/>
      <c r="AE80" s="10"/>
    </row>
    <row r="81" spans="1:31">
      <c r="A81" s="8" t="s">
        <v>36</v>
      </c>
      <c r="B81" s="8" t="s">
        <v>418</v>
      </c>
      <c r="C81" s="8" t="s">
        <v>561</v>
      </c>
      <c r="D81" s="9" t="s">
        <v>569</v>
      </c>
      <c r="E81" s="8" t="s">
        <v>570</v>
      </c>
      <c r="F81" s="8">
        <v>187</v>
      </c>
      <c r="G81" s="8">
        <v>46</v>
      </c>
      <c r="H81" s="8">
        <v>223</v>
      </c>
      <c r="I81" s="8">
        <v>113</v>
      </c>
      <c r="J81" s="8">
        <v>110</v>
      </c>
      <c r="K81" s="8">
        <v>133</v>
      </c>
      <c r="L81" s="10">
        <f t="shared" si="2"/>
        <v>59.641255605381161</v>
      </c>
      <c r="M81" s="8">
        <v>0</v>
      </c>
      <c r="N81" s="10">
        <f t="shared" si="3"/>
        <v>0</v>
      </c>
      <c r="O81" s="8">
        <v>10</v>
      </c>
      <c r="P81" s="8">
        <v>0</v>
      </c>
      <c r="Q81" s="19">
        <v>0</v>
      </c>
      <c r="R81" s="19" t="s">
        <v>564</v>
      </c>
      <c r="S81" s="10"/>
      <c r="T81" s="37">
        <v>21</v>
      </c>
      <c r="U81" s="10"/>
      <c r="V81" s="10"/>
      <c r="W81" s="10"/>
      <c r="X81" s="10"/>
      <c r="Y81" s="10"/>
      <c r="Z81" s="10"/>
      <c r="AA81" s="10" t="s">
        <v>408</v>
      </c>
      <c r="AB81" s="37">
        <v>10</v>
      </c>
      <c r="AC81" s="10"/>
      <c r="AD81" s="19">
        <v>24.736197000000001</v>
      </c>
      <c r="AE81" s="19">
        <v>75.868705000000006</v>
      </c>
    </row>
    <row r="82" spans="1:31">
      <c r="A82" s="8" t="s">
        <v>36</v>
      </c>
      <c r="B82" s="8" t="s">
        <v>418</v>
      </c>
      <c r="C82" s="8" t="s">
        <v>561</v>
      </c>
      <c r="D82" s="9" t="s">
        <v>571</v>
      </c>
      <c r="E82" s="8" t="s">
        <v>572</v>
      </c>
      <c r="F82" s="8">
        <v>229</v>
      </c>
      <c r="G82" s="8">
        <v>100</v>
      </c>
      <c r="H82" s="8">
        <v>511</v>
      </c>
      <c r="I82" s="8">
        <v>262</v>
      </c>
      <c r="J82" s="8">
        <v>249</v>
      </c>
      <c r="K82" s="8">
        <v>0</v>
      </c>
      <c r="L82" s="10">
        <f t="shared" si="2"/>
        <v>0</v>
      </c>
      <c r="M82" s="8">
        <v>4</v>
      </c>
      <c r="N82" s="10">
        <f t="shared" si="3"/>
        <v>0.78277886497064575</v>
      </c>
      <c r="O82" s="8">
        <v>0</v>
      </c>
      <c r="P82" s="8">
        <v>4</v>
      </c>
      <c r="Q82" s="10"/>
      <c r="R82" s="10"/>
      <c r="S82" s="10"/>
      <c r="T82" s="37">
        <v>1</v>
      </c>
      <c r="U82" s="10"/>
      <c r="V82" s="10"/>
      <c r="W82" s="10"/>
      <c r="X82" s="10"/>
      <c r="Y82" s="10"/>
      <c r="Z82" s="10"/>
      <c r="AA82" s="10" t="s">
        <v>408</v>
      </c>
      <c r="AB82" s="37">
        <v>5</v>
      </c>
      <c r="AC82" s="10"/>
      <c r="AD82" s="10"/>
      <c r="AE82" s="10"/>
    </row>
    <row r="83" spans="1:31">
      <c r="A83" s="8" t="s">
        <v>36</v>
      </c>
      <c r="B83" s="8" t="s">
        <v>418</v>
      </c>
      <c r="C83" s="8" t="s">
        <v>561</v>
      </c>
      <c r="D83" s="9" t="s">
        <v>573</v>
      </c>
      <c r="E83" s="8" t="s">
        <v>574</v>
      </c>
      <c r="F83" s="8">
        <v>280</v>
      </c>
      <c r="G83" s="8">
        <v>197</v>
      </c>
      <c r="H83" s="8">
        <v>1006</v>
      </c>
      <c r="I83" s="8">
        <v>502</v>
      </c>
      <c r="J83" s="8">
        <v>504</v>
      </c>
      <c r="K83" s="8">
        <v>220</v>
      </c>
      <c r="L83" s="10">
        <f t="shared" si="2"/>
        <v>21.868787276341948</v>
      </c>
      <c r="M83" s="8">
        <v>0</v>
      </c>
      <c r="N83" s="10">
        <f t="shared" si="3"/>
        <v>0</v>
      </c>
      <c r="O83" s="8">
        <v>35</v>
      </c>
      <c r="P83" s="8">
        <v>0</v>
      </c>
      <c r="Q83" s="19" t="s">
        <v>488</v>
      </c>
      <c r="R83" s="42" t="s">
        <v>564</v>
      </c>
      <c r="S83" s="10"/>
      <c r="T83" s="88">
        <v>21</v>
      </c>
      <c r="U83" s="10"/>
      <c r="V83" s="10"/>
      <c r="W83" s="10"/>
      <c r="X83" s="10"/>
      <c r="Y83" s="10"/>
      <c r="Z83" s="10"/>
      <c r="AA83" s="10" t="s">
        <v>408</v>
      </c>
      <c r="AB83" s="88">
        <v>12</v>
      </c>
      <c r="AC83" s="10"/>
      <c r="AD83" s="19">
        <v>24.747212000000001</v>
      </c>
      <c r="AE83" s="19">
        <v>75.855721000000003</v>
      </c>
    </row>
    <row r="84" spans="1:31">
      <c r="A84" s="8" t="s">
        <v>36</v>
      </c>
      <c r="B84" s="8" t="s">
        <v>418</v>
      </c>
      <c r="C84" s="8" t="s">
        <v>561</v>
      </c>
      <c r="D84" s="9" t="s">
        <v>575</v>
      </c>
      <c r="E84" s="8" t="s">
        <v>576</v>
      </c>
      <c r="F84" s="8">
        <v>521</v>
      </c>
      <c r="G84" s="8">
        <v>232</v>
      </c>
      <c r="H84" s="8">
        <v>1111</v>
      </c>
      <c r="I84" s="8">
        <v>580</v>
      </c>
      <c r="J84" s="8">
        <v>531</v>
      </c>
      <c r="K84" s="8">
        <v>5</v>
      </c>
      <c r="L84" s="10">
        <f t="shared" si="2"/>
        <v>0.45004500450045004</v>
      </c>
      <c r="M84" s="8">
        <v>0</v>
      </c>
      <c r="N84" s="10">
        <f t="shared" si="3"/>
        <v>0</v>
      </c>
      <c r="O84" s="8">
        <v>24</v>
      </c>
      <c r="P84" s="8">
        <v>0</v>
      </c>
      <c r="Q84" s="19">
        <v>0</v>
      </c>
      <c r="R84" s="19" t="s">
        <v>564</v>
      </c>
      <c r="S84" s="10"/>
      <c r="T84" s="37">
        <v>14</v>
      </c>
      <c r="U84" s="10"/>
      <c r="V84" s="10"/>
      <c r="W84" s="10"/>
      <c r="X84" s="10"/>
      <c r="Y84" s="10"/>
      <c r="Z84" s="10"/>
      <c r="AA84" s="10" t="s">
        <v>408</v>
      </c>
      <c r="AB84" s="37">
        <v>10</v>
      </c>
      <c r="AC84" s="10"/>
      <c r="AD84" s="19">
        <v>0</v>
      </c>
      <c r="AE84" s="19">
        <v>0</v>
      </c>
    </row>
    <row r="85" spans="1:31">
      <c r="A85" s="8" t="s">
        <v>36</v>
      </c>
      <c r="B85" s="8" t="s">
        <v>418</v>
      </c>
      <c r="C85" s="8" t="s">
        <v>577</v>
      </c>
      <c r="D85" s="9" t="s">
        <v>578</v>
      </c>
      <c r="E85" s="8" t="s">
        <v>579</v>
      </c>
      <c r="F85" s="8">
        <v>212</v>
      </c>
      <c r="G85" s="8">
        <v>384</v>
      </c>
      <c r="H85" s="8">
        <v>1822</v>
      </c>
      <c r="I85" s="8">
        <v>960</v>
      </c>
      <c r="J85" s="8">
        <v>862</v>
      </c>
      <c r="K85" s="8">
        <v>568</v>
      </c>
      <c r="L85" s="10">
        <f t="shared" si="2"/>
        <v>31.174533479692645</v>
      </c>
      <c r="M85" s="8">
        <v>62</v>
      </c>
      <c r="N85" s="10">
        <f t="shared" si="3"/>
        <v>3.4028540065861685</v>
      </c>
      <c r="O85" s="8">
        <v>30</v>
      </c>
      <c r="P85" s="8">
        <v>62</v>
      </c>
      <c r="Q85" s="13" t="s">
        <v>408</v>
      </c>
      <c r="R85" s="14">
        <v>45201</v>
      </c>
      <c r="S85" s="10"/>
      <c r="T85" s="37">
        <v>20</v>
      </c>
      <c r="U85" s="10"/>
      <c r="V85" s="10"/>
      <c r="W85" s="10"/>
      <c r="X85" s="10"/>
      <c r="Y85" s="10"/>
      <c r="Z85" s="10"/>
      <c r="AA85" s="10" t="s">
        <v>408</v>
      </c>
      <c r="AB85" s="37">
        <v>14</v>
      </c>
      <c r="AC85" s="10"/>
      <c r="AD85" s="11">
        <v>24.774719000000001</v>
      </c>
      <c r="AE85" s="11">
        <v>75.988283999999993</v>
      </c>
    </row>
    <row r="86" spans="1:31">
      <c r="A86" s="8" t="s">
        <v>36</v>
      </c>
      <c r="B86" s="8" t="s">
        <v>418</v>
      </c>
      <c r="C86" s="8" t="s">
        <v>577</v>
      </c>
      <c r="D86" s="9" t="s">
        <v>580</v>
      </c>
      <c r="E86" s="8" t="s">
        <v>581</v>
      </c>
      <c r="F86" s="8">
        <v>596</v>
      </c>
      <c r="G86" s="8">
        <v>171</v>
      </c>
      <c r="H86" s="8">
        <v>946</v>
      </c>
      <c r="I86" s="8">
        <v>489</v>
      </c>
      <c r="J86" s="8">
        <v>457</v>
      </c>
      <c r="K86" s="8">
        <v>347</v>
      </c>
      <c r="L86" s="10">
        <f t="shared" si="2"/>
        <v>36.680761099365746</v>
      </c>
      <c r="M86" s="8">
        <v>320</v>
      </c>
      <c r="N86" s="10">
        <f t="shared" si="3"/>
        <v>33.826638477801268</v>
      </c>
      <c r="O86" s="8">
        <v>31</v>
      </c>
      <c r="P86" s="8">
        <v>320</v>
      </c>
      <c r="Q86" s="13" t="s">
        <v>408</v>
      </c>
      <c r="R86" s="14">
        <v>45201</v>
      </c>
      <c r="S86" s="10"/>
      <c r="T86" s="37"/>
      <c r="U86" s="10"/>
      <c r="V86" s="10"/>
      <c r="W86" s="10"/>
      <c r="X86" s="10"/>
      <c r="Y86" s="10"/>
      <c r="Z86" s="10"/>
      <c r="AA86" s="10" t="s">
        <v>1949</v>
      </c>
      <c r="AB86" s="37"/>
      <c r="AC86" s="10"/>
      <c r="AD86" s="11">
        <v>24.783705000000001</v>
      </c>
      <c r="AE86" s="11">
        <v>75.954205999999999</v>
      </c>
    </row>
    <row r="87" spans="1:31">
      <c r="A87" s="8" t="s">
        <v>36</v>
      </c>
      <c r="B87" s="8" t="s">
        <v>418</v>
      </c>
      <c r="C87" s="8" t="s">
        <v>577</v>
      </c>
      <c r="D87" s="9" t="s">
        <v>582</v>
      </c>
      <c r="E87" s="8" t="s">
        <v>583</v>
      </c>
      <c r="F87" s="8">
        <v>194</v>
      </c>
      <c r="G87" s="8">
        <v>70</v>
      </c>
      <c r="H87" s="8">
        <v>379</v>
      </c>
      <c r="I87" s="8">
        <v>197</v>
      </c>
      <c r="J87" s="8">
        <v>182</v>
      </c>
      <c r="K87" s="8">
        <v>154</v>
      </c>
      <c r="L87" s="10">
        <f t="shared" si="2"/>
        <v>40.633245382585756</v>
      </c>
      <c r="M87" s="8">
        <v>219</v>
      </c>
      <c r="N87" s="10">
        <f t="shared" si="3"/>
        <v>57.78364116094987</v>
      </c>
      <c r="O87" s="8">
        <v>14</v>
      </c>
      <c r="P87" s="8">
        <v>219</v>
      </c>
      <c r="Q87" s="13" t="s">
        <v>408</v>
      </c>
      <c r="R87" s="14">
        <v>45181</v>
      </c>
      <c r="S87" s="10"/>
      <c r="T87" s="37">
        <v>24</v>
      </c>
      <c r="U87" s="10"/>
      <c r="V87" s="10"/>
      <c r="W87" s="10"/>
      <c r="X87" s="10"/>
      <c r="Y87" s="10"/>
      <c r="Z87" s="10"/>
      <c r="AA87" s="10" t="s">
        <v>408</v>
      </c>
      <c r="AB87" s="37">
        <v>12</v>
      </c>
      <c r="AC87" s="10"/>
      <c r="AD87" s="11">
        <v>24.789227199999999</v>
      </c>
      <c r="AE87" s="11">
        <v>75.943309999999997</v>
      </c>
    </row>
    <row r="88" spans="1:31">
      <c r="A88" s="8" t="s">
        <v>36</v>
      </c>
      <c r="B88" s="8" t="s">
        <v>418</v>
      </c>
      <c r="C88" s="8" t="s">
        <v>577</v>
      </c>
      <c r="D88" s="9" t="s">
        <v>584</v>
      </c>
      <c r="E88" s="8" t="s">
        <v>585</v>
      </c>
      <c r="F88" s="8">
        <v>570</v>
      </c>
      <c r="G88" s="8">
        <v>450</v>
      </c>
      <c r="H88" s="8">
        <v>1894</v>
      </c>
      <c r="I88" s="8">
        <v>1012</v>
      </c>
      <c r="J88" s="8">
        <v>882</v>
      </c>
      <c r="K88" s="8">
        <v>386</v>
      </c>
      <c r="L88" s="10">
        <f t="shared" si="2"/>
        <v>20.380147835269273</v>
      </c>
      <c r="M88" s="8">
        <v>319</v>
      </c>
      <c r="N88" s="10">
        <f t="shared" si="3"/>
        <v>16.842661034846884</v>
      </c>
      <c r="O88" s="8">
        <v>24</v>
      </c>
      <c r="P88" s="8">
        <v>319</v>
      </c>
      <c r="Q88" s="13" t="s">
        <v>408</v>
      </c>
      <c r="R88" s="14">
        <v>45181</v>
      </c>
      <c r="S88" s="10"/>
      <c r="T88" s="37">
        <v>6</v>
      </c>
      <c r="U88" s="10"/>
      <c r="V88" s="10"/>
      <c r="W88" s="10"/>
      <c r="X88" s="10"/>
      <c r="Y88" s="10"/>
      <c r="Z88" s="10"/>
      <c r="AA88" s="10" t="s">
        <v>408</v>
      </c>
      <c r="AB88" s="37">
        <v>10</v>
      </c>
      <c r="AC88" s="10"/>
      <c r="AD88" s="11">
        <v>24.824006000000001</v>
      </c>
      <c r="AE88" s="11">
        <v>75.934344999999993</v>
      </c>
    </row>
    <row r="89" spans="1:31">
      <c r="A89" s="8"/>
      <c r="B89" s="8" t="s">
        <v>418</v>
      </c>
      <c r="C89" s="8" t="s">
        <v>577</v>
      </c>
      <c r="D89" s="9"/>
      <c r="E89" s="8"/>
      <c r="F89" s="8"/>
      <c r="G89" s="8"/>
      <c r="H89" s="8"/>
      <c r="I89" s="8"/>
      <c r="J89" s="8"/>
      <c r="K89" s="8"/>
      <c r="L89" s="10" t="e">
        <f t="shared" si="2"/>
        <v>#DIV/0!</v>
      </c>
      <c r="M89" s="8"/>
      <c r="N89" s="10" t="e">
        <f t="shared" si="3"/>
        <v>#DIV/0!</v>
      </c>
      <c r="O89" s="8"/>
      <c r="P89" s="8"/>
      <c r="Q89" s="18" t="s">
        <v>408</v>
      </c>
      <c r="R89" s="18"/>
      <c r="S89" s="10"/>
      <c r="T89" s="40">
        <v>16</v>
      </c>
      <c r="U89" s="10"/>
      <c r="V89" s="10"/>
      <c r="W89" s="10"/>
      <c r="X89" s="10"/>
      <c r="Y89" s="10"/>
      <c r="Z89" s="10"/>
      <c r="AA89" s="10" t="s">
        <v>408</v>
      </c>
      <c r="AB89" s="40">
        <v>10</v>
      </c>
      <c r="AC89" s="10"/>
      <c r="AD89" s="18"/>
      <c r="AE89" s="18"/>
    </row>
    <row r="90" spans="1:31">
      <c r="A90" s="8" t="s">
        <v>36</v>
      </c>
      <c r="B90" s="8" t="s">
        <v>418</v>
      </c>
      <c r="C90" s="8" t="s">
        <v>587</v>
      </c>
      <c r="D90" s="9" t="s">
        <v>588</v>
      </c>
      <c r="E90" s="8" t="s">
        <v>589</v>
      </c>
      <c r="F90" s="8">
        <v>2509</v>
      </c>
      <c r="G90" s="8">
        <v>1398</v>
      </c>
      <c r="H90" s="8">
        <v>7257</v>
      </c>
      <c r="I90" s="8">
        <v>3769</v>
      </c>
      <c r="J90" s="8">
        <v>3488</v>
      </c>
      <c r="K90" s="8">
        <v>2934</v>
      </c>
      <c r="L90" s="10">
        <f t="shared" si="2"/>
        <v>40.429929723026042</v>
      </c>
      <c r="M90" s="8">
        <v>572</v>
      </c>
      <c r="N90" s="10">
        <f t="shared" si="3"/>
        <v>7.8820449221441367</v>
      </c>
      <c r="O90" s="8">
        <v>93</v>
      </c>
      <c r="P90" s="8">
        <v>572</v>
      </c>
      <c r="Q90" s="18"/>
      <c r="R90" s="18"/>
      <c r="S90" s="10"/>
      <c r="T90" s="40">
        <v>0</v>
      </c>
      <c r="U90" s="10" t="s">
        <v>408</v>
      </c>
      <c r="V90" s="10"/>
      <c r="W90" s="10"/>
      <c r="X90" s="10"/>
      <c r="Y90" s="10"/>
      <c r="Z90" s="10"/>
      <c r="AA90" s="10" t="s">
        <v>1949</v>
      </c>
      <c r="AB90" s="40"/>
      <c r="AC90" s="10"/>
      <c r="AD90" s="18"/>
      <c r="AE90" s="18"/>
    </row>
    <row r="91" spans="1:31">
      <c r="A91" s="8" t="s">
        <v>36</v>
      </c>
      <c r="B91" s="8" t="s">
        <v>418</v>
      </c>
      <c r="C91" s="8" t="s">
        <v>418</v>
      </c>
      <c r="D91" s="9" t="s">
        <v>590</v>
      </c>
      <c r="E91" s="8" t="s">
        <v>591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10" t="e">
        <f t="shared" si="2"/>
        <v>#DIV/0!</v>
      </c>
      <c r="M91" s="8">
        <v>0</v>
      </c>
      <c r="N91" s="10" t="e">
        <f t="shared" si="3"/>
        <v>#DIV/0!</v>
      </c>
      <c r="O91" s="8">
        <v>0</v>
      </c>
      <c r="P91" s="8">
        <v>0</v>
      </c>
      <c r="Q91" s="19" t="s">
        <v>409</v>
      </c>
      <c r="R91" s="19" t="s">
        <v>475</v>
      </c>
      <c r="S91" s="10"/>
      <c r="T91" s="10"/>
      <c r="U91" s="10"/>
      <c r="V91" s="10"/>
      <c r="W91" s="10"/>
      <c r="X91" s="10"/>
      <c r="Y91" s="10"/>
      <c r="Z91" s="10"/>
      <c r="AA91" s="10" t="s">
        <v>1949</v>
      </c>
      <c r="AB91" s="10"/>
      <c r="AC91" s="10"/>
      <c r="AD91" s="19">
        <v>0</v>
      </c>
      <c r="AE91" s="19">
        <v>0</v>
      </c>
    </row>
    <row r="92" spans="1:31">
      <c r="A92" s="8"/>
      <c r="B92" s="8" t="s">
        <v>418</v>
      </c>
      <c r="C92" s="8" t="s">
        <v>418</v>
      </c>
      <c r="D92" s="9"/>
      <c r="E92" s="8"/>
      <c r="F92" s="8"/>
      <c r="G92" s="8"/>
      <c r="H92" s="8"/>
      <c r="I92" s="8"/>
      <c r="J92" s="8"/>
      <c r="K92" s="8"/>
      <c r="L92" s="10" t="e">
        <f t="shared" si="2"/>
        <v>#DIV/0!</v>
      </c>
      <c r="M92" s="8"/>
      <c r="N92" s="10" t="e">
        <f t="shared" si="3"/>
        <v>#DIV/0!</v>
      </c>
      <c r="O92" s="8"/>
      <c r="P92" s="8"/>
      <c r="Q92" s="19" t="s">
        <v>409</v>
      </c>
      <c r="R92" s="19" t="s">
        <v>475</v>
      </c>
      <c r="S92" s="10"/>
      <c r="T92" s="40">
        <v>0</v>
      </c>
      <c r="U92" s="10"/>
      <c r="V92" s="10"/>
      <c r="W92" s="10"/>
      <c r="X92" s="10"/>
      <c r="Y92" s="10"/>
      <c r="Z92" s="10"/>
      <c r="AA92" s="10" t="s">
        <v>1949</v>
      </c>
      <c r="AB92" s="40"/>
      <c r="AC92" s="10"/>
      <c r="AD92" s="19">
        <v>0</v>
      </c>
      <c r="AE92" s="19">
        <v>0</v>
      </c>
    </row>
    <row r="93" spans="1:31">
      <c r="A93" s="8" t="s">
        <v>36</v>
      </c>
      <c r="B93" s="8" t="s">
        <v>418</v>
      </c>
      <c r="C93" s="8" t="s">
        <v>592</v>
      </c>
      <c r="D93" s="9" t="s">
        <v>593</v>
      </c>
      <c r="E93" s="8" t="s">
        <v>594</v>
      </c>
      <c r="F93" s="8">
        <v>430</v>
      </c>
      <c r="G93" s="8">
        <v>475</v>
      </c>
      <c r="H93" s="8">
        <v>2483</v>
      </c>
      <c r="I93" s="8">
        <v>1279</v>
      </c>
      <c r="J93" s="8">
        <v>1204</v>
      </c>
      <c r="K93" s="8">
        <v>392</v>
      </c>
      <c r="L93" s="10">
        <f t="shared" si="2"/>
        <v>15.787354007249297</v>
      </c>
      <c r="M93" s="8">
        <v>241</v>
      </c>
      <c r="N93" s="10">
        <f t="shared" si="3"/>
        <v>9.7060008054772453</v>
      </c>
      <c r="O93" s="8">
        <v>12</v>
      </c>
      <c r="P93" s="8">
        <v>241</v>
      </c>
      <c r="Q93" s="19" t="s">
        <v>409</v>
      </c>
      <c r="R93" s="19" t="s">
        <v>595</v>
      </c>
      <c r="S93" s="10"/>
      <c r="T93" s="10"/>
      <c r="U93" s="10" t="s">
        <v>408</v>
      </c>
      <c r="V93" s="10"/>
      <c r="W93" s="10"/>
      <c r="X93" s="10"/>
      <c r="Y93" s="10"/>
      <c r="Z93" s="10"/>
      <c r="AA93" s="10" t="s">
        <v>1949</v>
      </c>
      <c r="AB93" s="10"/>
      <c r="AC93" s="10"/>
      <c r="AD93" s="19">
        <v>24.7151</v>
      </c>
      <c r="AE93" s="19">
        <v>76.010589999999993</v>
      </c>
    </row>
    <row r="94" spans="1:31">
      <c r="A94" s="8" t="s">
        <v>36</v>
      </c>
      <c r="B94" s="8" t="s">
        <v>418</v>
      </c>
      <c r="C94" s="8" t="s">
        <v>592</v>
      </c>
      <c r="D94" s="9" t="s">
        <v>596</v>
      </c>
      <c r="E94" s="8" t="s">
        <v>597</v>
      </c>
      <c r="F94" s="8">
        <v>97</v>
      </c>
      <c r="G94" s="8">
        <v>106</v>
      </c>
      <c r="H94" s="8">
        <v>517</v>
      </c>
      <c r="I94" s="8">
        <v>259</v>
      </c>
      <c r="J94" s="8">
        <v>258</v>
      </c>
      <c r="K94" s="8">
        <v>110</v>
      </c>
      <c r="L94" s="10">
        <f t="shared" si="2"/>
        <v>21.276595744680851</v>
      </c>
      <c r="M94" s="8">
        <v>32</v>
      </c>
      <c r="N94" s="10">
        <f t="shared" si="3"/>
        <v>6.1895551257253389</v>
      </c>
      <c r="O94" s="8">
        <v>0</v>
      </c>
      <c r="P94" s="8">
        <v>32</v>
      </c>
      <c r="Q94" s="19" t="s">
        <v>409</v>
      </c>
      <c r="R94" s="19" t="s">
        <v>595</v>
      </c>
      <c r="S94" s="10"/>
      <c r="T94" s="10"/>
      <c r="U94" s="10" t="s">
        <v>408</v>
      </c>
      <c r="V94" s="10"/>
      <c r="W94" s="10"/>
      <c r="X94" s="10"/>
      <c r="Y94" s="10"/>
      <c r="Z94" s="10"/>
      <c r="AA94" s="10" t="s">
        <v>1949</v>
      </c>
      <c r="AB94" s="10"/>
      <c r="AC94" s="10"/>
      <c r="AD94" s="13">
        <v>24.7119</v>
      </c>
      <c r="AE94" s="19">
        <v>76.010570000000001</v>
      </c>
    </row>
    <row r="95" spans="1:31">
      <c r="A95" s="8" t="s">
        <v>36</v>
      </c>
      <c r="B95" s="8" t="s">
        <v>418</v>
      </c>
      <c r="C95" s="8" t="s">
        <v>592</v>
      </c>
      <c r="D95" s="9" t="s">
        <v>598</v>
      </c>
      <c r="E95" s="8" t="s">
        <v>599</v>
      </c>
      <c r="F95" s="8">
        <v>368</v>
      </c>
      <c r="G95" s="8">
        <v>100</v>
      </c>
      <c r="H95" s="8">
        <v>449</v>
      </c>
      <c r="I95" s="8">
        <v>235</v>
      </c>
      <c r="J95" s="8">
        <v>214</v>
      </c>
      <c r="K95" s="8">
        <v>39</v>
      </c>
      <c r="L95" s="10">
        <f t="shared" si="2"/>
        <v>8.6859688195991094</v>
      </c>
      <c r="M95" s="8">
        <v>90</v>
      </c>
      <c r="N95" s="10">
        <f t="shared" si="3"/>
        <v>20.044543429844097</v>
      </c>
      <c r="O95" s="8">
        <v>22</v>
      </c>
      <c r="P95" s="8">
        <v>90</v>
      </c>
      <c r="Q95" s="19" t="s">
        <v>409</v>
      </c>
      <c r="R95" s="19" t="s">
        <v>595</v>
      </c>
      <c r="S95" s="10"/>
      <c r="T95" s="40">
        <v>0</v>
      </c>
      <c r="U95" s="10" t="s">
        <v>408</v>
      </c>
      <c r="V95" s="10"/>
      <c r="W95" s="10"/>
      <c r="X95" s="10"/>
      <c r="Y95" s="10"/>
      <c r="Z95" s="10"/>
      <c r="AA95" s="10" t="s">
        <v>1949</v>
      </c>
      <c r="AB95" s="40"/>
      <c r="AC95" s="10"/>
      <c r="AD95" s="19">
        <v>0</v>
      </c>
      <c r="AE95" s="19">
        <v>0</v>
      </c>
    </row>
    <row r="96" spans="1:31">
      <c r="A96" s="8" t="s">
        <v>36</v>
      </c>
      <c r="B96" s="8" t="s">
        <v>418</v>
      </c>
      <c r="C96" s="8" t="s">
        <v>600</v>
      </c>
      <c r="D96" s="9" t="s">
        <v>601</v>
      </c>
      <c r="E96" s="8" t="s">
        <v>602</v>
      </c>
      <c r="F96" s="8">
        <v>468</v>
      </c>
      <c r="G96" s="8">
        <v>501</v>
      </c>
      <c r="H96" s="8">
        <v>2256</v>
      </c>
      <c r="I96" s="8">
        <v>1198</v>
      </c>
      <c r="J96" s="8">
        <v>1058</v>
      </c>
      <c r="K96" s="8">
        <v>532</v>
      </c>
      <c r="L96" s="10">
        <f t="shared" si="2"/>
        <v>23.581560283687946</v>
      </c>
      <c r="M96" s="8">
        <v>479</v>
      </c>
      <c r="N96" s="10">
        <f t="shared" si="3"/>
        <v>21.2322695035461</v>
      </c>
      <c r="O96" s="8">
        <v>51</v>
      </c>
      <c r="P96" s="8">
        <v>479</v>
      </c>
      <c r="Q96" s="40" t="s">
        <v>409</v>
      </c>
      <c r="R96" s="38" t="s">
        <v>603</v>
      </c>
      <c r="S96" s="10"/>
      <c r="T96" s="10"/>
      <c r="U96" s="10"/>
      <c r="V96" s="10"/>
      <c r="W96" s="10"/>
      <c r="X96" s="10"/>
      <c r="Y96" s="10"/>
      <c r="Z96" s="10"/>
      <c r="AA96" s="10" t="s">
        <v>1949</v>
      </c>
      <c r="AB96" s="10"/>
      <c r="AC96" s="10"/>
      <c r="AD96" s="40">
        <v>24.843482999999999</v>
      </c>
      <c r="AE96" s="40">
        <v>75.826553000000004</v>
      </c>
    </row>
    <row r="97" spans="1:31">
      <c r="A97" s="8" t="s">
        <v>36</v>
      </c>
      <c r="B97" s="8" t="s">
        <v>418</v>
      </c>
      <c r="C97" s="8" t="s">
        <v>600</v>
      </c>
      <c r="D97" s="9" t="s">
        <v>604</v>
      </c>
      <c r="E97" s="8" t="s">
        <v>605</v>
      </c>
      <c r="F97" s="8">
        <v>293</v>
      </c>
      <c r="G97" s="8">
        <v>119</v>
      </c>
      <c r="H97" s="8">
        <v>601</v>
      </c>
      <c r="I97" s="8">
        <v>306</v>
      </c>
      <c r="J97" s="8">
        <v>295</v>
      </c>
      <c r="K97" s="8">
        <v>298</v>
      </c>
      <c r="L97" s="10">
        <f t="shared" si="2"/>
        <v>49.584026622296172</v>
      </c>
      <c r="M97" s="8">
        <v>0</v>
      </c>
      <c r="N97" s="10">
        <f t="shared" si="3"/>
        <v>0</v>
      </c>
      <c r="O97" s="8">
        <v>13</v>
      </c>
      <c r="P97" s="8">
        <v>0</v>
      </c>
      <c r="Q97" s="34" t="s">
        <v>409</v>
      </c>
      <c r="R97" s="33" t="s">
        <v>606</v>
      </c>
      <c r="S97" s="10"/>
      <c r="T97" s="10"/>
      <c r="U97" s="10"/>
      <c r="V97" s="10"/>
      <c r="W97" s="10"/>
      <c r="X97" s="10"/>
      <c r="Y97" s="10"/>
      <c r="Z97" s="10"/>
      <c r="AA97" s="10" t="s">
        <v>1949</v>
      </c>
      <c r="AB97" s="10"/>
      <c r="AC97" s="10"/>
      <c r="AD97" s="34">
        <v>24.807191</v>
      </c>
      <c r="AE97" s="34">
        <v>75.813861000000003</v>
      </c>
    </row>
    <row r="98" spans="1:31">
      <c r="A98" s="8" t="s">
        <v>36</v>
      </c>
      <c r="B98" s="8" t="s">
        <v>418</v>
      </c>
      <c r="C98" s="8" t="s">
        <v>600</v>
      </c>
      <c r="D98" s="9" t="s">
        <v>607</v>
      </c>
      <c r="E98" s="8" t="s">
        <v>608</v>
      </c>
      <c r="F98" s="8">
        <v>557</v>
      </c>
      <c r="G98" s="8">
        <v>205</v>
      </c>
      <c r="H98" s="8">
        <v>959</v>
      </c>
      <c r="I98" s="8">
        <v>496</v>
      </c>
      <c r="J98" s="8">
        <v>463</v>
      </c>
      <c r="K98" s="8">
        <v>265</v>
      </c>
      <c r="L98" s="10">
        <f t="shared" si="2"/>
        <v>27.632950990615225</v>
      </c>
      <c r="M98" s="8">
        <v>15</v>
      </c>
      <c r="N98" s="10">
        <f t="shared" si="3"/>
        <v>1.5641293013555788</v>
      </c>
      <c r="O98" s="8">
        <v>32</v>
      </c>
      <c r="P98" s="8">
        <v>15</v>
      </c>
      <c r="Q98" s="34" t="s">
        <v>409</v>
      </c>
      <c r="R98" s="33" t="s">
        <v>606</v>
      </c>
      <c r="S98" s="10"/>
      <c r="T98" s="40">
        <v>25</v>
      </c>
      <c r="U98" s="10"/>
      <c r="V98" s="10"/>
      <c r="W98" s="10"/>
      <c r="X98" s="10"/>
      <c r="Y98" s="10"/>
      <c r="Z98" s="10"/>
      <c r="AA98" s="10" t="s">
        <v>408</v>
      </c>
      <c r="AB98" s="40">
        <v>11</v>
      </c>
      <c r="AC98" s="10"/>
      <c r="AD98" s="34">
        <v>24.812819000000001</v>
      </c>
      <c r="AE98" s="34">
        <v>75.833653999999996</v>
      </c>
    </row>
    <row r="99" spans="1:31">
      <c r="A99" s="8"/>
      <c r="B99" s="8" t="s">
        <v>418</v>
      </c>
      <c r="C99" s="8" t="s">
        <v>600</v>
      </c>
      <c r="D99" s="9"/>
      <c r="E99" s="8"/>
      <c r="F99" s="8"/>
      <c r="G99" s="8"/>
      <c r="H99" s="8"/>
      <c r="I99" s="8"/>
      <c r="J99" s="8"/>
      <c r="K99" s="8"/>
      <c r="L99" s="10" t="e">
        <f t="shared" si="2"/>
        <v>#DIV/0!</v>
      </c>
      <c r="M99" s="8"/>
      <c r="N99" s="10" t="e">
        <f t="shared" si="3"/>
        <v>#DIV/0!</v>
      </c>
      <c r="O99" s="8"/>
      <c r="P99" s="8"/>
      <c r="Q99" s="18" t="s">
        <v>409</v>
      </c>
      <c r="R99" s="18"/>
      <c r="S99" s="10"/>
      <c r="T99" s="10"/>
      <c r="U99" s="10"/>
      <c r="V99" s="10"/>
      <c r="W99" s="10"/>
      <c r="X99" s="10"/>
      <c r="Y99" s="10"/>
      <c r="Z99" s="10"/>
      <c r="AA99" s="10" t="s">
        <v>1949</v>
      </c>
      <c r="AB99" s="10"/>
      <c r="AC99" s="10"/>
      <c r="AD99" s="34">
        <v>24.812819000000001</v>
      </c>
      <c r="AE99" s="34">
        <v>75.833653999999996</v>
      </c>
    </row>
    <row r="100" spans="1:31">
      <c r="A100" s="8" t="s">
        <v>36</v>
      </c>
      <c r="B100" s="8" t="s">
        <v>418</v>
      </c>
      <c r="C100" s="8" t="s">
        <v>600</v>
      </c>
      <c r="D100" s="9" t="s">
        <v>609</v>
      </c>
      <c r="E100" s="8" t="s">
        <v>610</v>
      </c>
      <c r="F100" s="8">
        <v>847</v>
      </c>
      <c r="G100" s="8">
        <v>5</v>
      </c>
      <c r="H100" s="8">
        <v>22</v>
      </c>
      <c r="I100" s="8">
        <v>15</v>
      </c>
      <c r="J100" s="8">
        <v>7</v>
      </c>
      <c r="K100" s="8">
        <v>0</v>
      </c>
      <c r="L100" s="10">
        <f t="shared" si="2"/>
        <v>0</v>
      </c>
      <c r="M100" s="8">
        <v>6</v>
      </c>
      <c r="N100" s="10">
        <f t="shared" si="3"/>
        <v>27.27272727272727</v>
      </c>
      <c r="O100" s="8">
        <v>6</v>
      </c>
      <c r="P100" s="8">
        <v>6</v>
      </c>
      <c r="Q100" s="34" t="s">
        <v>409</v>
      </c>
      <c r="R100" s="33" t="s">
        <v>606</v>
      </c>
      <c r="S100" s="10"/>
      <c r="T100" s="37">
        <v>28</v>
      </c>
      <c r="U100" s="10"/>
      <c r="V100" s="10"/>
      <c r="W100" s="10"/>
      <c r="X100" s="10"/>
      <c r="Y100" s="10"/>
      <c r="Z100" s="10"/>
      <c r="AA100" s="10" t="s">
        <v>408</v>
      </c>
      <c r="AB100" s="37">
        <v>15</v>
      </c>
      <c r="AC100" s="10"/>
      <c r="AD100" s="34">
        <v>24.847439999999999</v>
      </c>
      <c r="AE100" s="34">
        <v>75.839470000000006</v>
      </c>
    </row>
    <row r="101" spans="1:31">
      <c r="A101" s="8" t="s">
        <v>36</v>
      </c>
      <c r="B101" s="8" t="s">
        <v>418</v>
      </c>
      <c r="C101" s="8" t="s">
        <v>611</v>
      </c>
      <c r="D101" s="38" t="s">
        <v>612</v>
      </c>
      <c r="E101" s="8" t="s">
        <v>613</v>
      </c>
      <c r="F101" s="8">
        <v>735</v>
      </c>
      <c r="G101" s="8">
        <v>293</v>
      </c>
      <c r="H101" s="8">
        <v>1492</v>
      </c>
      <c r="I101" s="8">
        <v>783</v>
      </c>
      <c r="J101" s="8">
        <v>709</v>
      </c>
      <c r="K101" s="8">
        <v>315</v>
      </c>
      <c r="L101" s="10">
        <f t="shared" si="2"/>
        <v>21.112600536193028</v>
      </c>
      <c r="M101" s="8">
        <v>5</v>
      </c>
      <c r="N101" s="10">
        <f t="shared" si="3"/>
        <v>0.33512064343163539</v>
      </c>
      <c r="O101" s="8">
        <v>33</v>
      </c>
      <c r="P101" s="8">
        <v>5</v>
      </c>
      <c r="Q101" s="40" t="s">
        <v>409</v>
      </c>
      <c r="R101" s="38" t="s">
        <v>614</v>
      </c>
      <c r="S101" s="10"/>
      <c r="T101" s="89">
        <v>42.8</v>
      </c>
      <c r="U101" s="10" t="s">
        <v>408</v>
      </c>
      <c r="V101" s="10"/>
      <c r="W101" s="10"/>
      <c r="X101" s="10"/>
      <c r="Y101" s="10"/>
      <c r="Z101" s="10"/>
      <c r="AA101" s="10" t="s">
        <v>408</v>
      </c>
      <c r="AB101" s="17">
        <v>12</v>
      </c>
      <c r="AC101" s="10"/>
      <c r="AD101" s="36">
        <v>24.814595000000001</v>
      </c>
      <c r="AE101" s="38">
        <v>75.909266000000002</v>
      </c>
    </row>
    <row r="102" spans="1:31">
      <c r="A102" s="8" t="s">
        <v>36</v>
      </c>
      <c r="B102" s="8" t="s">
        <v>418</v>
      </c>
      <c r="C102" s="8" t="s">
        <v>611</v>
      </c>
      <c r="D102" s="33" t="s">
        <v>615</v>
      </c>
      <c r="E102" s="8" t="s">
        <v>616</v>
      </c>
      <c r="F102" s="8">
        <v>447</v>
      </c>
      <c r="G102" s="8">
        <v>308</v>
      </c>
      <c r="H102" s="8">
        <v>1459</v>
      </c>
      <c r="I102" s="8">
        <v>767</v>
      </c>
      <c r="J102" s="8">
        <v>692</v>
      </c>
      <c r="K102" s="8">
        <v>220</v>
      </c>
      <c r="L102" s="10">
        <f t="shared" si="2"/>
        <v>15.078821110349555</v>
      </c>
      <c r="M102" s="8">
        <v>0</v>
      </c>
      <c r="N102" s="10">
        <f t="shared" si="3"/>
        <v>0</v>
      </c>
      <c r="O102" s="8">
        <v>40</v>
      </c>
      <c r="P102" s="8">
        <v>0</v>
      </c>
      <c r="Q102" s="34" t="s">
        <v>409</v>
      </c>
      <c r="R102" s="33" t="s">
        <v>614</v>
      </c>
      <c r="S102" s="10"/>
      <c r="T102" s="13">
        <v>31.23</v>
      </c>
      <c r="U102" s="10" t="s">
        <v>408</v>
      </c>
      <c r="V102" s="10"/>
      <c r="W102" s="10"/>
      <c r="X102" s="10"/>
      <c r="Y102" s="10"/>
      <c r="Z102" s="10"/>
      <c r="AA102" s="10" t="s">
        <v>408</v>
      </c>
      <c r="AB102" s="17">
        <v>12</v>
      </c>
      <c r="AC102" s="10"/>
      <c r="AD102" s="34">
        <v>24.786197000000001</v>
      </c>
      <c r="AE102" s="34">
        <v>75.914681999999999</v>
      </c>
    </row>
    <row r="103" spans="1:31">
      <c r="A103" s="8" t="s">
        <v>36</v>
      </c>
      <c r="B103" s="8" t="s">
        <v>418</v>
      </c>
      <c r="C103" s="8" t="s">
        <v>611</v>
      </c>
      <c r="D103" s="33" t="s">
        <v>617</v>
      </c>
      <c r="E103" s="8" t="s">
        <v>618</v>
      </c>
      <c r="F103" s="8">
        <v>589</v>
      </c>
      <c r="G103" s="8">
        <v>158</v>
      </c>
      <c r="H103" s="8">
        <v>756</v>
      </c>
      <c r="I103" s="8">
        <v>382</v>
      </c>
      <c r="J103" s="8">
        <v>374</v>
      </c>
      <c r="K103" s="8">
        <v>94</v>
      </c>
      <c r="L103" s="10">
        <f t="shared" si="2"/>
        <v>12.433862433862434</v>
      </c>
      <c r="M103" s="8">
        <v>0</v>
      </c>
      <c r="N103" s="10">
        <f t="shared" si="3"/>
        <v>0</v>
      </c>
      <c r="O103" s="8">
        <v>20</v>
      </c>
      <c r="P103" s="8">
        <v>0</v>
      </c>
      <c r="Q103" s="34" t="s">
        <v>409</v>
      </c>
      <c r="R103" s="33" t="s">
        <v>614</v>
      </c>
      <c r="S103" s="10"/>
      <c r="T103" s="13">
        <v>0</v>
      </c>
      <c r="U103" s="10" t="s">
        <v>408</v>
      </c>
      <c r="V103" s="10"/>
      <c r="W103" s="10"/>
      <c r="X103" s="10"/>
      <c r="Y103" s="10"/>
      <c r="Z103" s="10"/>
      <c r="AA103" s="10" t="s">
        <v>1949</v>
      </c>
      <c r="AB103" s="13"/>
      <c r="AC103" s="10"/>
      <c r="AD103" s="34">
        <v>24.804335999999999</v>
      </c>
      <c r="AE103" s="34">
        <v>75.921874000000003</v>
      </c>
    </row>
    <row r="104" spans="1:31">
      <c r="A104" s="8" t="s">
        <v>36</v>
      </c>
      <c r="B104" s="8" t="s">
        <v>418</v>
      </c>
      <c r="C104" s="8" t="s">
        <v>611</v>
      </c>
      <c r="D104" s="33" t="s">
        <v>619</v>
      </c>
      <c r="E104" s="8" t="s">
        <v>620</v>
      </c>
      <c r="F104" s="8">
        <v>700</v>
      </c>
      <c r="G104" s="8">
        <v>432</v>
      </c>
      <c r="H104" s="8">
        <v>1963</v>
      </c>
      <c r="I104" s="8">
        <v>1063</v>
      </c>
      <c r="J104" s="8">
        <v>900</v>
      </c>
      <c r="K104" s="8">
        <v>422</v>
      </c>
      <c r="L104" s="10">
        <f t="shared" si="2"/>
        <v>21.49770759042282</v>
      </c>
      <c r="M104" s="8">
        <v>174</v>
      </c>
      <c r="N104" s="10">
        <f t="shared" si="3"/>
        <v>8.8639836984207836</v>
      </c>
      <c r="O104" s="8">
        <v>49</v>
      </c>
      <c r="P104" s="8">
        <v>174</v>
      </c>
      <c r="Q104" s="34" t="s">
        <v>409</v>
      </c>
      <c r="R104" s="33" t="s">
        <v>614</v>
      </c>
      <c r="S104" s="10"/>
      <c r="T104" s="13">
        <v>0.6</v>
      </c>
      <c r="U104" s="10" t="s">
        <v>408</v>
      </c>
      <c r="V104" s="10"/>
      <c r="W104" s="10"/>
      <c r="X104" s="10"/>
      <c r="Y104" s="10"/>
      <c r="Z104" s="10"/>
      <c r="AA104" s="10" t="s">
        <v>1949</v>
      </c>
      <c r="AB104" s="13"/>
      <c r="AC104" s="10"/>
      <c r="AD104" s="34" t="s">
        <v>410</v>
      </c>
      <c r="AE104" s="34" t="s">
        <v>410</v>
      </c>
    </row>
    <row r="105" spans="1:31">
      <c r="A105" s="8" t="s">
        <v>36</v>
      </c>
      <c r="B105" s="8" t="s">
        <v>418</v>
      </c>
      <c r="C105" s="8" t="s">
        <v>611</v>
      </c>
      <c r="D105" s="33" t="s">
        <v>621</v>
      </c>
      <c r="E105" s="8" t="s">
        <v>622</v>
      </c>
      <c r="F105" s="8">
        <v>256</v>
      </c>
      <c r="G105" s="8">
        <v>111</v>
      </c>
      <c r="H105" s="8">
        <v>468</v>
      </c>
      <c r="I105" s="8">
        <v>241</v>
      </c>
      <c r="J105" s="8">
        <v>227</v>
      </c>
      <c r="K105" s="8">
        <v>73</v>
      </c>
      <c r="L105" s="10">
        <f t="shared" si="2"/>
        <v>15.598290598290598</v>
      </c>
      <c r="M105" s="8">
        <v>0</v>
      </c>
      <c r="N105" s="10">
        <f t="shared" si="3"/>
        <v>0</v>
      </c>
      <c r="O105" s="8">
        <v>20</v>
      </c>
      <c r="P105" s="8">
        <v>0</v>
      </c>
      <c r="Q105" s="34" t="s">
        <v>409</v>
      </c>
      <c r="R105" s="33" t="s">
        <v>614</v>
      </c>
      <c r="S105" s="10"/>
      <c r="T105" s="88">
        <v>0</v>
      </c>
      <c r="U105" s="10" t="s">
        <v>408</v>
      </c>
      <c r="V105" s="10"/>
      <c r="W105" s="10"/>
      <c r="X105" s="10"/>
      <c r="Y105" s="10"/>
      <c r="Z105" s="10"/>
      <c r="AA105" s="10" t="s">
        <v>1949</v>
      </c>
      <c r="AB105" s="88"/>
      <c r="AC105" s="10"/>
      <c r="AD105" s="34">
        <v>24.793467</v>
      </c>
      <c r="AE105" s="34">
        <v>75.932765000000003</v>
      </c>
    </row>
    <row r="106" spans="1:31">
      <c r="A106" s="8" t="s">
        <v>36</v>
      </c>
      <c r="B106" s="8" t="s">
        <v>418</v>
      </c>
      <c r="C106" s="8" t="s">
        <v>611</v>
      </c>
      <c r="D106" s="33" t="s">
        <v>623</v>
      </c>
      <c r="E106" s="8" t="s">
        <v>624</v>
      </c>
      <c r="F106" s="8">
        <v>307</v>
      </c>
      <c r="G106" s="8">
        <v>176</v>
      </c>
      <c r="H106" s="8">
        <v>830</v>
      </c>
      <c r="I106" s="8">
        <v>429</v>
      </c>
      <c r="J106" s="8">
        <v>401</v>
      </c>
      <c r="K106" s="8">
        <v>111</v>
      </c>
      <c r="L106" s="10">
        <f t="shared" si="2"/>
        <v>13.373493975903614</v>
      </c>
      <c r="M106" s="8">
        <v>83</v>
      </c>
      <c r="N106" s="10">
        <f t="shared" si="3"/>
        <v>10</v>
      </c>
      <c r="O106" s="8">
        <v>15</v>
      </c>
      <c r="P106" s="8">
        <v>83</v>
      </c>
      <c r="Q106" s="34" t="s">
        <v>409</v>
      </c>
      <c r="R106" s="33" t="s">
        <v>614</v>
      </c>
      <c r="S106" s="10"/>
      <c r="T106" s="13">
        <v>14.09</v>
      </c>
      <c r="U106" s="10" t="s">
        <v>408</v>
      </c>
      <c r="V106" s="10"/>
      <c r="W106" s="10"/>
      <c r="X106" s="10"/>
      <c r="Y106" s="10"/>
      <c r="Z106" s="10"/>
      <c r="AA106" s="10" t="s">
        <v>408</v>
      </c>
      <c r="AB106" s="17">
        <v>9.48</v>
      </c>
      <c r="AC106" s="10"/>
      <c r="AD106" s="34"/>
      <c r="AE106" s="34"/>
    </row>
    <row r="107" spans="1:31">
      <c r="A107" s="8" t="s">
        <v>36</v>
      </c>
      <c r="B107" s="8" t="s">
        <v>418</v>
      </c>
      <c r="C107" s="8" t="s">
        <v>625</v>
      </c>
      <c r="D107" s="9" t="s">
        <v>626</v>
      </c>
      <c r="E107" s="8" t="s">
        <v>627</v>
      </c>
      <c r="F107" s="8">
        <v>197</v>
      </c>
      <c r="G107" s="8">
        <v>329</v>
      </c>
      <c r="H107" s="8">
        <v>1711</v>
      </c>
      <c r="I107" s="8">
        <v>881</v>
      </c>
      <c r="J107" s="8">
        <v>830</v>
      </c>
      <c r="K107" s="8">
        <v>509</v>
      </c>
      <c r="L107" s="10">
        <f t="shared" si="2"/>
        <v>29.748684979544127</v>
      </c>
      <c r="M107" s="8">
        <v>161</v>
      </c>
      <c r="N107" s="10">
        <f t="shared" si="3"/>
        <v>9.4097019286966699</v>
      </c>
      <c r="O107" s="8">
        <v>26</v>
      </c>
      <c r="P107" s="8">
        <v>161</v>
      </c>
      <c r="Q107" s="40" t="s">
        <v>409</v>
      </c>
      <c r="R107" s="40" t="s">
        <v>628</v>
      </c>
      <c r="S107" s="10"/>
      <c r="T107" s="13">
        <v>7.45</v>
      </c>
      <c r="U107" s="10" t="s">
        <v>408</v>
      </c>
      <c r="V107" s="10"/>
      <c r="W107" s="10"/>
      <c r="X107" s="10"/>
      <c r="Y107" s="10"/>
      <c r="Z107" s="10"/>
      <c r="AA107" s="10" t="s">
        <v>408</v>
      </c>
      <c r="AB107" s="17">
        <v>7</v>
      </c>
      <c r="AC107" s="10"/>
      <c r="AD107" s="40">
        <v>24.776472999999999</v>
      </c>
      <c r="AE107" s="40">
        <v>76.001092999999997</v>
      </c>
    </row>
    <row r="108" spans="1:31">
      <c r="A108" s="8" t="s">
        <v>36</v>
      </c>
      <c r="B108" s="8" t="s">
        <v>418</v>
      </c>
      <c r="C108" s="8" t="s">
        <v>625</v>
      </c>
      <c r="D108" s="9" t="s">
        <v>629</v>
      </c>
      <c r="E108" s="8" t="s">
        <v>630</v>
      </c>
      <c r="F108" s="8">
        <v>130</v>
      </c>
      <c r="G108" s="8">
        <v>54</v>
      </c>
      <c r="H108" s="8">
        <v>359</v>
      </c>
      <c r="I108" s="8">
        <v>197</v>
      </c>
      <c r="J108" s="8">
        <v>162</v>
      </c>
      <c r="K108" s="8">
        <v>0</v>
      </c>
      <c r="L108" s="10">
        <f t="shared" si="2"/>
        <v>0</v>
      </c>
      <c r="M108" s="8">
        <v>0</v>
      </c>
      <c r="N108" s="10">
        <f t="shared" si="3"/>
        <v>0</v>
      </c>
      <c r="O108" s="8">
        <v>0</v>
      </c>
      <c r="P108" s="8">
        <v>0</v>
      </c>
      <c r="Q108" s="40" t="s">
        <v>409</v>
      </c>
      <c r="R108" s="40" t="s">
        <v>628</v>
      </c>
      <c r="S108" s="10"/>
      <c r="T108" s="13">
        <v>42.97</v>
      </c>
      <c r="U108" s="10"/>
      <c r="V108" s="10"/>
      <c r="W108" s="10"/>
      <c r="X108" s="10"/>
      <c r="Y108" s="10"/>
      <c r="Z108" s="10"/>
      <c r="AA108" s="10" t="s">
        <v>408</v>
      </c>
      <c r="AB108" s="17">
        <v>9.26</v>
      </c>
      <c r="AC108" s="10"/>
      <c r="AD108" s="40">
        <v>0</v>
      </c>
      <c r="AE108" s="40">
        <v>0</v>
      </c>
    </row>
    <row r="109" spans="1:31">
      <c r="A109" s="8" t="s">
        <v>36</v>
      </c>
      <c r="B109" s="8" t="s">
        <v>418</v>
      </c>
      <c r="C109" s="8" t="s">
        <v>625</v>
      </c>
      <c r="D109" s="9" t="s">
        <v>631</v>
      </c>
      <c r="E109" s="8" t="s">
        <v>632</v>
      </c>
      <c r="F109" s="8">
        <v>81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10" t="e">
        <f t="shared" si="2"/>
        <v>#DIV/0!</v>
      </c>
      <c r="M109" s="8">
        <v>0</v>
      </c>
      <c r="N109" s="10" t="e">
        <f t="shared" si="3"/>
        <v>#DIV/0!</v>
      </c>
      <c r="O109" s="8">
        <v>0</v>
      </c>
      <c r="P109" s="8">
        <v>0</v>
      </c>
      <c r="Q109" s="10"/>
      <c r="R109" s="10"/>
      <c r="S109" s="10"/>
      <c r="T109" s="46">
        <v>2</v>
      </c>
      <c r="U109" s="10"/>
      <c r="V109" s="10"/>
      <c r="W109" s="10"/>
      <c r="X109" s="10"/>
      <c r="Y109" s="10"/>
      <c r="Z109" s="10"/>
      <c r="AA109" s="10" t="s">
        <v>408</v>
      </c>
      <c r="AB109" s="46">
        <v>10</v>
      </c>
      <c r="AC109" s="10"/>
      <c r="AD109" s="10"/>
      <c r="AE109" s="10"/>
    </row>
    <row r="110" spans="1:31">
      <c r="A110" s="8" t="s">
        <v>36</v>
      </c>
      <c r="B110" s="8" t="s">
        <v>418</v>
      </c>
      <c r="C110" s="8" t="s">
        <v>625</v>
      </c>
      <c r="D110" s="9" t="s">
        <v>633</v>
      </c>
      <c r="E110" s="8" t="s">
        <v>634</v>
      </c>
      <c r="F110" s="8">
        <v>98</v>
      </c>
      <c r="G110" s="8">
        <v>29</v>
      </c>
      <c r="H110" s="8">
        <v>164</v>
      </c>
      <c r="I110" s="8">
        <v>84</v>
      </c>
      <c r="J110" s="8">
        <v>80</v>
      </c>
      <c r="K110" s="8">
        <v>3</v>
      </c>
      <c r="L110" s="10">
        <f t="shared" si="2"/>
        <v>1.8292682926829267</v>
      </c>
      <c r="M110" s="8">
        <v>15</v>
      </c>
      <c r="N110" s="10">
        <f t="shared" si="3"/>
        <v>9.1463414634146343</v>
      </c>
      <c r="O110" s="8">
        <v>0</v>
      </c>
      <c r="P110" s="8">
        <v>15</v>
      </c>
      <c r="Q110" s="40" t="s">
        <v>408</v>
      </c>
      <c r="R110" s="40" t="s">
        <v>628</v>
      </c>
      <c r="S110" s="10"/>
      <c r="T110" s="37">
        <v>4</v>
      </c>
      <c r="U110" s="10"/>
      <c r="V110" s="10"/>
      <c r="W110" s="10"/>
      <c r="X110" s="10"/>
      <c r="Y110" s="10"/>
      <c r="Z110" s="10"/>
      <c r="AA110" s="10" t="s">
        <v>408</v>
      </c>
      <c r="AB110" s="37">
        <v>12</v>
      </c>
      <c r="AC110" s="10"/>
      <c r="AD110" s="40">
        <v>0</v>
      </c>
      <c r="AE110" s="40">
        <v>0</v>
      </c>
    </row>
    <row r="111" spans="1:31">
      <c r="A111" s="8" t="s">
        <v>36</v>
      </c>
      <c r="B111" s="8" t="s">
        <v>418</v>
      </c>
      <c r="C111" s="8" t="s">
        <v>625</v>
      </c>
      <c r="D111" s="9" t="s">
        <v>635</v>
      </c>
      <c r="E111" s="8" t="s">
        <v>636</v>
      </c>
      <c r="F111" s="8">
        <v>1642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10" t="e">
        <f t="shared" si="2"/>
        <v>#DIV/0!</v>
      </c>
      <c r="M111" s="8">
        <v>0</v>
      </c>
      <c r="N111" s="10" t="e">
        <f t="shared" si="3"/>
        <v>#DIV/0!</v>
      </c>
      <c r="O111" s="8">
        <v>0</v>
      </c>
      <c r="P111" s="8">
        <v>0</v>
      </c>
      <c r="Q111" s="10"/>
      <c r="R111" s="10"/>
      <c r="S111" s="10"/>
      <c r="T111" s="37">
        <v>0.82</v>
      </c>
      <c r="U111" s="10"/>
      <c r="V111" s="10"/>
      <c r="W111" s="10"/>
      <c r="X111" s="10"/>
      <c r="Y111" s="10"/>
      <c r="Z111" s="10"/>
      <c r="AA111" s="10" t="s">
        <v>408</v>
      </c>
      <c r="AB111" s="37">
        <v>7</v>
      </c>
      <c r="AC111" s="10"/>
      <c r="AD111" s="10"/>
      <c r="AE111" s="10"/>
    </row>
    <row r="112" spans="1:31">
      <c r="A112" s="8" t="s">
        <v>36</v>
      </c>
      <c r="B112" s="8" t="s">
        <v>418</v>
      </c>
      <c r="C112" s="8" t="s">
        <v>625</v>
      </c>
      <c r="D112" s="9" t="s">
        <v>637</v>
      </c>
      <c r="E112" s="8" t="s">
        <v>638</v>
      </c>
      <c r="F112" s="8">
        <v>109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10" t="e">
        <f t="shared" si="2"/>
        <v>#DIV/0!</v>
      </c>
      <c r="M112" s="8">
        <v>0</v>
      </c>
      <c r="N112" s="10" t="e">
        <f t="shared" si="3"/>
        <v>#DIV/0!</v>
      </c>
      <c r="O112" s="8">
        <v>0</v>
      </c>
      <c r="P112" s="8">
        <v>0</v>
      </c>
      <c r="Q112" s="10"/>
      <c r="R112" s="10"/>
      <c r="S112" s="10"/>
      <c r="T112" s="37">
        <v>20</v>
      </c>
      <c r="U112" s="10"/>
      <c r="V112" s="10"/>
      <c r="W112" s="10"/>
      <c r="X112" s="10"/>
      <c r="Y112" s="10"/>
      <c r="Z112" s="10"/>
      <c r="AA112" s="10" t="s">
        <v>408</v>
      </c>
      <c r="AB112" s="37">
        <v>7</v>
      </c>
      <c r="AC112" s="10"/>
      <c r="AD112" s="10"/>
      <c r="AE112" s="10"/>
    </row>
    <row r="113" spans="1:31">
      <c r="A113" s="8" t="s">
        <v>36</v>
      </c>
      <c r="B113" s="8" t="s">
        <v>418</v>
      </c>
      <c r="C113" s="8" t="s">
        <v>625</v>
      </c>
      <c r="D113" s="9" t="s">
        <v>639</v>
      </c>
      <c r="E113" s="8" t="s">
        <v>640</v>
      </c>
      <c r="F113" s="8">
        <v>252</v>
      </c>
      <c r="G113" s="8">
        <v>55</v>
      </c>
      <c r="H113" s="8">
        <v>303</v>
      </c>
      <c r="I113" s="8">
        <v>164</v>
      </c>
      <c r="J113" s="8">
        <v>139</v>
      </c>
      <c r="K113" s="8">
        <v>35</v>
      </c>
      <c r="L113" s="10">
        <f t="shared" si="2"/>
        <v>11.55115511551155</v>
      </c>
      <c r="M113" s="8">
        <v>60</v>
      </c>
      <c r="N113" s="10">
        <f t="shared" si="3"/>
        <v>19.801980198019802</v>
      </c>
      <c r="O113" s="8">
        <v>0</v>
      </c>
      <c r="P113" s="8">
        <v>60</v>
      </c>
      <c r="Q113" s="40" t="s">
        <v>409</v>
      </c>
      <c r="R113" s="40" t="s">
        <v>628</v>
      </c>
      <c r="S113" s="10"/>
      <c r="T113" s="13">
        <v>0</v>
      </c>
      <c r="U113" s="10"/>
      <c r="V113" s="10"/>
      <c r="W113" s="10"/>
      <c r="X113" s="10"/>
      <c r="Y113" s="10"/>
      <c r="Z113" s="10"/>
      <c r="AA113" s="10" t="s">
        <v>1949</v>
      </c>
      <c r="AB113" s="17"/>
      <c r="AC113" s="10"/>
      <c r="AD113" s="40">
        <v>0</v>
      </c>
      <c r="AE113" s="40">
        <v>0</v>
      </c>
    </row>
    <row r="114" spans="1:31">
      <c r="A114" s="8" t="s">
        <v>36</v>
      </c>
      <c r="B114" s="8" t="s">
        <v>418</v>
      </c>
      <c r="C114" s="8" t="s">
        <v>625</v>
      </c>
      <c r="D114" s="9" t="s">
        <v>641</v>
      </c>
      <c r="E114" s="8" t="s">
        <v>642</v>
      </c>
      <c r="F114" s="8">
        <v>4118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10" t="e">
        <f t="shared" si="2"/>
        <v>#DIV/0!</v>
      </c>
      <c r="M114" s="8">
        <v>0</v>
      </c>
      <c r="N114" s="10" t="e">
        <f t="shared" si="3"/>
        <v>#DIV/0!</v>
      </c>
      <c r="O114" s="8">
        <v>0</v>
      </c>
      <c r="P114" s="8">
        <v>0</v>
      </c>
      <c r="Q114" s="10"/>
      <c r="R114" s="10"/>
      <c r="S114" s="10"/>
      <c r="T114" s="13">
        <v>0</v>
      </c>
      <c r="U114" s="10"/>
      <c r="V114" s="10"/>
      <c r="W114" s="10"/>
      <c r="X114" s="10"/>
      <c r="Y114" s="10"/>
      <c r="Z114" s="10"/>
      <c r="AA114" s="10" t="s">
        <v>1949</v>
      </c>
      <c r="AB114" s="17"/>
      <c r="AC114" s="10"/>
      <c r="AD114" s="10"/>
      <c r="AE114" s="10"/>
    </row>
    <row r="115" spans="1:31">
      <c r="A115" s="8" t="s">
        <v>36</v>
      </c>
      <c r="B115" s="8" t="s">
        <v>418</v>
      </c>
      <c r="C115" s="8" t="s">
        <v>625</v>
      </c>
      <c r="D115" s="9" t="s">
        <v>643</v>
      </c>
      <c r="E115" s="8" t="s">
        <v>644</v>
      </c>
      <c r="F115" s="8">
        <v>339</v>
      </c>
      <c r="G115" s="8">
        <v>60</v>
      </c>
      <c r="H115" s="8">
        <v>329</v>
      </c>
      <c r="I115" s="8">
        <v>170</v>
      </c>
      <c r="J115" s="8">
        <v>159</v>
      </c>
      <c r="K115" s="8">
        <v>28</v>
      </c>
      <c r="L115" s="10">
        <f t="shared" si="2"/>
        <v>8.5106382978723403</v>
      </c>
      <c r="M115" s="8">
        <v>9</v>
      </c>
      <c r="N115" s="10">
        <f t="shared" si="3"/>
        <v>2.735562310030395</v>
      </c>
      <c r="O115" s="8">
        <v>0</v>
      </c>
      <c r="P115" s="8">
        <v>9</v>
      </c>
      <c r="Q115" s="10"/>
      <c r="R115" s="10"/>
      <c r="S115" s="10"/>
      <c r="T115" s="18"/>
      <c r="U115" s="10"/>
      <c r="V115" s="10"/>
      <c r="W115" s="10"/>
      <c r="X115" s="10"/>
      <c r="Y115" s="10"/>
      <c r="Z115" s="10"/>
      <c r="AA115" s="10" t="s">
        <v>1949</v>
      </c>
      <c r="AB115" s="18"/>
      <c r="AC115" s="10"/>
      <c r="AD115" s="10"/>
      <c r="AE115" s="10"/>
    </row>
    <row r="116" spans="1:31">
      <c r="A116" s="8" t="s">
        <v>36</v>
      </c>
      <c r="B116" s="8" t="s">
        <v>418</v>
      </c>
      <c r="C116" s="45" t="s">
        <v>625</v>
      </c>
      <c r="D116" s="9" t="s">
        <v>645</v>
      </c>
      <c r="E116" s="8" t="s">
        <v>646</v>
      </c>
      <c r="F116" s="8">
        <v>1119</v>
      </c>
      <c r="G116" s="8">
        <v>337</v>
      </c>
      <c r="H116" s="8">
        <v>1667</v>
      </c>
      <c r="I116" s="8">
        <v>847</v>
      </c>
      <c r="J116" s="8">
        <v>820</v>
      </c>
      <c r="K116" s="8">
        <v>299</v>
      </c>
      <c r="L116" s="10">
        <f t="shared" si="2"/>
        <v>17.936412717456509</v>
      </c>
      <c r="M116" s="8">
        <v>256</v>
      </c>
      <c r="N116" s="10">
        <f t="shared" si="3"/>
        <v>15.356928614277143</v>
      </c>
      <c r="O116" s="8">
        <v>33</v>
      </c>
      <c r="P116" s="8">
        <v>256</v>
      </c>
      <c r="Q116" s="40" t="s">
        <v>409</v>
      </c>
      <c r="R116" s="40" t="s">
        <v>628</v>
      </c>
      <c r="S116" s="10"/>
      <c r="T116" s="10"/>
      <c r="U116" s="10"/>
      <c r="V116" s="10"/>
      <c r="W116" s="10"/>
      <c r="X116" s="10"/>
      <c r="Y116" s="10"/>
      <c r="Z116" s="10"/>
      <c r="AA116" s="10" t="s">
        <v>1949</v>
      </c>
      <c r="AB116" s="10"/>
      <c r="AC116" s="10"/>
      <c r="AD116" s="40">
        <v>24.758011</v>
      </c>
      <c r="AE116" s="40">
        <v>76.010283999999999</v>
      </c>
    </row>
    <row r="117" spans="1:31">
      <c r="A117" s="8" t="s">
        <v>36</v>
      </c>
      <c r="B117" s="8" t="s">
        <v>418</v>
      </c>
      <c r="C117" s="8" t="s">
        <v>625</v>
      </c>
      <c r="D117" s="9" t="s">
        <v>647</v>
      </c>
      <c r="E117" s="8" t="s">
        <v>648</v>
      </c>
      <c r="F117" s="8">
        <v>3750</v>
      </c>
      <c r="G117" s="8">
        <v>16</v>
      </c>
      <c r="H117" s="8">
        <v>64</v>
      </c>
      <c r="I117" s="8">
        <v>36</v>
      </c>
      <c r="J117" s="8">
        <v>28</v>
      </c>
      <c r="K117" s="8">
        <v>3</v>
      </c>
      <c r="L117" s="10">
        <f t="shared" si="2"/>
        <v>4.6875</v>
      </c>
      <c r="M117" s="8">
        <v>14</v>
      </c>
      <c r="N117" s="10">
        <f t="shared" si="3"/>
        <v>21.875</v>
      </c>
      <c r="O117" s="8">
        <v>13</v>
      </c>
      <c r="P117" s="8">
        <v>14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 t="s">
        <v>1949</v>
      </c>
      <c r="AB117" s="10"/>
      <c r="AC117" s="10"/>
      <c r="AD117" s="10"/>
      <c r="AE117" s="10"/>
    </row>
    <row r="118" spans="1:31">
      <c r="A118" s="8" t="s">
        <v>36</v>
      </c>
      <c r="B118" s="8" t="s">
        <v>418</v>
      </c>
      <c r="C118" s="8" t="s">
        <v>649</v>
      </c>
      <c r="D118" s="34" t="s">
        <v>650</v>
      </c>
      <c r="E118" s="8" t="s">
        <v>651</v>
      </c>
      <c r="F118" s="8">
        <v>424</v>
      </c>
      <c r="G118" s="8">
        <v>687</v>
      </c>
      <c r="H118" s="8">
        <v>3089</v>
      </c>
      <c r="I118" s="8">
        <v>1654</v>
      </c>
      <c r="J118" s="8">
        <v>1435</v>
      </c>
      <c r="K118" s="8">
        <v>894</v>
      </c>
      <c r="L118" s="10">
        <f t="shared" si="2"/>
        <v>28.941404985432179</v>
      </c>
      <c r="M118" s="8">
        <v>770</v>
      </c>
      <c r="N118" s="10">
        <f t="shared" si="3"/>
        <v>24.927160893493038</v>
      </c>
      <c r="O118" s="8">
        <v>30</v>
      </c>
      <c r="P118" s="8">
        <v>770</v>
      </c>
      <c r="Q118" s="34" t="s">
        <v>409</v>
      </c>
      <c r="R118" s="34" t="s">
        <v>652</v>
      </c>
      <c r="S118" s="10"/>
      <c r="T118" s="10"/>
      <c r="U118" s="10"/>
      <c r="V118" s="10"/>
      <c r="W118" s="10"/>
      <c r="X118" s="10"/>
      <c r="Y118" s="10"/>
      <c r="Z118" s="10"/>
      <c r="AA118" s="10" t="s">
        <v>1949</v>
      </c>
      <c r="AB118" s="10"/>
      <c r="AC118" s="10"/>
      <c r="AD118" s="34">
        <v>24.658629999999999</v>
      </c>
      <c r="AE118" s="34">
        <v>75.973513999999994</v>
      </c>
    </row>
    <row r="119" spans="1:31">
      <c r="A119" s="8" t="s">
        <v>36</v>
      </c>
      <c r="B119" s="8" t="s">
        <v>418</v>
      </c>
      <c r="C119" s="8" t="s">
        <v>649</v>
      </c>
      <c r="D119" s="17" t="s">
        <v>296</v>
      </c>
      <c r="E119" s="8" t="s">
        <v>653</v>
      </c>
      <c r="F119" s="8">
        <v>278</v>
      </c>
      <c r="G119" s="8">
        <v>107</v>
      </c>
      <c r="H119" s="8">
        <v>482</v>
      </c>
      <c r="I119" s="8">
        <v>263</v>
      </c>
      <c r="J119" s="8">
        <v>219</v>
      </c>
      <c r="K119" s="8">
        <v>144</v>
      </c>
      <c r="L119" s="10">
        <f t="shared" si="2"/>
        <v>29.875518672199171</v>
      </c>
      <c r="M119" s="8">
        <v>67</v>
      </c>
      <c r="N119" s="10">
        <f t="shared" si="3"/>
        <v>13.900414937759336</v>
      </c>
      <c r="O119" s="8">
        <v>0</v>
      </c>
      <c r="P119" s="8">
        <v>67</v>
      </c>
      <c r="Q119" s="19" t="s">
        <v>409</v>
      </c>
      <c r="R119" s="19" t="s">
        <v>654</v>
      </c>
      <c r="S119" s="10"/>
      <c r="T119" s="18"/>
      <c r="U119" s="10"/>
      <c r="V119" s="10"/>
      <c r="W119" s="10"/>
      <c r="X119" s="10"/>
      <c r="Y119" s="10"/>
      <c r="Z119" s="10"/>
      <c r="AA119" s="10" t="s">
        <v>1949</v>
      </c>
      <c r="AB119" s="18"/>
      <c r="AC119" s="10"/>
      <c r="AD119" s="19">
        <v>24.626508999999999</v>
      </c>
      <c r="AE119" s="19">
        <v>75.967454000000004</v>
      </c>
    </row>
    <row r="120" spans="1:31">
      <c r="A120" s="8" t="s">
        <v>36</v>
      </c>
      <c r="B120" s="8" t="s">
        <v>418</v>
      </c>
      <c r="C120" s="8" t="s">
        <v>649</v>
      </c>
      <c r="D120" s="19" t="s">
        <v>655</v>
      </c>
      <c r="E120" s="8" t="s">
        <v>656</v>
      </c>
      <c r="F120" s="8">
        <v>505</v>
      </c>
      <c r="G120" s="8">
        <v>713</v>
      </c>
      <c r="H120" s="8">
        <v>3333</v>
      </c>
      <c r="I120" s="8">
        <v>1781</v>
      </c>
      <c r="J120" s="8">
        <v>1552</v>
      </c>
      <c r="K120" s="8">
        <v>1371</v>
      </c>
      <c r="L120" s="10">
        <f t="shared" si="2"/>
        <v>41.134113411341133</v>
      </c>
      <c r="M120" s="8">
        <v>212</v>
      </c>
      <c r="N120" s="10">
        <f t="shared" si="3"/>
        <v>6.3606360636063606</v>
      </c>
      <c r="O120" s="8">
        <v>46</v>
      </c>
      <c r="P120" s="8">
        <v>212</v>
      </c>
      <c r="Q120" s="19" t="s">
        <v>409</v>
      </c>
      <c r="R120" s="19" t="s">
        <v>654</v>
      </c>
      <c r="S120" s="10"/>
      <c r="T120" s="39"/>
      <c r="U120" s="10"/>
      <c r="V120" s="10"/>
      <c r="W120" s="10"/>
      <c r="X120" s="10"/>
      <c r="Y120" s="10"/>
      <c r="Z120" s="10"/>
      <c r="AA120" s="10" t="s">
        <v>1949</v>
      </c>
      <c r="AB120" s="39"/>
      <c r="AC120" s="10"/>
      <c r="AD120" s="19">
        <v>24.654039999999998</v>
      </c>
      <c r="AE120" s="19">
        <v>75.965779999999995</v>
      </c>
    </row>
    <row r="121" spans="1:31">
      <c r="A121" s="8" t="s">
        <v>36</v>
      </c>
      <c r="B121" s="8" t="s">
        <v>418</v>
      </c>
      <c r="C121" s="8" t="s">
        <v>649</v>
      </c>
      <c r="D121" s="19" t="s">
        <v>657</v>
      </c>
      <c r="E121" s="8" t="s">
        <v>658</v>
      </c>
      <c r="F121" s="8">
        <v>398</v>
      </c>
      <c r="G121" s="8">
        <v>744</v>
      </c>
      <c r="H121" s="8">
        <v>3008</v>
      </c>
      <c r="I121" s="8">
        <v>1624</v>
      </c>
      <c r="J121" s="8">
        <v>1384</v>
      </c>
      <c r="K121" s="8">
        <v>992</v>
      </c>
      <c r="L121" s="10">
        <f t="shared" si="2"/>
        <v>32.978723404255319</v>
      </c>
      <c r="M121" s="8">
        <v>795</v>
      </c>
      <c r="N121" s="10">
        <f t="shared" si="3"/>
        <v>26.429521276595747</v>
      </c>
      <c r="O121" s="8">
        <v>30</v>
      </c>
      <c r="P121" s="8">
        <v>795</v>
      </c>
      <c r="Q121" s="19" t="s">
        <v>409</v>
      </c>
      <c r="R121" s="19" t="s">
        <v>445</v>
      </c>
      <c r="S121" s="10"/>
      <c r="T121" s="34">
        <v>32</v>
      </c>
      <c r="U121" s="10"/>
      <c r="V121" s="10"/>
      <c r="W121" s="10"/>
      <c r="X121" s="10"/>
      <c r="Y121" s="10"/>
      <c r="Z121" s="10"/>
      <c r="AA121" s="10" t="s">
        <v>408</v>
      </c>
      <c r="AB121" s="34">
        <v>13</v>
      </c>
      <c r="AC121" s="10"/>
      <c r="AD121" s="19">
        <v>0</v>
      </c>
      <c r="AE121" s="19">
        <v>0</v>
      </c>
    </row>
    <row r="122" spans="1:31">
      <c r="A122" s="8" t="s">
        <v>36</v>
      </c>
      <c r="B122" s="8" t="s">
        <v>418</v>
      </c>
      <c r="C122" s="8" t="s">
        <v>659</v>
      </c>
      <c r="D122" s="9" t="s">
        <v>660</v>
      </c>
      <c r="E122" s="8" t="s">
        <v>661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10" t="e">
        <f t="shared" si="2"/>
        <v>#DIV/0!</v>
      </c>
      <c r="M122" s="8">
        <v>0</v>
      </c>
      <c r="N122" s="10" t="e">
        <f t="shared" si="3"/>
        <v>#DIV/0!</v>
      </c>
      <c r="O122" s="8">
        <v>0</v>
      </c>
      <c r="P122" s="8">
        <v>0</v>
      </c>
      <c r="Q122" s="19" t="s">
        <v>409</v>
      </c>
      <c r="R122" s="19" t="s">
        <v>445</v>
      </c>
      <c r="S122" s="10"/>
      <c r="T122" s="13">
        <v>10</v>
      </c>
      <c r="U122" s="10"/>
      <c r="V122" s="10"/>
      <c r="W122" s="10"/>
      <c r="X122" s="10"/>
      <c r="Y122" s="10"/>
      <c r="Z122" s="10"/>
      <c r="AA122" s="10" t="s">
        <v>1949</v>
      </c>
      <c r="AB122" s="13"/>
      <c r="AC122" s="10"/>
      <c r="AD122" s="19">
        <v>0</v>
      </c>
      <c r="AE122" s="19">
        <v>0</v>
      </c>
    </row>
    <row r="123" spans="1:31">
      <c r="A123" s="8" t="s">
        <v>36</v>
      </c>
      <c r="B123" s="8" t="s">
        <v>418</v>
      </c>
      <c r="C123" s="8" t="s">
        <v>662</v>
      </c>
      <c r="D123" s="9" t="s">
        <v>663</v>
      </c>
      <c r="E123" s="8" t="s">
        <v>664</v>
      </c>
      <c r="F123" s="8">
        <v>440</v>
      </c>
      <c r="G123" s="8">
        <v>397</v>
      </c>
      <c r="H123" s="8">
        <v>1983</v>
      </c>
      <c r="I123" s="8">
        <v>1075</v>
      </c>
      <c r="J123" s="8">
        <v>908</v>
      </c>
      <c r="K123" s="8">
        <v>914</v>
      </c>
      <c r="L123" s="10">
        <f t="shared" si="2"/>
        <v>46.091780131114476</v>
      </c>
      <c r="M123" s="8">
        <v>268</v>
      </c>
      <c r="N123" s="10">
        <f t="shared" si="3"/>
        <v>13.514876449823499</v>
      </c>
      <c r="O123" s="8">
        <v>35</v>
      </c>
      <c r="P123" s="8">
        <v>268</v>
      </c>
      <c r="Q123" s="40" t="s">
        <v>409</v>
      </c>
      <c r="R123" s="38" t="s">
        <v>485</v>
      </c>
      <c r="S123" s="10"/>
      <c r="T123" s="13">
        <v>0</v>
      </c>
      <c r="U123" s="10"/>
      <c r="V123" s="10"/>
      <c r="W123" s="10"/>
      <c r="X123" s="10"/>
      <c r="Y123" s="10"/>
      <c r="Z123" s="10"/>
      <c r="AA123" s="10" t="s">
        <v>1949</v>
      </c>
      <c r="AB123" s="13"/>
      <c r="AC123" s="10"/>
      <c r="AD123" s="38">
        <v>24.591491000000001</v>
      </c>
      <c r="AE123" s="38">
        <v>76.013868000000002</v>
      </c>
    </row>
    <row r="124" spans="1:31">
      <c r="A124" s="8" t="s">
        <v>36</v>
      </c>
      <c r="B124" s="8" t="s">
        <v>418</v>
      </c>
      <c r="C124" s="8" t="s">
        <v>662</v>
      </c>
      <c r="D124" s="9" t="s">
        <v>665</v>
      </c>
      <c r="E124" s="8" t="s">
        <v>666</v>
      </c>
      <c r="F124" s="8">
        <v>157</v>
      </c>
      <c r="G124" s="8">
        <v>71</v>
      </c>
      <c r="H124" s="8">
        <v>295</v>
      </c>
      <c r="I124" s="8">
        <v>165</v>
      </c>
      <c r="J124" s="8">
        <v>130</v>
      </c>
      <c r="K124" s="8">
        <v>99</v>
      </c>
      <c r="L124" s="10">
        <f t="shared" si="2"/>
        <v>33.559322033898304</v>
      </c>
      <c r="M124" s="8">
        <v>19</v>
      </c>
      <c r="N124" s="10">
        <f t="shared" si="3"/>
        <v>6.4406779661016946</v>
      </c>
      <c r="O124" s="8">
        <v>14</v>
      </c>
      <c r="P124" s="8">
        <v>19</v>
      </c>
      <c r="Q124" s="19" t="s">
        <v>409</v>
      </c>
      <c r="R124" s="19" t="s">
        <v>475</v>
      </c>
      <c r="S124" s="10"/>
      <c r="T124" s="13">
        <v>2.5</v>
      </c>
      <c r="U124" s="10"/>
      <c r="V124" s="10"/>
      <c r="W124" s="10"/>
      <c r="X124" s="10"/>
      <c r="Y124" s="10"/>
      <c r="Z124" s="10"/>
      <c r="AA124" s="10" t="s">
        <v>1949</v>
      </c>
      <c r="AB124" s="13"/>
      <c r="AC124" s="10"/>
      <c r="AD124" s="19">
        <v>24.602978</v>
      </c>
      <c r="AE124" s="19">
        <v>76.009450999999999</v>
      </c>
    </row>
    <row r="125" spans="1:31">
      <c r="A125" s="8" t="s">
        <v>36</v>
      </c>
      <c r="B125" s="8" t="s">
        <v>418</v>
      </c>
      <c r="C125" s="8" t="s">
        <v>662</v>
      </c>
      <c r="D125" s="9" t="s">
        <v>667</v>
      </c>
      <c r="E125" s="8" t="s">
        <v>668</v>
      </c>
      <c r="F125" s="8">
        <v>194</v>
      </c>
      <c r="G125" s="8">
        <v>122</v>
      </c>
      <c r="H125" s="8">
        <v>659</v>
      </c>
      <c r="I125" s="8">
        <v>351</v>
      </c>
      <c r="J125" s="8">
        <v>308</v>
      </c>
      <c r="K125" s="8">
        <v>106</v>
      </c>
      <c r="L125" s="10">
        <f t="shared" si="2"/>
        <v>16.084977238239755</v>
      </c>
      <c r="M125" s="8">
        <v>0</v>
      </c>
      <c r="N125" s="10">
        <f t="shared" si="3"/>
        <v>0</v>
      </c>
      <c r="O125" s="8">
        <v>8</v>
      </c>
      <c r="P125" s="8">
        <v>0</v>
      </c>
      <c r="Q125" s="19" t="s">
        <v>409</v>
      </c>
      <c r="R125" s="19" t="s">
        <v>475</v>
      </c>
      <c r="S125" s="10"/>
      <c r="T125" s="13">
        <v>0</v>
      </c>
      <c r="U125" s="10"/>
      <c r="V125" s="10"/>
      <c r="W125" s="10"/>
      <c r="X125" s="10"/>
      <c r="Y125" s="10"/>
      <c r="Z125" s="10"/>
      <c r="AA125" s="10" t="s">
        <v>1949</v>
      </c>
      <c r="AB125" s="13"/>
      <c r="AC125" s="10"/>
      <c r="AD125" s="19">
        <v>24.614388000000002</v>
      </c>
      <c r="AE125" s="19">
        <v>76.023329000000004</v>
      </c>
    </row>
    <row r="126" spans="1:31">
      <c r="A126" s="8" t="s">
        <v>36</v>
      </c>
      <c r="B126" s="8" t="s">
        <v>418</v>
      </c>
      <c r="C126" s="8" t="s">
        <v>662</v>
      </c>
      <c r="D126" s="9" t="s">
        <v>669</v>
      </c>
      <c r="E126" s="8" t="s">
        <v>670</v>
      </c>
      <c r="F126" s="8">
        <v>541</v>
      </c>
      <c r="G126" s="8">
        <v>218</v>
      </c>
      <c r="H126" s="8">
        <v>1151</v>
      </c>
      <c r="I126" s="8">
        <v>576</v>
      </c>
      <c r="J126" s="8">
        <v>575</v>
      </c>
      <c r="K126" s="8">
        <v>211</v>
      </c>
      <c r="L126" s="10">
        <f t="shared" si="2"/>
        <v>18.33188531711555</v>
      </c>
      <c r="M126" s="8">
        <v>0</v>
      </c>
      <c r="N126" s="10">
        <f t="shared" si="3"/>
        <v>0</v>
      </c>
      <c r="O126" s="8">
        <v>44</v>
      </c>
      <c r="P126" s="8">
        <v>0</v>
      </c>
      <c r="Q126" s="19" t="s">
        <v>409</v>
      </c>
      <c r="R126" s="19" t="s">
        <v>475</v>
      </c>
      <c r="S126" s="10"/>
      <c r="T126" s="13">
        <v>0</v>
      </c>
      <c r="U126" s="10"/>
      <c r="V126" s="10"/>
      <c r="W126" s="10"/>
      <c r="X126" s="10"/>
      <c r="Y126" s="10"/>
      <c r="Z126" s="10"/>
      <c r="AA126" s="10" t="s">
        <v>1949</v>
      </c>
      <c r="AB126" s="13"/>
      <c r="AC126" s="10"/>
      <c r="AD126" s="19">
        <v>24.61</v>
      </c>
      <c r="AE126" s="19">
        <v>75.98</v>
      </c>
    </row>
    <row r="127" spans="1:31">
      <c r="A127" s="8"/>
      <c r="B127" s="8" t="s">
        <v>418</v>
      </c>
      <c r="C127" s="8" t="s">
        <v>662</v>
      </c>
      <c r="D127" s="9"/>
      <c r="E127" s="8"/>
      <c r="F127" s="8"/>
      <c r="G127" s="8"/>
      <c r="H127" s="8"/>
      <c r="I127" s="8"/>
      <c r="J127" s="8"/>
      <c r="K127" s="8"/>
      <c r="L127" s="10" t="e">
        <f t="shared" si="2"/>
        <v>#DIV/0!</v>
      </c>
      <c r="M127" s="8"/>
      <c r="N127" s="10" t="e">
        <f t="shared" si="3"/>
        <v>#DIV/0!</v>
      </c>
      <c r="O127" s="8"/>
      <c r="P127" s="8"/>
      <c r="Q127" s="19" t="s">
        <v>409</v>
      </c>
      <c r="R127" s="19" t="s">
        <v>475</v>
      </c>
      <c r="S127" s="10"/>
      <c r="T127" s="37">
        <v>39</v>
      </c>
      <c r="U127" s="10"/>
      <c r="V127" s="10"/>
      <c r="W127" s="10"/>
      <c r="X127" s="10"/>
      <c r="Y127" s="10"/>
      <c r="Z127" s="10"/>
      <c r="AA127" s="10" t="s">
        <v>408</v>
      </c>
      <c r="AB127" s="37">
        <v>35</v>
      </c>
      <c r="AC127" s="10"/>
      <c r="AD127" s="19">
        <v>24.61</v>
      </c>
      <c r="AE127" s="19">
        <v>75.98</v>
      </c>
    </row>
    <row r="128" spans="1:31">
      <c r="A128" s="8" t="s">
        <v>36</v>
      </c>
      <c r="B128" s="8" t="s">
        <v>418</v>
      </c>
      <c r="C128" s="8" t="s">
        <v>274</v>
      </c>
      <c r="D128" s="46" t="s">
        <v>671</v>
      </c>
      <c r="E128" s="8" t="s">
        <v>672</v>
      </c>
      <c r="F128" s="8">
        <v>321</v>
      </c>
      <c r="G128" s="8">
        <v>425</v>
      </c>
      <c r="H128" s="8">
        <v>2077</v>
      </c>
      <c r="I128" s="8">
        <v>1074</v>
      </c>
      <c r="J128" s="8">
        <v>1003</v>
      </c>
      <c r="K128" s="8">
        <v>1513</v>
      </c>
      <c r="L128" s="10">
        <f t="shared" si="2"/>
        <v>72.845450168512286</v>
      </c>
      <c r="M128" s="8">
        <v>217</v>
      </c>
      <c r="N128" s="10">
        <f t="shared" si="3"/>
        <v>10.44776119402985</v>
      </c>
      <c r="O128" s="8">
        <v>13</v>
      </c>
      <c r="P128" s="8">
        <v>217</v>
      </c>
      <c r="Q128" s="40" t="s">
        <v>409</v>
      </c>
      <c r="R128" s="47" t="s">
        <v>495</v>
      </c>
      <c r="S128" s="10"/>
      <c r="T128" s="34">
        <v>14</v>
      </c>
      <c r="U128" s="10" t="s">
        <v>408</v>
      </c>
      <c r="V128" s="10"/>
      <c r="W128" s="10"/>
      <c r="X128" s="10"/>
      <c r="Y128" s="10"/>
      <c r="Z128" s="10"/>
      <c r="AA128" s="10" t="s">
        <v>408</v>
      </c>
      <c r="AB128" s="34">
        <v>16</v>
      </c>
      <c r="AC128" s="10"/>
      <c r="AD128" s="46">
        <v>24.633842999999999</v>
      </c>
      <c r="AE128" s="46">
        <v>76.003754000000001</v>
      </c>
    </row>
    <row r="129" spans="1:31">
      <c r="A129" s="8" t="s">
        <v>36</v>
      </c>
      <c r="B129" s="8" t="s">
        <v>418</v>
      </c>
      <c r="C129" s="8" t="s">
        <v>274</v>
      </c>
      <c r="D129" s="33" t="s">
        <v>673</v>
      </c>
      <c r="E129" s="8" t="s">
        <v>674</v>
      </c>
      <c r="F129" s="8">
        <v>59</v>
      </c>
      <c r="G129" s="8">
        <v>73</v>
      </c>
      <c r="H129" s="8">
        <v>399</v>
      </c>
      <c r="I129" s="8">
        <v>193</v>
      </c>
      <c r="J129" s="8">
        <v>206</v>
      </c>
      <c r="K129" s="8">
        <v>24</v>
      </c>
      <c r="L129" s="10">
        <f t="shared" si="2"/>
        <v>6.0150375939849621</v>
      </c>
      <c r="M129" s="8">
        <v>0</v>
      </c>
      <c r="N129" s="10">
        <f t="shared" si="3"/>
        <v>0</v>
      </c>
      <c r="O129" s="8">
        <v>8</v>
      </c>
      <c r="P129" s="8">
        <v>0</v>
      </c>
      <c r="Q129" s="34" t="s">
        <v>409</v>
      </c>
      <c r="R129" s="33" t="s">
        <v>495</v>
      </c>
      <c r="S129" s="10"/>
      <c r="T129" s="37">
        <v>2</v>
      </c>
      <c r="U129" s="10" t="s">
        <v>408</v>
      </c>
      <c r="V129" s="10"/>
      <c r="W129" s="10"/>
      <c r="X129" s="10"/>
      <c r="Y129" s="10"/>
      <c r="Z129" s="10"/>
      <c r="AA129" s="10" t="s">
        <v>408</v>
      </c>
      <c r="AB129" s="37">
        <v>12</v>
      </c>
      <c r="AC129" s="10"/>
      <c r="AD129" s="34">
        <v>24.649442000000001</v>
      </c>
      <c r="AE129" s="34">
        <v>76.007250999999997</v>
      </c>
    </row>
    <row r="130" spans="1:31">
      <c r="A130" s="8" t="s">
        <v>36</v>
      </c>
      <c r="B130" s="8" t="s">
        <v>418</v>
      </c>
      <c r="C130" s="8" t="s">
        <v>274</v>
      </c>
      <c r="D130" s="33" t="s">
        <v>675</v>
      </c>
      <c r="E130" s="8" t="s">
        <v>676</v>
      </c>
      <c r="F130" s="8">
        <v>266</v>
      </c>
      <c r="G130" s="8">
        <v>255</v>
      </c>
      <c r="H130" s="8">
        <v>1228</v>
      </c>
      <c r="I130" s="8">
        <v>630</v>
      </c>
      <c r="J130" s="8">
        <v>598</v>
      </c>
      <c r="K130" s="8">
        <v>180</v>
      </c>
      <c r="L130" s="10">
        <f t="shared" si="2"/>
        <v>14.65798045602606</v>
      </c>
      <c r="M130" s="8">
        <v>74</v>
      </c>
      <c r="N130" s="10">
        <f t="shared" si="3"/>
        <v>6.0260586319218241</v>
      </c>
      <c r="O130" s="8">
        <v>17</v>
      </c>
      <c r="P130" s="8">
        <v>74</v>
      </c>
      <c r="Q130" s="34" t="s">
        <v>409</v>
      </c>
      <c r="R130" s="33" t="s">
        <v>495</v>
      </c>
      <c r="S130" s="10"/>
      <c r="T130" s="37">
        <v>5</v>
      </c>
      <c r="U130" s="10" t="s">
        <v>408</v>
      </c>
      <c r="V130" s="10"/>
      <c r="W130" s="10"/>
      <c r="X130" s="10"/>
      <c r="Y130" s="10"/>
      <c r="Z130" s="10"/>
      <c r="AA130" s="10" t="s">
        <v>408</v>
      </c>
      <c r="AB130" s="37">
        <v>13</v>
      </c>
      <c r="AC130" s="10"/>
      <c r="AD130" s="34">
        <v>24.655411999999998</v>
      </c>
      <c r="AE130" s="34">
        <v>76.026713999999998</v>
      </c>
    </row>
    <row r="131" spans="1:31">
      <c r="A131" s="8" t="s">
        <v>36</v>
      </c>
      <c r="B131" s="8" t="s">
        <v>418</v>
      </c>
      <c r="C131" s="8" t="s">
        <v>274</v>
      </c>
      <c r="D131" s="33" t="s">
        <v>677</v>
      </c>
      <c r="E131" s="8" t="s">
        <v>678</v>
      </c>
      <c r="F131" s="8">
        <v>174</v>
      </c>
      <c r="G131" s="8">
        <v>241</v>
      </c>
      <c r="H131" s="8">
        <v>1158</v>
      </c>
      <c r="I131" s="8">
        <v>582</v>
      </c>
      <c r="J131" s="8">
        <v>576</v>
      </c>
      <c r="K131" s="8">
        <v>359</v>
      </c>
      <c r="L131" s="10">
        <f t="shared" si="2"/>
        <v>31.001727115716754</v>
      </c>
      <c r="M131" s="8">
        <v>17</v>
      </c>
      <c r="N131" s="10">
        <f t="shared" si="3"/>
        <v>1.468048359240069</v>
      </c>
      <c r="O131" s="8">
        <v>27</v>
      </c>
      <c r="P131" s="8">
        <v>17</v>
      </c>
      <c r="Q131" s="34" t="s">
        <v>409</v>
      </c>
      <c r="R131" s="33" t="s">
        <v>495</v>
      </c>
      <c r="S131" s="10"/>
      <c r="T131" s="34">
        <v>23.84</v>
      </c>
      <c r="U131" s="10" t="s">
        <v>408</v>
      </c>
      <c r="V131" s="10"/>
      <c r="W131" s="10"/>
      <c r="X131" s="10"/>
      <c r="Y131" s="10"/>
      <c r="Z131" s="10"/>
      <c r="AA131" s="10" t="s">
        <v>408</v>
      </c>
      <c r="AB131" s="34">
        <v>14</v>
      </c>
      <c r="AC131" s="10"/>
      <c r="AD131" s="34">
        <v>24.661332999999999</v>
      </c>
      <c r="AE131" s="34">
        <v>76.023784000000006</v>
      </c>
    </row>
    <row r="132" spans="1:31">
      <c r="A132" s="8" t="s">
        <v>36</v>
      </c>
      <c r="B132" s="8" t="s">
        <v>418</v>
      </c>
      <c r="C132" s="8" t="s">
        <v>679</v>
      </c>
      <c r="D132" s="9" t="s">
        <v>680</v>
      </c>
      <c r="E132" s="8" t="s">
        <v>681</v>
      </c>
      <c r="F132" s="8">
        <v>55.17</v>
      </c>
      <c r="G132" s="8">
        <v>282</v>
      </c>
      <c r="H132" s="8">
        <v>1377</v>
      </c>
      <c r="I132" s="8">
        <v>718</v>
      </c>
      <c r="J132" s="8">
        <v>659</v>
      </c>
      <c r="K132" s="8">
        <v>79</v>
      </c>
      <c r="L132" s="10">
        <f t="shared" ref="L132:L195" si="4">K132/H132*100</f>
        <v>5.7371096586782864</v>
      </c>
      <c r="M132" s="8">
        <v>117</v>
      </c>
      <c r="N132" s="10">
        <f t="shared" si="3"/>
        <v>8.4967320261437909</v>
      </c>
      <c r="O132" s="8">
        <v>0</v>
      </c>
      <c r="P132" s="8">
        <v>117</v>
      </c>
      <c r="Q132" s="13"/>
      <c r="R132" s="17" t="s">
        <v>459</v>
      </c>
      <c r="S132" s="10"/>
      <c r="T132" s="34">
        <v>0</v>
      </c>
      <c r="U132" s="10"/>
      <c r="V132" s="10"/>
      <c r="W132" s="10"/>
      <c r="X132" s="10"/>
      <c r="Y132" s="10"/>
      <c r="Z132" s="10"/>
      <c r="AA132" s="10" t="s">
        <v>1949</v>
      </c>
      <c r="AB132" s="33"/>
      <c r="AC132" s="10"/>
      <c r="AD132" s="13">
        <v>24.712755000000001</v>
      </c>
      <c r="AE132" s="13">
        <v>75.840175000000002</v>
      </c>
    </row>
    <row r="133" spans="1:31">
      <c r="A133" s="8"/>
      <c r="B133" s="8" t="s">
        <v>418</v>
      </c>
      <c r="C133" s="8" t="s">
        <v>679</v>
      </c>
      <c r="D133" s="9"/>
      <c r="E133" s="8"/>
      <c r="F133" s="8"/>
      <c r="G133" s="8"/>
      <c r="H133" s="8"/>
      <c r="I133" s="8"/>
      <c r="J133" s="8"/>
      <c r="K133" s="8"/>
      <c r="L133" s="10" t="e">
        <f t="shared" si="4"/>
        <v>#DIV/0!</v>
      </c>
      <c r="M133" s="8"/>
      <c r="N133" s="10" t="e">
        <f t="shared" ref="N133:N196" si="5">M133/H133*100</f>
        <v>#DIV/0!</v>
      </c>
      <c r="O133" s="8"/>
      <c r="P133" s="8"/>
      <c r="Q133" s="34" t="s">
        <v>409</v>
      </c>
      <c r="R133" s="21">
        <v>46059</v>
      </c>
      <c r="S133" s="10"/>
      <c r="T133" s="10"/>
      <c r="U133" s="10"/>
      <c r="V133" s="10"/>
      <c r="W133" s="10"/>
      <c r="X133" s="10"/>
      <c r="Y133" s="10"/>
      <c r="Z133" s="10"/>
      <c r="AA133" s="10" t="s">
        <v>1949</v>
      </c>
      <c r="AB133" s="10"/>
      <c r="AC133" s="10"/>
      <c r="AD133" s="18"/>
      <c r="AE133" s="18"/>
    </row>
    <row r="134" spans="1:31">
      <c r="A134" s="8"/>
      <c r="B134" s="8" t="s">
        <v>418</v>
      </c>
      <c r="C134" s="8" t="s">
        <v>679</v>
      </c>
      <c r="D134" s="9"/>
      <c r="E134" s="8"/>
      <c r="F134" s="8"/>
      <c r="G134" s="8"/>
      <c r="H134" s="8"/>
      <c r="I134" s="8"/>
      <c r="J134" s="8"/>
      <c r="K134" s="8"/>
      <c r="L134" s="10" t="e">
        <f t="shared" si="4"/>
        <v>#DIV/0!</v>
      </c>
      <c r="M134" s="8"/>
      <c r="N134" s="10" t="e">
        <f t="shared" si="5"/>
        <v>#DIV/0!</v>
      </c>
      <c r="O134" s="8"/>
      <c r="P134" s="8"/>
      <c r="Q134" s="34" t="s">
        <v>409</v>
      </c>
      <c r="R134" s="48">
        <v>46059</v>
      </c>
      <c r="S134" s="10"/>
      <c r="T134" s="34">
        <v>2.73</v>
      </c>
      <c r="U134" s="10"/>
      <c r="V134" s="10"/>
      <c r="W134" s="10"/>
      <c r="X134" s="10"/>
      <c r="Y134" s="10"/>
      <c r="Z134" s="10"/>
      <c r="AA134" s="10" t="s">
        <v>408</v>
      </c>
      <c r="AB134" s="34">
        <v>13</v>
      </c>
      <c r="AC134" s="10"/>
      <c r="AD134" s="39"/>
      <c r="AE134" s="39"/>
    </row>
    <row r="135" spans="1:31">
      <c r="A135" s="8" t="s">
        <v>36</v>
      </c>
      <c r="B135" s="8" t="s">
        <v>418</v>
      </c>
      <c r="C135" s="8" t="s">
        <v>679</v>
      </c>
      <c r="D135" s="9" t="s">
        <v>682</v>
      </c>
      <c r="E135" s="8" t="s">
        <v>683</v>
      </c>
      <c r="F135" s="8">
        <v>647.38</v>
      </c>
      <c r="G135" s="8">
        <v>102</v>
      </c>
      <c r="H135" s="8">
        <v>478</v>
      </c>
      <c r="I135" s="8">
        <v>254</v>
      </c>
      <c r="J135" s="8">
        <v>224</v>
      </c>
      <c r="K135" s="8">
        <v>170</v>
      </c>
      <c r="L135" s="10">
        <f t="shared" si="4"/>
        <v>35.564853556485353</v>
      </c>
      <c r="M135" s="8">
        <v>43</v>
      </c>
      <c r="N135" s="10">
        <f t="shared" si="5"/>
        <v>8.99581589958159</v>
      </c>
      <c r="O135" s="8">
        <v>0</v>
      </c>
      <c r="P135" s="8">
        <v>43</v>
      </c>
      <c r="Q135" s="13"/>
      <c r="R135" s="13"/>
      <c r="S135" s="10"/>
      <c r="T135" s="34">
        <v>13.36</v>
      </c>
      <c r="U135" s="10"/>
      <c r="V135" s="10"/>
      <c r="W135" s="10"/>
      <c r="X135" s="10"/>
      <c r="Y135" s="10"/>
      <c r="Z135" s="10"/>
      <c r="AA135" s="10" t="s">
        <v>408</v>
      </c>
      <c r="AB135" s="34">
        <v>14</v>
      </c>
      <c r="AC135" s="10"/>
      <c r="AD135" s="13">
        <v>24.671748000000001</v>
      </c>
      <c r="AE135" s="13">
        <v>75.851920000000007</v>
      </c>
    </row>
    <row r="136" spans="1:31">
      <c r="A136" s="8" t="s">
        <v>36</v>
      </c>
      <c r="B136" s="8" t="s">
        <v>418</v>
      </c>
      <c r="C136" s="8" t="s">
        <v>679</v>
      </c>
      <c r="D136" s="9" t="s">
        <v>684</v>
      </c>
      <c r="E136" s="8" t="s">
        <v>685</v>
      </c>
      <c r="F136" s="8">
        <v>407.3</v>
      </c>
      <c r="G136" s="8">
        <v>102</v>
      </c>
      <c r="H136" s="8">
        <v>545</v>
      </c>
      <c r="I136" s="8">
        <v>292</v>
      </c>
      <c r="J136" s="8">
        <v>253</v>
      </c>
      <c r="K136" s="8">
        <v>27</v>
      </c>
      <c r="L136" s="10">
        <f t="shared" si="4"/>
        <v>4.954128440366973</v>
      </c>
      <c r="M136" s="8">
        <v>0</v>
      </c>
      <c r="N136" s="10">
        <f t="shared" si="5"/>
        <v>0</v>
      </c>
      <c r="O136" s="8">
        <v>38.04</v>
      </c>
      <c r="P136" s="8">
        <v>0</v>
      </c>
      <c r="Q136" s="34" t="s">
        <v>409</v>
      </c>
      <c r="R136" s="21">
        <v>46058</v>
      </c>
      <c r="S136" s="10"/>
      <c r="T136" s="34">
        <v>2.35</v>
      </c>
      <c r="U136" s="10"/>
      <c r="V136" s="10"/>
      <c r="W136" s="10"/>
      <c r="X136" s="10"/>
      <c r="Y136" s="10"/>
      <c r="Z136" s="10"/>
      <c r="AA136" s="10" t="s">
        <v>408</v>
      </c>
      <c r="AB136" s="34">
        <v>20</v>
      </c>
      <c r="AC136" s="10"/>
      <c r="AD136" s="18"/>
      <c r="AE136" s="18"/>
    </row>
    <row r="137" spans="1:31">
      <c r="A137" s="8" t="s">
        <v>36</v>
      </c>
      <c r="B137" s="8" t="s">
        <v>418</v>
      </c>
      <c r="C137" s="8" t="s">
        <v>679</v>
      </c>
      <c r="D137" s="9" t="s">
        <v>686</v>
      </c>
      <c r="E137" s="8" t="s">
        <v>687</v>
      </c>
      <c r="F137" s="8">
        <v>182.22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10" t="e">
        <f t="shared" si="4"/>
        <v>#DIV/0!</v>
      </c>
      <c r="M137" s="8">
        <v>0</v>
      </c>
      <c r="N137" s="10" t="e">
        <f t="shared" si="5"/>
        <v>#DIV/0!</v>
      </c>
      <c r="O137" s="8">
        <v>0</v>
      </c>
      <c r="P137" s="8">
        <v>0</v>
      </c>
      <c r="Q137" s="34" t="s">
        <v>409</v>
      </c>
      <c r="R137" s="10"/>
      <c r="S137" s="10"/>
      <c r="T137" s="13">
        <v>0</v>
      </c>
      <c r="U137" s="10"/>
      <c r="V137" s="10"/>
      <c r="W137" s="10"/>
      <c r="X137" s="10"/>
      <c r="Y137" s="10"/>
      <c r="Z137" s="10"/>
      <c r="AA137" s="10" t="s">
        <v>1949</v>
      </c>
      <c r="AB137" s="13"/>
      <c r="AC137" s="10"/>
      <c r="AD137" s="10"/>
      <c r="AE137" s="10"/>
    </row>
    <row r="138" spans="1:31">
      <c r="A138" s="8" t="s">
        <v>36</v>
      </c>
      <c r="B138" s="8" t="s">
        <v>418</v>
      </c>
      <c r="C138" s="8" t="s">
        <v>679</v>
      </c>
      <c r="D138" s="9" t="s">
        <v>688</v>
      </c>
      <c r="E138" s="8" t="s">
        <v>689</v>
      </c>
      <c r="F138" s="8">
        <v>137.29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10" t="e">
        <f t="shared" si="4"/>
        <v>#DIV/0!</v>
      </c>
      <c r="M138" s="8">
        <v>0</v>
      </c>
      <c r="N138" s="10" t="e">
        <f t="shared" si="5"/>
        <v>#DIV/0!</v>
      </c>
      <c r="O138" s="8">
        <v>0</v>
      </c>
      <c r="P138" s="8">
        <v>0</v>
      </c>
      <c r="Q138" s="10"/>
      <c r="R138" s="10"/>
      <c r="S138" s="10"/>
      <c r="T138" s="33">
        <v>0</v>
      </c>
      <c r="U138" s="10"/>
      <c r="V138" s="10"/>
      <c r="W138" s="10"/>
      <c r="X138" s="10"/>
      <c r="Y138" s="10"/>
      <c r="Z138" s="10"/>
      <c r="AA138" s="10" t="s">
        <v>1949</v>
      </c>
      <c r="AB138" s="33"/>
      <c r="AC138" s="10"/>
      <c r="AD138" s="10"/>
      <c r="AE138" s="10"/>
    </row>
    <row r="139" spans="1:31">
      <c r="A139" s="8" t="s">
        <v>36</v>
      </c>
      <c r="B139" s="8" t="s">
        <v>418</v>
      </c>
      <c r="C139" s="8" t="s">
        <v>679</v>
      </c>
      <c r="D139" s="9" t="s">
        <v>94</v>
      </c>
      <c r="E139" s="8" t="s">
        <v>690</v>
      </c>
      <c r="F139" s="8">
        <v>279.33999999999997</v>
      </c>
      <c r="G139" s="8">
        <v>161</v>
      </c>
      <c r="H139" s="8">
        <v>792</v>
      </c>
      <c r="I139" s="8">
        <v>420</v>
      </c>
      <c r="J139" s="8">
        <v>372</v>
      </c>
      <c r="K139" s="8">
        <v>174</v>
      </c>
      <c r="L139" s="10">
        <f t="shared" si="4"/>
        <v>21.969696969696969</v>
      </c>
      <c r="M139" s="8">
        <v>149</v>
      </c>
      <c r="N139" s="10">
        <f t="shared" si="5"/>
        <v>18.813131313131311</v>
      </c>
      <c r="O139" s="8">
        <v>17.100000000000001</v>
      </c>
      <c r="P139" s="8">
        <v>149</v>
      </c>
      <c r="Q139" s="10"/>
      <c r="R139" s="10"/>
      <c r="S139" s="10"/>
      <c r="T139" s="34">
        <v>1.1299999999999999</v>
      </c>
      <c r="U139" s="10"/>
      <c r="V139" s="10"/>
      <c r="W139" s="10"/>
      <c r="X139" s="10"/>
      <c r="Y139" s="10"/>
      <c r="Z139" s="10"/>
      <c r="AA139" s="10" t="s">
        <v>408</v>
      </c>
      <c r="AB139" s="34">
        <v>12</v>
      </c>
      <c r="AC139" s="10"/>
      <c r="AD139" s="10"/>
      <c r="AE139" s="10"/>
    </row>
    <row r="140" spans="1:31">
      <c r="A140" s="8" t="s">
        <v>36</v>
      </c>
      <c r="B140" s="8" t="s">
        <v>418</v>
      </c>
      <c r="C140" s="8" t="s">
        <v>679</v>
      </c>
      <c r="D140" s="9" t="s">
        <v>691</v>
      </c>
      <c r="E140" s="8" t="s">
        <v>692</v>
      </c>
      <c r="F140" s="8">
        <v>359.42</v>
      </c>
      <c r="G140" s="8">
        <v>90</v>
      </c>
      <c r="H140" s="8">
        <v>522</v>
      </c>
      <c r="I140" s="8">
        <v>282</v>
      </c>
      <c r="J140" s="8">
        <v>240</v>
      </c>
      <c r="K140" s="8">
        <v>80</v>
      </c>
      <c r="L140" s="10">
        <f t="shared" si="4"/>
        <v>15.325670498084291</v>
      </c>
      <c r="M140" s="8">
        <v>0</v>
      </c>
      <c r="N140" s="10">
        <f t="shared" si="5"/>
        <v>0</v>
      </c>
      <c r="O140" s="8">
        <v>15.11</v>
      </c>
      <c r="P140" s="8">
        <v>0</v>
      </c>
      <c r="Q140" s="34" t="s">
        <v>409</v>
      </c>
      <c r="R140" s="21">
        <v>46060</v>
      </c>
      <c r="S140" s="10"/>
      <c r="T140" s="34">
        <v>2.3508</v>
      </c>
      <c r="U140" s="10"/>
      <c r="V140" s="10"/>
      <c r="W140" s="10"/>
      <c r="X140" s="10"/>
      <c r="Y140" s="10"/>
      <c r="Z140" s="10"/>
      <c r="AA140" s="10" t="s">
        <v>408</v>
      </c>
      <c r="AB140" s="34">
        <v>5</v>
      </c>
      <c r="AC140" s="10"/>
      <c r="AD140" s="18"/>
      <c r="AE140" s="18"/>
    </row>
    <row r="141" spans="1:31">
      <c r="A141" s="8" t="s">
        <v>36</v>
      </c>
      <c r="B141" s="8" t="s">
        <v>418</v>
      </c>
      <c r="C141" s="8" t="s">
        <v>679</v>
      </c>
      <c r="D141" s="9" t="s">
        <v>693</v>
      </c>
      <c r="E141" s="8" t="s">
        <v>694</v>
      </c>
      <c r="F141" s="8">
        <v>117</v>
      </c>
      <c r="G141" s="8">
        <v>152</v>
      </c>
      <c r="H141" s="8">
        <v>732</v>
      </c>
      <c r="I141" s="8">
        <v>362</v>
      </c>
      <c r="J141" s="8">
        <v>370</v>
      </c>
      <c r="K141" s="8">
        <v>3</v>
      </c>
      <c r="L141" s="10">
        <f t="shared" si="4"/>
        <v>0.4098360655737705</v>
      </c>
      <c r="M141" s="8">
        <v>0</v>
      </c>
      <c r="N141" s="10">
        <f t="shared" si="5"/>
        <v>0</v>
      </c>
      <c r="O141" s="8">
        <v>0</v>
      </c>
      <c r="P141" s="8">
        <v>0</v>
      </c>
      <c r="Q141" s="34" t="s">
        <v>409</v>
      </c>
      <c r="R141" s="48">
        <v>46061</v>
      </c>
      <c r="S141" s="10"/>
      <c r="T141" s="33">
        <v>0</v>
      </c>
      <c r="U141" s="10"/>
      <c r="V141" s="10"/>
      <c r="W141" s="10"/>
      <c r="X141" s="10"/>
      <c r="Y141" s="10"/>
      <c r="Z141" s="10"/>
      <c r="AA141" s="10" t="s">
        <v>1949</v>
      </c>
      <c r="AB141" s="33"/>
      <c r="AC141" s="10"/>
      <c r="AD141" s="39"/>
      <c r="AE141" s="39"/>
    </row>
    <row r="142" spans="1:31">
      <c r="A142" s="8" t="s">
        <v>36</v>
      </c>
      <c r="B142" s="8" t="s">
        <v>418</v>
      </c>
      <c r="C142" s="8" t="s">
        <v>695</v>
      </c>
      <c r="D142" s="34" t="s">
        <v>696</v>
      </c>
      <c r="E142" s="8" t="s">
        <v>697</v>
      </c>
      <c r="F142" s="8">
        <v>727</v>
      </c>
      <c r="G142" s="8">
        <v>253</v>
      </c>
      <c r="H142" s="8">
        <v>1362</v>
      </c>
      <c r="I142" s="8">
        <v>698</v>
      </c>
      <c r="J142" s="8">
        <v>664</v>
      </c>
      <c r="K142" s="8">
        <v>402</v>
      </c>
      <c r="L142" s="10">
        <f t="shared" si="4"/>
        <v>29.515418502202646</v>
      </c>
      <c r="M142" s="8">
        <v>173</v>
      </c>
      <c r="N142" s="10">
        <f t="shared" si="5"/>
        <v>12.701908957415565</v>
      </c>
      <c r="O142" s="8">
        <v>46</v>
      </c>
      <c r="P142" s="8">
        <v>173</v>
      </c>
      <c r="Q142" s="33" t="s">
        <v>409</v>
      </c>
      <c r="R142" s="47" t="s">
        <v>522</v>
      </c>
      <c r="S142" s="10"/>
      <c r="T142" s="13">
        <v>35</v>
      </c>
      <c r="U142" s="10"/>
      <c r="V142" s="10"/>
      <c r="W142" s="10"/>
      <c r="X142" s="10"/>
      <c r="Y142" s="10"/>
      <c r="Z142" s="10"/>
      <c r="AA142" s="10" t="s">
        <v>408</v>
      </c>
      <c r="AB142" s="17">
        <v>12</v>
      </c>
      <c r="AC142" s="10"/>
      <c r="AD142" s="34">
        <v>24.624376999999999</v>
      </c>
      <c r="AE142" s="34">
        <v>75.882214000000005</v>
      </c>
    </row>
    <row r="143" spans="1:31">
      <c r="A143" s="8" t="s">
        <v>36</v>
      </c>
      <c r="B143" s="8" t="s">
        <v>418</v>
      </c>
      <c r="C143" s="8" t="s">
        <v>695</v>
      </c>
      <c r="D143" s="19" t="s">
        <v>698</v>
      </c>
      <c r="E143" s="8" t="s">
        <v>699</v>
      </c>
      <c r="F143" s="8">
        <v>189</v>
      </c>
      <c r="G143" s="8">
        <v>91</v>
      </c>
      <c r="H143" s="8">
        <v>509</v>
      </c>
      <c r="I143" s="8">
        <v>269</v>
      </c>
      <c r="J143" s="8">
        <v>240</v>
      </c>
      <c r="K143" s="8">
        <v>54</v>
      </c>
      <c r="L143" s="10">
        <f t="shared" si="4"/>
        <v>10.609037328094303</v>
      </c>
      <c r="M143" s="8">
        <v>80</v>
      </c>
      <c r="N143" s="10">
        <f t="shared" si="5"/>
        <v>15.717092337917485</v>
      </c>
      <c r="O143" s="8">
        <v>16</v>
      </c>
      <c r="P143" s="8">
        <v>80</v>
      </c>
      <c r="Q143" s="19" t="s">
        <v>409</v>
      </c>
      <c r="R143" s="19" t="s">
        <v>700</v>
      </c>
      <c r="S143" s="10"/>
      <c r="T143" s="13">
        <v>0</v>
      </c>
      <c r="U143" s="10"/>
      <c r="V143" s="10"/>
      <c r="W143" s="10"/>
      <c r="X143" s="10"/>
      <c r="Y143" s="10"/>
      <c r="Z143" s="10"/>
      <c r="AA143" s="10" t="s">
        <v>1949</v>
      </c>
      <c r="AB143" s="13"/>
      <c r="AC143" s="10"/>
      <c r="AD143" s="19">
        <v>0</v>
      </c>
      <c r="AE143" s="19">
        <v>0</v>
      </c>
    </row>
    <row r="144" spans="1:31">
      <c r="A144" s="8" t="s">
        <v>36</v>
      </c>
      <c r="B144" s="8" t="s">
        <v>418</v>
      </c>
      <c r="C144" s="8" t="s">
        <v>695</v>
      </c>
      <c r="D144" s="19" t="s">
        <v>701</v>
      </c>
      <c r="E144" s="8" t="s">
        <v>702</v>
      </c>
      <c r="F144" s="8">
        <v>293</v>
      </c>
      <c r="G144" s="8">
        <v>75</v>
      </c>
      <c r="H144" s="8">
        <v>367</v>
      </c>
      <c r="I144" s="8">
        <v>199</v>
      </c>
      <c r="J144" s="8">
        <v>168</v>
      </c>
      <c r="K144" s="8">
        <v>17</v>
      </c>
      <c r="L144" s="10">
        <f t="shared" si="4"/>
        <v>4.6321525885558579</v>
      </c>
      <c r="M144" s="8">
        <v>0</v>
      </c>
      <c r="N144" s="10">
        <f t="shared" si="5"/>
        <v>0</v>
      </c>
      <c r="O144" s="8">
        <v>17</v>
      </c>
      <c r="P144" s="8">
        <v>0</v>
      </c>
      <c r="Q144" s="19" t="s">
        <v>409</v>
      </c>
      <c r="R144" s="19" t="s">
        <v>700</v>
      </c>
      <c r="S144" s="10"/>
      <c r="T144" s="13">
        <v>52.42</v>
      </c>
      <c r="U144" s="10"/>
      <c r="V144" s="10"/>
      <c r="W144" s="10"/>
      <c r="X144" s="10"/>
      <c r="Y144" s="10"/>
      <c r="Z144" s="10"/>
      <c r="AA144" s="10" t="s">
        <v>1949</v>
      </c>
      <c r="AB144" s="13"/>
      <c r="AC144" s="10"/>
      <c r="AD144" s="19">
        <v>0</v>
      </c>
      <c r="AE144" s="19">
        <v>0</v>
      </c>
    </row>
    <row r="145" spans="1:31">
      <c r="A145" s="8" t="s">
        <v>36</v>
      </c>
      <c r="B145" s="8" t="s">
        <v>418</v>
      </c>
      <c r="C145" s="8" t="s">
        <v>695</v>
      </c>
      <c r="D145" s="19" t="s">
        <v>703</v>
      </c>
      <c r="E145" s="8" t="s">
        <v>704</v>
      </c>
      <c r="F145" s="8">
        <v>176</v>
      </c>
      <c r="G145" s="8">
        <v>101</v>
      </c>
      <c r="H145" s="8">
        <v>612</v>
      </c>
      <c r="I145" s="8">
        <v>309</v>
      </c>
      <c r="J145" s="8">
        <v>303</v>
      </c>
      <c r="K145" s="8">
        <v>69</v>
      </c>
      <c r="L145" s="10">
        <f t="shared" si="4"/>
        <v>11.274509803921569</v>
      </c>
      <c r="M145" s="8">
        <v>199</v>
      </c>
      <c r="N145" s="10">
        <f t="shared" si="5"/>
        <v>32.516339869281047</v>
      </c>
      <c r="O145" s="8">
        <v>15</v>
      </c>
      <c r="P145" s="8">
        <v>199</v>
      </c>
      <c r="Q145" s="19" t="s">
        <v>409</v>
      </c>
      <c r="R145" s="19" t="s">
        <v>522</v>
      </c>
      <c r="S145" s="10"/>
      <c r="T145" s="10"/>
      <c r="U145" s="10"/>
      <c r="V145" s="10"/>
      <c r="W145" s="10"/>
      <c r="X145" s="10"/>
      <c r="Y145" s="10"/>
      <c r="Z145" s="10"/>
      <c r="AA145" s="10" t="s">
        <v>1949</v>
      </c>
      <c r="AB145" s="10"/>
      <c r="AC145" s="10"/>
      <c r="AD145" s="19">
        <v>0</v>
      </c>
      <c r="AE145" s="19">
        <v>0</v>
      </c>
    </row>
    <row r="146" spans="1:31">
      <c r="A146" s="8" t="s">
        <v>36</v>
      </c>
      <c r="B146" s="8" t="s">
        <v>418</v>
      </c>
      <c r="C146" s="8" t="s">
        <v>695</v>
      </c>
      <c r="D146" s="19" t="s">
        <v>705</v>
      </c>
      <c r="E146" s="8" t="s">
        <v>706</v>
      </c>
      <c r="F146" s="8">
        <v>189</v>
      </c>
      <c r="G146" s="8">
        <v>86</v>
      </c>
      <c r="H146" s="8">
        <v>505</v>
      </c>
      <c r="I146" s="8">
        <v>263</v>
      </c>
      <c r="J146" s="8">
        <v>242</v>
      </c>
      <c r="K146" s="8">
        <v>0</v>
      </c>
      <c r="L146" s="10">
        <f t="shared" si="4"/>
        <v>0</v>
      </c>
      <c r="M146" s="8">
        <v>0</v>
      </c>
      <c r="N146" s="10">
        <f t="shared" si="5"/>
        <v>0</v>
      </c>
      <c r="O146" s="8">
        <v>13</v>
      </c>
      <c r="P146" s="8">
        <v>0</v>
      </c>
      <c r="Q146" s="19" t="s">
        <v>409</v>
      </c>
      <c r="R146" s="19" t="s">
        <v>522</v>
      </c>
      <c r="S146" s="10"/>
      <c r="T146" s="10"/>
      <c r="U146" s="10"/>
      <c r="V146" s="10"/>
      <c r="W146" s="10"/>
      <c r="X146" s="10"/>
      <c r="Y146" s="10"/>
      <c r="Z146" s="10"/>
      <c r="AA146" s="10" t="s">
        <v>1949</v>
      </c>
      <c r="AB146" s="10"/>
      <c r="AC146" s="10"/>
      <c r="AD146" s="19">
        <v>0</v>
      </c>
      <c r="AE146" s="19">
        <v>0</v>
      </c>
    </row>
    <row r="147" spans="1:31">
      <c r="A147" s="8" t="s">
        <v>36</v>
      </c>
      <c r="B147" s="8" t="s">
        <v>418</v>
      </c>
      <c r="C147" s="8" t="s">
        <v>695</v>
      </c>
      <c r="D147" s="19" t="s">
        <v>707</v>
      </c>
      <c r="E147" s="8" t="s">
        <v>708</v>
      </c>
      <c r="F147" s="8">
        <v>368</v>
      </c>
      <c r="G147" s="8">
        <v>213</v>
      </c>
      <c r="H147" s="8">
        <v>1139</v>
      </c>
      <c r="I147" s="8">
        <v>579</v>
      </c>
      <c r="J147" s="8">
        <v>560</v>
      </c>
      <c r="K147" s="8">
        <v>172</v>
      </c>
      <c r="L147" s="10">
        <f t="shared" si="4"/>
        <v>15.100965759438104</v>
      </c>
      <c r="M147" s="8">
        <v>1</v>
      </c>
      <c r="N147" s="10">
        <f t="shared" si="5"/>
        <v>8.7796312554872691E-2</v>
      </c>
      <c r="O147" s="8">
        <v>26</v>
      </c>
      <c r="P147" s="8">
        <v>1</v>
      </c>
      <c r="Q147" s="19" t="s">
        <v>409</v>
      </c>
      <c r="R147" s="19" t="s">
        <v>709</v>
      </c>
      <c r="S147" s="10"/>
      <c r="T147" s="13">
        <v>0</v>
      </c>
      <c r="U147" s="10"/>
      <c r="V147" s="10"/>
      <c r="W147" s="10"/>
      <c r="X147" s="10"/>
      <c r="Y147" s="10"/>
      <c r="Z147" s="10"/>
      <c r="AA147" s="10" t="s">
        <v>1949</v>
      </c>
      <c r="AB147" s="13"/>
      <c r="AC147" s="10"/>
      <c r="AD147" s="19">
        <v>0</v>
      </c>
      <c r="AE147" s="19">
        <v>0</v>
      </c>
    </row>
    <row r="148" spans="1:31">
      <c r="A148" s="8" t="s">
        <v>36</v>
      </c>
      <c r="B148" s="8" t="s">
        <v>418</v>
      </c>
      <c r="C148" s="8" t="s">
        <v>710</v>
      </c>
      <c r="D148" s="9" t="s">
        <v>711</v>
      </c>
      <c r="E148" s="8" t="s">
        <v>712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10" t="e">
        <f t="shared" si="4"/>
        <v>#DIV/0!</v>
      </c>
      <c r="M148" s="8">
        <v>0</v>
      </c>
      <c r="N148" s="10" t="e">
        <f t="shared" si="5"/>
        <v>#DIV/0!</v>
      </c>
      <c r="O148" s="8">
        <v>0</v>
      </c>
      <c r="P148" s="8">
        <v>0</v>
      </c>
      <c r="Q148" s="33" t="s">
        <v>409</v>
      </c>
      <c r="R148" s="33" t="s">
        <v>713</v>
      </c>
      <c r="S148" s="10"/>
      <c r="T148" s="13">
        <v>0</v>
      </c>
      <c r="U148" s="10"/>
      <c r="V148" s="10"/>
      <c r="W148" s="10"/>
      <c r="X148" s="10"/>
      <c r="Y148" s="10"/>
      <c r="Z148" s="10"/>
      <c r="AA148" s="10" t="s">
        <v>408</v>
      </c>
      <c r="AB148" s="13">
        <v>14</v>
      </c>
      <c r="AC148" s="10"/>
      <c r="AD148" s="33">
        <v>24.740241999999999</v>
      </c>
      <c r="AE148" s="33">
        <v>75.937377999999995</v>
      </c>
    </row>
    <row r="149" spans="1:31">
      <c r="A149" s="8"/>
      <c r="B149" s="8" t="s">
        <v>418</v>
      </c>
      <c r="C149" s="8" t="s">
        <v>710</v>
      </c>
      <c r="D149" s="9"/>
      <c r="E149" s="8"/>
      <c r="F149" s="8"/>
      <c r="G149" s="8"/>
      <c r="H149" s="8"/>
      <c r="I149" s="8"/>
      <c r="J149" s="8"/>
      <c r="K149" s="8"/>
      <c r="L149" s="10" t="e">
        <f t="shared" si="4"/>
        <v>#DIV/0!</v>
      </c>
      <c r="M149" s="8"/>
      <c r="N149" s="10" t="e">
        <f t="shared" si="5"/>
        <v>#DIV/0!</v>
      </c>
      <c r="O149" s="8"/>
      <c r="P149" s="8"/>
      <c r="Q149" s="33" t="s">
        <v>409</v>
      </c>
      <c r="R149" s="33" t="s">
        <v>713</v>
      </c>
      <c r="S149" s="10"/>
      <c r="T149" s="18">
        <v>0</v>
      </c>
      <c r="U149" s="10"/>
      <c r="V149" s="10"/>
      <c r="W149" s="10"/>
      <c r="X149" s="10"/>
      <c r="Y149" s="10"/>
      <c r="Z149" s="10"/>
      <c r="AA149" s="10" t="s">
        <v>408</v>
      </c>
      <c r="AB149" s="18">
        <v>8</v>
      </c>
      <c r="AC149" s="10"/>
      <c r="AD149" s="33">
        <v>24.740241999999999</v>
      </c>
      <c r="AE149" s="33">
        <v>75.937377999999995</v>
      </c>
    </row>
    <row r="150" spans="1:31">
      <c r="A150" s="8" t="s">
        <v>36</v>
      </c>
      <c r="B150" s="8" t="s">
        <v>418</v>
      </c>
      <c r="C150" s="8" t="s">
        <v>714</v>
      </c>
      <c r="D150" s="9" t="s">
        <v>715</v>
      </c>
      <c r="E150" s="8" t="s">
        <v>716</v>
      </c>
      <c r="F150" s="8">
        <v>230</v>
      </c>
      <c r="G150" s="8">
        <v>104</v>
      </c>
      <c r="H150" s="8">
        <v>500</v>
      </c>
      <c r="I150" s="8">
        <v>245</v>
      </c>
      <c r="J150" s="8">
        <v>255</v>
      </c>
      <c r="K150" s="8">
        <v>50</v>
      </c>
      <c r="L150" s="10">
        <f t="shared" si="4"/>
        <v>10</v>
      </c>
      <c r="M150" s="8">
        <v>356</v>
      </c>
      <c r="N150" s="10">
        <f t="shared" si="5"/>
        <v>71.2</v>
      </c>
      <c r="O150" s="8">
        <v>19</v>
      </c>
      <c r="P150" s="8">
        <v>356</v>
      </c>
      <c r="Q150" s="33" t="s">
        <v>409</v>
      </c>
      <c r="R150" s="47" t="s">
        <v>513</v>
      </c>
      <c r="S150" s="10"/>
      <c r="T150" s="13">
        <v>11.13</v>
      </c>
      <c r="U150" s="10"/>
      <c r="V150" s="10"/>
      <c r="W150" s="10"/>
      <c r="X150" s="10"/>
      <c r="Y150" s="10"/>
      <c r="Z150" s="10"/>
      <c r="AA150" s="10" t="s">
        <v>408</v>
      </c>
      <c r="AB150" s="17">
        <v>8</v>
      </c>
      <c r="AC150" s="10"/>
      <c r="AD150" s="34">
        <v>24.672637000000002</v>
      </c>
      <c r="AE150" s="34">
        <v>76.008494999999996</v>
      </c>
    </row>
    <row r="151" spans="1:31">
      <c r="A151" s="8" t="s">
        <v>36</v>
      </c>
      <c r="B151" s="8" t="s">
        <v>418</v>
      </c>
      <c r="C151" s="8" t="s">
        <v>714</v>
      </c>
      <c r="D151" s="9" t="s">
        <v>717</v>
      </c>
      <c r="E151" s="8" t="s">
        <v>718</v>
      </c>
      <c r="F151" s="8">
        <v>261</v>
      </c>
      <c r="G151" s="8">
        <v>112</v>
      </c>
      <c r="H151" s="8">
        <v>519</v>
      </c>
      <c r="I151" s="8">
        <v>283</v>
      </c>
      <c r="J151" s="8">
        <v>236</v>
      </c>
      <c r="K151" s="8">
        <v>76</v>
      </c>
      <c r="L151" s="10">
        <f t="shared" si="4"/>
        <v>14.64354527938343</v>
      </c>
      <c r="M151" s="8">
        <v>7</v>
      </c>
      <c r="N151" s="10">
        <f t="shared" si="5"/>
        <v>1.3487475915221581</v>
      </c>
      <c r="O151" s="8">
        <v>15</v>
      </c>
      <c r="P151" s="8">
        <v>7</v>
      </c>
      <c r="Q151" s="34" t="s">
        <v>409</v>
      </c>
      <c r="R151" s="33" t="s">
        <v>513</v>
      </c>
      <c r="S151" s="10"/>
      <c r="T151" s="13">
        <v>1.34</v>
      </c>
      <c r="U151" s="10"/>
      <c r="V151" s="10"/>
      <c r="W151" s="10"/>
      <c r="X151" s="10"/>
      <c r="Y151" s="10"/>
      <c r="Z151" s="10"/>
      <c r="AA151" s="10" t="s">
        <v>408</v>
      </c>
      <c r="AB151" s="17">
        <v>13.4</v>
      </c>
      <c r="AC151" s="10"/>
      <c r="AD151" s="34">
        <v>24.674503999999999</v>
      </c>
      <c r="AE151" s="34">
        <v>76.019670000000005</v>
      </c>
    </row>
    <row r="152" spans="1:31">
      <c r="A152" s="8" t="s">
        <v>36</v>
      </c>
      <c r="B152" s="8" t="s">
        <v>418</v>
      </c>
      <c r="C152" s="8" t="s">
        <v>714</v>
      </c>
      <c r="D152" s="9" t="s">
        <v>719</v>
      </c>
      <c r="E152" s="8" t="s">
        <v>720</v>
      </c>
      <c r="F152" s="8">
        <v>672</v>
      </c>
      <c r="G152" s="8">
        <v>237</v>
      </c>
      <c r="H152" s="8">
        <v>1277</v>
      </c>
      <c r="I152" s="8">
        <v>663</v>
      </c>
      <c r="J152" s="8">
        <v>614</v>
      </c>
      <c r="K152" s="8">
        <v>253</v>
      </c>
      <c r="L152" s="10">
        <f t="shared" si="4"/>
        <v>19.812059514487078</v>
      </c>
      <c r="M152" s="8">
        <v>664</v>
      </c>
      <c r="N152" s="10">
        <f t="shared" si="5"/>
        <v>51.996867658574786</v>
      </c>
      <c r="O152" s="8">
        <v>33</v>
      </c>
      <c r="P152" s="8">
        <v>664</v>
      </c>
      <c r="Q152" s="34" t="s">
        <v>409</v>
      </c>
      <c r="R152" s="33" t="s">
        <v>513</v>
      </c>
      <c r="S152" s="10"/>
      <c r="T152" s="37">
        <v>29</v>
      </c>
      <c r="U152" s="10"/>
      <c r="V152" s="10"/>
      <c r="W152" s="10"/>
      <c r="X152" s="10"/>
      <c r="Y152" s="10"/>
      <c r="Z152" s="10"/>
      <c r="AA152" s="10" t="s">
        <v>408</v>
      </c>
      <c r="AB152" s="37">
        <v>6</v>
      </c>
      <c r="AC152" s="10"/>
      <c r="AD152" s="34">
        <v>24.686772000000001</v>
      </c>
      <c r="AE152" s="34">
        <v>75.987450999999993</v>
      </c>
    </row>
    <row r="153" spans="1:31">
      <c r="A153" s="8" t="s">
        <v>36</v>
      </c>
      <c r="B153" s="8" t="s">
        <v>418</v>
      </c>
      <c r="C153" s="8" t="s">
        <v>721</v>
      </c>
      <c r="D153" s="9" t="s">
        <v>722</v>
      </c>
      <c r="E153" s="8" t="s">
        <v>723</v>
      </c>
      <c r="F153" s="8">
        <v>419</v>
      </c>
      <c r="G153" s="8">
        <v>278</v>
      </c>
      <c r="H153" s="8">
        <v>1436</v>
      </c>
      <c r="I153" s="8">
        <v>750</v>
      </c>
      <c r="J153" s="8">
        <v>686</v>
      </c>
      <c r="K153" s="8">
        <v>346</v>
      </c>
      <c r="L153" s="10">
        <f t="shared" si="4"/>
        <v>24.094707520891365</v>
      </c>
      <c r="M153" s="8">
        <v>267</v>
      </c>
      <c r="N153" s="10">
        <f t="shared" si="5"/>
        <v>18.593314763231199</v>
      </c>
      <c r="O153" s="8">
        <v>39</v>
      </c>
      <c r="P153" s="8">
        <v>267</v>
      </c>
      <c r="Q153" s="33" t="s">
        <v>409</v>
      </c>
      <c r="R153" s="47" t="s">
        <v>628</v>
      </c>
      <c r="S153" s="10"/>
      <c r="T153" s="37">
        <v>6.49</v>
      </c>
      <c r="U153" s="10"/>
      <c r="V153" s="10"/>
      <c r="W153" s="10"/>
      <c r="X153" s="10"/>
      <c r="Y153" s="10"/>
      <c r="Z153" s="10"/>
      <c r="AA153" s="10" t="s">
        <v>408</v>
      </c>
      <c r="AB153" s="37">
        <v>10</v>
      </c>
      <c r="AC153" s="10"/>
      <c r="AD153" s="33">
        <v>24.778373999999999</v>
      </c>
      <c r="AE153" s="33">
        <v>75.981453000000002</v>
      </c>
    </row>
    <row r="154" spans="1:31">
      <c r="A154" s="8" t="s">
        <v>36</v>
      </c>
      <c r="B154" s="8" t="s">
        <v>418</v>
      </c>
      <c r="C154" s="8" t="s">
        <v>721</v>
      </c>
      <c r="D154" s="9" t="s">
        <v>724</v>
      </c>
      <c r="E154" s="8" t="s">
        <v>725</v>
      </c>
      <c r="F154" s="8">
        <v>307</v>
      </c>
      <c r="G154" s="8">
        <v>22</v>
      </c>
      <c r="H154" s="8">
        <v>108</v>
      </c>
      <c r="I154" s="8">
        <v>53</v>
      </c>
      <c r="J154" s="8">
        <v>55</v>
      </c>
      <c r="K154" s="8">
        <v>26</v>
      </c>
      <c r="L154" s="10">
        <f t="shared" si="4"/>
        <v>24.074074074074073</v>
      </c>
      <c r="M154" s="8">
        <v>14</v>
      </c>
      <c r="N154" s="10">
        <f t="shared" si="5"/>
        <v>12.962962962962962</v>
      </c>
      <c r="O154" s="8">
        <v>5</v>
      </c>
      <c r="P154" s="8">
        <v>14</v>
      </c>
      <c r="Q154" s="33" t="s">
        <v>409</v>
      </c>
      <c r="R154" s="47" t="s">
        <v>628</v>
      </c>
      <c r="S154" s="10"/>
      <c r="T154" s="10"/>
      <c r="U154" s="10"/>
      <c r="V154" s="10"/>
      <c r="W154" s="10"/>
      <c r="X154" s="10"/>
      <c r="Y154" s="10"/>
      <c r="Z154" s="10"/>
      <c r="AA154" s="10" t="s">
        <v>1949</v>
      </c>
      <c r="AB154" s="10"/>
      <c r="AC154" s="10"/>
      <c r="AD154" s="34">
        <v>0</v>
      </c>
      <c r="AE154" s="34">
        <v>0</v>
      </c>
    </row>
    <row r="155" spans="1:31">
      <c r="A155" s="8" t="s">
        <v>36</v>
      </c>
      <c r="B155" s="8" t="s">
        <v>418</v>
      </c>
      <c r="C155" s="8" t="s">
        <v>721</v>
      </c>
      <c r="D155" s="9" t="s">
        <v>726</v>
      </c>
      <c r="E155" s="8" t="s">
        <v>727</v>
      </c>
      <c r="F155" s="8">
        <v>164</v>
      </c>
      <c r="G155" s="8">
        <v>2</v>
      </c>
      <c r="H155" s="8">
        <v>2</v>
      </c>
      <c r="I155" s="8">
        <v>2</v>
      </c>
      <c r="J155" s="8">
        <v>0</v>
      </c>
      <c r="K155" s="8">
        <v>1</v>
      </c>
      <c r="L155" s="10">
        <f t="shared" si="4"/>
        <v>50</v>
      </c>
      <c r="M155" s="8">
        <v>1</v>
      </c>
      <c r="N155" s="10">
        <f t="shared" si="5"/>
        <v>50</v>
      </c>
      <c r="O155" s="8">
        <v>0</v>
      </c>
      <c r="P155" s="8">
        <v>1</v>
      </c>
      <c r="Q155" s="10"/>
      <c r="R155" s="10"/>
      <c r="S155" s="10"/>
      <c r="T155" s="37">
        <v>16.48</v>
      </c>
      <c r="U155" s="10"/>
      <c r="V155" s="10"/>
      <c r="W155" s="10"/>
      <c r="X155" s="10"/>
      <c r="Y155" s="10"/>
      <c r="Z155" s="10"/>
      <c r="AA155" s="10" t="s">
        <v>408</v>
      </c>
      <c r="AB155" s="37">
        <v>7</v>
      </c>
      <c r="AC155" s="10"/>
      <c r="AD155" s="10"/>
      <c r="AE155" s="10"/>
    </row>
    <row r="156" spans="1:31">
      <c r="A156" s="8" t="s">
        <v>36</v>
      </c>
      <c r="B156" s="8" t="s">
        <v>418</v>
      </c>
      <c r="C156" s="8" t="s">
        <v>721</v>
      </c>
      <c r="D156" s="9" t="s">
        <v>728</v>
      </c>
      <c r="E156" s="8" t="s">
        <v>729</v>
      </c>
      <c r="F156" s="8">
        <v>174</v>
      </c>
      <c r="G156" s="8">
        <v>101</v>
      </c>
      <c r="H156" s="8">
        <v>484</v>
      </c>
      <c r="I156" s="8">
        <v>260</v>
      </c>
      <c r="J156" s="8">
        <v>224</v>
      </c>
      <c r="K156" s="8">
        <v>71</v>
      </c>
      <c r="L156" s="10">
        <f t="shared" si="4"/>
        <v>14.669421487603307</v>
      </c>
      <c r="M156" s="8">
        <v>104</v>
      </c>
      <c r="N156" s="10">
        <f t="shared" si="5"/>
        <v>21.487603305785125</v>
      </c>
      <c r="O156" s="8">
        <v>13</v>
      </c>
      <c r="P156" s="8">
        <v>104</v>
      </c>
      <c r="Q156" s="33" t="s">
        <v>409</v>
      </c>
      <c r="R156" s="47" t="s">
        <v>628</v>
      </c>
      <c r="S156" s="10"/>
      <c r="T156" s="10"/>
      <c r="U156" s="10"/>
      <c r="V156" s="10"/>
      <c r="W156" s="10"/>
      <c r="X156" s="10"/>
      <c r="Y156" s="10"/>
      <c r="Z156" s="10"/>
      <c r="AA156" s="10" t="s">
        <v>1949</v>
      </c>
      <c r="AB156" s="10"/>
      <c r="AC156" s="10"/>
      <c r="AD156" s="33">
        <v>24.774719000000001</v>
      </c>
      <c r="AE156" s="33">
        <v>75.988283999999993</v>
      </c>
    </row>
    <row r="157" spans="1:31">
      <c r="A157" s="8" t="s">
        <v>36</v>
      </c>
      <c r="B157" s="8" t="s">
        <v>418</v>
      </c>
      <c r="C157" s="8" t="s">
        <v>721</v>
      </c>
      <c r="D157" s="9" t="s">
        <v>730</v>
      </c>
      <c r="E157" s="8" t="s">
        <v>731</v>
      </c>
      <c r="F157" s="8">
        <v>372</v>
      </c>
      <c r="G157" s="8">
        <v>93</v>
      </c>
      <c r="H157" s="8">
        <v>529</v>
      </c>
      <c r="I157" s="8">
        <v>268</v>
      </c>
      <c r="J157" s="8">
        <v>261</v>
      </c>
      <c r="K157" s="8">
        <v>110</v>
      </c>
      <c r="L157" s="10">
        <f t="shared" si="4"/>
        <v>20.793950850661624</v>
      </c>
      <c r="M157" s="8">
        <v>17</v>
      </c>
      <c r="N157" s="10">
        <f t="shared" si="5"/>
        <v>3.2136105860113422</v>
      </c>
      <c r="O157" s="8">
        <v>27</v>
      </c>
      <c r="P157" s="8">
        <v>17</v>
      </c>
      <c r="Q157" s="33" t="s">
        <v>409</v>
      </c>
      <c r="R157" s="47" t="s">
        <v>628</v>
      </c>
      <c r="S157" s="10"/>
      <c r="T157" s="10"/>
      <c r="U157" s="10"/>
      <c r="V157" s="10"/>
      <c r="W157" s="10"/>
      <c r="X157" s="10"/>
      <c r="Y157" s="10"/>
      <c r="Z157" s="10"/>
      <c r="AA157" s="10" t="s">
        <v>1949</v>
      </c>
      <c r="AB157" s="10"/>
      <c r="AC157" s="10"/>
      <c r="AD157" s="33">
        <v>24.783705000000001</v>
      </c>
      <c r="AE157" s="33">
        <v>75.954205999999999</v>
      </c>
    </row>
    <row r="158" spans="1:31">
      <c r="A158" s="8" t="s">
        <v>36</v>
      </c>
      <c r="B158" s="8" t="s">
        <v>418</v>
      </c>
      <c r="C158" s="8" t="s">
        <v>721</v>
      </c>
      <c r="D158" s="9" t="s">
        <v>732</v>
      </c>
      <c r="E158" s="8" t="s">
        <v>733</v>
      </c>
      <c r="F158" s="8">
        <v>316</v>
      </c>
      <c r="G158" s="8">
        <v>83</v>
      </c>
      <c r="H158" s="8">
        <v>387</v>
      </c>
      <c r="I158" s="8">
        <v>204</v>
      </c>
      <c r="J158" s="8">
        <v>183</v>
      </c>
      <c r="K158" s="8">
        <v>89</v>
      </c>
      <c r="L158" s="10">
        <f t="shared" si="4"/>
        <v>22.997416020671835</v>
      </c>
      <c r="M158" s="8">
        <v>256</v>
      </c>
      <c r="N158" s="10">
        <f t="shared" si="5"/>
        <v>66.1498708010336</v>
      </c>
      <c r="O158" s="8">
        <v>22</v>
      </c>
      <c r="P158" s="8">
        <v>256</v>
      </c>
      <c r="Q158" s="33" t="s">
        <v>409</v>
      </c>
      <c r="R158" s="47" t="s">
        <v>628</v>
      </c>
      <c r="S158" s="10"/>
      <c r="T158" s="10"/>
      <c r="U158" s="10"/>
      <c r="V158" s="10"/>
      <c r="W158" s="10"/>
      <c r="X158" s="10"/>
      <c r="Y158" s="10"/>
      <c r="Z158" s="10"/>
      <c r="AA158" s="10" t="s">
        <v>1949</v>
      </c>
      <c r="AB158" s="10"/>
      <c r="AC158" s="10"/>
      <c r="AD158" s="34">
        <v>24.789227199999999</v>
      </c>
      <c r="AE158" s="34">
        <v>75.943309999999997</v>
      </c>
    </row>
    <row r="159" spans="1:31">
      <c r="A159" s="8" t="s">
        <v>36</v>
      </c>
      <c r="B159" s="8" t="s">
        <v>418</v>
      </c>
      <c r="C159" s="8" t="s">
        <v>721</v>
      </c>
      <c r="D159" s="9" t="s">
        <v>734</v>
      </c>
      <c r="E159" s="8" t="s">
        <v>735</v>
      </c>
      <c r="F159" s="8">
        <v>473</v>
      </c>
      <c r="G159" s="8">
        <v>74</v>
      </c>
      <c r="H159" s="8">
        <v>406</v>
      </c>
      <c r="I159" s="8">
        <v>196</v>
      </c>
      <c r="J159" s="8">
        <v>210</v>
      </c>
      <c r="K159" s="8">
        <v>46</v>
      </c>
      <c r="L159" s="10">
        <f t="shared" si="4"/>
        <v>11.330049261083744</v>
      </c>
      <c r="M159" s="8">
        <v>41</v>
      </c>
      <c r="N159" s="10">
        <f t="shared" si="5"/>
        <v>10.098522167487685</v>
      </c>
      <c r="O159" s="8">
        <v>0</v>
      </c>
      <c r="P159" s="8">
        <v>41</v>
      </c>
      <c r="Q159" s="19" t="s">
        <v>409</v>
      </c>
      <c r="R159" s="19" t="s">
        <v>628</v>
      </c>
      <c r="S159" s="10"/>
      <c r="T159" s="10"/>
      <c r="U159" s="10"/>
      <c r="V159" s="10"/>
      <c r="W159" s="10"/>
      <c r="X159" s="10"/>
      <c r="Y159" s="10"/>
      <c r="Z159" s="10"/>
      <c r="AA159" s="10" t="s">
        <v>1949</v>
      </c>
      <c r="AB159" s="10"/>
      <c r="AC159" s="10"/>
      <c r="AD159" s="19">
        <v>0</v>
      </c>
      <c r="AE159" s="19">
        <v>0</v>
      </c>
    </row>
    <row r="160" spans="1:31">
      <c r="A160" s="8" t="s">
        <v>36</v>
      </c>
      <c r="B160" s="8" t="s">
        <v>418</v>
      </c>
      <c r="C160" s="8" t="s">
        <v>721</v>
      </c>
      <c r="D160" s="9" t="s">
        <v>736</v>
      </c>
      <c r="E160" s="8" t="s">
        <v>737</v>
      </c>
      <c r="F160" s="8">
        <v>131</v>
      </c>
      <c r="G160" s="8">
        <v>126</v>
      </c>
      <c r="H160" s="8">
        <v>708</v>
      </c>
      <c r="I160" s="8">
        <v>375</v>
      </c>
      <c r="J160" s="8">
        <v>333</v>
      </c>
      <c r="K160" s="8">
        <v>16</v>
      </c>
      <c r="L160" s="10">
        <f t="shared" si="4"/>
        <v>2.2598870056497176</v>
      </c>
      <c r="M160" s="8">
        <v>0</v>
      </c>
      <c r="N160" s="10">
        <f t="shared" si="5"/>
        <v>0</v>
      </c>
      <c r="O160" s="8">
        <v>0</v>
      </c>
      <c r="P160" s="8">
        <v>0</v>
      </c>
      <c r="Q160" s="33" t="s">
        <v>409</v>
      </c>
      <c r="R160" s="47" t="s">
        <v>628</v>
      </c>
      <c r="S160" s="10"/>
      <c r="T160" s="10"/>
      <c r="U160" s="10"/>
      <c r="V160" s="10"/>
      <c r="W160" s="10"/>
      <c r="X160" s="10"/>
      <c r="Y160" s="10"/>
      <c r="Z160" s="10"/>
      <c r="AA160" s="10" t="s">
        <v>1949</v>
      </c>
      <c r="AB160" s="10"/>
      <c r="AC160" s="10"/>
      <c r="AD160" s="34">
        <v>0</v>
      </c>
      <c r="AE160" s="34">
        <v>0</v>
      </c>
    </row>
    <row r="161" spans="1:31">
      <c r="A161" s="8" t="s">
        <v>36</v>
      </c>
      <c r="B161" s="8" t="s">
        <v>418</v>
      </c>
      <c r="C161" s="8" t="s">
        <v>721</v>
      </c>
      <c r="D161" s="9" t="s">
        <v>738</v>
      </c>
      <c r="E161" s="8" t="s">
        <v>739</v>
      </c>
      <c r="F161" s="8">
        <v>467</v>
      </c>
      <c r="G161" s="8">
        <v>94</v>
      </c>
      <c r="H161" s="8">
        <v>466</v>
      </c>
      <c r="I161" s="8">
        <v>240</v>
      </c>
      <c r="J161" s="8">
        <v>226</v>
      </c>
      <c r="K161" s="8">
        <v>0</v>
      </c>
      <c r="L161" s="10">
        <f t="shared" si="4"/>
        <v>0</v>
      </c>
      <c r="M161" s="8">
        <v>1</v>
      </c>
      <c r="N161" s="10">
        <f t="shared" si="5"/>
        <v>0.21459227467811159</v>
      </c>
      <c r="O161" s="8">
        <v>13</v>
      </c>
      <c r="P161" s="8">
        <v>1</v>
      </c>
      <c r="Q161" s="33" t="s">
        <v>409</v>
      </c>
      <c r="R161" s="47" t="s">
        <v>628</v>
      </c>
      <c r="S161" s="10"/>
      <c r="T161" s="10"/>
      <c r="U161" s="10"/>
      <c r="V161" s="10"/>
      <c r="W161" s="10"/>
      <c r="X161" s="10"/>
      <c r="Y161" s="10"/>
      <c r="Z161" s="10"/>
      <c r="AA161" s="10" t="s">
        <v>1949</v>
      </c>
      <c r="AB161" s="10"/>
      <c r="AC161" s="10"/>
      <c r="AD161" s="33">
        <v>24.834101</v>
      </c>
      <c r="AE161" s="33">
        <v>75.931102999999993</v>
      </c>
    </row>
    <row r="162" spans="1:31">
      <c r="A162" s="8" t="s">
        <v>36</v>
      </c>
      <c r="B162" s="8" t="s">
        <v>418</v>
      </c>
      <c r="C162" s="8" t="s">
        <v>721</v>
      </c>
      <c r="D162" s="9" t="s">
        <v>740</v>
      </c>
      <c r="E162" s="8" t="s">
        <v>741</v>
      </c>
      <c r="F162" s="8">
        <v>196</v>
      </c>
      <c r="G162" s="8">
        <v>38</v>
      </c>
      <c r="H162" s="8">
        <v>238</v>
      </c>
      <c r="I162" s="8">
        <v>114</v>
      </c>
      <c r="J162" s="8">
        <v>124</v>
      </c>
      <c r="K162" s="8">
        <v>18</v>
      </c>
      <c r="L162" s="10">
        <f t="shared" si="4"/>
        <v>7.5630252100840334</v>
      </c>
      <c r="M162" s="8">
        <v>31</v>
      </c>
      <c r="N162" s="10">
        <f t="shared" si="5"/>
        <v>13.025210084033615</v>
      </c>
      <c r="O162" s="8">
        <v>8</v>
      </c>
      <c r="P162" s="8">
        <v>31</v>
      </c>
      <c r="Q162" s="33" t="s">
        <v>409</v>
      </c>
      <c r="R162" s="47" t="s">
        <v>628</v>
      </c>
      <c r="S162" s="10"/>
      <c r="T162" s="10"/>
      <c r="U162" s="10"/>
      <c r="V162" s="10"/>
      <c r="W162" s="10"/>
      <c r="X162" s="10"/>
      <c r="Y162" s="10"/>
      <c r="Z162" s="10"/>
      <c r="AA162" s="10" t="s">
        <v>1949</v>
      </c>
      <c r="AB162" s="10"/>
      <c r="AC162" s="10"/>
      <c r="AD162" s="34">
        <v>24.824006000000001</v>
      </c>
      <c r="AE162" s="34">
        <v>75.934344999999993</v>
      </c>
    </row>
    <row r="163" spans="1:31">
      <c r="A163" s="8" t="s">
        <v>36</v>
      </c>
      <c r="B163" s="8" t="s">
        <v>418</v>
      </c>
      <c r="C163" s="8" t="s">
        <v>721</v>
      </c>
      <c r="D163" s="9" t="s">
        <v>742</v>
      </c>
      <c r="E163" s="8" t="s">
        <v>743</v>
      </c>
      <c r="F163" s="8">
        <v>2043</v>
      </c>
      <c r="G163" s="8">
        <v>343</v>
      </c>
      <c r="H163" s="8">
        <v>1738</v>
      </c>
      <c r="I163" s="8">
        <v>936</v>
      </c>
      <c r="J163" s="8">
        <v>802</v>
      </c>
      <c r="K163" s="8">
        <v>224</v>
      </c>
      <c r="L163" s="10">
        <f t="shared" si="4"/>
        <v>12.888377445339472</v>
      </c>
      <c r="M163" s="8">
        <v>254</v>
      </c>
      <c r="N163" s="10">
        <f t="shared" si="5"/>
        <v>14.614499424626008</v>
      </c>
      <c r="O163" s="8">
        <v>0</v>
      </c>
      <c r="P163" s="8">
        <v>254</v>
      </c>
      <c r="Q163" s="33" t="s">
        <v>409</v>
      </c>
      <c r="R163" s="47" t="s">
        <v>628</v>
      </c>
      <c r="S163" s="10"/>
      <c r="T163" s="10"/>
      <c r="U163" s="10"/>
      <c r="V163" s="10"/>
      <c r="W163" s="10"/>
      <c r="X163" s="10"/>
      <c r="Y163" s="10"/>
      <c r="Z163" s="10"/>
      <c r="AA163" s="10" t="s">
        <v>1949</v>
      </c>
      <c r="AB163" s="10"/>
      <c r="AC163" s="10"/>
      <c r="AD163" s="33">
        <v>0</v>
      </c>
      <c r="AE163" s="33">
        <v>0</v>
      </c>
    </row>
    <row r="164" spans="1:31">
      <c r="A164" s="8" t="s">
        <v>36</v>
      </c>
      <c r="B164" s="8" t="s">
        <v>418</v>
      </c>
      <c r="C164" s="8" t="s">
        <v>744</v>
      </c>
      <c r="D164" s="9" t="s">
        <v>744</v>
      </c>
      <c r="E164" s="8" t="s">
        <v>745</v>
      </c>
      <c r="F164" s="8">
        <v>589</v>
      </c>
      <c r="G164" s="8">
        <v>393</v>
      </c>
      <c r="H164" s="8">
        <v>1941</v>
      </c>
      <c r="I164" s="8">
        <v>1012</v>
      </c>
      <c r="J164" s="8">
        <v>929</v>
      </c>
      <c r="K164" s="8">
        <v>548</v>
      </c>
      <c r="L164" s="10">
        <f t="shared" si="4"/>
        <v>28.232869654817105</v>
      </c>
      <c r="M164" s="8">
        <v>87</v>
      </c>
      <c r="N164" s="10">
        <f t="shared" si="5"/>
        <v>4.4822256568778984</v>
      </c>
      <c r="O164" s="8">
        <v>65</v>
      </c>
      <c r="P164" s="8">
        <v>87</v>
      </c>
      <c r="Q164" s="19" t="s">
        <v>409</v>
      </c>
      <c r="R164" s="42" t="s">
        <v>475</v>
      </c>
      <c r="S164" s="10"/>
      <c r="T164" s="10"/>
      <c r="U164" s="10"/>
      <c r="V164" s="10"/>
      <c r="W164" s="10"/>
      <c r="X164" s="10"/>
      <c r="Y164" s="10"/>
      <c r="Z164" s="10"/>
      <c r="AA164" s="10" t="s">
        <v>1949</v>
      </c>
      <c r="AB164" s="10"/>
      <c r="AC164" s="10"/>
      <c r="AD164" s="19">
        <v>24.674544999999998</v>
      </c>
      <c r="AE164" s="19">
        <v>75.895910000000001</v>
      </c>
    </row>
    <row r="165" spans="1:31">
      <c r="A165" s="8"/>
      <c r="B165" s="8" t="s">
        <v>418</v>
      </c>
      <c r="C165" s="8" t="s">
        <v>744</v>
      </c>
      <c r="D165" s="9" t="s">
        <v>744</v>
      </c>
      <c r="E165" s="8"/>
      <c r="F165" s="8"/>
      <c r="G165" s="8"/>
      <c r="H165" s="8"/>
      <c r="I165" s="8"/>
      <c r="J165" s="8"/>
      <c r="K165" s="8"/>
      <c r="L165" s="10" t="e">
        <f t="shared" si="4"/>
        <v>#DIV/0!</v>
      </c>
      <c r="M165" s="8"/>
      <c r="N165" s="10" t="e">
        <f t="shared" si="5"/>
        <v>#DIV/0!</v>
      </c>
      <c r="O165" s="8"/>
      <c r="P165" s="8"/>
      <c r="Q165" s="49" t="s">
        <v>409</v>
      </c>
      <c r="R165" s="21" t="s">
        <v>475</v>
      </c>
      <c r="S165" s="10"/>
      <c r="T165" s="10"/>
      <c r="U165" s="10"/>
      <c r="V165" s="10"/>
      <c r="W165" s="10"/>
      <c r="X165" s="10"/>
      <c r="Y165" s="10"/>
      <c r="Z165" s="10"/>
      <c r="AA165" s="10" t="s">
        <v>1949</v>
      </c>
      <c r="AB165" s="10"/>
      <c r="AC165" s="10"/>
      <c r="AD165" s="18">
        <v>24.674544999999998</v>
      </c>
      <c r="AE165" s="18">
        <v>75.895910000000001</v>
      </c>
    </row>
    <row r="166" spans="1:31">
      <c r="A166" s="8" t="s">
        <v>36</v>
      </c>
      <c r="B166" s="8" t="s">
        <v>418</v>
      </c>
      <c r="C166" s="8" t="s">
        <v>744</v>
      </c>
      <c r="D166" s="9" t="s">
        <v>746</v>
      </c>
      <c r="E166" s="8" t="s">
        <v>747</v>
      </c>
      <c r="F166" s="8">
        <v>62.97</v>
      </c>
      <c r="G166" s="8">
        <v>86</v>
      </c>
      <c r="H166" s="8">
        <v>457</v>
      </c>
      <c r="I166" s="8">
        <v>246</v>
      </c>
      <c r="J166" s="8">
        <v>211</v>
      </c>
      <c r="K166" s="8">
        <v>19</v>
      </c>
      <c r="L166" s="10">
        <f t="shared" si="4"/>
        <v>4.1575492341356668</v>
      </c>
      <c r="M166" s="8">
        <v>0</v>
      </c>
      <c r="N166" s="10">
        <f t="shared" si="5"/>
        <v>0</v>
      </c>
      <c r="O166" s="8">
        <v>27.92</v>
      </c>
      <c r="P166" s="8">
        <v>0</v>
      </c>
      <c r="Q166" s="19" t="s">
        <v>409</v>
      </c>
      <c r="R166" s="19" t="s">
        <v>475</v>
      </c>
      <c r="S166" s="10"/>
      <c r="T166" s="10"/>
      <c r="U166" s="10"/>
      <c r="V166" s="10"/>
      <c r="W166" s="10"/>
      <c r="X166" s="10"/>
      <c r="Y166" s="10"/>
      <c r="Z166" s="10"/>
      <c r="AA166" s="10" t="s">
        <v>1949</v>
      </c>
      <c r="AB166" s="10"/>
      <c r="AC166" s="10"/>
      <c r="AD166" s="19">
        <v>0</v>
      </c>
      <c r="AE166" s="19">
        <v>0</v>
      </c>
    </row>
    <row r="167" spans="1:31">
      <c r="A167" s="8" t="s">
        <v>36</v>
      </c>
      <c r="B167" s="8" t="s">
        <v>418</v>
      </c>
      <c r="C167" s="8" t="s">
        <v>744</v>
      </c>
      <c r="D167" s="9" t="s">
        <v>748</v>
      </c>
      <c r="E167" s="8" t="s">
        <v>749</v>
      </c>
      <c r="F167" s="8">
        <v>324.26</v>
      </c>
      <c r="G167" s="8">
        <v>32</v>
      </c>
      <c r="H167" s="8">
        <v>151</v>
      </c>
      <c r="I167" s="8">
        <v>77</v>
      </c>
      <c r="J167" s="8">
        <v>74</v>
      </c>
      <c r="K167" s="8">
        <v>54</v>
      </c>
      <c r="L167" s="10">
        <f t="shared" si="4"/>
        <v>35.76158940397351</v>
      </c>
      <c r="M167" s="8">
        <v>0</v>
      </c>
      <c r="N167" s="10">
        <f t="shared" si="5"/>
        <v>0</v>
      </c>
      <c r="O167" s="8">
        <v>6.03</v>
      </c>
      <c r="P167" s="8">
        <v>0</v>
      </c>
      <c r="Q167" s="19" t="s">
        <v>409</v>
      </c>
      <c r="R167" s="19" t="s">
        <v>475</v>
      </c>
      <c r="S167" s="10"/>
      <c r="T167" s="10"/>
      <c r="U167" s="10"/>
      <c r="V167" s="10"/>
      <c r="W167" s="10"/>
      <c r="X167" s="10"/>
      <c r="Y167" s="10"/>
      <c r="Z167" s="10"/>
      <c r="AA167" s="10" t="s">
        <v>1949</v>
      </c>
      <c r="AB167" s="10"/>
      <c r="AC167" s="10"/>
      <c r="AD167" s="19">
        <v>24.712109000000002</v>
      </c>
      <c r="AE167" s="19">
        <v>75.888666000000001</v>
      </c>
    </row>
    <row r="168" spans="1:31">
      <c r="A168" s="8" t="s">
        <v>36</v>
      </c>
      <c r="B168" s="8" t="s">
        <v>418</v>
      </c>
      <c r="C168" s="8" t="s">
        <v>744</v>
      </c>
      <c r="D168" s="9" t="s">
        <v>750</v>
      </c>
      <c r="E168" s="8" t="s">
        <v>751</v>
      </c>
      <c r="F168" s="8">
        <v>67.209999999999994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10" t="e">
        <f t="shared" si="4"/>
        <v>#DIV/0!</v>
      </c>
      <c r="M168" s="8">
        <v>0</v>
      </c>
      <c r="N168" s="10" t="e">
        <f t="shared" si="5"/>
        <v>#DIV/0!</v>
      </c>
      <c r="O168" s="8">
        <v>0</v>
      </c>
      <c r="P168" s="8">
        <v>0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 t="s">
        <v>1949</v>
      </c>
      <c r="AB168" s="10"/>
      <c r="AC168" s="10"/>
      <c r="AD168" s="10"/>
      <c r="AE168" s="10"/>
    </row>
    <row r="169" spans="1:31">
      <c r="A169" s="8" t="s">
        <v>36</v>
      </c>
      <c r="B169" s="8" t="s">
        <v>418</v>
      </c>
      <c r="C169" s="8" t="s">
        <v>744</v>
      </c>
      <c r="D169" s="9" t="s">
        <v>396</v>
      </c>
      <c r="E169" s="8" t="s">
        <v>752</v>
      </c>
      <c r="F169" s="8">
        <v>519.28</v>
      </c>
      <c r="G169" s="8">
        <v>2</v>
      </c>
      <c r="H169" s="8">
        <v>11</v>
      </c>
      <c r="I169" s="8">
        <v>5</v>
      </c>
      <c r="J169" s="8">
        <v>6</v>
      </c>
      <c r="K169" s="8">
        <v>0</v>
      </c>
      <c r="L169" s="10">
        <f t="shared" si="4"/>
        <v>0</v>
      </c>
      <c r="M169" s="8">
        <v>0</v>
      </c>
      <c r="N169" s="10">
        <f t="shared" si="5"/>
        <v>0</v>
      </c>
      <c r="O169" s="8">
        <v>0</v>
      </c>
      <c r="P169" s="8">
        <v>0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 t="s">
        <v>1949</v>
      </c>
      <c r="AB169" s="10"/>
      <c r="AC169" s="10"/>
      <c r="AD169" s="10"/>
      <c r="AE169" s="10"/>
    </row>
    <row r="170" spans="1:31">
      <c r="A170" s="8" t="s">
        <v>36</v>
      </c>
      <c r="B170" s="8" t="s">
        <v>418</v>
      </c>
      <c r="C170" s="8" t="s">
        <v>744</v>
      </c>
      <c r="D170" s="9" t="s">
        <v>753</v>
      </c>
      <c r="E170" s="8" t="s">
        <v>754</v>
      </c>
      <c r="F170" s="8">
        <v>382.36</v>
      </c>
      <c r="G170" s="8">
        <v>106</v>
      </c>
      <c r="H170" s="8">
        <v>514</v>
      </c>
      <c r="I170" s="8">
        <v>274</v>
      </c>
      <c r="J170" s="8">
        <v>240</v>
      </c>
      <c r="K170" s="8">
        <v>76</v>
      </c>
      <c r="L170" s="10">
        <f t="shared" si="4"/>
        <v>14.785992217898833</v>
      </c>
      <c r="M170" s="8">
        <v>0</v>
      </c>
      <c r="N170" s="10">
        <f t="shared" si="5"/>
        <v>0</v>
      </c>
      <c r="O170" s="8">
        <v>34.090000000000003</v>
      </c>
      <c r="P170" s="8">
        <v>0</v>
      </c>
      <c r="Q170" s="19" t="s">
        <v>409</v>
      </c>
      <c r="R170" s="19" t="s">
        <v>475</v>
      </c>
      <c r="S170" s="10"/>
      <c r="T170" s="37">
        <v>71</v>
      </c>
      <c r="U170" s="10"/>
      <c r="V170" s="10"/>
      <c r="W170" s="10"/>
      <c r="X170" s="10"/>
      <c r="Y170" s="10"/>
      <c r="Z170" s="10"/>
      <c r="AA170" s="10" t="s">
        <v>1949</v>
      </c>
      <c r="AB170" s="10"/>
      <c r="AC170" s="10"/>
      <c r="AD170" s="19">
        <v>0</v>
      </c>
      <c r="AE170" s="19">
        <v>0</v>
      </c>
    </row>
    <row r="171" spans="1:31">
      <c r="A171" s="8" t="s">
        <v>36</v>
      </c>
      <c r="B171" s="8" t="s">
        <v>418</v>
      </c>
      <c r="C171" s="8" t="s">
        <v>744</v>
      </c>
      <c r="D171" s="9" t="s">
        <v>755</v>
      </c>
      <c r="E171" s="8" t="s">
        <v>756</v>
      </c>
      <c r="F171" s="8">
        <v>541.34</v>
      </c>
      <c r="G171" s="8">
        <v>278</v>
      </c>
      <c r="H171" s="8">
        <v>1418</v>
      </c>
      <c r="I171" s="8">
        <v>716</v>
      </c>
      <c r="J171" s="8">
        <v>702</v>
      </c>
      <c r="K171" s="8">
        <v>348</v>
      </c>
      <c r="L171" s="10">
        <f t="shared" si="4"/>
        <v>24.541607898448518</v>
      </c>
      <c r="M171" s="8">
        <v>637</v>
      </c>
      <c r="N171" s="10">
        <f t="shared" si="5"/>
        <v>44.922425952045138</v>
      </c>
      <c r="O171" s="8">
        <v>37.020000000000003</v>
      </c>
      <c r="P171" s="8">
        <v>637</v>
      </c>
      <c r="Q171" s="19" t="s">
        <v>409</v>
      </c>
      <c r="R171" s="19" t="s">
        <v>475</v>
      </c>
      <c r="S171" s="10"/>
      <c r="T171" s="13">
        <v>22.93</v>
      </c>
      <c r="U171" s="10"/>
      <c r="V171" s="10"/>
      <c r="W171" s="10"/>
      <c r="X171" s="10"/>
      <c r="Y171" s="10"/>
      <c r="Z171" s="10"/>
      <c r="AA171" s="10" t="s">
        <v>1949</v>
      </c>
      <c r="AB171" s="10"/>
      <c r="AC171" s="10"/>
      <c r="AD171" s="19">
        <v>24.712109000000002</v>
      </c>
      <c r="AE171" s="19">
        <v>75.888666000000001</v>
      </c>
    </row>
    <row r="172" spans="1:31">
      <c r="A172" s="8" t="s">
        <v>36</v>
      </c>
      <c r="B172" s="8" t="s">
        <v>418</v>
      </c>
      <c r="C172" s="8" t="s">
        <v>757</v>
      </c>
      <c r="D172" s="9" t="s">
        <v>758</v>
      </c>
      <c r="E172" s="8" t="s">
        <v>759</v>
      </c>
      <c r="F172" s="8">
        <v>256</v>
      </c>
      <c r="G172" s="8">
        <v>688</v>
      </c>
      <c r="H172" s="8">
        <v>3220</v>
      </c>
      <c r="I172" s="8">
        <v>1726</v>
      </c>
      <c r="J172" s="8">
        <v>1494</v>
      </c>
      <c r="K172" s="8">
        <v>2380</v>
      </c>
      <c r="L172" s="10">
        <f t="shared" si="4"/>
        <v>73.91304347826086</v>
      </c>
      <c r="M172" s="8">
        <v>202</v>
      </c>
      <c r="N172" s="10">
        <f t="shared" si="5"/>
        <v>6.2732919254658386</v>
      </c>
      <c r="O172" s="8">
        <v>0</v>
      </c>
      <c r="P172" s="8">
        <v>202</v>
      </c>
      <c r="Q172" s="18"/>
      <c r="R172" s="18"/>
      <c r="S172" s="10"/>
      <c r="T172" s="10"/>
      <c r="U172" s="10"/>
      <c r="V172" s="10"/>
      <c r="W172" s="10"/>
      <c r="X172" s="10"/>
      <c r="Y172" s="10"/>
      <c r="Z172" s="10"/>
      <c r="AA172" s="10" t="s">
        <v>1949</v>
      </c>
      <c r="AB172" s="10"/>
      <c r="AC172" s="10"/>
      <c r="AD172" s="19">
        <v>24.735395</v>
      </c>
      <c r="AE172" s="19">
        <v>76.005280999999997</v>
      </c>
    </row>
    <row r="173" spans="1:31">
      <c r="A173" s="8" t="s">
        <v>36</v>
      </c>
      <c r="B173" s="8" t="s">
        <v>418</v>
      </c>
      <c r="C173" s="8" t="s">
        <v>757</v>
      </c>
      <c r="D173" s="9" t="s">
        <v>520</v>
      </c>
      <c r="E173" s="8" t="s">
        <v>760</v>
      </c>
      <c r="F173" s="8">
        <v>201.34</v>
      </c>
      <c r="G173" s="8">
        <v>54</v>
      </c>
      <c r="H173" s="8">
        <v>259</v>
      </c>
      <c r="I173" s="8">
        <v>126</v>
      </c>
      <c r="J173" s="8">
        <v>133</v>
      </c>
      <c r="K173" s="8">
        <v>39</v>
      </c>
      <c r="L173" s="10">
        <f t="shared" si="4"/>
        <v>15.057915057915059</v>
      </c>
      <c r="M173" s="8">
        <v>219</v>
      </c>
      <c r="N173" s="10">
        <f t="shared" si="5"/>
        <v>84.555984555984551</v>
      </c>
      <c r="O173" s="8">
        <v>10.07</v>
      </c>
      <c r="P173" s="8">
        <v>219</v>
      </c>
      <c r="Q173" s="19" t="s">
        <v>409</v>
      </c>
      <c r="R173" s="19" t="s">
        <v>475</v>
      </c>
      <c r="S173" s="10"/>
      <c r="T173" s="10"/>
      <c r="U173" s="10"/>
      <c r="V173" s="10"/>
      <c r="W173" s="10"/>
      <c r="X173" s="10"/>
      <c r="Y173" s="10"/>
      <c r="Z173" s="10"/>
      <c r="AA173" s="10" t="s">
        <v>1949</v>
      </c>
      <c r="AB173" s="10"/>
      <c r="AC173" s="10"/>
      <c r="AD173" s="19">
        <v>24.735395</v>
      </c>
      <c r="AE173" s="19">
        <v>76.005280999999997</v>
      </c>
    </row>
    <row r="174" spans="1:31">
      <c r="A174" s="8"/>
      <c r="B174" s="8" t="s">
        <v>418</v>
      </c>
      <c r="C174" s="8" t="s">
        <v>757</v>
      </c>
      <c r="D174" s="9"/>
      <c r="E174" s="8"/>
      <c r="F174" s="8"/>
      <c r="G174" s="8"/>
      <c r="H174" s="8"/>
      <c r="I174" s="8"/>
      <c r="J174" s="8"/>
      <c r="K174" s="8"/>
      <c r="L174" s="10" t="e">
        <f t="shared" si="4"/>
        <v>#DIV/0!</v>
      </c>
      <c r="M174" s="8"/>
      <c r="N174" s="10" t="e">
        <f t="shared" si="5"/>
        <v>#DIV/0!</v>
      </c>
      <c r="O174" s="8"/>
      <c r="P174" s="8"/>
      <c r="Q174" s="18" t="s">
        <v>409</v>
      </c>
      <c r="R174" s="18"/>
      <c r="S174" s="10"/>
      <c r="T174" s="10"/>
      <c r="U174" s="10"/>
      <c r="V174" s="10"/>
      <c r="W174" s="10"/>
      <c r="X174" s="10"/>
      <c r="Y174" s="10"/>
      <c r="Z174" s="10"/>
      <c r="AA174" s="10" t="s">
        <v>1949</v>
      </c>
      <c r="AB174" s="10"/>
      <c r="AC174" s="10"/>
      <c r="AD174" s="19">
        <v>24.735395</v>
      </c>
      <c r="AE174" s="19">
        <v>76.005280999999997</v>
      </c>
    </row>
    <row r="175" spans="1:31">
      <c r="A175" s="8" t="s">
        <v>36</v>
      </c>
      <c r="B175" s="8" t="s">
        <v>418</v>
      </c>
      <c r="C175" s="8" t="s">
        <v>757</v>
      </c>
      <c r="D175" s="9" t="s">
        <v>761</v>
      </c>
      <c r="E175" s="8" t="s">
        <v>762</v>
      </c>
      <c r="F175" s="8">
        <v>119</v>
      </c>
      <c r="G175" s="8">
        <v>95</v>
      </c>
      <c r="H175" s="8">
        <v>461</v>
      </c>
      <c r="I175" s="8">
        <v>244</v>
      </c>
      <c r="J175" s="8">
        <v>217</v>
      </c>
      <c r="K175" s="8">
        <v>23</v>
      </c>
      <c r="L175" s="10">
        <f t="shared" si="4"/>
        <v>4.9891540130151846</v>
      </c>
      <c r="M175" s="8">
        <v>0</v>
      </c>
      <c r="N175" s="10">
        <f t="shared" si="5"/>
        <v>0</v>
      </c>
      <c r="O175" s="8">
        <v>3</v>
      </c>
      <c r="P175" s="8">
        <v>0</v>
      </c>
      <c r="Q175" s="19" t="s">
        <v>409</v>
      </c>
      <c r="R175" s="19" t="s">
        <v>475</v>
      </c>
      <c r="S175" s="10"/>
      <c r="T175" s="10"/>
      <c r="U175" s="10"/>
      <c r="V175" s="10"/>
      <c r="W175" s="10"/>
      <c r="X175" s="10"/>
      <c r="Y175" s="10"/>
      <c r="Z175" s="10"/>
      <c r="AA175" s="10" t="s">
        <v>1949</v>
      </c>
      <c r="AB175" s="10"/>
      <c r="AC175" s="10"/>
      <c r="AD175" s="19">
        <v>24.738029000000001</v>
      </c>
      <c r="AE175" s="19">
        <v>76.007571999999996</v>
      </c>
    </row>
    <row r="176" spans="1:31">
      <c r="A176" s="8" t="s">
        <v>36</v>
      </c>
      <c r="B176" s="8" t="s">
        <v>418</v>
      </c>
      <c r="C176" s="8" t="s">
        <v>763</v>
      </c>
      <c r="D176" s="9" t="s">
        <v>764</v>
      </c>
      <c r="E176" s="8" t="s">
        <v>765</v>
      </c>
      <c r="F176" s="8">
        <v>552</v>
      </c>
      <c r="G176" s="8">
        <v>268</v>
      </c>
      <c r="H176" s="8">
        <v>1245</v>
      </c>
      <c r="I176" s="8">
        <v>633</v>
      </c>
      <c r="J176" s="8">
        <v>612</v>
      </c>
      <c r="K176" s="8">
        <v>131</v>
      </c>
      <c r="L176" s="10">
        <f t="shared" si="4"/>
        <v>10.522088353413654</v>
      </c>
      <c r="M176" s="8">
        <v>2</v>
      </c>
      <c r="N176" s="10">
        <f t="shared" si="5"/>
        <v>0.1606425702811245</v>
      </c>
      <c r="O176" s="8">
        <v>36</v>
      </c>
      <c r="P176" s="8">
        <v>2</v>
      </c>
      <c r="Q176" s="34" t="s">
        <v>409</v>
      </c>
      <c r="R176" s="33" t="s">
        <v>700</v>
      </c>
      <c r="S176" s="10"/>
      <c r="T176" s="10"/>
      <c r="U176" s="10"/>
      <c r="V176" s="10"/>
      <c r="W176" s="10"/>
      <c r="X176" s="10"/>
      <c r="Y176" s="10"/>
      <c r="Z176" s="10"/>
      <c r="AA176" s="10" t="s">
        <v>1949</v>
      </c>
      <c r="AB176" s="10"/>
      <c r="AC176" s="10"/>
      <c r="AD176" s="34">
        <v>24.676862</v>
      </c>
      <c r="AE176" s="34">
        <v>76.045417</v>
      </c>
    </row>
    <row r="177" spans="1:31">
      <c r="A177" s="8" t="s">
        <v>36</v>
      </c>
      <c r="B177" s="8" t="s">
        <v>418</v>
      </c>
      <c r="C177" s="8" t="s">
        <v>763</v>
      </c>
      <c r="D177" s="9" t="s">
        <v>342</v>
      </c>
      <c r="E177" s="8" t="s">
        <v>766</v>
      </c>
      <c r="F177" s="8">
        <v>180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10" t="e">
        <f t="shared" si="4"/>
        <v>#DIV/0!</v>
      </c>
      <c r="M177" s="8">
        <v>0</v>
      </c>
      <c r="N177" s="10" t="e">
        <f t="shared" si="5"/>
        <v>#DIV/0!</v>
      </c>
      <c r="O177" s="8">
        <v>0</v>
      </c>
      <c r="P177" s="8">
        <v>0</v>
      </c>
      <c r="Q177" s="34" t="s">
        <v>409</v>
      </c>
      <c r="R177" s="33" t="s">
        <v>767</v>
      </c>
      <c r="S177" s="10"/>
      <c r="T177" s="10"/>
      <c r="U177" s="10"/>
      <c r="V177" s="10"/>
      <c r="W177" s="10"/>
      <c r="X177" s="10"/>
      <c r="Y177" s="10"/>
      <c r="Z177" s="10"/>
      <c r="AA177" s="10" t="s">
        <v>1949</v>
      </c>
      <c r="AB177" s="10"/>
      <c r="AC177" s="10"/>
      <c r="AD177" s="34">
        <v>24.664978999999999</v>
      </c>
      <c r="AE177" s="34">
        <v>76.031875999999997</v>
      </c>
    </row>
    <row r="178" spans="1:31">
      <c r="A178" s="8"/>
      <c r="B178" s="8" t="s">
        <v>418</v>
      </c>
      <c r="C178" s="8" t="s">
        <v>763</v>
      </c>
      <c r="D178" s="9" t="s">
        <v>342</v>
      </c>
      <c r="E178" s="8"/>
      <c r="F178" s="8"/>
      <c r="G178" s="8"/>
      <c r="H178" s="8"/>
      <c r="I178" s="8"/>
      <c r="J178" s="8"/>
      <c r="K178" s="8"/>
      <c r="L178" s="10" t="e">
        <f t="shared" si="4"/>
        <v>#DIV/0!</v>
      </c>
      <c r="M178" s="8"/>
      <c r="N178" s="10" t="e">
        <f t="shared" si="5"/>
        <v>#DIV/0!</v>
      </c>
      <c r="O178" s="8"/>
      <c r="P178" s="8"/>
      <c r="Q178" s="34" t="s">
        <v>409</v>
      </c>
      <c r="R178" s="33" t="s">
        <v>767</v>
      </c>
      <c r="S178" s="10"/>
      <c r="T178" s="10"/>
      <c r="U178" s="10"/>
      <c r="V178" s="10"/>
      <c r="W178" s="10"/>
      <c r="X178" s="10"/>
      <c r="Y178" s="10"/>
      <c r="Z178" s="10"/>
      <c r="AA178" s="10" t="s">
        <v>1949</v>
      </c>
      <c r="AB178" s="10"/>
      <c r="AC178" s="10"/>
      <c r="AD178" s="34">
        <v>24.701096</v>
      </c>
      <c r="AE178" s="34">
        <v>76.074770000000001</v>
      </c>
    </row>
    <row r="179" spans="1:31">
      <c r="A179" s="8"/>
      <c r="B179" s="8" t="s">
        <v>418</v>
      </c>
      <c r="C179" s="8" t="s">
        <v>763</v>
      </c>
      <c r="D179" s="9" t="s">
        <v>342</v>
      </c>
      <c r="E179" s="8"/>
      <c r="F179" s="8"/>
      <c r="G179" s="8"/>
      <c r="H179" s="8"/>
      <c r="I179" s="8"/>
      <c r="J179" s="8"/>
      <c r="K179" s="8"/>
      <c r="L179" s="10" t="e">
        <f t="shared" si="4"/>
        <v>#DIV/0!</v>
      </c>
      <c r="M179" s="8"/>
      <c r="N179" s="10" t="e">
        <f t="shared" si="5"/>
        <v>#DIV/0!</v>
      </c>
      <c r="O179" s="8"/>
      <c r="P179" s="8"/>
      <c r="Q179" s="34" t="s">
        <v>409</v>
      </c>
      <c r="R179" s="33" t="s">
        <v>767</v>
      </c>
      <c r="S179" s="10"/>
      <c r="T179" s="10"/>
      <c r="U179" s="10"/>
      <c r="V179" s="10"/>
      <c r="W179" s="10"/>
      <c r="X179" s="10"/>
      <c r="Y179" s="10"/>
      <c r="Z179" s="10"/>
      <c r="AA179" s="10" t="s">
        <v>1949</v>
      </c>
      <c r="AB179" s="10"/>
      <c r="AC179" s="10"/>
      <c r="AD179" s="34">
        <v>24.680889000000001</v>
      </c>
      <c r="AE179" s="34">
        <v>76.041933</v>
      </c>
    </row>
    <row r="180" spans="1:31">
      <c r="A180" s="8"/>
      <c r="B180" s="8" t="s">
        <v>418</v>
      </c>
      <c r="C180" s="8" t="s">
        <v>763</v>
      </c>
      <c r="D180" s="9" t="s">
        <v>342</v>
      </c>
      <c r="E180" s="8"/>
      <c r="F180" s="8"/>
      <c r="G180" s="8"/>
      <c r="H180" s="8"/>
      <c r="I180" s="8"/>
      <c r="J180" s="8"/>
      <c r="K180" s="8"/>
      <c r="L180" s="10" t="e">
        <f t="shared" si="4"/>
        <v>#DIV/0!</v>
      </c>
      <c r="M180" s="8"/>
      <c r="N180" s="10" t="e">
        <f t="shared" si="5"/>
        <v>#DIV/0!</v>
      </c>
      <c r="O180" s="8"/>
      <c r="P180" s="8"/>
      <c r="Q180" s="34" t="s">
        <v>409</v>
      </c>
      <c r="R180" s="33" t="s">
        <v>767</v>
      </c>
      <c r="S180" s="10"/>
      <c r="T180" s="10"/>
      <c r="U180" s="10"/>
      <c r="V180" s="10"/>
      <c r="W180" s="10"/>
      <c r="X180" s="10"/>
      <c r="Y180" s="10"/>
      <c r="Z180" s="10"/>
      <c r="AA180" s="10" t="s">
        <v>1949</v>
      </c>
      <c r="AB180" s="10"/>
      <c r="AC180" s="10"/>
      <c r="AD180" s="34">
        <v>24.681342000000001</v>
      </c>
      <c r="AE180" s="34">
        <v>76.030527000000006</v>
      </c>
    </row>
    <row r="181" spans="1:31">
      <c r="A181" s="8"/>
      <c r="B181" s="8" t="s">
        <v>418</v>
      </c>
      <c r="C181" s="8" t="s">
        <v>763</v>
      </c>
      <c r="D181" s="9" t="s">
        <v>342</v>
      </c>
      <c r="E181" s="8"/>
      <c r="F181" s="8"/>
      <c r="G181" s="8"/>
      <c r="H181" s="8"/>
      <c r="I181" s="8"/>
      <c r="J181" s="8"/>
      <c r="K181" s="8"/>
      <c r="L181" s="10" t="e">
        <f t="shared" si="4"/>
        <v>#DIV/0!</v>
      </c>
      <c r="M181" s="8"/>
      <c r="N181" s="10" t="e">
        <f t="shared" si="5"/>
        <v>#DIV/0!</v>
      </c>
      <c r="O181" s="8"/>
      <c r="P181" s="8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 t="s">
        <v>1949</v>
      </c>
      <c r="AB181" s="10"/>
      <c r="AC181" s="10"/>
      <c r="AD181" s="10"/>
      <c r="AE181" s="10"/>
    </row>
    <row r="182" spans="1:31">
      <c r="A182" s="8" t="s">
        <v>36</v>
      </c>
      <c r="B182" s="8" t="s">
        <v>418</v>
      </c>
      <c r="C182" s="8" t="s">
        <v>763</v>
      </c>
      <c r="D182" s="9" t="s">
        <v>90</v>
      </c>
      <c r="E182" s="8" t="s">
        <v>768</v>
      </c>
      <c r="F182" s="8">
        <v>122</v>
      </c>
      <c r="G182" s="8">
        <v>64</v>
      </c>
      <c r="H182" s="8">
        <v>312</v>
      </c>
      <c r="I182" s="8">
        <v>168</v>
      </c>
      <c r="J182" s="8">
        <v>144</v>
      </c>
      <c r="K182" s="8">
        <v>35</v>
      </c>
      <c r="L182" s="10">
        <f t="shared" si="4"/>
        <v>11.217948717948719</v>
      </c>
      <c r="M182" s="8">
        <v>119</v>
      </c>
      <c r="N182" s="10">
        <f t="shared" si="5"/>
        <v>38.141025641025635</v>
      </c>
      <c r="O182" s="8">
        <v>9</v>
      </c>
      <c r="P182" s="8">
        <v>119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 t="s">
        <v>1949</v>
      </c>
      <c r="AB182" s="10"/>
      <c r="AC182" s="10"/>
      <c r="AD182" s="10"/>
      <c r="AE182" s="10"/>
    </row>
    <row r="183" spans="1:31">
      <c r="A183" s="8" t="s">
        <v>36</v>
      </c>
      <c r="B183" s="8" t="s">
        <v>418</v>
      </c>
      <c r="C183" s="8" t="s">
        <v>763</v>
      </c>
      <c r="D183" s="9" t="s">
        <v>769</v>
      </c>
      <c r="E183" s="8" t="s">
        <v>770</v>
      </c>
      <c r="F183" s="8">
        <v>549</v>
      </c>
      <c r="G183" s="8">
        <v>324</v>
      </c>
      <c r="H183" s="8">
        <v>1747</v>
      </c>
      <c r="I183" s="8">
        <v>922</v>
      </c>
      <c r="J183" s="8">
        <v>825</v>
      </c>
      <c r="K183" s="8">
        <v>510</v>
      </c>
      <c r="L183" s="10">
        <f t="shared" si="4"/>
        <v>29.192902117916432</v>
      </c>
      <c r="M183" s="8">
        <v>666</v>
      </c>
      <c r="N183" s="10">
        <f t="shared" si="5"/>
        <v>38.122495706926159</v>
      </c>
      <c r="O183" s="8">
        <v>21</v>
      </c>
      <c r="P183" s="8">
        <v>666</v>
      </c>
      <c r="Q183" s="34" t="s">
        <v>409</v>
      </c>
      <c r="R183" s="33" t="s">
        <v>767</v>
      </c>
      <c r="S183" s="10"/>
      <c r="T183" s="10"/>
      <c r="U183" s="10"/>
      <c r="V183" s="10"/>
      <c r="W183" s="10"/>
      <c r="X183" s="10"/>
      <c r="Y183" s="10"/>
      <c r="Z183" s="10"/>
      <c r="AA183" s="10" t="s">
        <v>1949</v>
      </c>
      <c r="AB183" s="10"/>
      <c r="AC183" s="10"/>
      <c r="AD183" s="34">
        <v>24.681342000000001</v>
      </c>
      <c r="AE183" s="34">
        <v>76.030527000000006</v>
      </c>
    </row>
    <row r="184" spans="1:31">
      <c r="A184" s="8" t="s">
        <v>36</v>
      </c>
      <c r="B184" s="8" t="s">
        <v>418</v>
      </c>
      <c r="C184" s="8" t="s">
        <v>763</v>
      </c>
      <c r="D184" s="9" t="s">
        <v>771</v>
      </c>
      <c r="E184" s="8" t="s">
        <v>772</v>
      </c>
      <c r="F184" s="8">
        <v>308.22000000000003</v>
      </c>
      <c r="G184" s="8">
        <v>308</v>
      </c>
      <c r="H184" s="8">
        <v>1366</v>
      </c>
      <c r="I184" s="8">
        <v>701</v>
      </c>
      <c r="J184" s="8">
        <v>665</v>
      </c>
      <c r="K184" s="8">
        <v>773</v>
      </c>
      <c r="L184" s="10">
        <f t="shared" si="4"/>
        <v>56.588579795021964</v>
      </c>
      <c r="M184" s="8">
        <v>128</v>
      </c>
      <c r="N184" s="10">
        <f t="shared" si="5"/>
        <v>9.3704245973645683</v>
      </c>
      <c r="O184" s="8">
        <v>6</v>
      </c>
      <c r="P184" s="8">
        <v>128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 t="s">
        <v>1949</v>
      </c>
      <c r="AB184" s="10"/>
      <c r="AC184" s="10"/>
      <c r="AD184" s="10"/>
      <c r="AE184" s="10"/>
    </row>
    <row r="185" spans="1:31">
      <c r="A185" s="8" t="s">
        <v>36</v>
      </c>
      <c r="B185" s="8" t="s">
        <v>418</v>
      </c>
      <c r="C185" s="8" t="s">
        <v>763</v>
      </c>
      <c r="D185" s="9" t="s">
        <v>773</v>
      </c>
      <c r="E185" s="8" t="s">
        <v>774</v>
      </c>
      <c r="F185" s="8">
        <v>337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10" t="e">
        <f t="shared" si="4"/>
        <v>#DIV/0!</v>
      </c>
      <c r="M185" s="8">
        <v>0</v>
      </c>
      <c r="N185" s="10" t="e">
        <f t="shared" si="5"/>
        <v>#DIV/0!</v>
      </c>
      <c r="O185" s="8">
        <v>0</v>
      </c>
      <c r="P185" s="8">
        <v>0</v>
      </c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 t="s">
        <v>1949</v>
      </c>
      <c r="AB185" s="10"/>
      <c r="AC185" s="10"/>
      <c r="AD185" s="10"/>
      <c r="AE185" s="10"/>
    </row>
    <row r="186" spans="1:31">
      <c r="A186" s="8" t="s">
        <v>36</v>
      </c>
      <c r="B186" s="8" t="s">
        <v>418</v>
      </c>
      <c r="C186" s="8" t="s">
        <v>763</v>
      </c>
      <c r="D186" s="9" t="s">
        <v>775</v>
      </c>
      <c r="E186" s="8" t="s">
        <v>776</v>
      </c>
      <c r="F186" s="8">
        <v>448</v>
      </c>
      <c r="G186" s="8">
        <v>164</v>
      </c>
      <c r="H186" s="8">
        <v>900</v>
      </c>
      <c r="I186" s="8">
        <v>459</v>
      </c>
      <c r="J186" s="8">
        <v>441</v>
      </c>
      <c r="K186" s="8">
        <v>13</v>
      </c>
      <c r="L186" s="10">
        <f t="shared" si="4"/>
        <v>1.4444444444444444</v>
      </c>
      <c r="M186" s="8">
        <v>478</v>
      </c>
      <c r="N186" s="10">
        <f t="shared" si="5"/>
        <v>53.111111111111107</v>
      </c>
      <c r="O186" s="8">
        <v>0</v>
      </c>
      <c r="P186" s="8">
        <v>478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 t="s">
        <v>1949</v>
      </c>
      <c r="AB186" s="10"/>
      <c r="AC186" s="10"/>
      <c r="AD186" s="10"/>
      <c r="AE186" s="10"/>
    </row>
    <row r="187" spans="1:31">
      <c r="A187" s="8" t="s">
        <v>36</v>
      </c>
      <c r="B187" s="8" t="s">
        <v>418</v>
      </c>
      <c r="C187" s="8" t="s">
        <v>763</v>
      </c>
      <c r="D187" s="9" t="s">
        <v>777</v>
      </c>
      <c r="E187" s="8" t="s">
        <v>778</v>
      </c>
      <c r="F187" s="8">
        <v>140</v>
      </c>
      <c r="G187" s="8">
        <v>143</v>
      </c>
      <c r="H187" s="8">
        <v>689</v>
      </c>
      <c r="I187" s="8">
        <v>360</v>
      </c>
      <c r="J187" s="8">
        <v>329</v>
      </c>
      <c r="K187" s="8">
        <v>2</v>
      </c>
      <c r="L187" s="10">
        <f t="shared" si="4"/>
        <v>0.29027576197387517</v>
      </c>
      <c r="M187" s="8">
        <v>634</v>
      </c>
      <c r="N187" s="10">
        <f t="shared" si="5"/>
        <v>92.017416545718433</v>
      </c>
      <c r="O187" s="8">
        <v>10</v>
      </c>
      <c r="P187" s="8">
        <v>634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 t="s">
        <v>1949</v>
      </c>
      <c r="AB187" s="10"/>
      <c r="AC187" s="10"/>
      <c r="AD187" s="10"/>
      <c r="AE187" s="10"/>
    </row>
    <row r="188" spans="1:31">
      <c r="A188" s="8" t="s">
        <v>36</v>
      </c>
      <c r="B188" s="8" t="s">
        <v>418</v>
      </c>
      <c r="C188" s="8" t="s">
        <v>763</v>
      </c>
      <c r="D188" s="9" t="s">
        <v>779</v>
      </c>
      <c r="E188" s="8" t="s">
        <v>780</v>
      </c>
      <c r="F188" s="8">
        <v>139</v>
      </c>
      <c r="G188" s="8">
        <v>5</v>
      </c>
      <c r="H188" s="8">
        <v>21</v>
      </c>
      <c r="I188" s="8">
        <v>10</v>
      </c>
      <c r="J188" s="8">
        <v>11</v>
      </c>
      <c r="K188" s="8">
        <v>0</v>
      </c>
      <c r="L188" s="10">
        <f t="shared" si="4"/>
        <v>0</v>
      </c>
      <c r="M188" s="8">
        <v>0</v>
      </c>
      <c r="N188" s="10">
        <f t="shared" si="5"/>
        <v>0</v>
      </c>
      <c r="O188" s="8">
        <v>0</v>
      </c>
      <c r="P188" s="8">
        <v>0</v>
      </c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 t="s">
        <v>1949</v>
      </c>
      <c r="AB188" s="10"/>
      <c r="AC188" s="10"/>
      <c r="AD188" s="10"/>
      <c r="AE188" s="10"/>
    </row>
    <row r="189" spans="1:31">
      <c r="A189" s="8" t="s">
        <v>36</v>
      </c>
      <c r="B189" s="8" t="s">
        <v>418</v>
      </c>
      <c r="C189" s="8" t="s">
        <v>763</v>
      </c>
      <c r="D189" s="9" t="s">
        <v>781</v>
      </c>
      <c r="E189" s="8" t="s">
        <v>782</v>
      </c>
      <c r="F189" s="8">
        <v>385</v>
      </c>
      <c r="G189" s="8">
        <v>45</v>
      </c>
      <c r="H189" s="8">
        <v>289</v>
      </c>
      <c r="I189" s="8">
        <v>152</v>
      </c>
      <c r="J189" s="8">
        <v>137</v>
      </c>
      <c r="K189" s="8">
        <v>8</v>
      </c>
      <c r="L189" s="10">
        <f t="shared" si="4"/>
        <v>2.7681660899653981</v>
      </c>
      <c r="M189" s="8">
        <v>58</v>
      </c>
      <c r="N189" s="10">
        <f t="shared" si="5"/>
        <v>20.069204152249135</v>
      </c>
      <c r="O189" s="8">
        <v>5</v>
      </c>
      <c r="P189" s="8">
        <v>58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 t="s">
        <v>1949</v>
      </c>
      <c r="AB189" s="10"/>
      <c r="AC189" s="10"/>
      <c r="AD189" s="10"/>
      <c r="AE189" s="10"/>
    </row>
    <row r="190" spans="1:31">
      <c r="A190" s="8" t="s">
        <v>36</v>
      </c>
      <c r="B190" s="8" t="s">
        <v>418</v>
      </c>
      <c r="C190" s="8" t="s">
        <v>783</v>
      </c>
      <c r="D190" s="9" t="s">
        <v>784</v>
      </c>
      <c r="E190" s="8" t="s">
        <v>785</v>
      </c>
      <c r="F190" s="8">
        <v>353</v>
      </c>
      <c r="G190" s="8">
        <v>317</v>
      </c>
      <c r="H190" s="8">
        <v>1388</v>
      </c>
      <c r="I190" s="8">
        <v>734</v>
      </c>
      <c r="J190" s="8">
        <v>654</v>
      </c>
      <c r="K190" s="8">
        <v>519</v>
      </c>
      <c r="L190" s="10">
        <f t="shared" si="4"/>
        <v>37.391930835734868</v>
      </c>
      <c r="M190" s="8">
        <v>0</v>
      </c>
      <c r="N190" s="10">
        <f t="shared" si="5"/>
        <v>0</v>
      </c>
      <c r="O190" s="8">
        <v>33</v>
      </c>
      <c r="P190" s="8">
        <v>0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 t="s">
        <v>1949</v>
      </c>
      <c r="AB190" s="10"/>
      <c r="AC190" s="10"/>
      <c r="AD190" s="10"/>
      <c r="AE190" s="10"/>
    </row>
    <row r="191" spans="1:31">
      <c r="A191" s="8" t="s">
        <v>36</v>
      </c>
      <c r="B191" s="8" t="s">
        <v>418</v>
      </c>
      <c r="C191" s="8" t="s">
        <v>783</v>
      </c>
      <c r="D191" s="9" t="s">
        <v>786</v>
      </c>
      <c r="E191" s="8" t="s">
        <v>787</v>
      </c>
      <c r="F191" s="8">
        <v>209</v>
      </c>
      <c r="G191" s="8">
        <v>82</v>
      </c>
      <c r="H191" s="8">
        <v>384</v>
      </c>
      <c r="I191" s="8">
        <v>190</v>
      </c>
      <c r="J191" s="8">
        <v>194</v>
      </c>
      <c r="K191" s="8">
        <v>146</v>
      </c>
      <c r="L191" s="10">
        <f t="shared" si="4"/>
        <v>38.020833333333329</v>
      </c>
      <c r="M191" s="8">
        <v>194</v>
      </c>
      <c r="N191" s="10">
        <f t="shared" si="5"/>
        <v>50.520833333333336</v>
      </c>
      <c r="O191" s="8">
        <v>17</v>
      </c>
      <c r="P191" s="8">
        <v>194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 t="s">
        <v>1949</v>
      </c>
      <c r="AB191" s="10"/>
      <c r="AC191" s="10"/>
      <c r="AD191" s="10"/>
      <c r="AE191" s="10"/>
    </row>
    <row r="192" spans="1:31">
      <c r="A192" s="8" t="s">
        <v>36</v>
      </c>
      <c r="B192" s="8" t="s">
        <v>418</v>
      </c>
      <c r="C192" s="8" t="s">
        <v>783</v>
      </c>
      <c r="D192" s="9" t="s">
        <v>788</v>
      </c>
      <c r="E192" s="8" t="s">
        <v>789</v>
      </c>
      <c r="F192" s="8">
        <v>366</v>
      </c>
      <c r="G192" s="8">
        <v>255</v>
      </c>
      <c r="H192" s="8">
        <v>1223</v>
      </c>
      <c r="I192" s="8">
        <v>651</v>
      </c>
      <c r="J192" s="8">
        <v>572</v>
      </c>
      <c r="K192" s="8">
        <v>205</v>
      </c>
      <c r="L192" s="10">
        <f t="shared" si="4"/>
        <v>16.762060506950121</v>
      </c>
      <c r="M192" s="8">
        <v>112</v>
      </c>
      <c r="N192" s="10">
        <f t="shared" si="5"/>
        <v>9.1578086672117731</v>
      </c>
      <c r="O192" s="8">
        <v>55</v>
      </c>
      <c r="P192" s="8">
        <v>112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 t="s">
        <v>1949</v>
      </c>
      <c r="AB192" s="10"/>
      <c r="AC192" s="10"/>
      <c r="AD192" s="10"/>
      <c r="AE192" s="10"/>
    </row>
    <row r="193" spans="1:31">
      <c r="A193" s="8" t="s">
        <v>36</v>
      </c>
      <c r="B193" s="8" t="s">
        <v>418</v>
      </c>
      <c r="C193" s="8" t="s">
        <v>783</v>
      </c>
      <c r="D193" s="9" t="s">
        <v>790</v>
      </c>
      <c r="E193" s="8" t="s">
        <v>791</v>
      </c>
      <c r="F193" s="8">
        <v>264</v>
      </c>
      <c r="G193" s="8">
        <v>14</v>
      </c>
      <c r="H193" s="8">
        <v>67</v>
      </c>
      <c r="I193" s="8">
        <v>28</v>
      </c>
      <c r="J193" s="8">
        <v>39</v>
      </c>
      <c r="K193" s="8">
        <v>67</v>
      </c>
      <c r="L193" s="10">
        <f t="shared" si="4"/>
        <v>100</v>
      </c>
      <c r="M193" s="8">
        <v>0</v>
      </c>
      <c r="N193" s="10">
        <f t="shared" si="5"/>
        <v>0</v>
      </c>
      <c r="O193" s="8">
        <v>0</v>
      </c>
      <c r="P193" s="8">
        <v>0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 t="s">
        <v>1949</v>
      </c>
      <c r="AB193" s="10"/>
      <c r="AC193" s="10"/>
      <c r="AD193" s="10"/>
      <c r="AE193" s="10"/>
    </row>
    <row r="194" spans="1:31">
      <c r="A194" s="8" t="s">
        <v>36</v>
      </c>
      <c r="B194" s="8" t="s">
        <v>418</v>
      </c>
      <c r="C194" s="8" t="s">
        <v>783</v>
      </c>
      <c r="D194" s="9" t="s">
        <v>792</v>
      </c>
      <c r="E194" s="8" t="s">
        <v>793</v>
      </c>
      <c r="F194" s="8">
        <v>653</v>
      </c>
      <c r="G194" s="8">
        <v>178</v>
      </c>
      <c r="H194" s="8">
        <v>835</v>
      </c>
      <c r="I194" s="8">
        <v>437</v>
      </c>
      <c r="J194" s="8">
        <v>398</v>
      </c>
      <c r="K194" s="8">
        <v>323</v>
      </c>
      <c r="L194" s="10">
        <f t="shared" si="4"/>
        <v>38.682634730538922</v>
      </c>
      <c r="M194" s="8">
        <v>12</v>
      </c>
      <c r="N194" s="10">
        <f t="shared" si="5"/>
        <v>1.437125748502994</v>
      </c>
      <c r="O194" s="8">
        <v>46</v>
      </c>
      <c r="P194" s="8">
        <v>12</v>
      </c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 t="s">
        <v>1949</v>
      </c>
      <c r="AB194" s="10"/>
      <c r="AC194" s="10"/>
      <c r="AD194" s="10"/>
      <c r="AE194" s="10"/>
    </row>
    <row r="195" spans="1:31">
      <c r="A195" s="8" t="s">
        <v>36</v>
      </c>
      <c r="B195" s="8" t="s">
        <v>418</v>
      </c>
      <c r="C195" s="8" t="s">
        <v>794</v>
      </c>
      <c r="D195" s="9" t="s">
        <v>795</v>
      </c>
      <c r="E195" s="8" t="s">
        <v>796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10" t="e">
        <f t="shared" si="4"/>
        <v>#DIV/0!</v>
      </c>
      <c r="M195" s="8">
        <v>0</v>
      </c>
      <c r="N195" s="10" t="e">
        <f t="shared" si="5"/>
        <v>#DIV/0!</v>
      </c>
      <c r="O195" s="8">
        <v>0</v>
      </c>
      <c r="P195" s="8">
        <v>0</v>
      </c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 t="s">
        <v>1949</v>
      </c>
      <c r="AB195" s="10"/>
      <c r="AC195" s="10"/>
      <c r="AD195" s="10"/>
      <c r="AE195" s="10"/>
    </row>
    <row r="196" spans="1:31">
      <c r="A196" s="8" t="s">
        <v>36</v>
      </c>
      <c r="B196" s="8" t="s">
        <v>418</v>
      </c>
      <c r="C196" s="8" t="s">
        <v>797</v>
      </c>
      <c r="D196" s="9" t="s">
        <v>798</v>
      </c>
      <c r="E196" s="8" t="s">
        <v>799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10" t="e">
        <f t="shared" ref="L196:L200" si="6">K196/H196*100</f>
        <v>#DIV/0!</v>
      </c>
      <c r="M196" s="8">
        <v>0</v>
      </c>
      <c r="N196" s="10" t="e">
        <f t="shared" si="5"/>
        <v>#DIV/0!</v>
      </c>
      <c r="O196" s="8">
        <v>0</v>
      </c>
      <c r="P196" s="8">
        <v>0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 t="s">
        <v>1949</v>
      </c>
      <c r="AB196" s="10"/>
      <c r="AC196" s="10"/>
      <c r="AD196" s="10"/>
      <c r="AE196" s="10"/>
    </row>
    <row r="197" spans="1:31">
      <c r="A197" s="8" t="s">
        <v>36</v>
      </c>
      <c r="B197" s="8" t="s">
        <v>418</v>
      </c>
      <c r="C197" s="8" t="s">
        <v>800</v>
      </c>
      <c r="D197" s="9" t="s">
        <v>801</v>
      </c>
      <c r="E197" s="8" t="s">
        <v>802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10" t="e">
        <f t="shared" si="6"/>
        <v>#DIV/0!</v>
      </c>
      <c r="M197" s="8">
        <v>0</v>
      </c>
      <c r="N197" s="10" t="e">
        <f t="shared" ref="N197:N200" si="7">M197/H197*100</f>
        <v>#DIV/0!</v>
      </c>
      <c r="O197" s="8">
        <v>0</v>
      </c>
      <c r="P197" s="8">
        <v>0</v>
      </c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 t="s">
        <v>1949</v>
      </c>
      <c r="AB197" s="10"/>
      <c r="AC197" s="10"/>
      <c r="AD197" s="10"/>
      <c r="AE197" s="10"/>
    </row>
    <row r="198" spans="1:31">
      <c r="A198" s="8" t="s">
        <v>36</v>
      </c>
      <c r="B198" s="8" t="s">
        <v>418</v>
      </c>
      <c r="C198" s="8" t="s">
        <v>803</v>
      </c>
      <c r="D198" s="9" t="s">
        <v>804</v>
      </c>
      <c r="E198" s="8" t="s">
        <v>805</v>
      </c>
      <c r="F198" s="8">
        <v>1009.31</v>
      </c>
      <c r="G198" s="8">
        <v>614</v>
      </c>
      <c r="H198" s="8">
        <v>2888</v>
      </c>
      <c r="I198" s="8">
        <v>1471</v>
      </c>
      <c r="J198" s="8">
        <v>1417</v>
      </c>
      <c r="K198" s="8">
        <v>421</v>
      </c>
      <c r="L198" s="10">
        <f t="shared" si="6"/>
        <v>14.577562326869806</v>
      </c>
      <c r="M198" s="8">
        <v>167</v>
      </c>
      <c r="N198" s="10">
        <f t="shared" si="7"/>
        <v>5.782548476454294</v>
      </c>
      <c r="O198" s="8">
        <v>96.07</v>
      </c>
      <c r="P198" s="8">
        <v>167</v>
      </c>
      <c r="Q198" s="34" t="s">
        <v>409</v>
      </c>
      <c r="R198" s="34" t="s">
        <v>806</v>
      </c>
      <c r="S198" s="10"/>
      <c r="T198" s="10"/>
      <c r="U198" s="10" t="s">
        <v>408</v>
      </c>
      <c r="V198" s="10"/>
      <c r="W198" s="10"/>
      <c r="X198" s="10"/>
      <c r="Y198" s="10"/>
      <c r="Z198" s="10"/>
      <c r="AA198" s="10" t="s">
        <v>1949</v>
      </c>
      <c r="AB198" s="10"/>
      <c r="AC198" s="10"/>
      <c r="AD198" s="34">
        <v>24.596211</v>
      </c>
      <c r="AE198" s="34">
        <v>75.895317000000006</v>
      </c>
    </row>
    <row r="199" spans="1:31">
      <c r="A199" s="8" t="s">
        <v>36</v>
      </c>
      <c r="B199" s="8" t="s">
        <v>418</v>
      </c>
      <c r="C199" s="8" t="s">
        <v>803</v>
      </c>
      <c r="D199" s="9" t="s">
        <v>807</v>
      </c>
      <c r="E199" s="8" t="s">
        <v>808</v>
      </c>
      <c r="F199" s="8">
        <v>264.64999999999998</v>
      </c>
      <c r="G199" s="8">
        <v>124</v>
      </c>
      <c r="H199" s="8">
        <v>644</v>
      </c>
      <c r="I199" s="8">
        <v>300</v>
      </c>
      <c r="J199" s="8">
        <v>344</v>
      </c>
      <c r="K199" s="8">
        <v>74</v>
      </c>
      <c r="L199" s="10">
        <f t="shared" si="6"/>
        <v>11.490683229813664</v>
      </c>
      <c r="M199" s="8">
        <v>28</v>
      </c>
      <c r="N199" s="10">
        <f t="shared" si="7"/>
        <v>4.3478260869565215</v>
      </c>
      <c r="O199" s="8">
        <v>22.17</v>
      </c>
      <c r="P199" s="8">
        <v>28</v>
      </c>
      <c r="Q199" s="19" t="s">
        <v>409</v>
      </c>
      <c r="R199" s="42" t="s">
        <v>809</v>
      </c>
      <c r="S199" s="10"/>
      <c r="T199" s="10"/>
      <c r="U199" s="10" t="s">
        <v>408</v>
      </c>
      <c r="V199" s="10"/>
      <c r="W199" s="10"/>
      <c r="X199" s="10"/>
      <c r="Y199" s="10"/>
      <c r="Z199" s="10"/>
      <c r="AA199" s="10" t="s">
        <v>1949</v>
      </c>
      <c r="AB199" s="10"/>
      <c r="AC199" s="10"/>
      <c r="AD199" s="19">
        <v>24.3629</v>
      </c>
      <c r="AE199" s="19">
        <v>75.533500000000004</v>
      </c>
    </row>
    <row r="200" spans="1:31">
      <c r="A200" s="8" t="s">
        <v>36</v>
      </c>
      <c r="B200" s="8" t="s">
        <v>418</v>
      </c>
      <c r="C200" s="10"/>
      <c r="D200" s="9" t="s">
        <v>810</v>
      </c>
      <c r="E200" s="8" t="s">
        <v>811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10" t="e">
        <f t="shared" si="6"/>
        <v>#DIV/0!</v>
      </c>
      <c r="M200" s="8">
        <v>0</v>
      </c>
      <c r="N200" s="10" t="e">
        <f t="shared" si="7"/>
        <v>#DIV/0!</v>
      </c>
      <c r="O200" s="8">
        <v>0</v>
      </c>
      <c r="P200" s="8">
        <v>0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 t="s">
        <v>1949</v>
      </c>
      <c r="AB200" s="10"/>
      <c r="AC200" s="10"/>
      <c r="AD200" s="10"/>
      <c r="AE200" s="10"/>
    </row>
  </sheetData>
  <mergeCells count="3">
    <mergeCell ref="K2:L2"/>
    <mergeCell ref="M2:N2"/>
    <mergeCell ref="AD2:A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8"/>
  <sheetViews>
    <sheetView workbookViewId="0">
      <pane xSplit="4" ySplit="3" topLeftCell="U4" activePane="bottomRight" state="frozen"/>
      <selection pane="topRight" activeCell="E1" sqref="E1"/>
      <selection pane="bottomLeft" activeCell="A3" sqref="A3"/>
      <selection pane="bottomRight" activeCell="Q1" sqref="Q1:AE1"/>
    </sheetView>
  </sheetViews>
  <sheetFormatPr defaultRowHeight="15"/>
  <cols>
    <col min="2" max="2" width="14" customWidth="1"/>
    <col min="3" max="3" width="19.140625" customWidth="1"/>
    <col min="4" max="4" width="23.140625" customWidth="1"/>
    <col min="5" max="5" width="20.5703125" customWidth="1"/>
    <col min="18" max="18" width="12.5703125" customWidth="1"/>
    <col min="19" max="19" width="10.7109375" customWidth="1"/>
  </cols>
  <sheetData>
    <row r="1" spans="1:31">
      <c r="Q1" s="92" t="s">
        <v>1953</v>
      </c>
      <c r="R1" s="92" t="s">
        <v>1953</v>
      </c>
      <c r="S1" s="92" t="s">
        <v>1954</v>
      </c>
      <c r="T1" s="93" t="s">
        <v>1955</v>
      </c>
      <c r="U1" s="92" t="s">
        <v>1955</v>
      </c>
      <c r="V1" s="92" t="s">
        <v>1955</v>
      </c>
      <c r="W1" s="92" t="s">
        <v>1955</v>
      </c>
      <c r="X1" s="92" t="s">
        <v>1955</v>
      </c>
      <c r="Y1" s="92" t="s">
        <v>1955</v>
      </c>
      <c r="Z1" s="94" t="s">
        <v>1956</v>
      </c>
      <c r="AA1" s="94" t="s">
        <v>1956</v>
      </c>
      <c r="AB1" s="94" t="s">
        <v>1956</v>
      </c>
      <c r="AC1" s="94" t="s">
        <v>1956</v>
      </c>
      <c r="AD1" s="94" t="s">
        <v>1956</v>
      </c>
      <c r="AE1" s="94" t="s">
        <v>1956</v>
      </c>
    </row>
    <row r="2" spans="1:31" ht="16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97" t="s">
        <v>10</v>
      </c>
      <c r="L2" s="98"/>
      <c r="M2" s="97" t="s">
        <v>11</v>
      </c>
      <c r="N2" s="98"/>
      <c r="O2" s="1" t="s">
        <v>12</v>
      </c>
      <c r="P2" s="1" t="s">
        <v>13</v>
      </c>
      <c r="Q2" s="3" t="s">
        <v>14</v>
      </c>
      <c r="R2" s="3" t="s">
        <v>15</v>
      </c>
      <c r="S2" s="1" t="s">
        <v>16</v>
      </c>
      <c r="T2" s="4" t="s">
        <v>17</v>
      </c>
      <c r="U2" s="1" t="s">
        <v>18</v>
      </c>
      <c r="V2" s="4" t="s">
        <v>19</v>
      </c>
      <c r="W2" s="1" t="s">
        <v>20</v>
      </c>
      <c r="X2" s="1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95" t="s">
        <v>27</v>
      </c>
      <c r="AE2" s="96"/>
    </row>
    <row r="3" spans="1:31" ht="30">
      <c r="A3" s="5"/>
      <c r="B3" s="5"/>
      <c r="C3" s="5"/>
      <c r="D3" s="5"/>
      <c r="E3" s="5"/>
      <c r="F3" s="5" t="s">
        <v>28</v>
      </c>
      <c r="G3" s="5" t="s">
        <v>29</v>
      </c>
      <c r="H3" s="5" t="s">
        <v>29</v>
      </c>
      <c r="I3" s="5" t="s">
        <v>29</v>
      </c>
      <c r="J3" s="5" t="s">
        <v>29</v>
      </c>
      <c r="K3" s="5" t="s">
        <v>29</v>
      </c>
      <c r="L3" s="6" t="s">
        <v>30</v>
      </c>
      <c r="M3" s="5"/>
      <c r="N3" s="6" t="s">
        <v>30</v>
      </c>
      <c r="O3" s="5" t="s">
        <v>28</v>
      </c>
      <c r="P3" s="5" t="s">
        <v>28</v>
      </c>
      <c r="Q3" s="5" t="s">
        <v>31</v>
      </c>
      <c r="R3" s="5" t="s">
        <v>32</v>
      </c>
      <c r="S3" s="5" t="s">
        <v>28</v>
      </c>
      <c r="T3" s="7" t="s">
        <v>28</v>
      </c>
      <c r="U3" s="5" t="s">
        <v>31</v>
      </c>
      <c r="V3" s="5" t="s">
        <v>31</v>
      </c>
      <c r="W3" s="7" t="s">
        <v>31</v>
      </c>
      <c r="X3" s="7" t="s">
        <v>31</v>
      </c>
      <c r="Y3" s="7" t="s">
        <v>28</v>
      </c>
      <c r="Z3" s="7" t="s">
        <v>31</v>
      </c>
      <c r="AA3" s="7" t="s">
        <v>31</v>
      </c>
      <c r="AB3" s="7" t="s">
        <v>28</v>
      </c>
      <c r="AC3" s="5" t="s">
        <v>33</v>
      </c>
      <c r="AD3" s="7" t="s">
        <v>34</v>
      </c>
      <c r="AE3" s="7" t="s">
        <v>35</v>
      </c>
    </row>
    <row r="4" spans="1:31">
      <c r="A4" s="8" t="s">
        <v>36</v>
      </c>
      <c r="B4" s="8" t="s">
        <v>1598</v>
      </c>
      <c r="C4" s="8" t="s">
        <v>38</v>
      </c>
      <c r="D4" s="9" t="s">
        <v>1599</v>
      </c>
      <c r="E4" s="8" t="s">
        <v>1600</v>
      </c>
      <c r="F4" s="8">
        <v>301.20999999999998</v>
      </c>
      <c r="G4" s="8">
        <v>88</v>
      </c>
      <c r="H4" s="8">
        <v>433</v>
      </c>
      <c r="I4" s="8">
        <v>221</v>
      </c>
      <c r="J4" s="8">
        <v>212</v>
      </c>
      <c r="K4" s="8">
        <v>164</v>
      </c>
      <c r="L4" s="10">
        <f t="shared" ref="L4:L67" si="0">K4/H4*100</f>
        <v>37.875288683602768</v>
      </c>
      <c r="M4" s="8">
        <v>1</v>
      </c>
      <c r="N4" s="10">
        <f>M4/H4*100</f>
        <v>0.23094688221709006</v>
      </c>
      <c r="O4" s="8">
        <v>12.49</v>
      </c>
      <c r="P4" s="8">
        <v>43.57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 t="s">
        <v>412</v>
      </c>
      <c r="AB4" s="10"/>
      <c r="AC4" s="10"/>
      <c r="AD4" s="10"/>
      <c r="AE4" s="10"/>
    </row>
    <row r="5" spans="1:31">
      <c r="A5" s="8" t="s">
        <v>36</v>
      </c>
      <c r="B5" s="8" t="s">
        <v>1598</v>
      </c>
      <c r="C5" s="8" t="s">
        <v>38</v>
      </c>
      <c r="D5" s="9" t="s">
        <v>1601</v>
      </c>
      <c r="E5" s="8" t="s">
        <v>1602</v>
      </c>
      <c r="F5" s="8">
        <v>1940</v>
      </c>
      <c r="G5" s="8">
        <v>3209</v>
      </c>
      <c r="H5" s="8">
        <v>16684</v>
      </c>
      <c r="I5" s="8">
        <v>8699</v>
      </c>
      <c r="J5" s="8">
        <v>7985</v>
      </c>
      <c r="K5" s="8">
        <v>3826</v>
      </c>
      <c r="L5" s="10">
        <f t="shared" si="0"/>
        <v>22.932150563414051</v>
      </c>
      <c r="M5" s="8">
        <v>416</v>
      </c>
      <c r="N5" s="10">
        <f t="shared" ref="N5:N68" si="1">M5/H5*100</f>
        <v>2.4934068568688565</v>
      </c>
      <c r="O5" s="8">
        <v>38</v>
      </c>
      <c r="P5" s="8">
        <v>241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 t="s">
        <v>412</v>
      </c>
      <c r="AB5" s="10"/>
      <c r="AC5" s="10"/>
      <c r="AD5" s="10"/>
      <c r="AE5" s="10"/>
    </row>
    <row r="6" spans="1:31">
      <c r="A6" s="8" t="s">
        <v>36</v>
      </c>
      <c r="B6" s="8" t="s">
        <v>1598</v>
      </c>
      <c r="C6" s="8" t="s">
        <v>38</v>
      </c>
      <c r="D6" s="9" t="s">
        <v>1603</v>
      </c>
      <c r="E6" s="8" t="s">
        <v>1604</v>
      </c>
      <c r="F6" s="8">
        <v>1320.37</v>
      </c>
      <c r="G6" s="8">
        <v>864</v>
      </c>
      <c r="H6" s="8">
        <v>4422</v>
      </c>
      <c r="I6" s="8">
        <v>2273</v>
      </c>
      <c r="J6" s="8">
        <v>2149</v>
      </c>
      <c r="K6" s="8">
        <v>784</v>
      </c>
      <c r="L6" s="10">
        <f t="shared" si="0"/>
        <v>17.729534147444596</v>
      </c>
      <c r="M6" s="8">
        <v>2</v>
      </c>
      <c r="N6" s="10">
        <f t="shared" si="1"/>
        <v>4.5228403437358664E-2</v>
      </c>
      <c r="O6" s="8">
        <v>44.64</v>
      </c>
      <c r="P6" s="8">
        <v>3.12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412</v>
      </c>
      <c r="AB6" s="10"/>
      <c r="AC6" s="10"/>
      <c r="AD6" s="10"/>
      <c r="AE6" s="10"/>
    </row>
    <row r="7" spans="1:31">
      <c r="A7" s="8" t="s">
        <v>36</v>
      </c>
      <c r="B7" s="8" t="s">
        <v>1598</v>
      </c>
      <c r="C7" s="8" t="s">
        <v>1605</v>
      </c>
      <c r="D7" s="9" t="s">
        <v>296</v>
      </c>
      <c r="E7" s="8" t="s">
        <v>1606</v>
      </c>
      <c r="F7" s="8">
        <v>730.18</v>
      </c>
      <c r="G7" s="8">
        <v>329</v>
      </c>
      <c r="H7" s="8">
        <v>1752</v>
      </c>
      <c r="I7" s="8">
        <v>914</v>
      </c>
      <c r="J7" s="8">
        <v>838</v>
      </c>
      <c r="K7" s="8">
        <v>528</v>
      </c>
      <c r="L7" s="10">
        <f t="shared" si="0"/>
        <v>30.136986301369863</v>
      </c>
      <c r="M7" s="8">
        <v>15</v>
      </c>
      <c r="N7" s="10">
        <f t="shared" si="1"/>
        <v>0.85616438356164382</v>
      </c>
      <c r="O7" s="8">
        <v>44.33</v>
      </c>
      <c r="P7" s="8">
        <v>0</v>
      </c>
      <c r="Q7" s="10" t="s">
        <v>408</v>
      </c>
      <c r="R7" s="10" t="s">
        <v>1941</v>
      </c>
      <c r="S7" s="10"/>
      <c r="T7" s="52">
        <v>28</v>
      </c>
      <c r="U7" s="10"/>
      <c r="V7" s="10"/>
      <c r="W7" s="10"/>
      <c r="X7" s="10"/>
      <c r="Y7" s="10"/>
      <c r="Z7" s="10"/>
      <c r="AA7" s="10" t="s">
        <v>412</v>
      </c>
      <c r="AB7" s="52"/>
      <c r="AC7" s="10"/>
      <c r="AD7" s="52">
        <v>25.251031000000001</v>
      </c>
      <c r="AE7" s="52">
        <v>76.194744999999998</v>
      </c>
    </row>
    <row r="8" spans="1:31">
      <c r="A8" s="8" t="s">
        <v>36</v>
      </c>
      <c r="B8" s="8" t="s">
        <v>1598</v>
      </c>
      <c r="C8" s="8" t="s">
        <v>1605</v>
      </c>
      <c r="D8" s="9" t="s">
        <v>1607</v>
      </c>
      <c r="E8" s="8" t="s">
        <v>1608</v>
      </c>
      <c r="F8" s="8">
        <v>160.94999999999999</v>
      </c>
      <c r="G8" s="8">
        <v>60</v>
      </c>
      <c r="H8" s="8">
        <v>341</v>
      </c>
      <c r="I8" s="8">
        <v>168</v>
      </c>
      <c r="J8" s="8">
        <v>173</v>
      </c>
      <c r="K8" s="8">
        <v>341</v>
      </c>
      <c r="L8" s="10">
        <f t="shared" si="0"/>
        <v>100</v>
      </c>
      <c r="M8" s="8">
        <v>0</v>
      </c>
      <c r="N8" s="10">
        <f t="shared" si="1"/>
        <v>0</v>
      </c>
      <c r="O8" s="8">
        <v>5.42</v>
      </c>
      <c r="P8" s="8">
        <v>0</v>
      </c>
      <c r="Q8" s="10" t="s">
        <v>408</v>
      </c>
      <c r="R8" s="10" t="s">
        <v>1941</v>
      </c>
      <c r="S8" s="10"/>
      <c r="T8" s="52">
        <v>125</v>
      </c>
      <c r="U8" s="10"/>
      <c r="V8" s="10"/>
      <c r="W8" s="10"/>
      <c r="X8" s="10"/>
      <c r="Y8" s="10"/>
      <c r="Z8" s="10"/>
      <c r="AA8" s="10" t="s">
        <v>408</v>
      </c>
      <c r="AB8" s="52">
        <v>15</v>
      </c>
      <c r="AC8" s="10"/>
      <c r="AD8" s="52">
        <v>25.263784999999999</v>
      </c>
      <c r="AE8" s="52">
        <v>76.199571669999997</v>
      </c>
    </row>
    <row r="9" spans="1:31">
      <c r="A9" s="8" t="s">
        <v>36</v>
      </c>
      <c r="B9" s="8" t="s">
        <v>1598</v>
      </c>
      <c r="C9" s="8" t="s">
        <v>1605</v>
      </c>
      <c r="D9" s="9" t="s">
        <v>1609</v>
      </c>
      <c r="E9" s="8" t="s">
        <v>1610</v>
      </c>
      <c r="F9" s="8">
        <v>760</v>
      </c>
      <c r="G9" s="8">
        <v>352</v>
      </c>
      <c r="H9" s="8">
        <v>1793</v>
      </c>
      <c r="I9" s="8">
        <v>940</v>
      </c>
      <c r="J9" s="8">
        <v>853</v>
      </c>
      <c r="K9" s="8">
        <v>401</v>
      </c>
      <c r="L9" s="10">
        <f t="shared" si="0"/>
        <v>22.364751812604574</v>
      </c>
      <c r="M9" s="8">
        <v>470</v>
      </c>
      <c r="N9" s="10">
        <f t="shared" si="1"/>
        <v>26.213050752928051</v>
      </c>
      <c r="O9" s="8">
        <v>0</v>
      </c>
      <c r="P9" s="8">
        <v>104.26</v>
      </c>
      <c r="Q9" s="10" t="s">
        <v>408</v>
      </c>
      <c r="R9" s="10" t="s">
        <v>1941</v>
      </c>
      <c r="S9" s="10"/>
      <c r="T9" s="18">
        <v>21</v>
      </c>
      <c r="U9" s="10"/>
      <c r="V9" s="10"/>
      <c r="W9" s="10"/>
      <c r="X9" s="10"/>
      <c r="Y9" s="10"/>
      <c r="Z9" s="10"/>
      <c r="AA9" s="10" t="s">
        <v>408</v>
      </c>
      <c r="AB9" s="52">
        <v>14</v>
      </c>
      <c r="AC9" s="10"/>
      <c r="AD9" s="56">
        <v>25.263784999999999</v>
      </c>
      <c r="AE9" s="56">
        <v>76.199571669999997</v>
      </c>
    </row>
    <row r="10" spans="1:31">
      <c r="A10" s="8" t="s">
        <v>36</v>
      </c>
      <c r="B10" s="8" t="s">
        <v>1598</v>
      </c>
      <c r="C10" s="8" t="s">
        <v>1605</v>
      </c>
      <c r="D10" s="9" t="s">
        <v>1611</v>
      </c>
      <c r="E10" s="8" t="s">
        <v>1612</v>
      </c>
      <c r="F10" s="8">
        <v>116.47</v>
      </c>
      <c r="G10" s="8">
        <v>61</v>
      </c>
      <c r="H10" s="8">
        <v>399</v>
      </c>
      <c r="I10" s="8">
        <v>206</v>
      </c>
      <c r="J10" s="8">
        <v>193</v>
      </c>
      <c r="K10" s="8">
        <v>241</v>
      </c>
      <c r="L10" s="10">
        <f t="shared" si="0"/>
        <v>60.401002506265669</v>
      </c>
      <c r="M10" s="8">
        <v>136</v>
      </c>
      <c r="N10" s="10">
        <f t="shared" si="1"/>
        <v>34.08521303258145</v>
      </c>
      <c r="O10" s="8">
        <v>1.18</v>
      </c>
      <c r="P10" s="8">
        <v>0</v>
      </c>
      <c r="Q10" s="10" t="s">
        <v>408</v>
      </c>
      <c r="R10" s="10" t="s">
        <v>1941</v>
      </c>
      <c r="S10" s="10"/>
      <c r="T10" s="18">
        <v>0</v>
      </c>
      <c r="U10" s="10"/>
      <c r="V10" s="10"/>
      <c r="W10" s="10"/>
      <c r="X10" s="10"/>
      <c r="Y10" s="10"/>
      <c r="Z10" s="10"/>
      <c r="AA10" s="10" t="s">
        <v>412</v>
      </c>
      <c r="AB10" s="18"/>
      <c r="AC10" s="10"/>
      <c r="AD10" s="18"/>
      <c r="AE10" s="18"/>
    </row>
    <row r="11" spans="1:31">
      <c r="A11" s="8" t="s">
        <v>36</v>
      </c>
      <c r="B11" s="8" t="s">
        <v>1598</v>
      </c>
      <c r="C11" s="8" t="s">
        <v>1605</v>
      </c>
      <c r="D11" s="9" t="s">
        <v>1613</v>
      </c>
      <c r="E11" s="8" t="s">
        <v>1614</v>
      </c>
      <c r="F11" s="8">
        <v>189.18</v>
      </c>
      <c r="G11" s="8">
        <v>96</v>
      </c>
      <c r="H11" s="8">
        <v>501</v>
      </c>
      <c r="I11" s="8">
        <v>253</v>
      </c>
      <c r="J11" s="8">
        <v>248</v>
      </c>
      <c r="K11" s="8">
        <v>21</v>
      </c>
      <c r="L11" s="10">
        <f t="shared" si="0"/>
        <v>4.1916167664670656</v>
      </c>
      <c r="M11" s="8">
        <v>249</v>
      </c>
      <c r="N11" s="10">
        <f t="shared" si="1"/>
        <v>49.700598802395206</v>
      </c>
      <c r="O11" s="8">
        <v>2.11</v>
      </c>
      <c r="P11" s="8">
        <v>0</v>
      </c>
      <c r="Q11" s="10" t="s">
        <v>408</v>
      </c>
      <c r="R11" s="10" t="s">
        <v>1941</v>
      </c>
      <c r="S11" s="10"/>
      <c r="T11" s="18">
        <v>15.03</v>
      </c>
      <c r="U11" s="10"/>
      <c r="V11" s="10"/>
      <c r="W11" s="10"/>
      <c r="X11" s="10"/>
      <c r="Y11" s="10"/>
      <c r="Z11" s="10"/>
      <c r="AA11" s="10" t="s">
        <v>412</v>
      </c>
      <c r="AB11" s="18"/>
      <c r="AC11" s="10"/>
      <c r="AD11" s="18"/>
      <c r="AE11" s="18"/>
    </row>
    <row r="12" spans="1:31">
      <c r="A12" s="8" t="s">
        <v>36</v>
      </c>
      <c r="B12" s="8" t="s">
        <v>1598</v>
      </c>
      <c r="C12" s="8" t="s">
        <v>1605</v>
      </c>
      <c r="D12" s="9" t="s">
        <v>1615</v>
      </c>
      <c r="E12" s="8" t="s">
        <v>1616</v>
      </c>
      <c r="F12" s="8">
        <v>483.1</v>
      </c>
      <c r="G12" s="8">
        <v>128</v>
      </c>
      <c r="H12" s="8">
        <v>687</v>
      </c>
      <c r="I12" s="8">
        <v>348</v>
      </c>
      <c r="J12" s="8">
        <v>339</v>
      </c>
      <c r="K12" s="8">
        <v>114</v>
      </c>
      <c r="L12" s="10">
        <f t="shared" si="0"/>
        <v>16.593886462882097</v>
      </c>
      <c r="M12" s="8">
        <v>103</v>
      </c>
      <c r="N12" s="10">
        <f t="shared" si="1"/>
        <v>14.992721979621543</v>
      </c>
      <c r="O12" s="8">
        <v>22.32</v>
      </c>
      <c r="P12" s="8">
        <v>219.55</v>
      </c>
      <c r="Q12" s="10" t="s">
        <v>408</v>
      </c>
      <c r="R12" s="10" t="s">
        <v>1941</v>
      </c>
      <c r="S12" s="10"/>
      <c r="T12" s="18">
        <v>4.71</v>
      </c>
      <c r="U12" s="10"/>
      <c r="V12" s="10"/>
      <c r="W12" s="10"/>
      <c r="X12" s="10"/>
      <c r="Y12" s="10"/>
      <c r="Z12" s="10"/>
      <c r="AA12" s="10" t="s">
        <v>412</v>
      </c>
      <c r="AB12" s="18"/>
      <c r="AC12" s="10"/>
      <c r="AD12" s="18"/>
      <c r="AE12" s="18"/>
    </row>
    <row r="13" spans="1:31">
      <c r="A13" s="8" t="s">
        <v>36</v>
      </c>
      <c r="B13" s="8" t="s">
        <v>1598</v>
      </c>
      <c r="C13" s="8" t="s">
        <v>1605</v>
      </c>
      <c r="D13" s="9" t="s">
        <v>1617</v>
      </c>
      <c r="E13" s="8" t="s">
        <v>1618</v>
      </c>
      <c r="F13" s="8">
        <v>328.01</v>
      </c>
      <c r="G13" s="8">
        <v>60</v>
      </c>
      <c r="H13" s="8">
        <v>285</v>
      </c>
      <c r="I13" s="8">
        <v>156</v>
      </c>
      <c r="J13" s="8">
        <v>129</v>
      </c>
      <c r="K13" s="8">
        <v>59</v>
      </c>
      <c r="L13" s="10">
        <f t="shared" si="0"/>
        <v>20.701754385964914</v>
      </c>
      <c r="M13" s="8">
        <v>174</v>
      </c>
      <c r="N13" s="10">
        <f t="shared" si="1"/>
        <v>61.05263157894737</v>
      </c>
      <c r="O13" s="8">
        <v>6.45</v>
      </c>
      <c r="P13" s="8">
        <v>138.56</v>
      </c>
      <c r="Q13" s="10" t="s">
        <v>408</v>
      </c>
      <c r="R13" s="10" t="s">
        <v>1941</v>
      </c>
      <c r="S13" s="10"/>
      <c r="T13" s="18">
        <v>0.32</v>
      </c>
      <c r="U13" s="10"/>
      <c r="V13" s="10"/>
      <c r="W13" s="10"/>
      <c r="X13" s="10"/>
      <c r="Y13" s="10"/>
      <c r="Z13" s="10"/>
      <c r="AA13" s="10" t="s">
        <v>412</v>
      </c>
      <c r="AB13" s="18"/>
      <c r="AC13" s="10"/>
      <c r="AD13" s="26"/>
      <c r="AE13" s="26"/>
    </row>
    <row r="14" spans="1:31">
      <c r="A14" s="8" t="s">
        <v>36</v>
      </c>
      <c r="B14" s="8" t="s">
        <v>1598</v>
      </c>
      <c r="C14" s="8" t="s">
        <v>1605</v>
      </c>
      <c r="D14" s="9" t="s">
        <v>1619</v>
      </c>
      <c r="E14" s="8" t="s">
        <v>1620</v>
      </c>
      <c r="F14" s="8">
        <v>452.97</v>
      </c>
      <c r="G14" s="8">
        <v>72</v>
      </c>
      <c r="H14" s="8">
        <v>402</v>
      </c>
      <c r="I14" s="8">
        <v>209</v>
      </c>
      <c r="J14" s="8">
        <v>193</v>
      </c>
      <c r="K14" s="8">
        <v>189</v>
      </c>
      <c r="L14" s="10">
        <f t="shared" si="0"/>
        <v>47.014925373134332</v>
      </c>
      <c r="M14" s="8">
        <v>111</v>
      </c>
      <c r="N14" s="10">
        <f t="shared" si="1"/>
        <v>27.611940298507463</v>
      </c>
      <c r="O14" s="8">
        <v>1.85</v>
      </c>
      <c r="P14" s="8">
        <v>0</v>
      </c>
      <c r="Q14" s="10" t="s">
        <v>408</v>
      </c>
      <c r="R14" s="10" t="s">
        <v>1941</v>
      </c>
      <c r="S14" s="10"/>
      <c r="T14" s="18">
        <v>1.96</v>
      </c>
      <c r="U14" s="10"/>
      <c r="V14" s="10"/>
      <c r="W14" s="10"/>
      <c r="X14" s="10"/>
      <c r="Y14" s="10"/>
      <c r="Z14" s="10"/>
      <c r="AA14" s="10" t="s">
        <v>412</v>
      </c>
      <c r="AB14" s="18"/>
      <c r="AC14" s="10"/>
      <c r="AD14" s="26"/>
      <c r="AE14" s="26"/>
    </row>
    <row r="15" spans="1:31">
      <c r="A15" s="8" t="s">
        <v>36</v>
      </c>
      <c r="B15" s="8" t="s">
        <v>1598</v>
      </c>
      <c r="C15" s="8" t="s">
        <v>1605</v>
      </c>
      <c r="D15" s="9" t="s">
        <v>1621</v>
      </c>
      <c r="E15" s="8" t="s">
        <v>1622</v>
      </c>
      <c r="F15" s="8">
        <v>316.58</v>
      </c>
      <c r="G15" s="8">
        <v>62</v>
      </c>
      <c r="H15" s="8">
        <v>389</v>
      </c>
      <c r="I15" s="8">
        <v>204</v>
      </c>
      <c r="J15" s="8">
        <v>185</v>
      </c>
      <c r="K15" s="8">
        <v>17</v>
      </c>
      <c r="L15" s="10">
        <f t="shared" si="0"/>
        <v>4.3701799485861184</v>
      </c>
      <c r="M15" s="8">
        <v>231</v>
      </c>
      <c r="N15" s="10">
        <f t="shared" si="1"/>
        <v>59.383033419023135</v>
      </c>
      <c r="O15" s="8">
        <v>7</v>
      </c>
      <c r="P15" s="8">
        <v>13</v>
      </c>
      <c r="Q15" s="10" t="s">
        <v>408</v>
      </c>
      <c r="R15" s="10" t="s">
        <v>1941</v>
      </c>
      <c r="S15" s="10"/>
      <c r="T15" s="18">
        <v>31.5</v>
      </c>
      <c r="U15" s="10"/>
      <c r="V15" s="10"/>
      <c r="W15" s="10"/>
      <c r="X15" s="10"/>
      <c r="Y15" s="10"/>
      <c r="Z15" s="10"/>
      <c r="AA15" s="10" t="s">
        <v>412</v>
      </c>
      <c r="AB15" s="18"/>
      <c r="AC15" s="10"/>
      <c r="AD15" s="26"/>
      <c r="AE15" s="26"/>
    </row>
    <row r="16" spans="1:31">
      <c r="A16" s="8" t="s">
        <v>36</v>
      </c>
      <c r="B16" s="8" t="s">
        <v>1598</v>
      </c>
      <c r="C16" s="8" t="s">
        <v>1623</v>
      </c>
      <c r="D16" s="9" t="s">
        <v>1624</v>
      </c>
      <c r="E16" s="8" t="s">
        <v>1625</v>
      </c>
      <c r="F16" s="8">
        <v>1107.5</v>
      </c>
      <c r="G16" s="8">
        <v>552</v>
      </c>
      <c r="H16" s="8">
        <v>2997</v>
      </c>
      <c r="I16" s="8">
        <v>1586</v>
      </c>
      <c r="J16" s="8">
        <v>1411</v>
      </c>
      <c r="K16" s="8">
        <v>1027</v>
      </c>
      <c r="L16" s="10">
        <f t="shared" si="0"/>
        <v>34.267600934267598</v>
      </c>
      <c r="M16" s="8">
        <v>148</v>
      </c>
      <c r="N16" s="10">
        <f t="shared" si="1"/>
        <v>4.9382716049382713</v>
      </c>
      <c r="O16" s="8">
        <v>44.72</v>
      </c>
      <c r="P16" s="8">
        <v>0</v>
      </c>
      <c r="Q16" s="50" t="s">
        <v>586</v>
      </c>
      <c r="R16" s="53">
        <v>44593</v>
      </c>
      <c r="S16" s="10"/>
      <c r="T16" s="52">
        <v>46.41</v>
      </c>
      <c r="U16" s="10" t="s">
        <v>408</v>
      </c>
      <c r="V16" s="10"/>
      <c r="W16" s="10"/>
      <c r="X16" s="10"/>
      <c r="Y16" s="10"/>
      <c r="Z16" s="10"/>
      <c r="AA16" s="10" t="s">
        <v>408</v>
      </c>
      <c r="AB16" s="52">
        <v>5</v>
      </c>
      <c r="AC16" s="10"/>
      <c r="AD16" s="52">
        <v>25.169666670000002</v>
      </c>
      <c r="AE16" s="52">
        <v>76.140979999999999</v>
      </c>
    </row>
    <row r="17" spans="1:31">
      <c r="A17" s="8" t="s">
        <v>36</v>
      </c>
      <c r="B17" s="8" t="s">
        <v>1598</v>
      </c>
      <c r="C17" s="8" t="s">
        <v>1623</v>
      </c>
      <c r="D17" s="9" t="s">
        <v>1626</v>
      </c>
      <c r="E17" s="8" t="s">
        <v>1627</v>
      </c>
      <c r="F17" s="8">
        <v>254.6</v>
      </c>
      <c r="G17" s="8">
        <v>177</v>
      </c>
      <c r="H17" s="8">
        <v>1014</v>
      </c>
      <c r="I17" s="8">
        <v>544</v>
      </c>
      <c r="J17" s="8">
        <v>470</v>
      </c>
      <c r="K17" s="8">
        <v>300</v>
      </c>
      <c r="L17" s="10">
        <f t="shared" si="0"/>
        <v>29.585798816568047</v>
      </c>
      <c r="M17" s="8">
        <v>115</v>
      </c>
      <c r="N17" s="10">
        <f t="shared" si="1"/>
        <v>11.341222879684418</v>
      </c>
      <c r="O17" s="8">
        <v>5.72</v>
      </c>
      <c r="P17" s="8">
        <v>0</v>
      </c>
      <c r="Q17" s="50" t="s">
        <v>586</v>
      </c>
      <c r="R17" s="83">
        <v>44630</v>
      </c>
      <c r="S17" s="10"/>
      <c r="T17" s="35">
        <v>12</v>
      </c>
      <c r="U17" s="10" t="s">
        <v>408</v>
      </c>
      <c r="V17" s="10"/>
      <c r="W17" s="10"/>
      <c r="X17" s="10"/>
      <c r="Y17" s="10"/>
      <c r="Z17" s="10"/>
      <c r="AA17" s="10" t="s">
        <v>408</v>
      </c>
      <c r="AB17" s="33">
        <v>5</v>
      </c>
      <c r="AC17" s="10"/>
      <c r="AD17" s="35">
        <v>25.185849000000001</v>
      </c>
      <c r="AE17" s="35">
        <v>76.168127699999999</v>
      </c>
    </row>
    <row r="18" spans="1:31">
      <c r="A18" s="8" t="s">
        <v>36</v>
      </c>
      <c r="B18" s="8" t="s">
        <v>1598</v>
      </c>
      <c r="C18" s="8" t="s">
        <v>1623</v>
      </c>
      <c r="D18" s="9" t="s">
        <v>1628</v>
      </c>
      <c r="E18" s="8" t="s">
        <v>1629</v>
      </c>
      <c r="F18" s="8">
        <v>215.43</v>
      </c>
      <c r="G18" s="8">
        <v>74</v>
      </c>
      <c r="H18" s="8">
        <v>424</v>
      </c>
      <c r="I18" s="8">
        <v>221</v>
      </c>
      <c r="J18" s="8">
        <v>203</v>
      </c>
      <c r="K18" s="8">
        <v>175</v>
      </c>
      <c r="L18" s="10">
        <f t="shared" si="0"/>
        <v>41.273584905660378</v>
      </c>
      <c r="M18" s="8">
        <v>231</v>
      </c>
      <c r="N18" s="10">
        <f t="shared" si="1"/>
        <v>54.481132075471692</v>
      </c>
      <c r="O18" s="8">
        <v>2.0499999999999998</v>
      </c>
      <c r="P18" s="8">
        <v>0</v>
      </c>
      <c r="Q18" s="50" t="s">
        <v>586</v>
      </c>
      <c r="R18" s="53">
        <v>44593</v>
      </c>
      <c r="S18" s="10"/>
      <c r="T18" s="33">
        <v>21</v>
      </c>
      <c r="U18" s="10" t="s">
        <v>408</v>
      </c>
      <c r="V18" s="10"/>
      <c r="W18" s="10"/>
      <c r="X18" s="10"/>
      <c r="Y18" s="10"/>
      <c r="Z18" s="10"/>
      <c r="AA18" s="10" t="s">
        <v>408</v>
      </c>
      <c r="AB18" s="34">
        <v>13</v>
      </c>
      <c r="AC18" s="10"/>
      <c r="AD18" s="37">
        <v>25.083843000000002</v>
      </c>
      <c r="AE18" s="37">
        <v>76.090658000000005</v>
      </c>
    </row>
    <row r="19" spans="1:31">
      <c r="A19" s="8" t="s">
        <v>36</v>
      </c>
      <c r="B19" s="8" t="s">
        <v>1598</v>
      </c>
      <c r="C19" s="8" t="s">
        <v>1630</v>
      </c>
      <c r="D19" s="9" t="s">
        <v>1631</v>
      </c>
      <c r="E19" s="8" t="s">
        <v>1632</v>
      </c>
      <c r="F19" s="8">
        <v>445</v>
      </c>
      <c r="G19" s="8">
        <v>205</v>
      </c>
      <c r="H19" s="8">
        <v>1130</v>
      </c>
      <c r="I19" s="8">
        <v>558</v>
      </c>
      <c r="J19" s="8">
        <v>572</v>
      </c>
      <c r="K19" s="8">
        <v>369</v>
      </c>
      <c r="L19" s="10">
        <f t="shared" si="0"/>
        <v>32.654867256637168</v>
      </c>
      <c r="M19" s="8">
        <v>0</v>
      </c>
      <c r="N19" s="10">
        <f t="shared" si="1"/>
        <v>0</v>
      </c>
      <c r="O19" s="8">
        <v>17.71</v>
      </c>
      <c r="P19" s="8">
        <v>0</v>
      </c>
      <c r="Q19" s="37" t="s">
        <v>408</v>
      </c>
      <c r="R19" s="83">
        <v>44625</v>
      </c>
      <c r="S19" s="10"/>
      <c r="T19" s="10">
        <v>11</v>
      </c>
      <c r="U19" s="10"/>
      <c r="V19" s="10"/>
      <c r="W19" s="10"/>
      <c r="X19" s="10"/>
      <c r="Y19" s="10"/>
      <c r="Z19" s="10"/>
      <c r="AA19" s="10" t="s">
        <v>408</v>
      </c>
      <c r="AB19" s="10">
        <v>6</v>
      </c>
      <c r="AC19" s="10"/>
      <c r="AD19" s="35">
        <v>25.351085999999999</v>
      </c>
      <c r="AE19" s="35">
        <v>76.242187999999999</v>
      </c>
    </row>
    <row r="20" spans="1:31">
      <c r="A20" s="8" t="s">
        <v>36</v>
      </c>
      <c r="B20" s="8" t="s">
        <v>1598</v>
      </c>
      <c r="C20" s="8" t="s">
        <v>1630</v>
      </c>
      <c r="D20" s="9" t="s">
        <v>1633</v>
      </c>
      <c r="E20" s="8" t="s">
        <v>1634</v>
      </c>
      <c r="F20" s="8">
        <v>751.08</v>
      </c>
      <c r="G20" s="8">
        <v>178</v>
      </c>
      <c r="H20" s="8">
        <v>1017</v>
      </c>
      <c r="I20" s="8">
        <v>537</v>
      </c>
      <c r="J20" s="8">
        <v>480</v>
      </c>
      <c r="K20" s="8">
        <v>281</v>
      </c>
      <c r="L20" s="10">
        <f t="shared" si="0"/>
        <v>27.630285152409044</v>
      </c>
      <c r="M20" s="8">
        <v>303</v>
      </c>
      <c r="N20" s="10">
        <f t="shared" si="1"/>
        <v>29.793510324483773</v>
      </c>
      <c r="O20" s="8">
        <v>29.25</v>
      </c>
      <c r="P20" s="8">
        <v>0</v>
      </c>
      <c r="Q20" s="37" t="s">
        <v>408</v>
      </c>
      <c r="R20" s="83">
        <v>44625</v>
      </c>
      <c r="S20" s="10"/>
      <c r="T20" s="10"/>
      <c r="U20" s="10"/>
      <c r="V20" s="10"/>
      <c r="W20" s="10"/>
      <c r="X20" s="10"/>
      <c r="Y20" s="10"/>
      <c r="Z20" s="10"/>
      <c r="AA20" s="10" t="s">
        <v>412</v>
      </c>
      <c r="AB20" s="10"/>
      <c r="AC20" s="10"/>
      <c r="AD20" s="37">
        <v>25.083843000000002</v>
      </c>
      <c r="AE20" s="37">
        <v>76.090658000000005</v>
      </c>
    </row>
    <row r="21" spans="1:31">
      <c r="A21" s="8" t="s">
        <v>36</v>
      </c>
      <c r="B21" s="8" t="s">
        <v>1598</v>
      </c>
      <c r="C21" s="8" t="s">
        <v>1630</v>
      </c>
      <c r="D21" s="9" t="s">
        <v>90</v>
      </c>
      <c r="E21" s="8" t="s">
        <v>1635</v>
      </c>
      <c r="F21" s="8">
        <v>231.6</v>
      </c>
      <c r="G21" s="8">
        <v>78</v>
      </c>
      <c r="H21" s="8">
        <v>387</v>
      </c>
      <c r="I21" s="8">
        <v>202</v>
      </c>
      <c r="J21" s="8">
        <v>185</v>
      </c>
      <c r="K21" s="8">
        <v>202</v>
      </c>
      <c r="L21" s="10">
        <f t="shared" si="0"/>
        <v>52.196382428940566</v>
      </c>
      <c r="M21" s="8">
        <v>0</v>
      </c>
      <c r="N21" s="10">
        <f t="shared" si="1"/>
        <v>0</v>
      </c>
      <c r="O21" s="8">
        <v>3.08</v>
      </c>
      <c r="P21" s="8">
        <v>0</v>
      </c>
      <c r="Q21" s="37" t="s">
        <v>408</v>
      </c>
      <c r="R21" s="83">
        <v>44625</v>
      </c>
      <c r="S21" s="10"/>
      <c r="T21" s="10"/>
      <c r="U21" s="10"/>
      <c r="V21" s="10"/>
      <c r="W21" s="10"/>
      <c r="X21" s="10"/>
      <c r="Y21" s="10"/>
      <c r="Z21" s="10"/>
      <c r="AA21" s="10" t="s">
        <v>412</v>
      </c>
      <c r="AB21" s="10"/>
      <c r="AC21" s="10"/>
      <c r="AD21" s="39"/>
      <c r="AE21" s="39"/>
    </row>
    <row r="22" spans="1:31">
      <c r="A22" s="8" t="s">
        <v>36</v>
      </c>
      <c r="B22" s="8" t="s">
        <v>1598</v>
      </c>
      <c r="C22" s="8" t="s">
        <v>1630</v>
      </c>
      <c r="D22" s="9" t="s">
        <v>1636</v>
      </c>
      <c r="E22" s="8" t="s">
        <v>1637</v>
      </c>
      <c r="F22" s="8">
        <v>544.41999999999996</v>
      </c>
      <c r="G22" s="8">
        <v>212</v>
      </c>
      <c r="H22" s="8">
        <v>962</v>
      </c>
      <c r="I22" s="8">
        <v>489</v>
      </c>
      <c r="J22" s="8">
        <v>473</v>
      </c>
      <c r="K22" s="8">
        <v>182</v>
      </c>
      <c r="L22" s="10">
        <f t="shared" si="0"/>
        <v>18.918918918918919</v>
      </c>
      <c r="M22" s="8">
        <v>430</v>
      </c>
      <c r="N22" s="10">
        <f t="shared" si="1"/>
        <v>44.698544698544701</v>
      </c>
      <c r="O22" s="8">
        <v>20.190000000000001</v>
      </c>
      <c r="P22" s="8">
        <v>0</v>
      </c>
      <c r="Q22" s="37" t="s">
        <v>408</v>
      </c>
      <c r="R22" s="83">
        <v>44625</v>
      </c>
      <c r="S22" s="10"/>
      <c r="T22" s="10"/>
      <c r="U22" s="10"/>
      <c r="V22" s="10"/>
      <c r="W22" s="10"/>
      <c r="X22" s="10"/>
      <c r="Y22" s="10"/>
      <c r="Z22" s="10"/>
      <c r="AA22" s="10" t="s">
        <v>412</v>
      </c>
      <c r="AB22" s="10"/>
      <c r="AC22" s="10"/>
      <c r="AD22" s="25"/>
      <c r="AE22" s="25"/>
    </row>
    <row r="23" spans="1:31">
      <c r="A23" s="8" t="s">
        <v>36</v>
      </c>
      <c r="B23" s="8" t="s">
        <v>1598</v>
      </c>
      <c r="C23" s="8" t="s">
        <v>1630</v>
      </c>
      <c r="D23" s="9" t="s">
        <v>1638</v>
      </c>
      <c r="E23" s="8" t="s">
        <v>1639</v>
      </c>
      <c r="F23" s="8">
        <v>395.53</v>
      </c>
      <c r="G23" s="8">
        <v>181</v>
      </c>
      <c r="H23" s="8">
        <v>807</v>
      </c>
      <c r="I23" s="8">
        <v>412</v>
      </c>
      <c r="J23" s="8">
        <v>395</v>
      </c>
      <c r="K23" s="8">
        <v>279</v>
      </c>
      <c r="L23" s="10">
        <f t="shared" si="0"/>
        <v>34.572490706319705</v>
      </c>
      <c r="M23" s="8">
        <v>193</v>
      </c>
      <c r="N23" s="10">
        <f t="shared" si="1"/>
        <v>23.915737298636927</v>
      </c>
      <c r="O23" s="8">
        <v>23.75</v>
      </c>
      <c r="P23" s="8">
        <v>0</v>
      </c>
      <c r="Q23" s="37" t="s">
        <v>408</v>
      </c>
      <c r="R23" s="83">
        <v>44625</v>
      </c>
      <c r="S23" s="10"/>
      <c r="T23" s="10"/>
      <c r="U23" s="10"/>
      <c r="V23" s="10"/>
      <c r="W23" s="10"/>
      <c r="X23" s="10"/>
      <c r="Y23" s="10"/>
      <c r="Z23" s="10"/>
      <c r="AA23" s="10" t="s">
        <v>412</v>
      </c>
      <c r="AB23" s="10"/>
      <c r="AC23" s="10"/>
      <c r="AD23" s="25"/>
      <c r="AE23" s="25"/>
    </row>
    <row r="24" spans="1:31">
      <c r="A24" s="8" t="s">
        <v>36</v>
      </c>
      <c r="B24" s="8" t="s">
        <v>1598</v>
      </c>
      <c r="C24" s="8" t="s">
        <v>1640</v>
      </c>
      <c r="D24" s="9" t="s">
        <v>1641</v>
      </c>
      <c r="E24" s="8" t="s">
        <v>1642</v>
      </c>
      <c r="F24" s="8">
        <v>2082.87</v>
      </c>
      <c r="G24" s="8">
        <v>1088</v>
      </c>
      <c r="H24" s="8">
        <v>5178</v>
      </c>
      <c r="I24" s="8">
        <v>2632</v>
      </c>
      <c r="J24" s="8">
        <v>2546</v>
      </c>
      <c r="K24" s="8">
        <v>1533</v>
      </c>
      <c r="L24" s="10">
        <f t="shared" si="0"/>
        <v>29.606025492468135</v>
      </c>
      <c r="M24" s="8">
        <v>285</v>
      </c>
      <c r="N24" s="10">
        <f t="shared" si="1"/>
        <v>5.5040556199304751</v>
      </c>
      <c r="O24" s="8">
        <v>71.73</v>
      </c>
      <c r="P24" s="8">
        <v>350.49</v>
      </c>
      <c r="Q24" s="13" t="s">
        <v>408</v>
      </c>
      <c r="R24" s="60">
        <v>45142</v>
      </c>
      <c r="S24" s="10"/>
      <c r="T24" s="10">
        <v>51</v>
      </c>
      <c r="U24" s="10"/>
      <c r="V24" s="10"/>
      <c r="W24" s="10"/>
      <c r="X24" s="10"/>
      <c r="Y24" s="10"/>
      <c r="Z24" s="10"/>
      <c r="AA24" s="10" t="s">
        <v>408</v>
      </c>
      <c r="AB24" s="10">
        <v>85</v>
      </c>
      <c r="AC24" s="10"/>
      <c r="AD24" s="13">
        <v>25.383692</v>
      </c>
      <c r="AE24" s="13">
        <v>76.316642999999999</v>
      </c>
    </row>
    <row r="25" spans="1:31">
      <c r="A25" s="8" t="s">
        <v>36</v>
      </c>
      <c r="B25" s="8" t="s">
        <v>1598</v>
      </c>
      <c r="C25" s="8" t="s">
        <v>1643</v>
      </c>
      <c r="D25" s="9" t="s">
        <v>1644</v>
      </c>
      <c r="E25" s="8" t="s">
        <v>1645</v>
      </c>
      <c r="F25" s="8">
        <v>1555.52</v>
      </c>
      <c r="G25" s="8">
        <v>446</v>
      </c>
      <c r="H25" s="8">
        <v>2417</v>
      </c>
      <c r="I25" s="8">
        <v>1243</v>
      </c>
      <c r="J25" s="8">
        <v>1174</v>
      </c>
      <c r="K25" s="8">
        <v>551</v>
      </c>
      <c r="L25" s="10">
        <f t="shared" si="0"/>
        <v>22.796855606123291</v>
      </c>
      <c r="M25" s="8">
        <v>31</v>
      </c>
      <c r="N25" s="10">
        <f t="shared" si="1"/>
        <v>1.2825817128671908</v>
      </c>
      <c r="O25" s="8">
        <v>42.21</v>
      </c>
      <c r="P25" s="8">
        <v>0</v>
      </c>
      <c r="Q25" s="51" t="s">
        <v>586</v>
      </c>
      <c r="R25" s="83">
        <v>44600</v>
      </c>
      <c r="S25" s="10"/>
      <c r="T25" s="10">
        <v>34</v>
      </c>
      <c r="U25" s="10"/>
      <c r="V25" s="10"/>
      <c r="W25" s="10"/>
      <c r="X25" s="10"/>
      <c r="Y25" s="10"/>
      <c r="Z25" s="10"/>
      <c r="AA25" s="10" t="s">
        <v>408</v>
      </c>
      <c r="AB25" s="10">
        <v>14</v>
      </c>
      <c r="AC25" s="10"/>
      <c r="AD25" s="35">
        <v>25.118366999999999</v>
      </c>
      <c r="AE25" s="35">
        <v>76.072509600000004</v>
      </c>
    </row>
    <row r="26" spans="1:31">
      <c r="A26" s="8" t="s">
        <v>36</v>
      </c>
      <c r="B26" s="8" t="s">
        <v>1598</v>
      </c>
      <c r="C26" s="8" t="s">
        <v>1643</v>
      </c>
      <c r="D26" s="9" t="s">
        <v>1646</v>
      </c>
      <c r="E26" s="8" t="s">
        <v>1647</v>
      </c>
      <c r="F26" s="8">
        <v>300</v>
      </c>
      <c r="G26" s="8">
        <v>36</v>
      </c>
      <c r="H26" s="8">
        <v>198</v>
      </c>
      <c r="I26" s="8">
        <v>95</v>
      </c>
      <c r="J26" s="8">
        <v>103</v>
      </c>
      <c r="K26" s="8">
        <v>4</v>
      </c>
      <c r="L26" s="10">
        <f t="shared" si="0"/>
        <v>2.0202020202020203</v>
      </c>
      <c r="M26" s="8">
        <v>0</v>
      </c>
      <c r="N26" s="10">
        <f t="shared" si="1"/>
        <v>0</v>
      </c>
      <c r="O26" s="8">
        <v>0</v>
      </c>
      <c r="P26" s="8">
        <v>0</v>
      </c>
      <c r="Q26" s="51" t="s">
        <v>586</v>
      </c>
      <c r="R26" s="83">
        <v>44600</v>
      </c>
      <c r="S26" s="10"/>
      <c r="T26" s="10"/>
      <c r="U26" s="10"/>
      <c r="V26" s="10"/>
      <c r="W26" s="10"/>
      <c r="X26" s="10"/>
      <c r="Y26" s="10"/>
      <c r="Z26" s="10"/>
      <c r="AA26" s="10" t="s">
        <v>412</v>
      </c>
      <c r="AB26" s="10"/>
      <c r="AC26" s="10"/>
      <c r="AD26" s="56">
        <v>25.1111</v>
      </c>
      <c r="AE26" s="56" t="s">
        <v>1942</v>
      </c>
    </row>
    <row r="27" spans="1:31">
      <c r="A27" s="8" t="s">
        <v>36</v>
      </c>
      <c r="B27" s="8" t="s">
        <v>1598</v>
      </c>
      <c r="C27" s="8" t="s">
        <v>1643</v>
      </c>
      <c r="D27" s="9" t="s">
        <v>1648</v>
      </c>
      <c r="E27" s="8" t="s">
        <v>1649</v>
      </c>
      <c r="F27" s="8">
        <v>753.39</v>
      </c>
      <c r="G27" s="8">
        <v>116</v>
      </c>
      <c r="H27" s="8">
        <v>595</v>
      </c>
      <c r="I27" s="8">
        <v>309</v>
      </c>
      <c r="J27" s="8">
        <v>286</v>
      </c>
      <c r="K27" s="8">
        <v>263</v>
      </c>
      <c r="L27" s="10">
        <f t="shared" si="0"/>
        <v>44.201680672268907</v>
      </c>
      <c r="M27" s="8">
        <v>0</v>
      </c>
      <c r="N27" s="10">
        <f t="shared" si="1"/>
        <v>0</v>
      </c>
      <c r="O27" s="8">
        <v>0</v>
      </c>
      <c r="P27" s="8">
        <v>0</v>
      </c>
      <c r="Q27" s="51" t="s">
        <v>586</v>
      </c>
      <c r="R27" s="83">
        <v>44600</v>
      </c>
      <c r="S27" s="10"/>
      <c r="T27" s="10"/>
      <c r="U27" s="10"/>
      <c r="V27" s="10"/>
      <c r="W27" s="10"/>
      <c r="X27" s="10"/>
      <c r="Y27" s="10"/>
      <c r="Z27" s="10"/>
      <c r="AA27" s="10" t="s">
        <v>412</v>
      </c>
      <c r="AB27" s="10"/>
      <c r="AC27" s="10"/>
      <c r="AD27" s="10"/>
      <c r="AE27" s="10"/>
    </row>
    <row r="28" spans="1:31">
      <c r="A28" s="8" t="s">
        <v>36</v>
      </c>
      <c r="B28" s="8" t="s">
        <v>1598</v>
      </c>
      <c r="C28" s="8" t="s">
        <v>1643</v>
      </c>
      <c r="D28" s="9" t="s">
        <v>1650</v>
      </c>
      <c r="E28" s="8" t="s">
        <v>1651</v>
      </c>
      <c r="F28" s="8">
        <v>286.11</v>
      </c>
      <c r="G28" s="8">
        <v>51</v>
      </c>
      <c r="H28" s="8">
        <v>255</v>
      </c>
      <c r="I28" s="8">
        <v>135</v>
      </c>
      <c r="J28" s="8">
        <v>120</v>
      </c>
      <c r="K28" s="8">
        <v>82</v>
      </c>
      <c r="L28" s="10">
        <f t="shared" si="0"/>
        <v>32.156862745098039</v>
      </c>
      <c r="M28" s="8">
        <v>140</v>
      </c>
      <c r="N28" s="10">
        <f t="shared" si="1"/>
        <v>54.901960784313729</v>
      </c>
      <c r="O28" s="8">
        <v>4.5599999999999996</v>
      </c>
      <c r="P28" s="8">
        <v>15.29</v>
      </c>
      <c r="Q28" s="51" t="s">
        <v>586</v>
      </c>
      <c r="R28" s="83">
        <v>44600</v>
      </c>
      <c r="S28" s="10"/>
      <c r="T28" s="10"/>
      <c r="U28" s="10"/>
      <c r="V28" s="10"/>
      <c r="W28" s="10"/>
      <c r="X28" s="10"/>
      <c r="Y28" s="10"/>
      <c r="Z28" s="10"/>
      <c r="AA28" s="10" t="s">
        <v>412</v>
      </c>
      <c r="AB28" s="10"/>
      <c r="AC28" s="10"/>
      <c r="AD28" s="10"/>
      <c r="AE28" s="10"/>
    </row>
    <row r="29" spans="1:31">
      <c r="A29" s="8" t="s">
        <v>36</v>
      </c>
      <c r="B29" s="8" t="s">
        <v>1598</v>
      </c>
      <c r="C29" s="8" t="s">
        <v>1643</v>
      </c>
      <c r="D29" s="9" t="s">
        <v>1652</v>
      </c>
      <c r="E29" s="8" t="s">
        <v>1653</v>
      </c>
      <c r="F29" s="8">
        <v>259.77999999999997</v>
      </c>
      <c r="G29" s="8">
        <v>9</v>
      </c>
      <c r="H29" s="8">
        <v>35</v>
      </c>
      <c r="I29" s="8">
        <v>19</v>
      </c>
      <c r="J29" s="8">
        <v>16</v>
      </c>
      <c r="K29" s="8">
        <v>2</v>
      </c>
      <c r="L29" s="10">
        <f t="shared" si="0"/>
        <v>5.7142857142857144</v>
      </c>
      <c r="M29" s="8">
        <v>12</v>
      </c>
      <c r="N29" s="10">
        <f t="shared" si="1"/>
        <v>34.285714285714285</v>
      </c>
      <c r="O29" s="8">
        <v>0.06</v>
      </c>
      <c r="P29" s="8">
        <v>0</v>
      </c>
      <c r="Q29" s="51" t="s">
        <v>586</v>
      </c>
      <c r="R29" s="83">
        <v>44600</v>
      </c>
      <c r="S29" s="10"/>
      <c r="T29" s="10"/>
      <c r="U29" s="10"/>
      <c r="V29" s="10"/>
      <c r="W29" s="10"/>
      <c r="X29" s="10"/>
      <c r="Y29" s="10"/>
      <c r="Z29" s="10"/>
      <c r="AA29" s="10" t="s">
        <v>412</v>
      </c>
      <c r="AB29" s="10"/>
      <c r="AC29" s="10"/>
      <c r="AD29" s="10"/>
      <c r="AE29" s="10"/>
    </row>
    <row r="30" spans="1:31">
      <c r="A30" s="8" t="s">
        <v>36</v>
      </c>
      <c r="B30" s="8" t="s">
        <v>1598</v>
      </c>
      <c r="C30" s="8" t="s">
        <v>1654</v>
      </c>
      <c r="D30" s="9" t="s">
        <v>1655</v>
      </c>
      <c r="E30" s="8" t="s">
        <v>1656</v>
      </c>
      <c r="F30" s="8">
        <v>935.69</v>
      </c>
      <c r="G30" s="8">
        <v>226</v>
      </c>
      <c r="H30" s="8">
        <v>1245</v>
      </c>
      <c r="I30" s="8">
        <v>640</v>
      </c>
      <c r="J30" s="8">
        <v>605</v>
      </c>
      <c r="K30" s="8">
        <v>297</v>
      </c>
      <c r="L30" s="10">
        <f t="shared" si="0"/>
        <v>23.85542168674699</v>
      </c>
      <c r="M30" s="8">
        <v>455</v>
      </c>
      <c r="N30" s="10">
        <f t="shared" si="1"/>
        <v>36.546184738955823</v>
      </c>
      <c r="O30" s="8">
        <v>39.6</v>
      </c>
      <c r="P30" s="8">
        <v>0</v>
      </c>
      <c r="Q30" s="51" t="s">
        <v>586</v>
      </c>
      <c r="R30" s="83">
        <v>44656</v>
      </c>
      <c r="S30" s="10"/>
      <c r="T30" s="10">
        <v>4</v>
      </c>
      <c r="U30" s="10"/>
      <c r="V30" s="10"/>
      <c r="W30" s="10"/>
      <c r="X30" s="10"/>
      <c r="Y30" s="10"/>
      <c r="Z30" s="10"/>
      <c r="AA30" s="10" t="s">
        <v>408</v>
      </c>
      <c r="AB30" s="10">
        <v>10</v>
      </c>
      <c r="AC30" s="10"/>
      <c r="AD30" s="52">
        <v>25.143594</v>
      </c>
      <c r="AE30" s="52">
        <v>76172196</v>
      </c>
    </row>
    <row r="31" spans="1:31">
      <c r="A31" s="8" t="s">
        <v>36</v>
      </c>
      <c r="B31" s="8" t="s">
        <v>1598</v>
      </c>
      <c r="C31" s="8" t="s">
        <v>1654</v>
      </c>
      <c r="D31" s="9" t="s">
        <v>1657</v>
      </c>
      <c r="E31" s="8" t="s">
        <v>1658</v>
      </c>
      <c r="F31" s="8">
        <v>330.52</v>
      </c>
      <c r="G31" s="8">
        <v>199</v>
      </c>
      <c r="H31" s="8">
        <v>1097</v>
      </c>
      <c r="I31" s="8">
        <v>565</v>
      </c>
      <c r="J31" s="8">
        <v>532</v>
      </c>
      <c r="K31" s="8">
        <v>186</v>
      </c>
      <c r="L31" s="10">
        <f t="shared" si="0"/>
        <v>16.955332725615317</v>
      </c>
      <c r="M31" s="8">
        <v>233</v>
      </c>
      <c r="N31" s="10">
        <f t="shared" si="1"/>
        <v>21.239744758432089</v>
      </c>
      <c r="O31" s="8">
        <v>12.72</v>
      </c>
      <c r="P31" s="8">
        <v>26.94</v>
      </c>
      <c r="Q31" s="51" t="s">
        <v>586</v>
      </c>
      <c r="R31" s="83">
        <v>44656</v>
      </c>
      <c r="S31" s="10"/>
      <c r="T31" s="10">
        <v>7</v>
      </c>
      <c r="U31" s="10"/>
      <c r="V31" s="10"/>
      <c r="W31" s="10"/>
      <c r="X31" s="10"/>
      <c r="Y31" s="10"/>
      <c r="Z31" s="10"/>
      <c r="AA31" s="10" t="s">
        <v>408</v>
      </c>
      <c r="AB31" s="10">
        <v>11</v>
      </c>
      <c r="AC31" s="10"/>
      <c r="AD31" s="10"/>
      <c r="AE31" s="10"/>
    </row>
    <row r="32" spans="1:31">
      <c r="A32" s="8" t="s">
        <v>36</v>
      </c>
      <c r="B32" s="8" t="s">
        <v>1598</v>
      </c>
      <c r="C32" s="8" t="s">
        <v>1654</v>
      </c>
      <c r="D32" s="9" t="s">
        <v>1659</v>
      </c>
      <c r="E32" s="8" t="s">
        <v>1660</v>
      </c>
      <c r="F32" s="8">
        <v>467.21</v>
      </c>
      <c r="G32" s="8">
        <v>84</v>
      </c>
      <c r="H32" s="8">
        <v>419</v>
      </c>
      <c r="I32" s="8">
        <v>208</v>
      </c>
      <c r="J32" s="8">
        <v>211</v>
      </c>
      <c r="K32" s="8">
        <v>58</v>
      </c>
      <c r="L32" s="10">
        <f t="shared" si="0"/>
        <v>13.842482100238662</v>
      </c>
      <c r="M32" s="8">
        <v>53</v>
      </c>
      <c r="N32" s="10">
        <f t="shared" si="1"/>
        <v>12.649164677804295</v>
      </c>
      <c r="O32" s="8">
        <v>6.1</v>
      </c>
      <c r="P32" s="8">
        <v>38.729999999999997</v>
      </c>
      <c r="Q32" s="51" t="s">
        <v>586</v>
      </c>
      <c r="R32" s="83">
        <v>44656</v>
      </c>
      <c r="S32" s="10"/>
      <c r="T32" s="10"/>
      <c r="U32" s="10"/>
      <c r="V32" s="10"/>
      <c r="W32" s="10"/>
      <c r="X32" s="10"/>
      <c r="Y32" s="10"/>
      <c r="Z32" s="10"/>
      <c r="AA32" s="10" t="s">
        <v>412</v>
      </c>
      <c r="AB32" s="10"/>
      <c r="AC32" s="10"/>
      <c r="AD32" s="10"/>
      <c r="AE32" s="10"/>
    </row>
    <row r="33" spans="1:31">
      <c r="A33" s="8" t="s">
        <v>36</v>
      </c>
      <c r="B33" s="8" t="s">
        <v>1598</v>
      </c>
      <c r="C33" s="8" t="s">
        <v>1654</v>
      </c>
      <c r="D33" s="9" t="s">
        <v>1661</v>
      </c>
      <c r="E33" s="8" t="s">
        <v>1662</v>
      </c>
      <c r="F33" s="8">
        <v>171.64</v>
      </c>
      <c r="G33" s="8">
        <v>128</v>
      </c>
      <c r="H33" s="8">
        <v>679</v>
      </c>
      <c r="I33" s="8">
        <v>360</v>
      </c>
      <c r="J33" s="8">
        <v>319</v>
      </c>
      <c r="K33" s="8">
        <v>8</v>
      </c>
      <c r="L33" s="10">
        <f t="shared" si="0"/>
        <v>1.1782032400589102</v>
      </c>
      <c r="M33" s="8">
        <v>0</v>
      </c>
      <c r="N33" s="10">
        <f t="shared" si="1"/>
        <v>0</v>
      </c>
      <c r="O33" s="8">
        <v>0</v>
      </c>
      <c r="P33" s="8">
        <v>0</v>
      </c>
      <c r="Q33" s="51" t="s">
        <v>586</v>
      </c>
      <c r="R33" s="83">
        <v>44656</v>
      </c>
      <c r="S33" s="10"/>
      <c r="T33" s="10"/>
      <c r="U33" s="10"/>
      <c r="V33" s="10"/>
      <c r="W33" s="10"/>
      <c r="X33" s="10"/>
      <c r="Y33" s="10"/>
      <c r="Z33" s="10"/>
      <c r="AA33" s="10" t="s">
        <v>412</v>
      </c>
      <c r="AB33" s="10"/>
      <c r="AC33" s="10"/>
      <c r="AD33" s="10"/>
      <c r="AE33" s="10"/>
    </row>
    <row r="34" spans="1:31">
      <c r="A34" s="8" t="s">
        <v>36</v>
      </c>
      <c r="B34" s="8" t="s">
        <v>1598</v>
      </c>
      <c r="C34" s="8" t="s">
        <v>1654</v>
      </c>
      <c r="D34" s="9" t="s">
        <v>1663</v>
      </c>
      <c r="E34" s="8" t="s">
        <v>1664</v>
      </c>
      <c r="F34" s="8">
        <v>326.27</v>
      </c>
      <c r="G34" s="8">
        <v>88</v>
      </c>
      <c r="H34" s="8">
        <v>431</v>
      </c>
      <c r="I34" s="8">
        <v>232</v>
      </c>
      <c r="J34" s="8">
        <v>199</v>
      </c>
      <c r="K34" s="8">
        <v>62</v>
      </c>
      <c r="L34" s="10">
        <f t="shared" si="0"/>
        <v>14.385150812064964</v>
      </c>
      <c r="M34" s="8">
        <v>254</v>
      </c>
      <c r="N34" s="10">
        <f t="shared" si="1"/>
        <v>58.932714617169367</v>
      </c>
      <c r="O34" s="8">
        <v>0</v>
      </c>
      <c r="P34" s="8">
        <v>0</v>
      </c>
      <c r="Q34" s="51" t="s">
        <v>586</v>
      </c>
      <c r="R34" s="83">
        <v>44656</v>
      </c>
      <c r="S34" s="10"/>
      <c r="T34" s="10"/>
      <c r="U34" s="10"/>
      <c r="V34" s="10"/>
      <c r="W34" s="10"/>
      <c r="X34" s="10"/>
      <c r="Y34" s="10"/>
      <c r="Z34" s="10"/>
      <c r="AA34" s="10" t="s">
        <v>412</v>
      </c>
      <c r="AB34" s="10"/>
      <c r="AC34" s="10"/>
      <c r="AD34" s="10"/>
      <c r="AE34" s="10"/>
    </row>
    <row r="35" spans="1:31">
      <c r="A35" s="8" t="s">
        <v>36</v>
      </c>
      <c r="B35" s="8" t="s">
        <v>1598</v>
      </c>
      <c r="C35" s="8" t="s">
        <v>1654</v>
      </c>
      <c r="D35" s="9" t="s">
        <v>1665</v>
      </c>
      <c r="E35" s="8" t="s">
        <v>1666</v>
      </c>
      <c r="F35" s="8">
        <v>285.87</v>
      </c>
      <c r="G35" s="8">
        <v>58</v>
      </c>
      <c r="H35" s="8">
        <v>325</v>
      </c>
      <c r="I35" s="8">
        <v>184</v>
      </c>
      <c r="J35" s="8">
        <v>141</v>
      </c>
      <c r="K35" s="8">
        <v>35</v>
      </c>
      <c r="L35" s="10">
        <f t="shared" si="0"/>
        <v>10.76923076923077</v>
      </c>
      <c r="M35" s="8">
        <v>103</v>
      </c>
      <c r="N35" s="10">
        <f t="shared" si="1"/>
        <v>31.692307692307693</v>
      </c>
      <c r="O35" s="8">
        <v>4.22</v>
      </c>
      <c r="P35" s="8">
        <v>0</v>
      </c>
      <c r="Q35" s="51" t="s">
        <v>586</v>
      </c>
      <c r="R35" s="83">
        <v>44656</v>
      </c>
      <c r="S35" s="10"/>
      <c r="T35" s="10"/>
      <c r="U35" s="10"/>
      <c r="V35" s="10"/>
      <c r="W35" s="10"/>
      <c r="X35" s="10"/>
      <c r="Y35" s="10"/>
      <c r="Z35" s="10"/>
      <c r="AA35" s="10" t="s">
        <v>412</v>
      </c>
      <c r="AB35" s="10"/>
      <c r="AC35" s="10"/>
      <c r="AD35" s="10"/>
      <c r="AE35" s="10"/>
    </row>
    <row r="36" spans="1:31">
      <c r="A36" s="8" t="s">
        <v>36</v>
      </c>
      <c r="B36" s="8" t="s">
        <v>1598</v>
      </c>
      <c r="C36" s="8" t="s">
        <v>1667</v>
      </c>
      <c r="D36" s="9" t="s">
        <v>360</v>
      </c>
      <c r="E36" s="8" t="s">
        <v>1668</v>
      </c>
      <c r="F36" s="8">
        <v>506.9</v>
      </c>
      <c r="G36" s="8">
        <v>194</v>
      </c>
      <c r="H36" s="8">
        <v>950</v>
      </c>
      <c r="I36" s="8">
        <v>494</v>
      </c>
      <c r="J36" s="8">
        <v>456</v>
      </c>
      <c r="K36" s="8">
        <v>89</v>
      </c>
      <c r="L36" s="10">
        <f t="shared" si="0"/>
        <v>9.3684210526315788</v>
      </c>
      <c r="M36" s="8">
        <v>630</v>
      </c>
      <c r="N36" s="10">
        <f t="shared" si="1"/>
        <v>66.315789473684205</v>
      </c>
      <c r="O36" s="8">
        <v>0</v>
      </c>
      <c r="P36" s="8">
        <v>67.8</v>
      </c>
      <c r="Q36" s="51" t="s">
        <v>586</v>
      </c>
      <c r="R36" s="83">
        <v>44656</v>
      </c>
      <c r="S36" s="10"/>
      <c r="T36" s="10">
        <v>13</v>
      </c>
      <c r="U36" s="10"/>
      <c r="V36" s="10"/>
      <c r="W36" s="10"/>
      <c r="X36" s="10"/>
      <c r="Y36" s="10"/>
      <c r="Z36" s="10"/>
      <c r="AA36" s="10" t="s">
        <v>408</v>
      </c>
      <c r="AB36" s="10">
        <v>9</v>
      </c>
      <c r="AC36" s="10"/>
      <c r="AD36" s="10"/>
      <c r="AE36" s="10"/>
    </row>
    <row r="37" spans="1:31">
      <c r="A37" s="8" t="s">
        <v>36</v>
      </c>
      <c r="B37" s="8" t="s">
        <v>1598</v>
      </c>
      <c r="C37" s="8" t="s">
        <v>1667</v>
      </c>
      <c r="D37" s="9" t="s">
        <v>1669</v>
      </c>
      <c r="E37" s="8" t="s">
        <v>1670</v>
      </c>
      <c r="F37" s="8">
        <v>267.39</v>
      </c>
      <c r="G37" s="8">
        <v>87</v>
      </c>
      <c r="H37" s="8">
        <v>476</v>
      </c>
      <c r="I37" s="8">
        <v>244</v>
      </c>
      <c r="J37" s="8">
        <v>232</v>
      </c>
      <c r="K37" s="8">
        <v>34</v>
      </c>
      <c r="L37" s="10">
        <f t="shared" si="0"/>
        <v>7.1428571428571423</v>
      </c>
      <c r="M37" s="8">
        <v>384</v>
      </c>
      <c r="N37" s="10">
        <f t="shared" si="1"/>
        <v>80.672268907563023</v>
      </c>
      <c r="O37" s="8">
        <v>15.25</v>
      </c>
      <c r="P37" s="8">
        <v>52.57</v>
      </c>
      <c r="Q37" s="51" t="s">
        <v>586</v>
      </c>
      <c r="R37" s="83">
        <v>44656</v>
      </c>
      <c r="S37" s="10"/>
      <c r="T37" s="10"/>
      <c r="U37" s="10"/>
      <c r="V37" s="10"/>
      <c r="W37" s="10"/>
      <c r="X37" s="10"/>
      <c r="Y37" s="10"/>
      <c r="Z37" s="10"/>
      <c r="AA37" s="10" t="s">
        <v>412</v>
      </c>
      <c r="AB37" s="10"/>
      <c r="AC37" s="10"/>
      <c r="AD37" s="10"/>
      <c r="AE37" s="10"/>
    </row>
    <row r="38" spans="1:31">
      <c r="A38" s="8" t="s">
        <v>36</v>
      </c>
      <c r="B38" s="8" t="s">
        <v>1598</v>
      </c>
      <c r="C38" s="8" t="s">
        <v>1667</v>
      </c>
      <c r="D38" s="9" t="s">
        <v>1671</v>
      </c>
      <c r="E38" s="8" t="s">
        <v>1672</v>
      </c>
      <c r="F38" s="8">
        <v>525.79999999999995</v>
      </c>
      <c r="G38" s="8">
        <v>167</v>
      </c>
      <c r="H38" s="8">
        <v>811</v>
      </c>
      <c r="I38" s="8">
        <v>411</v>
      </c>
      <c r="J38" s="8">
        <v>400</v>
      </c>
      <c r="K38" s="8">
        <v>243</v>
      </c>
      <c r="L38" s="10">
        <f t="shared" si="0"/>
        <v>29.963008631319362</v>
      </c>
      <c r="M38" s="8">
        <v>205</v>
      </c>
      <c r="N38" s="10">
        <f t="shared" si="1"/>
        <v>25.27743526510481</v>
      </c>
      <c r="O38" s="8">
        <v>0</v>
      </c>
      <c r="P38" s="8">
        <v>92.17</v>
      </c>
      <c r="Q38" s="51" t="s">
        <v>586</v>
      </c>
      <c r="R38" s="83">
        <v>44656</v>
      </c>
      <c r="S38" s="10"/>
      <c r="T38" s="10"/>
      <c r="U38" s="10"/>
      <c r="V38" s="10"/>
      <c r="W38" s="10"/>
      <c r="X38" s="10"/>
      <c r="Y38" s="10"/>
      <c r="Z38" s="10"/>
      <c r="AA38" s="10" t="s">
        <v>412</v>
      </c>
      <c r="AB38" s="10"/>
      <c r="AC38" s="10"/>
      <c r="AD38" s="10"/>
      <c r="AE38" s="10"/>
    </row>
    <row r="39" spans="1:31">
      <c r="A39" s="8" t="s">
        <v>36</v>
      </c>
      <c r="B39" s="8" t="s">
        <v>1598</v>
      </c>
      <c r="C39" s="8" t="s">
        <v>1667</v>
      </c>
      <c r="D39" s="9" t="s">
        <v>1673</v>
      </c>
      <c r="E39" s="8" t="s">
        <v>1674</v>
      </c>
      <c r="F39" s="8">
        <v>411.72</v>
      </c>
      <c r="G39" s="8">
        <v>54</v>
      </c>
      <c r="H39" s="8">
        <v>322</v>
      </c>
      <c r="I39" s="8">
        <v>161</v>
      </c>
      <c r="J39" s="8">
        <v>161</v>
      </c>
      <c r="K39" s="8">
        <v>22</v>
      </c>
      <c r="L39" s="10">
        <f t="shared" si="0"/>
        <v>6.8322981366459627</v>
      </c>
      <c r="M39" s="8">
        <v>227</v>
      </c>
      <c r="N39" s="10">
        <f t="shared" si="1"/>
        <v>70.496894409937894</v>
      </c>
      <c r="O39" s="8">
        <v>6.27</v>
      </c>
      <c r="P39" s="8">
        <v>100.36</v>
      </c>
      <c r="Q39" s="51" t="s">
        <v>586</v>
      </c>
      <c r="R39" s="83">
        <v>44656</v>
      </c>
      <c r="S39" s="10"/>
      <c r="T39" s="10"/>
      <c r="U39" s="10"/>
      <c r="V39" s="10"/>
      <c r="W39" s="10"/>
      <c r="X39" s="10"/>
      <c r="Y39" s="10"/>
      <c r="Z39" s="10"/>
      <c r="AA39" s="10" t="s">
        <v>412</v>
      </c>
      <c r="AB39" s="10"/>
      <c r="AC39" s="10"/>
      <c r="AD39" s="10"/>
      <c r="AE39" s="10"/>
    </row>
    <row r="40" spans="1:31">
      <c r="A40" s="8" t="s">
        <v>36</v>
      </c>
      <c r="B40" s="8" t="s">
        <v>1598</v>
      </c>
      <c r="C40" s="8" t="s">
        <v>1675</v>
      </c>
      <c r="D40" s="9" t="s">
        <v>1676</v>
      </c>
      <c r="E40" s="8" t="s">
        <v>1677</v>
      </c>
      <c r="F40" s="8">
        <v>1036.1500000000001</v>
      </c>
      <c r="G40" s="8">
        <v>769</v>
      </c>
      <c r="H40" s="8">
        <v>3955</v>
      </c>
      <c r="I40" s="8">
        <v>2071</v>
      </c>
      <c r="J40" s="8">
        <v>1884</v>
      </c>
      <c r="K40" s="8">
        <v>996</v>
      </c>
      <c r="L40" s="10">
        <f t="shared" si="0"/>
        <v>25.183312262958278</v>
      </c>
      <c r="M40" s="8">
        <v>1280</v>
      </c>
      <c r="N40" s="10">
        <f t="shared" si="1"/>
        <v>32.364096080910244</v>
      </c>
      <c r="O40" s="8">
        <v>0</v>
      </c>
      <c r="P40" s="8">
        <v>0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 t="s">
        <v>412</v>
      </c>
      <c r="AB40" s="10"/>
      <c r="AC40" s="10"/>
      <c r="AD40" s="10"/>
      <c r="AE40" s="10"/>
    </row>
    <row r="41" spans="1:31">
      <c r="A41" s="8" t="s">
        <v>36</v>
      </c>
      <c r="B41" s="8" t="s">
        <v>1598</v>
      </c>
      <c r="C41" s="8" t="s">
        <v>1675</v>
      </c>
      <c r="D41" s="9" t="s">
        <v>1621</v>
      </c>
      <c r="E41" s="8" t="s">
        <v>1678</v>
      </c>
      <c r="F41" s="8">
        <v>64.81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10" t="e">
        <f t="shared" si="0"/>
        <v>#DIV/0!</v>
      </c>
      <c r="M41" s="8">
        <v>0</v>
      </c>
      <c r="N41" s="10" t="e">
        <f t="shared" si="1"/>
        <v>#DIV/0!</v>
      </c>
      <c r="O41" s="8">
        <v>8.9</v>
      </c>
      <c r="P41" s="8">
        <v>0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 t="s">
        <v>412</v>
      </c>
      <c r="AB41" s="10"/>
      <c r="AC41" s="10"/>
      <c r="AD41" s="10"/>
      <c r="AE41" s="10"/>
    </row>
    <row r="42" spans="1:31">
      <c r="A42" s="8" t="s">
        <v>36</v>
      </c>
      <c r="B42" s="8" t="s">
        <v>1598</v>
      </c>
      <c r="C42" s="8" t="s">
        <v>1675</v>
      </c>
      <c r="D42" s="9" t="s">
        <v>1679</v>
      </c>
      <c r="E42" s="8" t="s">
        <v>1680</v>
      </c>
      <c r="F42" s="8">
        <v>281.14999999999998</v>
      </c>
      <c r="G42" s="8">
        <v>87</v>
      </c>
      <c r="H42" s="8">
        <v>446</v>
      </c>
      <c r="I42" s="8">
        <v>216</v>
      </c>
      <c r="J42" s="8">
        <v>230</v>
      </c>
      <c r="K42" s="8">
        <v>74</v>
      </c>
      <c r="L42" s="10">
        <f t="shared" si="0"/>
        <v>16.591928251121075</v>
      </c>
      <c r="M42" s="8">
        <v>329</v>
      </c>
      <c r="N42" s="10">
        <f t="shared" si="1"/>
        <v>73.766816143497763</v>
      </c>
      <c r="O42" s="8">
        <v>9.67</v>
      </c>
      <c r="P42" s="8">
        <v>0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 t="s">
        <v>412</v>
      </c>
      <c r="AB42" s="10"/>
      <c r="AC42" s="10"/>
      <c r="AD42" s="10"/>
      <c r="AE42" s="10"/>
    </row>
    <row r="43" spans="1:31">
      <c r="A43" s="8" t="s">
        <v>36</v>
      </c>
      <c r="B43" s="8" t="s">
        <v>1598</v>
      </c>
      <c r="C43" s="8" t="s">
        <v>1675</v>
      </c>
      <c r="D43" s="9" t="s">
        <v>1681</v>
      </c>
      <c r="E43" s="8" t="s">
        <v>1682</v>
      </c>
      <c r="F43" s="8">
        <v>180.3</v>
      </c>
      <c r="G43" s="8">
        <v>61</v>
      </c>
      <c r="H43" s="8">
        <v>302</v>
      </c>
      <c r="I43" s="8">
        <v>159</v>
      </c>
      <c r="J43" s="8">
        <v>143</v>
      </c>
      <c r="K43" s="8">
        <v>66</v>
      </c>
      <c r="L43" s="10">
        <f t="shared" si="0"/>
        <v>21.85430463576159</v>
      </c>
      <c r="M43" s="8">
        <v>112</v>
      </c>
      <c r="N43" s="10">
        <f t="shared" si="1"/>
        <v>37.086092715231786</v>
      </c>
      <c r="O43" s="8">
        <v>5.74</v>
      </c>
      <c r="P43" s="8">
        <v>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 t="s">
        <v>412</v>
      </c>
      <c r="AB43" s="10"/>
      <c r="AC43" s="10"/>
      <c r="AD43" s="10"/>
      <c r="AE43" s="10"/>
    </row>
    <row r="44" spans="1:31">
      <c r="A44" s="8" t="s">
        <v>36</v>
      </c>
      <c r="B44" s="8" t="s">
        <v>1598</v>
      </c>
      <c r="C44" s="8" t="s">
        <v>1675</v>
      </c>
      <c r="D44" s="9" t="s">
        <v>1683</v>
      </c>
      <c r="E44" s="8" t="s">
        <v>1684</v>
      </c>
      <c r="F44" s="8">
        <v>560.37</v>
      </c>
      <c r="G44" s="8">
        <v>140</v>
      </c>
      <c r="H44" s="8">
        <v>726</v>
      </c>
      <c r="I44" s="8">
        <v>380</v>
      </c>
      <c r="J44" s="8">
        <v>346</v>
      </c>
      <c r="K44" s="8">
        <v>236</v>
      </c>
      <c r="L44" s="10">
        <f t="shared" si="0"/>
        <v>32.506887052341597</v>
      </c>
      <c r="M44" s="8">
        <v>29</v>
      </c>
      <c r="N44" s="10">
        <f t="shared" si="1"/>
        <v>3.9944903581267219</v>
      </c>
      <c r="O44" s="8">
        <v>0</v>
      </c>
      <c r="P44" s="8">
        <v>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 t="s">
        <v>412</v>
      </c>
      <c r="AB44" s="10"/>
      <c r="AC44" s="10"/>
      <c r="AD44" s="10"/>
      <c r="AE44" s="10"/>
    </row>
    <row r="45" spans="1:31">
      <c r="A45" s="8" t="s">
        <v>36</v>
      </c>
      <c r="B45" s="8" t="s">
        <v>1598</v>
      </c>
      <c r="C45" s="8" t="s">
        <v>1685</v>
      </c>
      <c r="D45" s="9" t="s">
        <v>1686</v>
      </c>
      <c r="E45" s="8" t="s">
        <v>1687</v>
      </c>
      <c r="F45" s="8">
        <v>416</v>
      </c>
      <c r="G45" s="8">
        <v>167</v>
      </c>
      <c r="H45" s="8">
        <v>933</v>
      </c>
      <c r="I45" s="8">
        <v>472</v>
      </c>
      <c r="J45" s="8">
        <v>461</v>
      </c>
      <c r="K45" s="8">
        <v>195</v>
      </c>
      <c r="L45" s="10">
        <f t="shared" si="0"/>
        <v>20.90032154340836</v>
      </c>
      <c r="M45" s="8">
        <v>296</v>
      </c>
      <c r="N45" s="10">
        <f t="shared" si="1"/>
        <v>31.725616291532688</v>
      </c>
      <c r="O45" s="8">
        <v>10</v>
      </c>
      <c r="P45" s="8">
        <v>0</v>
      </c>
      <c r="Q45" s="50" t="s">
        <v>586</v>
      </c>
      <c r="R45" s="53">
        <v>44588</v>
      </c>
      <c r="S45" s="10"/>
      <c r="T45" s="52">
        <v>28.91</v>
      </c>
      <c r="U45" s="10"/>
      <c r="V45" s="10"/>
      <c r="W45" s="10"/>
      <c r="X45" s="10"/>
      <c r="Y45" s="10"/>
      <c r="Z45" s="10"/>
      <c r="AA45" s="10" t="s">
        <v>412</v>
      </c>
      <c r="AB45" s="52"/>
      <c r="AC45" s="10"/>
      <c r="AD45" s="52">
        <v>25.096687800000002</v>
      </c>
      <c r="AE45" s="52">
        <v>76.096294799999995</v>
      </c>
    </row>
    <row r="46" spans="1:31">
      <c r="A46" s="8" t="s">
        <v>36</v>
      </c>
      <c r="B46" s="8" t="s">
        <v>1598</v>
      </c>
      <c r="C46" s="8" t="s">
        <v>1685</v>
      </c>
      <c r="D46" s="9" t="s">
        <v>145</v>
      </c>
      <c r="E46" s="8" t="s">
        <v>1688</v>
      </c>
      <c r="F46" s="8">
        <v>197</v>
      </c>
      <c r="G46" s="8">
        <v>84</v>
      </c>
      <c r="H46" s="8">
        <v>436</v>
      </c>
      <c r="I46" s="8">
        <v>225</v>
      </c>
      <c r="J46" s="8">
        <v>211</v>
      </c>
      <c r="K46" s="8">
        <v>76</v>
      </c>
      <c r="L46" s="10">
        <f t="shared" si="0"/>
        <v>17.431192660550458</v>
      </c>
      <c r="M46" s="8">
        <v>335</v>
      </c>
      <c r="N46" s="10">
        <f t="shared" si="1"/>
        <v>76.834862385321102</v>
      </c>
      <c r="O46" s="8">
        <v>12</v>
      </c>
      <c r="P46" s="8">
        <v>0</v>
      </c>
      <c r="Q46" s="50" t="s">
        <v>586</v>
      </c>
      <c r="R46" s="53">
        <v>44588</v>
      </c>
      <c r="S46" s="10"/>
      <c r="T46" s="52">
        <v>14.03</v>
      </c>
      <c r="U46" s="10"/>
      <c r="V46" s="10"/>
      <c r="W46" s="10"/>
      <c r="X46" s="10"/>
      <c r="Y46" s="10"/>
      <c r="Z46" s="10"/>
      <c r="AA46" s="10" t="s">
        <v>408</v>
      </c>
      <c r="AB46" s="52">
        <v>3</v>
      </c>
      <c r="AC46" s="10"/>
      <c r="AD46" s="52">
        <v>25.078913</v>
      </c>
      <c r="AE46" s="52">
        <v>76.153197000000006</v>
      </c>
    </row>
    <row r="47" spans="1:31">
      <c r="A47" s="8" t="s">
        <v>36</v>
      </c>
      <c r="B47" s="8" t="s">
        <v>1598</v>
      </c>
      <c r="C47" s="8" t="s">
        <v>1685</v>
      </c>
      <c r="D47" s="9" t="s">
        <v>1689</v>
      </c>
      <c r="E47" s="8" t="s">
        <v>1690</v>
      </c>
      <c r="F47" s="8">
        <v>83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10" t="e">
        <f t="shared" si="0"/>
        <v>#DIV/0!</v>
      </c>
      <c r="M47" s="8">
        <v>0</v>
      </c>
      <c r="N47" s="10" t="e">
        <f t="shared" si="1"/>
        <v>#DIV/0!</v>
      </c>
      <c r="O47" s="8">
        <v>8</v>
      </c>
      <c r="P47" s="8">
        <v>0</v>
      </c>
      <c r="Q47" s="50" t="s">
        <v>586</v>
      </c>
      <c r="R47" s="53">
        <v>44588</v>
      </c>
      <c r="S47" s="10"/>
      <c r="T47" s="52">
        <v>0</v>
      </c>
      <c r="U47" s="10"/>
      <c r="V47" s="10"/>
      <c r="W47" s="10"/>
      <c r="X47" s="10"/>
      <c r="Y47" s="10"/>
      <c r="Z47" s="10"/>
      <c r="AA47" s="10" t="s">
        <v>412</v>
      </c>
      <c r="AB47" s="52"/>
      <c r="AC47" s="10"/>
      <c r="AD47" s="52">
        <v>25.079766599999999</v>
      </c>
      <c r="AE47" s="52">
        <v>76.124261669999996</v>
      </c>
    </row>
    <row r="48" spans="1:31">
      <c r="A48" s="8" t="s">
        <v>36</v>
      </c>
      <c r="B48" s="8" t="s">
        <v>1598</v>
      </c>
      <c r="C48" s="8" t="s">
        <v>1685</v>
      </c>
      <c r="D48" s="9" t="s">
        <v>1691</v>
      </c>
      <c r="E48" s="8" t="s">
        <v>1692</v>
      </c>
      <c r="F48" s="8">
        <v>477</v>
      </c>
      <c r="G48" s="8">
        <v>148</v>
      </c>
      <c r="H48" s="8">
        <v>802</v>
      </c>
      <c r="I48" s="8">
        <v>413</v>
      </c>
      <c r="J48" s="8">
        <v>389</v>
      </c>
      <c r="K48" s="8">
        <v>172</v>
      </c>
      <c r="L48" s="10">
        <f t="shared" si="0"/>
        <v>21.446384039900249</v>
      </c>
      <c r="M48" s="8">
        <v>185</v>
      </c>
      <c r="N48" s="10">
        <f t="shared" si="1"/>
        <v>23.067331670822945</v>
      </c>
      <c r="O48" s="8">
        <v>17</v>
      </c>
      <c r="P48" s="8">
        <v>0</v>
      </c>
      <c r="Q48" s="50" t="s">
        <v>586</v>
      </c>
      <c r="R48" s="53">
        <v>44588</v>
      </c>
      <c r="S48" s="10"/>
      <c r="T48" s="52">
        <v>43.32</v>
      </c>
      <c r="U48" s="10"/>
      <c r="V48" s="10"/>
      <c r="W48" s="10"/>
      <c r="X48" s="10"/>
      <c r="Y48" s="10"/>
      <c r="Z48" s="10"/>
      <c r="AA48" s="10" t="s">
        <v>408</v>
      </c>
      <c r="AB48" s="52">
        <v>13</v>
      </c>
      <c r="AC48" s="10"/>
      <c r="AD48" s="52">
        <v>25.093685000000001</v>
      </c>
      <c r="AE48" s="52">
        <v>76.107921660000002</v>
      </c>
    </row>
    <row r="49" spans="1:31">
      <c r="A49" s="8" t="s">
        <v>36</v>
      </c>
      <c r="B49" s="8" t="s">
        <v>1598</v>
      </c>
      <c r="C49" s="8" t="s">
        <v>1685</v>
      </c>
      <c r="D49" s="9" t="s">
        <v>1693</v>
      </c>
      <c r="E49" s="8" t="s">
        <v>1694</v>
      </c>
      <c r="F49" s="8">
        <v>467</v>
      </c>
      <c r="G49" s="8">
        <v>96</v>
      </c>
      <c r="H49" s="8">
        <v>487</v>
      </c>
      <c r="I49" s="8">
        <v>257</v>
      </c>
      <c r="J49" s="8">
        <v>230</v>
      </c>
      <c r="K49" s="8">
        <v>62</v>
      </c>
      <c r="L49" s="10">
        <f t="shared" si="0"/>
        <v>12.73100616016427</v>
      </c>
      <c r="M49" s="8">
        <v>338</v>
      </c>
      <c r="N49" s="10">
        <f t="shared" si="1"/>
        <v>69.404517453798761</v>
      </c>
      <c r="O49" s="8">
        <v>31</v>
      </c>
      <c r="P49" s="8">
        <v>0</v>
      </c>
      <c r="Q49" s="50" t="s">
        <v>586</v>
      </c>
      <c r="R49" s="53">
        <v>44588</v>
      </c>
      <c r="S49" s="10"/>
      <c r="T49" s="52">
        <v>0</v>
      </c>
      <c r="U49" s="10"/>
      <c r="V49" s="10"/>
      <c r="W49" s="10"/>
      <c r="X49" s="10"/>
      <c r="Y49" s="10"/>
      <c r="Z49" s="10"/>
      <c r="AA49" s="10" t="s">
        <v>412</v>
      </c>
      <c r="AB49" s="52"/>
      <c r="AC49" s="10"/>
      <c r="AD49" s="52">
        <v>25.06642167</v>
      </c>
      <c r="AE49" s="52">
        <v>76.154721670000001</v>
      </c>
    </row>
    <row r="50" spans="1:31">
      <c r="A50" s="8" t="s">
        <v>36</v>
      </c>
      <c r="B50" s="8" t="s">
        <v>1598</v>
      </c>
      <c r="C50" s="8" t="s">
        <v>1685</v>
      </c>
      <c r="D50" s="9" t="s">
        <v>1695</v>
      </c>
      <c r="E50" s="8" t="s">
        <v>1696</v>
      </c>
      <c r="F50" s="8">
        <v>126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10" t="e">
        <f t="shared" si="0"/>
        <v>#DIV/0!</v>
      </c>
      <c r="M50" s="8">
        <v>0</v>
      </c>
      <c r="N50" s="10" t="e">
        <f t="shared" si="1"/>
        <v>#DIV/0!</v>
      </c>
      <c r="O50" s="8">
        <v>0</v>
      </c>
      <c r="P50" s="8">
        <v>0</v>
      </c>
      <c r="Q50" s="50" t="s">
        <v>586</v>
      </c>
      <c r="R50" s="53">
        <v>44588</v>
      </c>
      <c r="S50" s="10"/>
      <c r="T50" s="52">
        <v>15.6</v>
      </c>
      <c r="U50" s="10"/>
      <c r="V50" s="10"/>
      <c r="W50" s="10"/>
      <c r="X50" s="10"/>
      <c r="Y50" s="10"/>
      <c r="Z50" s="10"/>
      <c r="AA50" s="10" t="s">
        <v>412</v>
      </c>
      <c r="AB50" s="52"/>
      <c r="AC50" s="10"/>
      <c r="AD50" s="52" t="s">
        <v>1943</v>
      </c>
      <c r="AE50" s="52">
        <v>76.125600000000006</v>
      </c>
    </row>
    <row r="51" spans="1:31">
      <c r="A51" s="8" t="s">
        <v>36</v>
      </c>
      <c r="B51" s="8" t="s">
        <v>1598</v>
      </c>
      <c r="C51" s="8" t="s">
        <v>1685</v>
      </c>
      <c r="D51" s="9" t="s">
        <v>1697</v>
      </c>
      <c r="E51" s="8" t="s">
        <v>1698</v>
      </c>
      <c r="F51" s="8">
        <v>191</v>
      </c>
      <c r="G51" s="8">
        <v>65</v>
      </c>
      <c r="H51" s="8">
        <v>370</v>
      </c>
      <c r="I51" s="8">
        <v>189</v>
      </c>
      <c r="J51" s="8">
        <v>181</v>
      </c>
      <c r="K51" s="8">
        <v>147</v>
      </c>
      <c r="L51" s="10">
        <f t="shared" si="0"/>
        <v>39.729729729729726</v>
      </c>
      <c r="M51" s="8">
        <v>0</v>
      </c>
      <c r="N51" s="10">
        <f t="shared" si="1"/>
        <v>0</v>
      </c>
      <c r="O51" s="8">
        <v>10</v>
      </c>
      <c r="P51" s="8">
        <v>0</v>
      </c>
      <c r="Q51" s="50" t="s">
        <v>586</v>
      </c>
      <c r="R51" s="53">
        <v>44588</v>
      </c>
      <c r="S51" s="10"/>
      <c r="T51" s="52">
        <v>0</v>
      </c>
      <c r="U51" s="10"/>
      <c r="V51" s="10"/>
      <c r="W51" s="10"/>
      <c r="X51" s="10"/>
      <c r="Y51" s="10"/>
      <c r="Z51" s="10"/>
      <c r="AA51" s="10" t="s">
        <v>412</v>
      </c>
      <c r="AB51" s="52"/>
      <c r="AC51" s="10"/>
      <c r="AD51" s="35"/>
      <c r="AE51" s="35"/>
    </row>
    <row r="52" spans="1:31">
      <c r="A52" s="8" t="s">
        <v>36</v>
      </c>
      <c r="B52" s="8" t="s">
        <v>1598</v>
      </c>
      <c r="C52" s="8" t="s">
        <v>1685</v>
      </c>
      <c r="D52" s="9" t="s">
        <v>1699</v>
      </c>
      <c r="E52" s="8" t="s">
        <v>1700</v>
      </c>
      <c r="F52" s="8">
        <v>100</v>
      </c>
      <c r="G52" s="8">
        <v>1</v>
      </c>
      <c r="H52" s="8">
        <v>1</v>
      </c>
      <c r="I52" s="8">
        <v>1</v>
      </c>
      <c r="J52" s="8">
        <v>0</v>
      </c>
      <c r="K52" s="8">
        <v>0</v>
      </c>
      <c r="L52" s="10">
        <f t="shared" si="0"/>
        <v>0</v>
      </c>
      <c r="M52" s="8">
        <v>0</v>
      </c>
      <c r="N52" s="10">
        <f t="shared" si="1"/>
        <v>0</v>
      </c>
      <c r="O52" s="8">
        <v>0</v>
      </c>
      <c r="P52" s="8">
        <v>0</v>
      </c>
      <c r="Q52" s="50" t="s">
        <v>586</v>
      </c>
      <c r="R52" s="53">
        <v>44588</v>
      </c>
      <c r="S52" s="10"/>
      <c r="T52" s="18">
        <v>15</v>
      </c>
      <c r="U52" s="10"/>
      <c r="V52" s="10"/>
      <c r="W52" s="10"/>
      <c r="X52" s="10"/>
      <c r="Y52" s="10"/>
      <c r="Z52" s="10"/>
      <c r="AA52" s="10" t="s">
        <v>408</v>
      </c>
      <c r="AB52" s="18">
        <v>8</v>
      </c>
      <c r="AC52" s="10"/>
      <c r="AD52" s="52">
        <v>25.096687800000002</v>
      </c>
      <c r="AE52" s="52">
        <v>76.096294799999995</v>
      </c>
    </row>
    <row r="53" spans="1:31">
      <c r="A53" s="8" t="s">
        <v>36</v>
      </c>
      <c r="B53" s="8" t="s">
        <v>1598</v>
      </c>
      <c r="C53" s="8" t="s">
        <v>1685</v>
      </c>
      <c r="D53" s="9" t="s">
        <v>1701</v>
      </c>
      <c r="E53" s="8" t="s">
        <v>1702</v>
      </c>
      <c r="F53" s="8">
        <v>307</v>
      </c>
      <c r="G53" s="8">
        <v>130</v>
      </c>
      <c r="H53" s="8">
        <v>618</v>
      </c>
      <c r="I53" s="8">
        <v>322</v>
      </c>
      <c r="J53" s="8">
        <v>296</v>
      </c>
      <c r="K53" s="8">
        <v>74</v>
      </c>
      <c r="L53" s="10">
        <f t="shared" si="0"/>
        <v>11.974110032362459</v>
      </c>
      <c r="M53" s="8">
        <v>8</v>
      </c>
      <c r="N53" s="10">
        <f t="shared" si="1"/>
        <v>1.2944983818770228</v>
      </c>
      <c r="O53" s="8">
        <v>52</v>
      </c>
      <c r="P53" s="8">
        <v>0</v>
      </c>
      <c r="Q53" s="50" t="s">
        <v>586</v>
      </c>
      <c r="R53" s="53">
        <v>44588</v>
      </c>
      <c r="S53" s="10"/>
      <c r="T53" s="18">
        <v>21</v>
      </c>
      <c r="U53" s="10"/>
      <c r="V53" s="10"/>
      <c r="W53" s="10"/>
      <c r="X53" s="10"/>
      <c r="Y53" s="10"/>
      <c r="Z53" s="10"/>
      <c r="AA53" s="10" t="s">
        <v>408</v>
      </c>
      <c r="AB53" s="18">
        <v>14</v>
      </c>
      <c r="AC53" s="10"/>
      <c r="AD53" s="18">
        <v>25.094063999999999</v>
      </c>
      <c r="AE53" s="18">
        <v>76.169112999999996</v>
      </c>
    </row>
    <row r="54" spans="1:31">
      <c r="A54" s="8" t="s">
        <v>36</v>
      </c>
      <c r="B54" s="8" t="s">
        <v>1598</v>
      </c>
      <c r="C54" s="8" t="s">
        <v>1685</v>
      </c>
      <c r="D54" s="9" t="s">
        <v>1703</v>
      </c>
      <c r="E54" s="8" t="s">
        <v>1704</v>
      </c>
      <c r="F54" s="8">
        <v>788</v>
      </c>
      <c r="G54" s="8">
        <v>193</v>
      </c>
      <c r="H54" s="8">
        <v>1036</v>
      </c>
      <c r="I54" s="8">
        <v>548</v>
      </c>
      <c r="J54" s="8">
        <v>488</v>
      </c>
      <c r="K54" s="8">
        <v>172</v>
      </c>
      <c r="L54" s="10">
        <f t="shared" si="0"/>
        <v>16.602316602316602</v>
      </c>
      <c r="M54" s="8">
        <v>306</v>
      </c>
      <c r="N54" s="10">
        <f t="shared" si="1"/>
        <v>29.536679536679539</v>
      </c>
      <c r="O54" s="8">
        <v>52</v>
      </c>
      <c r="P54" s="8">
        <v>0</v>
      </c>
      <c r="Q54" s="50" t="s">
        <v>586</v>
      </c>
      <c r="R54" s="53">
        <v>44588</v>
      </c>
      <c r="S54" s="10"/>
      <c r="T54" s="18">
        <v>10</v>
      </c>
      <c r="U54" s="10"/>
      <c r="V54" s="10"/>
      <c r="W54" s="10"/>
      <c r="X54" s="10"/>
      <c r="Y54" s="10"/>
      <c r="Z54" s="10"/>
      <c r="AA54" s="10" t="s">
        <v>408</v>
      </c>
      <c r="AB54" s="18">
        <v>8</v>
      </c>
      <c r="AC54" s="10"/>
      <c r="AD54" s="52">
        <v>25.096687800000002</v>
      </c>
      <c r="AE54" s="52">
        <v>76.096294799999995</v>
      </c>
    </row>
    <row r="55" spans="1:31">
      <c r="A55" s="8" t="s">
        <v>36</v>
      </c>
      <c r="B55" s="8" t="s">
        <v>1598</v>
      </c>
      <c r="C55" s="8" t="s">
        <v>1685</v>
      </c>
      <c r="D55" s="9" t="s">
        <v>1705</v>
      </c>
      <c r="E55" s="8" t="s">
        <v>1706</v>
      </c>
      <c r="F55" s="8">
        <v>216</v>
      </c>
      <c r="G55" s="8">
        <v>62</v>
      </c>
      <c r="H55" s="8">
        <v>337</v>
      </c>
      <c r="I55" s="8">
        <v>182</v>
      </c>
      <c r="J55" s="8">
        <v>155</v>
      </c>
      <c r="K55" s="8">
        <v>292</v>
      </c>
      <c r="L55" s="10">
        <f t="shared" si="0"/>
        <v>86.646884272997042</v>
      </c>
      <c r="M55" s="8">
        <v>0</v>
      </c>
      <c r="N55" s="10">
        <f t="shared" si="1"/>
        <v>0</v>
      </c>
      <c r="O55" s="8">
        <v>5</v>
      </c>
      <c r="P55" s="8">
        <v>0</v>
      </c>
      <c r="Q55" s="50" t="s">
        <v>586</v>
      </c>
      <c r="R55" s="53">
        <v>44588</v>
      </c>
      <c r="S55" s="10"/>
      <c r="T55" s="18">
        <v>26</v>
      </c>
      <c r="U55" s="10"/>
      <c r="V55" s="10"/>
      <c r="W55" s="10"/>
      <c r="X55" s="10"/>
      <c r="Y55" s="10"/>
      <c r="Z55" s="10"/>
      <c r="AA55" s="10" t="s">
        <v>408</v>
      </c>
      <c r="AB55" s="18">
        <v>14</v>
      </c>
      <c r="AC55" s="10"/>
      <c r="AD55" s="18">
        <v>25.094063999999999</v>
      </c>
      <c r="AE55" s="18">
        <v>76.169112999999996</v>
      </c>
    </row>
    <row r="56" spans="1:31">
      <c r="A56" s="8" t="s">
        <v>36</v>
      </c>
      <c r="B56" s="8" t="s">
        <v>1598</v>
      </c>
      <c r="C56" s="8" t="s">
        <v>1707</v>
      </c>
      <c r="D56" s="9" t="s">
        <v>1212</v>
      </c>
      <c r="E56" s="8" t="s">
        <v>1708</v>
      </c>
      <c r="F56" s="8">
        <v>1803.82</v>
      </c>
      <c r="G56" s="8">
        <v>939</v>
      </c>
      <c r="H56" s="8">
        <v>5005</v>
      </c>
      <c r="I56" s="8">
        <v>2595</v>
      </c>
      <c r="J56" s="8">
        <v>2410</v>
      </c>
      <c r="K56" s="8">
        <v>2004</v>
      </c>
      <c r="L56" s="10">
        <f t="shared" si="0"/>
        <v>40.039960039960036</v>
      </c>
      <c r="M56" s="8">
        <v>64</v>
      </c>
      <c r="N56" s="10">
        <f t="shared" si="1"/>
        <v>1.2787212787212787</v>
      </c>
      <c r="O56" s="8">
        <v>5</v>
      </c>
      <c r="P56" s="8">
        <v>0</v>
      </c>
      <c r="Q56" s="50" t="s">
        <v>586</v>
      </c>
      <c r="R56" s="53">
        <v>44606</v>
      </c>
      <c r="S56" s="10"/>
      <c r="T56" s="10"/>
      <c r="U56" s="10"/>
      <c r="V56" s="10"/>
      <c r="W56" s="10"/>
      <c r="X56" s="10"/>
      <c r="Y56" s="10"/>
      <c r="Z56" s="10"/>
      <c r="AA56" s="10" t="s">
        <v>412</v>
      </c>
      <c r="AB56" s="10"/>
      <c r="AC56" s="10"/>
      <c r="AD56" s="52">
        <v>25.24273166</v>
      </c>
      <c r="AE56" s="52">
        <v>76.048379999999995</v>
      </c>
    </row>
    <row r="57" spans="1:31">
      <c r="A57" s="8" t="s">
        <v>36</v>
      </c>
      <c r="B57" s="8" t="s">
        <v>1598</v>
      </c>
      <c r="C57" s="8" t="s">
        <v>1707</v>
      </c>
      <c r="D57" s="9" t="s">
        <v>1709</v>
      </c>
      <c r="E57" s="8" t="s">
        <v>1710</v>
      </c>
      <c r="F57" s="8">
        <v>253.95</v>
      </c>
      <c r="G57" s="8">
        <v>84</v>
      </c>
      <c r="H57" s="8">
        <v>484</v>
      </c>
      <c r="I57" s="8">
        <v>255</v>
      </c>
      <c r="J57" s="8">
        <v>229</v>
      </c>
      <c r="K57" s="8">
        <v>212</v>
      </c>
      <c r="L57" s="10">
        <f t="shared" si="0"/>
        <v>43.801652892561982</v>
      </c>
      <c r="M57" s="8">
        <v>190</v>
      </c>
      <c r="N57" s="10">
        <f t="shared" si="1"/>
        <v>39.256198347107443</v>
      </c>
      <c r="O57" s="8">
        <v>2.4</v>
      </c>
      <c r="P57" s="8">
        <v>0</v>
      </c>
      <c r="Q57" s="50" t="s">
        <v>586</v>
      </c>
      <c r="R57" s="53">
        <v>44606</v>
      </c>
      <c r="S57" s="10"/>
      <c r="T57" s="10"/>
      <c r="U57" s="10"/>
      <c r="V57" s="10"/>
      <c r="W57" s="10"/>
      <c r="X57" s="10"/>
      <c r="Y57" s="10"/>
      <c r="Z57" s="10"/>
      <c r="AA57" s="10" t="s">
        <v>412</v>
      </c>
      <c r="AB57" s="10"/>
      <c r="AC57" s="10"/>
      <c r="AD57" s="10"/>
      <c r="AE57" s="10"/>
    </row>
    <row r="58" spans="1:31">
      <c r="A58" s="8" t="s">
        <v>36</v>
      </c>
      <c r="B58" s="8" t="s">
        <v>1598</v>
      </c>
      <c r="C58" s="8" t="s">
        <v>1707</v>
      </c>
      <c r="D58" s="9" t="s">
        <v>238</v>
      </c>
      <c r="E58" s="8" t="s">
        <v>1711</v>
      </c>
      <c r="F58" s="8">
        <v>1017.72</v>
      </c>
      <c r="G58" s="8">
        <v>209</v>
      </c>
      <c r="H58" s="8">
        <v>1199</v>
      </c>
      <c r="I58" s="8">
        <v>623</v>
      </c>
      <c r="J58" s="8">
        <v>576</v>
      </c>
      <c r="K58" s="8">
        <v>473</v>
      </c>
      <c r="L58" s="10">
        <f t="shared" si="0"/>
        <v>39.449541284403672</v>
      </c>
      <c r="M58" s="8">
        <v>169</v>
      </c>
      <c r="N58" s="10">
        <f t="shared" si="1"/>
        <v>14.09507923269391</v>
      </c>
      <c r="O58" s="8">
        <v>8.9</v>
      </c>
      <c r="P58" s="8">
        <v>0</v>
      </c>
      <c r="Q58" s="50" t="s">
        <v>586</v>
      </c>
      <c r="R58" s="53">
        <v>44606</v>
      </c>
      <c r="S58" s="10"/>
      <c r="T58" s="10"/>
      <c r="U58" s="10"/>
      <c r="V58" s="10"/>
      <c r="W58" s="10"/>
      <c r="X58" s="10"/>
      <c r="Y58" s="10"/>
      <c r="Z58" s="10"/>
      <c r="AA58" s="10" t="s">
        <v>412</v>
      </c>
      <c r="AB58" s="10"/>
      <c r="AC58" s="10"/>
      <c r="AD58" s="10"/>
      <c r="AE58" s="10"/>
    </row>
    <row r="59" spans="1:31">
      <c r="A59" s="8" t="s">
        <v>36</v>
      </c>
      <c r="B59" s="8" t="s">
        <v>1598</v>
      </c>
      <c r="C59" s="8" t="s">
        <v>1707</v>
      </c>
      <c r="D59" s="9" t="s">
        <v>1712</v>
      </c>
      <c r="E59" s="8" t="s">
        <v>1713</v>
      </c>
      <c r="F59" s="8">
        <v>413.3</v>
      </c>
      <c r="G59" s="8">
        <v>188</v>
      </c>
      <c r="H59" s="8">
        <v>1190</v>
      </c>
      <c r="I59" s="8">
        <v>594</v>
      </c>
      <c r="J59" s="8">
        <v>596</v>
      </c>
      <c r="K59" s="8">
        <v>69</v>
      </c>
      <c r="L59" s="10">
        <f t="shared" si="0"/>
        <v>5.7983193277310923</v>
      </c>
      <c r="M59" s="8">
        <v>0</v>
      </c>
      <c r="N59" s="10">
        <f t="shared" si="1"/>
        <v>0</v>
      </c>
      <c r="O59" s="8">
        <v>12.16</v>
      </c>
      <c r="P59" s="8">
        <v>0</v>
      </c>
      <c r="Q59" s="50" t="s">
        <v>586</v>
      </c>
      <c r="R59" s="53">
        <v>44606</v>
      </c>
      <c r="S59" s="10"/>
      <c r="T59" s="10"/>
      <c r="U59" s="10"/>
      <c r="V59" s="10"/>
      <c r="W59" s="10"/>
      <c r="X59" s="10"/>
      <c r="Y59" s="10"/>
      <c r="Z59" s="10"/>
      <c r="AA59" s="10" t="s">
        <v>412</v>
      </c>
      <c r="AB59" s="10"/>
      <c r="AC59" s="10"/>
      <c r="AD59" s="10"/>
      <c r="AE59" s="10"/>
    </row>
    <row r="60" spans="1:31">
      <c r="A60" s="8" t="s">
        <v>36</v>
      </c>
      <c r="B60" s="8" t="s">
        <v>1598</v>
      </c>
      <c r="C60" s="8" t="s">
        <v>1714</v>
      </c>
      <c r="D60" s="9" t="s">
        <v>1715</v>
      </c>
      <c r="E60" s="8" t="s">
        <v>1716</v>
      </c>
      <c r="F60" s="8">
        <v>816.06</v>
      </c>
      <c r="G60" s="8">
        <v>266</v>
      </c>
      <c r="H60" s="8">
        <v>1387</v>
      </c>
      <c r="I60" s="8">
        <v>723</v>
      </c>
      <c r="J60" s="8">
        <v>664</v>
      </c>
      <c r="K60" s="8">
        <v>529</v>
      </c>
      <c r="L60" s="10">
        <f t="shared" si="0"/>
        <v>38.139870223503962</v>
      </c>
      <c r="M60" s="8">
        <v>73</v>
      </c>
      <c r="N60" s="10">
        <f t="shared" si="1"/>
        <v>5.2631578947368416</v>
      </c>
      <c r="O60" s="8">
        <v>10.49</v>
      </c>
      <c r="P60" s="8">
        <v>0</v>
      </c>
      <c r="Q60" s="50" t="s">
        <v>586</v>
      </c>
      <c r="R60" s="53">
        <v>44601</v>
      </c>
      <c r="S60" s="10"/>
      <c r="T60" s="10">
        <v>25</v>
      </c>
      <c r="U60" s="10" t="s">
        <v>408</v>
      </c>
      <c r="V60" s="10"/>
      <c r="W60" s="10"/>
      <c r="X60" s="10"/>
      <c r="Y60" s="10"/>
      <c r="Z60" s="10"/>
      <c r="AA60" s="10" t="s">
        <v>408</v>
      </c>
      <c r="AB60" s="10">
        <v>0</v>
      </c>
      <c r="AC60" s="10"/>
      <c r="AD60" s="52">
        <v>25.259207</v>
      </c>
      <c r="AE60" s="52">
        <v>76.107507999999996</v>
      </c>
    </row>
    <row r="61" spans="1:31">
      <c r="A61" s="8" t="s">
        <v>36</v>
      </c>
      <c r="B61" s="8" t="s">
        <v>1598</v>
      </c>
      <c r="C61" s="8" t="s">
        <v>1714</v>
      </c>
      <c r="D61" s="9" t="s">
        <v>340</v>
      </c>
      <c r="E61" s="8" t="s">
        <v>1717</v>
      </c>
      <c r="F61" s="8">
        <v>359.63</v>
      </c>
      <c r="G61" s="8">
        <v>94</v>
      </c>
      <c r="H61" s="8">
        <v>523</v>
      </c>
      <c r="I61" s="8">
        <v>268</v>
      </c>
      <c r="J61" s="8">
        <v>255</v>
      </c>
      <c r="K61" s="8">
        <v>129</v>
      </c>
      <c r="L61" s="10">
        <f t="shared" si="0"/>
        <v>24.665391969407267</v>
      </c>
      <c r="M61" s="8">
        <v>330</v>
      </c>
      <c r="N61" s="10">
        <f t="shared" si="1"/>
        <v>63.097514340344162</v>
      </c>
      <c r="O61" s="8">
        <v>8.4</v>
      </c>
      <c r="P61" s="8">
        <v>0</v>
      </c>
      <c r="Q61" s="50" t="s">
        <v>586</v>
      </c>
      <c r="R61" s="53">
        <v>44603</v>
      </c>
      <c r="S61" s="10"/>
      <c r="T61" s="10">
        <v>15</v>
      </c>
      <c r="U61" s="10" t="s">
        <v>408</v>
      </c>
      <c r="V61" s="10"/>
      <c r="W61" s="10"/>
      <c r="X61" s="10"/>
      <c r="Y61" s="10"/>
      <c r="Z61" s="10"/>
      <c r="AA61" s="10" t="s">
        <v>408</v>
      </c>
      <c r="AB61" s="10">
        <v>3</v>
      </c>
      <c r="AC61" s="10"/>
      <c r="AD61" s="52">
        <v>25.242895000000001</v>
      </c>
      <c r="AE61" s="52">
        <v>76.052373329999995</v>
      </c>
    </row>
    <row r="62" spans="1:31">
      <c r="A62" s="8" t="s">
        <v>36</v>
      </c>
      <c r="B62" s="8" t="s">
        <v>1598</v>
      </c>
      <c r="C62" s="8" t="s">
        <v>1714</v>
      </c>
      <c r="D62" s="9" t="s">
        <v>364</v>
      </c>
      <c r="E62" s="8" t="s">
        <v>1718</v>
      </c>
      <c r="F62" s="8">
        <v>621.99</v>
      </c>
      <c r="G62" s="8">
        <v>132</v>
      </c>
      <c r="H62" s="8">
        <v>684</v>
      </c>
      <c r="I62" s="8">
        <v>347</v>
      </c>
      <c r="J62" s="8">
        <v>337</v>
      </c>
      <c r="K62" s="8">
        <v>207</v>
      </c>
      <c r="L62" s="10">
        <f t="shared" si="0"/>
        <v>30.263157894736842</v>
      </c>
      <c r="M62" s="8">
        <v>172</v>
      </c>
      <c r="N62" s="10">
        <f t="shared" si="1"/>
        <v>25.146198830409354</v>
      </c>
      <c r="O62" s="8">
        <v>0</v>
      </c>
      <c r="P62" s="8">
        <v>0</v>
      </c>
      <c r="Q62" s="50" t="s">
        <v>586</v>
      </c>
      <c r="R62" s="53">
        <v>44603</v>
      </c>
      <c r="S62" s="10"/>
      <c r="T62" s="10"/>
      <c r="U62" s="10" t="s">
        <v>408</v>
      </c>
      <c r="V62" s="10"/>
      <c r="W62" s="10"/>
      <c r="X62" s="10"/>
      <c r="Y62" s="10"/>
      <c r="Z62" s="10"/>
      <c r="AA62" s="10" t="s">
        <v>412</v>
      </c>
      <c r="AB62" s="10"/>
      <c r="AC62" s="10"/>
      <c r="AD62" s="10"/>
      <c r="AE62" s="10"/>
    </row>
    <row r="63" spans="1:31">
      <c r="A63" s="8" t="s">
        <v>36</v>
      </c>
      <c r="B63" s="8" t="s">
        <v>1598</v>
      </c>
      <c r="C63" s="8" t="s">
        <v>1714</v>
      </c>
      <c r="D63" s="9" t="s">
        <v>1719</v>
      </c>
      <c r="E63" s="8" t="s">
        <v>1720</v>
      </c>
      <c r="F63" s="8">
        <v>408.04</v>
      </c>
      <c r="G63" s="8">
        <v>128</v>
      </c>
      <c r="H63" s="8">
        <v>684</v>
      </c>
      <c r="I63" s="8">
        <v>368</v>
      </c>
      <c r="J63" s="8">
        <v>316</v>
      </c>
      <c r="K63" s="8">
        <v>83</v>
      </c>
      <c r="L63" s="10">
        <f t="shared" si="0"/>
        <v>12.134502923976607</v>
      </c>
      <c r="M63" s="8">
        <v>477</v>
      </c>
      <c r="N63" s="10">
        <f t="shared" si="1"/>
        <v>69.73684210526315</v>
      </c>
      <c r="O63" s="8">
        <v>0</v>
      </c>
      <c r="P63" s="8">
        <v>0</v>
      </c>
      <c r="Q63" s="50" t="s">
        <v>586</v>
      </c>
      <c r="R63" s="53">
        <v>44603</v>
      </c>
      <c r="S63" s="10"/>
      <c r="T63" s="10"/>
      <c r="U63" s="10" t="s">
        <v>408</v>
      </c>
      <c r="V63" s="10"/>
      <c r="W63" s="10"/>
      <c r="X63" s="10"/>
      <c r="Y63" s="10"/>
      <c r="Z63" s="10"/>
      <c r="AA63" s="10" t="s">
        <v>412</v>
      </c>
      <c r="AB63" s="10"/>
      <c r="AC63" s="10"/>
      <c r="AD63" s="10"/>
      <c r="AE63" s="10"/>
    </row>
    <row r="64" spans="1:31">
      <c r="A64" s="8" t="s">
        <v>36</v>
      </c>
      <c r="B64" s="8" t="s">
        <v>1598</v>
      </c>
      <c r="C64" s="8" t="s">
        <v>1714</v>
      </c>
      <c r="D64" s="9" t="s">
        <v>1721</v>
      </c>
      <c r="E64" s="8" t="s">
        <v>1722</v>
      </c>
      <c r="F64" s="8">
        <v>342.12</v>
      </c>
      <c r="G64" s="8">
        <v>131</v>
      </c>
      <c r="H64" s="8">
        <v>672</v>
      </c>
      <c r="I64" s="8">
        <v>344</v>
      </c>
      <c r="J64" s="8">
        <v>328</v>
      </c>
      <c r="K64" s="8">
        <v>204</v>
      </c>
      <c r="L64" s="10">
        <f t="shared" si="0"/>
        <v>30.357142857142854</v>
      </c>
      <c r="M64" s="8">
        <v>344</v>
      </c>
      <c r="N64" s="10">
        <f t="shared" si="1"/>
        <v>51.19047619047619</v>
      </c>
      <c r="O64" s="8">
        <v>7.89</v>
      </c>
      <c r="P64" s="8">
        <v>0</v>
      </c>
      <c r="Q64" s="50" t="s">
        <v>586</v>
      </c>
      <c r="R64" s="53">
        <v>44603</v>
      </c>
      <c r="S64" s="10"/>
      <c r="T64" s="10">
        <v>7</v>
      </c>
      <c r="U64" s="10" t="s">
        <v>408</v>
      </c>
      <c r="V64" s="10"/>
      <c r="W64" s="10"/>
      <c r="X64" s="10"/>
      <c r="Y64" s="10"/>
      <c r="Z64" s="10"/>
      <c r="AA64" s="10" t="s">
        <v>408</v>
      </c>
      <c r="AB64" s="10">
        <v>2</v>
      </c>
      <c r="AC64" s="10"/>
      <c r="AD64" s="10"/>
      <c r="AE64" s="10"/>
    </row>
    <row r="65" spans="1:31">
      <c r="A65" s="8" t="s">
        <v>36</v>
      </c>
      <c r="B65" s="8" t="s">
        <v>1598</v>
      </c>
      <c r="C65" s="8" t="s">
        <v>1714</v>
      </c>
      <c r="D65" s="9" t="s">
        <v>90</v>
      </c>
      <c r="E65" s="8" t="s">
        <v>1723</v>
      </c>
      <c r="F65" s="8">
        <v>481.21</v>
      </c>
      <c r="G65" s="8">
        <v>141</v>
      </c>
      <c r="H65" s="8">
        <v>741</v>
      </c>
      <c r="I65" s="8">
        <v>380</v>
      </c>
      <c r="J65" s="8">
        <v>361</v>
      </c>
      <c r="K65" s="8">
        <v>276</v>
      </c>
      <c r="L65" s="10">
        <f t="shared" si="0"/>
        <v>37.246963562753038</v>
      </c>
      <c r="M65" s="8">
        <v>81</v>
      </c>
      <c r="N65" s="10">
        <f t="shared" si="1"/>
        <v>10.931174089068826</v>
      </c>
      <c r="O65" s="8">
        <v>0</v>
      </c>
      <c r="P65" s="8">
        <v>0</v>
      </c>
      <c r="Q65" s="50" t="s">
        <v>586</v>
      </c>
      <c r="R65" s="53">
        <v>44603</v>
      </c>
      <c r="S65" s="10"/>
      <c r="T65" s="10"/>
      <c r="U65" s="10" t="s">
        <v>408</v>
      </c>
      <c r="V65" s="10"/>
      <c r="W65" s="10"/>
      <c r="X65" s="10"/>
      <c r="Y65" s="10"/>
      <c r="Z65" s="10"/>
      <c r="AA65" s="10" t="s">
        <v>412</v>
      </c>
      <c r="AB65" s="10"/>
      <c r="AC65" s="10"/>
      <c r="AD65" s="10"/>
      <c r="AE65" s="10"/>
    </row>
    <row r="66" spans="1:31">
      <c r="A66" s="8" t="s">
        <v>36</v>
      </c>
      <c r="B66" s="8" t="s">
        <v>1598</v>
      </c>
      <c r="C66" s="8" t="s">
        <v>1724</v>
      </c>
      <c r="D66" s="9" t="s">
        <v>1725</v>
      </c>
      <c r="E66" s="8" t="s">
        <v>1726</v>
      </c>
      <c r="F66" s="8">
        <v>460.85</v>
      </c>
      <c r="G66" s="8">
        <v>889</v>
      </c>
      <c r="H66" s="8">
        <v>3299</v>
      </c>
      <c r="I66" s="8">
        <v>1768</v>
      </c>
      <c r="J66" s="8">
        <v>1531</v>
      </c>
      <c r="K66" s="8">
        <v>353</v>
      </c>
      <c r="L66" s="10">
        <f t="shared" si="0"/>
        <v>10.700212185510761</v>
      </c>
      <c r="M66" s="8">
        <v>506</v>
      </c>
      <c r="N66" s="10">
        <f t="shared" si="1"/>
        <v>15.337981206426191</v>
      </c>
      <c r="O66" s="8">
        <v>3.09</v>
      </c>
      <c r="P66" s="8">
        <v>0</v>
      </c>
      <c r="Q66" s="50" t="s">
        <v>586</v>
      </c>
      <c r="R66" s="53">
        <v>44600</v>
      </c>
      <c r="S66" s="10"/>
      <c r="T66" s="10"/>
      <c r="U66" s="10" t="s">
        <v>408</v>
      </c>
      <c r="V66" s="10"/>
      <c r="W66" s="10"/>
      <c r="X66" s="10"/>
      <c r="Y66" s="10"/>
      <c r="Z66" s="10"/>
      <c r="AA66" s="10" t="s">
        <v>412</v>
      </c>
      <c r="AB66" s="10"/>
      <c r="AC66" s="10"/>
      <c r="AD66" s="52">
        <v>25.128119000000002</v>
      </c>
      <c r="AE66" s="52">
        <v>76.182023000000001</v>
      </c>
    </row>
    <row r="67" spans="1:31">
      <c r="A67" s="8" t="s">
        <v>36</v>
      </c>
      <c r="B67" s="8" t="s">
        <v>1598</v>
      </c>
      <c r="C67" s="8" t="s">
        <v>1724</v>
      </c>
      <c r="D67" s="9" t="s">
        <v>1727</v>
      </c>
      <c r="E67" s="8" t="s">
        <v>1728</v>
      </c>
      <c r="F67" s="8">
        <v>162.62</v>
      </c>
      <c r="G67" s="8">
        <v>110</v>
      </c>
      <c r="H67" s="8">
        <v>585</v>
      </c>
      <c r="I67" s="8">
        <v>294</v>
      </c>
      <c r="J67" s="8">
        <v>291</v>
      </c>
      <c r="K67" s="8">
        <v>202</v>
      </c>
      <c r="L67" s="10">
        <f t="shared" si="0"/>
        <v>34.529914529914528</v>
      </c>
      <c r="M67" s="8">
        <v>0</v>
      </c>
      <c r="N67" s="10">
        <f t="shared" si="1"/>
        <v>0</v>
      </c>
      <c r="O67" s="8">
        <v>23.69</v>
      </c>
      <c r="P67" s="8">
        <v>0</v>
      </c>
      <c r="Q67" s="50" t="s">
        <v>586</v>
      </c>
      <c r="R67" s="53">
        <v>44600</v>
      </c>
      <c r="S67" s="10"/>
      <c r="T67" s="10">
        <v>23</v>
      </c>
      <c r="U67" s="10" t="s">
        <v>408</v>
      </c>
      <c r="V67" s="10"/>
      <c r="W67" s="10"/>
      <c r="X67" s="10"/>
      <c r="Y67" s="10"/>
      <c r="Z67" s="10"/>
      <c r="AA67" s="10" t="s">
        <v>412</v>
      </c>
      <c r="AB67" s="10"/>
      <c r="AC67" s="10"/>
      <c r="AD67" s="52">
        <v>25.159735000000001</v>
      </c>
      <c r="AE67" s="52">
        <v>76.211751669999998</v>
      </c>
    </row>
    <row r="68" spans="1:31">
      <c r="A68" s="8" t="s">
        <v>36</v>
      </c>
      <c r="B68" s="8" t="s">
        <v>1598</v>
      </c>
      <c r="C68" s="8" t="s">
        <v>1724</v>
      </c>
      <c r="D68" s="9" t="s">
        <v>1729</v>
      </c>
      <c r="E68" s="8" t="s">
        <v>1730</v>
      </c>
      <c r="F68" s="8">
        <v>830</v>
      </c>
      <c r="G68" s="8">
        <v>128</v>
      </c>
      <c r="H68" s="8">
        <v>638</v>
      </c>
      <c r="I68" s="8">
        <v>323</v>
      </c>
      <c r="J68" s="8">
        <v>315</v>
      </c>
      <c r="K68" s="8">
        <v>360</v>
      </c>
      <c r="L68" s="10">
        <f t="shared" ref="L68:L131" si="2">K68/H68*100</f>
        <v>56.426332288401248</v>
      </c>
      <c r="M68" s="8">
        <v>106</v>
      </c>
      <c r="N68" s="10">
        <f t="shared" si="1"/>
        <v>16.614420062695924</v>
      </c>
      <c r="O68" s="8">
        <v>1.74</v>
      </c>
      <c r="P68" s="8">
        <v>0</v>
      </c>
      <c r="Q68" s="50" t="s">
        <v>586</v>
      </c>
      <c r="R68" s="53">
        <v>44600</v>
      </c>
      <c r="S68" s="10"/>
      <c r="T68" s="10"/>
      <c r="U68" s="10" t="s">
        <v>408</v>
      </c>
      <c r="V68" s="10"/>
      <c r="W68" s="10"/>
      <c r="X68" s="10"/>
      <c r="Y68" s="10"/>
      <c r="Z68" s="10"/>
      <c r="AA68" s="10" t="s">
        <v>412</v>
      </c>
      <c r="AB68" s="10"/>
      <c r="AC68" s="10"/>
      <c r="AD68" s="10"/>
      <c r="AE68" s="10"/>
    </row>
    <row r="69" spans="1:31">
      <c r="A69" s="8" t="s">
        <v>36</v>
      </c>
      <c r="B69" s="8" t="s">
        <v>1598</v>
      </c>
      <c r="C69" s="8" t="s">
        <v>1724</v>
      </c>
      <c r="D69" s="9" t="s">
        <v>1731</v>
      </c>
      <c r="E69" s="8" t="s">
        <v>1732</v>
      </c>
      <c r="F69" s="8">
        <v>47</v>
      </c>
      <c r="G69" s="8">
        <v>75</v>
      </c>
      <c r="H69" s="8">
        <v>429</v>
      </c>
      <c r="I69" s="8">
        <v>225</v>
      </c>
      <c r="J69" s="8">
        <v>204</v>
      </c>
      <c r="K69" s="8">
        <v>57</v>
      </c>
      <c r="L69" s="10">
        <f t="shared" si="2"/>
        <v>13.286713286713287</v>
      </c>
      <c r="M69" s="8">
        <v>4</v>
      </c>
      <c r="N69" s="10">
        <f t="shared" ref="N69:N132" si="3">M69/H69*100</f>
        <v>0.93240093240093236</v>
      </c>
      <c r="O69" s="8">
        <v>0</v>
      </c>
      <c r="P69" s="8">
        <v>0.8</v>
      </c>
      <c r="Q69" s="50" t="s">
        <v>586</v>
      </c>
      <c r="R69" s="53">
        <v>44600</v>
      </c>
      <c r="S69" s="10"/>
      <c r="T69" s="10"/>
      <c r="U69" s="10" t="s">
        <v>408</v>
      </c>
      <c r="V69" s="10"/>
      <c r="W69" s="10"/>
      <c r="X69" s="10"/>
      <c r="Y69" s="10"/>
      <c r="Z69" s="10"/>
      <c r="AA69" s="10" t="s">
        <v>412</v>
      </c>
      <c r="AB69" s="10"/>
      <c r="AC69" s="10"/>
      <c r="AD69" s="10"/>
      <c r="AE69" s="10"/>
    </row>
    <row r="70" spans="1:31">
      <c r="A70" s="8" t="s">
        <v>36</v>
      </c>
      <c r="B70" s="8" t="s">
        <v>1598</v>
      </c>
      <c r="C70" s="8" t="s">
        <v>1724</v>
      </c>
      <c r="D70" s="9" t="s">
        <v>1733</v>
      </c>
      <c r="E70" s="8" t="s">
        <v>1734</v>
      </c>
      <c r="F70" s="8">
        <v>395</v>
      </c>
      <c r="G70" s="8">
        <v>138</v>
      </c>
      <c r="H70" s="8">
        <v>727</v>
      </c>
      <c r="I70" s="8">
        <v>368</v>
      </c>
      <c r="J70" s="8">
        <v>359</v>
      </c>
      <c r="K70" s="8">
        <v>81</v>
      </c>
      <c r="L70" s="10">
        <f t="shared" si="2"/>
        <v>11.141678129298487</v>
      </c>
      <c r="M70" s="8">
        <v>169</v>
      </c>
      <c r="N70" s="10">
        <f t="shared" si="3"/>
        <v>23.246217331499309</v>
      </c>
      <c r="O70" s="8">
        <v>14.28</v>
      </c>
      <c r="P70" s="8">
        <v>38.130000000000003</v>
      </c>
      <c r="Q70" s="50" t="s">
        <v>586</v>
      </c>
      <c r="R70" s="53">
        <v>44600</v>
      </c>
      <c r="S70" s="10"/>
      <c r="T70" s="10">
        <v>14</v>
      </c>
      <c r="U70" s="10" t="s">
        <v>408</v>
      </c>
      <c r="V70" s="10"/>
      <c r="W70" s="10"/>
      <c r="X70" s="10"/>
      <c r="Y70" s="10"/>
      <c r="Z70" s="10"/>
      <c r="AA70" s="10" t="s">
        <v>412</v>
      </c>
      <c r="AB70" s="10"/>
      <c r="AC70" s="10"/>
      <c r="AD70" s="10"/>
      <c r="AE70" s="10"/>
    </row>
    <row r="71" spans="1:31">
      <c r="A71" s="8" t="s">
        <v>36</v>
      </c>
      <c r="B71" s="8" t="s">
        <v>1598</v>
      </c>
      <c r="C71" s="8" t="s">
        <v>1724</v>
      </c>
      <c r="D71" s="9" t="s">
        <v>1735</v>
      </c>
      <c r="E71" s="8" t="s">
        <v>1736</v>
      </c>
      <c r="F71" s="8">
        <v>417</v>
      </c>
      <c r="G71" s="8">
        <v>160</v>
      </c>
      <c r="H71" s="8">
        <v>755</v>
      </c>
      <c r="I71" s="8">
        <v>417</v>
      </c>
      <c r="J71" s="8">
        <v>338</v>
      </c>
      <c r="K71" s="8">
        <v>70</v>
      </c>
      <c r="L71" s="10">
        <f t="shared" si="2"/>
        <v>9.2715231788079464</v>
      </c>
      <c r="M71" s="8">
        <v>77</v>
      </c>
      <c r="N71" s="10">
        <f t="shared" si="3"/>
        <v>10.198675496688741</v>
      </c>
      <c r="O71" s="8">
        <v>1.99</v>
      </c>
      <c r="P71" s="8">
        <v>0</v>
      </c>
      <c r="Q71" s="50" t="s">
        <v>586</v>
      </c>
      <c r="R71" s="53">
        <v>44600</v>
      </c>
      <c r="S71" s="10"/>
      <c r="T71" s="10"/>
      <c r="U71" s="10" t="s">
        <v>408</v>
      </c>
      <c r="V71" s="10"/>
      <c r="W71" s="10"/>
      <c r="X71" s="10"/>
      <c r="Y71" s="10"/>
      <c r="Z71" s="10"/>
      <c r="AA71" s="10" t="s">
        <v>412</v>
      </c>
      <c r="AB71" s="10"/>
      <c r="AC71" s="10"/>
      <c r="AD71" s="10"/>
      <c r="AE71" s="10"/>
    </row>
    <row r="72" spans="1:31">
      <c r="A72" s="8" t="s">
        <v>36</v>
      </c>
      <c r="B72" s="8" t="s">
        <v>1598</v>
      </c>
      <c r="C72" s="8" t="s">
        <v>1293</v>
      </c>
      <c r="D72" s="9" t="s">
        <v>1737</v>
      </c>
      <c r="E72" s="8" t="s">
        <v>1738</v>
      </c>
      <c r="F72" s="8">
        <v>436.13</v>
      </c>
      <c r="G72" s="8">
        <v>130</v>
      </c>
      <c r="H72" s="8">
        <v>736</v>
      </c>
      <c r="I72" s="8">
        <v>403</v>
      </c>
      <c r="J72" s="8">
        <v>333</v>
      </c>
      <c r="K72" s="8">
        <v>177</v>
      </c>
      <c r="L72" s="10">
        <f t="shared" si="2"/>
        <v>24.048913043478262</v>
      </c>
      <c r="M72" s="8">
        <v>415</v>
      </c>
      <c r="N72" s="10">
        <f t="shared" si="3"/>
        <v>56.385869565217398</v>
      </c>
      <c r="O72" s="8">
        <v>0</v>
      </c>
      <c r="P72" s="8">
        <v>0</v>
      </c>
      <c r="Q72" s="37" t="s">
        <v>408</v>
      </c>
      <c r="R72" s="83">
        <v>44656</v>
      </c>
      <c r="S72" s="10"/>
      <c r="T72" s="10">
        <v>5</v>
      </c>
      <c r="U72" s="10"/>
      <c r="V72" s="10"/>
      <c r="W72" s="10"/>
      <c r="X72" s="10"/>
      <c r="Y72" s="10"/>
      <c r="Z72" s="10"/>
      <c r="AA72" s="10" t="s">
        <v>412</v>
      </c>
      <c r="AB72" s="10"/>
      <c r="AC72" s="10"/>
      <c r="AD72" s="35">
        <v>25.269036</v>
      </c>
      <c r="AE72" s="35">
        <v>76.13467</v>
      </c>
    </row>
    <row r="73" spans="1:31">
      <c r="A73" s="8" t="s">
        <v>36</v>
      </c>
      <c r="B73" s="8" t="s">
        <v>1598</v>
      </c>
      <c r="C73" s="8" t="s">
        <v>1293</v>
      </c>
      <c r="D73" s="9" t="s">
        <v>1739</v>
      </c>
      <c r="E73" s="8" t="s">
        <v>1740</v>
      </c>
      <c r="F73" s="8">
        <v>182.64</v>
      </c>
      <c r="G73" s="8">
        <v>43</v>
      </c>
      <c r="H73" s="8">
        <v>219</v>
      </c>
      <c r="I73" s="8">
        <v>116</v>
      </c>
      <c r="J73" s="8">
        <v>103</v>
      </c>
      <c r="K73" s="8">
        <v>88</v>
      </c>
      <c r="L73" s="10">
        <f t="shared" si="2"/>
        <v>40.182648401826484</v>
      </c>
      <c r="M73" s="8">
        <v>118</v>
      </c>
      <c r="N73" s="10">
        <f t="shared" si="3"/>
        <v>53.881278538812779</v>
      </c>
      <c r="O73" s="8">
        <v>0</v>
      </c>
      <c r="P73" s="8">
        <v>0</v>
      </c>
      <c r="Q73" s="37" t="s">
        <v>408</v>
      </c>
      <c r="R73" s="83">
        <v>44656</v>
      </c>
      <c r="S73" s="10"/>
      <c r="T73" s="10">
        <v>8</v>
      </c>
      <c r="U73" s="10"/>
      <c r="V73" s="10"/>
      <c r="W73" s="10"/>
      <c r="X73" s="10"/>
      <c r="Y73" s="10"/>
      <c r="Z73" s="10"/>
      <c r="AA73" s="10" t="s">
        <v>412</v>
      </c>
      <c r="AB73" s="10"/>
      <c r="AC73" s="10"/>
      <c r="AD73" s="35">
        <v>25.269036</v>
      </c>
      <c r="AE73" s="35">
        <v>76.13467</v>
      </c>
    </row>
    <row r="74" spans="1:31">
      <c r="A74" s="8" t="s">
        <v>36</v>
      </c>
      <c r="B74" s="8" t="s">
        <v>1598</v>
      </c>
      <c r="C74" s="8" t="s">
        <v>1293</v>
      </c>
      <c r="D74" s="9" t="s">
        <v>1741</v>
      </c>
      <c r="E74" s="8" t="s">
        <v>1742</v>
      </c>
      <c r="F74" s="8">
        <v>410.1</v>
      </c>
      <c r="G74" s="8">
        <v>220</v>
      </c>
      <c r="H74" s="8">
        <v>1111</v>
      </c>
      <c r="I74" s="8">
        <v>560</v>
      </c>
      <c r="J74" s="8">
        <v>551</v>
      </c>
      <c r="K74" s="8">
        <v>551</v>
      </c>
      <c r="L74" s="10">
        <f t="shared" si="2"/>
        <v>49.594959495949595</v>
      </c>
      <c r="M74" s="8">
        <v>0</v>
      </c>
      <c r="N74" s="10">
        <f t="shared" si="3"/>
        <v>0</v>
      </c>
      <c r="O74" s="8">
        <v>1.78</v>
      </c>
      <c r="P74" s="8">
        <v>0</v>
      </c>
      <c r="Q74" s="37" t="s">
        <v>408</v>
      </c>
      <c r="R74" s="83">
        <v>44656</v>
      </c>
      <c r="S74" s="10"/>
      <c r="T74" s="10"/>
      <c r="U74" s="10"/>
      <c r="V74" s="10"/>
      <c r="W74" s="10"/>
      <c r="X74" s="10"/>
      <c r="Y74" s="10"/>
      <c r="Z74" s="10"/>
      <c r="AA74" s="10" t="s">
        <v>412</v>
      </c>
      <c r="AB74" s="10"/>
      <c r="AC74" s="10"/>
      <c r="AD74" s="35">
        <v>25.269036</v>
      </c>
      <c r="AE74" s="35">
        <v>76.13467</v>
      </c>
    </row>
    <row r="75" spans="1:31">
      <c r="A75" s="8" t="s">
        <v>36</v>
      </c>
      <c r="B75" s="8" t="s">
        <v>1598</v>
      </c>
      <c r="C75" s="8" t="s">
        <v>1293</v>
      </c>
      <c r="D75" s="9" t="s">
        <v>1743</v>
      </c>
      <c r="E75" s="8" t="s">
        <v>1744</v>
      </c>
      <c r="F75" s="8">
        <v>393.01</v>
      </c>
      <c r="G75" s="8">
        <v>182</v>
      </c>
      <c r="H75" s="8">
        <v>1094</v>
      </c>
      <c r="I75" s="8">
        <v>582</v>
      </c>
      <c r="J75" s="8">
        <v>512</v>
      </c>
      <c r="K75" s="8">
        <v>144</v>
      </c>
      <c r="L75" s="10">
        <f t="shared" si="2"/>
        <v>13.16270566727605</v>
      </c>
      <c r="M75" s="8">
        <v>239</v>
      </c>
      <c r="N75" s="10">
        <f t="shared" si="3"/>
        <v>21.846435100548444</v>
      </c>
      <c r="O75" s="8">
        <v>0</v>
      </c>
      <c r="P75" s="8">
        <v>0</v>
      </c>
      <c r="Q75" s="37" t="s">
        <v>408</v>
      </c>
      <c r="R75" s="83">
        <v>44656</v>
      </c>
      <c r="S75" s="10"/>
      <c r="T75" s="10"/>
      <c r="U75" s="10"/>
      <c r="V75" s="10"/>
      <c r="W75" s="10"/>
      <c r="X75" s="10"/>
      <c r="Y75" s="10"/>
      <c r="Z75" s="10"/>
      <c r="AA75" s="10" t="s">
        <v>412</v>
      </c>
      <c r="AB75" s="10"/>
      <c r="AC75" s="10"/>
      <c r="AD75" s="35">
        <v>25.269036</v>
      </c>
      <c r="AE75" s="35">
        <v>76.13467</v>
      </c>
    </row>
    <row r="76" spans="1:31">
      <c r="A76" s="8" t="s">
        <v>36</v>
      </c>
      <c r="B76" s="8" t="s">
        <v>1598</v>
      </c>
      <c r="C76" s="8" t="s">
        <v>1293</v>
      </c>
      <c r="D76" s="9" t="s">
        <v>1745</v>
      </c>
      <c r="E76" s="8" t="s">
        <v>1746</v>
      </c>
      <c r="F76" s="8">
        <v>543.07000000000005</v>
      </c>
      <c r="G76" s="8">
        <v>45</v>
      </c>
      <c r="H76" s="8">
        <v>220</v>
      </c>
      <c r="I76" s="8">
        <v>113</v>
      </c>
      <c r="J76" s="8">
        <v>107</v>
      </c>
      <c r="K76" s="8">
        <v>65</v>
      </c>
      <c r="L76" s="10">
        <f t="shared" si="2"/>
        <v>29.545454545454547</v>
      </c>
      <c r="M76" s="8">
        <v>0</v>
      </c>
      <c r="N76" s="10">
        <f t="shared" si="3"/>
        <v>0</v>
      </c>
      <c r="O76" s="8">
        <v>6.17</v>
      </c>
      <c r="P76" s="8">
        <v>135.18</v>
      </c>
      <c r="Q76" s="37" t="s">
        <v>408</v>
      </c>
      <c r="R76" s="83">
        <v>44656</v>
      </c>
      <c r="S76" s="10"/>
      <c r="T76" s="10">
        <v>12</v>
      </c>
      <c r="U76" s="10"/>
      <c r="V76" s="10"/>
      <c r="W76" s="10"/>
      <c r="X76" s="10"/>
      <c r="Y76" s="10"/>
      <c r="Z76" s="10"/>
      <c r="AA76" s="10" t="s">
        <v>412</v>
      </c>
      <c r="AB76" s="10"/>
      <c r="AC76" s="10"/>
      <c r="AD76" s="35">
        <v>25.269036</v>
      </c>
      <c r="AE76" s="35">
        <v>76.13467</v>
      </c>
    </row>
    <row r="77" spans="1:31">
      <c r="A77" s="8" t="s">
        <v>36</v>
      </c>
      <c r="B77" s="8" t="s">
        <v>1598</v>
      </c>
      <c r="C77" s="8" t="s">
        <v>1293</v>
      </c>
      <c r="D77" s="9" t="s">
        <v>1747</v>
      </c>
      <c r="E77" s="8" t="s">
        <v>1748</v>
      </c>
      <c r="F77" s="8">
        <v>447.04</v>
      </c>
      <c r="G77" s="8">
        <v>24</v>
      </c>
      <c r="H77" s="8">
        <v>94</v>
      </c>
      <c r="I77" s="8">
        <v>49</v>
      </c>
      <c r="J77" s="8">
        <v>45</v>
      </c>
      <c r="K77" s="8">
        <v>41</v>
      </c>
      <c r="L77" s="10">
        <f t="shared" si="2"/>
        <v>43.61702127659575</v>
      </c>
      <c r="M77" s="8">
        <v>0</v>
      </c>
      <c r="N77" s="10">
        <f t="shared" si="3"/>
        <v>0</v>
      </c>
      <c r="O77" s="8">
        <v>1.65</v>
      </c>
      <c r="P77" s="8">
        <v>237.15</v>
      </c>
      <c r="Q77" s="37" t="s">
        <v>408</v>
      </c>
      <c r="R77" s="83">
        <v>44656</v>
      </c>
      <c r="S77" s="10"/>
      <c r="T77" s="10"/>
      <c r="U77" s="10"/>
      <c r="V77" s="10"/>
      <c r="W77" s="10"/>
      <c r="X77" s="10"/>
      <c r="Y77" s="10"/>
      <c r="Z77" s="10"/>
      <c r="AA77" s="10" t="s">
        <v>412</v>
      </c>
      <c r="AB77" s="10"/>
      <c r="AC77" s="10"/>
      <c r="AD77" s="35">
        <v>25.269036</v>
      </c>
      <c r="AE77" s="35">
        <v>76.13467</v>
      </c>
    </row>
    <row r="78" spans="1:31">
      <c r="A78" s="8" t="s">
        <v>36</v>
      </c>
      <c r="B78" s="8" t="s">
        <v>1598</v>
      </c>
      <c r="C78" s="8" t="s">
        <v>1749</v>
      </c>
      <c r="D78" s="9" t="s">
        <v>1750</v>
      </c>
      <c r="E78" s="8" t="s">
        <v>1751</v>
      </c>
      <c r="F78" s="8">
        <v>407.65</v>
      </c>
      <c r="G78" s="8">
        <v>245</v>
      </c>
      <c r="H78" s="8">
        <v>1342</v>
      </c>
      <c r="I78" s="8">
        <v>708</v>
      </c>
      <c r="J78" s="8">
        <v>634</v>
      </c>
      <c r="K78" s="8">
        <v>202</v>
      </c>
      <c r="L78" s="10">
        <f t="shared" si="2"/>
        <v>15.052160953800298</v>
      </c>
      <c r="M78" s="8">
        <v>687</v>
      </c>
      <c r="N78" s="10">
        <f t="shared" si="3"/>
        <v>51.192250372578243</v>
      </c>
      <c r="O78" s="8">
        <v>0</v>
      </c>
      <c r="P78" s="8">
        <v>0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 t="s">
        <v>412</v>
      </c>
      <c r="AB78" s="10"/>
      <c r="AC78" s="10"/>
      <c r="AD78" s="10"/>
      <c r="AE78" s="10"/>
    </row>
    <row r="79" spans="1:31">
      <c r="A79" s="8" t="s">
        <v>36</v>
      </c>
      <c r="B79" s="8" t="s">
        <v>1598</v>
      </c>
      <c r="C79" s="8" t="s">
        <v>1749</v>
      </c>
      <c r="D79" s="9" t="s">
        <v>1752</v>
      </c>
      <c r="E79" s="8" t="s">
        <v>1753</v>
      </c>
      <c r="F79" s="8">
        <v>384.53</v>
      </c>
      <c r="G79" s="8">
        <v>121</v>
      </c>
      <c r="H79" s="8">
        <v>555</v>
      </c>
      <c r="I79" s="8">
        <v>272</v>
      </c>
      <c r="J79" s="8">
        <v>283</v>
      </c>
      <c r="K79" s="8">
        <v>61</v>
      </c>
      <c r="L79" s="10">
        <f t="shared" si="2"/>
        <v>10.990990990990991</v>
      </c>
      <c r="M79" s="8">
        <v>386</v>
      </c>
      <c r="N79" s="10">
        <f t="shared" si="3"/>
        <v>69.549549549549553</v>
      </c>
      <c r="O79" s="8">
        <v>0</v>
      </c>
      <c r="P79" s="8">
        <v>0.97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 t="s">
        <v>412</v>
      </c>
      <c r="AB79" s="10"/>
      <c r="AC79" s="10"/>
      <c r="AD79" s="10"/>
      <c r="AE79" s="10"/>
    </row>
    <row r="80" spans="1:31">
      <c r="A80" s="8" t="s">
        <v>36</v>
      </c>
      <c r="B80" s="8" t="s">
        <v>1598</v>
      </c>
      <c r="C80" s="8" t="s">
        <v>1749</v>
      </c>
      <c r="D80" s="9" t="s">
        <v>1754</v>
      </c>
      <c r="E80" s="8" t="s">
        <v>1755</v>
      </c>
      <c r="F80" s="8">
        <v>188.95</v>
      </c>
      <c r="G80" s="8">
        <v>54</v>
      </c>
      <c r="H80" s="8">
        <v>228</v>
      </c>
      <c r="I80" s="8">
        <v>126</v>
      </c>
      <c r="J80" s="8">
        <v>102</v>
      </c>
      <c r="K80" s="8">
        <v>0</v>
      </c>
      <c r="L80" s="10">
        <f t="shared" si="2"/>
        <v>0</v>
      </c>
      <c r="M80" s="8">
        <v>179</v>
      </c>
      <c r="N80" s="10">
        <f t="shared" si="3"/>
        <v>78.508771929824562</v>
      </c>
      <c r="O80" s="8">
        <v>4.76</v>
      </c>
      <c r="P80" s="8">
        <v>0</v>
      </c>
      <c r="Q80" s="10"/>
      <c r="R80" s="10"/>
      <c r="S80" s="10"/>
      <c r="T80" s="10">
        <v>4</v>
      </c>
      <c r="U80" s="10"/>
      <c r="V80" s="10"/>
      <c r="W80" s="10"/>
      <c r="X80" s="10"/>
      <c r="Y80" s="10"/>
      <c r="Z80" s="10"/>
      <c r="AA80" s="10" t="s">
        <v>408</v>
      </c>
      <c r="AB80" s="10">
        <v>2</v>
      </c>
      <c r="AC80" s="10"/>
      <c r="AD80" s="10"/>
      <c r="AE80" s="10"/>
    </row>
    <row r="81" spans="1:31">
      <c r="A81" s="8" t="s">
        <v>36</v>
      </c>
      <c r="B81" s="8" t="s">
        <v>1598</v>
      </c>
      <c r="C81" s="8" t="s">
        <v>1749</v>
      </c>
      <c r="D81" s="9" t="s">
        <v>1756</v>
      </c>
      <c r="E81" s="8" t="s">
        <v>1757</v>
      </c>
      <c r="F81" s="8">
        <v>782.62</v>
      </c>
      <c r="G81" s="8">
        <v>123</v>
      </c>
      <c r="H81" s="8">
        <v>606</v>
      </c>
      <c r="I81" s="8">
        <v>304</v>
      </c>
      <c r="J81" s="8">
        <v>302</v>
      </c>
      <c r="K81" s="8">
        <v>0</v>
      </c>
      <c r="L81" s="10">
        <f t="shared" si="2"/>
        <v>0</v>
      </c>
      <c r="M81" s="8">
        <v>0</v>
      </c>
      <c r="N81" s="10">
        <f t="shared" si="3"/>
        <v>0</v>
      </c>
      <c r="O81" s="8">
        <v>0</v>
      </c>
      <c r="P81" s="8">
        <v>227.56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 t="s">
        <v>412</v>
      </c>
      <c r="AB81" s="10"/>
      <c r="AC81" s="10"/>
      <c r="AD81" s="10"/>
      <c r="AE81" s="10"/>
    </row>
    <row r="82" spans="1:31">
      <c r="A82" s="8" t="s">
        <v>36</v>
      </c>
      <c r="B82" s="8" t="s">
        <v>1598</v>
      </c>
      <c r="C82" s="8" t="s">
        <v>1749</v>
      </c>
      <c r="D82" s="9" t="s">
        <v>1758</v>
      </c>
      <c r="E82" s="8" t="s">
        <v>1759</v>
      </c>
      <c r="F82" s="8">
        <v>332.16</v>
      </c>
      <c r="G82" s="8">
        <v>77</v>
      </c>
      <c r="H82" s="8">
        <v>387</v>
      </c>
      <c r="I82" s="8">
        <v>204</v>
      </c>
      <c r="J82" s="8">
        <v>183</v>
      </c>
      <c r="K82" s="8">
        <v>59</v>
      </c>
      <c r="L82" s="10">
        <f t="shared" si="2"/>
        <v>15.245478036175712</v>
      </c>
      <c r="M82" s="8">
        <v>14</v>
      </c>
      <c r="N82" s="10">
        <f t="shared" si="3"/>
        <v>3.6175710594315245</v>
      </c>
      <c r="O82" s="8">
        <v>8.32</v>
      </c>
      <c r="P82" s="8">
        <v>0</v>
      </c>
      <c r="Q82" s="10"/>
      <c r="R82" s="10"/>
      <c r="S82" s="10"/>
      <c r="T82" s="10">
        <v>1</v>
      </c>
      <c r="U82" s="10"/>
      <c r="V82" s="10"/>
      <c r="W82" s="10"/>
      <c r="X82" s="10"/>
      <c r="Y82" s="10"/>
      <c r="Z82" s="10"/>
      <c r="AA82" s="10" t="s">
        <v>408</v>
      </c>
      <c r="AB82" s="10">
        <v>10</v>
      </c>
      <c r="AC82" s="10"/>
      <c r="AD82" s="10"/>
      <c r="AE82" s="10"/>
    </row>
    <row r="83" spans="1:31">
      <c r="A83" s="8" t="s">
        <v>36</v>
      </c>
      <c r="B83" s="8" t="s">
        <v>1598</v>
      </c>
      <c r="C83" s="8" t="s">
        <v>1749</v>
      </c>
      <c r="D83" s="9" t="s">
        <v>1760</v>
      </c>
      <c r="E83" s="8" t="s">
        <v>1761</v>
      </c>
      <c r="F83" s="8">
        <v>489.66</v>
      </c>
      <c r="G83" s="8">
        <v>69</v>
      </c>
      <c r="H83" s="8">
        <v>322</v>
      </c>
      <c r="I83" s="8">
        <v>169</v>
      </c>
      <c r="J83" s="8">
        <v>153</v>
      </c>
      <c r="K83" s="8">
        <v>49</v>
      </c>
      <c r="L83" s="10">
        <f t="shared" si="2"/>
        <v>15.217391304347828</v>
      </c>
      <c r="M83" s="8">
        <v>127</v>
      </c>
      <c r="N83" s="10">
        <f t="shared" si="3"/>
        <v>39.440993788819881</v>
      </c>
      <c r="O83" s="8">
        <v>0</v>
      </c>
      <c r="P83" s="8">
        <v>1.96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 t="s">
        <v>412</v>
      </c>
      <c r="AB83" s="10"/>
      <c r="AC83" s="10"/>
      <c r="AD83" s="10"/>
      <c r="AE83" s="10"/>
    </row>
    <row r="84" spans="1:31">
      <c r="A84" s="8" t="s">
        <v>36</v>
      </c>
      <c r="B84" s="8" t="s">
        <v>1598</v>
      </c>
      <c r="C84" s="8" t="s">
        <v>1749</v>
      </c>
      <c r="D84" s="9" t="s">
        <v>893</v>
      </c>
      <c r="E84" s="8" t="s">
        <v>1762</v>
      </c>
      <c r="F84" s="8">
        <v>327.88</v>
      </c>
      <c r="G84" s="8">
        <v>123</v>
      </c>
      <c r="H84" s="8">
        <v>723</v>
      </c>
      <c r="I84" s="8">
        <v>389</v>
      </c>
      <c r="J84" s="8">
        <v>334</v>
      </c>
      <c r="K84" s="8">
        <v>139</v>
      </c>
      <c r="L84" s="10">
        <f t="shared" si="2"/>
        <v>19.22544951590595</v>
      </c>
      <c r="M84" s="8">
        <v>364</v>
      </c>
      <c r="N84" s="10">
        <f t="shared" si="3"/>
        <v>50.345781466113415</v>
      </c>
      <c r="O84" s="8">
        <v>32.28</v>
      </c>
      <c r="P84" s="8">
        <v>0</v>
      </c>
      <c r="Q84" s="10"/>
      <c r="R84" s="10"/>
      <c r="S84" s="10"/>
      <c r="T84" s="10">
        <v>3</v>
      </c>
      <c r="U84" s="10"/>
      <c r="V84" s="10"/>
      <c r="W84" s="10"/>
      <c r="X84" s="10"/>
      <c r="Y84" s="10"/>
      <c r="Z84" s="10"/>
      <c r="AA84" s="10" t="s">
        <v>408</v>
      </c>
      <c r="AB84" s="10">
        <v>14</v>
      </c>
      <c r="AC84" s="10"/>
      <c r="AD84" s="10"/>
      <c r="AE84" s="10"/>
    </row>
    <row r="85" spans="1:31">
      <c r="A85" s="8" t="s">
        <v>36</v>
      </c>
      <c r="B85" s="8" t="s">
        <v>1598</v>
      </c>
      <c r="C85" s="8" t="s">
        <v>1749</v>
      </c>
      <c r="D85" s="9" t="s">
        <v>1763</v>
      </c>
      <c r="E85" s="8" t="s">
        <v>1764</v>
      </c>
      <c r="F85" s="8">
        <v>957.68</v>
      </c>
      <c r="G85" s="8">
        <v>194</v>
      </c>
      <c r="H85" s="8">
        <v>959</v>
      </c>
      <c r="I85" s="8">
        <v>496</v>
      </c>
      <c r="J85" s="8">
        <v>463</v>
      </c>
      <c r="K85" s="8">
        <v>57</v>
      </c>
      <c r="L85" s="10">
        <f t="shared" si="2"/>
        <v>5.9436913451511986</v>
      </c>
      <c r="M85" s="8">
        <v>0</v>
      </c>
      <c r="N85" s="10">
        <f t="shared" si="3"/>
        <v>0</v>
      </c>
      <c r="O85" s="8">
        <v>0</v>
      </c>
      <c r="P85" s="8">
        <v>250.55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 t="s">
        <v>412</v>
      </c>
      <c r="AB85" s="10"/>
      <c r="AC85" s="10"/>
      <c r="AD85" s="10"/>
      <c r="AE85" s="10"/>
    </row>
    <row r="86" spans="1:31">
      <c r="A86" s="8" t="s">
        <v>36</v>
      </c>
      <c r="B86" s="8" t="s">
        <v>1598</v>
      </c>
      <c r="C86" s="8" t="s">
        <v>1765</v>
      </c>
      <c r="D86" s="9" t="s">
        <v>1766</v>
      </c>
      <c r="E86" s="8" t="s">
        <v>1767</v>
      </c>
      <c r="F86" s="8">
        <v>776</v>
      </c>
      <c r="G86" s="8">
        <v>219</v>
      </c>
      <c r="H86" s="8">
        <v>1113</v>
      </c>
      <c r="I86" s="8">
        <v>558</v>
      </c>
      <c r="J86" s="8">
        <v>555</v>
      </c>
      <c r="K86" s="8">
        <v>390</v>
      </c>
      <c r="L86" s="10">
        <f t="shared" si="2"/>
        <v>35.040431266846362</v>
      </c>
      <c r="M86" s="8">
        <v>56</v>
      </c>
      <c r="N86" s="10">
        <f t="shared" si="3"/>
        <v>5.0314465408805038</v>
      </c>
      <c r="O86" s="8">
        <v>24</v>
      </c>
      <c r="P86" s="8">
        <v>138</v>
      </c>
      <c r="Q86" s="10"/>
      <c r="R86" s="51" t="s">
        <v>586</v>
      </c>
      <c r="S86" s="83">
        <v>44643</v>
      </c>
      <c r="T86" s="35">
        <v>17</v>
      </c>
      <c r="U86" s="10"/>
      <c r="V86" s="10"/>
      <c r="W86" s="10"/>
      <c r="X86" s="10"/>
      <c r="Y86" s="10"/>
      <c r="Z86" s="10"/>
      <c r="AA86" s="10" t="s">
        <v>408</v>
      </c>
      <c r="AB86" s="33">
        <v>8</v>
      </c>
      <c r="AC86" s="10"/>
      <c r="AD86" s="35">
        <v>25.34559711</v>
      </c>
      <c r="AE86" s="35">
        <v>76.175831000000002</v>
      </c>
    </row>
    <row r="87" spans="1:31">
      <c r="A87" s="8" t="s">
        <v>36</v>
      </c>
      <c r="B87" s="8" t="s">
        <v>1598</v>
      </c>
      <c r="C87" s="8" t="s">
        <v>1765</v>
      </c>
      <c r="D87" s="9" t="s">
        <v>1768</v>
      </c>
      <c r="E87" s="8" t="s">
        <v>1769</v>
      </c>
      <c r="F87" s="8">
        <v>1007</v>
      </c>
      <c r="G87" s="8">
        <v>153</v>
      </c>
      <c r="H87" s="8">
        <v>774</v>
      </c>
      <c r="I87" s="8">
        <v>394</v>
      </c>
      <c r="J87" s="8">
        <v>380</v>
      </c>
      <c r="K87" s="8">
        <v>77</v>
      </c>
      <c r="L87" s="10">
        <f t="shared" si="2"/>
        <v>9.9483204134366918</v>
      </c>
      <c r="M87" s="8">
        <v>64</v>
      </c>
      <c r="N87" s="10">
        <f t="shared" si="3"/>
        <v>8.2687338501292</v>
      </c>
      <c r="O87" s="8">
        <v>35</v>
      </c>
      <c r="P87" s="8">
        <v>447</v>
      </c>
      <c r="Q87" s="10"/>
      <c r="R87" s="51" t="s">
        <v>586</v>
      </c>
      <c r="S87" s="83">
        <v>44643</v>
      </c>
      <c r="T87" s="35">
        <v>6</v>
      </c>
      <c r="U87" s="10"/>
      <c r="V87" s="10"/>
      <c r="W87" s="10"/>
      <c r="X87" s="10"/>
      <c r="Y87" s="10"/>
      <c r="Z87" s="10"/>
      <c r="AA87" s="10" t="s">
        <v>408</v>
      </c>
      <c r="AB87" s="33">
        <v>1</v>
      </c>
      <c r="AC87" s="10"/>
      <c r="AD87" s="10"/>
      <c r="AE87" s="10"/>
    </row>
    <row r="88" spans="1:31">
      <c r="A88" s="8" t="s">
        <v>36</v>
      </c>
      <c r="B88" s="8" t="s">
        <v>1598</v>
      </c>
      <c r="C88" s="8" t="s">
        <v>1765</v>
      </c>
      <c r="D88" s="9" t="s">
        <v>1770</v>
      </c>
      <c r="E88" s="8" t="s">
        <v>1771</v>
      </c>
      <c r="F88" s="8">
        <v>287.10000000000002</v>
      </c>
      <c r="G88" s="8">
        <v>52</v>
      </c>
      <c r="H88" s="8">
        <v>249</v>
      </c>
      <c r="I88" s="8">
        <v>138</v>
      </c>
      <c r="J88" s="8">
        <v>111</v>
      </c>
      <c r="K88" s="8">
        <v>0</v>
      </c>
      <c r="L88" s="10">
        <f t="shared" si="2"/>
        <v>0</v>
      </c>
      <c r="M88" s="8">
        <v>229</v>
      </c>
      <c r="N88" s="10">
        <f t="shared" si="3"/>
        <v>91.967871485943775</v>
      </c>
      <c r="O88" s="8">
        <v>8</v>
      </c>
      <c r="P88" s="8">
        <v>14</v>
      </c>
      <c r="Q88" s="10"/>
      <c r="R88" s="10"/>
      <c r="S88" s="10"/>
      <c r="T88" s="35">
        <v>20</v>
      </c>
      <c r="U88" s="10"/>
      <c r="V88" s="10"/>
      <c r="W88" s="10"/>
      <c r="X88" s="10"/>
      <c r="Y88" s="10"/>
      <c r="Z88" s="10"/>
      <c r="AA88" s="10" t="s">
        <v>408</v>
      </c>
      <c r="AB88" s="33">
        <v>5</v>
      </c>
      <c r="AC88" s="10"/>
      <c r="AD88" s="10"/>
      <c r="AE88" s="10"/>
    </row>
    <row r="89" spans="1:31">
      <c r="A89" s="8" t="s">
        <v>36</v>
      </c>
      <c r="B89" s="8" t="s">
        <v>1598</v>
      </c>
      <c r="C89" s="8" t="s">
        <v>1765</v>
      </c>
      <c r="D89" s="9" t="s">
        <v>1772</v>
      </c>
      <c r="E89" s="8" t="s">
        <v>1773</v>
      </c>
      <c r="F89" s="8">
        <v>648.82000000000005</v>
      </c>
      <c r="G89" s="8">
        <v>156</v>
      </c>
      <c r="H89" s="8">
        <v>792</v>
      </c>
      <c r="I89" s="8">
        <v>409</v>
      </c>
      <c r="J89" s="8">
        <v>383</v>
      </c>
      <c r="K89" s="8">
        <v>217</v>
      </c>
      <c r="L89" s="10">
        <f t="shared" si="2"/>
        <v>27.3989898989899</v>
      </c>
      <c r="M89" s="8">
        <v>137</v>
      </c>
      <c r="N89" s="10">
        <f t="shared" si="3"/>
        <v>17.297979797979799</v>
      </c>
      <c r="O89" s="8">
        <v>29</v>
      </c>
      <c r="P89" s="8">
        <v>0</v>
      </c>
      <c r="Q89" s="10"/>
      <c r="R89" s="51" t="s">
        <v>586</v>
      </c>
      <c r="S89" s="83">
        <v>44643</v>
      </c>
      <c r="T89" s="35">
        <v>23</v>
      </c>
      <c r="U89" s="10"/>
      <c r="V89" s="10"/>
      <c r="W89" s="10"/>
      <c r="X89" s="10"/>
      <c r="Y89" s="10"/>
      <c r="Z89" s="10"/>
      <c r="AA89" s="10" t="s">
        <v>408</v>
      </c>
      <c r="AB89" s="33">
        <v>8</v>
      </c>
      <c r="AC89" s="10"/>
      <c r="AD89" s="10"/>
      <c r="AE89" s="10"/>
    </row>
    <row r="90" spans="1:31">
      <c r="A90" s="8" t="s">
        <v>36</v>
      </c>
      <c r="B90" s="8" t="s">
        <v>1598</v>
      </c>
      <c r="C90" s="8" t="s">
        <v>1765</v>
      </c>
      <c r="D90" s="9" t="s">
        <v>1774</v>
      </c>
      <c r="E90" s="8" t="s">
        <v>1775</v>
      </c>
      <c r="F90" s="8">
        <v>217.73</v>
      </c>
      <c r="G90" s="8">
        <v>71</v>
      </c>
      <c r="H90" s="8">
        <v>364</v>
      </c>
      <c r="I90" s="8">
        <v>188</v>
      </c>
      <c r="J90" s="8">
        <v>176</v>
      </c>
      <c r="K90" s="8">
        <v>85</v>
      </c>
      <c r="L90" s="10">
        <f t="shared" si="2"/>
        <v>23.35164835164835</v>
      </c>
      <c r="M90" s="8">
        <v>0</v>
      </c>
      <c r="N90" s="10">
        <f t="shared" si="3"/>
        <v>0</v>
      </c>
      <c r="O90" s="8">
        <v>19</v>
      </c>
      <c r="P90" s="8">
        <v>0</v>
      </c>
      <c r="Q90" s="10"/>
      <c r="R90" s="10"/>
      <c r="S90" s="10"/>
      <c r="T90" s="18">
        <v>12</v>
      </c>
      <c r="U90" s="10"/>
      <c r="V90" s="10"/>
      <c r="W90" s="10"/>
      <c r="X90" s="10"/>
      <c r="Y90" s="10"/>
      <c r="Z90" s="10"/>
      <c r="AA90" s="10" t="s">
        <v>408</v>
      </c>
      <c r="AB90" s="18">
        <v>10</v>
      </c>
      <c r="AC90" s="10"/>
      <c r="AD90" s="10"/>
      <c r="AE90" s="10"/>
    </row>
    <row r="91" spans="1:31">
      <c r="A91" s="8" t="s">
        <v>36</v>
      </c>
      <c r="B91" s="8" t="s">
        <v>1598</v>
      </c>
      <c r="C91" s="8" t="s">
        <v>1776</v>
      </c>
      <c r="D91" s="9" t="s">
        <v>1777</v>
      </c>
      <c r="E91" s="8" t="s">
        <v>1778</v>
      </c>
      <c r="F91" s="8">
        <v>631.83000000000004</v>
      </c>
      <c r="G91" s="8">
        <v>171</v>
      </c>
      <c r="H91" s="8">
        <v>849</v>
      </c>
      <c r="I91" s="8">
        <v>438</v>
      </c>
      <c r="J91" s="8">
        <v>411</v>
      </c>
      <c r="K91" s="8">
        <v>93</v>
      </c>
      <c r="L91" s="10">
        <f t="shared" si="2"/>
        <v>10.954063604240282</v>
      </c>
      <c r="M91" s="8">
        <v>191</v>
      </c>
      <c r="N91" s="10">
        <f t="shared" si="3"/>
        <v>22.497055359246172</v>
      </c>
      <c r="O91" s="8">
        <v>28.98</v>
      </c>
      <c r="P91" s="8">
        <v>57.34</v>
      </c>
      <c r="Q91" s="13" t="s">
        <v>408</v>
      </c>
      <c r="R91" s="60">
        <v>45112</v>
      </c>
      <c r="S91" s="10"/>
      <c r="T91" s="34">
        <v>0</v>
      </c>
      <c r="U91" s="10"/>
      <c r="V91" s="10"/>
      <c r="W91" s="10"/>
      <c r="X91" s="10"/>
      <c r="Y91" s="10"/>
      <c r="Z91" s="10"/>
      <c r="AA91" s="10" t="s">
        <v>408</v>
      </c>
      <c r="AB91" s="33">
        <v>14</v>
      </c>
      <c r="AC91" s="10"/>
      <c r="AD91" s="34">
        <v>25.32321</v>
      </c>
      <c r="AE91" s="34">
        <v>76.292601000000005</v>
      </c>
    </row>
    <row r="92" spans="1:31">
      <c r="A92" s="8" t="s">
        <v>36</v>
      </c>
      <c r="B92" s="8" t="s">
        <v>1598</v>
      </c>
      <c r="C92" s="8" t="s">
        <v>1776</v>
      </c>
      <c r="D92" s="9" t="s">
        <v>1779</v>
      </c>
      <c r="E92" s="8" t="s">
        <v>1780</v>
      </c>
      <c r="F92" s="8">
        <v>593.79999999999995</v>
      </c>
      <c r="G92" s="8">
        <v>278</v>
      </c>
      <c r="H92" s="8">
        <v>1323</v>
      </c>
      <c r="I92" s="8">
        <v>705</v>
      </c>
      <c r="J92" s="8">
        <v>618</v>
      </c>
      <c r="K92" s="8">
        <v>455</v>
      </c>
      <c r="L92" s="10">
        <f t="shared" si="2"/>
        <v>34.391534391534393</v>
      </c>
      <c r="M92" s="8">
        <v>383</v>
      </c>
      <c r="N92" s="10">
        <f t="shared" si="3"/>
        <v>28.949357520786091</v>
      </c>
      <c r="O92" s="8">
        <v>0</v>
      </c>
      <c r="P92" s="8">
        <v>0</v>
      </c>
      <c r="Q92" s="13" t="s">
        <v>408</v>
      </c>
      <c r="R92" s="60">
        <v>45112</v>
      </c>
      <c r="S92" s="10"/>
      <c r="T92" s="13">
        <v>27.47</v>
      </c>
      <c r="U92" s="10"/>
      <c r="V92" s="10"/>
      <c r="W92" s="10"/>
      <c r="X92" s="10"/>
      <c r="Y92" s="10"/>
      <c r="Z92" s="10"/>
      <c r="AA92" s="10" t="s">
        <v>408</v>
      </c>
      <c r="AB92" s="13">
        <v>20</v>
      </c>
      <c r="AC92" s="10"/>
      <c r="AD92" s="13">
        <v>25.320367999999998</v>
      </c>
      <c r="AE92" s="13">
        <v>76.270951999999994</v>
      </c>
    </row>
    <row r="93" spans="1:31">
      <c r="A93" s="8" t="s">
        <v>36</v>
      </c>
      <c r="B93" s="8" t="s">
        <v>1598</v>
      </c>
      <c r="C93" s="8" t="s">
        <v>1776</v>
      </c>
      <c r="D93" s="9" t="s">
        <v>1781</v>
      </c>
      <c r="E93" s="8" t="s">
        <v>1782</v>
      </c>
      <c r="F93" s="8">
        <v>339.6</v>
      </c>
      <c r="G93" s="8">
        <v>238</v>
      </c>
      <c r="H93" s="8">
        <v>1253</v>
      </c>
      <c r="I93" s="8">
        <v>629</v>
      </c>
      <c r="J93" s="8">
        <v>624</v>
      </c>
      <c r="K93" s="8">
        <v>54</v>
      </c>
      <c r="L93" s="10">
        <f t="shared" si="2"/>
        <v>4.3096568236233042</v>
      </c>
      <c r="M93" s="8">
        <v>0</v>
      </c>
      <c r="N93" s="10">
        <f t="shared" si="3"/>
        <v>0</v>
      </c>
      <c r="O93" s="8">
        <v>23.75</v>
      </c>
      <c r="P93" s="8">
        <v>73.930000000000007</v>
      </c>
      <c r="Q93" s="10"/>
      <c r="R93" s="10"/>
      <c r="S93" s="10"/>
      <c r="T93" s="13">
        <v>21.31</v>
      </c>
      <c r="U93" s="10"/>
      <c r="V93" s="10"/>
      <c r="W93" s="10"/>
      <c r="X93" s="10"/>
      <c r="Y93" s="10"/>
      <c r="Z93" s="10"/>
      <c r="AA93" s="10" t="s">
        <v>408</v>
      </c>
      <c r="AB93" s="13">
        <v>15</v>
      </c>
      <c r="AC93" s="10"/>
      <c r="AD93" s="13">
        <v>25.306733000000001</v>
      </c>
      <c r="AE93" s="13">
        <v>76.281746999999996</v>
      </c>
    </row>
    <row r="94" spans="1:31">
      <c r="A94" s="8" t="s">
        <v>36</v>
      </c>
      <c r="B94" s="8" t="s">
        <v>1598</v>
      </c>
      <c r="C94" s="8" t="s">
        <v>1776</v>
      </c>
      <c r="D94" s="9" t="s">
        <v>1783</v>
      </c>
      <c r="E94" s="8" t="s">
        <v>1784</v>
      </c>
      <c r="F94" s="8">
        <v>429.06</v>
      </c>
      <c r="G94" s="8">
        <v>153</v>
      </c>
      <c r="H94" s="8">
        <v>751</v>
      </c>
      <c r="I94" s="8">
        <v>391</v>
      </c>
      <c r="J94" s="8">
        <v>360</v>
      </c>
      <c r="K94" s="8">
        <v>210</v>
      </c>
      <c r="L94" s="10">
        <f t="shared" si="2"/>
        <v>27.962716378162451</v>
      </c>
      <c r="M94" s="8">
        <v>196</v>
      </c>
      <c r="N94" s="10">
        <f t="shared" si="3"/>
        <v>26.098535286284953</v>
      </c>
      <c r="O94" s="8">
        <v>17.579999999999998</v>
      </c>
      <c r="P94" s="8">
        <v>73.88</v>
      </c>
      <c r="Q94" s="13" t="s">
        <v>408</v>
      </c>
      <c r="R94" s="60">
        <v>45112</v>
      </c>
      <c r="S94" s="10"/>
      <c r="T94" s="13">
        <v>10.78</v>
      </c>
      <c r="U94" s="10"/>
      <c r="V94" s="10"/>
      <c r="W94" s="10"/>
      <c r="X94" s="10"/>
      <c r="Y94" s="10"/>
      <c r="Z94" s="10"/>
      <c r="AA94" s="10" t="s">
        <v>408</v>
      </c>
      <c r="AB94" s="13">
        <v>7</v>
      </c>
      <c r="AC94" s="10"/>
      <c r="AD94" s="13">
        <v>25.358256999999998</v>
      </c>
      <c r="AE94" s="13">
        <v>76.298310000000001</v>
      </c>
    </row>
    <row r="95" spans="1:31">
      <c r="A95" s="8" t="s">
        <v>36</v>
      </c>
      <c r="B95" s="8" t="s">
        <v>1598</v>
      </c>
      <c r="C95" s="8" t="s">
        <v>1776</v>
      </c>
      <c r="D95" s="9" t="s">
        <v>1785</v>
      </c>
      <c r="E95" s="8" t="s">
        <v>1786</v>
      </c>
      <c r="F95" s="8">
        <v>422.12</v>
      </c>
      <c r="G95" s="8">
        <v>118</v>
      </c>
      <c r="H95" s="8">
        <v>494</v>
      </c>
      <c r="I95" s="8">
        <v>270</v>
      </c>
      <c r="J95" s="8">
        <v>224</v>
      </c>
      <c r="K95" s="8">
        <v>12</v>
      </c>
      <c r="L95" s="10">
        <f t="shared" si="2"/>
        <v>2.42914979757085</v>
      </c>
      <c r="M95" s="8">
        <v>155</v>
      </c>
      <c r="N95" s="10">
        <f t="shared" si="3"/>
        <v>31.376518218623485</v>
      </c>
      <c r="O95" s="8">
        <v>11.36</v>
      </c>
      <c r="P95" s="8">
        <v>90.99</v>
      </c>
      <c r="Q95" s="13" t="s">
        <v>408</v>
      </c>
      <c r="R95" s="60">
        <v>45112</v>
      </c>
      <c r="S95" s="10"/>
      <c r="T95" s="13">
        <v>11.36</v>
      </c>
      <c r="U95" s="10"/>
      <c r="V95" s="10"/>
      <c r="W95" s="10"/>
      <c r="X95" s="10"/>
      <c r="Y95" s="10"/>
      <c r="Z95" s="10"/>
      <c r="AA95" s="10" t="s">
        <v>408</v>
      </c>
      <c r="AB95" s="13">
        <v>6</v>
      </c>
      <c r="AC95" s="10"/>
      <c r="AD95" s="13">
        <v>25.327234000000001</v>
      </c>
      <c r="AE95" s="13">
        <v>76.280035999999996</v>
      </c>
    </row>
    <row r="96" spans="1:31">
      <c r="A96" s="8" t="s">
        <v>36</v>
      </c>
      <c r="B96" s="8" t="s">
        <v>1598</v>
      </c>
      <c r="C96" s="8" t="s">
        <v>1776</v>
      </c>
      <c r="D96" s="9" t="s">
        <v>1787</v>
      </c>
      <c r="E96" s="8" t="s">
        <v>1788</v>
      </c>
      <c r="F96" s="8">
        <v>383.68</v>
      </c>
      <c r="G96" s="8">
        <v>137</v>
      </c>
      <c r="H96" s="8">
        <v>829</v>
      </c>
      <c r="I96" s="8">
        <v>437</v>
      </c>
      <c r="J96" s="8">
        <v>392</v>
      </c>
      <c r="K96" s="8">
        <v>289</v>
      </c>
      <c r="L96" s="10">
        <f t="shared" si="2"/>
        <v>34.861278648974668</v>
      </c>
      <c r="M96" s="8">
        <v>185</v>
      </c>
      <c r="N96" s="10">
        <f t="shared" si="3"/>
        <v>22.316043425814232</v>
      </c>
      <c r="O96" s="8">
        <v>0</v>
      </c>
      <c r="P96" s="8">
        <v>0</v>
      </c>
      <c r="Q96" s="13" t="s">
        <v>408</v>
      </c>
      <c r="R96" s="60">
        <v>45112</v>
      </c>
      <c r="S96" s="10"/>
      <c r="T96" s="13">
        <v>27.35</v>
      </c>
      <c r="U96" s="10"/>
      <c r="V96" s="10"/>
      <c r="W96" s="10"/>
      <c r="X96" s="10"/>
      <c r="Y96" s="10"/>
      <c r="Z96" s="10"/>
      <c r="AA96" s="10" t="s">
        <v>408</v>
      </c>
      <c r="AB96" s="13">
        <v>19</v>
      </c>
      <c r="AC96" s="10"/>
      <c r="AD96" s="13">
        <v>25.337890000000002</v>
      </c>
      <c r="AE96" s="13">
        <v>76.286330000000007</v>
      </c>
    </row>
    <row r="97" spans="1:31">
      <c r="A97" s="8" t="s">
        <v>36</v>
      </c>
      <c r="B97" s="8" t="s">
        <v>1598</v>
      </c>
      <c r="C97" s="8" t="s">
        <v>1776</v>
      </c>
      <c r="D97" s="9" t="s">
        <v>264</v>
      </c>
      <c r="E97" s="8" t="s">
        <v>1789</v>
      </c>
      <c r="F97" s="8">
        <v>288.10000000000002</v>
      </c>
      <c r="G97" s="8">
        <v>93</v>
      </c>
      <c r="H97" s="8">
        <v>413</v>
      </c>
      <c r="I97" s="8">
        <v>204</v>
      </c>
      <c r="J97" s="8">
        <v>209</v>
      </c>
      <c r="K97" s="8">
        <v>30</v>
      </c>
      <c r="L97" s="10">
        <f t="shared" si="2"/>
        <v>7.2639225181598057</v>
      </c>
      <c r="M97" s="8">
        <v>383</v>
      </c>
      <c r="N97" s="10">
        <f t="shared" si="3"/>
        <v>92.736077481840198</v>
      </c>
      <c r="O97" s="8">
        <v>10.78</v>
      </c>
      <c r="P97" s="8">
        <v>47.39</v>
      </c>
      <c r="Q97" s="13" t="s">
        <v>408</v>
      </c>
      <c r="R97" s="60">
        <v>45112</v>
      </c>
      <c r="S97" s="10"/>
      <c r="T97" s="12">
        <v>0</v>
      </c>
      <c r="U97" s="10"/>
      <c r="V97" s="10"/>
      <c r="W97" s="10"/>
      <c r="X97" s="10"/>
      <c r="Y97" s="10"/>
      <c r="Z97" s="10"/>
      <c r="AA97" s="10" t="s">
        <v>412</v>
      </c>
      <c r="AB97" s="13"/>
      <c r="AC97" s="10"/>
      <c r="AD97" s="10"/>
      <c r="AE97" s="10"/>
    </row>
    <row r="98" spans="1:31">
      <c r="A98" s="8" t="s">
        <v>36</v>
      </c>
      <c r="B98" s="8" t="s">
        <v>1598</v>
      </c>
      <c r="C98" s="8" t="s">
        <v>1776</v>
      </c>
      <c r="D98" s="9" t="s">
        <v>1790</v>
      </c>
      <c r="E98" s="8" t="s">
        <v>1791</v>
      </c>
      <c r="F98" s="8">
        <v>612.22</v>
      </c>
      <c r="G98" s="8">
        <v>134</v>
      </c>
      <c r="H98" s="8">
        <v>657</v>
      </c>
      <c r="I98" s="8">
        <v>339</v>
      </c>
      <c r="J98" s="8">
        <v>318</v>
      </c>
      <c r="K98" s="8">
        <v>18</v>
      </c>
      <c r="L98" s="10">
        <f t="shared" si="2"/>
        <v>2.7397260273972601</v>
      </c>
      <c r="M98" s="8">
        <v>245</v>
      </c>
      <c r="N98" s="10">
        <f t="shared" si="3"/>
        <v>37.290715372907151</v>
      </c>
      <c r="O98" s="8">
        <v>27.35</v>
      </c>
      <c r="P98" s="8">
        <v>143.65</v>
      </c>
      <c r="Q98" s="10"/>
      <c r="R98" s="10"/>
      <c r="S98" s="10"/>
      <c r="T98" s="12">
        <v>0</v>
      </c>
      <c r="U98" s="10"/>
      <c r="V98" s="10"/>
      <c r="W98" s="10"/>
      <c r="X98" s="10"/>
      <c r="Y98" s="10"/>
      <c r="Z98" s="10"/>
      <c r="AA98" s="10" t="s">
        <v>412</v>
      </c>
      <c r="AB98" s="13"/>
      <c r="AC98" s="10"/>
      <c r="AD98" s="10"/>
      <c r="AE98" s="10"/>
    </row>
    <row r="99" spans="1:31">
      <c r="A99" s="8" t="s">
        <v>36</v>
      </c>
      <c r="B99" s="8" t="s">
        <v>1598</v>
      </c>
      <c r="C99" s="8" t="s">
        <v>1776</v>
      </c>
      <c r="D99" s="9" t="s">
        <v>1792</v>
      </c>
      <c r="E99" s="8" t="s">
        <v>1793</v>
      </c>
      <c r="F99" s="8">
        <v>174.23</v>
      </c>
      <c r="G99" s="8">
        <v>1</v>
      </c>
      <c r="H99" s="8">
        <v>2</v>
      </c>
      <c r="I99" s="8">
        <v>1</v>
      </c>
      <c r="J99" s="8">
        <v>1</v>
      </c>
      <c r="K99" s="8">
        <v>0</v>
      </c>
      <c r="L99" s="10">
        <f t="shared" si="2"/>
        <v>0</v>
      </c>
      <c r="M99" s="8">
        <v>0</v>
      </c>
      <c r="N99" s="10">
        <f t="shared" si="3"/>
        <v>0</v>
      </c>
      <c r="O99" s="8">
        <v>0</v>
      </c>
      <c r="P99" s="8">
        <v>77.42</v>
      </c>
      <c r="Q99" s="13" t="s">
        <v>408</v>
      </c>
      <c r="R99" s="60">
        <v>45112</v>
      </c>
      <c r="S99" s="10"/>
      <c r="T99" s="18">
        <v>15</v>
      </c>
      <c r="U99" s="10"/>
      <c r="V99" s="10"/>
      <c r="W99" s="10"/>
      <c r="X99" s="10"/>
      <c r="Y99" s="10"/>
      <c r="Z99" s="10"/>
      <c r="AA99" s="10" t="s">
        <v>408</v>
      </c>
      <c r="AB99" s="18">
        <v>11</v>
      </c>
      <c r="AC99" s="10"/>
      <c r="AD99" s="10"/>
      <c r="AE99" s="10"/>
    </row>
    <row r="100" spans="1:31">
      <c r="A100" s="8" t="s">
        <v>36</v>
      </c>
      <c r="B100" s="8" t="s">
        <v>1598</v>
      </c>
      <c r="C100" s="8" t="s">
        <v>1794</v>
      </c>
      <c r="D100" s="9" t="s">
        <v>1362</v>
      </c>
      <c r="E100" s="8" t="s">
        <v>1795</v>
      </c>
      <c r="F100" s="8">
        <v>538.58000000000004</v>
      </c>
      <c r="G100" s="8">
        <v>190</v>
      </c>
      <c r="H100" s="8">
        <v>995</v>
      </c>
      <c r="I100" s="8">
        <v>509</v>
      </c>
      <c r="J100" s="8">
        <v>486</v>
      </c>
      <c r="K100" s="8">
        <v>255</v>
      </c>
      <c r="L100" s="10">
        <f t="shared" si="2"/>
        <v>25.628140703517587</v>
      </c>
      <c r="M100" s="8">
        <v>14</v>
      </c>
      <c r="N100" s="10">
        <f t="shared" si="3"/>
        <v>1.4070351758793971</v>
      </c>
      <c r="O100" s="8">
        <v>0</v>
      </c>
      <c r="P100" s="8">
        <v>0</v>
      </c>
      <c r="Q100" s="50" t="s">
        <v>586</v>
      </c>
      <c r="R100" s="53">
        <v>44601</v>
      </c>
      <c r="S100" s="10"/>
      <c r="T100" s="52">
        <v>0</v>
      </c>
      <c r="U100" s="10"/>
      <c r="V100" s="10"/>
      <c r="W100" s="10"/>
      <c r="X100" s="10"/>
      <c r="Y100" s="10"/>
      <c r="Z100" s="10"/>
      <c r="AA100" s="10" t="s">
        <v>412</v>
      </c>
      <c r="AB100" s="52"/>
      <c r="AC100" s="10"/>
      <c r="AD100" s="52">
        <v>25.263748329999999</v>
      </c>
      <c r="AE100" s="52">
        <v>76.199333330000002</v>
      </c>
    </row>
    <row r="101" spans="1:31">
      <c r="A101" s="8" t="s">
        <v>36</v>
      </c>
      <c r="B101" s="8" t="s">
        <v>1598</v>
      </c>
      <c r="C101" s="8" t="s">
        <v>1794</v>
      </c>
      <c r="D101" s="9" t="s">
        <v>1796</v>
      </c>
      <c r="E101" s="8" t="s">
        <v>1797</v>
      </c>
      <c r="F101" s="8">
        <v>611</v>
      </c>
      <c r="G101" s="8">
        <v>167</v>
      </c>
      <c r="H101" s="8">
        <v>873</v>
      </c>
      <c r="I101" s="8">
        <v>435</v>
      </c>
      <c r="J101" s="8">
        <v>438</v>
      </c>
      <c r="K101" s="8">
        <v>182</v>
      </c>
      <c r="L101" s="10">
        <f t="shared" si="2"/>
        <v>20.847651775486828</v>
      </c>
      <c r="M101" s="8">
        <v>580</v>
      </c>
      <c r="N101" s="10">
        <f t="shared" si="3"/>
        <v>66.437571592210759</v>
      </c>
      <c r="O101" s="8">
        <v>25.38</v>
      </c>
      <c r="P101" s="8">
        <v>128.75</v>
      </c>
      <c r="Q101" s="50" t="s">
        <v>586</v>
      </c>
      <c r="R101" s="53">
        <v>44601</v>
      </c>
      <c r="S101" s="10"/>
      <c r="T101" s="52">
        <v>41.24</v>
      </c>
      <c r="U101" s="10"/>
      <c r="V101" s="10"/>
      <c r="W101" s="10"/>
      <c r="X101" s="10"/>
      <c r="Y101" s="10"/>
      <c r="Z101" s="10"/>
      <c r="AA101" s="10" t="s">
        <v>408</v>
      </c>
      <c r="AB101" s="52">
        <v>2</v>
      </c>
      <c r="AC101" s="10"/>
      <c r="AD101" s="52">
        <v>25.245215999999999</v>
      </c>
      <c r="AE101" s="52">
        <v>76.216302999999996</v>
      </c>
    </row>
    <row r="102" spans="1:31">
      <c r="A102" s="8" t="s">
        <v>36</v>
      </c>
      <c r="B102" s="8" t="s">
        <v>1598</v>
      </c>
      <c r="C102" s="8" t="s">
        <v>1794</v>
      </c>
      <c r="D102" s="9" t="s">
        <v>1798</v>
      </c>
      <c r="E102" s="8" t="s">
        <v>1799</v>
      </c>
      <c r="F102" s="8">
        <v>1070</v>
      </c>
      <c r="G102" s="8">
        <v>282</v>
      </c>
      <c r="H102" s="8">
        <v>1498</v>
      </c>
      <c r="I102" s="8">
        <v>742</v>
      </c>
      <c r="J102" s="8">
        <v>756</v>
      </c>
      <c r="K102" s="8">
        <v>202</v>
      </c>
      <c r="L102" s="10">
        <f t="shared" si="2"/>
        <v>13.484646194926569</v>
      </c>
      <c r="M102" s="8">
        <v>40</v>
      </c>
      <c r="N102" s="10">
        <f t="shared" si="3"/>
        <v>2.6702269692923899</v>
      </c>
      <c r="O102" s="8">
        <v>42.34</v>
      </c>
      <c r="P102" s="8">
        <v>329.86</v>
      </c>
      <c r="Q102" s="10"/>
      <c r="R102" s="10"/>
      <c r="S102" s="10"/>
      <c r="T102" s="34">
        <v>14</v>
      </c>
      <c r="U102" s="10"/>
      <c r="V102" s="10"/>
      <c r="W102" s="10"/>
      <c r="X102" s="10"/>
      <c r="Y102" s="10"/>
      <c r="Z102" s="10"/>
      <c r="AA102" s="10" t="s">
        <v>408</v>
      </c>
      <c r="AB102" s="33">
        <v>10</v>
      </c>
      <c r="AC102" s="10"/>
      <c r="AD102" s="10"/>
      <c r="AE102" s="10"/>
    </row>
    <row r="103" spans="1:31">
      <c r="A103" s="8" t="s">
        <v>36</v>
      </c>
      <c r="B103" s="8" t="s">
        <v>1598</v>
      </c>
      <c r="C103" s="8" t="s">
        <v>1794</v>
      </c>
      <c r="D103" s="9" t="s">
        <v>1800</v>
      </c>
      <c r="E103" s="8" t="s">
        <v>1801</v>
      </c>
      <c r="F103" s="8">
        <v>675.15</v>
      </c>
      <c r="G103" s="8">
        <v>211</v>
      </c>
      <c r="H103" s="8">
        <v>995</v>
      </c>
      <c r="I103" s="8">
        <v>526</v>
      </c>
      <c r="J103" s="8">
        <v>469</v>
      </c>
      <c r="K103" s="8">
        <v>77</v>
      </c>
      <c r="L103" s="10">
        <f t="shared" si="2"/>
        <v>7.7386934673366836</v>
      </c>
      <c r="M103" s="8">
        <v>53</v>
      </c>
      <c r="N103" s="10">
        <f t="shared" si="3"/>
        <v>5.3266331658291453</v>
      </c>
      <c r="O103" s="8">
        <v>125.34</v>
      </c>
      <c r="P103" s="8">
        <v>121.56</v>
      </c>
      <c r="Q103" s="50" t="s">
        <v>586</v>
      </c>
      <c r="R103" s="53">
        <v>44601</v>
      </c>
      <c r="S103" s="10"/>
      <c r="T103" s="34">
        <v>21</v>
      </c>
      <c r="U103" s="10"/>
      <c r="V103" s="10"/>
      <c r="W103" s="10"/>
      <c r="X103" s="10"/>
      <c r="Y103" s="10"/>
      <c r="Z103" s="10"/>
      <c r="AA103" s="10" t="s">
        <v>408</v>
      </c>
      <c r="AB103" s="33">
        <v>8</v>
      </c>
      <c r="AC103" s="10"/>
      <c r="AD103" s="10"/>
      <c r="AE103" s="10"/>
    </row>
    <row r="104" spans="1:31">
      <c r="A104" s="8" t="s">
        <v>36</v>
      </c>
      <c r="B104" s="8" t="s">
        <v>1598</v>
      </c>
      <c r="C104" s="8" t="s">
        <v>1794</v>
      </c>
      <c r="D104" s="9" t="s">
        <v>1802</v>
      </c>
      <c r="E104" s="8" t="s">
        <v>1803</v>
      </c>
      <c r="F104" s="8">
        <v>373.58</v>
      </c>
      <c r="G104" s="8">
        <v>148</v>
      </c>
      <c r="H104" s="8">
        <v>725</v>
      </c>
      <c r="I104" s="8">
        <v>363</v>
      </c>
      <c r="J104" s="8">
        <v>362</v>
      </c>
      <c r="K104" s="8">
        <v>201</v>
      </c>
      <c r="L104" s="10">
        <f t="shared" si="2"/>
        <v>27.72413793103448</v>
      </c>
      <c r="M104" s="8">
        <v>322</v>
      </c>
      <c r="N104" s="10">
        <f t="shared" si="3"/>
        <v>44.41379310344827</v>
      </c>
      <c r="O104" s="8">
        <v>17.78</v>
      </c>
      <c r="P104" s="8">
        <v>34.75</v>
      </c>
      <c r="Q104" s="10"/>
      <c r="R104" s="10"/>
      <c r="S104" s="10"/>
      <c r="T104" s="18">
        <v>24</v>
      </c>
      <c r="U104" s="10"/>
      <c r="V104" s="10"/>
      <c r="W104" s="10"/>
      <c r="X104" s="10"/>
      <c r="Y104" s="10"/>
      <c r="Z104" s="10"/>
      <c r="AA104" s="10" t="s">
        <v>408</v>
      </c>
      <c r="AB104" s="52">
        <v>14</v>
      </c>
      <c r="AC104" s="10"/>
      <c r="AD104" s="10"/>
      <c r="AE104" s="10"/>
    </row>
    <row r="105" spans="1:31">
      <c r="A105" s="8" t="s">
        <v>36</v>
      </c>
      <c r="B105" s="8" t="s">
        <v>1598</v>
      </c>
      <c r="C105" s="8" t="s">
        <v>1804</v>
      </c>
      <c r="D105" s="9" t="s">
        <v>1805</v>
      </c>
      <c r="E105" s="8" t="s">
        <v>1806</v>
      </c>
      <c r="F105" s="8">
        <v>1942.5</v>
      </c>
      <c r="G105" s="8">
        <v>735</v>
      </c>
      <c r="H105" s="8">
        <v>3632</v>
      </c>
      <c r="I105" s="8">
        <v>1889</v>
      </c>
      <c r="J105" s="8">
        <v>1743</v>
      </c>
      <c r="K105" s="8">
        <v>1117</v>
      </c>
      <c r="L105" s="10">
        <f t="shared" si="2"/>
        <v>30.754405286343612</v>
      </c>
      <c r="M105" s="8">
        <v>6</v>
      </c>
      <c r="N105" s="10">
        <f t="shared" si="3"/>
        <v>0.16519823788546256</v>
      </c>
      <c r="O105" s="8">
        <v>79.900000000000006</v>
      </c>
      <c r="P105" s="8">
        <v>0</v>
      </c>
      <c r="Q105" s="47" t="s">
        <v>586</v>
      </c>
      <c r="R105" s="47" t="s">
        <v>1944</v>
      </c>
      <c r="S105" s="10"/>
      <c r="T105" s="47">
        <v>14</v>
      </c>
      <c r="U105" s="10"/>
      <c r="V105" s="10"/>
      <c r="W105" s="10"/>
      <c r="X105" s="10"/>
      <c r="Y105" s="10"/>
      <c r="Z105" s="10"/>
      <c r="AA105" s="10" t="s">
        <v>408</v>
      </c>
      <c r="AB105" s="47">
        <v>10</v>
      </c>
      <c r="AC105" s="10"/>
      <c r="AD105" s="37">
        <v>25.731030000000001</v>
      </c>
      <c r="AE105" s="37">
        <v>73.168846000000002</v>
      </c>
    </row>
    <row r="106" spans="1:31">
      <c r="A106" s="8" t="s">
        <v>36</v>
      </c>
      <c r="B106" s="8" t="s">
        <v>1598</v>
      </c>
      <c r="C106" s="8" t="s">
        <v>1804</v>
      </c>
      <c r="D106" s="9" t="s">
        <v>1109</v>
      </c>
      <c r="E106" s="8" t="s">
        <v>1807</v>
      </c>
      <c r="F106" s="8">
        <v>243.11</v>
      </c>
      <c r="G106" s="8">
        <v>30</v>
      </c>
      <c r="H106" s="8">
        <v>126</v>
      </c>
      <c r="I106" s="8">
        <v>76</v>
      </c>
      <c r="J106" s="8">
        <v>50</v>
      </c>
      <c r="K106" s="8">
        <v>92</v>
      </c>
      <c r="L106" s="10">
        <f t="shared" si="2"/>
        <v>73.015873015873012</v>
      </c>
      <c r="M106" s="8">
        <v>13</v>
      </c>
      <c r="N106" s="10">
        <f t="shared" si="3"/>
        <v>10.317460317460316</v>
      </c>
      <c r="O106" s="8">
        <v>24.03</v>
      </c>
      <c r="P106" s="8">
        <v>0</v>
      </c>
      <c r="Q106" s="47" t="s">
        <v>586</v>
      </c>
      <c r="R106" s="47" t="s">
        <v>1944</v>
      </c>
      <c r="S106" s="10"/>
      <c r="T106" s="47">
        <v>20</v>
      </c>
      <c r="U106" s="10"/>
      <c r="V106" s="10"/>
      <c r="W106" s="10"/>
      <c r="X106" s="10"/>
      <c r="Y106" s="10"/>
      <c r="Z106" s="10"/>
      <c r="AA106" s="10" t="s">
        <v>408</v>
      </c>
      <c r="AB106" s="47">
        <v>8</v>
      </c>
      <c r="AC106" s="10"/>
      <c r="AD106" s="10"/>
      <c r="AE106" s="10"/>
    </row>
    <row r="107" spans="1:31">
      <c r="A107" s="8" t="s">
        <v>36</v>
      </c>
      <c r="B107" s="8" t="s">
        <v>1598</v>
      </c>
      <c r="C107" s="8" t="s">
        <v>1804</v>
      </c>
      <c r="D107" s="9" t="s">
        <v>1808</v>
      </c>
      <c r="E107" s="8" t="s">
        <v>1809</v>
      </c>
      <c r="F107" s="8">
        <v>539.30999999999995</v>
      </c>
      <c r="G107" s="8">
        <v>161</v>
      </c>
      <c r="H107" s="8">
        <v>899</v>
      </c>
      <c r="I107" s="8">
        <v>460</v>
      </c>
      <c r="J107" s="8">
        <v>439</v>
      </c>
      <c r="K107" s="8">
        <v>132</v>
      </c>
      <c r="L107" s="10">
        <f t="shared" si="2"/>
        <v>14.68298109010011</v>
      </c>
      <c r="M107" s="8">
        <v>489</v>
      </c>
      <c r="N107" s="10">
        <f t="shared" si="3"/>
        <v>54.393770856507231</v>
      </c>
      <c r="O107" s="8">
        <v>26.4</v>
      </c>
      <c r="P107" s="8">
        <v>97.31</v>
      </c>
      <c r="Q107" s="47" t="s">
        <v>586</v>
      </c>
      <c r="R107" s="47" t="s">
        <v>1944</v>
      </c>
      <c r="S107" s="10"/>
      <c r="T107" s="47">
        <v>58</v>
      </c>
      <c r="U107" s="10"/>
      <c r="V107" s="10"/>
      <c r="W107" s="10"/>
      <c r="X107" s="10"/>
      <c r="Y107" s="10"/>
      <c r="Z107" s="10"/>
      <c r="AA107" s="10" t="s">
        <v>408</v>
      </c>
      <c r="AB107" s="47">
        <v>30</v>
      </c>
      <c r="AC107" s="10"/>
      <c r="AD107" s="10"/>
      <c r="AE107" s="10"/>
    </row>
    <row r="108" spans="1:31">
      <c r="A108" s="8" t="s">
        <v>36</v>
      </c>
      <c r="B108" s="8" t="s">
        <v>1598</v>
      </c>
      <c r="C108" s="8" t="s">
        <v>1804</v>
      </c>
      <c r="D108" s="9" t="s">
        <v>1810</v>
      </c>
      <c r="E108" s="8" t="s">
        <v>1811</v>
      </c>
      <c r="F108" s="8">
        <v>365.74</v>
      </c>
      <c r="G108" s="8">
        <v>51</v>
      </c>
      <c r="H108" s="8">
        <v>277</v>
      </c>
      <c r="I108" s="8">
        <v>135</v>
      </c>
      <c r="J108" s="8">
        <v>142</v>
      </c>
      <c r="K108" s="8">
        <v>72</v>
      </c>
      <c r="L108" s="10">
        <f t="shared" si="2"/>
        <v>25.992779783393498</v>
      </c>
      <c r="M108" s="8">
        <v>0</v>
      </c>
      <c r="N108" s="10">
        <f t="shared" si="3"/>
        <v>0</v>
      </c>
      <c r="O108" s="8">
        <v>12.31</v>
      </c>
      <c r="P108" s="8">
        <v>67.33</v>
      </c>
      <c r="Q108" s="47" t="s">
        <v>586</v>
      </c>
      <c r="R108" s="47" t="s">
        <v>1944</v>
      </c>
      <c r="S108" s="10"/>
      <c r="T108" s="47">
        <v>8</v>
      </c>
      <c r="U108" s="10"/>
      <c r="V108" s="10"/>
      <c r="W108" s="10"/>
      <c r="X108" s="10"/>
      <c r="Y108" s="10"/>
      <c r="Z108" s="10"/>
      <c r="AA108" s="10" t="s">
        <v>408</v>
      </c>
      <c r="AB108" s="47">
        <v>4</v>
      </c>
      <c r="AC108" s="10"/>
      <c r="AD108" s="10"/>
      <c r="AE108" s="10"/>
    </row>
    <row r="109" spans="1:31">
      <c r="A109" s="8" t="s">
        <v>36</v>
      </c>
      <c r="B109" s="8" t="s">
        <v>1598</v>
      </c>
      <c r="C109" s="8" t="s">
        <v>1804</v>
      </c>
      <c r="D109" s="9" t="s">
        <v>1812</v>
      </c>
      <c r="E109" s="8" t="s">
        <v>1813</v>
      </c>
      <c r="F109" s="8">
        <v>471.91</v>
      </c>
      <c r="G109" s="8">
        <v>81</v>
      </c>
      <c r="H109" s="8">
        <v>456</v>
      </c>
      <c r="I109" s="8">
        <v>242</v>
      </c>
      <c r="J109" s="8">
        <v>214</v>
      </c>
      <c r="K109" s="8">
        <v>146</v>
      </c>
      <c r="L109" s="10">
        <f t="shared" si="2"/>
        <v>32.017543859649123</v>
      </c>
      <c r="M109" s="8">
        <v>206</v>
      </c>
      <c r="N109" s="10">
        <f t="shared" si="3"/>
        <v>45.175438596491233</v>
      </c>
      <c r="O109" s="8">
        <v>12.5</v>
      </c>
      <c r="P109" s="8">
        <v>127.77</v>
      </c>
      <c r="Q109" s="47" t="s">
        <v>586</v>
      </c>
      <c r="R109" s="47" t="s">
        <v>1944</v>
      </c>
      <c r="S109" s="10"/>
      <c r="T109" s="47">
        <v>6</v>
      </c>
      <c r="U109" s="10"/>
      <c r="V109" s="10"/>
      <c r="W109" s="10"/>
      <c r="X109" s="10"/>
      <c r="Y109" s="10"/>
      <c r="Z109" s="10"/>
      <c r="AA109" s="10" t="s">
        <v>408</v>
      </c>
      <c r="AB109" s="47">
        <v>6</v>
      </c>
      <c r="AC109" s="10"/>
      <c r="AD109" s="10"/>
      <c r="AE109" s="10"/>
    </row>
    <row r="110" spans="1:31">
      <c r="A110" s="8" t="s">
        <v>36</v>
      </c>
      <c r="B110" s="8" t="s">
        <v>1598</v>
      </c>
      <c r="C110" s="8" t="s">
        <v>1814</v>
      </c>
      <c r="D110" s="9" t="s">
        <v>1815</v>
      </c>
      <c r="E110" s="8" t="s">
        <v>1816</v>
      </c>
      <c r="F110" s="8">
        <v>1018.31</v>
      </c>
      <c r="G110" s="8">
        <v>461</v>
      </c>
      <c r="H110" s="8">
        <v>2204</v>
      </c>
      <c r="I110" s="8">
        <v>1118</v>
      </c>
      <c r="J110" s="8">
        <v>1086</v>
      </c>
      <c r="K110" s="8">
        <v>268</v>
      </c>
      <c r="L110" s="10">
        <f t="shared" si="2"/>
        <v>12.159709618874773</v>
      </c>
      <c r="M110" s="8">
        <v>382</v>
      </c>
      <c r="N110" s="10">
        <f t="shared" si="3"/>
        <v>17.33212341197822</v>
      </c>
      <c r="O110" s="8">
        <v>47.89</v>
      </c>
      <c r="P110" s="8">
        <v>0</v>
      </c>
      <c r="Q110" s="47" t="s">
        <v>586</v>
      </c>
      <c r="R110" s="47" t="s">
        <v>1945</v>
      </c>
      <c r="S110" s="10"/>
      <c r="T110" s="47">
        <v>52.25</v>
      </c>
      <c r="U110" s="10"/>
      <c r="V110" s="10"/>
      <c r="W110" s="10"/>
      <c r="X110" s="10"/>
      <c r="Y110" s="10"/>
      <c r="Z110" s="10"/>
      <c r="AA110" s="10" t="s">
        <v>408</v>
      </c>
      <c r="AB110" s="47">
        <v>10</v>
      </c>
      <c r="AC110" s="10"/>
      <c r="AD110" s="37">
        <v>25.731030000000001</v>
      </c>
      <c r="AE110" s="37">
        <v>73.168846000000002</v>
      </c>
    </row>
    <row r="111" spans="1:31">
      <c r="A111" s="8" t="s">
        <v>36</v>
      </c>
      <c r="B111" s="8" t="s">
        <v>1598</v>
      </c>
      <c r="C111" s="8" t="s">
        <v>1814</v>
      </c>
      <c r="D111" s="9" t="s">
        <v>1817</v>
      </c>
      <c r="E111" s="8" t="s">
        <v>1818</v>
      </c>
      <c r="F111" s="8">
        <v>268.95999999999998</v>
      </c>
      <c r="G111" s="8">
        <v>82</v>
      </c>
      <c r="H111" s="8">
        <v>422</v>
      </c>
      <c r="I111" s="8">
        <v>215</v>
      </c>
      <c r="J111" s="8">
        <v>207</v>
      </c>
      <c r="K111" s="8">
        <v>194</v>
      </c>
      <c r="L111" s="10">
        <f t="shared" si="2"/>
        <v>45.97156398104265</v>
      </c>
      <c r="M111" s="8">
        <v>50</v>
      </c>
      <c r="N111" s="10">
        <f t="shared" si="3"/>
        <v>11.848341232227488</v>
      </c>
      <c r="O111" s="8">
        <v>6.99</v>
      </c>
      <c r="P111" s="8">
        <v>0</v>
      </c>
      <c r="Q111" s="47" t="s">
        <v>586</v>
      </c>
      <c r="R111" s="47" t="s">
        <v>1946</v>
      </c>
      <c r="S111" s="10"/>
      <c r="T111" s="47">
        <v>12.7</v>
      </c>
      <c r="U111" s="10"/>
      <c r="V111" s="10"/>
      <c r="W111" s="10"/>
      <c r="X111" s="10"/>
      <c r="Y111" s="10"/>
      <c r="Z111" s="10"/>
      <c r="AA111" s="10" t="s">
        <v>408</v>
      </c>
      <c r="AB111" s="47">
        <v>4</v>
      </c>
      <c r="AC111" s="10"/>
      <c r="AD111" s="10"/>
      <c r="AE111" s="10"/>
    </row>
    <row r="112" spans="1:31">
      <c r="A112" s="8" t="s">
        <v>36</v>
      </c>
      <c r="B112" s="8" t="s">
        <v>1598</v>
      </c>
      <c r="C112" s="8" t="s">
        <v>1814</v>
      </c>
      <c r="D112" s="9" t="s">
        <v>726</v>
      </c>
      <c r="E112" s="8" t="s">
        <v>1819</v>
      </c>
      <c r="F112" s="8">
        <v>366.09</v>
      </c>
      <c r="G112" s="8">
        <v>87</v>
      </c>
      <c r="H112" s="8">
        <v>457</v>
      </c>
      <c r="I112" s="8">
        <v>221</v>
      </c>
      <c r="J112" s="8">
        <v>236</v>
      </c>
      <c r="K112" s="8">
        <v>70</v>
      </c>
      <c r="L112" s="10">
        <f t="shared" si="2"/>
        <v>15.317286652078774</v>
      </c>
      <c r="M112" s="8">
        <v>346</v>
      </c>
      <c r="N112" s="10">
        <f t="shared" si="3"/>
        <v>75.711159737417944</v>
      </c>
      <c r="O112" s="8">
        <v>7.5</v>
      </c>
      <c r="P112" s="8">
        <v>0</v>
      </c>
      <c r="Q112" s="47" t="s">
        <v>586</v>
      </c>
      <c r="R112" s="47" t="s">
        <v>1946</v>
      </c>
      <c r="S112" s="10"/>
      <c r="T112" s="47">
        <v>20.67</v>
      </c>
      <c r="U112" s="10"/>
      <c r="V112" s="10"/>
      <c r="W112" s="10"/>
      <c r="X112" s="10"/>
      <c r="Y112" s="10"/>
      <c r="Z112" s="10"/>
      <c r="AA112" s="10" t="s">
        <v>408</v>
      </c>
      <c r="AB112" s="47">
        <v>19</v>
      </c>
      <c r="AC112" s="10"/>
      <c r="AD112" s="10"/>
      <c r="AE112" s="10"/>
    </row>
    <row r="113" spans="1:31">
      <c r="A113" s="8" t="s">
        <v>36</v>
      </c>
      <c r="B113" s="8" t="s">
        <v>1598</v>
      </c>
      <c r="C113" s="8" t="s">
        <v>1814</v>
      </c>
      <c r="D113" s="9" t="s">
        <v>598</v>
      </c>
      <c r="E113" s="8" t="s">
        <v>1820</v>
      </c>
      <c r="F113" s="8">
        <v>675.59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10" t="e">
        <f t="shared" si="2"/>
        <v>#DIV/0!</v>
      </c>
      <c r="M113" s="8">
        <v>0</v>
      </c>
      <c r="N113" s="10" t="e">
        <f t="shared" si="3"/>
        <v>#DIV/0!</v>
      </c>
      <c r="O113" s="8">
        <v>0.28999999999999998</v>
      </c>
      <c r="P113" s="8">
        <v>12.21</v>
      </c>
      <c r="Q113" s="47" t="s">
        <v>586</v>
      </c>
      <c r="R113" s="47" t="s">
        <v>1946</v>
      </c>
      <c r="S113" s="10"/>
      <c r="T113" s="47">
        <v>7</v>
      </c>
      <c r="U113" s="10"/>
      <c r="V113" s="10"/>
      <c r="W113" s="10"/>
      <c r="X113" s="10"/>
      <c r="Y113" s="10"/>
      <c r="Z113" s="10"/>
      <c r="AA113" s="10" t="s">
        <v>408</v>
      </c>
      <c r="AB113" s="47">
        <v>3</v>
      </c>
      <c r="AC113" s="10"/>
      <c r="AD113" s="10"/>
      <c r="AE113" s="10"/>
    </row>
    <row r="114" spans="1:31">
      <c r="A114" s="8" t="s">
        <v>36</v>
      </c>
      <c r="B114" s="8" t="s">
        <v>1598</v>
      </c>
      <c r="C114" s="8" t="s">
        <v>1814</v>
      </c>
      <c r="D114" s="9" t="s">
        <v>1821</v>
      </c>
      <c r="E114" s="8" t="s">
        <v>1822</v>
      </c>
      <c r="F114" s="8">
        <v>760.36</v>
      </c>
      <c r="G114" s="8">
        <v>234</v>
      </c>
      <c r="H114" s="8">
        <v>1227</v>
      </c>
      <c r="I114" s="8">
        <v>629</v>
      </c>
      <c r="J114" s="8">
        <v>598</v>
      </c>
      <c r="K114" s="8">
        <v>150</v>
      </c>
      <c r="L114" s="10">
        <f t="shared" si="2"/>
        <v>12.224938875305623</v>
      </c>
      <c r="M114" s="8">
        <v>66</v>
      </c>
      <c r="N114" s="10">
        <f t="shared" si="3"/>
        <v>5.3789731051344738</v>
      </c>
      <c r="O114" s="8">
        <v>11.37</v>
      </c>
      <c r="P114" s="8">
        <v>0</v>
      </c>
      <c r="Q114" s="47" t="s">
        <v>586</v>
      </c>
      <c r="R114" s="47" t="s">
        <v>1946</v>
      </c>
      <c r="S114" s="10"/>
      <c r="T114" s="47">
        <v>5.37</v>
      </c>
      <c r="U114" s="10"/>
      <c r="V114" s="10"/>
      <c r="W114" s="10"/>
      <c r="X114" s="10"/>
      <c r="Y114" s="10"/>
      <c r="Z114" s="10"/>
      <c r="AA114" s="10" t="s">
        <v>408</v>
      </c>
      <c r="AB114" s="47">
        <v>4</v>
      </c>
      <c r="AC114" s="10"/>
      <c r="AD114" s="10"/>
      <c r="AE114" s="10"/>
    </row>
    <row r="115" spans="1:31">
      <c r="A115" s="8" t="s">
        <v>36</v>
      </c>
      <c r="B115" s="8" t="s">
        <v>1598</v>
      </c>
      <c r="C115" s="8" t="s">
        <v>1814</v>
      </c>
      <c r="D115" s="9" t="s">
        <v>844</v>
      </c>
      <c r="E115" s="8" t="s">
        <v>1823</v>
      </c>
      <c r="F115" s="8">
        <v>541.91</v>
      </c>
      <c r="G115" s="8">
        <v>106</v>
      </c>
      <c r="H115" s="8">
        <v>467</v>
      </c>
      <c r="I115" s="8">
        <v>243</v>
      </c>
      <c r="J115" s="8">
        <v>224</v>
      </c>
      <c r="K115" s="8">
        <v>33</v>
      </c>
      <c r="L115" s="10">
        <f t="shared" si="2"/>
        <v>7.0663811563169174</v>
      </c>
      <c r="M115" s="8">
        <v>381</v>
      </c>
      <c r="N115" s="10">
        <f t="shared" si="3"/>
        <v>81.584582441113497</v>
      </c>
      <c r="O115" s="8">
        <v>15.43</v>
      </c>
      <c r="P115" s="8">
        <v>0</v>
      </c>
      <c r="Q115" s="37" t="s">
        <v>586</v>
      </c>
      <c r="R115" s="59">
        <v>44657</v>
      </c>
      <c r="S115" s="10"/>
      <c r="T115" s="10"/>
      <c r="U115" s="10"/>
      <c r="V115" s="10"/>
      <c r="W115" s="10"/>
      <c r="X115" s="10"/>
      <c r="Y115" s="10"/>
      <c r="Z115" s="10"/>
      <c r="AA115" s="10" t="s">
        <v>412</v>
      </c>
      <c r="AB115" s="10"/>
      <c r="AC115" s="10"/>
      <c r="AD115" s="10"/>
      <c r="AE115" s="10"/>
    </row>
    <row r="116" spans="1:31">
      <c r="A116" s="8" t="s">
        <v>36</v>
      </c>
      <c r="B116" s="8" t="s">
        <v>1598</v>
      </c>
      <c r="C116" s="8" t="s">
        <v>1824</v>
      </c>
      <c r="D116" s="9" t="s">
        <v>1825</v>
      </c>
      <c r="E116" s="8" t="s">
        <v>1826</v>
      </c>
      <c r="F116" s="8">
        <v>685.25</v>
      </c>
      <c r="G116" s="8">
        <v>242</v>
      </c>
      <c r="H116" s="8">
        <v>1081</v>
      </c>
      <c r="I116" s="8">
        <v>584</v>
      </c>
      <c r="J116" s="8">
        <v>497</v>
      </c>
      <c r="K116" s="8">
        <v>33</v>
      </c>
      <c r="L116" s="10">
        <f t="shared" si="2"/>
        <v>3.0527289546716005</v>
      </c>
      <c r="M116" s="8">
        <v>880</v>
      </c>
      <c r="N116" s="10">
        <f t="shared" si="3"/>
        <v>81.406105457909334</v>
      </c>
      <c r="O116" s="8">
        <v>33.76</v>
      </c>
      <c r="P116" s="8">
        <v>0</v>
      </c>
      <c r="Q116" s="33" t="s">
        <v>586</v>
      </c>
      <c r="R116" s="58">
        <v>44656</v>
      </c>
      <c r="S116" s="10"/>
      <c r="T116" s="34">
        <v>35</v>
      </c>
      <c r="U116" s="10"/>
      <c r="V116" s="10"/>
      <c r="W116" s="10"/>
      <c r="X116" s="10"/>
      <c r="Y116" s="10"/>
      <c r="Z116" s="10"/>
      <c r="AA116" s="10" t="s">
        <v>408</v>
      </c>
      <c r="AB116" s="34">
        <v>20</v>
      </c>
      <c r="AC116" s="10"/>
      <c r="AD116" s="33">
        <v>25.480119999999999</v>
      </c>
      <c r="AE116" s="33">
        <v>76.223560000000006</v>
      </c>
    </row>
    <row r="117" spans="1:31">
      <c r="A117" s="8" t="s">
        <v>36</v>
      </c>
      <c r="B117" s="8" t="s">
        <v>1598</v>
      </c>
      <c r="C117" s="8" t="s">
        <v>1824</v>
      </c>
      <c r="D117" s="9" t="s">
        <v>1827</v>
      </c>
      <c r="E117" s="8" t="s">
        <v>1828</v>
      </c>
      <c r="F117" s="8">
        <v>507.01</v>
      </c>
      <c r="G117" s="8">
        <v>54</v>
      </c>
      <c r="H117" s="8">
        <v>234</v>
      </c>
      <c r="I117" s="8">
        <v>133</v>
      </c>
      <c r="J117" s="8">
        <v>101</v>
      </c>
      <c r="K117" s="8">
        <v>27</v>
      </c>
      <c r="L117" s="10">
        <f t="shared" si="2"/>
        <v>11.538461538461538</v>
      </c>
      <c r="M117" s="8">
        <v>0</v>
      </c>
      <c r="N117" s="10">
        <f t="shared" si="3"/>
        <v>0</v>
      </c>
      <c r="O117" s="8">
        <v>15.72</v>
      </c>
      <c r="P117" s="8">
        <v>103.05</v>
      </c>
      <c r="Q117" s="33" t="s">
        <v>586</v>
      </c>
      <c r="R117" s="58">
        <v>44656</v>
      </c>
      <c r="S117" s="10"/>
      <c r="T117" s="34">
        <v>1</v>
      </c>
      <c r="U117" s="10"/>
      <c r="V117" s="10"/>
      <c r="W117" s="10"/>
      <c r="X117" s="10"/>
      <c r="Y117" s="10"/>
      <c r="Z117" s="10"/>
      <c r="AA117" s="10" t="s">
        <v>408</v>
      </c>
      <c r="AB117" s="34">
        <v>2</v>
      </c>
      <c r="AC117" s="10"/>
      <c r="AD117" s="33">
        <v>25.458490000000001</v>
      </c>
      <c r="AE117" s="33">
        <v>76.229939999999999</v>
      </c>
    </row>
    <row r="118" spans="1:31">
      <c r="A118" s="8" t="s">
        <v>36</v>
      </c>
      <c r="B118" s="8" t="s">
        <v>1598</v>
      </c>
      <c r="C118" s="8" t="s">
        <v>1824</v>
      </c>
      <c r="D118" s="9" t="s">
        <v>1829</v>
      </c>
      <c r="E118" s="8" t="s">
        <v>1830</v>
      </c>
      <c r="F118" s="8">
        <v>258.33999999999997</v>
      </c>
      <c r="G118" s="8">
        <v>105</v>
      </c>
      <c r="H118" s="8">
        <v>579</v>
      </c>
      <c r="I118" s="8">
        <v>310</v>
      </c>
      <c r="J118" s="8">
        <v>269</v>
      </c>
      <c r="K118" s="8">
        <v>15</v>
      </c>
      <c r="L118" s="10">
        <f t="shared" si="2"/>
        <v>2.5906735751295336</v>
      </c>
      <c r="M118" s="8">
        <v>498</v>
      </c>
      <c r="N118" s="10">
        <f t="shared" si="3"/>
        <v>86.010362694300511</v>
      </c>
      <c r="O118" s="8">
        <v>19.09</v>
      </c>
      <c r="P118" s="8">
        <v>0</v>
      </c>
      <c r="Q118" s="33" t="s">
        <v>586</v>
      </c>
      <c r="R118" s="58">
        <v>44656</v>
      </c>
      <c r="S118" s="10"/>
      <c r="T118" s="34">
        <v>20</v>
      </c>
      <c r="U118" s="10"/>
      <c r="V118" s="10"/>
      <c r="W118" s="10"/>
      <c r="X118" s="10"/>
      <c r="Y118" s="10"/>
      <c r="Z118" s="10"/>
      <c r="AA118" s="10" t="s">
        <v>408</v>
      </c>
      <c r="AB118" s="34">
        <v>0</v>
      </c>
      <c r="AC118" s="10"/>
      <c r="AD118" s="33">
        <v>25.478449999999999</v>
      </c>
      <c r="AE118" s="33">
        <v>76.193830000000005</v>
      </c>
    </row>
    <row r="119" spans="1:31">
      <c r="A119" s="8" t="s">
        <v>36</v>
      </c>
      <c r="B119" s="8" t="s">
        <v>1598</v>
      </c>
      <c r="C119" s="8" t="s">
        <v>1824</v>
      </c>
      <c r="D119" s="9" t="s">
        <v>148</v>
      </c>
      <c r="E119" s="8" t="s">
        <v>1831</v>
      </c>
      <c r="F119" s="8">
        <v>152.91999999999999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10" t="e">
        <f t="shared" si="2"/>
        <v>#DIV/0!</v>
      </c>
      <c r="M119" s="8">
        <v>0</v>
      </c>
      <c r="N119" s="10" t="e">
        <f t="shared" si="3"/>
        <v>#DIV/0!</v>
      </c>
      <c r="O119" s="8">
        <v>0</v>
      </c>
      <c r="P119" s="8">
        <v>0</v>
      </c>
      <c r="Q119" s="33" t="s">
        <v>586</v>
      </c>
      <c r="R119" s="58">
        <v>44656</v>
      </c>
      <c r="S119" s="10"/>
      <c r="T119" s="34">
        <v>10</v>
      </c>
      <c r="U119" s="10"/>
      <c r="V119" s="10"/>
      <c r="W119" s="10"/>
      <c r="X119" s="10"/>
      <c r="Y119" s="10"/>
      <c r="Z119" s="10"/>
      <c r="AA119" s="10" t="s">
        <v>408</v>
      </c>
      <c r="AB119" s="34">
        <v>0</v>
      </c>
      <c r="AC119" s="10"/>
      <c r="AD119" s="34">
        <v>25.457681999999998</v>
      </c>
      <c r="AE119" s="34">
        <v>76.182479999999998</v>
      </c>
    </row>
    <row r="120" spans="1:31">
      <c r="A120" s="8" t="s">
        <v>36</v>
      </c>
      <c r="B120" s="8" t="s">
        <v>1598</v>
      </c>
      <c r="C120" s="8" t="s">
        <v>1824</v>
      </c>
      <c r="D120" s="9" t="s">
        <v>1832</v>
      </c>
      <c r="E120" s="8" t="s">
        <v>1833</v>
      </c>
      <c r="F120" s="8">
        <v>557.4</v>
      </c>
      <c r="G120" s="8">
        <v>184</v>
      </c>
      <c r="H120" s="8">
        <v>772</v>
      </c>
      <c r="I120" s="8">
        <v>400</v>
      </c>
      <c r="J120" s="8">
        <v>372</v>
      </c>
      <c r="K120" s="8">
        <v>110</v>
      </c>
      <c r="L120" s="10">
        <f t="shared" si="2"/>
        <v>14.248704663212436</v>
      </c>
      <c r="M120" s="8">
        <v>310</v>
      </c>
      <c r="N120" s="10">
        <f t="shared" si="3"/>
        <v>40.155440414507773</v>
      </c>
      <c r="O120" s="8">
        <v>42.85</v>
      </c>
      <c r="P120" s="8">
        <v>0</v>
      </c>
      <c r="Q120" s="33" t="s">
        <v>586</v>
      </c>
      <c r="R120" s="58">
        <v>44656</v>
      </c>
      <c r="S120" s="10"/>
      <c r="T120" s="33">
        <v>10</v>
      </c>
      <c r="U120" s="10"/>
      <c r="V120" s="10"/>
      <c r="W120" s="10"/>
      <c r="X120" s="10"/>
      <c r="Y120" s="10"/>
      <c r="Z120" s="10"/>
      <c r="AA120" s="10" t="s">
        <v>408</v>
      </c>
      <c r="AB120" s="33">
        <v>1.69</v>
      </c>
      <c r="AC120" s="10"/>
      <c r="AD120" s="34">
        <v>25.475967000000001</v>
      </c>
      <c r="AE120" s="34">
        <v>76.199269999999999</v>
      </c>
    </row>
    <row r="121" spans="1:31">
      <c r="A121" s="8" t="s">
        <v>36</v>
      </c>
      <c r="B121" s="8" t="s">
        <v>1598</v>
      </c>
      <c r="C121" s="8" t="s">
        <v>1824</v>
      </c>
      <c r="D121" s="9" t="s">
        <v>1834</v>
      </c>
      <c r="E121" s="8" t="s">
        <v>1835</v>
      </c>
      <c r="F121" s="8">
        <v>232.89</v>
      </c>
      <c r="G121" s="8">
        <v>49</v>
      </c>
      <c r="H121" s="8">
        <v>243</v>
      </c>
      <c r="I121" s="8">
        <v>130</v>
      </c>
      <c r="J121" s="8">
        <v>113</v>
      </c>
      <c r="K121" s="8">
        <v>5</v>
      </c>
      <c r="L121" s="10">
        <f t="shared" si="2"/>
        <v>2.0576131687242798</v>
      </c>
      <c r="M121" s="8">
        <v>190</v>
      </c>
      <c r="N121" s="10">
        <f t="shared" si="3"/>
        <v>78.189300411522638</v>
      </c>
      <c r="O121" s="8">
        <v>11.69</v>
      </c>
      <c r="P121" s="8">
        <v>0</v>
      </c>
      <c r="Q121" s="10"/>
      <c r="R121" s="10"/>
      <c r="S121" s="10"/>
      <c r="T121" s="33">
        <v>7</v>
      </c>
      <c r="U121" s="10"/>
      <c r="V121" s="10"/>
      <c r="W121" s="10"/>
      <c r="X121" s="10"/>
      <c r="Y121" s="10"/>
      <c r="Z121" s="10"/>
      <c r="AA121" s="10" t="s">
        <v>408</v>
      </c>
      <c r="AB121" s="33">
        <v>26</v>
      </c>
      <c r="AC121" s="10"/>
      <c r="AD121" s="33">
        <v>25.45692</v>
      </c>
      <c r="AE121" s="33">
        <v>76.213509999999999</v>
      </c>
    </row>
    <row r="122" spans="1:31">
      <c r="A122" s="8" t="s">
        <v>36</v>
      </c>
      <c r="B122" s="8" t="s">
        <v>1598</v>
      </c>
      <c r="C122" s="8" t="s">
        <v>1824</v>
      </c>
      <c r="D122" s="9" t="s">
        <v>1836</v>
      </c>
      <c r="E122" s="8" t="s">
        <v>1837</v>
      </c>
      <c r="F122" s="8">
        <v>621.35</v>
      </c>
      <c r="G122" s="8">
        <v>132</v>
      </c>
      <c r="H122" s="8">
        <v>612</v>
      </c>
      <c r="I122" s="8">
        <v>324</v>
      </c>
      <c r="J122" s="8">
        <v>288</v>
      </c>
      <c r="K122" s="8">
        <v>163</v>
      </c>
      <c r="L122" s="10">
        <f t="shared" si="2"/>
        <v>26.633986928104576</v>
      </c>
      <c r="M122" s="8">
        <v>309</v>
      </c>
      <c r="N122" s="10">
        <f t="shared" si="3"/>
        <v>50.490196078431367</v>
      </c>
      <c r="O122" s="8">
        <v>55.76</v>
      </c>
      <c r="P122" s="8">
        <v>0</v>
      </c>
      <c r="Q122" s="10"/>
      <c r="R122" s="10"/>
      <c r="S122" s="10"/>
      <c r="T122" s="18">
        <v>12</v>
      </c>
      <c r="U122" s="10"/>
      <c r="V122" s="10"/>
      <c r="W122" s="10"/>
      <c r="X122" s="10"/>
      <c r="Y122" s="10"/>
      <c r="Z122" s="10"/>
      <c r="AA122" s="10" t="s">
        <v>408</v>
      </c>
      <c r="AB122" s="18">
        <v>0</v>
      </c>
      <c r="AC122" s="10"/>
      <c r="AD122" s="33">
        <v>25.45692</v>
      </c>
      <c r="AE122" s="33">
        <v>76.213509999999999</v>
      </c>
    </row>
    <row r="123" spans="1:31">
      <c r="A123" s="8" t="s">
        <v>36</v>
      </c>
      <c r="B123" s="8" t="s">
        <v>1598</v>
      </c>
      <c r="C123" s="8" t="s">
        <v>679</v>
      </c>
      <c r="D123" s="9" t="s">
        <v>680</v>
      </c>
      <c r="E123" s="8" t="s">
        <v>1838</v>
      </c>
      <c r="F123" s="8">
        <v>612.42999999999995</v>
      </c>
      <c r="G123" s="8">
        <v>183</v>
      </c>
      <c r="H123" s="8">
        <v>884</v>
      </c>
      <c r="I123" s="8">
        <v>461</v>
      </c>
      <c r="J123" s="8">
        <v>423</v>
      </c>
      <c r="K123" s="8">
        <v>176</v>
      </c>
      <c r="L123" s="10">
        <f t="shared" si="2"/>
        <v>19.909502262443439</v>
      </c>
      <c r="M123" s="8">
        <v>6</v>
      </c>
      <c r="N123" s="10">
        <f t="shared" si="3"/>
        <v>0.67873303167420818</v>
      </c>
      <c r="O123" s="8">
        <v>22.83</v>
      </c>
      <c r="P123" s="8">
        <v>126.95</v>
      </c>
      <c r="Q123" s="33" t="s">
        <v>586</v>
      </c>
      <c r="R123" s="58">
        <v>44656</v>
      </c>
      <c r="S123" s="10"/>
      <c r="T123" s="34">
        <v>14.63</v>
      </c>
      <c r="U123" s="10"/>
      <c r="V123" s="10"/>
      <c r="W123" s="10"/>
      <c r="X123" s="10"/>
      <c r="Y123" s="10"/>
      <c r="Z123" s="10"/>
      <c r="AA123" s="10" t="s">
        <v>408</v>
      </c>
      <c r="AB123" s="34">
        <v>10</v>
      </c>
      <c r="AC123" s="10"/>
      <c r="AD123" s="34">
        <v>25.46509</v>
      </c>
      <c r="AE123" s="34">
        <v>76.274069999999995</v>
      </c>
    </row>
    <row r="124" spans="1:31">
      <c r="A124" s="8" t="s">
        <v>36</v>
      </c>
      <c r="B124" s="8" t="s">
        <v>1598</v>
      </c>
      <c r="C124" s="8" t="s">
        <v>679</v>
      </c>
      <c r="D124" s="9" t="s">
        <v>1839</v>
      </c>
      <c r="E124" s="8" t="s">
        <v>1840</v>
      </c>
      <c r="F124" s="8">
        <v>232</v>
      </c>
      <c r="G124" s="8">
        <v>45</v>
      </c>
      <c r="H124" s="8">
        <v>234</v>
      </c>
      <c r="I124" s="8">
        <v>126</v>
      </c>
      <c r="J124" s="8">
        <v>108</v>
      </c>
      <c r="K124" s="8">
        <v>30</v>
      </c>
      <c r="L124" s="10">
        <f t="shared" si="2"/>
        <v>12.820512820512819</v>
      </c>
      <c r="M124" s="8">
        <v>199</v>
      </c>
      <c r="N124" s="10">
        <f t="shared" si="3"/>
        <v>85.042735042735046</v>
      </c>
      <c r="O124" s="8">
        <v>8.14</v>
      </c>
      <c r="P124" s="8">
        <v>0</v>
      </c>
      <c r="Q124" s="33" t="s">
        <v>586</v>
      </c>
      <c r="R124" s="58">
        <v>44656</v>
      </c>
      <c r="S124" s="10"/>
      <c r="T124" s="34">
        <v>10</v>
      </c>
      <c r="U124" s="10"/>
      <c r="V124" s="10"/>
      <c r="W124" s="10"/>
      <c r="X124" s="10"/>
      <c r="Y124" s="10"/>
      <c r="Z124" s="10"/>
      <c r="AA124" s="10" t="s">
        <v>408</v>
      </c>
      <c r="AB124" s="34">
        <v>3</v>
      </c>
      <c r="AC124" s="10"/>
      <c r="AD124" s="41">
        <v>25.482130000000002</v>
      </c>
      <c r="AE124" s="34">
        <v>76.276169999999993</v>
      </c>
    </row>
    <row r="125" spans="1:31">
      <c r="A125" s="8" t="s">
        <v>36</v>
      </c>
      <c r="B125" s="8" t="s">
        <v>1598</v>
      </c>
      <c r="C125" s="8" t="s">
        <v>679</v>
      </c>
      <c r="D125" s="9" t="s">
        <v>1841</v>
      </c>
      <c r="E125" s="8" t="s">
        <v>1842</v>
      </c>
      <c r="F125" s="8">
        <v>241.61</v>
      </c>
      <c r="G125" s="8">
        <v>104</v>
      </c>
      <c r="H125" s="8">
        <v>502</v>
      </c>
      <c r="I125" s="8">
        <v>271</v>
      </c>
      <c r="J125" s="8">
        <v>231</v>
      </c>
      <c r="K125" s="8">
        <v>216</v>
      </c>
      <c r="L125" s="10">
        <f t="shared" si="2"/>
        <v>43.027888446215137</v>
      </c>
      <c r="M125" s="8">
        <v>228</v>
      </c>
      <c r="N125" s="10">
        <f t="shared" si="3"/>
        <v>45.418326693227087</v>
      </c>
      <c r="O125" s="8">
        <v>30.58</v>
      </c>
      <c r="P125" s="8">
        <v>0</v>
      </c>
      <c r="Q125" s="33" t="s">
        <v>586</v>
      </c>
      <c r="R125" s="58">
        <v>44659</v>
      </c>
      <c r="S125" s="10"/>
      <c r="T125" s="34">
        <v>10</v>
      </c>
      <c r="U125" s="10"/>
      <c r="V125" s="10"/>
      <c r="W125" s="10"/>
      <c r="X125" s="10"/>
      <c r="Y125" s="10"/>
      <c r="Z125" s="10"/>
      <c r="AA125" s="10" t="s">
        <v>408</v>
      </c>
      <c r="AB125" s="34">
        <v>6</v>
      </c>
      <c r="AC125" s="10"/>
      <c r="AD125" s="34">
        <v>25.502579999999998</v>
      </c>
      <c r="AE125" s="34">
        <v>76.265632999999994</v>
      </c>
    </row>
    <row r="126" spans="1:31">
      <c r="A126" s="8" t="s">
        <v>36</v>
      </c>
      <c r="B126" s="8" t="s">
        <v>1598</v>
      </c>
      <c r="C126" s="8" t="s">
        <v>679</v>
      </c>
      <c r="D126" s="9" t="s">
        <v>1433</v>
      </c>
      <c r="E126" s="8" t="s">
        <v>1843</v>
      </c>
      <c r="F126" s="8">
        <v>425.5</v>
      </c>
      <c r="G126" s="8">
        <v>65</v>
      </c>
      <c r="H126" s="8">
        <v>283</v>
      </c>
      <c r="I126" s="8">
        <v>152</v>
      </c>
      <c r="J126" s="8">
        <v>131</v>
      </c>
      <c r="K126" s="8">
        <v>30</v>
      </c>
      <c r="L126" s="10">
        <f t="shared" si="2"/>
        <v>10.600706713780919</v>
      </c>
      <c r="M126" s="8">
        <v>153</v>
      </c>
      <c r="N126" s="10">
        <f t="shared" si="3"/>
        <v>54.063604240282679</v>
      </c>
      <c r="O126" s="8">
        <v>0</v>
      </c>
      <c r="P126" s="8">
        <v>176.91</v>
      </c>
      <c r="Q126" s="33" t="s">
        <v>586</v>
      </c>
      <c r="R126" s="58">
        <v>44656</v>
      </c>
      <c r="S126" s="10"/>
      <c r="T126" s="34">
        <v>19</v>
      </c>
      <c r="U126" s="10"/>
      <c r="V126" s="10"/>
      <c r="W126" s="10"/>
      <c r="X126" s="10"/>
      <c r="Y126" s="10"/>
      <c r="Z126" s="10"/>
      <c r="AA126" s="10" t="s">
        <v>408</v>
      </c>
      <c r="AB126" s="34">
        <v>17</v>
      </c>
      <c r="AC126" s="10"/>
      <c r="AD126" s="34">
        <v>25.482399999999998</v>
      </c>
      <c r="AE126" s="34">
        <v>76.272840000000002</v>
      </c>
    </row>
    <row r="127" spans="1:31">
      <c r="A127" s="8" t="s">
        <v>36</v>
      </c>
      <c r="B127" s="8" t="s">
        <v>1598</v>
      </c>
      <c r="C127" s="8" t="s">
        <v>679</v>
      </c>
      <c r="D127" s="9" t="s">
        <v>1844</v>
      </c>
      <c r="E127" s="8" t="s">
        <v>1845</v>
      </c>
      <c r="F127" s="8">
        <v>395.11</v>
      </c>
      <c r="G127" s="8">
        <v>53</v>
      </c>
      <c r="H127" s="8">
        <v>279</v>
      </c>
      <c r="I127" s="8">
        <v>153</v>
      </c>
      <c r="J127" s="8">
        <v>126</v>
      </c>
      <c r="K127" s="8">
        <v>0</v>
      </c>
      <c r="L127" s="10">
        <f t="shared" si="2"/>
        <v>0</v>
      </c>
      <c r="M127" s="8">
        <v>0</v>
      </c>
      <c r="N127" s="10">
        <f t="shared" si="3"/>
        <v>0</v>
      </c>
      <c r="O127" s="8">
        <v>13.42</v>
      </c>
      <c r="P127" s="8">
        <v>186.23</v>
      </c>
      <c r="Q127" s="33" t="s">
        <v>586</v>
      </c>
      <c r="R127" s="58">
        <v>44656</v>
      </c>
      <c r="S127" s="10"/>
      <c r="T127" s="34">
        <v>6</v>
      </c>
      <c r="U127" s="10"/>
      <c r="V127" s="10"/>
      <c r="W127" s="10"/>
      <c r="X127" s="10"/>
      <c r="Y127" s="10"/>
      <c r="Z127" s="10"/>
      <c r="AA127" s="10" t="s">
        <v>408</v>
      </c>
      <c r="AB127" s="34">
        <v>2</v>
      </c>
      <c r="AC127" s="10"/>
      <c r="AD127" s="34">
        <v>25.450900000000001</v>
      </c>
      <c r="AE127" s="34">
        <v>76.239900000000006</v>
      </c>
    </row>
    <row r="128" spans="1:31">
      <c r="A128" s="8" t="s">
        <v>36</v>
      </c>
      <c r="B128" s="8" t="s">
        <v>1598</v>
      </c>
      <c r="C128" s="8" t="s">
        <v>679</v>
      </c>
      <c r="D128" s="9" t="s">
        <v>1846</v>
      </c>
      <c r="E128" s="8" t="s">
        <v>1847</v>
      </c>
      <c r="F128" s="8">
        <v>1016.44</v>
      </c>
      <c r="G128" s="8">
        <v>143</v>
      </c>
      <c r="H128" s="8">
        <v>634</v>
      </c>
      <c r="I128" s="8">
        <v>343</v>
      </c>
      <c r="J128" s="8">
        <v>291</v>
      </c>
      <c r="K128" s="8">
        <v>33</v>
      </c>
      <c r="L128" s="10">
        <f t="shared" si="2"/>
        <v>5.2050473186119879</v>
      </c>
      <c r="M128" s="8">
        <v>486</v>
      </c>
      <c r="N128" s="10">
        <f t="shared" si="3"/>
        <v>76.656151419558356</v>
      </c>
      <c r="O128" s="8">
        <v>39.54</v>
      </c>
      <c r="P128" s="8">
        <v>222.48</v>
      </c>
      <c r="Q128" s="33" t="s">
        <v>586</v>
      </c>
      <c r="R128" s="58">
        <v>44656</v>
      </c>
      <c r="S128" s="10"/>
      <c r="T128" s="34">
        <v>29</v>
      </c>
      <c r="U128" s="10"/>
      <c r="V128" s="10"/>
      <c r="W128" s="10"/>
      <c r="X128" s="10"/>
      <c r="Y128" s="10"/>
      <c r="Z128" s="10"/>
      <c r="AA128" s="10" t="s">
        <v>408</v>
      </c>
      <c r="AB128" s="34">
        <v>20</v>
      </c>
      <c r="AC128" s="10"/>
      <c r="AD128" s="34">
        <v>25.488140000000001</v>
      </c>
      <c r="AE128" s="34">
        <v>76.241050000000001</v>
      </c>
    </row>
    <row r="129" spans="1:31">
      <c r="A129" s="8" t="s">
        <v>36</v>
      </c>
      <c r="B129" s="8" t="s">
        <v>1598</v>
      </c>
      <c r="C129" s="8" t="s">
        <v>679</v>
      </c>
      <c r="D129" s="9" t="s">
        <v>1848</v>
      </c>
      <c r="E129" s="8" t="s">
        <v>1849</v>
      </c>
      <c r="F129" s="8">
        <v>516.72</v>
      </c>
      <c r="G129" s="8">
        <v>68</v>
      </c>
      <c r="H129" s="8">
        <v>281</v>
      </c>
      <c r="I129" s="8">
        <v>150</v>
      </c>
      <c r="J129" s="8">
        <v>131</v>
      </c>
      <c r="K129" s="8">
        <v>10</v>
      </c>
      <c r="L129" s="10">
        <f t="shared" si="2"/>
        <v>3.5587188612099649</v>
      </c>
      <c r="M129" s="8">
        <v>0</v>
      </c>
      <c r="N129" s="10">
        <f t="shared" si="3"/>
        <v>0</v>
      </c>
      <c r="O129" s="8">
        <v>20.34</v>
      </c>
      <c r="P129" s="8">
        <v>285.86</v>
      </c>
      <c r="Q129" s="33" t="s">
        <v>586</v>
      </c>
      <c r="R129" s="58">
        <v>44656</v>
      </c>
      <c r="S129" s="10"/>
      <c r="T129" s="34">
        <v>10</v>
      </c>
      <c r="U129" s="10"/>
      <c r="V129" s="10"/>
      <c r="W129" s="10"/>
      <c r="X129" s="10"/>
      <c r="Y129" s="10"/>
      <c r="Z129" s="10"/>
      <c r="AA129" s="10" t="s">
        <v>408</v>
      </c>
      <c r="AB129" s="34">
        <v>7</v>
      </c>
      <c r="AC129" s="10"/>
      <c r="AD129" s="34">
        <v>25.50356</v>
      </c>
      <c r="AE129" s="34">
        <v>76.309600000000003</v>
      </c>
    </row>
    <row r="130" spans="1:31">
      <c r="A130" s="8" t="s">
        <v>36</v>
      </c>
      <c r="B130" s="8" t="s">
        <v>1598</v>
      </c>
      <c r="C130" s="8" t="s">
        <v>679</v>
      </c>
      <c r="D130" s="9" t="s">
        <v>1850</v>
      </c>
      <c r="E130" s="8" t="s">
        <v>1851</v>
      </c>
      <c r="F130" s="8">
        <v>324.61</v>
      </c>
      <c r="G130" s="8">
        <v>79</v>
      </c>
      <c r="H130" s="8">
        <v>364</v>
      </c>
      <c r="I130" s="8">
        <v>200</v>
      </c>
      <c r="J130" s="8">
        <v>164</v>
      </c>
      <c r="K130" s="8">
        <v>122</v>
      </c>
      <c r="L130" s="10">
        <f t="shared" si="2"/>
        <v>33.516483516483511</v>
      </c>
      <c r="M130" s="8">
        <v>26</v>
      </c>
      <c r="N130" s="10">
        <f t="shared" si="3"/>
        <v>7.1428571428571423</v>
      </c>
      <c r="O130" s="8">
        <v>18.899999999999999</v>
      </c>
      <c r="P130" s="8">
        <v>33.28</v>
      </c>
      <c r="Q130" s="33" t="s">
        <v>586</v>
      </c>
      <c r="R130" s="58">
        <v>44656</v>
      </c>
      <c r="S130" s="10"/>
      <c r="T130" s="34">
        <v>17</v>
      </c>
      <c r="U130" s="10"/>
      <c r="V130" s="10"/>
      <c r="W130" s="10"/>
      <c r="X130" s="10"/>
      <c r="Y130" s="10"/>
      <c r="Z130" s="10"/>
      <c r="AA130" s="10" t="s">
        <v>408</v>
      </c>
      <c r="AB130" s="34">
        <v>10</v>
      </c>
      <c r="AC130" s="10"/>
      <c r="AD130" s="34">
        <v>25.492100000000001</v>
      </c>
      <c r="AE130" s="34">
        <v>76.309600000000003</v>
      </c>
    </row>
    <row r="131" spans="1:31">
      <c r="A131" s="8" t="s">
        <v>36</v>
      </c>
      <c r="B131" s="8" t="s">
        <v>1598</v>
      </c>
      <c r="C131" s="8" t="s">
        <v>679</v>
      </c>
      <c r="D131" s="9" t="s">
        <v>1852</v>
      </c>
      <c r="E131" s="8" t="s">
        <v>1853</v>
      </c>
      <c r="F131" s="8">
        <v>297.60000000000002</v>
      </c>
      <c r="G131" s="8">
        <v>56</v>
      </c>
      <c r="H131" s="8">
        <v>273</v>
      </c>
      <c r="I131" s="8">
        <v>137</v>
      </c>
      <c r="J131" s="8">
        <v>136</v>
      </c>
      <c r="K131" s="8">
        <v>0</v>
      </c>
      <c r="L131" s="10">
        <f t="shared" si="2"/>
        <v>0</v>
      </c>
      <c r="M131" s="8">
        <v>0</v>
      </c>
      <c r="N131" s="10">
        <f t="shared" si="3"/>
        <v>0</v>
      </c>
      <c r="O131" s="8">
        <v>7.13</v>
      </c>
      <c r="P131" s="8">
        <v>118.22</v>
      </c>
      <c r="Q131" s="33" t="s">
        <v>586</v>
      </c>
      <c r="R131" s="58">
        <v>44656</v>
      </c>
      <c r="S131" s="10"/>
      <c r="T131" s="10"/>
      <c r="U131" s="10"/>
      <c r="V131" s="10"/>
      <c r="W131" s="10"/>
      <c r="X131" s="10"/>
      <c r="Y131" s="10"/>
      <c r="Z131" s="10"/>
      <c r="AA131" s="10" t="s">
        <v>412</v>
      </c>
      <c r="AB131" s="10"/>
      <c r="AC131" s="10"/>
      <c r="AD131" s="34">
        <v>25.41028</v>
      </c>
      <c r="AE131" s="34">
        <v>76.306799999999996</v>
      </c>
    </row>
    <row r="132" spans="1:31">
      <c r="A132" s="8" t="s">
        <v>36</v>
      </c>
      <c r="B132" s="8" t="s">
        <v>1598</v>
      </c>
      <c r="C132" s="8" t="s">
        <v>679</v>
      </c>
      <c r="D132" s="9" t="s">
        <v>1854</v>
      </c>
      <c r="E132" s="8" t="s">
        <v>1855</v>
      </c>
      <c r="F132" s="8">
        <v>1016.84</v>
      </c>
      <c r="G132" s="8">
        <v>86</v>
      </c>
      <c r="H132" s="8">
        <v>397</v>
      </c>
      <c r="I132" s="8">
        <v>210</v>
      </c>
      <c r="J132" s="8">
        <v>187</v>
      </c>
      <c r="K132" s="8">
        <v>0</v>
      </c>
      <c r="L132" s="10">
        <f t="shared" ref="L132:L174" si="4">K132/H132*100</f>
        <v>0</v>
      </c>
      <c r="M132" s="8">
        <v>242</v>
      </c>
      <c r="N132" s="10">
        <f t="shared" si="3"/>
        <v>60.957178841309826</v>
      </c>
      <c r="O132" s="8">
        <v>41.61</v>
      </c>
      <c r="P132" s="8">
        <v>246.69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 t="s">
        <v>412</v>
      </c>
      <c r="AB132" s="10"/>
      <c r="AC132" s="10"/>
      <c r="AD132" s="10"/>
      <c r="AE132" s="10"/>
    </row>
    <row r="133" spans="1:31">
      <c r="A133" s="8" t="s">
        <v>36</v>
      </c>
      <c r="B133" s="8" t="s">
        <v>1598</v>
      </c>
      <c r="C133" s="8" t="s">
        <v>1856</v>
      </c>
      <c r="D133" s="9" t="s">
        <v>1857</v>
      </c>
      <c r="E133" s="8" t="s">
        <v>1858</v>
      </c>
      <c r="F133" s="8">
        <v>2442.9699999999998</v>
      </c>
      <c r="G133" s="8">
        <v>789</v>
      </c>
      <c r="H133" s="8">
        <v>3779</v>
      </c>
      <c r="I133" s="8">
        <v>1976</v>
      </c>
      <c r="J133" s="8">
        <v>1803</v>
      </c>
      <c r="K133" s="8">
        <v>1075</v>
      </c>
      <c r="L133" s="10">
        <f t="shared" si="4"/>
        <v>28.446679015612595</v>
      </c>
      <c r="M133" s="8">
        <v>70</v>
      </c>
      <c r="N133" s="10">
        <f t="shared" ref="N133:N174" si="5">M133/H133*100</f>
        <v>1.8523418893887273</v>
      </c>
      <c r="O133" s="8">
        <v>104.47</v>
      </c>
      <c r="P133" s="8">
        <v>744.47</v>
      </c>
      <c r="Q133" s="10"/>
      <c r="R133" s="10"/>
      <c r="S133" s="10"/>
      <c r="T133" s="10">
        <v>73</v>
      </c>
      <c r="U133" s="10"/>
      <c r="V133" s="10"/>
      <c r="W133" s="10"/>
      <c r="X133" s="10"/>
      <c r="Y133" s="10"/>
      <c r="Z133" s="10"/>
      <c r="AA133" s="10" t="s">
        <v>408</v>
      </c>
      <c r="AB133" s="10">
        <v>20</v>
      </c>
      <c r="AC133" s="10"/>
      <c r="AD133" s="10"/>
      <c r="AE133" s="10"/>
    </row>
    <row r="134" spans="1:31">
      <c r="A134" s="8" t="s">
        <v>36</v>
      </c>
      <c r="B134" s="8" t="s">
        <v>1598</v>
      </c>
      <c r="C134" s="8" t="s">
        <v>1859</v>
      </c>
      <c r="D134" s="9" t="s">
        <v>977</v>
      </c>
      <c r="E134" s="8" t="s">
        <v>1860</v>
      </c>
      <c r="F134" s="8">
        <v>774.37</v>
      </c>
      <c r="G134" s="8">
        <v>586</v>
      </c>
      <c r="H134" s="8">
        <v>3069</v>
      </c>
      <c r="I134" s="8">
        <v>1586</v>
      </c>
      <c r="J134" s="8">
        <v>1483</v>
      </c>
      <c r="K134" s="8">
        <v>742</v>
      </c>
      <c r="L134" s="10">
        <f t="shared" si="4"/>
        <v>24.177256435320952</v>
      </c>
      <c r="M134" s="8">
        <v>65</v>
      </c>
      <c r="N134" s="10">
        <f t="shared" si="5"/>
        <v>2.1179537308569567</v>
      </c>
      <c r="O134" s="8">
        <v>0</v>
      </c>
      <c r="P134" s="8">
        <v>27.98</v>
      </c>
      <c r="Q134" s="33" t="s">
        <v>408</v>
      </c>
      <c r="R134" s="83">
        <v>44642</v>
      </c>
      <c r="S134" s="10"/>
      <c r="T134" s="10"/>
      <c r="U134" s="10"/>
      <c r="V134" s="10"/>
      <c r="W134" s="10"/>
      <c r="X134" s="10"/>
      <c r="Y134" s="10"/>
      <c r="Z134" s="10"/>
      <c r="AA134" s="10" t="s">
        <v>412</v>
      </c>
      <c r="AB134" s="10"/>
      <c r="AC134" s="10"/>
      <c r="AD134" s="35">
        <v>25.193354500000002</v>
      </c>
      <c r="AE134" s="35">
        <v>75.063927699999994</v>
      </c>
    </row>
    <row r="135" spans="1:31">
      <c r="A135" s="8" t="s">
        <v>36</v>
      </c>
      <c r="B135" s="8" t="s">
        <v>1598</v>
      </c>
      <c r="C135" s="8" t="s">
        <v>1859</v>
      </c>
      <c r="D135" s="9" t="s">
        <v>1861</v>
      </c>
      <c r="E135" s="8" t="s">
        <v>1862</v>
      </c>
      <c r="F135" s="8">
        <v>177</v>
      </c>
      <c r="G135" s="8">
        <v>24</v>
      </c>
      <c r="H135" s="8">
        <v>134</v>
      </c>
      <c r="I135" s="8">
        <v>76</v>
      </c>
      <c r="J135" s="8">
        <v>58</v>
      </c>
      <c r="K135" s="8">
        <v>28</v>
      </c>
      <c r="L135" s="10">
        <f t="shared" si="4"/>
        <v>20.8955223880597</v>
      </c>
      <c r="M135" s="8">
        <v>33</v>
      </c>
      <c r="N135" s="10">
        <f t="shared" si="5"/>
        <v>24.626865671641792</v>
      </c>
      <c r="O135" s="8">
        <v>0</v>
      </c>
      <c r="P135" s="8">
        <v>0</v>
      </c>
      <c r="Q135" s="37" t="s">
        <v>408</v>
      </c>
      <c r="R135" s="83">
        <v>44600</v>
      </c>
      <c r="S135" s="10"/>
      <c r="T135" s="10"/>
      <c r="U135" s="10"/>
      <c r="V135" s="10"/>
      <c r="W135" s="10"/>
      <c r="X135" s="10"/>
      <c r="Y135" s="10"/>
      <c r="Z135" s="10"/>
      <c r="AA135" s="10" t="s">
        <v>412</v>
      </c>
      <c r="AB135" s="10"/>
      <c r="AC135" s="10"/>
      <c r="AD135" s="35">
        <v>25.124677999999999</v>
      </c>
      <c r="AE135" s="35">
        <v>76.038061999999996</v>
      </c>
    </row>
    <row r="136" spans="1:31">
      <c r="A136" s="8" t="s">
        <v>36</v>
      </c>
      <c r="B136" s="8" t="s">
        <v>1598</v>
      </c>
      <c r="C136" s="8" t="s">
        <v>1859</v>
      </c>
      <c r="D136" s="9" t="s">
        <v>1863</v>
      </c>
      <c r="E136" s="8" t="s">
        <v>1864</v>
      </c>
      <c r="F136" s="8">
        <v>163.68</v>
      </c>
      <c r="G136" s="8">
        <v>1</v>
      </c>
      <c r="H136" s="8">
        <v>1</v>
      </c>
      <c r="I136" s="8">
        <v>1</v>
      </c>
      <c r="J136" s="8">
        <v>0</v>
      </c>
      <c r="K136" s="8">
        <v>0</v>
      </c>
      <c r="L136" s="10">
        <f t="shared" si="4"/>
        <v>0</v>
      </c>
      <c r="M136" s="8">
        <v>0</v>
      </c>
      <c r="N136" s="10">
        <f t="shared" si="5"/>
        <v>0</v>
      </c>
      <c r="O136" s="8">
        <v>0</v>
      </c>
      <c r="P136" s="8">
        <v>46.82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 t="s">
        <v>412</v>
      </c>
      <c r="AB136" s="10"/>
      <c r="AC136" s="10"/>
      <c r="AD136" s="10"/>
      <c r="AE136" s="10"/>
    </row>
    <row r="137" spans="1:31">
      <c r="A137" s="8" t="s">
        <v>36</v>
      </c>
      <c r="B137" s="8" t="s">
        <v>1598</v>
      </c>
      <c r="C137" s="8" t="s">
        <v>1859</v>
      </c>
      <c r="D137" s="9" t="s">
        <v>1865</v>
      </c>
      <c r="E137" s="8" t="s">
        <v>1866</v>
      </c>
      <c r="F137" s="8">
        <v>433.73</v>
      </c>
      <c r="G137" s="8">
        <v>114</v>
      </c>
      <c r="H137" s="8">
        <v>618</v>
      </c>
      <c r="I137" s="8">
        <v>314</v>
      </c>
      <c r="J137" s="8">
        <v>304</v>
      </c>
      <c r="K137" s="8">
        <v>113</v>
      </c>
      <c r="L137" s="10">
        <f t="shared" si="4"/>
        <v>18.284789644012946</v>
      </c>
      <c r="M137" s="8">
        <v>78</v>
      </c>
      <c r="N137" s="10">
        <f t="shared" si="5"/>
        <v>12.621359223300971</v>
      </c>
      <c r="O137" s="8">
        <v>0</v>
      </c>
      <c r="P137" s="8">
        <v>57.65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 t="s">
        <v>412</v>
      </c>
      <c r="AB137" s="10"/>
      <c r="AC137" s="10"/>
      <c r="AD137" s="10"/>
      <c r="AE137" s="10"/>
    </row>
    <row r="138" spans="1:31">
      <c r="A138" s="8" t="s">
        <v>36</v>
      </c>
      <c r="B138" s="8" t="s">
        <v>1598</v>
      </c>
      <c r="C138" s="8" t="s">
        <v>1867</v>
      </c>
      <c r="D138" s="9" t="s">
        <v>1868</v>
      </c>
      <c r="E138" s="8" t="s">
        <v>1869</v>
      </c>
      <c r="F138" s="8">
        <v>262.95</v>
      </c>
      <c r="G138" s="8">
        <v>202</v>
      </c>
      <c r="H138" s="8">
        <v>1038</v>
      </c>
      <c r="I138" s="8">
        <v>514</v>
      </c>
      <c r="J138" s="8">
        <v>524</v>
      </c>
      <c r="K138" s="8">
        <v>240</v>
      </c>
      <c r="L138" s="10">
        <f t="shared" si="4"/>
        <v>23.121387283236995</v>
      </c>
      <c r="M138" s="8">
        <v>306</v>
      </c>
      <c r="N138" s="10">
        <f t="shared" si="5"/>
        <v>29.47976878612717</v>
      </c>
      <c r="O138" s="8">
        <v>0</v>
      </c>
      <c r="P138" s="8">
        <v>0</v>
      </c>
      <c r="Q138" s="10"/>
      <c r="R138" s="10"/>
      <c r="S138" s="10"/>
      <c r="T138" s="10">
        <v>10</v>
      </c>
      <c r="U138" s="10"/>
      <c r="V138" s="10"/>
      <c r="W138" s="10"/>
      <c r="X138" s="10"/>
      <c r="Y138" s="10"/>
      <c r="Z138" s="10"/>
      <c r="AA138" s="10" t="s">
        <v>408</v>
      </c>
      <c r="AB138" s="10">
        <v>8</v>
      </c>
      <c r="AC138" s="10"/>
      <c r="AD138" s="37">
        <v>25.197430000000001</v>
      </c>
      <c r="AE138" s="37">
        <v>76.051689999999994</v>
      </c>
    </row>
    <row r="139" spans="1:31">
      <c r="A139" s="8" t="s">
        <v>36</v>
      </c>
      <c r="B139" s="8" t="s">
        <v>1598</v>
      </c>
      <c r="C139" s="8" t="s">
        <v>1867</v>
      </c>
      <c r="D139" s="9" t="s">
        <v>1870</v>
      </c>
      <c r="E139" s="8" t="s">
        <v>1871</v>
      </c>
      <c r="F139" s="8">
        <v>628.11</v>
      </c>
      <c r="G139" s="8">
        <v>290</v>
      </c>
      <c r="H139" s="8">
        <v>1505</v>
      </c>
      <c r="I139" s="8">
        <v>762</v>
      </c>
      <c r="J139" s="8">
        <v>743</v>
      </c>
      <c r="K139" s="8">
        <v>554</v>
      </c>
      <c r="L139" s="10">
        <f t="shared" si="4"/>
        <v>36.810631229235881</v>
      </c>
      <c r="M139" s="8">
        <v>173</v>
      </c>
      <c r="N139" s="10">
        <f t="shared" si="5"/>
        <v>11.495016611295682</v>
      </c>
      <c r="O139" s="8">
        <v>0</v>
      </c>
      <c r="P139" s="8">
        <v>0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 t="s">
        <v>412</v>
      </c>
      <c r="AB139" s="10"/>
      <c r="AC139" s="10"/>
      <c r="AD139" s="10"/>
      <c r="AE139" s="10"/>
    </row>
    <row r="140" spans="1:31">
      <c r="A140" s="8" t="s">
        <v>36</v>
      </c>
      <c r="B140" s="8" t="s">
        <v>1598</v>
      </c>
      <c r="C140" s="8" t="s">
        <v>1867</v>
      </c>
      <c r="D140" s="9" t="s">
        <v>1872</v>
      </c>
      <c r="E140" s="8" t="s">
        <v>1873</v>
      </c>
      <c r="F140" s="8">
        <v>314.48</v>
      </c>
      <c r="G140" s="8">
        <v>62</v>
      </c>
      <c r="H140" s="8">
        <v>360</v>
      </c>
      <c r="I140" s="8">
        <v>180</v>
      </c>
      <c r="J140" s="8">
        <v>180</v>
      </c>
      <c r="K140" s="8">
        <v>33</v>
      </c>
      <c r="L140" s="10">
        <f t="shared" si="4"/>
        <v>9.1666666666666661</v>
      </c>
      <c r="M140" s="8">
        <v>202</v>
      </c>
      <c r="N140" s="10">
        <f t="shared" si="5"/>
        <v>56.111111111111114</v>
      </c>
      <c r="O140" s="8">
        <v>0.95</v>
      </c>
      <c r="P140" s="8">
        <v>0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 t="s">
        <v>412</v>
      </c>
      <c r="AB140" s="10"/>
      <c r="AC140" s="10"/>
      <c r="AD140" s="10"/>
      <c r="AE140" s="10"/>
    </row>
    <row r="141" spans="1:31">
      <c r="A141" s="8" t="s">
        <v>36</v>
      </c>
      <c r="B141" s="8" t="s">
        <v>1598</v>
      </c>
      <c r="C141" s="8" t="s">
        <v>1867</v>
      </c>
      <c r="D141" s="9" t="s">
        <v>891</v>
      </c>
      <c r="E141" s="8" t="s">
        <v>1874</v>
      </c>
      <c r="F141" s="8">
        <v>286.2</v>
      </c>
      <c r="G141" s="8">
        <v>176</v>
      </c>
      <c r="H141" s="8">
        <v>911</v>
      </c>
      <c r="I141" s="8">
        <v>460</v>
      </c>
      <c r="J141" s="8">
        <v>451</v>
      </c>
      <c r="K141" s="8">
        <v>273</v>
      </c>
      <c r="L141" s="10">
        <f t="shared" si="4"/>
        <v>29.967069154774972</v>
      </c>
      <c r="M141" s="8">
        <v>219</v>
      </c>
      <c r="N141" s="10">
        <f t="shared" si="5"/>
        <v>24.039517014270036</v>
      </c>
      <c r="O141" s="8">
        <v>0</v>
      </c>
      <c r="P141" s="8">
        <v>0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 t="s">
        <v>412</v>
      </c>
      <c r="AB141" s="10"/>
      <c r="AC141" s="10"/>
      <c r="AD141" s="10"/>
      <c r="AE141" s="10"/>
    </row>
    <row r="142" spans="1:31">
      <c r="A142" s="8" t="s">
        <v>36</v>
      </c>
      <c r="B142" s="8" t="s">
        <v>1598</v>
      </c>
      <c r="C142" s="8" t="s">
        <v>1867</v>
      </c>
      <c r="D142" s="9" t="s">
        <v>1875</v>
      </c>
      <c r="E142" s="8" t="s">
        <v>1876</v>
      </c>
      <c r="F142" s="8">
        <v>302.38</v>
      </c>
      <c r="G142" s="8">
        <v>97</v>
      </c>
      <c r="H142" s="8">
        <v>488</v>
      </c>
      <c r="I142" s="8">
        <v>257</v>
      </c>
      <c r="J142" s="8">
        <v>231</v>
      </c>
      <c r="K142" s="8">
        <v>58</v>
      </c>
      <c r="L142" s="10">
        <f t="shared" si="4"/>
        <v>11.885245901639344</v>
      </c>
      <c r="M142" s="8">
        <v>58</v>
      </c>
      <c r="N142" s="10">
        <f t="shared" si="5"/>
        <v>11.885245901639344</v>
      </c>
      <c r="O142" s="8">
        <v>0.9</v>
      </c>
      <c r="P142" s="8">
        <v>0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 t="s">
        <v>412</v>
      </c>
      <c r="AB142" s="10"/>
      <c r="AC142" s="10"/>
      <c r="AD142" s="10"/>
      <c r="AE142" s="10"/>
    </row>
    <row r="143" spans="1:31">
      <c r="A143" s="8" t="s">
        <v>36</v>
      </c>
      <c r="B143" s="8" t="s">
        <v>1598</v>
      </c>
      <c r="C143" s="8" t="s">
        <v>1877</v>
      </c>
      <c r="D143" s="9" t="s">
        <v>277</v>
      </c>
      <c r="E143" s="8" t="s">
        <v>1878</v>
      </c>
      <c r="F143" s="8">
        <v>2006.58</v>
      </c>
      <c r="G143" s="8">
        <v>721</v>
      </c>
      <c r="H143" s="8">
        <v>4106</v>
      </c>
      <c r="I143" s="8">
        <v>2138</v>
      </c>
      <c r="J143" s="8">
        <v>1968</v>
      </c>
      <c r="K143" s="8">
        <v>1281</v>
      </c>
      <c r="L143" s="10">
        <f t="shared" si="4"/>
        <v>31.198246468582564</v>
      </c>
      <c r="M143" s="8">
        <v>32</v>
      </c>
      <c r="N143" s="10">
        <f t="shared" si="5"/>
        <v>0.77934729663906477</v>
      </c>
      <c r="O143" s="8">
        <v>75.14</v>
      </c>
      <c r="P143" s="8">
        <v>277.44</v>
      </c>
      <c r="Q143" s="37" t="s">
        <v>586</v>
      </c>
      <c r="R143" s="59">
        <v>44656</v>
      </c>
      <c r="S143" s="10"/>
      <c r="T143" s="35">
        <v>50.3</v>
      </c>
      <c r="U143" s="10"/>
      <c r="V143" s="10"/>
      <c r="W143" s="10"/>
      <c r="X143" s="10"/>
      <c r="Y143" s="10"/>
      <c r="Z143" s="10"/>
      <c r="AA143" s="10" t="s">
        <v>408</v>
      </c>
      <c r="AB143" s="35">
        <v>20</v>
      </c>
      <c r="AC143" s="10"/>
      <c r="AD143" s="37">
        <v>25.323810000000002</v>
      </c>
      <c r="AE143" s="37">
        <v>76.075496999999999</v>
      </c>
    </row>
    <row r="144" spans="1:31">
      <c r="A144" s="8" t="s">
        <v>36</v>
      </c>
      <c r="B144" s="8" t="s">
        <v>1598</v>
      </c>
      <c r="C144" s="8" t="s">
        <v>1877</v>
      </c>
      <c r="D144" s="9" t="s">
        <v>283</v>
      </c>
      <c r="E144" s="8" t="s">
        <v>1879</v>
      </c>
      <c r="F144" s="8">
        <v>436.87</v>
      </c>
      <c r="G144" s="8">
        <v>166</v>
      </c>
      <c r="H144" s="8">
        <v>858</v>
      </c>
      <c r="I144" s="8">
        <v>444</v>
      </c>
      <c r="J144" s="8">
        <v>414</v>
      </c>
      <c r="K144" s="8">
        <v>249</v>
      </c>
      <c r="L144" s="10">
        <f t="shared" si="4"/>
        <v>29.02097902097902</v>
      </c>
      <c r="M144" s="8">
        <v>419</v>
      </c>
      <c r="N144" s="10">
        <f t="shared" si="5"/>
        <v>48.834498834498838</v>
      </c>
      <c r="O144" s="8">
        <v>0.08</v>
      </c>
      <c r="P144" s="8">
        <v>0</v>
      </c>
      <c r="Q144" s="37" t="s">
        <v>586</v>
      </c>
      <c r="R144" s="59">
        <v>44656</v>
      </c>
      <c r="S144" s="10"/>
      <c r="T144" s="35">
        <v>15</v>
      </c>
      <c r="U144" s="10"/>
      <c r="V144" s="10"/>
      <c r="W144" s="10"/>
      <c r="X144" s="10"/>
      <c r="Y144" s="10"/>
      <c r="Z144" s="10"/>
      <c r="AA144" s="10" t="s">
        <v>408</v>
      </c>
      <c r="AB144" s="34">
        <v>11</v>
      </c>
      <c r="AC144" s="10"/>
      <c r="AD144" s="16">
        <v>25.40611865</v>
      </c>
      <c r="AE144" s="16">
        <v>76.220021399999993</v>
      </c>
    </row>
    <row r="145" spans="1:31">
      <c r="A145" s="8" t="s">
        <v>36</v>
      </c>
      <c r="B145" s="8" t="s">
        <v>1598</v>
      </c>
      <c r="C145" s="8" t="s">
        <v>1877</v>
      </c>
      <c r="D145" s="9" t="s">
        <v>1880</v>
      </c>
      <c r="E145" s="8" t="s">
        <v>1881</v>
      </c>
      <c r="F145" s="8">
        <v>515.09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10" t="e">
        <f t="shared" si="4"/>
        <v>#DIV/0!</v>
      </c>
      <c r="M145" s="8">
        <v>0</v>
      </c>
      <c r="N145" s="10" t="e">
        <f t="shared" si="5"/>
        <v>#DIV/0!</v>
      </c>
      <c r="O145" s="8">
        <v>0</v>
      </c>
      <c r="P145" s="8">
        <v>0</v>
      </c>
      <c r="Q145" s="37" t="s">
        <v>586</v>
      </c>
      <c r="R145" s="59">
        <v>44656</v>
      </c>
      <c r="S145" s="10"/>
      <c r="T145" s="35">
        <v>2</v>
      </c>
      <c r="U145" s="10"/>
      <c r="V145" s="10"/>
      <c r="W145" s="10"/>
      <c r="X145" s="10"/>
      <c r="Y145" s="10"/>
      <c r="Z145" s="10"/>
      <c r="AA145" s="10" t="s">
        <v>408</v>
      </c>
      <c r="AB145" s="34">
        <v>0.15</v>
      </c>
      <c r="AC145" s="10"/>
      <c r="AD145" s="16">
        <v>25.40611865</v>
      </c>
      <c r="AE145" s="16">
        <v>76.220021399999993</v>
      </c>
    </row>
    <row r="146" spans="1:31">
      <c r="A146" s="8" t="s">
        <v>36</v>
      </c>
      <c r="B146" s="8" t="s">
        <v>1598</v>
      </c>
      <c r="C146" s="8" t="s">
        <v>1877</v>
      </c>
      <c r="D146" s="9" t="s">
        <v>1882</v>
      </c>
      <c r="E146" s="8" t="s">
        <v>1883</v>
      </c>
      <c r="F146" s="8">
        <v>1118.05</v>
      </c>
      <c r="G146" s="8">
        <v>242</v>
      </c>
      <c r="H146" s="8">
        <v>1227</v>
      </c>
      <c r="I146" s="8">
        <v>647</v>
      </c>
      <c r="J146" s="8">
        <v>580</v>
      </c>
      <c r="K146" s="8">
        <v>207</v>
      </c>
      <c r="L146" s="10">
        <f t="shared" si="4"/>
        <v>16.87041564792176</v>
      </c>
      <c r="M146" s="8">
        <v>0</v>
      </c>
      <c r="N146" s="10">
        <f t="shared" si="5"/>
        <v>0</v>
      </c>
      <c r="O146" s="8">
        <v>0</v>
      </c>
      <c r="P146" s="8">
        <v>253.93</v>
      </c>
      <c r="Q146" s="37" t="s">
        <v>586</v>
      </c>
      <c r="R146" s="59">
        <v>44656</v>
      </c>
      <c r="S146" s="10"/>
      <c r="T146" s="18">
        <v>9</v>
      </c>
      <c r="U146" s="10"/>
      <c r="V146" s="10"/>
      <c r="W146" s="10"/>
      <c r="X146" s="10"/>
      <c r="Y146" s="10"/>
      <c r="Z146" s="10"/>
      <c r="AA146" s="10" t="s">
        <v>408</v>
      </c>
      <c r="AB146" s="18">
        <v>5</v>
      </c>
      <c r="AC146" s="10"/>
      <c r="AD146" s="10"/>
      <c r="AE146" s="10"/>
    </row>
    <row r="147" spans="1:31">
      <c r="A147" s="8" t="s">
        <v>36</v>
      </c>
      <c r="B147" s="8" t="s">
        <v>1598</v>
      </c>
      <c r="C147" s="8" t="s">
        <v>1884</v>
      </c>
      <c r="D147" s="9" t="s">
        <v>1885</v>
      </c>
      <c r="E147" s="8" t="s">
        <v>1886</v>
      </c>
      <c r="F147" s="8">
        <v>897.65</v>
      </c>
      <c r="G147" s="8">
        <v>302</v>
      </c>
      <c r="H147" s="8">
        <v>1702</v>
      </c>
      <c r="I147" s="8">
        <v>857</v>
      </c>
      <c r="J147" s="8">
        <v>845</v>
      </c>
      <c r="K147" s="8">
        <v>454</v>
      </c>
      <c r="L147" s="10">
        <f t="shared" si="4"/>
        <v>26.674500587544063</v>
      </c>
      <c r="M147" s="8">
        <v>341</v>
      </c>
      <c r="N147" s="10">
        <f t="shared" si="5"/>
        <v>20.035252643948294</v>
      </c>
      <c r="O147" s="8">
        <v>37.35</v>
      </c>
      <c r="P147" s="8">
        <v>0</v>
      </c>
      <c r="Q147" s="50" t="s">
        <v>586</v>
      </c>
      <c r="R147" s="53">
        <v>44590</v>
      </c>
      <c r="S147" s="10"/>
      <c r="T147" s="52">
        <v>32.86</v>
      </c>
      <c r="U147" s="10"/>
      <c r="V147" s="10"/>
      <c r="W147" s="10"/>
      <c r="X147" s="10"/>
      <c r="Y147" s="10"/>
      <c r="Z147" s="10"/>
      <c r="AA147" s="10" t="s">
        <v>408</v>
      </c>
      <c r="AB147" s="18">
        <v>5</v>
      </c>
      <c r="AC147" s="10"/>
      <c r="AD147" s="52">
        <v>25.133300999999999</v>
      </c>
      <c r="AE147" s="52">
        <v>76.153197000000006</v>
      </c>
    </row>
    <row r="148" spans="1:31">
      <c r="A148" s="8" t="s">
        <v>36</v>
      </c>
      <c r="B148" s="8" t="s">
        <v>1598</v>
      </c>
      <c r="C148" s="8" t="s">
        <v>1884</v>
      </c>
      <c r="D148" s="9" t="s">
        <v>1887</v>
      </c>
      <c r="E148" s="8" t="s">
        <v>1888</v>
      </c>
      <c r="F148" s="8">
        <v>434.93</v>
      </c>
      <c r="G148" s="8">
        <v>189</v>
      </c>
      <c r="H148" s="8">
        <v>784</v>
      </c>
      <c r="I148" s="8">
        <v>409</v>
      </c>
      <c r="J148" s="8">
        <v>375</v>
      </c>
      <c r="K148" s="8">
        <v>196</v>
      </c>
      <c r="L148" s="10">
        <f t="shared" si="4"/>
        <v>25</v>
      </c>
      <c r="M148" s="8">
        <v>234</v>
      </c>
      <c r="N148" s="10">
        <f t="shared" si="5"/>
        <v>29.846938775510207</v>
      </c>
      <c r="O148" s="8">
        <v>30.32</v>
      </c>
      <c r="P148" s="8">
        <v>0</v>
      </c>
      <c r="Q148" s="50" t="s">
        <v>586</v>
      </c>
      <c r="R148" s="53">
        <v>44225</v>
      </c>
      <c r="S148" s="10"/>
      <c r="T148" s="52">
        <v>21.1</v>
      </c>
      <c r="U148" s="10"/>
      <c r="V148" s="10"/>
      <c r="W148" s="10"/>
      <c r="X148" s="10"/>
      <c r="Y148" s="10"/>
      <c r="Z148" s="10"/>
      <c r="AA148" s="10" t="s">
        <v>408</v>
      </c>
      <c r="AB148" s="52">
        <v>3</v>
      </c>
      <c r="AC148" s="10"/>
      <c r="AD148" s="52">
        <v>25.17054667</v>
      </c>
      <c r="AE148" s="52">
        <v>76.059091670000001</v>
      </c>
    </row>
    <row r="149" spans="1:31">
      <c r="A149" s="8" t="s">
        <v>36</v>
      </c>
      <c r="B149" s="8" t="s">
        <v>1598</v>
      </c>
      <c r="C149" s="8" t="s">
        <v>1884</v>
      </c>
      <c r="D149" s="9" t="s">
        <v>1889</v>
      </c>
      <c r="E149" s="8" t="s">
        <v>1890</v>
      </c>
      <c r="F149" s="8">
        <v>338.77</v>
      </c>
      <c r="G149" s="8">
        <v>1</v>
      </c>
      <c r="H149" s="8">
        <v>3</v>
      </c>
      <c r="I149" s="8">
        <v>3</v>
      </c>
      <c r="J149" s="8">
        <v>0</v>
      </c>
      <c r="K149" s="8">
        <v>0</v>
      </c>
      <c r="L149" s="10">
        <f t="shared" si="4"/>
        <v>0</v>
      </c>
      <c r="M149" s="8">
        <v>2</v>
      </c>
      <c r="N149" s="10">
        <f t="shared" si="5"/>
        <v>66.666666666666657</v>
      </c>
      <c r="O149" s="8">
        <v>0</v>
      </c>
      <c r="P149" s="8">
        <v>0</v>
      </c>
      <c r="Q149" s="10"/>
      <c r="R149" s="10"/>
      <c r="S149" s="10"/>
      <c r="T149" s="33">
        <v>40</v>
      </c>
      <c r="U149" s="10"/>
      <c r="V149" s="10"/>
      <c r="W149" s="10"/>
      <c r="X149" s="10"/>
      <c r="Y149" s="10"/>
      <c r="Z149" s="10"/>
      <c r="AA149" s="10" t="s">
        <v>408</v>
      </c>
      <c r="AB149" s="34">
        <v>24</v>
      </c>
      <c r="AC149" s="10"/>
      <c r="AD149" s="37">
        <v>25.16553</v>
      </c>
      <c r="AE149" s="37">
        <v>76.057469999999995</v>
      </c>
    </row>
    <row r="150" spans="1:31">
      <c r="A150" s="8" t="s">
        <v>36</v>
      </c>
      <c r="B150" s="8" t="s">
        <v>1598</v>
      </c>
      <c r="C150" s="8" t="s">
        <v>1884</v>
      </c>
      <c r="D150" s="9" t="s">
        <v>1891</v>
      </c>
      <c r="E150" s="8" t="s">
        <v>1892</v>
      </c>
      <c r="F150" s="8">
        <v>125.47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10" t="e">
        <f t="shared" si="4"/>
        <v>#DIV/0!</v>
      </c>
      <c r="M150" s="8">
        <v>0</v>
      </c>
      <c r="N150" s="10" t="e">
        <f t="shared" si="5"/>
        <v>#DIV/0!</v>
      </c>
      <c r="O150" s="8">
        <v>0</v>
      </c>
      <c r="P150" s="8">
        <v>0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 t="s">
        <v>412</v>
      </c>
      <c r="AB150" s="34"/>
      <c r="AC150" s="10"/>
      <c r="AD150" s="10"/>
      <c r="AE150" s="10"/>
    </row>
    <row r="151" spans="1:31">
      <c r="A151" s="8" t="s">
        <v>36</v>
      </c>
      <c r="B151" s="8" t="s">
        <v>1598</v>
      </c>
      <c r="C151" s="8" t="s">
        <v>1884</v>
      </c>
      <c r="D151" s="9" t="s">
        <v>1893</v>
      </c>
      <c r="E151" s="8" t="s">
        <v>1894</v>
      </c>
      <c r="F151" s="8">
        <v>477.67</v>
      </c>
      <c r="G151" s="8">
        <v>116</v>
      </c>
      <c r="H151" s="8">
        <v>621</v>
      </c>
      <c r="I151" s="8">
        <v>311</v>
      </c>
      <c r="J151" s="8">
        <v>310</v>
      </c>
      <c r="K151" s="8">
        <v>228</v>
      </c>
      <c r="L151" s="10">
        <f t="shared" si="4"/>
        <v>36.714975845410628</v>
      </c>
      <c r="M151" s="8">
        <v>314</v>
      </c>
      <c r="N151" s="10">
        <f t="shared" si="5"/>
        <v>50.56360708534622</v>
      </c>
      <c r="O151" s="8">
        <v>1.68</v>
      </c>
      <c r="P151" s="8">
        <v>0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 t="s">
        <v>412</v>
      </c>
      <c r="AB151" s="10"/>
      <c r="AC151" s="10"/>
      <c r="AD151" s="10"/>
      <c r="AE151" s="10"/>
    </row>
    <row r="152" spans="1:31">
      <c r="A152" s="8" t="s">
        <v>36</v>
      </c>
      <c r="B152" s="8" t="s">
        <v>1598</v>
      </c>
      <c r="C152" s="8" t="s">
        <v>1884</v>
      </c>
      <c r="D152" s="9" t="s">
        <v>1895</v>
      </c>
      <c r="E152" s="8" t="s">
        <v>1896</v>
      </c>
      <c r="F152" s="8">
        <v>293.13</v>
      </c>
      <c r="G152" s="8">
        <v>87</v>
      </c>
      <c r="H152" s="8">
        <v>481</v>
      </c>
      <c r="I152" s="8">
        <v>244</v>
      </c>
      <c r="J152" s="8">
        <v>237</v>
      </c>
      <c r="K152" s="8">
        <v>25</v>
      </c>
      <c r="L152" s="10">
        <f t="shared" si="4"/>
        <v>5.1975051975051976</v>
      </c>
      <c r="M152" s="8">
        <v>169</v>
      </c>
      <c r="N152" s="10">
        <f t="shared" si="5"/>
        <v>35.135135135135137</v>
      </c>
      <c r="O152" s="8">
        <v>15.83</v>
      </c>
      <c r="P152" s="8">
        <v>0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 t="s">
        <v>412</v>
      </c>
      <c r="AB152" s="10"/>
      <c r="AC152" s="10"/>
      <c r="AD152" s="10"/>
      <c r="AE152" s="10"/>
    </row>
    <row r="153" spans="1:31">
      <c r="A153" s="8" t="s">
        <v>36</v>
      </c>
      <c r="B153" s="8" t="s">
        <v>1598</v>
      </c>
      <c r="C153" s="8" t="s">
        <v>1897</v>
      </c>
      <c r="D153" s="9" t="s">
        <v>888</v>
      </c>
      <c r="E153" s="8" t="s">
        <v>1898</v>
      </c>
      <c r="F153" s="8">
        <v>1093.23</v>
      </c>
      <c r="G153" s="8">
        <v>491</v>
      </c>
      <c r="H153" s="8">
        <v>2386</v>
      </c>
      <c r="I153" s="8">
        <v>1176</v>
      </c>
      <c r="J153" s="8">
        <v>1210</v>
      </c>
      <c r="K153" s="8">
        <v>582</v>
      </c>
      <c r="L153" s="10">
        <f t="shared" si="4"/>
        <v>24.392288348700756</v>
      </c>
      <c r="M153" s="8">
        <v>434</v>
      </c>
      <c r="N153" s="10">
        <f t="shared" si="5"/>
        <v>18.189438390611905</v>
      </c>
      <c r="O153" s="8">
        <v>50.81</v>
      </c>
      <c r="P153" s="8">
        <v>0</v>
      </c>
      <c r="Q153" s="50" t="s">
        <v>586</v>
      </c>
      <c r="R153" s="53">
        <v>44595</v>
      </c>
      <c r="S153" s="10"/>
      <c r="T153" s="10">
        <v>32</v>
      </c>
      <c r="U153" s="10"/>
      <c r="V153" s="10"/>
      <c r="W153" s="10"/>
      <c r="X153" s="10"/>
      <c r="Y153" s="10"/>
      <c r="Z153" s="10"/>
      <c r="AA153" s="10" t="s">
        <v>408</v>
      </c>
      <c r="AB153" s="10">
        <v>19</v>
      </c>
      <c r="AC153" s="10"/>
      <c r="AD153" s="52">
        <v>25.155584000000001</v>
      </c>
      <c r="AE153" s="52">
        <v>76.076171000000002</v>
      </c>
    </row>
    <row r="154" spans="1:31">
      <c r="A154" s="8" t="s">
        <v>36</v>
      </c>
      <c r="B154" s="8" t="s">
        <v>1598</v>
      </c>
      <c r="C154" s="8" t="s">
        <v>1897</v>
      </c>
      <c r="D154" s="9" t="s">
        <v>1633</v>
      </c>
      <c r="E154" s="8" t="s">
        <v>1899</v>
      </c>
      <c r="F154" s="8">
        <v>359.74</v>
      </c>
      <c r="G154" s="8">
        <v>73</v>
      </c>
      <c r="H154" s="8">
        <v>335</v>
      </c>
      <c r="I154" s="8">
        <v>165</v>
      </c>
      <c r="J154" s="8">
        <v>170</v>
      </c>
      <c r="K154" s="8">
        <v>116</v>
      </c>
      <c r="L154" s="10">
        <f t="shared" si="4"/>
        <v>34.626865671641795</v>
      </c>
      <c r="M154" s="8">
        <v>68</v>
      </c>
      <c r="N154" s="10">
        <f t="shared" si="5"/>
        <v>20.298507462686565</v>
      </c>
      <c r="O154" s="8">
        <v>16.66</v>
      </c>
      <c r="P154" s="8">
        <v>0</v>
      </c>
      <c r="Q154" s="50" t="s">
        <v>586</v>
      </c>
      <c r="R154" s="53">
        <v>44595</v>
      </c>
      <c r="S154" s="10"/>
      <c r="T154" s="10">
        <v>21</v>
      </c>
      <c r="U154" s="10"/>
      <c r="V154" s="10"/>
      <c r="W154" s="10"/>
      <c r="X154" s="10"/>
      <c r="Y154" s="10"/>
      <c r="Z154" s="10"/>
      <c r="AA154" s="10" t="s">
        <v>408</v>
      </c>
      <c r="AB154" s="10">
        <v>12</v>
      </c>
      <c r="AC154" s="10"/>
      <c r="AD154" s="56">
        <v>25.155584000000001</v>
      </c>
      <c r="AE154" s="56">
        <v>76.076171000000002</v>
      </c>
    </row>
    <row r="155" spans="1:31">
      <c r="A155" s="8" t="s">
        <v>36</v>
      </c>
      <c r="B155" s="8" t="s">
        <v>1598</v>
      </c>
      <c r="C155" s="8" t="s">
        <v>1900</v>
      </c>
      <c r="D155" s="9" t="s">
        <v>1514</v>
      </c>
      <c r="E155" s="8" t="s">
        <v>1901</v>
      </c>
      <c r="F155" s="8">
        <v>555.6</v>
      </c>
      <c r="G155" s="8">
        <v>189</v>
      </c>
      <c r="H155" s="8">
        <v>893</v>
      </c>
      <c r="I155" s="8">
        <v>463</v>
      </c>
      <c r="J155" s="8">
        <v>430</v>
      </c>
      <c r="K155" s="8">
        <v>94</v>
      </c>
      <c r="L155" s="10">
        <f t="shared" si="4"/>
        <v>10.526315789473683</v>
      </c>
      <c r="M155" s="8">
        <v>452</v>
      </c>
      <c r="N155" s="10">
        <f t="shared" si="5"/>
        <v>50.615901455767073</v>
      </c>
      <c r="O155" s="8">
        <v>4.3</v>
      </c>
      <c r="P155" s="8">
        <v>0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 t="s">
        <v>412</v>
      </c>
      <c r="AB155" s="10"/>
      <c r="AC155" s="10"/>
      <c r="AD155" s="10"/>
      <c r="AE155" s="10"/>
    </row>
    <row r="156" spans="1:31">
      <c r="A156" s="8" t="s">
        <v>36</v>
      </c>
      <c r="B156" s="8" t="s">
        <v>1598</v>
      </c>
      <c r="C156" s="8" t="s">
        <v>1900</v>
      </c>
      <c r="D156" s="9" t="s">
        <v>1902</v>
      </c>
      <c r="E156" s="8" t="s">
        <v>1903</v>
      </c>
      <c r="F156" s="8">
        <v>432.85</v>
      </c>
      <c r="G156" s="8">
        <v>168</v>
      </c>
      <c r="H156" s="8">
        <v>840</v>
      </c>
      <c r="I156" s="8">
        <v>427</v>
      </c>
      <c r="J156" s="8">
        <v>413</v>
      </c>
      <c r="K156" s="8">
        <v>63</v>
      </c>
      <c r="L156" s="10">
        <f t="shared" si="4"/>
        <v>7.5</v>
      </c>
      <c r="M156" s="8">
        <v>0</v>
      </c>
      <c r="N156" s="10">
        <f t="shared" si="5"/>
        <v>0</v>
      </c>
      <c r="O156" s="8">
        <v>0.64</v>
      </c>
      <c r="P156" s="8">
        <v>2.77</v>
      </c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 t="s">
        <v>412</v>
      </c>
      <c r="AB156" s="10"/>
      <c r="AC156" s="10"/>
      <c r="AD156" s="10"/>
      <c r="AE156" s="10"/>
    </row>
    <row r="157" spans="1:31">
      <c r="A157" s="8" t="s">
        <v>36</v>
      </c>
      <c r="B157" s="8" t="s">
        <v>1598</v>
      </c>
      <c r="C157" s="8" t="s">
        <v>1900</v>
      </c>
      <c r="D157" s="9" t="s">
        <v>1904</v>
      </c>
      <c r="E157" s="8" t="s">
        <v>1905</v>
      </c>
      <c r="F157" s="8">
        <v>279.05</v>
      </c>
      <c r="G157" s="8">
        <v>199</v>
      </c>
      <c r="H157" s="8">
        <v>794</v>
      </c>
      <c r="I157" s="8">
        <v>431</v>
      </c>
      <c r="J157" s="8">
        <v>363</v>
      </c>
      <c r="K157" s="8">
        <v>364</v>
      </c>
      <c r="L157" s="10">
        <f t="shared" si="4"/>
        <v>45.843828715365234</v>
      </c>
      <c r="M157" s="8">
        <v>321</v>
      </c>
      <c r="N157" s="10">
        <f t="shared" si="5"/>
        <v>40.42821158690176</v>
      </c>
      <c r="O157" s="8">
        <v>0</v>
      </c>
      <c r="P157" s="8">
        <v>0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 t="s">
        <v>412</v>
      </c>
      <c r="AB157" s="10"/>
      <c r="AC157" s="10"/>
      <c r="AD157" s="10"/>
      <c r="AE157" s="10"/>
    </row>
    <row r="158" spans="1:31">
      <c r="A158" s="8" t="s">
        <v>36</v>
      </c>
      <c r="B158" s="8" t="s">
        <v>1598</v>
      </c>
      <c r="C158" s="8" t="s">
        <v>1900</v>
      </c>
      <c r="D158" s="9" t="s">
        <v>1906</v>
      </c>
      <c r="E158" s="8" t="s">
        <v>1907</v>
      </c>
      <c r="F158" s="8">
        <v>589.70000000000005</v>
      </c>
      <c r="G158" s="8">
        <v>189</v>
      </c>
      <c r="H158" s="8">
        <v>995</v>
      </c>
      <c r="I158" s="8">
        <v>500</v>
      </c>
      <c r="J158" s="8">
        <v>495</v>
      </c>
      <c r="K158" s="8">
        <v>473</v>
      </c>
      <c r="L158" s="10">
        <f t="shared" si="4"/>
        <v>47.537688442211056</v>
      </c>
      <c r="M158" s="8">
        <v>192</v>
      </c>
      <c r="N158" s="10">
        <f t="shared" si="5"/>
        <v>19.2964824120603</v>
      </c>
      <c r="O158" s="8">
        <v>0</v>
      </c>
      <c r="P158" s="8">
        <v>0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 t="s">
        <v>412</v>
      </c>
      <c r="AB158" s="10"/>
      <c r="AC158" s="10"/>
      <c r="AD158" s="10"/>
      <c r="AE158" s="10"/>
    </row>
    <row r="159" spans="1:31">
      <c r="A159" s="8" t="s">
        <v>36</v>
      </c>
      <c r="B159" s="8" t="s">
        <v>1598</v>
      </c>
      <c r="C159" s="8" t="s">
        <v>1900</v>
      </c>
      <c r="D159" s="9" t="s">
        <v>1908</v>
      </c>
      <c r="E159" s="8" t="s">
        <v>1909</v>
      </c>
      <c r="F159" s="8">
        <v>978.76</v>
      </c>
      <c r="G159" s="8">
        <v>140</v>
      </c>
      <c r="H159" s="8">
        <v>673</v>
      </c>
      <c r="I159" s="8">
        <v>343</v>
      </c>
      <c r="J159" s="8">
        <v>330</v>
      </c>
      <c r="K159" s="8">
        <v>9</v>
      </c>
      <c r="L159" s="10">
        <f t="shared" si="4"/>
        <v>1.3372956909361069</v>
      </c>
      <c r="M159" s="8">
        <v>0</v>
      </c>
      <c r="N159" s="10">
        <f t="shared" si="5"/>
        <v>0</v>
      </c>
      <c r="O159" s="8">
        <v>21.37</v>
      </c>
      <c r="P159" s="8">
        <v>474.49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 t="s">
        <v>412</v>
      </c>
      <c r="AB159" s="10"/>
      <c r="AC159" s="10"/>
      <c r="AD159" s="10"/>
      <c r="AE159" s="10"/>
    </row>
    <row r="160" spans="1:31">
      <c r="A160" s="8" t="s">
        <v>36</v>
      </c>
      <c r="B160" s="8" t="s">
        <v>1598</v>
      </c>
      <c r="C160" s="8" t="s">
        <v>1910</v>
      </c>
      <c r="D160" s="9" t="s">
        <v>1911</v>
      </c>
      <c r="E160" s="8" t="s">
        <v>1912</v>
      </c>
      <c r="F160" s="8">
        <v>690</v>
      </c>
      <c r="G160" s="8">
        <v>772</v>
      </c>
      <c r="H160" s="8">
        <v>4079</v>
      </c>
      <c r="I160" s="8">
        <v>2075</v>
      </c>
      <c r="J160" s="8">
        <v>2004</v>
      </c>
      <c r="K160" s="8">
        <v>1222</v>
      </c>
      <c r="L160" s="10">
        <f t="shared" si="4"/>
        <v>29.958323118411371</v>
      </c>
      <c r="M160" s="8">
        <v>301</v>
      </c>
      <c r="N160" s="10">
        <f t="shared" si="5"/>
        <v>7.3792596224564839</v>
      </c>
      <c r="O160" s="8">
        <v>31</v>
      </c>
      <c r="P160" s="8">
        <v>0</v>
      </c>
      <c r="Q160" s="10"/>
      <c r="R160" s="50" t="s">
        <v>586</v>
      </c>
      <c r="S160" s="53">
        <v>44599</v>
      </c>
      <c r="T160" s="52">
        <v>26.24</v>
      </c>
      <c r="U160" s="10"/>
      <c r="V160" s="10"/>
      <c r="W160" s="10"/>
      <c r="X160" s="10"/>
      <c r="Y160" s="10"/>
      <c r="Z160" s="10"/>
      <c r="AA160" s="10" t="s">
        <v>408</v>
      </c>
      <c r="AB160" s="52">
        <v>2</v>
      </c>
      <c r="AC160" s="10"/>
      <c r="AD160" s="52" t="s">
        <v>1947</v>
      </c>
      <c r="AE160" s="52" t="s">
        <v>1948</v>
      </c>
    </row>
    <row r="161" spans="1:31">
      <c r="A161" s="8" t="s">
        <v>36</v>
      </c>
      <c r="B161" s="8" t="s">
        <v>1598</v>
      </c>
      <c r="C161" s="8" t="s">
        <v>1910</v>
      </c>
      <c r="D161" s="9" t="s">
        <v>1913</v>
      </c>
      <c r="E161" s="8" t="s">
        <v>1914</v>
      </c>
      <c r="F161" s="8">
        <v>615</v>
      </c>
      <c r="G161" s="8">
        <v>213</v>
      </c>
      <c r="H161" s="8">
        <v>1037</v>
      </c>
      <c r="I161" s="8">
        <v>546</v>
      </c>
      <c r="J161" s="8">
        <v>491</v>
      </c>
      <c r="K161" s="8">
        <v>462</v>
      </c>
      <c r="L161" s="10">
        <f t="shared" si="4"/>
        <v>44.551591128254579</v>
      </c>
      <c r="M161" s="8">
        <v>380</v>
      </c>
      <c r="N161" s="10">
        <f t="shared" si="5"/>
        <v>36.644165863066533</v>
      </c>
      <c r="O161" s="8">
        <v>17</v>
      </c>
      <c r="P161" s="8">
        <v>0</v>
      </c>
      <c r="Q161" s="10"/>
      <c r="R161" s="50" t="s">
        <v>586</v>
      </c>
      <c r="S161" s="53">
        <v>44599</v>
      </c>
      <c r="T161" s="52">
        <v>26.26</v>
      </c>
      <c r="U161" s="10"/>
      <c r="V161" s="10"/>
      <c r="W161" s="10"/>
      <c r="X161" s="10"/>
      <c r="Y161" s="10"/>
      <c r="Z161" s="10"/>
      <c r="AA161" s="10" t="s">
        <v>408</v>
      </c>
      <c r="AB161" s="52">
        <v>3</v>
      </c>
      <c r="AC161" s="10"/>
      <c r="AD161" s="52">
        <v>25.156946999999999</v>
      </c>
      <c r="AE161" s="52">
        <v>76.076132999999999</v>
      </c>
    </row>
    <row r="162" spans="1:31">
      <c r="A162" s="8" t="s">
        <v>36</v>
      </c>
      <c r="B162" s="8" t="s">
        <v>1598</v>
      </c>
      <c r="C162" s="8" t="s">
        <v>1910</v>
      </c>
      <c r="D162" s="9" t="s">
        <v>1915</v>
      </c>
      <c r="E162" s="8" t="s">
        <v>1916</v>
      </c>
      <c r="F162" s="8">
        <v>632</v>
      </c>
      <c r="G162" s="8">
        <v>138</v>
      </c>
      <c r="H162" s="8">
        <v>696</v>
      </c>
      <c r="I162" s="8">
        <v>381</v>
      </c>
      <c r="J162" s="8">
        <v>315</v>
      </c>
      <c r="K162" s="8">
        <v>120</v>
      </c>
      <c r="L162" s="10">
        <f t="shared" si="4"/>
        <v>17.241379310344829</v>
      </c>
      <c r="M162" s="8">
        <v>420</v>
      </c>
      <c r="N162" s="10">
        <f t="shared" si="5"/>
        <v>60.344827586206897</v>
      </c>
      <c r="O162" s="8">
        <v>25</v>
      </c>
      <c r="P162" s="8">
        <v>0</v>
      </c>
      <c r="Q162" s="10"/>
      <c r="R162" s="50" t="s">
        <v>586</v>
      </c>
      <c r="S162" s="53">
        <v>44599</v>
      </c>
      <c r="T162" s="13">
        <v>39.58</v>
      </c>
      <c r="U162" s="10"/>
      <c r="V162" s="10"/>
      <c r="W162" s="10"/>
      <c r="X162" s="10"/>
      <c r="Y162" s="10"/>
      <c r="Z162" s="10"/>
      <c r="AA162" s="10" t="s">
        <v>408</v>
      </c>
      <c r="AB162" s="13">
        <v>25</v>
      </c>
      <c r="AC162" s="10"/>
      <c r="AD162" s="52">
        <v>25.174695</v>
      </c>
      <c r="AE162" s="52">
        <v>76.110846670000001</v>
      </c>
    </row>
    <row r="163" spans="1:31">
      <c r="A163" s="8" t="s">
        <v>36</v>
      </c>
      <c r="B163" s="8" t="s">
        <v>1598</v>
      </c>
      <c r="C163" s="8" t="s">
        <v>1910</v>
      </c>
      <c r="D163" s="9" t="s">
        <v>457</v>
      </c>
      <c r="E163" s="8" t="s">
        <v>1917</v>
      </c>
      <c r="F163" s="8">
        <v>417</v>
      </c>
      <c r="G163" s="8">
        <v>135</v>
      </c>
      <c r="H163" s="8">
        <v>654</v>
      </c>
      <c r="I163" s="8">
        <v>341</v>
      </c>
      <c r="J163" s="8">
        <v>313</v>
      </c>
      <c r="K163" s="8">
        <v>155</v>
      </c>
      <c r="L163" s="10">
        <f t="shared" si="4"/>
        <v>23.700305810397555</v>
      </c>
      <c r="M163" s="8">
        <v>362</v>
      </c>
      <c r="N163" s="10">
        <f t="shared" si="5"/>
        <v>55.35168195718655</v>
      </c>
      <c r="O163" s="8">
        <v>6</v>
      </c>
      <c r="P163" s="8">
        <v>0</v>
      </c>
      <c r="Q163" s="10"/>
      <c r="R163" s="50" t="s">
        <v>586</v>
      </c>
      <c r="S163" s="53">
        <v>44599</v>
      </c>
      <c r="T163" s="13">
        <v>26.24</v>
      </c>
      <c r="U163" s="10"/>
      <c r="V163" s="10"/>
      <c r="W163" s="10"/>
      <c r="X163" s="10"/>
      <c r="Y163" s="10"/>
      <c r="Z163" s="10"/>
      <c r="AA163" s="10" t="s">
        <v>408</v>
      </c>
      <c r="AB163" s="13">
        <v>18</v>
      </c>
      <c r="AC163" s="10"/>
      <c r="AD163" s="13">
        <v>25.161017000000001</v>
      </c>
      <c r="AE163" s="13">
        <v>76.101864000000006</v>
      </c>
    </row>
    <row r="164" spans="1:31">
      <c r="A164" s="8" t="s">
        <v>36</v>
      </c>
      <c r="B164" s="8" t="s">
        <v>1598</v>
      </c>
      <c r="C164" s="8" t="s">
        <v>1910</v>
      </c>
      <c r="D164" s="9" t="s">
        <v>1918</v>
      </c>
      <c r="E164" s="8" t="s">
        <v>1919</v>
      </c>
      <c r="F164" s="8">
        <v>696</v>
      </c>
      <c r="G164" s="8">
        <v>236</v>
      </c>
      <c r="H164" s="8">
        <v>1267</v>
      </c>
      <c r="I164" s="8">
        <v>658</v>
      </c>
      <c r="J164" s="8">
        <v>609</v>
      </c>
      <c r="K164" s="8">
        <v>408</v>
      </c>
      <c r="L164" s="10">
        <f t="shared" si="4"/>
        <v>32.202052091554854</v>
      </c>
      <c r="M164" s="8">
        <v>79</v>
      </c>
      <c r="N164" s="10">
        <f t="shared" si="5"/>
        <v>6.235201262825572</v>
      </c>
      <c r="O164" s="8">
        <v>5</v>
      </c>
      <c r="P164" s="8">
        <v>0</v>
      </c>
      <c r="Q164" s="10"/>
      <c r="R164" s="50" t="s">
        <v>586</v>
      </c>
      <c r="S164" s="53">
        <v>44599</v>
      </c>
      <c r="T164" s="13">
        <v>26.26</v>
      </c>
      <c r="U164" s="10"/>
      <c r="V164" s="10"/>
      <c r="W164" s="10"/>
      <c r="X164" s="10"/>
      <c r="Y164" s="10"/>
      <c r="Z164" s="10"/>
      <c r="AA164" s="10" t="s">
        <v>408</v>
      </c>
      <c r="AB164" s="13">
        <v>21</v>
      </c>
      <c r="AC164" s="10"/>
      <c r="AD164" s="13">
        <v>25.159289000000001</v>
      </c>
      <c r="AE164" s="13">
        <v>76.080710999999994</v>
      </c>
    </row>
    <row r="165" spans="1:31">
      <c r="A165" s="8" t="s">
        <v>36</v>
      </c>
      <c r="B165" s="8" t="s">
        <v>1598</v>
      </c>
      <c r="C165" s="67" t="s">
        <v>1920</v>
      </c>
      <c r="D165" s="9" t="s">
        <v>1921</v>
      </c>
      <c r="E165" s="8" t="s">
        <v>1922</v>
      </c>
      <c r="F165" s="8">
        <v>1063.99</v>
      </c>
      <c r="G165" s="8">
        <v>550</v>
      </c>
      <c r="H165" s="8">
        <v>2962</v>
      </c>
      <c r="I165" s="8">
        <v>1575</v>
      </c>
      <c r="J165" s="8">
        <v>1387</v>
      </c>
      <c r="K165" s="8">
        <v>605</v>
      </c>
      <c r="L165" s="10">
        <f t="shared" si="4"/>
        <v>20.425388251181634</v>
      </c>
      <c r="M165" s="8">
        <v>99</v>
      </c>
      <c r="N165" s="10">
        <f t="shared" si="5"/>
        <v>3.3423362592842674</v>
      </c>
      <c r="O165" s="8">
        <v>63</v>
      </c>
      <c r="P165" s="8">
        <v>0</v>
      </c>
      <c r="Q165" s="10"/>
      <c r="R165" s="50" t="s">
        <v>586</v>
      </c>
      <c r="S165" s="53">
        <v>44595</v>
      </c>
      <c r="T165" s="10">
        <v>14</v>
      </c>
      <c r="U165" s="10"/>
      <c r="V165" s="10"/>
      <c r="W165" s="10"/>
      <c r="X165" s="10"/>
      <c r="Y165" s="10"/>
      <c r="Z165" s="10"/>
      <c r="AA165" s="10" t="s">
        <v>408</v>
      </c>
      <c r="AB165" s="10">
        <v>5</v>
      </c>
      <c r="AC165" s="10"/>
      <c r="AD165" s="13">
        <v>25.129338000000001</v>
      </c>
      <c r="AE165" s="13">
        <v>76.083280999999999</v>
      </c>
    </row>
    <row r="166" spans="1:31">
      <c r="A166" s="8" t="s">
        <v>36</v>
      </c>
      <c r="B166" s="8" t="s">
        <v>1598</v>
      </c>
      <c r="C166" s="67" t="s">
        <v>1920</v>
      </c>
      <c r="D166" s="9" t="s">
        <v>1923</v>
      </c>
      <c r="E166" s="8" t="s">
        <v>1924</v>
      </c>
      <c r="F166" s="8">
        <v>467.52</v>
      </c>
      <c r="G166" s="8">
        <v>104</v>
      </c>
      <c r="H166" s="8">
        <v>626</v>
      </c>
      <c r="I166" s="8">
        <v>318</v>
      </c>
      <c r="J166" s="8">
        <v>308</v>
      </c>
      <c r="K166" s="8">
        <v>60</v>
      </c>
      <c r="L166" s="10">
        <f t="shared" si="4"/>
        <v>9.5846645367412133</v>
      </c>
      <c r="M166" s="8">
        <v>35</v>
      </c>
      <c r="N166" s="10">
        <f t="shared" si="5"/>
        <v>5.5910543130990416</v>
      </c>
      <c r="O166" s="8">
        <v>6.2</v>
      </c>
      <c r="P166" s="8">
        <v>0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 t="s">
        <v>412</v>
      </c>
      <c r="AB166" s="10"/>
      <c r="AC166" s="10"/>
      <c r="AD166" s="10"/>
      <c r="AE166" s="10"/>
    </row>
    <row r="167" spans="1:31">
      <c r="A167" s="8" t="s">
        <v>36</v>
      </c>
      <c r="B167" s="8" t="s">
        <v>1598</v>
      </c>
      <c r="C167" s="67" t="s">
        <v>1920</v>
      </c>
      <c r="D167" s="9" t="s">
        <v>1925</v>
      </c>
      <c r="E167" s="8" t="s">
        <v>1926</v>
      </c>
      <c r="F167" s="8">
        <v>276.68</v>
      </c>
      <c r="G167" s="8">
        <v>62</v>
      </c>
      <c r="H167" s="8">
        <v>350</v>
      </c>
      <c r="I167" s="8">
        <v>185</v>
      </c>
      <c r="J167" s="8">
        <v>165</v>
      </c>
      <c r="K167" s="8">
        <v>96</v>
      </c>
      <c r="L167" s="10">
        <f t="shared" si="4"/>
        <v>27.428571428571431</v>
      </c>
      <c r="M167" s="8">
        <v>2</v>
      </c>
      <c r="N167" s="10">
        <f t="shared" si="5"/>
        <v>0.5714285714285714</v>
      </c>
      <c r="O167" s="8" t="s">
        <v>1215</v>
      </c>
      <c r="P167" s="8">
        <v>0</v>
      </c>
      <c r="Q167" s="10"/>
      <c r="R167" s="50" t="s">
        <v>586</v>
      </c>
      <c r="S167" s="53">
        <v>44595</v>
      </c>
      <c r="T167" s="10"/>
      <c r="U167" s="10"/>
      <c r="V167" s="10"/>
      <c r="W167" s="10"/>
      <c r="X167" s="10"/>
      <c r="Y167" s="10"/>
      <c r="Z167" s="10"/>
      <c r="AA167" s="10" t="s">
        <v>412</v>
      </c>
      <c r="AB167" s="10"/>
      <c r="AC167" s="10"/>
      <c r="AD167" s="10"/>
      <c r="AE167" s="10"/>
    </row>
    <row r="168" spans="1:31">
      <c r="A168" s="8" t="s">
        <v>36</v>
      </c>
      <c r="B168" s="8" t="s">
        <v>1598</v>
      </c>
      <c r="C168" s="67" t="s">
        <v>1920</v>
      </c>
      <c r="D168" s="9" t="s">
        <v>1927</v>
      </c>
      <c r="E168" s="8" t="s">
        <v>1928</v>
      </c>
      <c r="F168" s="8">
        <v>242.52</v>
      </c>
      <c r="G168" s="8">
        <v>78</v>
      </c>
      <c r="H168" s="8">
        <v>451</v>
      </c>
      <c r="I168" s="8">
        <v>244</v>
      </c>
      <c r="J168" s="8">
        <v>207</v>
      </c>
      <c r="K168" s="8">
        <v>230</v>
      </c>
      <c r="L168" s="10">
        <f t="shared" si="4"/>
        <v>50.99778270509978</v>
      </c>
      <c r="M168" s="8">
        <v>0</v>
      </c>
      <c r="N168" s="10">
        <f t="shared" si="5"/>
        <v>0</v>
      </c>
      <c r="O168" s="8">
        <v>6.3</v>
      </c>
      <c r="P168" s="8">
        <v>76.39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 t="s">
        <v>412</v>
      </c>
      <c r="AB168" s="10"/>
      <c r="AC168" s="10"/>
      <c r="AD168" s="10"/>
      <c r="AE168" s="10"/>
    </row>
    <row r="169" spans="1:31">
      <c r="A169" s="8" t="s">
        <v>36</v>
      </c>
      <c r="B169" s="8" t="s">
        <v>1598</v>
      </c>
      <c r="C169" s="67" t="s">
        <v>1920</v>
      </c>
      <c r="D169" s="9" t="s">
        <v>1929</v>
      </c>
      <c r="E169" s="8" t="s">
        <v>1930</v>
      </c>
      <c r="F169" s="8">
        <v>382.48</v>
      </c>
      <c r="G169" s="8">
        <v>156</v>
      </c>
      <c r="H169" s="8">
        <v>760</v>
      </c>
      <c r="I169" s="8">
        <v>408</v>
      </c>
      <c r="J169" s="8">
        <v>352</v>
      </c>
      <c r="K169" s="8">
        <v>169</v>
      </c>
      <c r="L169" s="10">
        <f t="shared" si="4"/>
        <v>22.236842105263158</v>
      </c>
      <c r="M169" s="8">
        <v>22</v>
      </c>
      <c r="N169" s="10">
        <f t="shared" si="5"/>
        <v>2.8947368421052633</v>
      </c>
      <c r="O169" s="8">
        <v>14.97</v>
      </c>
      <c r="P169" s="8">
        <v>0</v>
      </c>
      <c r="Q169" s="10"/>
      <c r="R169" s="50" t="s">
        <v>586</v>
      </c>
      <c r="S169" s="53">
        <v>44595</v>
      </c>
      <c r="T169" s="10"/>
      <c r="U169" s="10"/>
      <c r="V169" s="10"/>
      <c r="W169" s="10"/>
      <c r="X169" s="10"/>
      <c r="Y169" s="10"/>
      <c r="Z169" s="10"/>
      <c r="AA169" s="10" t="s">
        <v>412</v>
      </c>
      <c r="AB169" s="10"/>
      <c r="AC169" s="10"/>
      <c r="AD169" s="10"/>
      <c r="AE169" s="10"/>
    </row>
    <row r="170" spans="1:31">
      <c r="A170" s="8" t="s">
        <v>36</v>
      </c>
      <c r="B170" s="8" t="s">
        <v>1598</v>
      </c>
      <c r="C170" s="8" t="s">
        <v>1931</v>
      </c>
      <c r="D170" s="9" t="s">
        <v>1932</v>
      </c>
      <c r="E170" s="8" t="s">
        <v>1933</v>
      </c>
      <c r="F170" s="8">
        <v>711.11</v>
      </c>
      <c r="G170" s="8">
        <v>263</v>
      </c>
      <c r="H170" s="8">
        <v>1235</v>
      </c>
      <c r="I170" s="8">
        <v>644</v>
      </c>
      <c r="J170" s="8">
        <v>591</v>
      </c>
      <c r="K170" s="8">
        <v>404</v>
      </c>
      <c r="L170" s="10">
        <f t="shared" si="4"/>
        <v>32.712550607287447</v>
      </c>
      <c r="M170" s="8">
        <v>437</v>
      </c>
      <c r="N170" s="10">
        <f t="shared" si="5"/>
        <v>35.384615384615387</v>
      </c>
      <c r="O170" s="8">
        <v>22.02</v>
      </c>
      <c r="P170" s="8">
        <v>0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 t="s">
        <v>412</v>
      </c>
      <c r="AB170" s="10"/>
      <c r="AC170" s="10"/>
      <c r="AD170" s="10"/>
      <c r="AE170" s="10"/>
    </row>
    <row r="171" spans="1:31">
      <c r="A171" s="8" t="s">
        <v>36</v>
      </c>
      <c r="B171" s="8" t="s">
        <v>1598</v>
      </c>
      <c r="C171" s="8" t="s">
        <v>1931</v>
      </c>
      <c r="D171" s="9" t="s">
        <v>1934</v>
      </c>
      <c r="E171" s="8" t="s">
        <v>1935</v>
      </c>
      <c r="F171" s="8">
        <v>488.27</v>
      </c>
      <c r="G171" s="8">
        <v>91</v>
      </c>
      <c r="H171" s="8">
        <v>513</v>
      </c>
      <c r="I171" s="8">
        <v>266</v>
      </c>
      <c r="J171" s="8">
        <v>247</v>
      </c>
      <c r="K171" s="8">
        <v>305</v>
      </c>
      <c r="L171" s="10">
        <f t="shared" si="4"/>
        <v>59.4541910331384</v>
      </c>
      <c r="M171" s="8">
        <v>0</v>
      </c>
      <c r="N171" s="10">
        <f t="shared" si="5"/>
        <v>0</v>
      </c>
      <c r="O171" s="8">
        <v>3.54</v>
      </c>
      <c r="P171" s="8">
        <v>0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 t="s">
        <v>412</v>
      </c>
      <c r="AB171" s="10"/>
      <c r="AC171" s="10"/>
      <c r="AD171" s="10"/>
      <c r="AE171" s="10"/>
    </row>
    <row r="172" spans="1:31">
      <c r="A172" s="8" t="s">
        <v>36</v>
      </c>
      <c r="B172" s="8" t="s">
        <v>1598</v>
      </c>
      <c r="C172" s="8" t="s">
        <v>1931</v>
      </c>
      <c r="D172" s="9" t="s">
        <v>1936</v>
      </c>
      <c r="E172" s="8" t="s">
        <v>1937</v>
      </c>
      <c r="F172" s="8">
        <v>596.28</v>
      </c>
      <c r="G172" s="8">
        <v>209</v>
      </c>
      <c r="H172" s="8">
        <v>1238</v>
      </c>
      <c r="I172" s="8">
        <v>643</v>
      </c>
      <c r="J172" s="8">
        <v>595</v>
      </c>
      <c r="K172" s="8">
        <v>266</v>
      </c>
      <c r="L172" s="10">
        <f t="shared" si="4"/>
        <v>21.486268174474958</v>
      </c>
      <c r="M172" s="8">
        <v>157</v>
      </c>
      <c r="N172" s="10">
        <f t="shared" si="5"/>
        <v>12.681744749596122</v>
      </c>
      <c r="O172" s="8">
        <v>6.02</v>
      </c>
      <c r="P172" s="8">
        <v>0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 t="s">
        <v>412</v>
      </c>
      <c r="AB172" s="10"/>
      <c r="AC172" s="10"/>
      <c r="AD172" s="10"/>
      <c r="AE172" s="10"/>
    </row>
    <row r="173" spans="1:31">
      <c r="A173" s="8" t="s">
        <v>36</v>
      </c>
      <c r="B173" s="8" t="s">
        <v>1598</v>
      </c>
      <c r="C173" s="8" t="s">
        <v>1931</v>
      </c>
      <c r="D173" s="9" t="s">
        <v>1938</v>
      </c>
      <c r="E173" s="8" t="s">
        <v>1939</v>
      </c>
      <c r="F173" s="8">
        <v>580.29999999999995</v>
      </c>
      <c r="G173" s="8">
        <v>162</v>
      </c>
      <c r="H173" s="8">
        <v>797</v>
      </c>
      <c r="I173" s="8">
        <v>444</v>
      </c>
      <c r="J173" s="8">
        <v>353</v>
      </c>
      <c r="K173" s="8">
        <v>187</v>
      </c>
      <c r="L173" s="10">
        <f t="shared" si="4"/>
        <v>23.462986198243414</v>
      </c>
      <c r="M173" s="8">
        <v>296</v>
      </c>
      <c r="N173" s="10">
        <f t="shared" si="5"/>
        <v>37.13927227101631</v>
      </c>
      <c r="O173" s="8">
        <v>0.67</v>
      </c>
      <c r="P173" s="8">
        <v>0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 t="s">
        <v>412</v>
      </c>
      <c r="AB173" s="10"/>
      <c r="AC173" s="10"/>
      <c r="AD173" s="10"/>
      <c r="AE173" s="10"/>
    </row>
    <row r="174" spans="1:31">
      <c r="A174" s="8" t="s">
        <v>36</v>
      </c>
      <c r="B174" s="8" t="s">
        <v>1598</v>
      </c>
      <c r="C174" s="8" t="s">
        <v>1931</v>
      </c>
      <c r="D174" s="9" t="s">
        <v>55</v>
      </c>
      <c r="E174" s="8" t="s">
        <v>1940</v>
      </c>
      <c r="F174" s="8">
        <v>219.53</v>
      </c>
      <c r="G174" s="8">
        <v>64</v>
      </c>
      <c r="H174" s="8">
        <v>394</v>
      </c>
      <c r="I174" s="8">
        <v>203</v>
      </c>
      <c r="J174" s="8">
        <v>191</v>
      </c>
      <c r="K174" s="8">
        <v>10</v>
      </c>
      <c r="L174" s="10">
        <f t="shared" si="4"/>
        <v>2.5380710659898478</v>
      </c>
      <c r="M174" s="8">
        <v>0</v>
      </c>
      <c r="N174" s="10">
        <f t="shared" si="5"/>
        <v>0</v>
      </c>
      <c r="O174" s="8">
        <v>11.28</v>
      </c>
      <c r="P174" s="8">
        <v>0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 t="s">
        <v>412</v>
      </c>
      <c r="AB174" s="10"/>
      <c r="AC174" s="10"/>
      <c r="AD174" s="10"/>
      <c r="AE174" s="10"/>
    </row>
    <row r="175" spans="1:31">
      <c r="T175" s="84"/>
      <c r="U175" s="50"/>
      <c r="V175" s="53"/>
      <c r="AA175" s="10"/>
    </row>
    <row r="176" spans="1:31">
      <c r="T176" s="68"/>
      <c r="U176" s="50"/>
      <c r="V176" s="53"/>
    </row>
    <row r="177" spans="20:22">
      <c r="T177" s="68"/>
      <c r="U177" s="50"/>
      <c r="V177" s="53"/>
    </row>
    <row r="178" spans="20:22">
      <c r="T178" s="85"/>
      <c r="U178" s="50"/>
      <c r="V178" s="53"/>
    </row>
  </sheetData>
  <mergeCells count="3">
    <mergeCell ref="K2:L2"/>
    <mergeCell ref="M2:N2"/>
    <mergeCell ref="AD2:A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3"/>
  <sheetViews>
    <sheetView tabSelected="1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P74" sqref="P74"/>
    </sheetView>
  </sheetViews>
  <sheetFormatPr defaultRowHeight="15"/>
  <cols>
    <col min="3" max="3" width="13.85546875" customWidth="1"/>
    <col min="4" max="4" width="13.140625" customWidth="1"/>
    <col min="5" max="5" width="17.140625" customWidth="1"/>
    <col min="18" max="18" width="12.5703125" customWidth="1"/>
  </cols>
  <sheetData>
    <row r="1" spans="1:31">
      <c r="Q1" s="92" t="s">
        <v>1953</v>
      </c>
      <c r="R1" s="92" t="s">
        <v>1953</v>
      </c>
      <c r="S1" s="92" t="s">
        <v>1954</v>
      </c>
      <c r="T1" s="93" t="s">
        <v>1955</v>
      </c>
      <c r="U1" s="92" t="s">
        <v>1955</v>
      </c>
      <c r="V1" s="92" t="s">
        <v>1955</v>
      </c>
      <c r="W1" s="92" t="s">
        <v>1955</v>
      </c>
      <c r="X1" s="92" t="s">
        <v>1955</v>
      </c>
      <c r="Y1" s="92" t="s">
        <v>1955</v>
      </c>
      <c r="Z1" s="94" t="s">
        <v>1956</v>
      </c>
      <c r="AA1" s="94" t="s">
        <v>1956</v>
      </c>
      <c r="AB1" s="94" t="s">
        <v>1956</v>
      </c>
      <c r="AC1" s="94" t="s">
        <v>1956</v>
      </c>
      <c r="AD1" s="94" t="s">
        <v>1956</v>
      </c>
      <c r="AE1" s="94" t="s">
        <v>1956</v>
      </c>
    </row>
    <row r="2" spans="1:31" ht="16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90" t="s">
        <v>10</v>
      </c>
      <c r="L2" s="90"/>
      <c r="M2" s="90" t="s">
        <v>11</v>
      </c>
      <c r="N2" s="90"/>
      <c r="O2" s="1" t="s">
        <v>12</v>
      </c>
      <c r="P2" s="1" t="s">
        <v>13</v>
      </c>
      <c r="Q2" s="3" t="s">
        <v>14</v>
      </c>
      <c r="R2" s="3" t="s">
        <v>15</v>
      </c>
      <c r="S2" s="1" t="s">
        <v>16</v>
      </c>
      <c r="T2" s="4" t="s">
        <v>17</v>
      </c>
      <c r="U2" s="1" t="s">
        <v>18</v>
      </c>
      <c r="V2" s="4" t="s">
        <v>19</v>
      </c>
      <c r="W2" s="1" t="s">
        <v>20</v>
      </c>
      <c r="X2" s="1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91" t="s">
        <v>27</v>
      </c>
      <c r="AE2" s="91"/>
    </row>
    <row r="3" spans="1:31" ht="30">
      <c r="A3" s="5"/>
      <c r="B3" s="5"/>
      <c r="C3" s="5"/>
      <c r="D3" s="5"/>
      <c r="E3" s="5"/>
      <c r="F3" s="5" t="s">
        <v>28</v>
      </c>
      <c r="G3" s="5" t="s">
        <v>29</v>
      </c>
      <c r="H3" s="5" t="s">
        <v>29</v>
      </c>
      <c r="I3" s="5" t="s">
        <v>29</v>
      </c>
      <c r="J3" s="5" t="s">
        <v>29</v>
      </c>
      <c r="K3" s="5" t="s">
        <v>29</v>
      </c>
      <c r="L3" s="6" t="s">
        <v>30</v>
      </c>
      <c r="M3" s="5"/>
      <c r="N3" s="6" t="s">
        <v>30</v>
      </c>
      <c r="O3" s="5" t="s">
        <v>28</v>
      </c>
      <c r="P3" s="5" t="s">
        <v>28</v>
      </c>
      <c r="Q3" s="5" t="s">
        <v>31</v>
      </c>
      <c r="R3" s="5" t="s">
        <v>32</v>
      </c>
      <c r="S3" s="5" t="s">
        <v>28</v>
      </c>
      <c r="T3" s="7" t="s">
        <v>28</v>
      </c>
      <c r="U3" s="5" t="s">
        <v>31</v>
      </c>
      <c r="V3" s="5" t="s">
        <v>31</v>
      </c>
      <c r="W3" s="7" t="s">
        <v>31</v>
      </c>
      <c r="X3" s="7" t="s">
        <v>31</v>
      </c>
      <c r="Y3" s="7" t="s">
        <v>28</v>
      </c>
      <c r="Z3" s="7" t="s">
        <v>31</v>
      </c>
      <c r="AA3" s="7" t="s">
        <v>31</v>
      </c>
      <c r="AB3" s="7" t="s">
        <v>28</v>
      </c>
      <c r="AC3" s="5" t="s">
        <v>33</v>
      </c>
      <c r="AD3" s="7" t="s">
        <v>34</v>
      </c>
      <c r="AE3" s="7" t="s">
        <v>35</v>
      </c>
    </row>
    <row r="4" spans="1:31">
      <c r="A4" s="8" t="s">
        <v>36</v>
      </c>
      <c r="B4" s="8" t="s">
        <v>812</v>
      </c>
      <c r="C4" s="8" t="s">
        <v>813</v>
      </c>
      <c r="D4" s="9" t="s">
        <v>813</v>
      </c>
      <c r="E4" s="10"/>
      <c r="F4" s="10"/>
      <c r="G4" s="10"/>
      <c r="H4" s="10"/>
      <c r="I4" s="10"/>
      <c r="J4" s="10"/>
      <c r="K4" s="10"/>
      <c r="L4" s="10" t="e">
        <f>K4/H4*100</f>
        <v>#DIV/0!</v>
      </c>
      <c r="M4" s="10"/>
      <c r="O4" s="33">
        <v>0</v>
      </c>
      <c r="P4" s="8"/>
      <c r="Q4" s="33" t="s">
        <v>409</v>
      </c>
      <c r="R4" s="47" t="s">
        <v>628</v>
      </c>
      <c r="S4" s="10"/>
      <c r="T4" s="33">
        <v>0</v>
      </c>
      <c r="U4" s="10"/>
      <c r="V4" s="10"/>
      <c r="W4" s="10"/>
      <c r="X4" s="10"/>
      <c r="Y4" s="10"/>
      <c r="Z4" s="10"/>
      <c r="AA4" s="10" t="s">
        <v>412</v>
      </c>
      <c r="AB4" s="33"/>
      <c r="AC4" s="10"/>
      <c r="AD4" s="33">
        <v>0</v>
      </c>
      <c r="AE4" s="33">
        <v>0</v>
      </c>
    </row>
    <row r="5" spans="1:31">
      <c r="A5" s="8" t="s">
        <v>36</v>
      </c>
      <c r="B5" s="8" t="s">
        <v>812</v>
      </c>
      <c r="C5" s="8" t="s">
        <v>813</v>
      </c>
      <c r="D5" s="9" t="s">
        <v>814</v>
      </c>
      <c r="E5" s="8" t="s">
        <v>815</v>
      </c>
      <c r="F5" s="8">
        <v>320.22000000000003</v>
      </c>
      <c r="G5" s="8">
        <v>221</v>
      </c>
      <c r="H5" s="8">
        <v>1143</v>
      </c>
      <c r="I5" s="8">
        <v>594</v>
      </c>
      <c r="J5" s="8">
        <v>549</v>
      </c>
      <c r="K5" s="8">
        <v>329</v>
      </c>
      <c r="L5" s="10">
        <f t="shared" ref="L5:L68" si="0">K5/H5*100</f>
        <v>28.783902012248468</v>
      </c>
      <c r="M5" s="8">
        <v>62</v>
      </c>
      <c r="N5" s="10">
        <f>M5/H5*100</f>
        <v>5.4243219597550301</v>
      </c>
      <c r="O5" s="33">
        <v>0</v>
      </c>
      <c r="P5" s="8">
        <v>0</v>
      </c>
      <c r="Q5" s="33" t="s">
        <v>409</v>
      </c>
      <c r="R5" s="47" t="s">
        <v>628</v>
      </c>
      <c r="S5" s="10"/>
      <c r="T5" s="34">
        <v>0</v>
      </c>
      <c r="U5" s="10"/>
      <c r="V5" s="10"/>
      <c r="W5" s="10"/>
      <c r="X5" s="10"/>
      <c r="Y5" s="10"/>
      <c r="Z5" s="10"/>
      <c r="AA5" s="10" t="s">
        <v>412</v>
      </c>
      <c r="AB5" s="33"/>
      <c r="AC5" s="10"/>
      <c r="AD5" s="33">
        <v>0</v>
      </c>
      <c r="AE5" s="33">
        <v>0</v>
      </c>
    </row>
    <row r="6" spans="1:31">
      <c r="A6" s="8" t="s">
        <v>36</v>
      </c>
      <c r="B6" s="8" t="s">
        <v>812</v>
      </c>
      <c r="C6" s="8" t="s">
        <v>813</v>
      </c>
      <c r="D6" s="9" t="s">
        <v>816</v>
      </c>
      <c r="E6" s="8" t="s">
        <v>817</v>
      </c>
      <c r="F6" s="8">
        <v>172.31</v>
      </c>
      <c r="G6" s="8">
        <v>138</v>
      </c>
      <c r="H6" s="8">
        <v>832</v>
      </c>
      <c r="I6" s="8">
        <v>419</v>
      </c>
      <c r="J6" s="8">
        <v>413</v>
      </c>
      <c r="K6" s="8">
        <v>47</v>
      </c>
      <c r="L6" s="10">
        <f t="shared" si="0"/>
        <v>5.6490384615384617</v>
      </c>
      <c r="M6" s="8">
        <v>380</v>
      </c>
      <c r="N6" s="10">
        <f t="shared" ref="N6:N69" si="1">M6/H6*100</f>
        <v>45.67307692307692</v>
      </c>
      <c r="O6" s="10"/>
      <c r="P6" s="8">
        <v>0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412</v>
      </c>
      <c r="AB6" s="10"/>
      <c r="AC6" s="10"/>
      <c r="AD6" s="10"/>
      <c r="AE6" s="10"/>
    </row>
    <row r="7" spans="1:31">
      <c r="A7" s="8" t="s">
        <v>36</v>
      </c>
      <c r="B7" s="8" t="s">
        <v>812</v>
      </c>
      <c r="C7" s="8" t="s">
        <v>813</v>
      </c>
      <c r="D7" s="9" t="s">
        <v>818</v>
      </c>
      <c r="E7" s="8" t="s">
        <v>819</v>
      </c>
      <c r="F7" s="8">
        <v>242.21</v>
      </c>
      <c r="G7" s="8">
        <v>100</v>
      </c>
      <c r="H7" s="8">
        <v>605</v>
      </c>
      <c r="I7" s="8">
        <v>298</v>
      </c>
      <c r="J7" s="8">
        <v>307</v>
      </c>
      <c r="K7" s="8">
        <v>192</v>
      </c>
      <c r="L7" s="10">
        <f t="shared" si="0"/>
        <v>31.735537190082646</v>
      </c>
      <c r="M7" s="8">
        <v>93</v>
      </c>
      <c r="N7" s="10">
        <f t="shared" si="1"/>
        <v>15.37190082644628</v>
      </c>
      <c r="O7" s="33">
        <v>18.079999999999998</v>
      </c>
      <c r="P7" s="8">
        <v>0</v>
      </c>
      <c r="Q7" s="33" t="s">
        <v>409</v>
      </c>
      <c r="R7" s="47" t="s">
        <v>628</v>
      </c>
      <c r="S7" s="10"/>
      <c r="T7" s="34">
        <v>2.08</v>
      </c>
      <c r="U7" s="10"/>
      <c r="V7" s="10"/>
      <c r="W7" s="10"/>
      <c r="X7" s="10"/>
      <c r="Y7" s="10"/>
      <c r="Z7" s="10"/>
      <c r="AA7" s="10" t="s">
        <v>408</v>
      </c>
      <c r="AB7" s="33">
        <v>16</v>
      </c>
      <c r="AC7" s="10"/>
      <c r="AD7" s="34">
        <v>25.153925000000001</v>
      </c>
      <c r="AE7" s="34">
        <v>75.932372000000001</v>
      </c>
    </row>
    <row r="8" spans="1:31">
      <c r="A8" s="8" t="s">
        <v>36</v>
      </c>
      <c r="B8" s="8" t="s">
        <v>812</v>
      </c>
      <c r="C8" s="8" t="s">
        <v>820</v>
      </c>
      <c r="D8" s="9" t="s">
        <v>821</v>
      </c>
      <c r="E8" s="8" t="s">
        <v>822</v>
      </c>
      <c r="F8" s="8">
        <v>777.53</v>
      </c>
      <c r="G8" s="8">
        <v>87</v>
      </c>
      <c r="H8" s="8">
        <v>417</v>
      </c>
      <c r="I8" s="8">
        <v>236</v>
      </c>
      <c r="J8" s="8">
        <v>181</v>
      </c>
      <c r="K8" s="8">
        <v>27</v>
      </c>
      <c r="L8" s="10">
        <f t="shared" si="0"/>
        <v>6.4748201438848918</v>
      </c>
      <c r="M8" s="8">
        <v>120</v>
      </c>
      <c r="N8" s="10">
        <f t="shared" si="1"/>
        <v>28.776978417266186</v>
      </c>
      <c r="O8" s="10"/>
      <c r="P8" s="8">
        <v>528.96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 t="s">
        <v>412</v>
      </c>
      <c r="AB8" s="10"/>
      <c r="AC8" s="10"/>
      <c r="AD8" s="10"/>
      <c r="AE8" s="10"/>
    </row>
    <row r="9" spans="1:31">
      <c r="A9" s="8" t="s">
        <v>36</v>
      </c>
      <c r="B9" s="8" t="s">
        <v>812</v>
      </c>
      <c r="C9" s="8" t="s">
        <v>820</v>
      </c>
      <c r="D9" s="9"/>
      <c r="E9" s="8"/>
      <c r="F9" s="8"/>
      <c r="G9" s="8"/>
      <c r="H9" s="8"/>
      <c r="I9" s="8"/>
      <c r="J9" s="8"/>
      <c r="K9" s="8"/>
      <c r="L9" s="10" t="e">
        <f t="shared" si="0"/>
        <v>#DIV/0!</v>
      </c>
      <c r="M9" s="8"/>
      <c r="N9" s="10" t="e">
        <f t="shared" si="1"/>
        <v>#DIV/0!</v>
      </c>
      <c r="O9" s="18"/>
      <c r="P9" s="8"/>
      <c r="Q9" s="51" t="s">
        <v>586</v>
      </c>
      <c r="R9" s="18"/>
      <c r="S9" s="10"/>
      <c r="T9" s="10"/>
      <c r="U9" s="10"/>
      <c r="V9" s="10"/>
      <c r="W9" s="10"/>
      <c r="X9" s="10"/>
      <c r="Y9" s="10"/>
      <c r="Z9" s="10"/>
      <c r="AA9" s="10" t="s">
        <v>412</v>
      </c>
      <c r="AB9" s="10"/>
      <c r="AC9" s="10"/>
      <c r="AD9" s="18"/>
      <c r="AE9" s="18" t="s">
        <v>823</v>
      </c>
    </row>
    <row r="10" spans="1:31">
      <c r="A10" s="8" t="s">
        <v>36</v>
      </c>
      <c r="B10" s="8" t="s">
        <v>812</v>
      </c>
      <c r="C10" s="8" t="s">
        <v>820</v>
      </c>
      <c r="D10" s="9" t="s">
        <v>688</v>
      </c>
      <c r="E10" s="8" t="s">
        <v>824</v>
      </c>
      <c r="F10" s="8">
        <v>464.98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10" t="e">
        <f t="shared" si="0"/>
        <v>#DIV/0!</v>
      </c>
      <c r="M10" s="8">
        <v>0</v>
      </c>
      <c r="N10" s="10" t="e">
        <f t="shared" si="1"/>
        <v>#DIV/0!</v>
      </c>
      <c r="O10" s="10"/>
      <c r="P10" s="8">
        <v>413.34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 t="s">
        <v>412</v>
      </c>
      <c r="AB10" s="10"/>
      <c r="AC10" s="10"/>
      <c r="AD10" s="10"/>
      <c r="AE10" s="10"/>
    </row>
    <row r="11" spans="1:31">
      <c r="A11" s="8" t="s">
        <v>36</v>
      </c>
      <c r="B11" s="8" t="s">
        <v>812</v>
      </c>
      <c r="C11" s="8" t="s">
        <v>820</v>
      </c>
      <c r="D11" s="9" t="s">
        <v>825</v>
      </c>
      <c r="E11" s="8" t="s">
        <v>826</v>
      </c>
      <c r="F11" s="8">
        <v>930.44</v>
      </c>
      <c r="G11" s="8">
        <v>759</v>
      </c>
      <c r="H11" s="8">
        <v>3774</v>
      </c>
      <c r="I11" s="8">
        <v>1973</v>
      </c>
      <c r="J11" s="8">
        <v>1801</v>
      </c>
      <c r="K11" s="8">
        <v>695</v>
      </c>
      <c r="L11" s="10">
        <f t="shared" si="0"/>
        <v>18.415474297827238</v>
      </c>
      <c r="M11" s="8">
        <v>121</v>
      </c>
      <c r="N11" s="10">
        <f t="shared" si="1"/>
        <v>3.2061473237943825</v>
      </c>
      <c r="O11" s="10"/>
      <c r="P11" s="8">
        <v>690.36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 t="s">
        <v>412</v>
      </c>
      <c r="AB11" s="10"/>
      <c r="AC11" s="10"/>
      <c r="AD11" s="10"/>
      <c r="AE11" s="10"/>
    </row>
    <row r="12" spans="1:31">
      <c r="A12" s="8" t="s">
        <v>36</v>
      </c>
      <c r="B12" s="8" t="s">
        <v>812</v>
      </c>
      <c r="C12" s="8" t="s">
        <v>820</v>
      </c>
      <c r="D12" s="9" t="s">
        <v>827</v>
      </c>
      <c r="E12" s="8" t="s">
        <v>828</v>
      </c>
      <c r="F12" s="8">
        <v>224.32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10" t="e">
        <f t="shared" si="0"/>
        <v>#DIV/0!</v>
      </c>
      <c r="M12" s="8">
        <v>0</v>
      </c>
      <c r="N12" s="10" t="e">
        <f t="shared" si="1"/>
        <v>#DIV/0!</v>
      </c>
      <c r="O12" s="10"/>
      <c r="P12" s="8">
        <v>224.32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 t="s">
        <v>412</v>
      </c>
      <c r="AB12" s="10"/>
      <c r="AC12" s="10"/>
      <c r="AD12" s="10"/>
      <c r="AE12" s="10"/>
    </row>
    <row r="13" spans="1:31">
      <c r="A13" s="8" t="s">
        <v>36</v>
      </c>
      <c r="B13" s="8" t="s">
        <v>812</v>
      </c>
      <c r="C13" s="8" t="s">
        <v>820</v>
      </c>
      <c r="D13" s="9" t="s">
        <v>829</v>
      </c>
      <c r="E13" s="8" t="s">
        <v>830</v>
      </c>
      <c r="F13" s="8">
        <v>260.94</v>
      </c>
      <c r="G13" s="8">
        <v>21</v>
      </c>
      <c r="H13" s="8">
        <v>95</v>
      </c>
      <c r="I13" s="8">
        <v>48</v>
      </c>
      <c r="J13" s="8">
        <v>47</v>
      </c>
      <c r="K13" s="8">
        <v>2</v>
      </c>
      <c r="L13" s="10">
        <f t="shared" si="0"/>
        <v>2.1052631578947367</v>
      </c>
      <c r="M13" s="8">
        <v>0</v>
      </c>
      <c r="N13" s="10">
        <f t="shared" si="1"/>
        <v>0</v>
      </c>
      <c r="O13" s="10"/>
      <c r="P13" s="8">
        <v>254.83</v>
      </c>
      <c r="Q13" s="10"/>
      <c r="R13" s="10"/>
      <c r="S13" s="10"/>
      <c r="T13" s="18">
        <v>0</v>
      </c>
      <c r="U13" s="10"/>
      <c r="V13" s="10"/>
      <c r="W13" s="10"/>
      <c r="X13" s="10"/>
      <c r="Y13" s="10"/>
      <c r="Z13" s="10"/>
      <c r="AA13" s="10" t="s">
        <v>412</v>
      </c>
      <c r="AB13" s="18"/>
      <c r="AC13" s="10"/>
      <c r="AD13" s="10"/>
      <c r="AE13" s="10"/>
    </row>
    <row r="14" spans="1:31">
      <c r="A14" s="8" t="s">
        <v>36</v>
      </c>
      <c r="B14" s="8" t="s">
        <v>812</v>
      </c>
      <c r="C14" s="8" t="s">
        <v>831</v>
      </c>
      <c r="D14" s="9" t="s">
        <v>832</v>
      </c>
      <c r="E14" s="8" t="s">
        <v>833</v>
      </c>
      <c r="F14" s="8">
        <v>1284.24</v>
      </c>
      <c r="G14" s="8">
        <v>553</v>
      </c>
      <c r="H14" s="8">
        <v>3076</v>
      </c>
      <c r="I14" s="8">
        <v>1582</v>
      </c>
      <c r="J14" s="8">
        <v>1494</v>
      </c>
      <c r="K14" s="8">
        <v>649</v>
      </c>
      <c r="L14" s="10">
        <f t="shared" si="0"/>
        <v>21.098829648894668</v>
      </c>
      <c r="M14" s="8">
        <v>447</v>
      </c>
      <c r="N14" s="10">
        <f t="shared" si="1"/>
        <v>14.53185955786736</v>
      </c>
      <c r="O14" s="18">
        <v>0</v>
      </c>
      <c r="P14" s="8">
        <v>0</v>
      </c>
      <c r="Q14" s="22" t="s">
        <v>409</v>
      </c>
      <c r="R14" s="22" t="s">
        <v>834</v>
      </c>
      <c r="S14" s="10"/>
      <c r="T14" s="18">
        <v>0</v>
      </c>
      <c r="U14" s="10" t="s">
        <v>408</v>
      </c>
      <c r="V14" s="10"/>
      <c r="W14" s="10"/>
      <c r="X14" s="10"/>
      <c r="Y14" s="10"/>
      <c r="Z14" s="10"/>
      <c r="AA14" s="10" t="s">
        <v>412</v>
      </c>
      <c r="AB14" s="18"/>
      <c r="AC14" s="10"/>
      <c r="AD14" s="18" t="s">
        <v>410</v>
      </c>
      <c r="AE14" s="18" t="s">
        <v>410</v>
      </c>
    </row>
    <row r="15" spans="1:31">
      <c r="A15" s="8" t="s">
        <v>36</v>
      </c>
      <c r="B15" s="8" t="s">
        <v>812</v>
      </c>
      <c r="C15" s="8" t="s">
        <v>831</v>
      </c>
      <c r="D15" s="9" t="s">
        <v>835</v>
      </c>
      <c r="E15" s="8" t="s">
        <v>836</v>
      </c>
      <c r="F15" s="8">
        <v>340.18</v>
      </c>
      <c r="G15" s="8">
        <v>85</v>
      </c>
      <c r="H15" s="8">
        <v>499</v>
      </c>
      <c r="I15" s="8">
        <v>261</v>
      </c>
      <c r="J15" s="8">
        <v>238</v>
      </c>
      <c r="K15" s="8">
        <v>59</v>
      </c>
      <c r="L15" s="10">
        <f t="shared" si="0"/>
        <v>11.823647294589177</v>
      </c>
      <c r="M15" s="8">
        <v>0</v>
      </c>
      <c r="N15" s="10">
        <f t="shared" si="1"/>
        <v>0</v>
      </c>
      <c r="O15" s="18">
        <v>0</v>
      </c>
      <c r="P15" s="8">
        <v>0</v>
      </c>
      <c r="Q15" s="22" t="s">
        <v>409</v>
      </c>
      <c r="R15" s="22" t="s">
        <v>837</v>
      </c>
      <c r="S15" s="10"/>
      <c r="T15" s="18">
        <v>0</v>
      </c>
      <c r="U15" s="10" t="s">
        <v>408</v>
      </c>
      <c r="V15" s="10"/>
      <c r="W15" s="10"/>
      <c r="X15" s="10"/>
      <c r="Y15" s="10"/>
      <c r="Z15" s="10"/>
      <c r="AA15" s="10" t="s">
        <v>412</v>
      </c>
      <c r="AB15" s="18"/>
      <c r="AC15" s="10"/>
      <c r="AD15" s="18" t="s">
        <v>410</v>
      </c>
      <c r="AE15" s="18" t="s">
        <v>410</v>
      </c>
    </row>
    <row r="16" spans="1:31">
      <c r="A16" s="8" t="s">
        <v>36</v>
      </c>
      <c r="B16" s="8" t="s">
        <v>812</v>
      </c>
      <c r="C16" s="8" t="s">
        <v>831</v>
      </c>
      <c r="D16" s="9" t="s">
        <v>838</v>
      </c>
      <c r="E16" s="8" t="s">
        <v>839</v>
      </c>
      <c r="F16" s="8">
        <v>245.04</v>
      </c>
      <c r="G16" s="8">
        <v>74</v>
      </c>
      <c r="H16" s="8">
        <v>422</v>
      </c>
      <c r="I16" s="8">
        <v>208</v>
      </c>
      <c r="J16" s="8">
        <v>214</v>
      </c>
      <c r="K16" s="8">
        <v>109</v>
      </c>
      <c r="L16" s="10">
        <f t="shared" si="0"/>
        <v>25.829383886255926</v>
      </c>
      <c r="M16" s="8">
        <v>5</v>
      </c>
      <c r="N16" s="10">
        <f t="shared" si="1"/>
        <v>1.1848341232227488</v>
      </c>
      <c r="O16" s="18">
        <v>0</v>
      </c>
      <c r="P16" s="8">
        <v>0</v>
      </c>
      <c r="Q16" s="22" t="s">
        <v>409</v>
      </c>
      <c r="R16" s="22" t="s">
        <v>840</v>
      </c>
      <c r="S16" s="10"/>
      <c r="T16" s="18">
        <v>0</v>
      </c>
      <c r="U16" s="10" t="s">
        <v>408</v>
      </c>
      <c r="V16" s="10"/>
      <c r="W16" s="10"/>
      <c r="X16" s="10"/>
      <c r="Y16" s="10"/>
      <c r="Z16" s="10"/>
      <c r="AA16" s="10" t="s">
        <v>412</v>
      </c>
      <c r="AB16" s="18"/>
      <c r="AC16" s="10"/>
      <c r="AD16" s="18" t="s">
        <v>410</v>
      </c>
      <c r="AE16" s="18" t="s">
        <v>410</v>
      </c>
    </row>
    <row r="17" spans="1:31">
      <c r="A17" s="8" t="s">
        <v>36</v>
      </c>
      <c r="B17" s="8" t="s">
        <v>812</v>
      </c>
      <c r="C17" s="8" t="s">
        <v>831</v>
      </c>
      <c r="D17" s="9" t="s">
        <v>841</v>
      </c>
      <c r="E17" s="8" t="s">
        <v>842</v>
      </c>
      <c r="F17" s="8">
        <v>105.5</v>
      </c>
      <c r="G17" s="8">
        <v>74</v>
      </c>
      <c r="H17" s="8">
        <v>341</v>
      </c>
      <c r="I17" s="8">
        <v>172</v>
      </c>
      <c r="J17" s="8">
        <v>169</v>
      </c>
      <c r="K17" s="8">
        <v>19</v>
      </c>
      <c r="L17" s="10">
        <f t="shared" si="0"/>
        <v>5.5718475073313778</v>
      </c>
      <c r="M17" s="8">
        <v>1</v>
      </c>
      <c r="N17" s="10">
        <f t="shared" si="1"/>
        <v>0.2932551319648094</v>
      </c>
      <c r="O17" s="18">
        <v>0</v>
      </c>
      <c r="P17" s="8">
        <v>0</v>
      </c>
      <c r="Q17" s="22" t="s">
        <v>409</v>
      </c>
      <c r="R17" s="22" t="s">
        <v>843</v>
      </c>
      <c r="S17" s="10"/>
      <c r="T17" s="18">
        <v>0</v>
      </c>
      <c r="U17" s="10" t="s">
        <v>408</v>
      </c>
      <c r="V17" s="10"/>
      <c r="W17" s="10"/>
      <c r="X17" s="10"/>
      <c r="Y17" s="10"/>
      <c r="Z17" s="10"/>
      <c r="AA17" s="10" t="s">
        <v>412</v>
      </c>
      <c r="AB17" s="18"/>
      <c r="AC17" s="10"/>
      <c r="AD17" s="18" t="s">
        <v>410</v>
      </c>
      <c r="AE17" s="18" t="s">
        <v>410</v>
      </c>
    </row>
    <row r="18" spans="1:31">
      <c r="A18" s="8" t="s">
        <v>36</v>
      </c>
      <c r="B18" s="8" t="s">
        <v>812</v>
      </c>
      <c r="C18" s="8" t="s">
        <v>831</v>
      </c>
      <c r="D18" s="9" t="s">
        <v>844</v>
      </c>
      <c r="E18" s="8" t="s">
        <v>845</v>
      </c>
      <c r="F18" s="8">
        <v>245.95</v>
      </c>
      <c r="G18" s="8">
        <v>71</v>
      </c>
      <c r="H18" s="8">
        <v>424</v>
      </c>
      <c r="I18" s="8">
        <v>215</v>
      </c>
      <c r="J18" s="8">
        <v>209</v>
      </c>
      <c r="K18" s="8">
        <v>11</v>
      </c>
      <c r="L18" s="10">
        <f t="shared" si="0"/>
        <v>2.5943396226415096</v>
      </c>
      <c r="M18" s="8">
        <v>376</v>
      </c>
      <c r="N18" s="10">
        <f t="shared" si="1"/>
        <v>88.679245283018872</v>
      </c>
      <c r="O18" s="18">
        <v>0</v>
      </c>
      <c r="P18" s="8">
        <v>0</v>
      </c>
      <c r="Q18" s="22" t="s">
        <v>409</v>
      </c>
      <c r="R18" s="22" t="s">
        <v>846</v>
      </c>
      <c r="S18" s="10"/>
      <c r="T18" s="18">
        <v>0</v>
      </c>
      <c r="U18" s="10" t="s">
        <v>408</v>
      </c>
      <c r="V18" s="10"/>
      <c r="W18" s="10"/>
      <c r="X18" s="10"/>
      <c r="Y18" s="10"/>
      <c r="Z18" s="10"/>
      <c r="AA18" s="10" t="s">
        <v>412</v>
      </c>
      <c r="AB18" s="18"/>
      <c r="AC18" s="10"/>
      <c r="AD18" s="18" t="s">
        <v>410</v>
      </c>
      <c r="AE18" s="18" t="s">
        <v>410</v>
      </c>
    </row>
    <row r="19" spans="1:31">
      <c r="A19" s="8" t="s">
        <v>36</v>
      </c>
      <c r="B19" s="8" t="s">
        <v>812</v>
      </c>
      <c r="C19" s="8" t="s">
        <v>831</v>
      </c>
      <c r="D19" s="9" t="s">
        <v>847</v>
      </c>
      <c r="E19" s="8" t="s">
        <v>848</v>
      </c>
      <c r="F19" s="8">
        <v>630.96</v>
      </c>
      <c r="G19" s="8">
        <v>228</v>
      </c>
      <c r="H19" s="8">
        <v>1204</v>
      </c>
      <c r="I19" s="8">
        <v>619</v>
      </c>
      <c r="J19" s="8">
        <v>585</v>
      </c>
      <c r="K19" s="8">
        <v>314</v>
      </c>
      <c r="L19" s="10">
        <f t="shared" si="0"/>
        <v>26.079734219269103</v>
      </c>
      <c r="M19" s="8">
        <v>6</v>
      </c>
      <c r="N19" s="10">
        <f t="shared" si="1"/>
        <v>0.49833887043189368</v>
      </c>
      <c r="O19" s="18">
        <v>0</v>
      </c>
      <c r="P19" s="8">
        <v>15.02</v>
      </c>
      <c r="Q19" s="22" t="s">
        <v>409</v>
      </c>
      <c r="R19" s="22" t="s">
        <v>849</v>
      </c>
      <c r="S19" s="10"/>
      <c r="T19" s="18">
        <v>80.709999999999994</v>
      </c>
      <c r="U19" s="10" t="s">
        <v>408</v>
      </c>
      <c r="V19" s="10"/>
      <c r="W19" s="10"/>
      <c r="X19" s="10"/>
      <c r="Y19" s="10"/>
      <c r="Z19" s="10"/>
      <c r="AA19" s="10" t="s">
        <v>408</v>
      </c>
      <c r="AB19" s="18">
        <v>11</v>
      </c>
      <c r="AC19" s="10"/>
      <c r="AD19" s="18" t="s">
        <v>410</v>
      </c>
      <c r="AE19" s="18" t="s">
        <v>410</v>
      </c>
    </row>
    <row r="20" spans="1:31">
      <c r="A20" s="8" t="s">
        <v>36</v>
      </c>
      <c r="B20" s="8" t="s">
        <v>812</v>
      </c>
      <c r="C20" s="8" t="s">
        <v>850</v>
      </c>
      <c r="D20" s="9" t="s">
        <v>851</v>
      </c>
      <c r="E20" s="8" t="s">
        <v>852</v>
      </c>
      <c r="F20" s="8">
        <v>2487.14</v>
      </c>
      <c r="G20" s="8">
        <v>488</v>
      </c>
      <c r="H20" s="8">
        <v>2678</v>
      </c>
      <c r="I20" s="8">
        <v>1347</v>
      </c>
      <c r="J20" s="8">
        <v>1331</v>
      </c>
      <c r="K20" s="8">
        <v>637</v>
      </c>
      <c r="L20" s="10">
        <f t="shared" si="0"/>
        <v>23.78640776699029</v>
      </c>
      <c r="M20" s="8">
        <v>222</v>
      </c>
      <c r="N20" s="10">
        <f t="shared" si="1"/>
        <v>8.2897684839432415</v>
      </c>
      <c r="O20" s="18">
        <v>80.709999999999994</v>
      </c>
      <c r="P20" s="8">
        <v>1289.3800000000001</v>
      </c>
      <c r="Q20" s="18" t="s">
        <v>409</v>
      </c>
      <c r="R20" s="21" t="s">
        <v>432</v>
      </c>
      <c r="S20" s="10"/>
      <c r="T20" s="18">
        <v>0</v>
      </c>
      <c r="U20" s="10"/>
      <c r="V20" s="10"/>
      <c r="W20" s="10"/>
      <c r="X20" s="10"/>
      <c r="Y20" s="10"/>
      <c r="Z20" s="10"/>
      <c r="AA20" s="10" t="s">
        <v>412</v>
      </c>
      <c r="AB20" s="18"/>
      <c r="AC20" s="10"/>
      <c r="AD20" s="18">
        <v>24.990470999999999</v>
      </c>
      <c r="AE20" s="18">
        <v>76.026505</v>
      </c>
    </row>
    <row r="21" spans="1:31">
      <c r="A21" s="8" t="s">
        <v>36</v>
      </c>
      <c r="B21" s="8" t="s">
        <v>812</v>
      </c>
      <c r="C21" s="8" t="s">
        <v>850</v>
      </c>
      <c r="D21" s="9" t="s">
        <v>853</v>
      </c>
      <c r="E21" s="8" t="s">
        <v>854</v>
      </c>
      <c r="F21" s="8">
        <v>1217</v>
      </c>
      <c r="G21" s="8">
        <v>102</v>
      </c>
      <c r="H21" s="8">
        <v>504</v>
      </c>
      <c r="I21" s="8">
        <v>256</v>
      </c>
      <c r="J21" s="8">
        <v>248</v>
      </c>
      <c r="K21" s="8">
        <v>15</v>
      </c>
      <c r="L21" s="10">
        <f t="shared" si="0"/>
        <v>2.9761904761904758</v>
      </c>
      <c r="M21" s="8">
        <v>6</v>
      </c>
      <c r="N21" s="10">
        <f t="shared" si="1"/>
        <v>1.1904761904761905</v>
      </c>
      <c r="O21" s="18">
        <v>0</v>
      </c>
      <c r="P21" s="8">
        <v>951</v>
      </c>
      <c r="Q21" s="18" t="s">
        <v>408</v>
      </c>
      <c r="R21" s="21">
        <v>45519</v>
      </c>
      <c r="S21" s="10"/>
      <c r="T21" s="18">
        <v>8.9700000000000006</v>
      </c>
      <c r="U21" s="10"/>
      <c r="V21" s="10"/>
      <c r="W21" s="10"/>
      <c r="X21" s="10"/>
      <c r="Y21" s="10"/>
      <c r="Z21" s="10"/>
      <c r="AA21" s="10" t="s">
        <v>408</v>
      </c>
      <c r="AB21" s="18">
        <v>2</v>
      </c>
      <c r="AC21" s="10"/>
      <c r="AD21" s="18" t="s">
        <v>410</v>
      </c>
      <c r="AE21" s="18" t="s">
        <v>410</v>
      </c>
    </row>
    <row r="22" spans="1:31">
      <c r="A22" s="8" t="s">
        <v>36</v>
      </c>
      <c r="B22" s="8" t="s">
        <v>812</v>
      </c>
      <c r="C22" s="8" t="s">
        <v>850</v>
      </c>
      <c r="D22" s="9" t="s">
        <v>855</v>
      </c>
      <c r="E22" s="8" t="s">
        <v>856</v>
      </c>
      <c r="F22" s="8">
        <v>685</v>
      </c>
      <c r="G22" s="8">
        <v>230</v>
      </c>
      <c r="H22" s="8">
        <v>1417</v>
      </c>
      <c r="I22" s="8">
        <v>738</v>
      </c>
      <c r="J22" s="8">
        <v>679</v>
      </c>
      <c r="K22" s="8">
        <v>91</v>
      </c>
      <c r="L22" s="10">
        <f t="shared" si="0"/>
        <v>6.4220183486238538</v>
      </c>
      <c r="M22" s="8">
        <v>267</v>
      </c>
      <c r="N22" s="10">
        <f t="shared" si="1"/>
        <v>18.842625264643615</v>
      </c>
      <c r="O22" s="18">
        <v>8.9700000000000006</v>
      </c>
      <c r="P22" s="8">
        <v>5</v>
      </c>
      <c r="Q22" s="18" t="s">
        <v>408</v>
      </c>
      <c r="R22" s="21">
        <v>45519</v>
      </c>
      <c r="S22" s="10"/>
      <c r="T22" s="18">
        <v>0</v>
      </c>
      <c r="U22" s="10"/>
      <c r="V22" s="10"/>
      <c r="W22" s="10"/>
      <c r="X22" s="10"/>
      <c r="Y22" s="10"/>
      <c r="Z22" s="10"/>
      <c r="AA22" s="10" t="s">
        <v>412</v>
      </c>
      <c r="AB22" s="18"/>
      <c r="AC22" s="10"/>
      <c r="AD22" s="18">
        <v>25.007860999999998</v>
      </c>
      <c r="AE22" s="18">
        <v>76.051983000000007</v>
      </c>
    </row>
    <row r="23" spans="1:31">
      <c r="A23" s="8" t="s">
        <v>36</v>
      </c>
      <c r="B23" s="8" t="s">
        <v>812</v>
      </c>
      <c r="C23" s="8" t="s">
        <v>850</v>
      </c>
      <c r="D23" s="9" t="s">
        <v>857</v>
      </c>
      <c r="E23" s="8" t="s">
        <v>858</v>
      </c>
      <c r="F23" s="8">
        <v>311.76</v>
      </c>
      <c r="G23" s="8">
        <v>126</v>
      </c>
      <c r="H23" s="8">
        <v>633</v>
      </c>
      <c r="I23" s="8">
        <v>336</v>
      </c>
      <c r="J23" s="8">
        <v>297</v>
      </c>
      <c r="K23" s="8">
        <v>53</v>
      </c>
      <c r="L23" s="10">
        <f t="shared" si="0"/>
        <v>8.3728278041074251</v>
      </c>
      <c r="M23" s="8">
        <v>426</v>
      </c>
      <c r="N23" s="10">
        <f t="shared" si="1"/>
        <v>67.29857819905213</v>
      </c>
      <c r="O23" s="18">
        <v>0</v>
      </c>
      <c r="P23" s="8">
        <v>0</v>
      </c>
      <c r="Q23" s="18" t="s">
        <v>408</v>
      </c>
      <c r="R23" s="21">
        <v>45519</v>
      </c>
      <c r="S23" s="10"/>
      <c r="T23" s="35">
        <v>98.5</v>
      </c>
      <c r="U23" s="10"/>
      <c r="V23" s="10"/>
      <c r="W23" s="10"/>
      <c r="X23" s="10"/>
      <c r="Y23" s="10"/>
      <c r="Z23" s="10"/>
      <c r="AA23" s="10" t="s">
        <v>412</v>
      </c>
      <c r="AB23" s="35"/>
      <c r="AC23" s="10"/>
      <c r="AD23" s="18" t="s">
        <v>410</v>
      </c>
      <c r="AE23" s="18" t="s">
        <v>410</v>
      </c>
    </row>
    <row r="24" spans="1:31">
      <c r="A24" s="8" t="s">
        <v>36</v>
      </c>
      <c r="B24" s="8" t="s">
        <v>812</v>
      </c>
      <c r="C24" s="8" t="s">
        <v>850</v>
      </c>
      <c r="D24" s="9" t="s">
        <v>859</v>
      </c>
      <c r="E24" s="8" t="s">
        <v>860</v>
      </c>
      <c r="F24" s="8">
        <v>1032</v>
      </c>
      <c r="G24" s="8">
        <v>154</v>
      </c>
      <c r="H24" s="8">
        <v>864</v>
      </c>
      <c r="I24" s="8">
        <v>459</v>
      </c>
      <c r="J24" s="8">
        <v>405</v>
      </c>
      <c r="K24" s="8">
        <v>20</v>
      </c>
      <c r="L24" s="10">
        <f t="shared" si="0"/>
        <v>2.3148148148148149</v>
      </c>
      <c r="M24" s="8">
        <v>194</v>
      </c>
      <c r="N24" s="10">
        <f t="shared" si="1"/>
        <v>22.453703703703702</v>
      </c>
      <c r="O24" s="37">
        <v>98.5</v>
      </c>
      <c r="P24" s="8">
        <v>610</v>
      </c>
      <c r="Q24" s="37" t="s">
        <v>412</v>
      </c>
      <c r="R24" s="37"/>
      <c r="S24" s="10"/>
      <c r="T24" s="52">
        <v>41.22</v>
      </c>
      <c r="U24" s="10"/>
      <c r="V24" s="10"/>
      <c r="W24" s="10"/>
      <c r="X24" s="10"/>
      <c r="Y24" s="10"/>
      <c r="Z24" s="10"/>
      <c r="AA24" s="10" t="s">
        <v>408</v>
      </c>
      <c r="AB24" s="52">
        <v>2</v>
      </c>
      <c r="AC24" s="10"/>
      <c r="AD24" s="33">
        <v>25.019435999999999</v>
      </c>
      <c r="AE24" s="37">
        <v>75.996190999999996</v>
      </c>
    </row>
    <row r="25" spans="1:31">
      <c r="A25" s="8" t="s">
        <v>36</v>
      </c>
      <c r="B25" s="8" t="s">
        <v>812</v>
      </c>
      <c r="C25" s="8" t="s">
        <v>861</v>
      </c>
      <c r="D25" s="9" t="s">
        <v>862</v>
      </c>
      <c r="E25" s="8" t="s">
        <v>863</v>
      </c>
      <c r="F25" s="8">
        <v>377.05</v>
      </c>
      <c r="G25" s="8">
        <v>143</v>
      </c>
      <c r="H25" s="8">
        <v>724</v>
      </c>
      <c r="I25" s="8">
        <v>381</v>
      </c>
      <c r="J25" s="8">
        <v>343</v>
      </c>
      <c r="K25" s="8">
        <v>34</v>
      </c>
      <c r="L25" s="10">
        <f t="shared" si="0"/>
        <v>4.6961325966850831</v>
      </c>
      <c r="M25" s="8">
        <v>188</v>
      </c>
      <c r="N25" s="10">
        <f t="shared" si="1"/>
        <v>25.966850828729282</v>
      </c>
      <c r="O25" s="52">
        <v>43.22</v>
      </c>
      <c r="P25" s="8">
        <v>159.79</v>
      </c>
      <c r="Q25" s="50" t="s">
        <v>586</v>
      </c>
      <c r="R25" s="53">
        <v>44596</v>
      </c>
      <c r="S25" s="10"/>
      <c r="T25" s="10"/>
      <c r="U25" s="10"/>
      <c r="V25" s="10"/>
      <c r="W25" s="10"/>
      <c r="X25" s="10"/>
      <c r="Y25" s="10"/>
      <c r="Z25" s="10"/>
      <c r="AA25" s="10" t="s">
        <v>412</v>
      </c>
      <c r="AB25" s="10"/>
      <c r="AC25" s="10"/>
      <c r="AD25" s="52">
        <v>24.899733000000001</v>
      </c>
      <c r="AE25" s="52">
        <v>759611</v>
      </c>
    </row>
    <row r="26" spans="1:31">
      <c r="A26" s="8" t="s">
        <v>36</v>
      </c>
      <c r="B26" s="8" t="s">
        <v>812</v>
      </c>
      <c r="C26" s="8" t="s">
        <v>861</v>
      </c>
      <c r="D26" s="9" t="s">
        <v>862</v>
      </c>
      <c r="E26" s="8"/>
      <c r="F26" s="8"/>
      <c r="G26" s="8"/>
      <c r="H26" s="8"/>
      <c r="I26" s="8"/>
      <c r="J26" s="8"/>
      <c r="K26" s="8"/>
      <c r="L26" s="10" t="e">
        <f t="shared" si="0"/>
        <v>#DIV/0!</v>
      </c>
      <c r="M26" s="8"/>
      <c r="N26" s="10" t="e">
        <f t="shared" si="1"/>
        <v>#DIV/0!</v>
      </c>
      <c r="O26" s="18"/>
      <c r="P26" s="8"/>
      <c r="Q26" s="51" t="s">
        <v>586</v>
      </c>
      <c r="R26" s="18"/>
      <c r="S26" s="10"/>
      <c r="T26" s="10"/>
      <c r="U26" s="10"/>
      <c r="V26" s="10"/>
      <c r="W26" s="10"/>
      <c r="X26" s="10"/>
      <c r="Y26" s="10"/>
      <c r="Z26" s="10"/>
      <c r="AA26" s="10" t="s">
        <v>412</v>
      </c>
      <c r="AB26" s="10"/>
      <c r="AC26" s="10"/>
      <c r="AD26" s="18"/>
      <c r="AE26" s="18"/>
    </row>
    <row r="27" spans="1:31">
      <c r="A27" s="8" t="s">
        <v>36</v>
      </c>
      <c r="B27" s="8" t="s">
        <v>812</v>
      </c>
      <c r="C27" s="8" t="s">
        <v>861</v>
      </c>
      <c r="D27" s="9" t="s">
        <v>738</v>
      </c>
      <c r="E27" s="8" t="s">
        <v>864</v>
      </c>
      <c r="F27" s="8">
        <v>410.56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10" t="e">
        <f t="shared" si="0"/>
        <v>#DIV/0!</v>
      </c>
      <c r="M27" s="8">
        <v>0</v>
      </c>
      <c r="N27" s="10" t="e">
        <f t="shared" si="1"/>
        <v>#DIV/0!</v>
      </c>
      <c r="O27" s="10"/>
      <c r="P27" s="8">
        <v>410.56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 t="s">
        <v>412</v>
      </c>
      <c r="AB27" s="10"/>
      <c r="AC27" s="10"/>
      <c r="AD27" s="10"/>
      <c r="AE27" s="10"/>
    </row>
    <row r="28" spans="1:31">
      <c r="A28" s="8" t="s">
        <v>36</v>
      </c>
      <c r="B28" s="8" t="s">
        <v>812</v>
      </c>
      <c r="C28" s="8" t="s">
        <v>861</v>
      </c>
      <c r="D28" s="9" t="s">
        <v>275</v>
      </c>
      <c r="E28" s="8" t="s">
        <v>865</v>
      </c>
      <c r="F28" s="8">
        <v>301.69</v>
      </c>
      <c r="G28" s="8">
        <v>3</v>
      </c>
      <c r="H28" s="8">
        <v>6</v>
      </c>
      <c r="I28" s="8">
        <v>4</v>
      </c>
      <c r="J28" s="8">
        <v>2</v>
      </c>
      <c r="K28" s="8">
        <v>0</v>
      </c>
      <c r="L28" s="10">
        <f t="shared" si="0"/>
        <v>0</v>
      </c>
      <c r="M28" s="8">
        <v>0</v>
      </c>
      <c r="N28" s="10">
        <f t="shared" si="1"/>
        <v>0</v>
      </c>
      <c r="O28" s="10"/>
      <c r="P28" s="8">
        <v>291.02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 t="s">
        <v>412</v>
      </c>
      <c r="AB28" s="10"/>
      <c r="AC28" s="10"/>
      <c r="AD28" s="10"/>
      <c r="AE28" s="10"/>
    </row>
    <row r="29" spans="1:31">
      <c r="A29" s="8" t="s">
        <v>36</v>
      </c>
      <c r="B29" s="8" t="s">
        <v>812</v>
      </c>
      <c r="C29" s="8" t="s">
        <v>861</v>
      </c>
      <c r="D29" s="9" t="s">
        <v>324</v>
      </c>
      <c r="E29" s="8" t="s">
        <v>866</v>
      </c>
      <c r="F29" s="8">
        <v>531.01</v>
      </c>
      <c r="G29" s="8">
        <v>44</v>
      </c>
      <c r="H29" s="8">
        <v>244</v>
      </c>
      <c r="I29" s="8">
        <v>126</v>
      </c>
      <c r="J29" s="8">
        <v>118</v>
      </c>
      <c r="K29" s="8">
        <v>0</v>
      </c>
      <c r="L29" s="10">
        <f t="shared" si="0"/>
        <v>0</v>
      </c>
      <c r="M29" s="8">
        <v>188</v>
      </c>
      <c r="N29" s="10">
        <f t="shared" si="1"/>
        <v>77.049180327868854</v>
      </c>
      <c r="O29" s="10"/>
      <c r="P29" s="8">
        <v>163.08000000000001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 t="s">
        <v>412</v>
      </c>
      <c r="AB29" s="10"/>
      <c r="AC29" s="10"/>
      <c r="AD29" s="10"/>
      <c r="AE29" s="10"/>
    </row>
    <row r="30" spans="1:31">
      <c r="A30" s="8" t="s">
        <v>36</v>
      </c>
      <c r="B30" s="8" t="s">
        <v>812</v>
      </c>
      <c r="C30" s="8" t="s">
        <v>861</v>
      </c>
      <c r="D30" s="9" t="s">
        <v>867</v>
      </c>
      <c r="E30" s="8" t="s">
        <v>868</v>
      </c>
      <c r="F30" s="8">
        <v>179.99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10" t="e">
        <f t="shared" si="0"/>
        <v>#DIV/0!</v>
      </c>
      <c r="M30" s="8">
        <v>0</v>
      </c>
      <c r="N30" s="10" t="e">
        <f t="shared" si="1"/>
        <v>#DIV/0!</v>
      </c>
      <c r="O30" s="10"/>
      <c r="P30" s="8">
        <v>179.99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 t="s">
        <v>412</v>
      </c>
      <c r="AB30" s="10"/>
      <c r="AC30" s="10"/>
      <c r="AD30" s="10"/>
      <c r="AE30" s="10"/>
    </row>
    <row r="31" spans="1:31">
      <c r="A31" s="8" t="s">
        <v>36</v>
      </c>
      <c r="B31" s="8" t="s">
        <v>812</v>
      </c>
      <c r="C31" s="8" t="s">
        <v>861</v>
      </c>
      <c r="D31" s="9" t="s">
        <v>869</v>
      </c>
      <c r="E31" s="8" t="s">
        <v>870</v>
      </c>
      <c r="F31" s="8">
        <v>605.87</v>
      </c>
      <c r="G31" s="8">
        <v>39</v>
      </c>
      <c r="H31" s="8">
        <v>159</v>
      </c>
      <c r="I31" s="8">
        <v>88</v>
      </c>
      <c r="J31" s="8">
        <v>71</v>
      </c>
      <c r="K31" s="8">
        <v>7</v>
      </c>
      <c r="L31" s="10">
        <f t="shared" si="0"/>
        <v>4.4025157232704402</v>
      </c>
      <c r="M31" s="8">
        <v>36</v>
      </c>
      <c r="N31" s="10">
        <f t="shared" si="1"/>
        <v>22.641509433962266</v>
      </c>
      <c r="O31" s="10"/>
      <c r="P31" s="8">
        <v>543.47</v>
      </c>
      <c r="Q31" s="10"/>
      <c r="R31" s="10"/>
      <c r="S31" s="10"/>
      <c r="T31" s="52">
        <v>18</v>
      </c>
      <c r="U31" s="10"/>
      <c r="V31" s="10"/>
      <c r="W31" s="10"/>
      <c r="X31" s="10"/>
      <c r="Y31" s="10"/>
      <c r="Z31" s="10"/>
      <c r="AA31" s="10" t="s">
        <v>412</v>
      </c>
      <c r="AB31" s="52"/>
      <c r="AC31" s="10"/>
      <c r="AD31" s="10"/>
      <c r="AE31" s="10"/>
    </row>
    <row r="32" spans="1:31">
      <c r="A32" s="8" t="s">
        <v>36</v>
      </c>
      <c r="B32" s="8" t="s">
        <v>812</v>
      </c>
      <c r="C32" s="8" t="s">
        <v>861</v>
      </c>
      <c r="D32" s="9" t="s">
        <v>724</v>
      </c>
      <c r="E32" s="8" t="s">
        <v>871</v>
      </c>
      <c r="F32" s="8">
        <v>86.92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10" t="e">
        <f t="shared" si="0"/>
        <v>#DIV/0!</v>
      </c>
      <c r="M32" s="8">
        <v>0</v>
      </c>
      <c r="N32" s="10" t="e">
        <f t="shared" si="1"/>
        <v>#DIV/0!</v>
      </c>
      <c r="O32" s="10"/>
      <c r="P32" s="8">
        <v>86.92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 t="s">
        <v>412</v>
      </c>
      <c r="AB32" s="10"/>
      <c r="AC32" s="10"/>
      <c r="AD32" s="10"/>
      <c r="AE32" s="10"/>
    </row>
    <row r="33" spans="1:31">
      <c r="A33" s="8" t="s">
        <v>36</v>
      </c>
      <c r="B33" s="8" t="s">
        <v>812</v>
      </c>
      <c r="C33" s="8" t="s">
        <v>861</v>
      </c>
      <c r="D33" s="9" t="s">
        <v>364</v>
      </c>
      <c r="E33" s="8" t="s">
        <v>872</v>
      </c>
      <c r="F33" s="8">
        <v>226.33</v>
      </c>
      <c r="G33" s="8">
        <v>37</v>
      </c>
      <c r="H33" s="8">
        <v>211</v>
      </c>
      <c r="I33" s="8">
        <v>112</v>
      </c>
      <c r="J33" s="8">
        <v>99</v>
      </c>
      <c r="K33" s="8">
        <v>0</v>
      </c>
      <c r="L33" s="10">
        <f t="shared" si="0"/>
        <v>0</v>
      </c>
      <c r="M33" s="8">
        <v>80</v>
      </c>
      <c r="N33" s="10">
        <f t="shared" si="1"/>
        <v>37.914691943127963</v>
      </c>
      <c r="O33" s="52">
        <v>18</v>
      </c>
      <c r="P33" s="8">
        <v>72.09</v>
      </c>
      <c r="Q33" s="50" t="s">
        <v>586</v>
      </c>
      <c r="R33" s="53">
        <v>44608</v>
      </c>
      <c r="S33" s="10"/>
      <c r="T33" s="10"/>
      <c r="U33" s="10"/>
      <c r="V33" s="10"/>
      <c r="W33" s="10"/>
      <c r="X33" s="10"/>
      <c r="Y33" s="10"/>
      <c r="Z33" s="10"/>
      <c r="AA33" s="10" t="s">
        <v>412</v>
      </c>
      <c r="AB33" s="10"/>
      <c r="AC33" s="10"/>
      <c r="AD33" s="52">
        <v>24.984292</v>
      </c>
      <c r="AE33" s="52">
        <v>75.829764999999995</v>
      </c>
    </row>
    <row r="34" spans="1:31">
      <c r="A34" s="8" t="s">
        <v>36</v>
      </c>
      <c r="B34" s="8" t="s">
        <v>812</v>
      </c>
      <c r="C34" s="8" t="s">
        <v>861</v>
      </c>
      <c r="D34" s="9" t="s">
        <v>873</v>
      </c>
      <c r="E34" s="8" t="s">
        <v>874</v>
      </c>
      <c r="F34" s="8">
        <v>523.53</v>
      </c>
      <c r="G34" s="8">
        <v>2</v>
      </c>
      <c r="H34" s="8">
        <v>15</v>
      </c>
      <c r="I34" s="8">
        <v>8</v>
      </c>
      <c r="J34" s="8">
        <v>7</v>
      </c>
      <c r="K34" s="8">
        <v>0</v>
      </c>
      <c r="L34" s="10">
        <f t="shared" si="0"/>
        <v>0</v>
      </c>
      <c r="M34" s="8">
        <v>0</v>
      </c>
      <c r="N34" s="10">
        <f t="shared" si="1"/>
        <v>0</v>
      </c>
      <c r="O34" s="10"/>
      <c r="P34" s="8">
        <v>505.74</v>
      </c>
      <c r="Q34" s="10"/>
      <c r="R34" s="10"/>
      <c r="S34" s="10"/>
      <c r="T34" s="52">
        <v>7.8</v>
      </c>
      <c r="U34" s="10"/>
      <c r="V34" s="10"/>
      <c r="W34" s="10"/>
      <c r="X34" s="10"/>
      <c r="Y34" s="10"/>
      <c r="Z34" s="10"/>
      <c r="AA34" s="10" t="s">
        <v>412</v>
      </c>
      <c r="AB34" s="52"/>
      <c r="AC34" s="10"/>
      <c r="AD34" s="10"/>
      <c r="AE34" s="10"/>
    </row>
    <row r="35" spans="1:31">
      <c r="A35" s="8" t="s">
        <v>36</v>
      </c>
      <c r="B35" s="8" t="s">
        <v>812</v>
      </c>
      <c r="C35" s="8" t="s">
        <v>861</v>
      </c>
      <c r="D35" s="9" t="s">
        <v>875</v>
      </c>
      <c r="E35" s="8" t="s">
        <v>876</v>
      </c>
      <c r="F35" s="8">
        <v>339.1</v>
      </c>
      <c r="G35" s="8">
        <v>83</v>
      </c>
      <c r="H35" s="8">
        <v>435</v>
      </c>
      <c r="I35" s="8">
        <v>255</v>
      </c>
      <c r="J35" s="8">
        <v>180</v>
      </c>
      <c r="K35" s="8">
        <v>0</v>
      </c>
      <c r="L35" s="10">
        <f t="shared" si="0"/>
        <v>0</v>
      </c>
      <c r="M35" s="8">
        <v>162</v>
      </c>
      <c r="N35" s="10">
        <f t="shared" si="1"/>
        <v>37.241379310344833</v>
      </c>
      <c r="O35" s="10"/>
      <c r="P35" s="8">
        <v>246.63</v>
      </c>
      <c r="Q35" s="10"/>
      <c r="R35" s="10"/>
      <c r="S35" s="10"/>
      <c r="T35" s="52">
        <v>9.57</v>
      </c>
      <c r="U35" s="10"/>
      <c r="V35" s="10"/>
      <c r="W35" s="10"/>
      <c r="X35" s="10"/>
      <c r="Y35" s="10"/>
      <c r="Z35" s="10"/>
      <c r="AA35" s="10" t="s">
        <v>412</v>
      </c>
      <c r="AB35" s="52"/>
      <c r="AC35" s="10"/>
      <c r="AD35" s="10"/>
      <c r="AE35" s="10"/>
    </row>
    <row r="36" spans="1:31">
      <c r="A36" s="8" t="s">
        <v>36</v>
      </c>
      <c r="B36" s="8" t="s">
        <v>812</v>
      </c>
      <c r="C36" s="8" t="s">
        <v>861</v>
      </c>
      <c r="D36" s="9" t="s">
        <v>877</v>
      </c>
      <c r="E36" s="8" t="s">
        <v>878</v>
      </c>
      <c r="F36" s="8">
        <v>1741.1</v>
      </c>
      <c r="G36" s="8">
        <v>221</v>
      </c>
      <c r="H36" s="8">
        <v>1101</v>
      </c>
      <c r="I36" s="8">
        <v>548</v>
      </c>
      <c r="J36" s="8">
        <v>553</v>
      </c>
      <c r="K36" s="8">
        <v>193</v>
      </c>
      <c r="L36" s="10">
        <f t="shared" si="0"/>
        <v>17.529518619436875</v>
      </c>
      <c r="M36" s="8">
        <v>338</v>
      </c>
      <c r="N36" s="10">
        <f t="shared" si="1"/>
        <v>30.699364214350588</v>
      </c>
      <c r="O36" s="52">
        <v>7.8</v>
      </c>
      <c r="P36" s="8">
        <v>819.02</v>
      </c>
      <c r="Q36" s="50" t="s">
        <v>586</v>
      </c>
      <c r="R36" s="53">
        <v>44603</v>
      </c>
      <c r="S36" s="10"/>
      <c r="T36" s="10"/>
      <c r="U36" s="10"/>
      <c r="V36" s="10"/>
      <c r="W36" s="10"/>
      <c r="X36" s="10"/>
      <c r="Y36" s="10"/>
      <c r="Z36" s="10"/>
      <c r="AA36" s="10" t="s">
        <v>412</v>
      </c>
      <c r="AB36" s="10"/>
      <c r="AC36" s="10"/>
      <c r="AD36" s="52">
        <v>24.862490999999999</v>
      </c>
      <c r="AE36" s="52">
        <v>75.898364999999998</v>
      </c>
    </row>
    <row r="37" spans="1:31">
      <c r="A37" s="8" t="s">
        <v>36</v>
      </c>
      <c r="B37" s="8" t="s">
        <v>812</v>
      </c>
      <c r="C37" s="8" t="s">
        <v>861</v>
      </c>
      <c r="D37" s="9" t="s">
        <v>879</v>
      </c>
      <c r="E37" s="8" t="s">
        <v>880</v>
      </c>
      <c r="F37" s="8">
        <v>150.32</v>
      </c>
      <c r="G37" s="8">
        <v>139</v>
      </c>
      <c r="H37" s="8">
        <v>690</v>
      </c>
      <c r="I37" s="8">
        <v>353</v>
      </c>
      <c r="J37" s="8">
        <v>337</v>
      </c>
      <c r="K37" s="8">
        <v>48</v>
      </c>
      <c r="L37" s="10">
        <f t="shared" si="0"/>
        <v>6.9565217391304346</v>
      </c>
      <c r="M37" s="8">
        <v>0</v>
      </c>
      <c r="N37" s="10">
        <f t="shared" si="1"/>
        <v>0</v>
      </c>
      <c r="O37" s="52">
        <v>9.57</v>
      </c>
      <c r="P37" s="8">
        <v>0</v>
      </c>
      <c r="Q37" s="50" t="s">
        <v>586</v>
      </c>
      <c r="R37" s="53">
        <v>44606</v>
      </c>
      <c r="S37" s="10"/>
      <c r="T37" s="52">
        <v>29.1</v>
      </c>
      <c r="U37" s="10"/>
      <c r="V37" s="10"/>
      <c r="W37" s="10"/>
      <c r="X37" s="10"/>
      <c r="Y37" s="10"/>
      <c r="Z37" s="10"/>
      <c r="AA37" s="10" t="s">
        <v>412</v>
      </c>
      <c r="AB37" s="52"/>
      <c r="AC37" s="10"/>
      <c r="AD37" s="52">
        <v>25.368793</v>
      </c>
      <c r="AE37" s="52">
        <v>75.902761999999996</v>
      </c>
    </row>
    <row r="38" spans="1:31">
      <c r="A38" s="8" t="s">
        <v>36</v>
      </c>
      <c r="B38" s="8" t="s">
        <v>812</v>
      </c>
      <c r="C38" s="8" t="s">
        <v>861</v>
      </c>
      <c r="D38" s="9" t="s">
        <v>336</v>
      </c>
      <c r="E38" s="8" t="s">
        <v>881</v>
      </c>
      <c r="F38" s="8">
        <v>177.09</v>
      </c>
      <c r="G38" s="8">
        <v>38</v>
      </c>
      <c r="H38" s="8">
        <v>222</v>
      </c>
      <c r="I38" s="8">
        <v>109</v>
      </c>
      <c r="J38" s="8">
        <v>113</v>
      </c>
      <c r="K38" s="8">
        <v>0</v>
      </c>
      <c r="L38" s="10">
        <f t="shared" si="0"/>
        <v>0</v>
      </c>
      <c r="M38" s="8">
        <v>175</v>
      </c>
      <c r="N38" s="10">
        <f t="shared" si="1"/>
        <v>78.828828828828833</v>
      </c>
      <c r="O38" s="10"/>
      <c r="P38" s="8">
        <v>150.71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 t="s">
        <v>412</v>
      </c>
      <c r="AB38" s="10"/>
      <c r="AC38" s="10"/>
      <c r="AD38" s="10"/>
      <c r="AE38" s="10"/>
    </row>
    <row r="39" spans="1:31">
      <c r="A39" s="8" t="s">
        <v>36</v>
      </c>
      <c r="B39" s="8" t="s">
        <v>812</v>
      </c>
      <c r="C39" s="8" t="s">
        <v>861</v>
      </c>
      <c r="D39" s="9" t="s">
        <v>882</v>
      </c>
      <c r="E39" s="8" t="s">
        <v>883</v>
      </c>
      <c r="F39" s="8">
        <v>2131.1799999999998</v>
      </c>
      <c r="G39" s="8">
        <v>145</v>
      </c>
      <c r="H39" s="8">
        <v>816</v>
      </c>
      <c r="I39" s="8">
        <v>400</v>
      </c>
      <c r="J39" s="8">
        <v>416</v>
      </c>
      <c r="K39" s="8">
        <v>0</v>
      </c>
      <c r="L39" s="10">
        <f t="shared" si="0"/>
        <v>0</v>
      </c>
      <c r="M39" s="8">
        <v>809</v>
      </c>
      <c r="N39" s="10">
        <f t="shared" si="1"/>
        <v>99.142156862745097</v>
      </c>
      <c r="O39" s="52">
        <v>29.1</v>
      </c>
      <c r="P39" s="8">
        <v>1669.88</v>
      </c>
      <c r="Q39" s="50" t="s">
        <v>586</v>
      </c>
      <c r="R39" s="53">
        <v>44598</v>
      </c>
      <c r="S39" s="10"/>
      <c r="T39" s="52">
        <v>8.5</v>
      </c>
      <c r="U39" s="10"/>
      <c r="V39" s="10"/>
      <c r="W39" s="10"/>
      <c r="X39" s="10"/>
      <c r="Y39" s="10"/>
      <c r="Z39" s="10"/>
      <c r="AA39" s="10" t="s">
        <v>412</v>
      </c>
      <c r="AB39" s="52"/>
      <c r="AC39" s="10"/>
      <c r="AD39" s="52">
        <v>25.188794999999999</v>
      </c>
      <c r="AE39" s="52">
        <v>75974364</v>
      </c>
    </row>
    <row r="40" spans="1:31">
      <c r="A40" s="8" t="s">
        <v>36</v>
      </c>
      <c r="B40" s="8" t="s">
        <v>812</v>
      </c>
      <c r="C40" s="8" t="s">
        <v>861</v>
      </c>
      <c r="D40" s="9" t="s">
        <v>882</v>
      </c>
      <c r="E40" s="8"/>
      <c r="F40" s="8"/>
      <c r="G40" s="8"/>
      <c r="H40" s="8"/>
      <c r="I40" s="8"/>
      <c r="J40" s="8"/>
      <c r="K40" s="8"/>
      <c r="L40" s="10" t="e">
        <f t="shared" si="0"/>
        <v>#DIV/0!</v>
      </c>
      <c r="M40" s="8"/>
      <c r="N40" s="10" t="e">
        <f t="shared" si="1"/>
        <v>#DIV/0!</v>
      </c>
      <c r="O40" s="52">
        <v>29.1</v>
      </c>
      <c r="P40" s="8"/>
      <c r="Q40" s="50" t="s">
        <v>586</v>
      </c>
      <c r="R40" s="53">
        <v>44598</v>
      </c>
      <c r="S40" s="10"/>
      <c r="T40" s="10"/>
      <c r="U40" s="10"/>
      <c r="V40" s="10"/>
      <c r="W40" s="10"/>
      <c r="X40" s="10"/>
      <c r="Y40" s="10"/>
      <c r="Z40" s="10"/>
      <c r="AA40" s="10" t="s">
        <v>412</v>
      </c>
      <c r="AB40" s="10"/>
      <c r="AC40" s="10"/>
      <c r="AD40" s="52">
        <v>25.188794999999999</v>
      </c>
      <c r="AE40" s="52">
        <v>75974364</v>
      </c>
    </row>
    <row r="41" spans="1:31">
      <c r="A41" s="8" t="s">
        <v>36</v>
      </c>
      <c r="B41" s="8" t="s">
        <v>812</v>
      </c>
      <c r="C41" s="8" t="s">
        <v>861</v>
      </c>
      <c r="D41" s="9" t="s">
        <v>884</v>
      </c>
      <c r="E41" s="8" t="s">
        <v>885</v>
      </c>
      <c r="F41" s="8">
        <v>192.54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10" t="e">
        <f t="shared" si="0"/>
        <v>#DIV/0!</v>
      </c>
      <c r="M41" s="8">
        <v>0</v>
      </c>
      <c r="N41" s="10" t="e">
        <f t="shared" si="1"/>
        <v>#DIV/0!</v>
      </c>
      <c r="O41" s="10"/>
      <c r="P41" s="8">
        <v>139.91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 t="s">
        <v>412</v>
      </c>
      <c r="AB41" s="10"/>
      <c r="AC41" s="10"/>
      <c r="AD41" s="10"/>
      <c r="AE41" s="10"/>
    </row>
    <row r="42" spans="1:31">
      <c r="A42" s="8" t="s">
        <v>36</v>
      </c>
      <c r="B42" s="8" t="s">
        <v>812</v>
      </c>
      <c r="C42" s="8" t="s">
        <v>861</v>
      </c>
      <c r="D42" s="9" t="s">
        <v>886</v>
      </c>
      <c r="E42" s="8" t="s">
        <v>887</v>
      </c>
      <c r="F42" s="8">
        <v>651.26</v>
      </c>
      <c r="G42" s="8">
        <v>68</v>
      </c>
      <c r="H42" s="8">
        <v>324</v>
      </c>
      <c r="I42" s="8">
        <v>178</v>
      </c>
      <c r="J42" s="8">
        <v>146</v>
      </c>
      <c r="K42" s="8">
        <v>145</v>
      </c>
      <c r="L42" s="10">
        <f t="shared" si="0"/>
        <v>44.753086419753089</v>
      </c>
      <c r="M42" s="8">
        <v>0</v>
      </c>
      <c r="N42" s="10">
        <f t="shared" si="1"/>
        <v>0</v>
      </c>
      <c r="O42" s="52">
        <v>6.5</v>
      </c>
      <c r="P42" s="8">
        <v>362.34</v>
      </c>
      <c r="Q42" s="50" t="s">
        <v>586</v>
      </c>
      <c r="R42" s="53">
        <v>44597</v>
      </c>
      <c r="S42" s="10"/>
      <c r="T42" s="10"/>
      <c r="U42" s="10"/>
      <c r="V42" s="10"/>
      <c r="W42" s="10"/>
      <c r="X42" s="10"/>
      <c r="Y42" s="10"/>
      <c r="Z42" s="10"/>
      <c r="AA42" s="10" t="s">
        <v>412</v>
      </c>
      <c r="AB42" s="10"/>
      <c r="AC42" s="10"/>
      <c r="AD42" s="52">
        <v>24.860908999999999</v>
      </c>
      <c r="AE42" s="52">
        <v>75.908510000000007</v>
      </c>
    </row>
    <row r="43" spans="1:31">
      <c r="A43" s="8" t="s">
        <v>36</v>
      </c>
      <c r="B43" s="8" t="s">
        <v>812</v>
      </c>
      <c r="C43" s="8" t="s">
        <v>861</v>
      </c>
      <c r="D43" s="9" t="s">
        <v>888</v>
      </c>
      <c r="E43" s="8" t="s">
        <v>889</v>
      </c>
      <c r="F43" s="8">
        <v>5283.1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10" t="e">
        <f t="shared" si="0"/>
        <v>#DIV/0!</v>
      </c>
      <c r="M43" s="8">
        <v>0</v>
      </c>
      <c r="N43" s="10" t="e">
        <f t="shared" si="1"/>
        <v>#DIV/0!</v>
      </c>
      <c r="O43" s="10"/>
      <c r="P43" s="8">
        <v>5215.75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 t="s">
        <v>412</v>
      </c>
      <c r="AB43" s="10"/>
      <c r="AC43" s="10"/>
      <c r="AD43" s="10"/>
      <c r="AE43" s="10"/>
    </row>
    <row r="44" spans="1:31">
      <c r="A44" s="8" t="s">
        <v>36</v>
      </c>
      <c r="B44" s="8" t="s">
        <v>812</v>
      </c>
      <c r="C44" s="8" t="s">
        <v>890</v>
      </c>
      <c r="D44" s="9" t="s">
        <v>891</v>
      </c>
      <c r="E44" s="8" t="s">
        <v>892</v>
      </c>
      <c r="F44" s="8">
        <v>439.59</v>
      </c>
      <c r="G44" s="8">
        <v>874</v>
      </c>
      <c r="H44" s="8">
        <v>4423</v>
      </c>
      <c r="I44" s="8">
        <v>2224</v>
      </c>
      <c r="J44" s="8">
        <v>2199</v>
      </c>
      <c r="K44" s="8">
        <v>499</v>
      </c>
      <c r="L44" s="10">
        <f t="shared" si="0"/>
        <v>11.281935338005878</v>
      </c>
      <c r="M44" s="8">
        <v>62</v>
      </c>
      <c r="N44" s="10">
        <f t="shared" si="1"/>
        <v>1.4017635089305902</v>
      </c>
      <c r="O44" s="10"/>
      <c r="P44" s="8">
        <v>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 t="s">
        <v>412</v>
      </c>
      <c r="AB44" s="10"/>
      <c r="AC44" s="10"/>
      <c r="AD44" s="10"/>
      <c r="AE44" s="10"/>
    </row>
    <row r="45" spans="1:31">
      <c r="A45" s="8" t="s">
        <v>36</v>
      </c>
      <c r="B45" s="8" t="s">
        <v>812</v>
      </c>
      <c r="C45" s="8" t="s">
        <v>890</v>
      </c>
      <c r="D45" s="9" t="s">
        <v>893</v>
      </c>
      <c r="E45" s="8" t="s">
        <v>894</v>
      </c>
      <c r="F45" s="8">
        <v>63.15</v>
      </c>
      <c r="G45" s="8">
        <v>78</v>
      </c>
      <c r="H45" s="8">
        <v>417</v>
      </c>
      <c r="I45" s="8">
        <v>218</v>
      </c>
      <c r="J45" s="8">
        <v>199</v>
      </c>
      <c r="K45" s="8">
        <v>34</v>
      </c>
      <c r="L45" s="10">
        <f t="shared" si="0"/>
        <v>8.1534772182254205</v>
      </c>
      <c r="M45" s="8">
        <v>0</v>
      </c>
      <c r="N45" s="10">
        <f t="shared" si="1"/>
        <v>0</v>
      </c>
      <c r="O45" s="10"/>
      <c r="P45" s="8">
        <v>0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 t="s">
        <v>412</v>
      </c>
      <c r="AB45" s="10"/>
      <c r="AC45" s="10"/>
      <c r="AD45" s="10"/>
      <c r="AE45" s="10"/>
    </row>
    <row r="46" spans="1:31">
      <c r="A46" s="8" t="s">
        <v>36</v>
      </c>
      <c r="B46" s="8" t="s">
        <v>812</v>
      </c>
      <c r="C46" s="8" t="s">
        <v>890</v>
      </c>
      <c r="D46" s="9" t="s">
        <v>895</v>
      </c>
      <c r="E46" s="8" t="s">
        <v>896</v>
      </c>
      <c r="F46" s="8">
        <v>224.05</v>
      </c>
      <c r="G46" s="8">
        <v>125</v>
      </c>
      <c r="H46" s="8">
        <v>651</v>
      </c>
      <c r="I46" s="8">
        <v>331</v>
      </c>
      <c r="J46" s="8">
        <v>320</v>
      </c>
      <c r="K46" s="8">
        <v>148</v>
      </c>
      <c r="L46" s="10">
        <f t="shared" si="0"/>
        <v>22.734254992319507</v>
      </c>
      <c r="M46" s="8">
        <v>72</v>
      </c>
      <c r="N46" s="10">
        <f t="shared" si="1"/>
        <v>11.059907834101383</v>
      </c>
      <c r="O46" s="10"/>
      <c r="P46" s="8">
        <v>0</v>
      </c>
      <c r="Q46" s="10"/>
      <c r="R46" s="10"/>
      <c r="S46" s="10"/>
      <c r="T46" s="18">
        <v>0</v>
      </c>
      <c r="U46" s="10"/>
      <c r="V46" s="10"/>
      <c r="W46" s="10"/>
      <c r="X46" s="10"/>
      <c r="Y46" s="10"/>
      <c r="Z46" s="10"/>
      <c r="AA46" s="10" t="s">
        <v>412</v>
      </c>
      <c r="AB46" s="18"/>
      <c r="AC46" s="10"/>
      <c r="AD46" s="10"/>
      <c r="AE46" s="10"/>
    </row>
    <row r="47" spans="1:31">
      <c r="A47" s="8" t="s">
        <v>36</v>
      </c>
      <c r="B47" s="8" t="s">
        <v>812</v>
      </c>
      <c r="C47" s="8" t="s">
        <v>890</v>
      </c>
      <c r="D47" s="9" t="s">
        <v>897</v>
      </c>
      <c r="E47" s="8" t="s">
        <v>898</v>
      </c>
      <c r="F47" s="8">
        <v>324.97000000000003</v>
      </c>
      <c r="G47" s="8">
        <v>148</v>
      </c>
      <c r="H47" s="8">
        <v>686</v>
      </c>
      <c r="I47" s="8">
        <v>359</v>
      </c>
      <c r="J47" s="8">
        <v>327</v>
      </c>
      <c r="K47" s="8">
        <v>249</v>
      </c>
      <c r="L47" s="10">
        <f t="shared" si="0"/>
        <v>36.29737609329446</v>
      </c>
      <c r="M47" s="8">
        <v>242</v>
      </c>
      <c r="N47" s="10">
        <f t="shared" si="1"/>
        <v>35.276967930029159</v>
      </c>
      <c r="O47" s="10"/>
      <c r="P47" s="8">
        <v>0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 t="s">
        <v>412</v>
      </c>
      <c r="AB47" s="10"/>
      <c r="AC47" s="10"/>
      <c r="AD47" s="10"/>
      <c r="AE47" s="10"/>
    </row>
    <row r="48" spans="1:31">
      <c r="A48" s="8" t="s">
        <v>36</v>
      </c>
      <c r="B48" s="8" t="s">
        <v>812</v>
      </c>
      <c r="C48" s="8" t="s">
        <v>890</v>
      </c>
      <c r="D48" s="9" t="s">
        <v>396</v>
      </c>
      <c r="E48" s="8" t="s">
        <v>899</v>
      </c>
      <c r="F48" s="8">
        <v>134.35</v>
      </c>
      <c r="G48" s="8">
        <v>15</v>
      </c>
      <c r="H48" s="8">
        <v>51</v>
      </c>
      <c r="I48" s="8">
        <v>33</v>
      </c>
      <c r="J48" s="8">
        <v>18</v>
      </c>
      <c r="K48" s="8">
        <v>5</v>
      </c>
      <c r="L48" s="10">
        <f t="shared" si="0"/>
        <v>9.8039215686274517</v>
      </c>
      <c r="M48" s="8">
        <v>0</v>
      </c>
      <c r="N48" s="10">
        <f t="shared" si="1"/>
        <v>0</v>
      </c>
      <c r="O48" s="10"/>
      <c r="P48" s="8">
        <v>0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 t="s">
        <v>412</v>
      </c>
      <c r="AB48" s="10"/>
      <c r="AC48" s="10"/>
      <c r="AD48" s="10"/>
      <c r="AE48" s="10"/>
    </row>
    <row r="49" spans="1:31">
      <c r="A49" s="8" t="s">
        <v>36</v>
      </c>
      <c r="B49" s="8" t="s">
        <v>812</v>
      </c>
      <c r="C49" s="8" t="s">
        <v>900</v>
      </c>
      <c r="D49" s="9" t="s">
        <v>901</v>
      </c>
      <c r="E49" s="8" t="s">
        <v>902</v>
      </c>
      <c r="F49" s="8">
        <v>4583.2299999999996</v>
      </c>
      <c r="G49" s="8">
        <v>613</v>
      </c>
      <c r="H49" s="8">
        <v>3643</v>
      </c>
      <c r="I49" s="8">
        <v>1904</v>
      </c>
      <c r="J49" s="8">
        <v>1739</v>
      </c>
      <c r="K49" s="8">
        <v>88</v>
      </c>
      <c r="L49" s="10">
        <f t="shared" si="0"/>
        <v>2.4155915454295909</v>
      </c>
      <c r="M49" s="8">
        <v>888</v>
      </c>
      <c r="N49" s="10">
        <f t="shared" si="1"/>
        <v>24.375514685698597</v>
      </c>
      <c r="O49" s="18">
        <v>0</v>
      </c>
      <c r="P49" s="8">
        <v>4242.1899999999996</v>
      </c>
      <c r="Q49" s="18" t="s">
        <v>408</v>
      </c>
      <c r="R49" s="21">
        <v>45164</v>
      </c>
      <c r="S49" s="10"/>
      <c r="T49" s="10"/>
      <c r="U49" s="10"/>
      <c r="V49" s="10"/>
      <c r="W49" s="10"/>
      <c r="X49" s="10"/>
      <c r="Y49" s="10"/>
      <c r="Z49" s="10"/>
      <c r="AA49" s="10" t="s">
        <v>412</v>
      </c>
      <c r="AB49" s="10"/>
      <c r="AC49" s="10"/>
      <c r="AD49" s="18" t="s">
        <v>410</v>
      </c>
      <c r="AE49" s="18" t="s">
        <v>410</v>
      </c>
    </row>
    <row r="50" spans="1:31">
      <c r="A50" s="8" t="s">
        <v>36</v>
      </c>
      <c r="B50" s="8" t="s">
        <v>812</v>
      </c>
      <c r="C50" s="8" t="s">
        <v>900</v>
      </c>
      <c r="D50" s="9" t="s">
        <v>903</v>
      </c>
      <c r="E50" s="8" t="s">
        <v>904</v>
      </c>
      <c r="F50" s="8">
        <v>143.41999999999999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10" t="e">
        <f t="shared" si="0"/>
        <v>#DIV/0!</v>
      </c>
      <c r="M50" s="8">
        <v>0</v>
      </c>
      <c r="N50" s="10" t="e">
        <f t="shared" si="1"/>
        <v>#DIV/0!</v>
      </c>
      <c r="O50" s="10"/>
      <c r="P50" s="8">
        <v>143.41999999999999</v>
      </c>
      <c r="Q50" s="10"/>
      <c r="R50" s="10"/>
      <c r="S50" s="10"/>
      <c r="T50" s="18">
        <v>0</v>
      </c>
      <c r="U50" s="10"/>
      <c r="V50" s="10"/>
      <c r="W50" s="10"/>
      <c r="X50" s="10"/>
      <c r="Y50" s="10"/>
      <c r="Z50" s="10"/>
      <c r="AA50" s="10" t="s">
        <v>412</v>
      </c>
      <c r="AB50" s="18"/>
      <c r="AC50" s="10"/>
      <c r="AD50" s="10"/>
      <c r="AE50" s="10"/>
    </row>
    <row r="51" spans="1:31">
      <c r="A51" s="8" t="s">
        <v>36</v>
      </c>
      <c r="B51" s="8" t="s">
        <v>812</v>
      </c>
      <c r="C51" s="8" t="s">
        <v>900</v>
      </c>
      <c r="D51" s="9" t="s">
        <v>238</v>
      </c>
      <c r="E51" s="8" t="s">
        <v>905</v>
      </c>
      <c r="F51" s="8">
        <v>120.48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10" t="e">
        <f t="shared" si="0"/>
        <v>#DIV/0!</v>
      </c>
      <c r="M51" s="8">
        <v>0</v>
      </c>
      <c r="N51" s="10" t="e">
        <f t="shared" si="1"/>
        <v>#DIV/0!</v>
      </c>
      <c r="O51" s="10"/>
      <c r="P51" s="8">
        <v>120.48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 t="s">
        <v>412</v>
      </c>
      <c r="AB51" s="10"/>
      <c r="AC51" s="10"/>
      <c r="AD51" s="10"/>
      <c r="AE51" s="10"/>
    </row>
    <row r="52" spans="1:31">
      <c r="A52" s="8" t="s">
        <v>36</v>
      </c>
      <c r="B52" s="8" t="s">
        <v>812</v>
      </c>
      <c r="C52" s="8" t="s">
        <v>900</v>
      </c>
      <c r="D52" s="9" t="s">
        <v>906</v>
      </c>
      <c r="E52" s="8" t="s">
        <v>907</v>
      </c>
      <c r="F52" s="8">
        <v>82.97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10" t="e">
        <f t="shared" si="0"/>
        <v>#DIV/0!</v>
      </c>
      <c r="M52" s="8">
        <v>0</v>
      </c>
      <c r="N52" s="10" t="e">
        <f t="shared" si="1"/>
        <v>#DIV/0!</v>
      </c>
      <c r="O52" s="10"/>
      <c r="P52" s="8">
        <v>80.86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 t="s">
        <v>412</v>
      </c>
      <c r="AB52" s="10"/>
      <c r="AC52" s="10"/>
      <c r="AD52" s="10"/>
      <c r="AE52" s="10"/>
    </row>
    <row r="53" spans="1:31">
      <c r="A53" s="8" t="s">
        <v>36</v>
      </c>
      <c r="B53" s="8" t="s">
        <v>812</v>
      </c>
      <c r="C53" s="8" t="s">
        <v>900</v>
      </c>
      <c r="D53" s="9" t="s">
        <v>908</v>
      </c>
      <c r="E53" s="8" t="s">
        <v>909</v>
      </c>
      <c r="F53" s="8">
        <v>245.11</v>
      </c>
      <c r="G53" s="8">
        <v>50</v>
      </c>
      <c r="H53" s="8">
        <v>270</v>
      </c>
      <c r="I53" s="8">
        <v>147</v>
      </c>
      <c r="J53" s="8">
        <v>123</v>
      </c>
      <c r="K53" s="8">
        <v>0</v>
      </c>
      <c r="L53" s="10">
        <f t="shared" si="0"/>
        <v>0</v>
      </c>
      <c r="M53" s="8">
        <v>232</v>
      </c>
      <c r="N53" s="10">
        <f t="shared" si="1"/>
        <v>85.925925925925924</v>
      </c>
      <c r="O53" s="18">
        <v>0</v>
      </c>
      <c r="P53" s="8">
        <v>201.71</v>
      </c>
      <c r="Q53" s="18" t="s">
        <v>408</v>
      </c>
      <c r="R53" s="21">
        <v>45167</v>
      </c>
      <c r="S53" s="10"/>
      <c r="T53" s="10"/>
      <c r="U53" s="10"/>
      <c r="V53" s="10"/>
      <c r="W53" s="10"/>
      <c r="X53" s="10"/>
      <c r="Y53" s="10"/>
      <c r="Z53" s="10"/>
      <c r="AA53" s="10" t="s">
        <v>412</v>
      </c>
      <c r="AB53" s="10"/>
      <c r="AC53" s="10"/>
      <c r="AD53" s="18" t="s">
        <v>410</v>
      </c>
      <c r="AE53" s="18" t="s">
        <v>410</v>
      </c>
    </row>
    <row r="54" spans="1:31">
      <c r="A54" s="8" t="s">
        <v>36</v>
      </c>
      <c r="B54" s="8" t="s">
        <v>812</v>
      </c>
      <c r="C54" s="8" t="s">
        <v>900</v>
      </c>
      <c r="D54" s="9" t="s">
        <v>910</v>
      </c>
      <c r="E54" s="8" t="s">
        <v>911</v>
      </c>
      <c r="F54" s="8">
        <v>320.60000000000002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10" t="e">
        <f t="shared" si="0"/>
        <v>#DIV/0!</v>
      </c>
      <c r="M54" s="8">
        <v>0</v>
      </c>
      <c r="N54" s="10" t="e">
        <f t="shared" si="1"/>
        <v>#DIV/0!</v>
      </c>
      <c r="O54" s="10"/>
      <c r="P54" s="8">
        <v>319.55</v>
      </c>
      <c r="Q54" s="10"/>
      <c r="R54" s="10"/>
      <c r="S54" s="10"/>
      <c r="T54" s="18">
        <v>0</v>
      </c>
      <c r="U54" s="10"/>
      <c r="V54" s="10"/>
      <c r="W54" s="10"/>
      <c r="X54" s="10"/>
      <c r="Y54" s="10"/>
      <c r="Z54" s="10"/>
      <c r="AA54" s="10" t="s">
        <v>412</v>
      </c>
      <c r="AB54" s="18"/>
      <c r="AC54" s="10"/>
      <c r="AD54" s="10"/>
      <c r="AE54" s="10"/>
    </row>
    <row r="55" spans="1:31">
      <c r="A55" s="8" t="s">
        <v>36</v>
      </c>
      <c r="B55" s="8" t="s">
        <v>812</v>
      </c>
      <c r="C55" s="8" t="s">
        <v>900</v>
      </c>
      <c r="D55" s="9" t="s">
        <v>912</v>
      </c>
      <c r="E55" s="8" t="s">
        <v>913</v>
      </c>
      <c r="F55" s="8">
        <v>440.14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10" t="e">
        <f t="shared" si="0"/>
        <v>#DIV/0!</v>
      </c>
      <c r="M55" s="8">
        <v>0</v>
      </c>
      <c r="N55" s="10" t="e">
        <f t="shared" si="1"/>
        <v>#DIV/0!</v>
      </c>
      <c r="O55" s="10"/>
      <c r="P55" s="8">
        <v>440.14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 t="s">
        <v>412</v>
      </c>
      <c r="AB55" s="10"/>
      <c r="AC55" s="10"/>
      <c r="AD55" s="10"/>
      <c r="AE55" s="10"/>
    </row>
    <row r="56" spans="1:31">
      <c r="A56" s="8" t="s">
        <v>36</v>
      </c>
      <c r="B56" s="8" t="s">
        <v>812</v>
      </c>
      <c r="C56" s="8" t="s">
        <v>900</v>
      </c>
      <c r="D56" s="9" t="s">
        <v>914</v>
      </c>
      <c r="E56" s="8" t="s">
        <v>915</v>
      </c>
      <c r="F56" s="8">
        <v>724.23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10" t="e">
        <f t="shared" si="0"/>
        <v>#DIV/0!</v>
      </c>
      <c r="M56" s="8">
        <v>0</v>
      </c>
      <c r="N56" s="10" t="e">
        <f t="shared" si="1"/>
        <v>#DIV/0!</v>
      </c>
      <c r="O56" s="10"/>
      <c r="P56" s="8">
        <v>724.23</v>
      </c>
      <c r="Q56" s="10"/>
      <c r="R56" s="10"/>
      <c r="S56" s="10"/>
      <c r="T56" s="18">
        <v>0</v>
      </c>
      <c r="U56" s="10"/>
      <c r="V56" s="10"/>
      <c r="W56" s="10"/>
      <c r="X56" s="10"/>
      <c r="Y56" s="10"/>
      <c r="Z56" s="10"/>
      <c r="AA56" s="10" t="s">
        <v>412</v>
      </c>
      <c r="AB56" s="18"/>
      <c r="AC56" s="10"/>
      <c r="AD56" s="10"/>
      <c r="AE56" s="10"/>
    </row>
    <row r="57" spans="1:31">
      <c r="A57" s="8" t="s">
        <v>36</v>
      </c>
      <c r="B57" s="8" t="s">
        <v>812</v>
      </c>
      <c r="C57" s="8" t="s">
        <v>900</v>
      </c>
      <c r="D57" s="9" t="s">
        <v>916</v>
      </c>
      <c r="E57" s="8" t="s">
        <v>917</v>
      </c>
      <c r="F57" s="8">
        <v>8938.9599999999991</v>
      </c>
      <c r="G57" s="8">
        <v>34</v>
      </c>
      <c r="H57" s="8">
        <v>189</v>
      </c>
      <c r="I57" s="8">
        <v>107</v>
      </c>
      <c r="J57" s="8">
        <v>82</v>
      </c>
      <c r="K57" s="8">
        <v>0</v>
      </c>
      <c r="L57" s="10">
        <f t="shared" si="0"/>
        <v>0</v>
      </c>
      <c r="M57" s="8">
        <v>10</v>
      </c>
      <c r="N57" s="10">
        <f t="shared" si="1"/>
        <v>5.2910052910052912</v>
      </c>
      <c r="O57" s="18">
        <v>0</v>
      </c>
      <c r="P57" s="8">
        <v>8815.5</v>
      </c>
      <c r="Q57" s="18" t="s">
        <v>408</v>
      </c>
      <c r="R57" s="21">
        <v>45166</v>
      </c>
      <c r="S57" s="10"/>
      <c r="T57" s="50">
        <v>104.6</v>
      </c>
      <c r="U57" s="10"/>
      <c r="V57" s="10"/>
      <c r="W57" s="10"/>
      <c r="X57" s="10"/>
      <c r="Y57" s="10"/>
      <c r="Z57" s="10"/>
      <c r="AA57" s="10" t="s">
        <v>408</v>
      </c>
      <c r="AB57" s="50">
        <v>5</v>
      </c>
      <c r="AC57" s="10"/>
      <c r="AD57" s="18" t="s">
        <v>410</v>
      </c>
      <c r="AE57" s="18" t="s">
        <v>410</v>
      </c>
    </row>
    <row r="58" spans="1:31">
      <c r="A58" s="8" t="s">
        <v>36</v>
      </c>
      <c r="B58" s="8" t="s">
        <v>812</v>
      </c>
      <c r="C58" s="8" t="s">
        <v>900</v>
      </c>
      <c r="D58" s="9" t="s">
        <v>688</v>
      </c>
      <c r="E58" s="8" t="s">
        <v>918</v>
      </c>
      <c r="F58" s="8">
        <v>147.16999999999999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10" t="e">
        <f t="shared" si="0"/>
        <v>#DIV/0!</v>
      </c>
      <c r="M58" s="8">
        <v>0</v>
      </c>
      <c r="N58" s="10" t="e">
        <f t="shared" si="1"/>
        <v>#DIV/0!</v>
      </c>
      <c r="O58" s="10"/>
      <c r="P58" s="8">
        <v>147.16999999999999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 t="s">
        <v>412</v>
      </c>
      <c r="AB58" s="10"/>
      <c r="AC58" s="10"/>
      <c r="AD58" s="10"/>
      <c r="AE58" s="10"/>
    </row>
    <row r="59" spans="1:31">
      <c r="A59" s="8" t="s">
        <v>36</v>
      </c>
      <c r="B59" s="8" t="s">
        <v>812</v>
      </c>
      <c r="C59" s="8" t="s">
        <v>900</v>
      </c>
      <c r="D59" s="9" t="s">
        <v>919</v>
      </c>
      <c r="E59" s="8" t="s">
        <v>920</v>
      </c>
      <c r="F59" s="8">
        <v>235.49</v>
      </c>
      <c r="G59" s="8">
        <v>85</v>
      </c>
      <c r="H59" s="8">
        <v>519</v>
      </c>
      <c r="I59" s="8">
        <v>282</v>
      </c>
      <c r="J59" s="8">
        <v>237</v>
      </c>
      <c r="K59" s="8">
        <v>0</v>
      </c>
      <c r="L59" s="10">
        <f t="shared" si="0"/>
        <v>0</v>
      </c>
      <c r="M59" s="8">
        <v>0</v>
      </c>
      <c r="N59" s="10">
        <f t="shared" si="1"/>
        <v>0</v>
      </c>
      <c r="O59" s="18">
        <v>0</v>
      </c>
      <c r="P59" s="8">
        <v>235.49</v>
      </c>
      <c r="Q59" s="18" t="s">
        <v>408</v>
      </c>
      <c r="R59" s="21">
        <v>45165</v>
      </c>
      <c r="S59" s="10"/>
      <c r="T59" s="10"/>
      <c r="U59" s="10"/>
      <c r="V59" s="10"/>
      <c r="W59" s="10"/>
      <c r="X59" s="10"/>
      <c r="Y59" s="10"/>
      <c r="Z59" s="10"/>
      <c r="AA59" s="10" t="s">
        <v>412</v>
      </c>
      <c r="AB59" s="10"/>
      <c r="AC59" s="10"/>
      <c r="AD59" s="18" t="s">
        <v>410</v>
      </c>
      <c r="AE59" s="18" t="s">
        <v>410</v>
      </c>
    </row>
    <row r="60" spans="1:31">
      <c r="A60" s="8" t="s">
        <v>36</v>
      </c>
      <c r="B60" s="8" t="s">
        <v>812</v>
      </c>
      <c r="C60" s="8" t="s">
        <v>921</v>
      </c>
      <c r="D60" s="9" t="s">
        <v>922</v>
      </c>
      <c r="E60" s="8" t="s">
        <v>923</v>
      </c>
      <c r="F60" s="8">
        <v>3462.75</v>
      </c>
      <c r="G60" s="8">
        <v>244</v>
      </c>
      <c r="H60" s="8">
        <v>1180</v>
      </c>
      <c r="I60" s="8">
        <v>635</v>
      </c>
      <c r="J60" s="8">
        <v>545</v>
      </c>
      <c r="K60" s="8">
        <v>214</v>
      </c>
      <c r="L60" s="10">
        <f t="shared" si="0"/>
        <v>18.135593220338983</v>
      </c>
      <c r="M60" s="8">
        <v>290</v>
      </c>
      <c r="N60" s="10">
        <f t="shared" si="1"/>
        <v>24.576271186440678</v>
      </c>
      <c r="O60" s="50">
        <v>109.6</v>
      </c>
      <c r="P60" s="8">
        <v>2279</v>
      </c>
      <c r="Q60" s="50" t="s">
        <v>586</v>
      </c>
      <c r="R60" s="54">
        <v>44599</v>
      </c>
      <c r="S60" s="10"/>
      <c r="T60" s="10"/>
      <c r="U60" s="10"/>
      <c r="V60" s="10"/>
      <c r="W60" s="10"/>
      <c r="X60" s="10"/>
      <c r="Y60" s="10"/>
      <c r="Z60" s="10"/>
      <c r="AA60" s="10" t="s">
        <v>412</v>
      </c>
      <c r="AB60" s="10"/>
      <c r="AC60" s="10"/>
      <c r="AD60" s="50">
        <v>24.935618999999999</v>
      </c>
      <c r="AE60" s="50">
        <v>75.771392000000006</v>
      </c>
    </row>
    <row r="61" spans="1:31">
      <c r="A61" s="8" t="s">
        <v>36</v>
      </c>
      <c r="B61" s="8" t="s">
        <v>812</v>
      </c>
      <c r="C61" s="8" t="s">
        <v>921</v>
      </c>
      <c r="D61" s="9" t="s">
        <v>922</v>
      </c>
      <c r="E61" s="8"/>
      <c r="F61" s="8"/>
      <c r="G61" s="8"/>
      <c r="H61" s="8"/>
      <c r="I61" s="8"/>
      <c r="J61" s="8"/>
      <c r="K61" s="8"/>
      <c r="L61" s="10" t="e">
        <f t="shared" si="0"/>
        <v>#DIV/0!</v>
      </c>
      <c r="M61" s="8"/>
      <c r="N61" s="10" t="e">
        <f t="shared" si="1"/>
        <v>#DIV/0!</v>
      </c>
      <c r="O61" s="51">
        <v>109.6</v>
      </c>
      <c r="P61" s="8"/>
      <c r="Q61" s="51" t="s">
        <v>586</v>
      </c>
      <c r="R61" s="55"/>
      <c r="S61" s="10"/>
      <c r="T61" s="10"/>
      <c r="U61" s="10"/>
      <c r="V61" s="10"/>
      <c r="W61" s="10"/>
      <c r="X61" s="10"/>
      <c r="Y61" s="10"/>
      <c r="Z61" s="10"/>
      <c r="AA61" s="10" t="s">
        <v>412</v>
      </c>
      <c r="AB61" s="10"/>
      <c r="AC61" s="10"/>
      <c r="AD61" s="51">
        <v>24.935618999999999</v>
      </c>
      <c r="AE61" s="51">
        <v>75.771392000000006</v>
      </c>
    </row>
    <row r="62" spans="1:31">
      <c r="A62" s="8" t="s">
        <v>36</v>
      </c>
      <c r="B62" s="8" t="s">
        <v>812</v>
      </c>
      <c r="C62" s="8" t="s">
        <v>921</v>
      </c>
      <c r="D62" s="9" t="s">
        <v>283</v>
      </c>
      <c r="E62" s="8" t="s">
        <v>924</v>
      </c>
      <c r="F62" s="8">
        <v>387.92</v>
      </c>
      <c r="G62" s="8">
        <v>47</v>
      </c>
      <c r="H62" s="8">
        <v>289</v>
      </c>
      <c r="I62" s="8">
        <v>144</v>
      </c>
      <c r="J62" s="8">
        <v>145</v>
      </c>
      <c r="K62" s="8">
        <v>0</v>
      </c>
      <c r="L62" s="10">
        <f t="shared" si="0"/>
        <v>0</v>
      </c>
      <c r="M62" s="8">
        <v>174</v>
      </c>
      <c r="N62" s="10">
        <f t="shared" si="1"/>
        <v>60.207612456747405</v>
      </c>
      <c r="O62" s="10"/>
      <c r="P62" s="8">
        <v>131.94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 t="s">
        <v>412</v>
      </c>
      <c r="AB62" s="10"/>
      <c r="AC62" s="10"/>
      <c r="AD62" s="10"/>
      <c r="AE62" s="10"/>
    </row>
    <row r="63" spans="1:31">
      <c r="A63" s="8" t="s">
        <v>36</v>
      </c>
      <c r="B63" s="8" t="s">
        <v>812</v>
      </c>
      <c r="C63" s="8" t="s">
        <v>921</v>
      </c>
      <c r="D63" s="9" t="s">
        <v>296</v>
      </c>
      <c r="E63" s="8" t="s">
        <v>925</v>
      </c>
      <c r="F63" s="8">
        <v>119.63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10" t="e">
        <f t="shared" si="0"/>
        <v>#DIV/0!</v>
      </c>
      <c r="M63" s="8">
        <v>0</v>
      </c>
      <c r="N63" s="10" t="e">
        <f t="shared" si="1"/>
        <v>#DIV/0!</v>
      </c>
      <c r="O63" s="10"/>
      <c r="P63" s="8">
        <v>119.63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 t="s">
        <v>412</v>
      </c>
      <c r="AB63" s="10"/>
      <c r="AC63" s="10"/>
      <c r="AD63" s="10"/>
      <c r="AE63" s="10"/>
    </row>
    <row r="64" spans="1:31">
      <c r="A64" s="8" t="s">
        <v>36</v>
      </c>
      <c r="B64" s="8" t="s">
        <v>812</v>
      </c>
      <c r="C64" s="8" t="s">
        <v>921</v>
      </c>
      <c r="D64" s="9" t="s">
        <v>318</v>
      </c>
      <c r="E64" s="8" t="s">
        <v>926</v>
      </c>
      <c r="F64" s="8">
        <v>500.18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10" t="e">
        <f t="shared" si="0"/>
        <v>#DIV/0!</v>
      </c>
      <c r="M64" s="8">
        <v>0</v>
      </c>
      <c r="N64" s="10" t="e">
        <f t="shared" si="1"/>
        <v>#DIV/0!</v>
      </c>
      <c r="O64" s="10"/>
      <c r="P64" s="8">
        <v>500.18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 t="s">
        <v>412</v>
      </c>
      <c r="AB64" s="10"/>
      <c r="AC64" s="10"/>
      <c r="AD64" s="10"/>
      <c r="AE64" s="10"/>
    </row>
    <row r="65" spans="1:31">
      <c r="A65" s="8" t="s">
        <v>36</v>
      </c>
      <c r="B65" s="8" t="s">
        <v>812</v>
      </c>
      <c r="C65" s="8" t="s">
        <v>921</v>
      </c>
      <c r="D65" s="9" t="s">
        <v>927</v>
      </c>
      <c r="E65" s="8" t="s">
        <v>928</v>
      </c>
      <c r="F65" s="8">
        <v>228.01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10" t="e">
        <f t="shared" si="0"/>
        <v>#DIV/0!</v>
      </c>
      <c r="M65" s="8">
        <v>0</v>
      </c>
      <c r="N65" s="10" t="e">
        <f t="shared" si="1"/>
        <v>#DIV/0!</v>
      </c>
      <c r="O65" s="10"/>
      <c r="P65" s="8">
        <v>228.01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412</v>
      </c>
      <c r="AB65" s="10"/>
      <c r="AC65" s="10"/>
      <c r="AD65" s="10"/>
      <c r="AE65" s="10"/>
    </row>
    <row r="66" spans="1:31">
      <c r="A66" s="8" t="s">
        <v>36</v>
      </c>
      <c r="B66" s="8" t="s">
        <v>812</v>
      </c>
      <c r="C66" s="8" t="s">
        <v>921</v>
      </c>
      <c r="D66" s="9" t="s">
        <v>929</v>
      </c>
      <c r="E66" s="8" t="s">
        <v>930</v>
      </c>
      <c r="F66" s="8">
        <v>411.35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10" t="e">
        <f t="shared" si="0"/>
        <v>#DIV/0!</v>
      </c>
      <c r="M66" s="8">
        <v>0</v>
      </c>
      <c r="N66" s="10" t="e">
        <f t="shared" si="1"/>
        <v>#DIV/0!</v>
      </c>
      <c r="O66" s="10"/>
      <c r="P66" s="8">
        <v>411.35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 t="s">
        <v>412</v>
      </c>
      <c r="AB66" s="10"/>
      <c r="AC66" s="10"/>
      <c r="AD66" s="10"/>
      <c r="AE66" s="10"/>
    </row>
    <row r="67" spans="1:31">
      <c r="A67" s="8" t="s">
        <v>36</v>
      </c>
      <c r="B67" s="8" t="s">
        <v>812</v>
      </c>
      <c r="C67" s="8" t="s">
        <v>921</v>
      </c>
      <c r="D67" s="9" t="s">
        <v>931</v>
      </c>
      <c r="E67" s="8" t="s">
        <v>932</v>
      </c>
      <c r="F67" s="8">
        <v>152.4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10" t="e">
        <f t="shared" si="0"/>
        <v>#DIV/0!</v>
      </c>
      <c r="M67" s="8">
        <v>0</v>
      </c>
      <c r="N67" s="10" t="e">
        <f t="shared" si="1"/>
        <v>#DIV/0!</v>
      </c>
      <c r="O67" s="10"/>
      <c r="P67" s="8">
        <v>152.4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 t="s">
        <v>412</v>
      </c>
      <c r="AB67" s="10"/>
      <c r="AC67" s="10"/>
      <c r="AD67" s="10"/>
      <c r="AE67" s="10"/>
    </row>
    <row r="68" spans="1:31">
      <c r="A68" s="8" t="s">
        <v>36</v>
      </c>
      <c r="B68" s="8" t="s">
        <v>812</v>
      </c>
      <c r="C68" s="8" t="s">
        <v>921</v>
      </c>
      <c r="D68" s="9" t="s">
        <v>933</v>
      </c>
      <c r="E68" s="8" t="s">
        <v>934</v>
      </c>
      <c r="F68" s="8">
        <v>157.88999999999999</v>
      </c>
      <c r="G68" s="8">
        <v>43</v>
      </c>
      <c r="H68" s="8">
        <v>214</v>
      </c>
      <c r="I68" s="8">
        <v>111</v>
      </c>
      <c r="J68" s="8">
        <v>103</v>
      </c>
      <c r="K68" s="8">
        <v>0</v>
      </c>
      <c r="L68" s="10">
        <f t="shared" si="0"/>
        <v>0</v>
      </c>
      <c r="M68" s="8">
        <v>210</v>
      </c>
      <c r="N68" s="10">
        <f t="shared" si="1"/>
        <v>98.130841121495322</v>
      </c>
      <c r="O68" s="10"/>
      <c r="P68" s="8">
        <v>0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 t="s">
        <v>412</v>
      </c>
      <c r="AB68" s="10"/>
      <c r="AC68" s="10"/>
      <c r="AD68" s="10"/>
      <c r="AE68" s="10"/>
    </row>
    <row r="69" spans="1:31">
      <c r="A69" s="8" t="s">
        <v>36</v>
      </c>
      <c r="B69" s="8" t="s">
        <v>812</v>
      </c>
      <c r="C69" s="8" t="s">
        <v>921</v>
      </c>
      <c r="D69" s="9" t="s">
        <v>935</v>
      </c>
      <c r="E69" s="8" t="s">
        <v>936</v>
      </c>
      <c r="F69" s="8">
        <v>308.99</v>
      </c>
      <c r="G69" s="8">
        <v>3</v>
      </c>
      <c r="H69" s="8">
        <v>17</v>
      </c>
      <c r="I69" s="8">
        <v>9</v>
      </c>
      <c r="J69" s="8">
        <v>8</v>
      </c>
      <c r="K69" s="8">
        <v>0</v>
      </c>
      <c r="L69" s="10">
        <f t="shared" ref="L69:L132" si="2">K69/H69*100</f>
        <v>0</v>
      </c>
      <c r="M69" s="8">
        <v>0</v>
      </c>
      <c r="N69" s="10">
        <f t="shared" si="1"/>
        <v>0</v>
      </c>
      <c r="O69" s="10"/>
      <c r="P69" s="8">
        <v>197.73</v>
      </c>
      <c r="Q69" s="10"/>
      <c r="R69" s="10"/>
      <c r="S69" s="10"/>
      <c r="T69" s="50">
        <v>27.11</v>
      </c>
      <c r="U69" s="10"/>
      <c r="V69" s="10"/>
      <c r="W69" s="10"/>
      <c r="X69" s="10"/>
      <c r="Y69" s="10"/>
      <c r="Z69" s="10"/>
      <c r="AA69" s="10" t="s">
        <v>412</v>
      </c>
      <c r="AB69" s="50"/>
      <c r="AC69" s="10"/>
      <c r="AD69" s="10"/>
      <c r="AE69" s="10"/>
    </row>
    <row r="70" spans="1:31">
      <c r="A70" s="8" t="s">
        <v>36</v>
      </c>
      <c r="B70" s="8" t="s">
        <v>812</v>
      </c>
      <c r="C70" s="8" t="s">
        <v>921</v>
      </c>
      <c r="D70" s="9" t="s">
        <v>937</v>
      </c>
      <c r="E70" s="8" t="s">
        <v>938</v>
      </c>
      <c r="F70" s="8">
        <v>96.19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10" t="e">
        <f t="shared" si="2"/>
        <v>#DIV/0!</v>
      </c>
      <c r="M70" s="8">
        <v>0</v>
      </c>
      <c r="N70" s="10" t="e">
        <f t="shared" ref="N70:N133" si="3">M70/H70*100</f>
        <v>#DIV/0!</v>
      </c>
      <c r="O70" s="10"/>
      <c r="P70" s="8">
        <v>96.19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 t="s">
        <v>412</v>
      </c>
      <c r="AB70" s="10"/>
      <c r="AC70" s="10"/>
      <c r="AD70" s="10"/>
      <c r="AE70" s="10"/>
    </row>
    <row r="71" spans="1:31">
      <c r="A71" s="8" t="s">
        <v>36</v>
      </c>
      <c r="B71" s="8" t="s">
        <v>812</v>
      </c>
      <c r="C71" s="8" t="s">
        <v>921</v>
      </c>
      <c r="D71" s="9" t="s">
        <v>90</v>
      </c>
      <c r="E71" s="8" t="s">
        <v>939</v>
      </c>
      <c r="F71" s="8">
        <v>56.58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10" t="e">
        <f t="shared" si="2"/>
        <v>#DIV/0!</v>
      </c>
      <c r="M71" s="8">
        <v>0</v>
      </c>
      <c r="N71" s="10" t="e">
        <f t="shared" si="3"/>
        <v>#DIV/0!</v>
      </c>
      <c r="O71" s="10"/>
      <c r="P71" s="8">
        <v>56.58</v>
      </c>
      <c r="Q71" s="10"/>
      <c r="R71" s="10"/>
      <c r="S71" s="10"/>
      <c r="T71" s="50">
        <v>57</v>
      </c>
      <c r="U71" s="10"/>
      <c r="V71" s="10"/>
      <c r="W71" s="10"/>
      <c r="X71" s="10"/>
      <c r="Y71" s="10"/>
      <c r="Z71" s="10"/>
      <c r="AA71" s="10" t="s">
        <v>408</v>
      </c>
      <c r="AB71" s="50">
        <v>11</v>
      </c>
      <c r="AC71" s="10"/>
      <c r="AD71" s="10"/>
      <c r="AE71" s="10"/>
    </row>
    <row r="72" spans="1:31">
      <c r="A72" s="8" t="s">
        <v>36</v>
      </c>
      <c r="B72" s="8" t="s">
        <v>812</v>
      </c>
      <c r="C72" s="8" t="s">
        <v>921</v>
      </c>
      <c r="D72" s="9" t="s">
        <v>531</v>
      </c>
      <c r="E72" s="8" t="s">
        <v>940</v>
      </c>
      <c r="F72" s="8">
        <v>94.56</v>
      </c>
      <c r="G72" s="8">
        <v>1</v>
      </c>
      <c r="H72" s="8">
        <v>4</v>
      </c>
      <c r="I72" s="8">
        <v>3</v>
      </c>
      <c r="J72" s="8">
        <v>1</v>
      </c>
      <c r="K72" s="8">
        <v>0</v>
      </c>
      <c r="L72" s="10">
        <f t="shared" si="2"/>
        <v>0</v>
      </c>
      <c r="M72" s="8">
        <v>0</v>
      </c>
      <c r="N72" s="10">
        <f t="shared" si="3"/>
        <v>0</v>
      </c>
      <c r="O72" s="10"/>
      <c r="P72" s="8">
        <v>47.8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 t="s">
        <v>412</v>
      </c>
      <c r="AB72" s="10"/>
      <c r="AC72" s="10"/>
      <c r="AD72" s="10"/>
      <c r="AE72" s="10"/>
    </row>
    <row r="73" spans="1:31">
      <c r="A73" s="8" t="s">
        <v>36</v>
      </c>
      <c r="B73" s="8" t="s">
        <v>812</v>
      </c>
      <c r="C73" s="8" t="s">
        <v>921</v>
      </c>
      <c r="D73" s="9" t="s">
        <v>941</v>
      </c>
      <c r="E73" s="8" t="s">
        <v>942</v>
      </c>
      <c r="F73" s="8">
        <v>521.35</v>
      </c>
      <c r="G73" s="8">
        <v>47</v>
      </c>
      <c r="H73" s="8">
        <v>285</v>
      </c>
      <c r="I73" s="8">
        <v>157</v>
      </c>
      <c r="J73" s="8">
        <v>128</v>
      </c>
      <c r="K73" s="8">
        <v>0</v>
      </c>
      <c r="L73" s="10">
        <f t="shared" si="2"/>
        <v>0</v>
      </c>
      <c r="M73" s="8">
        <v>206</v>
      </c>
      <c r="N73" s="10">
        <f t="shared" si="3"/>
        <v>72.280701754385973</v>
      </c>
      <c r="O73" s="50">
        <v>11.4</v>
      </c>
      <c r="P73" s="8">
        <v>441</v>
      </c>
      <c r="Q73" s="50" t="s">
        <v>586</v>
      </c>
      <c r="R73" s="54">
        <v>44601</v>
      </c>
      <c r="S73" s="10"/>
      <c r="T73" s="10"/>
      <c r="U73" s="10"/>
      <c r="V73" s="10"/>
      <c r="W73" s="10"/>
      <c r="X73" s="10"/>
      <c r="Y73" s="10"/>
      <c r="Z73" s="10"/>
      <c r="AA73" s="10" t="s">
        <v>412</v>
      </c>
      <c r="AB73" s="10"/>
      <c r="AC73" s="10"/>
      <c r="AD73" s="50">
        <v>24.935673000000001</v>
      </c>
      <c r="AE73" s="50">
        <v>75.771349999999998</v>
      </c>
    </row>
    <row r="74" spans="1:31">
      <c r="A74" s="8" t="s">
        <v>36</v>
      </c>
      <c r="B74" s="8" t="s">
        <v>812</v>
      </c>
      <c r="C74" s="8" t="s">
        <v>921</v>
      </c>
      <c r="D74" s="9" t="s">
        <v>897</v>
      </c>
      <c r="E74" s="8" t="s">
        <v>943</v>
      </c>
      <c r="F74" s="8">
        <v>60.59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10" t="e">
        <f t="shared" si="2"/>
        <v>#DIV/0!</v>
      </c>
      <c r="M74" s="8">
        <v>0</v>
      </c>
      <c r="N74" s="10" t="e">
        <f t="shared" si="3"/>
        <v>#DIV/0!</v>
      </c>
      <c r="O74" s="10"/>
      <c r="P74" s="8">
        <v>21.41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 t="s">
        <v>412</v>
      </c>
      <c r="AB74" s="10"/>
      <c r="AC74" s="10"/>
      <c r="AD74" s="10"/>
      <c r="AE74" s="10"/>
    </row>
    <row r="75" spans="1:31">
      <c r="A75" s="8" t="s">
        <v>36</v>
      </c>
      <c r="B75" s="8" t="s">
        <v>812</v>
      </c>
      <c r="C75" s="8" t="s">
        <v>921</v>
      </c>
      <c r="D75" s="9" t="s">
        <v>145</v>
      </c>
      <c r="E75" s="8" t="s">
        <v>944</v>
      </c>
      <c r="F75" s="8">
        <v>2241.48</v>
      </c>
      <c r="G75" s="8">
        <v>199</v>
      </c>
      <c r="H75" s="8">
        <v>944</v>
      </c>
      <c r="I75" s="8">
        <v>511</v>
      </c>
      <c r="J75" s="8">
        <v>433</v>
      </c>
      <c r="K75" s="8">
        <v>350</v>
      </c>
      <c r="L75" s="10">
        <f t="shared" si="2"/>
        <v>37.076271186440678</v>
      </c>
      <c r="M75" s="8">
        <v>362</v>
      </c>
      <c r="N75" s="10">
        <f t="shared" si="3"/>
        <v>38.347457627118644</v>
      </c>
      <c r="O75" s="50">
        <v>68</v>
      </c>
      <c r="P75" s="8">
        <v>1681.86</v>
      </c>
      <c r="Q75" s="50" t="s">
        <v>586</v>
      </c>
      <c r="R75" s="54">
        <v>44600</v>
      </c>
      <c r="S75" s="10"/>
      <c r="T75" s="10"/>
      <c r="U75" s="10"/>
      <c r="V75" s="10"/>
      <c r="W75" s="10"/>
      <c r="X75" s="10"/>
      <c r="Y75" s="10"/>
      <c r="Z75" s="10"/>
      <c r="AA75" s="10" t="s">
        <v>412</v>
      </c>
      <c r="AB75" s="10"/>
      <c r="AC75" s="10"/>
      <c r="AD75" s="50">
        <v>24.918507999999999</v>
      </c>
      <c r="AE75" s="50">
        <v>75.744150000000005</v>
      </c>
    </row>
    <row r="76" spans="1:31">
      <c r="A76" s="8" t="s">
        <v>36</v>
      </c>
      <c r="B76" s="8" t="s">
        <v>812</v>
      </c>
      <c r="C76" s="8" t="s">
        <v>921</v>
      </c>
      <c r="D76" s="9" t="s">
        <v>145</v>
      </c>
      <c r="E76" s="8"/>
      <c r="F76" s="8"/>
      <c r="G76" s="8"/>
      <c r="H76" s="8"/>
      <c r="I76" s="8"/>
      <c r="J76" s="8"/>
      <c r="K76" s="8"/>
      <c r="L76" s="10" t="e">
        <f t="shared" si="2"/>
        <v>#DIV/0!</v>
      </c>
      <c r="M76" s="8"/>
      <c r="N76" s="10" t="e">
        <f t="shared" si="3"/>
        <v>#DIV/0!</v>
      </c>
      <c r="O76" s="51">
        <v>109.6</v>
      </c>
      <c r="P76" s="8"/>
      <c r="Q76" s="18" t="s">
        <v>409</v>
      </c>
      <c r="R76" s="18"/>
      <c r="S76" s="10"/>
      <c r="T76" s="10"/>
      <c r="U76" s="10"/>
      <c r="V76" s="10"/>
      <c r="W76" s="10"/>
      <c r="X76" s="10"/>
      <c r="Y76" s="10"/>
      <c r="Z76" s="10"/>
      <c r="AA76" s="10" t="s">
        <v>412</v>
      </c>
      <c r="AB76" s="10"/>
      <c r="AC76" s="10"/>
      <c r="AD76" s="51">
        <v>24.935618999999999</v>
      </c>
      <c r="AE76" s="51">
        <v>75.771392000000006</v>
      </c>
    </row>
    <row r="77" spans="1:31">
      <c r="A77" s="8" t="s">
        <v>36</v>
      </c>
      <c r="B77" s="8" t="s">
        <v>812</v>
      </c>
      <c r="C77" s="8" t="s">
        <v>921</v>
      </c>
      <c r="D77" s="9" t="s">
        <v>145</v>
      </c>
      <c r="E77" s="8"/>
      <c r="F77" s="8"/>
      <c r="G77" s="8"/>
      <c r="H77" s="8"/>
      <c r="I77" s="8"/>
      <c r="J77" s="8"/>
      <c r="K77" s="8"/>
      <c r="L77" s="10" t="e">
        <f t="shared" si="2"/>
        <v>#DIV/0!</v>
      </c>
      <c r="M77" s="8"/>
      <c r="N77" s="10" t="e">
        <f t="shared" si="3"/>
        <v>#DIV/0!</v>
      </c>
      <c r="O77" s="18"/>
      <c r="P77" s="8"/>
      <c r="Q77" s="51" t="s">
        <v>586</v>
      </c>
      <c r="R77" s="18"/>
      <c r="S77" s="10"/>
      <c r="T77" s="50">
        <v>16</v>
      </c>
      <c r="U77" s="10"/>
      <c r="V77" s="10"/>
      <c r="W77" s="10"/>
      <c r="X77" s="10"/>
      <c r="Y77" s="10"/>
      <c r="Z77" s="10"/>
      <c r="AA77" s="10" t="s">
        <v>408</v>
      </c>
      <c r="AB77" s="50">
        <v>1</v>
      </c>
      <c r="AC77" s="10"/>
      <c r="AD77" s="18"/>
      <c r="AE77" s="18"/>
    </row>
    <row r="78" spans="1:31">
      <c r="A78" s="8" t="s">
        <v>36</v>
      </c>
      <c r="B78" s="8" t="s">
        <v>812</v>
      </c>
      <c r="C78" s="8" t="s">
        <v>921</v>
      </c>
      <c r="D78" s="9" t="s">
        <v>945</v>
      </c>
      <c r="E78" s="8" t="s">
        <v>946</v>
      </c>
      <c r="F78" s="8">
        <v>287.73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10" t="e">
        <f t="shared" si="2"/>
        <v>#DIV/0!</v>
      </c>
      <c r="M78" s="8">
        <v>0</v>
      </c>
      <c r="N78" s="10" t="e">
        <f t="shared" si="3"/>
        <v>#DIV/0!</v>
      </c>
      <c r="O78" s="10"/>
      <c r="P78" s="8">
        <v>287.73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 t="s">
        <v>412</v>
      </c>
      <c r="AB78" s="10"/>
      <c r="AC78" s="10"/>
      <c r="AD78" s="10"/>
      <c r="AE78" s="10"/>
    </row>
    <row r="79" spans="1:31">
      <c r="A79" s="8" t="s">
        <v>36</v>
      </c>
      <c r="B79" s="8" t="s">
        <v>812</v>
      </c>
      <c r="C79" s="8" t="s">
        <v>921</v>
      </c>
      <c r="D79" s="9" t="s">
        <v>947</v>
      </c>
      <c r="E79" s="8" t="s">
        <v>948</v>
      </c>
      <c r="F79" s="8">
        <v>1047.45</v>
      </c>
      <c r="G79" s="8">
        <v>73</v>
      </c>
      <c r="H79" s="8">
        <v>343</v>
      </c>
      <c r="I79" s="8">
        <v>186</v>
      </c>
      <c r="J79" s="8">
        <v>157</v>
      </c>
      <c r="K79" s="8">
        <v>15</v>
      </c>
      <c r="L79" s="10">
        <f t="shared" si="2"/>
        <v>4.3731778425655978</v>
      </c>
      <c r="M79" s="8">
        <v>127</v>
      </c>
      <c r="N79" s="10">
        <f t="shared" si="3"/>
        <v>37.026239067055393</v>
      </c>
      <c r="O79" s="10"/>
      <c r="P79" s="8">
        <v>874.71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 t="s">
        <v>412</v>
      </c>
      <c r="AB79" s="10"/>
      <c r="AC79" s="10"/>
      <c r="AD79" s="10"/>
      <c r="AE79" s="10"/>
    </row>
    <row r="80" spans="1:31">
      <c r="A80" s="8" t="s">
        <v>36</v>
      </c>
      <c r="B80" s="8" t="s">
        <v>812</v>
      </c>
      <c r="C80" s="8" t="s">
        <v>921</v>
      </c>
      <c r="D80" s="9" t="s">
        <v>949</v>
      </c>
      <c r="E80" s="8" t="s">
        <v>950</v>
      </c>
      <c r="F80" s="8">
        <v>207.96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10" t="e">
        <f t="shared" si="2"/>
        <v>#DIV/0!</v>
      </c>
      <c r="M80" s="8">
        <v>0</v>
      </c>
      <c r="N80" s="10" t="e">
        <f t="shared" si="3"/>
        <v>#DIV/0!</v>
      </c>
      <c r="O80" s="10"/>
      <c r="P80" s="8">
        <v>207.96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 t="s">
        <v>412</v>
      </c>
      <c r="AB80" s="10"/>
      <c r="AC80" s="10"/>
      <c r="AD80" s="10"/>
      <c r="AE80" s="10"/>
    </row>
    <row r="81" spans="1:31">
      <c r="A81" s="8" t="s">
        <v>36</v>
      </c>
      <c r="B81" s="8" t="s">
        <v>812</v>
      </c>
      <c r="C81" s="8" t="s">
        <v>921</v>
      </c>
      <c r="D81" s="9" t="s">
        <v>951</v>
      </c>
      <c r="E81" s="8" t="s">
        <v>952</v>
      </c>
      <c r="F81" s="8">
        <v>327.9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10" t="e">
        <f t="shared" si="2"/>
        <v>#DIV/0!</v>
      </c>
      <c r="M81" s="8">
        <v>0</v>
      </c>
      <c r="N81" s="10" t="e">
        <f t="shared" si="3"/>
        <v>#DIV/0!</v>
      </c>
      <c r="O81" s="10"/>
      <c r="P81" s="8">
        <v>327.9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 t="s">
        <v>412</v>
      </c>
      <c r="AB81" s="10"/>
      <c r="AC81" s="10"/>
      <c r="AD81" s="10"/>
      <c r="AE81" s="10"/>
    </row>
    <row r="82" spans="1:31">
      <c r="A82" s="8" t="s">
        <v>36</v>
      </c>
      <c r="B82" s="8" t="s">
        <v>812</v>
      </c>
      <c r="C82" s="8" t="s">
        <v>921</v>
      </c>
      <c r="D82" s="9" t="s">
        <v>953</v>
      </c>
      <c r="E82" s="8" t="s">
        <v>954</v>
      </c>
      <c r="F82" s="8">
        <v>36.61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10" t="e">
        <f t="shared" si="2"/>
        <v>#DIV/0!</v>
      </c>
      <c r="M82" s="8">
        <v>0</v>
      </c>
      <c r="N82" s="10" t="e">
        <f t="shared" si="3"/>
        <v>#DIV/0!</v>
      </c>
      <c r="O82" s="10"/>
      <c r="P82" s="8">
        <v>19.3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 t="s">
        <v>412</v>
      </c>
      <c r="AB82" s="10"/>
      <c r="AC82" s="10"/>
      <c r="AD82" s="10"/>
      <c r="AE82" s="10"/>
    </row>
    <row r="83" spans="1:31">
      <c r="A83" s="8" t="s">
        <v>36</v>
      </c>
      <c r="B83" s="8" t="s">
        <v>812</v>
      </c>
      <c r="C83" s="8" t="s">
        <v>921</v>
      </c>
      <c r="D83" s="9" t="s">
        <v>955</v>
      </c>
      <c r="E83" s="8" t="s">
        <v>956</v>
      </c>
      <c r="F83" s="8">
        <v>72.790000000000006</v>
      </c>
      <c r="G83" s="8">
        <v>123</v>
      </c>
      <c r="H83" s="8">
        <v>697</v>
      </c>
      <c r="I83" s="8">
        <v>360</v>
      </c>
      <c r="J83" s="8">
        <v>337</v>
      </c>
      <c r="K83" s="8">
        <v>3</v>
      </c>
      <c r="L83" s="10">
        <f t="shared" si="2"/>
        <v>0.43041606886657102</v>
      </c>
      <c r="M83" s="8">
        <v>173</v>
      </c>
      <c r="N83" s="10">
        <f t="shared" si="3"/>
        <v>24.820659971305595</v>
      </c>
      <c r="O83" s="50">
        <v>17</v>
      </c>
      <c r="P83" s="8">
        <v>50.85</v>
      </c>
      <c r="Q83" s="50" t="s">
        <v>586</v>
      </c>
      <c r="R83" s="54">
        <v>44462</v>
      </c>
      <c r="S83" s="10"/>
      <c r="T83" s="10"/>
      <c r="U83" s="10"/>
      <c r="V83" s="10"/>
      <c r="W83" s="10"/>
      <c r="X83" s="10"/>
      <c r="Y83" s="10"/>
      <c r="Z83" s="10"/>
      <c r="AA83" s="10" t="s">
        <v>412</v>
      </c>
      <c r="AB83" s="10"/>
      <c r="AC83" s="10"/>
      <c r="AD83" s="50">
        <v>24.934669</v>
      </c>
      <c r="AE83" s="50">
        <v>75.759449000000004</v>
      </c>
    </row>
    <row r="84" spans="1:31">
      <c r="A84" s="8" t="s">
        <v>36</v>
      </c>
      <c r="B84" s="8" t="s">
        <v>812</v>
      </c>
      <c r="C84" s="8" t="s">
        <v>921</v>
      </c>
      <c r="D84" s="9" t="s">
        <v>726</v>
      </c>
      <c r="E84" s="8" t="s">
        <v>957</v>
      </c>
      <c r="F84" s="8">
        <v>233.27</v>
      </c>
      <c r="G84" s="8">
        <v>188</v>
      </c>
      <c r="H84" s="8">
        <v>894</v>
      </c>
      <c r="I84" s="8">
        <v>443</v>
      </c>
      <c r="J84" s="8">
        <v>451</v>
      </c>
      <c r="K84" s="8">
        <v>168</v>
      </c>
      <c r="L84" s="10">
        <f t="shared" si="2"/>
        <v>18.791946308724832</v>
      </c>
      <c r="M84" s="8">
        <v>100</v>
      </c>
      <c r="N84" s="10">
        <f t="shared" si="3"/>
        <v>11.185682326621924</v>
      </c>
      <c r="O84" s="10"/>
      <c r="P84" s="8">
        <v>0</v>
      </c>
      <c r="Q84" s="10"/>
      <c r="R84" s="10"/>
      <c r="S84" s="10"/>
      <c r="T84" s="52">
        <v>33.21</v>
      </c>
      <c r="U84" s="10"/>
      <c r="V84" s="10"/>
      <c r="W84" s="10"/>
      <c r="X84" s="10"/>
      <c r="Y84" s="10"/>
      <c r="Z84" s="10"/>
      <c r="AA84" s="10" t="s">
        <v>412</v>
      </c>
      <c r="AB84" s="52"/>
      <c r="AC84" s="10"/>
      <c r="AD84" s="10"/>
      <c r="AE84" s="10"/>
    </row>
    <row r="85" spans="1:31">
      <c r="A85" s="8" t="s">
        <v>36</v>
      </c>
      <c r="B85" s="8" t="s">
        <v>812</v>
      </c>
      <c r="C85" s="8" t="s">
        <v>921</v>
      </c>
      <c r="D85" s="9" t="s">
        <v>296</v>
      </c>
      <c r="E85" s="8" t="s">
        <v>958</v>
      </c>
      <c r="F85" s="8">
        <v>195.12</v>
      </c>
      <c r="G85" s="8">
        <v>390</v>
      </c>
      <c r="H85" s="8">
        <v>2023</v>
      </c>
      <c r="I85" s="8">
        <v>1035</v>
      </c>
      <c r="J85" s="8">
        <v>988</v>
      </c>
      <c r="K85" s="8">
        <v>910</v>
      </c>
      <c r="L85" s="10">
        <f t="shared" si="2"/>
        <v>44.982698961937714</v>
      </c>
      <c r="M85" s="8">
        <v>41</v>
      </c>
      <c r="N85" s="10">
        <f t="shared" si="3"/>
        <v>2.026693030153238</v>
      </c>
      <c r="O85" s="10"/>
      <c r="P85" s="8">
        <v>0</v>
      </c>
      <c r="Q85" s="10"/>
      <c r="R85" s="10"/>
      <c r="S85" s="10"/>
      <c r="T85" s="18">
        <v>19.059999999999999</v>
      </c>
      <c r="U85" s="10"/>
      <c r="V85" s="10"/>
      <c r="W85" s="10"/>
      <c r="X85" s="10"/>
      <c r="Y85" s="10"/>
      <c r="Z85" s="10"/>
      <c r="AA85" s="10" t="s">
        <v>408</v>
      </c>
      <c r="AB85" s="18">
        <v>11</v>
      </c>
      <c r="AC85" s="10"/>
      <c r="AD85" s="10"/>
      <c r="AE85" s="10"/>
    </row>
    <row r="86" spans="1:31">
      <c r="A86" s="8" t="s">
        <v>36</v>
      </c>
      <c r="B86" s="8" t="s">
        <v>812</v>
      </c>
      <c r="C86" s="8" t="s">
        <v>959</v>
      </c>
      <c r="D86" s="9" t="s">
        <v>960</v>
      </c>
      <c r="E86" s="8" t="s">
        <v>961</v>
      </c>
      <c r="F86" s="8">
        <v>336.89</v>
      </c>
      <c r="G86" s="8">
        <v>276</v>
      </c>
      <c r="H86" s="8">
        <v>1569</v>
      </c>
      <c r="I86" s="8">
        <v>826</v>
      </c>
      <c r="J86" s="8">
        <v>743</v>
      </c>
      <c r="K86" s="8">
        <v>216</v>
      </c>
      <c r="L86" s="10">
        <f t="shared" si="2"/>
        <v>13.766730401529637</v>
      </c>
      <c r="M86" s="8">
        <v>5</v>
      </c>
      <c r="N86" s="10">
        <f t="shared" si="3"/>
        <v>0.31867431485022307</v>
      </c>
      <c r="O86" s="10"/>
      <c r="P86" s="8">
        <v>0</v>
      </c>
      <c r="Q86" s="10"/>
      <c r="R86" s="10"/>
      <c r="S86" s="10"/>
      <c r="T86" s="18">
        <v>37.42</v>
      </c>
      <c r="U86" s="10"/>
      <c r="V86" s="10"/>
      <c r="W86" s="10"/>
      <c r="X86" s="10"/>
      <c r="Y86" s="10"/>
      <c r="Z86" s="10"/>
      <c r="AA86" s="10" t="s">
        <v>408</v>
      </c>
      <c r="AB86" s="18">
        <v>7</v>
      </c>
      <c r="AC86" s="10"/>
      <c r="AD86" s="10"/>
      <c r="AE86" s="10"/>
    </row>
    <row r="87" spans="1:31">
      <c r="A87" s="8" t="s">
        <v>36</v>
      </c>
      <c r="B87" s="8" t="s">
        <v>812</v>
      </c>
      <c r="C87" s="8" t="s">
        <v>959</v>
      </c>
      <c r="D87" s="9" t="s">
        <v>726</v>
      </c>
      <c r="E87" s="8" t="s">
        <v>962</v>
      </c>
      <c r="F87" s="8">
        <v>43.31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10" t="e">
        <f t="shared" si="2"/>
        <v>#DIV/0!</v>
      </c>
      <c r="M87" s="8">
        <v>0</v>
      </c>
      <c r="N87" s="10" t="e">
        <f t="shared" si="3"/>
        <v>#DIV/0!</v>
      </c>
      <c r="O87" s="10"/>
      <c r="P87" s="8">
        <v>0</v>
      </c>
      <c r="Q87" s="10"/>
      <c r="R87" s="10"/>
      <c r="S87" s="10"/>
      <c r="T87" s="18">
        <v>6.99</v>
      </c>
      <c r="U87" s="10"/>
      <c r="V87" s="10"/>
      <c r="W87" s="10"/>
      <c r="X87" s="10"/>
      <c r="Y87" s="10"/>
      <c r="Z87" s="10"/>
      <c r="AA87" s="10" t="s">
        <v>412</v>
      </c>
      <c r="AB87" s="18"/>
      <c r="AC87" s="10"/>
      <c r="AD87" s="10"/>
      <c r="AE87" s="10"/>
    </row>
    <row r="88" spans="1:31">
      <c r="A88" s="8" t="s">
        <v>36</v>
      </c>
      <c r="B88" s="8" t="s">
        <v>812</v>
      </c>
      <c r="C88" s="8" t="s">
        <v>959</v>
      </c>
      <c r="D88" s="9" t="s">
        <v>963</v>
      </c>
      <c r="E88" s="8" t="s">
        <v>964</v>
      </c>
      <c r="F88" s="8">
        <v>1234.68</v>
      </c>
      <c r="G88" s="8">
        <v>269</v>
      </c>
      <c r="H88" s="8">
        <v>1381</v>
      </c>
      <c r="I88" s="8">
        <v>721</v>
      </c>
      <c r="J88" s="8">
        <v>660</v>
      </c>
      <c r="K88" s="8">
        <v>345</v>
      </c>
      <c r="L88" s="10">
        <f t="shared" si="2"/>
        <v>24.98189717595945</v>
      </c>
      <c r="M88" s="8">
        <v>104</v>
      </c>
      <c r="N88" s="10">
        <f t="shared" si="3"/>
        <v>7.5307748008689366</v>
      </c>
      <c r="O88" s="10"/>
      <c r="P88" s="8">
        <v>291.7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 t="s">
        <v>412</v>
      </c>
      <c r="AB88" s="10"/>
      <c r="AC88" s="10"/>
      <c r="AD88" s="10"/>
      <c r="AE88" s="10"/>
    </row>
    <row r="89" spans="1:31">
      <c r="A89" s="8" t="s">
        <v>36</v>
      </c>
      <c r="B89" s="8" t="s">
        <v>812</v>
      </c>
      <c r="C89" s="8" t="s">
        <v>959</v>
      </c>
      <c r="D89" s="9" t="s">
        <v>965</v>
      </c>
      <c r="E89" s="8" t="s">
        <v>966</v>
      </c>
      <c r="F89" s="8">
        <v>335.31</v>
      </c>
      <c r="G89" s="8">
        <v>72</v>
      </c>
      <c r="H89" s="8">
        <v>410</v>
      </c>
      <c r="I89" s="8">
        <v>212</v>
      </c>
      <c r="J89" s="8">
        <v>198</v>
      </c>
      <c r="K89" s="8">
        <v>88</v>
      </c>
      <c r="L89" s="10">
        <f t="shared" si="2"/>
        <v>21.463414634146343</v>
      </c>
      <c r="M89" s="8">
        <v>0</v>
      </c>
      <c r="N89" s="10">
        <f t="shared" si="3"/>
        <v>0</v>
      </c>
      <c r="O89" s="10"/>
      <c r="P89" s="8">
        <v>0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 t="s">
        <v>412</v>
      </c>
      <c r="AB89" s="10"/>
      <c r="AC89" s="10"/>
      <c r="AD89" s="10"/>
      <c r="AE89" s="10"/>
    </row>
    <row r="90" spans="1:31">
      <c r="A90" s="8" t="s">
        <v>36</v>
      </c>
      <c r="B90" s="8" t="s">
        <v>812</v>
      </c>
      <c r="C90" s="8" t="s">
        <v>959</v>
      </c>
      <c r="D90" s="9" t="s">
        <v>967</v>
      </c>
      <c r="E90" s="8" t="s">
        <v>968</v>
      </c>
      <c r="F90" s="8">
        <v>937.67</v>
      </c>
      <c r="G90" s="8">
        <v>263</v>
      </c>
      <c r="H90" s="8">
        <v>1466</v>
      </c>
      <c r="I90" s="8">
        <v>745</v>
      </c>
      <c r="J90" s="8">
        <v>721</v>
      </c>
      <c r="K90" s="8">
        <v>438</v>
      </c>
      <c r="L90" s="10">
        <f t="shared" si="2"/>
        <v>29.877216916780352</v>
      </c>
      <c r="M90" s="8">
        <v>234</v>
      </c>
      <c r="N90" s="10">
        <f t="shared" si="3"/>
        <v>15.961800818553886</v>
      </c>
      <c r="O90" s="52">
        <v>33.21</v>
      </c>
      <c r="P90" s="8">
        <v>0</v>
      </c>
      <c r="Q90" s="50" t="s">
        <v>586</v>
      </c>
      <c r="R90" s="53">
        <v>44591</v>
      </c>
      <c r="S90" s="10"/>
      <c r="T90" s="18">
        <v>17.440000000000001</v>
      </c>
      <c r="U90" s="10"/>
      <c r="V90" s="10"/>
      <c r="W90" s="10"/>
      <c r="X90" s="10"/>
      <c r="Y90" s="10"/>
      <c r="Z90" s="10"/>
      <c r="AA90" s="10" t="s">
        <v>408</v>
      </c>
      <c r="AB90" s="18">
        <v>0.5</v>
      </c>
      <c r="AC90" s="10"/>
      <c r="AD90" s="52">
        <v>25.063044000000001</v>
      </c>
      <c r="AE90" s="52">
        <v>76036471</v>
      </c>
    </row>
    <row r="91" spans="1:31">
      <c r="A91" s="8" t="s">
        <v>36</v>
      </c>
      <c r="B91" s="8" t="s">
        <v>812</v>
      </c>
      <c r="C91" s="8" t="s">
        <v>959</v>
      </c>
      <c r="D91" s="9" t="s">
        <v>967</v>
      </c>
      <c r="E91" s="8"/>
      <c r="F91" s="8"/>
      <c r="G91" s="8"/>
      <c r="H91" s="8"/>
      <c r="I91" s="8"/>
      <c r="J91" s="8"/>
      <c r="K91" s="8"/>
      <c r="L91" s="10" t="e">
        <f t="shared" si="2"/>
        <v>#DIV/0!</v>
      </c>
      <c r="M91" s="8"/>
      <c r="N91" s="10" t="e">
        <f t="shared" si="3"/>
        <v>#DIV/0!</v>
      </c>
      <c r="O91" s="56">
        <v>33.21</v>
      </c>
      <c r="P91" s="8"/>
      <c r="Q91" s="51" t="s">
        <v>586</v>
      </c>
      <c r="R91" s="57"/>
      <c r="S91" s="10"/>
      <c r="T91" s="18">
        <v>39.21</v>
      </c>
      <c r="U91" s="10"/>
      <c r="V91" s="10"/>
      <c r="W91" s="10"/>
      <c r="X91" s="10"/>
      <c r="Y91" s="10"/>
      <c r="Z91" s="10"/>
      <c r="AA91" s="10" t="s">
        <v>408</v>
      </c>
      <c r="AB91" s="18">
        <v>2</v>
      </c>
      <c r="AC91" s="10"/>
      <c r="AD91" s="56">
        <v>25.063044000000001</v>
      </c>
      <c r="AE91" s="56">
        <v>76036471</v>
      </c>
    </row>
    <row r="92" spans="1:31">
      <c r="A92" s="8" t="s">
        <v>36</v>
      </c>
      <c r="B92" s="8" t="s">
        <v>812</v>
      </c>
      <c r="C92" s="8" t="s">
        <v>969</v>
      </c>
      <c r="D92" s="9" t="s">
        <v>970</v>
      </c>
      <c r="E92" s="8" t="s">
        <v>971</v>
      </c>
      <c r="F92" s="8">
        <v>823.17</v>
      </c>
      <c r="G92" s="8">
        <v>218</v>
      </c>
      <c r="H92" s="8">
        <v>1192</v>
      </c>
      <c r="I92" s="8">
        <v>619</v>
      </c>
      <c r="J92" s="8">
        <v>573</v>
      </c>
      <c r="K92" s="8">
        <v>536</v>
      </c>
      <c r="L92" s="10">
        <f t="shared" si="2"/>
        <v>44.966442953020135</v>
      </c>
      <c r="M92" s="8">
        <v>45</v>
      </c>
      <c r="N92" s="10">
        <f t="shared" si="3"/>
        <v>3.7751677852348995</v>
      </c>
      <c r="O92" s="18">
        <v>19.059999999999999</v>
      </c>
      <c r="P92" s="8">
        <v>0</v>
      </c>
      <c r="Q92" s="22" t="s">
        <v>409</v>
      </c>
      <c r="R92" s="22" t="s">
        <v>972</v>
      </c>
      <c r="S92" s="10"/>
      <c r="T92" s="18">
        <v>17.8</v>
      </c>
      <c r="U92" s="10"/>
      <c r="V92" s="10"/>
      <c r="W92" s="10"/>
      <c r="X92" s="10"/>
      <c r="Y92" s="10"/>
      <c r="Z92" s="10"/>
      <c r="AA92" s="10" t="s">
        <v>412</v>
      </c>
      <c r="AB92" s="18"/>
      <c r="AC92" s="10"/>
      <c r="AD92" s="18"/>
      <c r="AE92" s="18"/>
    </row>
    <row r="93" spans="1:31">
      <c r="A93" s="8" t="s">
        <v>36</v>
      </c>
      <c r="B93" s="8" t="s">
        <v>812</v>
      </c>
      <c r="C93" s="8" t="s">
        <v>969</v>
      </c>
      <c r="D93" s="9" t="s">
        <v>96</v>
      </c>
      <c r="E93" s="8" t="s">
        <v>973</v>
      </c>
      <c r="F93" s="8">
        <v>824</v>
      </c>
      <c r="G93" s="8">
        <v>166</v>
      </c>
      <c r="H93" s="8">
        <v>948</v>
      </c>
      <c r="I93" s="8">
        <v>487</v>
      </c>
      <c r="J93" s="8">
        <v>461</v>
      </c>
      <c r="K93" s="8">
        <v>198</v>
      </c>
      <c r="L93" s="10">
        <f t="shared" si="2"/>
        <v>20.88607594936709</v>
      </c>
      <c r="M93" s="8">
        <v>17</v>
      </c>
      <c r="N93" s="10">
        <f t="shared" si="3"/>
        <v>1.7932489451476792</v>
      </c>
      <c r="O93" s="18">
        <v>37.42</v>
      </c>
      <c r="P93" s="8">
        <v>0</v>
      </c>
      <c r="Q93" s="22" t="s">
        <v>409</v>
      </c>
      <c r="R93" s="22" t="s">
        <v>974</v>
      </c>
      <c r="S93" s="10"/>
      <c r="T93" s="18">
        <v>7.63</v>
      </c>
      <c r="U93" s="10"/>
      <c r="V93" s="10"/>
      <c r="W93" s="10"/>
      <c r="X93" s="10"/>
      <c r="Y93" s="10"/>
      <c r="Z93" s="10"/>
      <c r="AA93" s="10" t="s">
        <v>412</v>
      </c>
      <c r="AB93" s="18"/>
      <c r="AC93" s="10"/>
      <c r="AD93" s="18"/>
      <c r="AE93" s="18"/>
    </row>
    <row r="94" spans="1:31">
      <c r="A94" s="8" t="s">
        <v>36</v>
      </c>
      <c r="B94" s="8" t="s">
        <v>812</v>
      </c>
      <c r="C94" s="8" t="s">
        <v>969</v>
      </c>
      <c r="D94" s="9" t="s">
        <v>281</v>
      </c>
      <c r="E94" s="8" t="s">
        <v>975</v>
      </c>
      <c r="F94" s="8">
        <v>425</v>
      </c>
      <c r="G94" s="8">
        <v>141</v>
      </c>
      <c r="H94" s="8">
        <v>830</v>
      </c>
      <c r="I94" s="8">
        <v>433</v>
      </c>
      <c r="J94" s="8">
        <v>397</v>
      </c>
      <c r="K94" s="8">
        <v>203</v>
      </c>
      <c r="L94" s="10">
        <f t="shared" si="2"/>
        <v>24.457831325301203</v>
      </c>
      <c r="M94" s="8">
        <v>479</v>
      </c>
      <c r="N94" s="10">
        <f t="shared" si="3"/>
        <v>57.710843373493979</v>
      </c>
      <c r="O94" s="18">
        <v>6.99</v>
      </c>
      <c r="P94" s="8">
        <v>0</v>
      </c>
      <c r="Q94" s="22" t="s">
        <v>409</v>
      </c>
      <c r="R94" s="22" t="s">
        <v>976</v>
      </c>
      <c r="S94" s="10"/>
      <c r="T94" s="52">
        <v>4.54</v>
      </c>
      <c r="U94" s="10"/>
      <c r="V94" s="10"/>
      <c r="W94" s="10"/>
      <c r="X94" s="10"/>
      <c r="Y94" s="10"/>
      <c r="Z94" s="10"/>
      <c r="AA94" s="10" t="s">
        <v>408</v>
      </c>
      <c r="AB94" s="52">
        <v>1</v>
      </c>
      <c r="AC94" s="10"/>
      <c r="AD94" s="18"/>
      <c r="AE94" s="18"/>
    </row>
    <row r="95" spans="1:31">
      <c r="A95" s="8" t="s">
        <v>36</v>
      </c>
      <c r="B95" s="8" t="s">
        <v>812</v>
      </c>
      <c r="C95" s="8" t="s">
        <v>969</v>
      </c>
      <c r="D95" s="9" t="s">
        <v>977</v>
      </c>
      <c r="E95" s="8" t="s">
        <v>978</v>
      </c>
      <c r="F95" s="8">
        <v>392.24</v>
      </c>
      <c r="G95" s="8">
        <v>164</v>
      </c>
      <c r="H95" s="8">
        <v>901</v>
      </c>
      <c r="I95" s="8">
        <v>461</v>
      </c>
      <c r="J95" s="8">
        <v>440</v>
      </c>
      <c r="K95" s="8">
        <v>227</v>
      </c>
      <c r="L95" s="10">
        <f t="shared" si="2"/>
        <v>25.19422863485017</v>
      </c>
      <c r="M95" s="8">
        <v>444</v>
      </c>
      <c r="N95" s="10">
        <f t="shared" si="3"/>
        <v>49.278579356270811</v>
      </c>
      <c r="O95" s="10"/>
      <c r="P95" s="8">
        <v>0</v>
      </c>
      <c r="Q95" s="10"/>
      <c r="R95" s="10"/>
      <c r="S95" s="10"/>
      <c r="T95" s="18">
        <v>8.92</v>
      </c>
      <c r="U95" s="10"/>
      <c r="V95" s="10"/>
      <c r="W95" s="10"/>
      <c r="X95" s="10"/>
      <c r="Y95" s="10"/>
      <c r="Z95" s="10"/>
      <c r="AA95" s="10" t="s">
        <v>408</v>
      </c>
      <c r="AB95" s="18">
        <v>6</v>
      </c>
      <c r="AC95" s="10"/>
      <c r="AD95" s="10"/>
      <c r="AE95" s="10"/>
    </row>
    <row r="96" spans="1:31">
      <c r="A96" s="8" t="s">
        <v>36</v>
      </c>
      <c r="B96" s="8" t="s">
        <v>812</v>
      </c>
      <c r="C96" s="8" t="s">
        <v>969</v>
      </c>
      <c r="D96" s="9" t="s">
        <v>979</v>
      </c>
      <c r="E96" s="8" t="s">
        <v>980</v>
      </c>
      <c r="F96" s="8">
        <v>338.83</v>
      </c>
      <c r="G96" s="8">
        <v>147</v>
      </c>
      <c r="H96" s="8">
        <v>758</v>
      </c>
      <c r="I96" s="8">
        <v>383</v>
      </c>
      <c r="J96" s="8">
        <v>375</v>
      </c>
      <c r="K96" s="8">
        <v>256</v>
      </c>
      <c r="L96" s="10">
        <f t="shared" si="2"/>
        <v>33.773087071240106</v>
      </c>
      <c r="M96" s="8">
        <v>248</v>
      </c>
      <c r="N96" s="10">
        <f t="shared" si="3"/>
        <v>32.717678100263853</v>
      </c>
      <c r="O96" s="10"/>
      <c r="P96" s="8">
        <v>0</v>
      </c>
      <c r="Q96" s="10"/>
      <c r="R96" s="10"/>
      <c r="S96" s="10"/>
      <c r="T96" s="34">
        <v>3</v>
      </c>
      <c r="U96" s="10"/>
      <c r="V96" s="10"/>
      <c r="W96" s="10"/>
      <c r="X96" s="10"/>
      <c r="Y96" s="10"/>
      <c r="Z96" s="10"/>
      <c r="AA96" s="10" t="s">
        <v>408</v>
      </c>
      <c r="AB96" s="34">
        <v>3</v>
      </c>
      <c r="AC96" s="10"/>
      <c r="AD96" s="10"/>
      <c r="AE96" s="10"/>
    </row>
    <row r="97" spans="1:31">
      <c r="A97" s="8" t="s">
        <v>36</v>
      </c>
      <c r="B97" s="8" t="s">
        <v>812</v>
      </c>
      <c r="C97" s="8" t="s">
        <v>969</v>
      </c>
      <c r="D97" s="9" t="s">
        <v>981</v>
      </c>
      <c r="E97" s="8" t="s">
        <v>982</v>
      </c>
      <c r="F97" s="8">
        <v>273.47000000000003</v>
      </c>
      <c r="G97" s="8">
        <v>95</v>
      </c>
      <c r="H97" s="8">
        <v>567</v>
      </c>
      <c r="I97" s="8">
        <v>345</v>
      </c>
      <c r="J97" s="8">
        <v>222</v>
      </c>
      <c r="K97" s="8">
        <v>30</v>
      </c>
      <c r="L97" s="10">
        <f t="shared" si="2"/>
        <v>5.2910052910052912</v>
      </c>
      <c r="M97" s="8">
        <v>234</v>
      </c>
      <c r="N97" s="10">
        <f t="shared" si="3"/>
        <v>41.269841269841265</v>
      </c>
      <c r="O97" s="18">
        <v>17.440000000000001</v>
      </c>
      <c r="P97" s="8">
        <v>0</v>
      </c>
      <c r="Q97" s="22" t="s">
        <v>409</v>
      </c>
      <c r="R97" s="22" t="s">
        <v>983</v>
      </c>
      <c r="S97" s="10"/>
      <c r="T97" s="34">
        <v>2</v>
      </c>
      <c r="U97" s="10"/>
      <c r="V97" s="10"/>
      <c r="W97" s="10"/>
      <c r="X97" s="10"/>
      <c r="Y97" s="10"/>
      <c r="Z97" s="10"/>
      <c r="AA97" s="10" t="s">
        <v>408</v>
      </c>
      <c r="AB97" s="34">
        <v>1</v>
      </c>
      <c r="AC97" s="10"/>
      <c r="AD97" s="18"/>
      <c r="AE97" s="18"/>
    </row>
    <row r="98" spans="1:31">
      <c r="A98" s="8" t="s">
        <v>36</v>
      </c>
      <c r="B98" s="8" t="s">
        <v>812</v>
      </c>
      <c r="C98" s="8" t="s">
        <v>984</v>
      </c>
      <c r="D98" s="9" t="s">
        <v>985</v>
      </c>
      <c r="E98" s="8" t="s">
        <v>986</v>
      </c>
      <c r="F98" s="8">
        <v>717.46</v>
      </c>
      <c r="G98" s="8">
        <v>276</v>
      </c>
      <c r="H98" s="8">
        <v>1560</v>
      </c>
      <c r="I98" s="8">
        <v>795</v>
      </c>
      <c r="J98" s="8">
        <v>765</v>
      </c>
      <c r="K98" s="8">
        <v>243</v>
      </c>
      <c r="L98" s="10">
        <f t="shared" si="2"/>
        <v>15.576923076923077</v>
      </c>
      <c r="M98" s="8">
        <v>33</v>
      </c>
      <c r="N98" s="10">
        <f t="shared" si="3"/>
        <v>2.1153846153846154</v>
      </c>
      <c r="O98" s="18">
        <v>39.21</v>
      </c>
      <c r="P98" s="8">
        <v>0</v>
      </c>
      <c r="Q98" s="18" t="s">
        <v>408</v>
      </c>
      <c r="R98" s="18" t="s">
        <v>987</v>
      </c>
      <c r="S98" s="10"/>
      <c r="T98" s="10"/>
      <c r="U98" s="10"/>
      <c r="V98" s="10"/>
      <c r="W98" s="10"/>
      <c r="X98" s="10"/>
      <c r="Y98" s="10"/>
      <c r="Z98" s="10"/>
      <c r="AA98" s="10" t="s">
        <v>412</v>
      </c>
      <c r="AB98" s="10"/>
      <c r="AC98" s="10"/>
      <c r="AD98" s="18">
        <v>25.106110999999999</v>
      </c>
      <c r="AE98" s="18">
        <v>76.012444000000002</v>
      </c>
    </row>
    <row r="99" spans="1:31">
      <c r="A99" s="8" t="s">
        <v>36</v>
      </c>
      <c r="B99" s="8" t="s">
        <v>812</v>
      </c>
      <c r="C99" s="8" t="s">
        <v>984</v>
      </c>
      <c r="D99" s="9" t="s">
        <v>988</v>
      </c>
      <c r="E99" s="8" t="s">
        <v>989</v>
      </c>
      <c r="F99" s="8">
        <v>481</v>
      </c>
      <c r="G99" s="8">
        <v>221</v>
      </c>
      <c r="H99" s="8">
        <v>1152</v>
      </c>
      <c r="I99" s="8">
        <v>581</v>
      </c>
      <c r="J99" s="8">
        <v>571</v>
      </c>
      <c r="K99" s="8">
        <v>243</v>
      </c>
      <c r="L99" s="10">
        <f t="shared" si="2"/>
        <v>21.09375</v>
      </c>
      <c r="M99" s="8">
        <v>13</v>
      </c>
      <c r="N99" s="10">
        <f t="shared" si="3"/>
        <v>1.1284722222222221</v>
      </c>
      <c r="O99" s="18">
        <v>17.8</v>
      </c>
      <c r="P99" s="8">
        <v>0</v>
      </c>
      <c r="Q99" s="18" t="s">
        <v>408</v>
      </c>
      <c r="R99" s="18" t="s">
        <v>987</v>
      </c>
      <c r="S99" s="10"/>
      <c r="T99" s="34">
        <v>3</v>
      </c>
      <c r="U99" s="10"/>
      <c r="V99" s="10"/>
      <c r="W99" s="10"/>
      <c r="X99" s="10"/>
      <c r="Y99" s="10"/>
      <c r="Z99" s="10"/>
      <c r="AA99" s="10" t="s">
        <v>408</v>
      </c>
      <c r="AB99" s="34">
        <v>4</v>
      </c>
      <c r="AC99" s="10"/>
      <c r="AD99" s="18">
        <v>25.093495000000001</v>
      </c>
      <c r="AE99" s="18">
        <v>75.093495000000004</v>
      </c>
    </row>
    <row r="100" spans="1:31">
      <c r="A100" s="8" t="s">
        <v>36</v>
      </c>
      <c r="B100" s="8" t="s">
        <v>812</v>
      </c>
      <c r="C100" s="8" t="s">
        <v>984</v>
      </c>
      <c r="D100" s="9" t="s">
        <v>990</v>
      </c>
      <c r="E100" s="8" t="s">
        <v>991</v>
      </c>
      <c r="F100" s="8">
        <v>301.67</v>
      </c>
      <c r="G100" s="8">
        <v>379</v>
      </c>
      <c r="H100" s="8">
        <v>1973</v>
      </c>
      <c r="I100" s="8">
        <v>1004</v>
      </c>
      <c r="J100" s="8">
        <v>969</v>
      </c>
      <c r="K100" s="8">
        <v>404</v>
      </c>
      <c r="L100" s="10">
        <f t="shared" si="2"/>
        <v>20.476431829700964</v>
      </c>
      <c r="M100" s="8">
        <v>5</v>
      </c>
      <c r="N100" s="10">
        <f t="shared" si="3"/>
        <v>0.25342118601115055</v>
      </c>
      <c r="O100" s="18">
        <v>7.63</v>
      </c>
      <c r="P100" s="8">
        <v>0</v>
      </c>
      <c r="Q100" s="18" t="s">
        <v>408</v>
      </c>
      <c r="R100" s="18" t="s">
        <v>987</v>
      </c>
      <c r="S100" s="10"/>
      <c r="T100" s="10"/>
      <c r="U100" s="10"/>
      <c r="V100" s="10"/>
      <c r="W100" s="10"/>
      <c r="X100" s="10"/>
      <c r="Y100" s="10"/>
      <c r="Z100" s="10"/>
      <c r="AA100" s="10" t="s">
        <v>412</v>
      </c>
      <c r="AB100" s="10"/>
      <c r="AC100" s="10"/>
      <c r="AD100" s="18">
        <v>25.106206</v>
      </c>
      <c r="AE100" s="18">
        <v>75.983146000000005</v>
      </c>
    </row>
    <row r="101" spans="1:31">
      <c r="A101" s="8" t="s">
        <v>36</v>
      </c>
      <c r="B101" s="8" t="s">
        <v>812</v>
      </c>
      <c r="C101" s="8" t="s">
        <v>984</v>
      </c>
      <c r="D101" s="9" t="s">
        <v>992</v>
      </c>
      <c r="E101" s="8" t="s">
        <v>993</v>
      </c>
      <c r="F101" s="8">
        <v>593.38</v>
      </c>
      <c r="G101" s="8">
        <v>229</v>
      </c>
      <c r="H101" s="8">
        <v>1123</v>
      </c>
      <c r="I101" s="8">
        <v>590</v>
      </c>
      <c r="J101" s="8">
        <v>533</v>
      </c>
      <c r="K101" s="8">
        <v>333</v>
      </c>
      <c r="L101" s="10">
        <f t="shared" si="2"/>
        <v>29.652715939447909</v>
      </c>
      <c r="M101" s="8">
        <v>391</v>
      </c>
      <c r="N101" s="10">
        <f t="shared" si="3"/>
        <v>34.81745325022262</v>
      </c>
      <c r="O101" s="52">
        <v>5.54</v>
      </c>
      <c r="P101" s="8">
        <v>0</v>
      </c>
      <c r="Q101" s="50" t="s">
        <v>586</v>
      </c>
      <c r="R101" s="53">
        <v>44597</v>
      </c>
      <c r="S101" s="10"/>
      <c r="T101" s="34">
        <v>2</v>
      </c>
      <c r="U101" s="10"/>
      <c r="V101" s="10"/>
      <c r="W101" s="10"/>
      <c r="X101" s="10"/>
      <c r="Y101" s="10"/>
      <c r="Z101" s="10"/>
      <c r="AA101" s="10" t="s">
        <v>412</v>
      </c>
      <c r="AB101" s="34"/>
      <c r="AC101" s="10"/>
      <c r="AD101" s="52">
        <v>25.188794999999999</v>
      </c>
      <c r="AE101" s="52">
        <v>75.974363999999994</v>
      </c>
    </row>
    <row r="102" spans="1:31">
      <c r="A102" s="8" t="s">
        <v>36</v>
      </c>
      <c r="B102" s="8" t="s">
        <v>812</v>
      </c>
      <c r="C102" s="8" t="s">
        <v>984</v>
      </c>
      <c r="D102" s="9" t="s">
        <v>992</v>
      </c>
      <c r="E102" s="8"/>
      <c r="F102" s="8"/>
      <c r="G102" s="8"/>
      <c r="H102" s="8"/>
      <c r="I102" s="8"/>
      <c r="J102" s="8"/>
      <c r="K102" s="8"/>
      <c r="L102" s="10" t="e">
        <f t="shared" si="2"/>
        <v>#DIV/0!</v>
      </c>
      <c r="M102" s="8"/>
      <c r="N102" s="10" t="e">
        <f t="shared" si="3"/>
        <v>#DIV/0!</v>
      </c>
      <c r="O102" s="18">
        <v>5.54</v>
      </c>
      <c r="P102" s="8"/>
      <c r="Q102" s="18" t="s">
        <v>408</v>
      </c>
      <c r="R102" s="18" t="s">
        <v>987</v>
      </c>
      <c r="S102" s="10"/>
      <c r="T102" s="35">
        <v>2</v>
      </c>
      <c r="U102" s="10"/>
      <c r="V102" s="10"/>
      <c r="W102" s="10"/>
      <c r="X102" s="10"/>
      <c r="Y102" s="10"/>
      <c r="Z102" s="10"/>
      <c r="AA102" s="10" t="s">
        <v>408</v>
      </c>
      <c r="AB102" s="35">
        <v>1</v>
      </c>
      <c r="AC102" s="10"/>
      <c r="AD102" s="18">
        <v>25.103352000000001</v>
      </c>
      <c r="AE102" s="18">
        <v>76.038239000000004</v>
      </c>
    </row>
    <row r="103" spans="1:31">
      <c r="A103" s="8" t="s">
        <v>36</v>
      </c>
      <c r="B103" s="8" t="s">
        <v>812</v>
      </c>
      <c r="C103" s="8" t="s">
        <v>984</v>
      </c>
      <c r="D103" s="9" t="s">
        <v>994</v>
      </c>
      <c r="E103" s="8" t="s">
        <v>995</v>
      </c>
      <c r="F103" s="8">
        <v>337.82</v>
      </c>
      <c r="G103" s="8">
        <v>146</v>
      </c>
      <c r="H103" s="8">
        <v>848</v>
      </c>
      <c r="I103" s="8">
        <v>437</v>
      </c>
      <c r="J103" s="8">
        <v>411</v>
      </c>
      <c r="K103" s="8">
        <v>196</v>
      </c>
      <c r="L103" s="10">
        <f t="shared" si="2"/>
        <v>23.113207547169811</v>
      </c>
      <c r="M103" s="8">
        <v>29</v>
      </c>
      <c r="N103" s="10">
        <f t="shared" si="3"/>
        <v>3.4198113207547167</v>
      </c>
      <c r="O103" s="18">
        <v>8.92</v>
      </c>
      <c r="P103" s="8">
        <v>0</v>
      </c>
      <c r="Q103" s="18" t="s">
        <v>408</v>
      </c>
      <c r="R103" s="18" t="s">
        <v>987</v>
      </c>
      <c r="S103" s="10"/>
      <c r="T103" s="10"/>
      <c r="U103" s="10"/>
      <c r="V103" s="10"/>
      <c r="W103" s="10"/>
      <c r="X103" s="10"/>
      <c r="Y103" s="10"/>
      <c r="Z103" s="10"/>
      <c r="AA103" s="10" t="s">
        <v>412</v>
      </c>
      <c r="AB103" s="10"/>
      <c r="AC103" s="10"/>
      <c r="AD103" s="18">
        <v>25.129508000000001</v>
      </c>
      <c r="AE103" s="18">
        <v>76.014014000000003</v>
      </c>
    </row>
    <row r="104" spans="1:31">
      <c r="A104" s="8" t="s">
        <v>36</v>
      </c>
      <c r="B104" s="8" t="s">
        <v>812</v>
      </c>
      <c r="C104" s="8" t="s">
        <v>996</v>
      </c>
      <c r="D104" s="9" t="s">
        <v>693</v>
      </c>
      <c r="E104" s="8" t="s">
        <v>997</v>
      </c>
      <c r="F104" s="8">
        <v>1520.27</v>
      </c>
      <c r="G104" s="8">
        <v>107</v>
      </c>
      <c r="H104" s="8">
        <v>672</v>
      </c>
      <c r="I104" s="8">
        <v>350</v>
      </c>
      <c r="J104" s="8">
        <v>322</v>
      </c>
      <c r="K104" s="8">
        <v>54</v>
      </c>
      <c r="L104" s="10">
        <f t="shared" si="2"/>
        <v>8.0357142857142865</v>
      </c>
      <c r="M104" s="8">
        <v>496</v>
      </c>
      <c r="N104" s="10">
        <f t="shared" si="3"/>
        <v>73.80952380952381</v>
      </c>
      <c r="O104" s="37">
        <v>6</v>
      </c>
      <c r="P104" s="8">
        <v>1205.47</v>
      </c>
      <c r="Q104" s="47" t="s">
        <v>409</v>
      </c>
      <c r="R104" s="37" t="s">
        <v>998</v>
      </c>
      <c r="S104" s="10"/>
      <c r="T104" s="35">
        <v>1</v>
      </c>
      <c r="U104" s="10"/>
      <c r="V104" s="10"/>
      <c r="W104" s="10"/>
      <c r="X104" s="10"/>
      <c r="Y104" s="10"/>
      <c r="Z104" s="10"/>
      <c r="AA104" s="10" t="s">
        <v>408</v>
      </c>
      <c r="AB104" s="35">
        <v>1</v>
      </c>
      <c r="AC104" s="10"/>
      <c r="AD104" s="34">
        <v>24.869772999999999</v>
      </c>
      <c r="AE104" s="34">
        <v>76.001148000000001</v>
      </c>
    </row>
    <row r="105" spans="1:31">
      <c r="A105" s="8" t="s">
        <v>36</v>
      </c>
      <c r="B105" s="8" t="s">
        <v>812</v>
      </c>
      <c r="C105" s="8" t="s">
        <v>996</v>
      </c>
      <c r="D105" s="9" t="s">
        <v>999</v>
      </c>
      <c r="E105" s="8" t="s">
        <v>1000</v>
      </c>
      <c r="F105" s="8">
        <v>340.44</v>
      </c>
      <c r="G105" s="8">
        <v>59</v>
      </c>
      <c r="H105" s="8">
        <v>279</v>
      </c>
      <c r="I105" s="8">
        <v>147</v>
      </c>
      <c r="J105" s="8">
        <v>132</v>
      </c>
      <c r="K105" s="8">
        <v>40</v>
      </c>
      <c r="L105" s="10">
        <f t="shared" si="2"/>
        <v>14.336917562724013</v>
      </c>
      <c r="M105" s="8">
        <v>2</v>
      </c>
      <c r="N105" s="10">
        <f t="shared" si="3"/>
        <v>0.71684587813620071</v>
      </c>
      <c r="O105" s="34">
        <v>3</v>
      </c>
      <c r="P105" s="8">
        <v>0</v>
      </c>
      <c r="Q105" s="47" t="s">
        <v>409</v>
      </c>
      <c r="R105" s="37" t="s">
        <v>998</v>
      </c>
      <c r="S105" s="10"/>
      <c r="T105" s="34">
        <v>4</v>
      </c>
      <c r="U105" s="10"/>
      <c r="V105" s="10"/>
      <c r="W105" s="10"/>
      <c r="X105" s="10"/>
      <c r="Y105" s="10"/>
      <c r="Z105" s="10"/>
      <c r="AA105" s="10" t="s">
        <v>408</v>
      </c>
      <c r="AB105" s="34">
        <v>2</v>
      </c>
      <c r="AC105" s="10"/>
      <c r="AD105" s="34">
        <v>24.827169000000001</v>
      </c>
      <c r="AE105" s="34">
        <v>75.983310000000003</v>
      </c>
    </row>
    <row r="106" spans="1:31">
      <c r="A106" s="8" t="s">
        <v>36</v>
      </c>
      <c r="B106" s="8" t="s">
        <v>812</v>
      </c>
      <c r="C106" s="8" t="s">
        <v>996</v>
      </c>
      <c r="D106" s="9" t="s">
        <v>1001</v>
      </c>
      <c r="E106" s="8" t="s">
        <v>1002</v>
      </c>
      <c r="F106" s="8">
        <v>357.12</v>
      </c>
      <c r="G106" s="8">
        <v>26</v>
      </c>
      <c r="H106" s="8">
        <v>148</v>
      </c>
      <c r="I106" s="8">
        <v>73</v>
      </c>
      <c r="J106" s="8">
        <v>75</v>
      </c>
      <c r="K106" s="8">
        <v>66</v>
      </c>
      <c r="L106" s="10">
        <f t="shared" si="2"/>
        <v>44.594594594594597</v>
      </c>
      <c r="M106" s="8">
        <v>37</v>
      </c>
      <c r="N106" s="10">
        <f t="shared" si="3"/>
        <v>25</v>
      </c>
      <c r="O106" s="10"/>
      <c r="P106" s="8">
        <v>49.42</v>
      </c>
      <c r="Q106" s="10"/>
      <c r="R106" s="10"/>
      <c r="S106" s="10"/>
      <c r="T106" s="47">
        <v>18</v>
      </c>
      <c r="U106" s="10"/>
      <c r="V106" s="10"/>
      <c r="W106" s="10"/>
      <c r="X106" s="10"/>
      <c r="Y106" s="10"/>
      <c r="Z106" s="10"/>
      <c r="AA106" s="10" t="s">
        <v>408</v>
      </c>
      <c r="AB106" s="47">
        <v>22</v>
      </c>
      <c r="AC106" s="10"/>
      <c r="AD106" s="10"/>
      <c r="AE106" s="10"/>
    </row>
    <row r="107" spans="1:31">
      <c r="A107" s="8" t="s">
        <v>36</v>
      </c>
      <c r="B107" s="8" t="s">
        <v>812</v>
      </c>
      <c r="C107" s="8" t="s">
        <v>996</v>
      </c>
      <c r="D107" s="9" t="s">
        <v>1003</v>
      </c>
      <c r="E107" s="8" t="s">
        <v>1004</v>
      </c>
      <c r="F107" s="8">
        <v>607.89</v>
      </c>
      <c r="G107" s="8">
        <v>160</v>
      </c>
      <c r="H107" s="8">
        <v>783</v>
      </c>
      <c r="I107" s="8">
        <v>398</v>
      </c>
      <c r="J107" s="8">
        <v>385</v>
      </c>
      <c r="K107" s="8">
        <v>134</v>
      </c>
      <c r="L107" s="10">
        <f t="shared" si="2"/>
        <v>17.113665389527458</v>
      </c>
      <c r="M107" s="8">
        <v>551</v>
      </c>
      <c r="N107" s="10">
        <f t="shared" si="3"/>
        <v>70.370370370370367</v>
      </c>
      <c r="O107" s="34">
        <v>7</v>
      </c>
      <c r="P107" s="8">
        <v>37.56</v>
      </c>
      <c r="Q107" s="47" t="s">
        <v>409</v>
      </c>
      <c r="R107" s="37" t="s">
        <v>1005</v>
      </c>
      <c r="S107" s="10"/>
      <c r="T107" s="10"/>
      <c r="U107" s="10"/>
      <c r="V107" s="10"/>
      <c r="W107" s="10"/>
      <c r="X107" s="10"/>
      <c r="Y107" s="10"/>
      <c r="Z107" s="10"/>
      <c r="AA107" s="10" t="s">
        <v>412</v>
      </c>
      <c r="AB107" s="10"/>
      <c r="AC107" s="10"/>
      <c r="AD107" s="34">
        <v>24.845661199999999</v>
      </c>
      <c r="AE107" s="34">
        <v>75.989474999999999</v>
      </c>
    </row>
    <row r="108" spans="1:31">
      <c r="A108" s="8" t="s">
        <v>36</v>
      </c>
      <c r="B108" s="8" t="s">
        <v>812</v>
      </c>
      <c r="C108" s="8" t="s">
        <v>996</v>
      </c>
      <c r="D108" s="9" t="s">
        <v>740</v>
      </c>
      <c r="E108" s="8" t="s">
        <v>1006</v>
      </c>
      <c r="F108" s="8">
        <v>116.17</v>
      </c>
      <c r="G108" s="8">
        <v>42</v>
      </c>
      <c r="H108" s="8">
        <v>213</v>
      </c>
      <c r="I108" s="8">
        <v>112</v>
      </c>
      <c r="J108" s="8">
        <v>101</v>
      </c>
      <c r="K108" s="8">
        <v>0</v>
      </c>
      <c r="L108" s="10">
        <f t="shared" si="2"/>
        <v>0</v>
      </c>
      <c r="M108" s="8">
        <v>0</v>
      </c>
      <c r="N108" s="10">
        <f t="shared" si="3"/>
        <v>0</v>
      </c>
      <c r="O108" s="10"/>
      <c r="P108" s="8">
        <v>0</v>
      </c>
      <c r="Q108" s="10"/>
      <c r="R108" s="10"/>
      <c r="S108" s="10"/>
      <c r="T108" s="35">
        <v>0</v>
      </c>
      <c r="U108" s="10"/>
      <c r="V108" s="10"/>
      <c r="W108" s="10"/>
      <c r="X108" s="10"/>
      <c r="Y108" s="10"/>
      <c r="Z108" s="10"/>
      <c r="AA108" s="10" t="s">
        <v>412</v>
      </c>
      <c r="AB108" s="35"/>
      <c r="AC108" s="10"/>
      <c r="AD108" s="10"/>
      <c r="AE108" s="10"/>
    </row>
    <row r="109" spans="1:31">
      <c r="A109" s="8" t="s">
        <v>36</v>
      </c>
      <c r="B109" s="8" t="s">
        <v>812</v>
      </c>
      <c r="C109" s="8" t="s">
        <v>996</v>
      </c>
      <c r="D109" s="9" t="s">
        <v>1007</v>
      </c>
      <c r="E109" s="8" t="s">
        <v>1008</v>
      </c>
      <c r="F109" s="8">
        <v>136.9</v>
      </c>
      <c r="G109" s="8">
        <v>72</v>
      </c>
      <c r="H109" s="8">
        <v>424</v>
      </c>
      <c r="I109" s="8">
        <v>224</v>
      </c>
      <c r="J109" s="8">
        <v>200</v>
      </c>
      <c r="K109" s="8">
        <v>107</v>
      </c>
      <c r="L109" s="10">
        <f t="shared" si="2"/>
        <v>25.235849056603776</v>
      </c>
      <c r="M109" s="8">
        <v>210</v>
      </c>
      <c r="N109" s="10">
        <f t="shared" si="3"/>
        <v>49.528301886792455</v>
      </c>
      <c r="O109" s="34">
        <v>2</v>
      </c>
      <c r="P109" s="8">
        <v>0</v>
      </c>
      <c r="Q109" s="47" t="s">
        <v>409</v>
      </c>
      <c r="R109" s="37" t="s">
        <v>1009</v>
      </c>
      <c r="S109" s="10"/>
      <c r="T109" s="52">
        <v>42.44</v>
      </c>
      <c r="U109" s="10"/>
      <c r="V109" s="10"/>
      <c r="W109" s="10"/>
      <c r="X109" s="10"/>
      <c r="Y109" s="10"/>
      <c r="Z109" s="10"/>
      <c r="AA109" s="10" t="s">
        <v>408</v>
      </c>
      <c r="AB109" s="52">
        <v>25</v>
      </c>
      <c r="AC109" s="10"/>
      <c r="AD109" s="34">
        <v>24.849855000000002</v>
      </c>
      <c r="AE109" s="34">
        <v>75.961636999999996</v>
      </c>
    </row>
    <row r="110" spans="1:31">
      <c r="A110" s="8" t="s">
        <v>36</v>
      </c>
      <c r="B110" s="8" t="s">
        <v>812</v>
      </c>
      <c r="C110" s="8" t="s">
        <v>996</v>
      </c>
      <c r="D110" s="9" t="s">
        <v>1010</v>
      </c>
      <c r="E110" s="8" t="s">
        <v>1011</v>
      </c>
      <c r="F110" s="8">
        <v>193.31</v>
      </c>
      <c r="G110" s="8">
        <v>83</v>
      </c>
      <c r="H110" s="8">
        <v>384</v>
      </c>
      <c r="I110" s="8">
        <v>194</v>
      </c>
      <c r="J110" s="8">
        <v>190</v>
      </c>
      <c r="K110" s="8">
        <v>62</v>
      </c>
      <c r="L110" s="10">
        <f t="shared" si="2"/>
        <v>16.145833333333336</v>
      </c>
      <c r="M110" s="8">
        <v>130</v>
      </c>
      <c r="N110" s="10">
        <f t="shared" si="3"/>
        <v>33.854166666666671</v>
      </c>
      <c r="O110" s="37">
        <v>3</v>
      </c>
      <c r="P110" s="8">
        <v>0</v>
      </c>
      <c r="Q110" s="47" t="s">
        <v>409</v>
      </c>
      <c r="R110" s="37" t="s">
        <v>1009</v>
      </c>
      <c r="S110" s="10"/>
      <c r="T110" s="10"/>
      <c r="U110" s="10"/>
      <c r="V110" s="10"/>
      <c r="W110" s="10"/>
      <c r="X110" s="10"/>
      <c r="Y110" s="10"/>
      <c r="Z110" s="10"/>
      <c r="AA110" s="10" t="s">
        <v>412</v>
      </c>
      <c r="AB110" s="10"/>
      <c r="AC110" s="10"/>
      <c r="AD110" s="37">
        <v>24.865067</v>
      </c>
      <c r="AE110" s="37">
        <v>75.953812999999997</v>
      </c>
    </row>
    <row r="111" spans="1:31">
      <c r="A111" s="8" t="s">
        <v>36</v>
      </c>
      <c r="B111" s="8" t="s">
        <v>812</v>
      </c>
      <c r="C111" s="8" t="s">
        <v>996</v>
      </c>
      <c r="D111" s="9" t="s">
        <v>1012</v>
      </c>
      <c r="E111" s="8" t="s">
        <v>1013</v>
      </c>
      <c r="F111" s="8">
        <v>479.58</v>
      </c>
      <c r="G111" s="8">
        <v>129</v>
      </c>
      <c r="H111" s="8">
        <v>662</v>
      </c>
      <c r="I111" s="8">
        <v>343</v>
      </c>
      <c r="J111" s="8">
        <v>319</v>
      </c>
      <c r="K111" s="8">
        <v>48</v>
      </c>
      <c r="L111" s="10">
        <f t="shared" si="2"/>
        <v>7.2507552870090644</v>
      </c>
      <c r="M111" s="8">
        <v>558</v>
      </c>
      <c r="N111" s="10">
        <f t="shared" si="3"/>
        <v>84.290030211480357</v>
      </c>
      <c r="O111" s="10"/>
      <c r="P111" s="8">
        <v>186.84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 t="s">
        <v>412</v>
      </c>
      <c r="AB111" s="10"/>
      <c r="AC111" s="10"/>
      <c r="AD111" s="10"/>
      <c r="AE111" s="10"/>
    </row>
    <row r="112" spans="1:31">
      <c r="A112" s="8" t="s">
        <v>36</v>
      </c>
      <c r="B112" s="8" t="s">
        <v>812</v>
      </c>
      <c r="C112" s="8" t="s">
        <v>996</v>
      </c>
      <c r="D112" s="9" t="s">
        <v>90</v>
      </c>
      <c r="E112" s="8" t="s">
        <v>1014</v>
      </c>
      <c r="F112" s="8">
        <v>470.85</v>
      </c>
      <c r="G112" s="8">
        <v>149</v>
      </c>
      <c r="H112" s="8">
        <v>788</v>
      </c>
      <c r="I112" s="8">
        <v>408</v>
      </c>
      <c r="J112" s="8">
        <v>380</v>
      </c>
      <c r="K112" s="8">
        <v>151</v>
      </c>
      <c r="L112" s="10">
        <f t="shared" si="2"/>
        <v>19.162436548223351</v>
      </c>
      <c r="M112" s="8">
        <v>0</v>
      </c>
      <c r="N112" s="10">
        <f t="shared" si="3"/>
        <v>0</v>
      </c>
      <c r="O112" s="37">
        <v>1</v>
      </c>
      <c r="P112" s="8">
        <v>22.34</v>
      </c>
      <c r="Q112" s="47" t="s">
        <v>409</v>
      </c>
      <c r="R112" s="37" t="s">
        <v>1009</v>
      </c>
      <c r="S112" s="10"/>
      <c r="T112" s="52">
        <v>20.079999999999998</v>
      </c>
      <c r="U112" s="10"/>
      <c r="V112" s="10"/>
      <c r="W112" s="10"/>
      <c r="X112" s="10"/>
      <c r="Y112" s="10"/>
      <c r="Z112" s="10"/>
      <c r="AA112" s="10" t="s">
        <v>408</v>
      </c>
      <c r="AB112" s="52">
        <v>10</v>
      </c>
      <c r="AC112" s="10"/>
      <c r="AD112" s="37">
        <v>24.878005000000002</v>
      </c>
      <c r="AE112" s="37">
        <v>75.940002300000003</v>
      </c>
    </row>
    <row r="113" spans="1:31">
      <c r="A113" s="8" t="s">
        <v>36</v>
      </c>
      <c r="B113" s="8" t="s">
        <v>812</v>
      </c>
      <c r="C113" s="8" t="s">
        <v>996</v>
      </c>
      <c r="D113" s="9" t="s">
        <v>211</v>
      </c>
      <c r="E113" s="8" t="s">
        <v>1015</v>
      </c>
      <c r="F113" s="8">
        <v>1728.49</v>
      </c>
      <c r="G113" s="8">
        <v>108</v>
      </c>
      <c r="H113" s="8">
        <v>577</v>
      </c>
      <c r="I113" s="8">
        <v>302</v>
      </c>
      <c r="J113" s="8">
        <v>275</v>
      </c>
      <c r="K113" s="8">
        <v>116</v>
      </c>
      <c r="L113" s="10">
        <f t="shared" si="2"/>
        <v>20.103986135181977</v>
      </c>
      <c r="M113" s="8">
        <v>371</v>
      </c>
      <c r="N113" s="10">
        <f t="shared" si="3"/>
        <v>64.298093587521663</v>
      </c>
      <c r="O113" s="34">
        <v>6</v>
      </c>
      <c r="P113" s="8">
        <v>1153.25</v>
      </c>
      <c r="Q113" s="47" t="s">
        <v>409</v>
      </c>
      <c r="R113" s="37" t="s">
        <v>1005</v>
      </c>
      <c r="S113" s="10"/>
      <c r="T113" s="10"/>
      <c r="U113" s="10"/>
      <c r="V113" s="10"/>
      <c r="W113" s="10"/>
      <c r="X113" s="10"/>
      <c r="Y113" s="10"/>
      <c r="Z113" s="10"/>
      <c r="AA113" s="10" t="s">
        <v>412</v>
      </c>
      <c r="AB113" s="10"/>
      <c r="AC113" s="10"/>
      <c r="AD113" s="34">
        <v>24.896008999999999</v>
      </c>
      <c r="AE113" s="34">
        <v>75.997866999999999</v>
      </c>
    </row>
    <row r="114" spans="1:31">
      <c r="A114" s="8" t="s">
        <v>36</v>
      </c>
      <c r="B114" s="8" t="s">
        <v>812</v>
      </c>
      <c r="C114" s="8" t="s">
        <v>996</v>
      </c>
      <c r="D114" s="9" t="s">
        <v>1016</v>
      </c>
      <c r="E114" s="8" t="s">
        <v>1017</v>
      </c>
      <c r="F114" s="8">
        <v>1314.16</v>
      </c>
      <c r="G114" s="8">
        <v>74</v>
      </c>
      <c r="H114" s="8">
        <v>411</v>
      </c>
      <c r="I114" s="8">
        <v>209</v>
      </c>
      <c r="J114" s="8">
        <v>202</v>
      </c>
      <c r="K114" s="8">
        <v>118</v>
      </c>
      <c r="L114" s="10">
        <f t="shared" si="2"/>
        <v>28.710462287104622</v>
      </c>
      <c r="M114" s="8">
        <v>0</v>
      </c>
      <c r="N114" s="10">
        <f t="shared" si="3"/>
        <v>0</v>
      </c>
      <c r="O114" s="47">
        <v>40</v>
      </c>
      <c r="P114" s="8">
        <v>1033.5</v>
      </c>
      <c r="Q114" s="47" t="s">
        <v>409</v>
      </c>
      <c r="R114" s="37" t="s">
        <v>1018</v>
      </c>
      <c r="S114" s="10"/>
      <c r="T114" s="10"/>
      <c r="U114" s="10"/>
      <c r="V114" s="10"/>
      <c r="W114" s="10"/>
      <c r="X114" s="10"/>
      <c r="Y114" s="10"/>
      <c r="Z114" s="10"/>
      <c r="AA114" s="10" t="s">
        <v>412</v>
      </c>
      <c r="AB114" s="10"/>
      <c r="AC114" s="10"/>
      <c r="AD114" s="47">
        <v>24.894345000000001</v>
      </c>
      <c r="AE114" s="47">
        <v>75.972728000000004</v>
      </c>
    </row>
    <row r="115" spans="1:31">
      <c r="A115" s="8" t="s">
        <v>36</v>
      </c>
      <c r="B115" s="8" t="s">
        <v>812</v>
      </c>
      <c r="C115" s="8" t="s">
        <v>996</v>
      </c>
      <c r="D115" s="9" t="s">
        <v>1016</v>
      </c>
      <c r="E115" s="8"/>
      <c r="F115" s="8"/>
      <c r="G115" s="8"/>
      <c r="H115" s="8"/>
      <c r="I115" s="8"/>
      <c r="J115" s="8"/>
      <c r="K115" s="8"/>
      <c r="L115" s="10" t="e">
        <f t="shared" si="2"/>
        <v>#DIV/0!</v>
      </c>
      <c r="M115" s="8"/>
      <c r="N115" s="10" t="e">
        <f t="shared" si="3"/>
        <v>#DIV/0!</v>
      </c>
      <c r="O115" s="18"/>
      <c r="P115" s="8"/>
      <c r="Q115" s="51" t="s">
        <v>586</v>
      </c>
      <c r="R115" s="18"/>
      <c r="S115" s="10"/>
      <c r="T115" s="88">
        <v>0</v>
      </c>
      <c r="U115" s="10"/>
      <c r="V115" s="10"/>
      <c r="W115" s="10"/>
      <c r="X115" s="10"/>
      <c r="Y115" s="10"/>
      <c r="Z115" s="10"/>
      <c r="AA115" s="10" t="s">
        <v>412</v>
      </c>
      <c r="AB115" s="88"/>
      <c r="AC115" s="10"/>
      <c r="AD115" s="18"/>
      <c r="AE115" s="18"/>
    </row>
    <row r="116" spans="1:31">
      <c r="A116" s="8" t="s">
        <v>36</v>
      </c>
      <c r="B116" s="8" t="s">
        <v>812</v>
      </c>
      <c r="C116" s="8" t="s">
        <v>996</v>
      </c>
      <c r="D116" s="9" t="s">
        <v>1019</v>
      </c>
      <c r="E116" s="8" t="s">
        <v>1020</v>
      </c>
      <c r="F116" s="8">
        <v>653.47</v>
      </c>
      <c r="G116" s="8">
        <v>43</v>
      </c>
      <c r="H116" s="8">
        <v>249</v>
      </c>
      <c r="I116" s="8">
        <v>129</v>
      </c>
      <c r="J116" s="8">
        <v>120</v>
      </c>
      <c r="K116" s="8">
        <v>58</v>
      </c>
      <c r="L116" s="10">
        <f t="shared" si="2"/>
        <v>23.293172690763054</v>
      </c>
      <c r="M116" s="8">
        <v>1</v>
      </c>
      <c r="N116" s="10">
        <f t="shared" si="3"/>
        <v>0.40160642570281119</v>
      </c>
      <c r="O116" s="10"/>
      <c r="P116" s="8">
        <v>474.55</v>
      </c>
      <c r="Q116" s="10"/>
      <c r="R116" s="10"/>
      <c r="S116" s="10"/>
      <c r="T116" s="40">
        <v>2</v>
      </c>
      <c r="U116" s="10"/>
      <c r="V116" s="10"/>
      <c r="W116" s="10"/>
      <c r="X116" s="10"/>
      <c r="Y116" s="10"/>
      <c r="Z116" s="10"/>
      <c r="AA116" s="10" t="s">
        <v>408</v>
      </c>
      <c r="AB116" s="40">
        <v>5</v>
      </c>
      <c r="AC116" s="10"/>
      <c r="AD116" s="10"/>
      <c r="AE116" s="10"/>
    </row>
    <row r="117" spans="1:31">
      <c r="A117" s="8" t="s">
        <v>36</v>
      </c>
      <c r="B117" s="8" t="s">
        <v>812</v>
      </c>
      <c r="C117" s="8" t="s">
        <v>996</v>
      </c>
      <c r="D117" s="9" t="s">
        <v>1021</v>
      </c>
      <c r="E117" s="8" t="s">
        <v>1022</v>
      </c>
      <c r="F117" s="8">
        <v>145.35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10" t="e">
        <f t="shared" si="2"/>
        <v>#DIV/0!</v>
      </c>
      <c r="M117" s="8">
        <v>0</v>
      </c>
      <c r="N117" s="10" t="e">
        <f t="shared" si="3"/>
        <v>#DIV/0!</v>
      </c>
      <c r="O117" s="37">
        <v>0</v>
      </c>
      <c r="P117" s="8">
        <v>145.35</v>
      </c>
      <c r="Q117" s="47" t="s">
        <v>409</v>
      </c>
      <c r="R117" s="37" t="s">
        <v>1018</v>
      </c>
      <c r="S117" s="10"/>
      <c r="T117" s="88">
        <v>0</v>
      </c>
      <c r="U117" s="10"/>
      <c r="V117" s="10"/>
      <c r="W117" s="10"/>
      <c r="X117" s="10"/>
      <c r="Y117" s="10"/>
      <c r="Z117" s="10"/>
      <c r="AA117" s="10" t="s">
        <v>412</v>
      </c>
      <c r="AB117" s="88"/>
      <c r="AC117" s="10"/>
      <c r="AD117" s="33">
        <v>24.900331999999999</v>
      </c>
      <c r="AE117" s="37">
        <v>75.939717000000002</v>
      </c>
    </row>
    <row r="118" spans="1:31">
      <c r="A118" s="8" t="s">
        <v>36</v>
      </c>
      <c r="B118" s="8" t="s">
        <v>812</v>
      </c>
      <c r="C118" s="8" t="s">
        <v>1023</v>
      </c>
      <c r="D118" s="9" t="s">
        <v>1024</v>
      </c>
      <c r="E118" s="8" t="s">
        <v>1025</v>
      </c>
      <c r="F118" s="8">
        <v>1778</v>
      </c>
      <c r="G118" s="8">
        <v>965</v>
      </c>
      <c r="H118" s="8">
        <v>4472</v>
      </c>
      <c r="I118" s="8">
        <v>2275</v>
      </c>
      <c r="J118" s="8">
        <v>2197</v>
      </c>
      <c r="K118" s="8">
        <v>1403</v>
      </c>
      <c r="L118" s="10">
        <f t="shared" si="2"/>
        <v>31.372987477638642</v>
      </c>
      <c r="M118" s="8">
        <v>91</v>
      </c>
      <c r="N118" s="10">
        <f t="shared" si="3"/>
        <v>2.0348837209302326</v>
      </c>
      <c r="O118" s="52">
        <v>67.44</v>
      </c>
      <c r="P118" s="8">
        <v>881</v>
      </c>
      <c r="Q118" s="50" t="s">
        <v>586</v>
      </c>
      <c r="R118" s="53">
        <v>44595</v>
      </c>
      <c r="S118" s="10"/>
      <c r="T118" s="40">
        <v>0</v>
      </c>
      <c r="U118" s="10"/>
      <c r="V118" s="10"/>
      <c r="W118" s="10"/>
      <c r="X118" s="10"/>
      <c r="Y118" s="10"/>
      <c r="Z118" s="10"/>
      <c r="AA118" s="10" t="s">
        <v>412</v>
      </c>
      <c r="AB118" s="40"/>
      <c r="AC118" s="10"/>
      <c r="AD118" s="52">
        <v>24.992436999999999</v>
      </c>
      <c r="AE118" s="52">
        <v>75.923748000000003</v>
      </c>
    </row>
    <row r="119" spans="1:31">
      <c r="A119" s="8" t="s">
        <v>36</v>
      </c>
      <c r="B119" s="8" t="s">
        <v>812</v>
      </c>
      <c r="C119" s="8" t="s">
        <v>1023</v>
      </c>
      <c r="D119" s="9" t="s">
        <v>1024</v>
      </c>
      <c r="E119" s="8"/>
      <c r="F119" s="8"/>
      <c r="G119" s="8"/>
      <c r="H119" s="8"/>
      <c r="I119" s="8"/>
      <c r="J119" s="8"/>
      <c r="K119" s="8"/>
      <c r="L119" s="10" t="e">
        <f t="shared" si="2"/>
        <v>#DIV/0!</v>
      </c>
      <c r="M119" s="8"/>
      <c r="N119" s="10" t="e">
        <f t="shared" si="3"/>
        <v>#DIV/0!</v>
      </c>
      <c r="O119" s="47">
        <v>61</v>
      </c>
      <c r="P119" s="8"/>
      <c r="Q119" s="47" t="s">
        <v>409</v>
      </c>
      <c r="R119" s="47" t="s">
        <v>1026</v>
      </c>
      <c r="S119" s="10"/>
      <c r="T119" s="40">
        <v>0</v>
      </c>
      <c r="U119" s="10"/>
      <c r="V119" s="10"/>
      <c r="W119" s="10"/>
      <c r="X119" s="10"/>
      <c r="Y119" s="10"/>
      <c r="Z119" s="10"/>
      <c r="AA119" s="10" t="s">
        <v>412</v>
      </c>
      <c r="AB119" s="40"/>
      <c r="AC119" s="10"/>
      <c r="AD119" s="47">
        <v>24.987781999999999</v>
      </c>
      <c r="AE119" s="47">
        <v>75.914079999999998</v>
      </c>
    </row>
    <row r="120" spans="1:31">
      <c r="A120" s="8" t="s">
        <v>36</v>
      </c>
      <c r="B120" s="8" t="s">
        <v>812</v>
      </c>
      <c r="C120" s="8" t="s">
        <v>1023</v>
      </c>
      <c r="D120" s="9" t="s">
        <v>1024</v>
      </c>
      <c r="E120" s="8"/>
      <c r="F120" s="8"/>
      <c r="G120" s="8"/>
      <c r="H120" s="8"/>
      <c r="I120" s="8"/>
      <c r="J120" s="8"/>
      <c r="K120" s="8"/>
      <c r="L120" s="10" t="e">
        <f t="shared" si="2"/>
        <v>#DIV/0!</v>
      </c>
      <c r="M120" s="8"/>
      <c r="N120" s="10" t="e">
        <f t="shared" si="3"/>
        <v>#DIV/0!</v>
      </c>
      <c r="O120" s="18"/>
      <c r="P120" s="8"/>
      <c r="Q120" s="51" t="s">
        <v>586</v>
      </c>
      <c r="R120" s="18"/>
      <c r="S120" s="10"/>
      <c r="T120" s="47">
        <v>0</v>
      </c>
      <c r="U120" s="10"/>
      <c r="V120" s="10"/>
      <c r="W120" s="10"/>
      <c r="X120" s="10"/>
      <c r="Y120" s="10"/>
      <c r="Z120" s="10"/>
      <c r="AA120" s="10" t="s">
        <v>412</v>
      </c>
      <c r="AB120" s="47"/>
      <c r="AC120" s="10"/>
      <c r="AD120" s="18" t="s">
        <v>432</v>
      </c>
      <c r="AE120" s="18"/>
    </row>
    <row r="121" spans="1:31">
      <c r="A121" s="8" t="s">
        <v>36</v>
      </c>
      <c r="B121" s="8" t="s">
        <v>812</v>
      </c>
      <c r="C121" s="8" t="s">
        <v>1023</v>
      </c>
      <c r="D121" s="9" t="s">
        <v>1027</v>
      </c>
      <c r="E121" s="8" t="s">
        <v>1028</v>
      </c>
      <c r="F121" s="8">
        <v>408</v>
      </c>
      <c r="G121" s="8">
        <v>127</v>
      </c>
      <c r="H121" s="8">
        <v>667</v>
      </c>
      <c r="I121" s="8">
        <v>334</v>
      </c>
      <c r="J121" s="8">
        <v>333</v>
      </c>
      <c r="K121" s="8">
        <v>0</v>
      </c>
      <c r="L121" s="10">
        <f t="shared" si="2"/>
        <v>0</v>
      </c>
      <c r="M121" s="8">
        <v>12</v>
      </c>
      <c r="N121" s="10">
        <f t="shared" si="3"/>
        <v>1.7991004497751124</v>
      </c>
      <c r="O121" s="10"/>
      <c r="P121" s="8">
        <v>64</v>
      </c>
      <c r="Q121" s="10"/>
      <c r="R121" s="10"/>
      <c r="S121" s="10"/>
      <c r="T121" s="18">
        <v>31.47</v>
      </c>
      <c r="U121" s="10"/>
      <c r="V121" s="10"/>
      <c r="W121" s="10"/>
      <c r="X121" s="10"/>
      <c r="Y121" s="10"/>
      <c r="Z121" s="10"/>
      <c r="AA121" s="10" t="s">
        <v>408</v>
      </c>
      <c r="AB121" s="18">
        <v>10</v>
      </c>
      <c r="AC121" s="10"/>
      <c r="AD121" s="10"/>
      <c r="AE121" s="10"/>
    </row>
    <row r="122" spans="1:31">
      <c r="A122" s="8" t="s">
        <v>36</v>
      </c>
      <c r="B122" s="8" t="s">
        <v>812</v>
      </c>
      <c r="C122" s="8" t="s">
        <v>1023</v>
      </c>
      <c r="D122" s="9" t="s">
        <v>1029</v>
      </c>
      <c r="E122" s="8" t="s">
        <v>1030</v>
      </c>
      <c r="F122" s="8">
        <v>364</v>
      </c>
      <c r="G122" s="8">
        <v>106</v>
      </c>
      <c r="H122" s="8">
        <v>483</v>
      </c>
      <c r="I122" s="8">
        <v>242</v>
      </c>
      <c r="J122" s="8">
        <v>241</v>
      </c>
      <c r="K122" s="8">
        <v>302</v>
      </c>
      <c r="L122" s="10">
        <f t="shared" si="2"/>
        <v>62.52587991718427</v>
      </c>
      <c r="M122" s="8">
        <v>93</v>
      </c>
      <c r="N122" s="10">
        <f t="shared" si="3"/>
        <v>19.254658385093169</v>
      </c>
      <c r="O122" s="10"/>
      <c r="P122" s="8">
        <v>101</v>
      </c>
      <c r="Q122" s="10"/>
      <c r="R122" s="10"/>
      <c r="S122" s="10"/>
      <c r="T122" s="18">
        <v>0</v>
      </c>
      <c r="U122" s="10"/>
      <c r="V122" s="10"/>
      <c r="W122" s="10"/>
      <c r="X122" s="10"/>
      <c r="Y122" s="10"/>
      <c r="Z122" s="10"/>
      <c r="AA122" s="10" t="s">
        <v>412</v>
      </c>
      <c r="AB122" s="18"/>
      <c r="AC122" s="10"/>
      <c r="AD122" s="10"/>
      <c r="AE122" s="10"/>
    </row>
    <row r="123" spans="1:31">
      <c r="A123" s="8" t="s">
        <v>36</v>
      </c>
      <c r="B123" s="8" t="s">
        <v>812</v>
      </c>
      <c r="C123" s="8" t="s">
        <v>1023</v>
      </c>
      <c r="D123" s="9" t="s">
        <v>1031</v>
      </c>
      <c r="E123" s="8" t="s">
        <v>1032</v>
      </c>
      <c r="F123" s="8">
        <v>1444.84</v>
      </c>
      <c r="G123" s="8">
        <v>57</v>
      </c>
      <c r="H123" s="8">
        <v>248</v>
      </c>
      <c r="I123" s="8">
        <v>110</v>
      </c>
      <c r="J123" s="8">
        <v>138</v>
      </c>
      <c r="K123" s="8">
        <v>0</v>
      </c>
      <c r="L123" s="10">
        <f t="shared" si="2"/>
        <v>0</v>
      </c>
      <c r="M123" s="8">
        <v>182</v>
      </c>
      <c r="N123" s="10">
        <f t="shared" si="3"/>
        <v>73.387096774193552</v>
      </c>
      <c r="O123" s="52" t="s">
        <v>1033</v>
      </c>
      <c r="P123" s="8">
        <v>1327</v>
      </c>
      <c r="Q123" s="50" t="s">
        <v>586</v>
      </c>
      <c r="R123" s="53">
        <v>44596</v>
      </c>
      <c r="S123" s="10"/>
      <c r="T123" s="18">
        <v>142</v>
      </c>
      <c r="U123" s="10"/>
      <c r="V123" s="10"/>
      <c r="W123" s="10"/>
      <c r="X123" s="10"/>
      <c r="Y123" s="10"/>
      <c r="Z123" s="10"/>
      <c r="AA123" s="10" t="s">
        <v>408</v>
      </c>
      <c r="AB123" s="18">
        <v>4</v>
      </c>
      <c r="AC123" s="10"/>
      <c r="AD123" s="52">
        <v>25.008537</v>
      </c>
      <c r="AE123" s="52">
        <v>75.963641999999993</v>
      </c>
    </row>
    <row r="124" spans="1:31">
      <c r="A124" s="8" t="s">
        <v>36</v>
      </c>
      <c r="B124" s="8" t="s">
        <v>812</v>
      </c>
      <c r="C124" s="8" t="s">
        <v>1023</v>
      </c>
      <c r="D124" s="9" t="s">
        <v>1034</v>
      </c>
      <c r="E124" s="8" t="s">
        <v>1035</v>
      </c>
      <c r="F124" s="8">
        <v>347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10" t="e">
        <f t="shared" si="2"/>
        <v>#DIV/0!</v>
      </c>
      <c r="M124" s="8">
        <v>0</v>
      </c>
      <c r="N124" s="10" t="e">
        <f t="shared" si="3"/>
        <v>#DIV/0!</v>
      </c>
      <c r="O124" s="10"/>
      <c r="P124" s="8">
        <v>347</v>
      </c>
      <c r="Q124" s="10"/>
      <c r="R124" s="10"/>
      <c r="S124" s="10"/>
      <c r="T124" s="18">
        <v>48.73</v>
      </c>
      <c r="U124" s="10"/>
      <c r="V124" s="10"/>
      <c r="W124" s="10"/>
      <c r="X124" s="10"/>
      <c r="Y124" s="10"/>
      <c r="Z124" s="10"/>
      <c r="AA124" s="10" t="s">
        <v>408</v>
      </c>
      <c r="AB124" s="18">
        <v>11</v>
      </c>
      <c r="AC124" s="10"/>
      <c r="AD124" s="10"/>
      <c r="AE124" s="10"/>
    </row>
    <row r="125" spans="1:31">
      <c r="A125" s="8" t="s">
        <v>36</v>
      </c>
      <c r="B125" s="8" t="s">
        <v>812</v>
      </c>
      <c r="C125" s="8" t="s">
        <v>1023</v>
      </c>
      <c r="D125" s="9" t="s">
        <v>1036</v>
      </c>
      <c r="E125" s="8" t="s">
        <v>1037</v>
      </c>
      <c r="F125" s="8">
        <v>236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10" t="e">
        <f t="shared" si="2"/>
        <v>#DIV/0!</v>
      </c>
      <c r="M125" s="8">
        <v>0</v>
      </c>
      <c r="N125" s="10" t="e">
        <f t="shared" si="3"/>
        <v>#DIV/0!</v>
      </c>
      <c r="O125" s="10"/>
      <c r="P125" s="8">
        <v>236</v>
      </c>
      <c r="Q125" s="10"/>
      <c r="R125" s="10"/>
      <c r="S125" s="10"/>
      <c r="T125" s="18">
        <v>98</v>
      </c>
      <c r="U125" s="10"/>
      <c r="V125" s="10"/>
      <c r="W125" s="10"/>
      <c r="X125" s="10"/>
      <c r="Y125" s="10"/>
      <c r="Z125" s="10"/>
      <c r="AA125" s="10" t="s">
        <v>408</v>
      </c>
      <c r="AB125" s="18">
        <v>10</v>
      </c>
      <c r="AC125" s="10"/>
      <c r="AD125" s="10"/>
      <c r="AE125" s="10"/>
    </row>
    <row r="126" spans="1:31">
      <c r="A126" s="8" t="s">
        <v>36</v>
      </c>
      <c r="B126" s="8" t="s">
        <v>812</v>
      </c>
      <c r="C126" s="8" t="s">
        <v>1038</v>
      </c>
      <c r="D126" s="9" t="s">
        <v>823</v>
      </c>
      <c r="E126" s="8" t="s">
        <v>1039</v>
      </c>
      <c r="F126" s="8">
        <v>620.21</v>
      </c>
      <c r="G126" s="8">
        <v>500</v>
      </c>
      <c r="H126" s="8">
        <v>2790</v>
      </c>
      <c r="I126" s="8">
        <v>1437</v>
      </c>
      <c r="J126" s="8">
        <v>1353</v>
      </c>
      <c r="K126" s="8">
        <v>359</v>
      </c>
      <c r="L126" s="10">
        <f t="shared" si="2"/>
        <v>12.867383512544803</v>
      </c>
      <c r="M126" s="8">
        <v>16</v>
      </c>
      <c r="N126" s="10">
        <f t="shared" si="3"/>
        <v>0.57347670250896055</v>
      </c>
      <c r="O126" s="38">
        <v>0</v>
      </c>
      <c r="P126" s="8">
        <v>0</v>
      </c>
      <c r="Q126" s="40" t="s">
        <v>409</v>
      </c>
      <c r="R126" s="38" t="s">
        <v>1040</v>
      </c>
      <c r="S126" s="10"/>
      <c r="T126" s="18">
        <v>0</v>
      </c>
      <c r="U126" s="10"/>
      <c r="V126" s="10"/>
      <c r="W126" s="10"/>
      <c r="X126" s="10"/>
      <c r="Y126" s="10"/>
      <c r="Z126" s="10"/>
      <c r="AA126" s="10" t="s">
        <v>412</v>
      </c>
      <c r="AB126" s="18"/>
      <c r="AC126" s="10"/>
      <c r="AD126" s="36">
        <v>0</v>
      </c>
      <c r="AE126" s="38">
        <v>0</v>
      </c>
    </row>
    <row r="127" spans="1:31">
      <c r="A127" s="8" t="s">
        <v>36</v>
      </c>
      <c r="B127" s="8" t="s">
        <v>812</v>
      </c>
      <c r="C127" s="8" t="s">
        <v>1038</v>
      </c>
      <c r="D127" s="9" t="s">
        <v>1041</v>
      </c>
      <c r="E127" s="8" t="s">
        <v>1042</v>
      </c>
      <c r="F127" s="8">
        <v>166.99</v>
      </c>
      <c r="G127" s="8">
        <v>67</v>
      </c>
      <c r="H127" s="8">
        <v>334</v>
      </c>
      <c r="I127" s="8">
        <v>167</v>
      </c>
      <c r="J127" s="8">
        <v>167</v>
      </c>
      <c r="K127" s="8">
        <v>328</v>
      </c>
      <c r="L127" s="10">
        <f t="shared" si="2"/>
        <v>98.203592814371248</v>
      </c>
      <c r="M127" s="8">
        <v>1</v>
      </c>
      <c r="N127" s="10">
        <f t="shared" si="3"/>
        <v>0.29940119760479045</v>
      </c>
      <c r="O127" s="40">
        <v>7.34</v>
      </c>
      <c r="P127" s="8">
        <v>0</v>
      </c>
      <c r="Q127" s="40" t="s">
        <v>409</v>
      </c>
      <c r="R127" s="38" t="s">
        <v>1040</v>
      </c>
      <c r="S127" s="10"/>
      <c r="T127" s="10"/>
      <c r="U127" s="10"/>
      <c r="V127" s="10"/>
      <c r="W127" s="10"/>
      <c r="X127" s="10"/>
      <c r="Y127" s="10"/>
      <c r="Z127" s="10"/>
      <c r="AA127" s="10" t="s">
        <v>412</v>
      </c>
      <c r="AB127" s="10"/>
      <c r="AC127" s="10"/>
      <c r="AD127" s="40">
        <v>25.137143999999999</v>
      </c>
      <c r="AE127" s="40">
        <v>75.955940999999996</v>
      </c>
    </row>
    <row r="128" spans="1:31">
      <c r="A128" s="8" t="s">
        <v>36</v>
      </c>
      <c r="B128" s="8" t="s">
        <v>812</v>
      </c>
      <c r="C128" s="8" t="s">
        <v>1038</v>
      </c>
      <c r="D128" s="9" t="s">
        <v>285</v>
      </c>
      <c r="E128" s="8" t="s">
        <v>1043</v>
      </c>
      <c r="F128" s="8">
        <v>442.04</v>
      </c>
      <c r="G128" s="8">
        <v>293</v>
      </c>
      <c r="H128" s="8">
        <v>1651</v>
      </c>
      <c r="I128" s="8">
        <v>840</v>
      </c>
      <c r="J128" s="8">
        <v>811</v>
      </c>
      <c r="K128" s="8">
        <v>438</v>
      </c>
      <c r="L128" s="10">
        <f t="shared" si="2"/>
        <v>26.529376135675349</v>
      </c>
      <c r="M128" s="8">
        <v>61</v>
      </c>
      <c r="N128" s="10">
        <f t="shared" si="3"/>
        <v>3.6947304663840095</v>
      </c>
      <c r="O128" s="38">
        <v>0</v>
      </c>
      <c r="P128" s="8">
        <v>0</v>
      </c>
      <c r="Q128" s="40" t="s">
        <v>409</v>
      </c>
      <c r="R128" s="38" t="s">
        <v>1040</v>
      </c>
      <c r="S128" s="10"/>
      <c r="T128" s="52">
        <v>233.06</v>
      </c>
      <c r="U128" s="10"/>
      <c r="V128" s="10"/>
      <c r="W128" s="10"/>
      <c r="X128" s="10"/>
      <c r="Y128" s="10"/>
      <c r="Z128" s="10"/>
      <c r="AA128" s="10" t="s">
        <v>412</v>
      </c>
      <c r="AB128" s="52"/>
      <c r="AC128" s="10"/>
      <c r="AD128" s="38">
        <v>0</v>
      </c>
      <c r="AE128" s="38">
        <v>0</v>
      </c>
    </row>
    <row r="129" spans="1:31">
      <c r="A129" s="8" t="s">
        <v>36</v>
      </c>
      <c r="B129" s="8" t="s">
        <v>812</v>
      </c>
      <c r="C129" s="8" t="s">
        <v>1044</v>
      </c>
      <c r="D129" s="9" t="s">
        <v>1045</v>
      </c>
      <c r="E129" s="8" t="s">
        <v>1046</v>
      </c>
      <c r="F129" s="8">
        <v>428.28</v>
      </c>
      <c r="G129" s="8">
        <v>558</v>
      </c>
      <c r="H129" s="8">
        <v>3250</v>
      </c>
      <c r="I129" s="8">
        <v>1714</v>
      </c>
      <c r="J129" s="8">
        <v>1536</v>
      </c>
      <c r="K129" s="8">
        <v>731</v>
      </c>
      <c r="L129" s="10">
        <f t="shared" si="2"/>
        <v>22.492307692307691</v>
      </c>
      <c r="M129" s="8">
        <v>129</v>
      </c>
      <c r="N129" s="10">
        <f t="shared" si="3"/>
        <v>3.9692307692307693</v>
      </c>
      <c r="O129" s="40">
        <v>1.4</v>
      </c>
      <c r="P129" s="8">
        <v>0</v>
      </c>
      <c r="Q129" s="40" t="s">
        <v>409</v>
      </c>
      <c r="R129" s="40" t="s">
        <v>628</v>
      </c>
      <c r="S129" s="10"/>
      <c r="T129" s="52">
        <v>10.25</v>
      </c>
      <c r="U129" s="10"/>
      <c r="V129" s="10"/>
      <c r="W129" s="10"/>
      <c r="X129" s="10"/>
      <c r="Y129" s="10"/>
      <c r="Z129" s="10"/>
      <c r="AA129" s="10" t="s">
        <v>412</v>
      </c>
      <c r="AB129" s="52"/>
      <c r="AC129" s="10"/>
      <c r="AD129" s="40">
        <v>25.202331000000001</v>
      </c>
      <c r="AE129" s="40">
        <v>75.964286000000001</v>
      </c>
    </row>
    <row r="130" spans="1:31">
      <c r="A130" s="8" t="s">
        <v>36</v>
      </c>
      <c r="B130" s="8" t="s">
        <v>812</v>
      </c>
      <c r="C130" s="8" t="s">
        <v>1044</v>
      </c>
      <c r="D130" s="9" t="s">
        <v>1047</v>
      </c>
      <c r="E130" s="8" t="s">
        <v>1048</v>
      </c>
      <c r="F130" s="8">
        <v>601.62</v>
      </c>
      <c r="G130" s="8">
        <v>148</v>
      </c>
      <c r="H130" s="8">
        <v>696</v>
      </c>
      <c r="I130" s="8">
        <v>352</v>
      </c>
      <c r="J130" s="8">
        <v>344</v>
      </c>
      <c r="K130" s="8">
        <v>229</v>
      </c>
      <c r="L130" s="10">
        <f t="shared" si="2"/>
        <v>32.902298850574709</v>
      </c>
      <c r="M130" s="8">
        <v>14</v>
      </c>
      <c r="N130" s="10">
        <f t="shared" si="3"/>
        <v>2.0114942528735633</v>
      </c>
      <c r="O130" s="40">
        <v>0.15</v>
      </c>
      <c r="P130" s="8">
        <v>0</v>
      </c>
      <c r="Q130" s="40" t="s">
        <v>409</v>
      </c>
      <c r="R130" s="40" t="s">
        <v>628</v>
      </c>
      <c r="S130" s="10"/>
      <c r="T130" s="47">
        <v>102</v>
      </c>
      <c r="U130" s="10"/>
      <c r="V130" s="10"/>
      <c r="W130" s="10"/>
      <c r="X130" s="10"/>
      <c r="Y130" s="10"/>
      <c r="Z130" s="10"/>
      <c r="AA130" s="10" t="s">
        <v>408</v>
      </c>
      <c r="AB130" s="47">
        <v>15</v>
      </c>
      <c r="AC130" s="10"/>
      <c r="AD130" s="40">
        <v>25.226922999999999</v>
      </c>
      <c r="AE130" s="40">
        <v>75.962047999999996</v>
      </c>
    </row>
    <row r="131" spans="1:31">
      <c r="A131" s="8" t="s">
        <v>36</v>
      </c>
      <c r="B131" s="8" t="s">
        <v>812</v>
      </c>
      <c r="C131" s="8" t="s">
        <v>1044</v>
      </c>
      <c r="D131" s="9" t="s">
        <v>1049</v>
      </c>
      <c r="E131" s="8" t="s">
        <v>1050</v>
      </c>
      <c r="F131" s="8">
        <v>539.34</v>
      </c>
      <c r="G131" s="8">
        <v>165</v>
      </c>
      <c r="H131" s="8">
        <v>956</v>
      </c>
      <c r="I131" s="8">
        <v>488</v>
      </c>
      <c r="J131" s="8">
        <v>468</v>
      </c>
      <c r="K131" s="8">
        <v>253</v>
      </c>
      <c r="L131" s="10">
        <f t="shared" si="2"/>
        <v>26.464435146443517</v>
      </c>
      <c r="M131" s="8">
        <v>42</v>
      </c>
      <c r="N131" s="10">
        <f t="shared" si="3"/>
        <v>4.3933054393305433</v>
      </c>
      <c r="O131" s="47">
        <v>0</v>
      </c>
      <c r="P131" s="8">
        <v>0</v>
      </c>
      <c r="Q131" s="47" t="s">
        <v>409</v>
      </c>
      <c r="R131" s="47" t="s">
        <v>628</v>
      </c>
      <c r="S131" s="10"/>
      <c r="T131" s="10"/>
      <c r="U131" s="10"/>
      <c r="V131" s="10"/>
      <c r="W131" s="10"/>
      <c r="X131" s="10"/>
      <c r="Y131" s="10"/>
      <c r="Z131" s="10"/>
      <c r="AA131" s="10" t="s">
        <v>412</v>
      </c>
      <c r="AB131" s="10"/>
      <c r="AC131" s="10"/>
      <c r="AD131" s="47">
        <v>0</v>
      </c>
      <c r="AE131" s="47">
        <v>0</v>
      </c>
    </row>
    <row r="132" spans="1:31">
      <c r="A132" s="8" t="s">
        <v>36</v>
      </c>
      <c r="B132" s="8" t="s">
        <v>812</v>
      </c>
      <c r="C132" s="8" t="s">
        <v>1051</v>
      </c>
      <c r="D132" s="9" t="s">
        <v>1052</v>
      </c>
      <c r="E132" s="8" t="s">
        <v>1053</v>
      </c>
      <c r="F132" s="8">
        <v>1446</v>
      </c>
      <c r="G132" s="8">
        <v>400</v>
      </c>
      <c r="H132" s="8">
        <v>2718</v>
      </c>
      <c r="I132" s="8">
        <v>1403</v>
      </c>
      <c r="J132" s="8">
        <v>1315</v>
      </c>
      <c r="K132" s="8">
        <v>11</v>
      </c>
      <c r="L132" s="10">
        <f t="shared" si="2"/>
        <v>0.40470934510669615</v>
      </c>
      <c r="M132" s="8">
        <v>171</v>
      </c>
      <c r="N132" s="10">
        <f t="shared" si="3"/>
        <v>6.2913907284768218</v>
      </c>
      <c r="O132" s="18">
        <v>31.47</v>
      </c>
      <c r="P132" s="8">
        <v>1172</v>
      </c>
      <c r="Q132" s="49" t="s">
        <v>409</v>
      </c>
      <c r="R132" s="21">
        <v>45478</v>
      </c>
      <c r="S132" s="10"/>
      <c r="T132" s="10"/>
      <c r="U132" s="10"/>
      <c r="V132" s="10"/>
      <c r="W132" s="10"/>
      <c r="X132" s="10"/>
      <c r="Y132" s="10"/>
      <c r="Z132" s="10"/>
      <c r="AA132" s="10" t="s">
        <v>412</v>
      </c>
      <c r="AB132" s="10"/>
      <c r="AC132" s="10"/>
      <c r="AD132" s="18">
        <v>25.413938000000002</v>
      </c>
      <c r="AE132" s="18">
        <v>76.336720999999997</v>
      </c>
    </row>
    <row r="133" spans="1:31">
      <c r="A133" s="8" t="s">
        <v>36</v>
      </c>
      <c r="B133" s="8" t="s">
        <v>812</v>
      </c>
      <c r="C133" s="8" t="s">
        <v>1051</v>
      </c>
      <c r="D133" s="9" t="s">
        <v>1052</v>
      </c>
      <c r="E133" s="8"/>
      <c r="F133" s="8"/>
      <c r="G133" s="8"/>
      <c r="H133" s="8"/>
      <c r="I133" s="8"/>
      <c r="J133" s="8"/>
      <c r="K133" s="8"/>
      <c r="L133" s="10" t="e">
        <f t="shared" ref="L133:L173" si="4">K133/H133*100</f>
        <v>#DIV/0!</v>
      </c>
      <c r="M133" s="8"/>
      <c r="N133" s="10" t="e">
        <f t="shared" si="3"/>
        <v>#DIV/0!</v>
      </c>
      <c r="O133" s="18"/>
      <c r="P133" s="8"/>
      <c r="Q133" s="51" t="s">
        <v>586</v>
      </c>
      <c r="R133" s="18"/>
      <c r="S133" s="10"/>
      <c r="T133" s="47">
        <v>55</v>
      </c>
      <c r="U133" s="10"/>
      <c r="V133" s="10"/>
      <c r="W133" s="10"/>
      <c r="X133" s="10"/>
      <c r="Y133" s="10"/>
      <c r="Z133" s="10"/>
      <c r="AA133" s="10" t="s">
        <v>408</v>
      </c>
      <c r="AB133" s="47">
        <v>11</v>
      </c>
      <c r="AC133" s="10"/>
      <c r="AD133" s="18"/>
      <c r="AE133" s="18"/>
    </row>
    <row r="134" spans="1:31">
      <c r="A134" s="8" t="s">
        <v>36</v>
      </c>
      <c r="B134" s="8" t="s">
        <v>812</v>
      </c>
      <c r="C134" s="8" t="s">
        <v>1051</v>
      </c>
      <c r="D134" s="9" t="s">
        <v>1054</v>
      </c>
      <c r="E134" s="8" t="s">
        <v>1055</v>
      </c>
      <c r="F134" s="8">
        <v>386</v>
      </c>
      <c r="G134" s="8">
        <v>102</v>
      </c>
      <c r="H134" s="8">
        <v>556</v>
      </c>
      <c r="I134" s="8">
        <v>293</v>
      </c>
      <c r="J134" s="8">
        <v>263</v>
      </c>
      <c r="K134" s="8">
        <v>14</v>
      </c>
      <c r="L134" s="10">
        <f t="shared" si="4"/>
        <v>2.5179856115107913</v>
      </c>
      <c r="M134" s="8">
        <v>392</v>
      </c>
      <c r="N134" s="10">
        <f t="shared" ref="N134:N173" si="5">M134/H134*100</f>
        <v>70.503597122302153</v>
      </c>
      <c r="O134" s="18">
        <v>0</v>
      </c>
      <c r="P134" s="8">
        <v>200</v>
      </c>
      <c r="Q134" s="49" t="s">
        <v>409</v>
      </c>
      <c r="R134" s="21">
        <v>45479</v>
      </c>
      <c r="S134" s="10"/>
      <c r="T134" s="10"/>
      <c r="U134" s="10"/>
      <c r="V134" s="10"/>
      <c r="W134" s="10"/>
      <c r="X134" s="10"/>
      <c r="Y134" s="10"/>
      <c r="Z134" s="10"/>
      <c r="AA134" s="10" t="s">
        <v>412</v>
      </c>
      <c r="AB134" s="10"/>
      <c r="AC134" s="10"/>
      <c r="AD134" s="18" t="s">
        <v>410</v>
      </c>
      <c r="AE134" s="18" t="s">
        <v>410</v>
      </c>
    </row>
    <row r="135" spans="1:31">
      <c r="A135" s="8" t="s">
        <v>36</v>
      </c>
      <c r="B135" s="8" t="s">
        <v>812</v>
      </c>
      <c r="C135" s="8" t="s">
        <v>1051</v>
      </c>
      <c r="D135" s="9" t="s">
        <v>1056</v>
      </c>
      <c r="E135" s="8" t="s">
        <v>1057</v>
      </c>
      <c r="F135" s="8">
        <v>1850</v>
      </c>
      <c r="G135" s="8">
        <v>117</v>
      </c>
      <c r="H135" s="8">
        <v>528</v>
      </c>
      <c r="I135" s="8">
        <v>283</v>
      </c>
      <c r="J135" s="8">
        <v>245</v>
      </c>
      <c r="K135" s="8">
        <v>0</v>
      </c>
      <c r="L135" s="10">
        <f t="shared" si="4"/>
        <v>0</v>
      </c>
      <c r="M135" s="8">
        <v>226</v>
      </c>
      <c r="N135" s="10">
        <f t="shared" si="5"/>
        <v>42.803030303030305</v>
      </c>
      <c r="O135" s="18">
        <v>142</v>
      </c>
      <c r="P135" s="8">
        <v>1005</v>
      </c>
      <c r="Q135" s="49" t="s">
        <v>409</v>
      </c>
      <c r="R135" s="21">
        <v>45480</v>
      </c>
      <c r="S135" s="10"/>
      <c r="T135" s="10"/>
      <c r="U135" s="10"/>
      <c r="V135" s="10"/>
      <c r="W135" s="10"/>
      <c r="X135" s="10"/>
      <c r="Y135" s="10"/>
      <c r="Z135" s="10"/>
      <c r="AA135" s="10" t="s">
        <v>412</v>
      </c>
      <c r="AB135" s="10"/>
      <c r="AC135" s="10"/>
      <c r="AD135" s="18">
        <v>24.992692000000002</v>
      </c>
      <c r="AE135" s="18">
        <v>75.876733000000002</v>
      </c>
    </row>
    <row r="136" spans="1:31">
      <c r="A136" s="8" t="s">
        <v>36</v>
      </c>
      <c r="B136" s="8" t="s">
        <v>812</v>
      </c>
      <c r="C136" s="8" t="s">
        <v>1051</v>
      </c>
      <c r="D136" s="9" t="s">
        <v>1058</v>
      </c>
      <c r="E136" s="8" t="s">
        <v>1059</v>
      </c>
      <c r="F136" s="8">
        <v>773</v>
      </c>
      <c r="G136" s="8">
        <v>268</v>
      </c>
      <c r="H136" s="8">
        <v>1443</v>
      </c>
      <c r="I136" s="8">
        <v>743</v>
      </c>
      <c r="J136" s="8">
        <v>700</v>
      </c>
      <c r="K136" s="8">
        <v>16</v>
      </c>
      <c r="L136" s="10">
        <f t="shared" si="4"/>
        <v>1.1088011088011087</v>
      </c>
      <c r="M136" s="8">
        <v>12</v>
      </c>
      <c r="N136" s="10">
        <f t="shared" si="5"/>
        <v>0.83160083160083165</v>
      </c>
      <c r="O136" s="18">
        <v>48.73</v>
      </c>
      <c r="P136" s="8">
        <v>588</v>
      </c>
      <c r="Q136" s="49" t="s">
        <v>409</v>
      </c>
      <c r="R136" s="21">
        <v>45481</v>
      </c>
      <c r="S136" s="10"/>
      <c r="T136" s="18">
        <v>50.17</v>
      </c>
      <c r="U136" s="10"/>
      <c r="V136" s="10"/>
      <c r="W136" s="10"/>
      <c r="X136" s="10"/>
      <c r="Y136" s="10"/>
      <c r="Z136" s="10"/>
      <c r="AA136" s="10" t="s">
        <v>408</v>
      </c>
      <c r="AB136" s="18">
        <v>12</v>
      </c>
      <c r="AC136" s="10"/>
      <c r="AD136" s="18">
        <v>25.007019</v>
      </c>
      <c r="AE136" s="18">
        <v>75.856469000000004</v>
      </c>
    </row>
    <row r="137" spans="1:31">
      <c r="A137" s="8" t="s">
        <v>36</v>
      </c>
      <c r="B137" s="8" t="s">
        <v>812</v>
      </c>
      <c r="C137" s="8" t="s">
        <v>1051</v>
      </c>
      <c r="D137" s="9" t="s">
        <v>1060</v>
      </c>
      <c r="E137" s="8" t="s">
        <v>1061</v>
      </c>
      <c r="F137" s="8">
        <v>725</v>
      </c>
      <c r="G137" s="8">
        <v>335</v>
      </c>
      <c r="H137" s="8">
        <v>1785</v>
      </c>
      <c r="I137" s="8">
        <v>919</v>
      </c>
      <c r="J137" s="8">
        <v>866</v>
      </c>
      <c r="K137" s="8">
        <v>174</v>
      </c>
      <c r="L137" s="10">
        <f t="shared" si="4"/>
        <v>9.7478991596638664</v>
      </c>
      <c r="M137" s="8">
        <v>129</v>
      </c>
      <c r="N137" s="10">
        <f t="shared" si="5"/>
        <v>7.226890756302522</v>
      </c>
      <c r="O137" s="18">
        <v>98</v>
      </c>
      <c r="P137" s="8">
        <v>3</v>
      </c>
      <c r="Q137" s="49" t="s">
        <v>409</v>
      </c>
      <c r="R137" s="21">
        <v>45482</v>
      </c>
      <c r="S137" s="10"/>
      <c r="T137" s="18">
        <v>2</v>
      </c>
      <c r="U137" s="10"/>
      <c r="V137" s="10"/>
      <c r="W137" s="10"/>
      <c r="X137" s="10"/>
      <c r="Y137" s="10"/>
      <c r="Z137" s="10"/>
      <c r="AA137" s="10" t="s">
        <v>408</v>
      </c>
      <c r="AB137" s="18">
        <v>2</v>
      </c>
      <c r="AC137" s="10"/>
      <c r="AD137" s="18">
        <v>25.010843999999999</v>
      </c>
      <c r="AE137" s="18">
        <v>75.930632000000003</v>
      </c>
    </row>
    <row r="138" spans="1:31">
      <c r="A138" s="8" t="s">
        <v>36</v>
      </c>
      <c r="B138" s="8" t="s">
        <v>812</v>
      </c>
      <c r="C138" s="8" t="s">
        <v>1051</v>
      </c>
      <c r="D138" s="9" t="s">
        <v>1062</v>
      </c>
      <c r="E138" s="8" t="s">
        <v>1063</v>
      </c>
      <c r="F138" s="8">
        <v>1539.07</v>
      </c>
      <c r="G138" s="8">
        <v>102</v>
      </c>
      <c r="H138" s="8">
        <v>674</v>
      </c>
      <c r="I138" s="8">
        <v>337</v>
      </c>
      <c r="J138" s="8">
        <v>337</v>
      </c>
      <c r="K138" s="8">
        <v>10</v>
      </c>
      <c r="L138" s="10">
        <f t="shared" si="4"/>
        <v>1.4836795252225521</v>
      </c>
      <c r="M138" s="8">
        <v>0</v>
      </c>
      <c r="N138" s="10">
        <f t="shared" si="5"/>
        <v>0</v>
      </c>
      <c r="O138" s="18">
        <v>0</v>
      </c>
      <c r="P138" s="8">
        <v>1508.42</v>
      </c>
      <c r="Q138" s="18" t="s">
        <v>408</v>
      </c>
      <c r="R138" s="21">
        <v>45482</v>
      </c>
      <c r="S138" s="10"/>
      <c r="T138" s="18">
        <v>24</v>
      </c>
      <c r="U138" s="10"/>
      <c r="V138" s="10"/>
      <c r="W138" s="10"/>
      <c r="X138" s="10"/>
      <c r="Y138" s="10"/>
      <c r="Z138" s="10"/>
      <c r="AA138" s="10" t="s">
        <v>408</v>
      </c>
      <c r="AB138" s="18">
        <v>3</v>
      </c>
      <c r="AC138" s="10"/>
      <c r="AD138" s="18"/>
      <c r="AE138" s="18"/>
    </row>
    <row r="139" spans="1:31">
      <c r="A139" s="8" t="s">
        <v>36</v>
      </c>
      <c r="B139" s="8" t="s">
        <v>812</v>
      </c>
      <c r="C139" s="10"/>
      <c r="D139" s="9" t="s">
        <v>1064</v>
      </c>
      <c r="E139" s="8" t="s">
        <v>1065</v>
      </c>
      <c r="F139" s="8">
        <v>26.73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10" t="e">
        <f t="shared" si="4"/>
        <v>#DIV/0!</v>
      </c>
      <c r="M139" s="8">
        <v>0</v>
      </c>
      <c r="N139" s="10" t="e">
        <f t="shared" si="5"/>
        <v>#DIV/0!</v>
      </c>
      <c r="O139" s="10"/>
      <c r="P139" s="8">
        <v>0</v>
      </c>
      <c r="Q139" s="10"/>
      <c r="R139" s="10"/>
      <c r="S139" s="10"/>
      <c r="T139" s="50">
        <v>65.489999999999995</v>
      </c>
      <c r="U139" s="10"/>
      <c r="V139" s="10"/>
      <c r="W139" s="10"/>
      <c r="X139" s="10"/>
      <c r="Y139" s="10"/>
      <c r="Z139" s="10"/>
      <c r="AA139" s="10" t="s">
        <v>408</v>
      </c>
      <c r="AB139" s="50">
        <v>2</v>
      </c>
      <c r="AC139" s="10"/>
      <c r="AD139" s="10"/>
      <c r="AE139" s="10"/>
    </row>
    <row r="140" spans="1:31">
      <c r="A140" s="8" t="s">
        <v>36</v>
      </c>
      <c r="B140" s="8" t="s">
        <v>812</v>
      </c>
      <c r="C140" s="8" t="s">
        <v>1066</v>
      </c>
      <c r="D140" s="9" t="s">
        <v>1067</v>
      </c>
      <c r="E140" s="8" t="s">
        <v>1068</v>
      </c>
      <c r="F140" s="8">
        <v>3635.37</v>
      </c>
      <c r="G140" s="8">
        <v>1731</v>
      </c>
      <c r="H140" s="8">
        <v>8558</v>
      </c>
      <c r="I140" s="8">
        <v>4526</v>
      </c>
      <c r="J140" s="8">
        <v>4032</v>
      </c>
      <c r="K140" s="8">
        <v>2214</v>
      </c>
      <c r="L140" s="10">
        <f t="shared" si="4"/>
        <v>25.870530497779853</v>
      </c>
      <c r="M140" s="8">
        <v>446</v>
      </c>
      <c r="N140" s="10">
        <f t="shared" si="5"/>
        <v>5.2114980135545688</v>
      </c>
      <c r="O140" s="52">
        <v>233.06</v>
      </c>
      <c r="P140" s="8">
        <v>1823.89</v>
      </c>
      <c r="Q140" s="50" t="s">
        <v>586</v>
      </c>
      <c r="R140" s="53">
        <v>44602</v>
      </c>
      <c r="S140" s="10"/>
      <c r="T140" s="10"/>
      <c r="U140" s="10" t="s">
        <v>408</v>
      </c>
      <c r="V140" s="10"/>
      <c r="W140" s="10"/>
      <c r="X140" s="10"/>
      <c r="Y140" s="10"/>
      <c r="Z140" s="10"/>
      <c r="AA140" s="10" t="s">
        <v>412</v>
      </c>
      <c r="AB140" s="10"/>
      <c r="AC140" s="10"/>
      <c r="AD140" s="52">
        <v>25.115371</v>
      </c>
      <c r="AE140" s="52">
        <v>75.868437999999998</v>
      </c>
    </row>
    <row r="141" spans="1:31">
      <c r="A141" s="8" t="s">
        <v>36</v>
      </c>
      <c r="B141" s="8" t="s">
        <v>812</v>
      </c>
      <c r="C141" s="8" t="s">
        <v>1066</v>
      </c>
      <c r="D141" s="9" t="s">
        <v>1067</v>
      </c>
      <c r="E141" s="8"/>
      <c r="F141" s="8"/>
      <c r="G141" s="8"/>
      <c r="H141" s="8"/>
      <c r="I141" s="8"/>
      <c r="J141" s="8"/>
      <c r="K141" s="8"/>
      <c r="L141" s="10" t="e">
        <f t="shared" si="4"/>
        <v>#DIV/0!</v>
      </c>
      <c r="M141" s="8"/>
      <c r="N141" s="10" t="e">
        <f t="shared" si="5"/>
        <v>#DIV/0!</v>
      </c>
      <c r="O141" s="52">
        <v>233.06</v>
      </c>
      <c r="P141" s="8"/>
      <c r="Q141" s="50" t="s">
        <v>586</v>
      </c>
      <c r="R141" s="53">
        <v>44602</v>
      </c>
      <c r="S141" s="10"/>
      <c r="T141" s="52">
        <v>8.1300000000000008</v>
      </c>
      <c r="U141" s="10" t="s">
        <v>408</v>
      </c>
      <c r="V141" s="10"/>
      <c r="W141" s="10"/>
      <c r="X141" s="10"/>
      <c r="Y141" s="10"/>
      <c r="Z141" s="10"/>
      <c r="AA141" s="10" t="s">
        <v>412</v>
      </c>
      <c r="AB141" s="52"/>
      <c r="AC141" s="10"/>
      <c r="AD141" s="52">
        <v>25.115371</v>
      </c>
      <c r="AE141" s="52">
        <v>75.868437999999998</v>
      </c>
    </row>
    <row r="142" spans="1:31">
      <c r="A142" s="8" t="s">
        <v>36</v>
      </c>
      <c r="B142" s="8" t="s">
        <v>812</v>
      </c>
      <c r="C142" s="8" t="s">
        <v>1066</v>
      </c>
      <c r="D142" s="9" t="s">
        <v>1067</v>
      </c>
      <c r="E142" s="8"/>
      <c r="F142" s="8"/>
      <c r="G142" s="8"/>
      <c r="H142" s="8"/>
      <c r="I142" s="8"/>
      <c r="J142" s="8"/>
      <c r="K142" s="8"/>
      <c r="L142" s="10" t="e">
        <f t="shared" si="4"/>
        <v>#DIV/0!</v>
      </c>
      <c r="M142" s="8"/>
      <c r="N142" s="10" t="e">
        <f t="shared" si="5"/>
        <v>#DIV/0!</v>
      </c>
      <c r="O142" s="56">
        <v>233.06</v>
      </c>
      <c r="P142" s="8"/>
      <c r="Q142" s="51" t="s">
        <v>586</v>
      </c>
      <c r="R142" s="57"/>
      <c r="S142" s="10"/>
      <c r="T142" s="50">
        <v>8</v>
      </c>
      <c r="U142" s="10" t="s">
        <v>408</v>
      </c>
      <c r="V142" s="10"/>
      <c r="W142" s="10"/>
      <c r="X142" s="10"/>
      <c r="Y142" s="10"/>
      <c r="Z142" s="10"/>
      <c r="AA142" s="10" t="s">
        <v>412</v>
      </c>
      <c r="AB142" s="50"/>
      <c r="AC142" s="10"/>
      <c r="AD142" s="56">
        <v>25.115371</v>
      </c>
      <c r="AE142" s="56">
        <v>75.868437999999998</v>
      </c>
    </row>
    <row r="143" spans="1:31">
      <c r="A143" s="8" t="s">
        <v>36</v>
      </c>
      <c r="B143" s="8" t="s">
        <v>812</v>
      </c>
      <c r="C143" s="8" t="s">
        <v>1066</v>
      </c>
      <c r="D143" s="9" t="s">
        <v>1069</v>
      </c>
      <c r="E143" s="8" t="s">
        <v>1070</v>
      </c>
      <c r="F143" s="8">
        <v>264.2</v>
      </c>
      <c r="G143" s="8">
        <v>45</v>
      </c>
      <c r="H143" s="8">
        <v>246</v>
      </c>
      <c r="I143" s="8">
        <v>125</v>
      </c>
      <c r="J143" s="8">
        <v>121</v>
      </c>
      <c r="K143" s="8">
        <v>0</v>
      </c>
      <c r="L143" s="10">
        <f t="shared" si="4"/>
        <v>0</v>
      </c>
      <c r="M143" s="8">
        <v>234</v>
      </c>
      <c r="N143" s="10">
        <f t="shared" si="5"/>
        <v>95.121951219512198</v>
      </c>
      <c r="O143" s="52">
        <v>10.25</v>
      </c>
      <c r="P143" s="8">
        <v>0</v>
      </c>
      <c r="Q143" s="50" t="s">
        <v>586</v>
      </c>
      <c r="R143" s="53">
        <v>44607</v>
      </c>
      <c r="S143" s="10"/>
      <c r="T143" s="10"/>
      <c r="U143" s="10"/>
      <c r="V143" s="10"/>
      <c r="W143" s="10"/>
      <c r="X143" s="10"/>
      <c r="Y143" s="10"/>
      <c r="Z143" s="10"/>
      <c r="AA143" s="10" t="s">
        <v>412</v>
      </c>
      <c r="AB143" s="10"/>
      <c r="AC143" s="10"/>
      <c r="AD143" s="52">
        <v>25.115361</v>
      </c>
      <c r="AE143" s="52">
        <v>75.868491000000006</v>
      </c>
    </row>
    <row r="144" spans="1:31">
      <c r="A144" s="8" t="s">
        <v>36</v>
      </c>
      <c r="B144" s="8" t="s">
        <v>812</v>
      </c>
      <c r="C144" s="8" t="s">
        <v>1071</v>
      </c>
      <c r="D144" s="9" t="s">
        <v>1072</v>
      </c>
      <c r="E144" s="8" t="s">
        <v>1073</v>
      </c>
      <c r="F144" s="8">
        <v>1147.76</v>
      </c>
      <c r="G144" s="8">
        <v>311</v>
      </c>
      <c r="H144" s="8">
        <v>1659</v>
      </c>
      <c r="I144" s="8">
        <v>869</v>
      </c>
      <c r="J144" s="8">
        <v>790</v>
      </c>
      <c r="K144" s="8">
        <v>461</v>
      </c>
      <c r="L144" s="10">
        <f t="shared" si="4"/>
        <v>27.787823990355637</v>
      </c>
      <c r="M144" s="8">
        <v>545</v>
      </c>
      <c r="N144" s="10">
        <f t="shared" si="5"/>
        <v>32.851115129596145</v>
      </c>
      <c r="O144" s="47">
        <v>107</v>
      </c>
      <c r="P144" s="8">
        <v>741.87</v>
      </c>
      <c r="Q144" s="47" t="s">
        <v>409</v>
      </c>
      <c r="R144" s="47" t="s">
        <v>1026</v>
      </c>
      <c r="S144" s="10"/>
      <c r="T144" s="10"/>
      <c r="U144" s="10"/>
      <c r="V144" s="10"/>
      <c r="W144" s="10"/>
      <c r="X144" s="10"/>
      <c r="Y144" s="10"/>
      <c r="Z144" s="10"/>
      <c r="AA144" s="10" t="s">
        <v>412</v>
      </c>
      <c r="AB144" s="10"/>
      <c r="AC144" s="10"/>
      <c r="AD144" s="47">
        <v>24.936747</v>
      </c>
      <c r="AE144" s="47">
        <v>75.890629000000004</v>
      </c>
    </row>
    <row r="145" spans="1:31">
      <c r="A145" s="8" t="s">
        <v>36</v>
      </c>
      <c r="B145" s="8" t="s">
        <v>812</v>
      </c>
      <c r="C145" s="8" t="s">
        <v>1071</v>
      </c>
      <c r="D145" s="9" t="s">
        <v>1072</v>
      </c>
      <c r="E145" s="8"/>
      <c r="F145" s="8"/>
      <c r="G145" s="8"/>
      <c r="H145" s="8"/>
      <c r="I145" s="8"/>
      <c r="J145" s="8"/>
      <c r="K145" s="8"/>
      <c r="L145" s="10" t="e">
        <f t="shared" si="4"/>
        <v>#DIV/0!</v>
      </c>
      <c r="M145" s="8"/>
      <c r="N145" s="10" t="e">
        <f t="shared" si="5"/>
        <v>#DIV/0!</v>
      </c>
      <c r="O145" s="47">
        <v>107</v>
      </c>
      <c r="P145" s="8"/>
      <c r="Q145" s="47" t="s">
        <v>409</v>
      </c>
      <c r="R145" s="47" t="s">
        <v>1026</v>
      </c>
      <c r="S145" s="10"/>
      <c r="T145" s="10"/>
      <c r="U145" s="10"/>
      <c r="V145" s="10"/>
      <c r="W145" s="10"/>
      <c r="X145" s="10"/>
      <c r="Y145" s="10"/>
      <c r="Z145" s="10"/>
      <c r="AA145" s="10" t="s">
        <v>412</v>
      </c>
      <c r="AB145" s="10"/>
      <c r="AC145" s="10"/>
      <c r="AD145" s="47">
        <v>24.936747</v>
      </c>
      <c r="AE145" s="47">
        <v>75.890629000000004</v>
      </c>
    </row>
    <row r="146" spans="1:31">
      <c r="A146" s="8" t="s">
        <v>36</v>
      </c>
      <c r="B146" s="8" t="s">
        <v>812</v>
      </c>
      <c r="C146" s="8" t="s">
        <v>1071</v>
      </c>
      <c r="D146" s="9" t="s">
        <v>188</v>
      </c>
      <c r="E146" s="8" t="s">
        <v>1074</v>
      </c>
      <c r="F146" s="8">
        <v>46.47</v>
      </c>
      <c r="G146" s="8">
        <v>76</v>
      </c>
      <c r="H146" s="8">
        <v>345</v>
      </c>
      <c r="I146" s="8">
        <v>186</v>
      </c>
      <c r="J146" s="8">
        <v>159</v>
      </c>
      <c r="K146" s="8">
        <v>0</v>
      </c>
      <c r="L146" s="10">
        <f t="shared" si="4"/>
        <v>0</v>
      </c>
      <c r="M146" s="8">
        <v>125</v>
      </c>
      <c r="N146" s="10">
        <f t="shared" si="5"/>
        <v>36.231884057971016</v>
      </c>
      <c r="O146" s="10"/>
      <c r="P146" s="8">
        <v>0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 t="s">
        <v>412</v>
      </c>
      <c r="AB146" s="10"/>
      <c r="AC146" s="10"/>
      <c r="AD146" s="10"/>
      <c r="AE146" s="10"/>
    </row>
    <row r="147" spans="1:31">
      <c r="A147" s="8" t="s">
        <v>36</v>
      </c>
      <c r="B147" s="8" t="s">
        <v>812</v>
      </c>
      <c r="C147" s="8" t="s">
        <v>1071</v>
      </c>
      <c r="D147" s="9" t="s">
        <v>1075</v>
      </c>
      <c r="E147" s="8" t="s">
        <v>1076</v>
      </c>
      <c r="F147" s="8">
        <v>298.67</v>
      </c>
      <c r="G147" s="8">
        <v>124</v>
      </c>
      <c r="H147" s="8">
        <v>654</v>
      </c>
      <c r="I147" s="8">
        <v>333</v>
      </c>
      <c r="J147" s="8">
        <v>321</v>
      </c>
      <c r="K147" s="8">
        <v>38</v>
      </c>
      <c r="L147" s="10">
        <f t="shared" si="4"/>
        <v>5.81039755351682</v>
      </c>
      <c r="M147" s="8">
        <v>429</v>
      </c>
      <c r="N147" s="10">
        <f t="shared" si="5"/>
        <v>65.596330275229349</v>
      </c>
      <c r="O147" s="10"/>
      <c r="P147" s="8">
        <v>38.65</v>
      </c>
      <c r="Q147" s="10"/>
      <c r="R147" s="10"/>
      <c r="S147" s="10"/>
      <c r="T147" s="40">
        <v>0</v>
      </c>
      <c r="U147" s="10"/>
      <c r="V147" s="10"/>
      <c r="W147" s="10"/>
      <c r="X147" s="10"/>
      <c r="Y147" s="10"/>
      <c r="Z147" s="10"/>
      <c r="AA147" s="10" t="s">
        <v>412</v>
      </c>
      <c r="AB147" s="40"/>
      <c r="AC147" s="10"/>
      <c r="AD147" s="10"/>
      <c r="AE147" s="10"/>
    </row>
    <row r="148" spans="1:31">
      <c r="A148" s="8" t="s">
        <v>36</v>
      </c>
      <c r="B148" s="8" t="s">
        <v>812</v>
      </c>
      <c r="C148" s="8" t="s">
        <v>1071</v>
      </c>
      <c r="D148" s="9" t="s">
        <v>686</v>
      </c>
      <c r="E148" s="8" t="s">
        <v>1077</v>
      </c>
      <c r="F148" s="8">
        <v>657.35</v>
      </c>
      <c r="G148" s="8">
        <v>92</v>
      </c>
      <c r="H148" s="8">
        <v>515</v>
      </c>
      <c r="I148" s="8">
        <v>274</v>
      </c>
      <c r="J148" s="8">
        <v>241</v>
      </c>
      <c r="K148" s="8">
        <v>13</v>
      </c>
      <c r="L148" s="10">
        <f t="shared" si="4"/>
        <v>2.5242718446601939</v>
      </c>
      <c r="M148" s="8">
        <v>456</v>
      </c>
      <c r="N148" s="10">
        <f t="shared" si="5"/>
        <v>88.543689320388353</v>
      </c>
      <c r="O148" s="47">
        <v>66</v>
      </c>
      <c r="P148" s="8">
        <v>315.72000000000003</v>
      </c>
      <c r="Q148" s="47" t="s">
        <v>409</v>
      </c>
      <c r="R148" s="47" t="s">
        <v>1026</v>
      </c>
      <c r="S148" s="10"/>
      <c r="T148" s="40">
        <v>0</v>
      </c>
      <c r="U148" s="10"/>
      <c r="V148" s="10"/>
      <c r="W148" s="10"/>
      <c r="X148" s="10"/>
      <c r="Y148" s="10"/>
      <c r="Z148" s="10"/>
      <c r="AA148" s="10" t="s">
        <v>412</v>
      </c>
      <c r="AB148" s="40"/>
      <c r="AC148" s="10"/>
      <c r="AD148" s="47">
        <v>24.921585</v>
      </c>
      <c r="AE148" s="47">
        <v>75.903171999999998</v>
      </c>
    </row>
    <row r="149" spans="1:31">
      <c r="A149" s="8" t="s">
        <v>36</v>
      </c>
      <c r="B149" s="8" t="s">
        <v>812</v>
      </c>
      <c r="C149" s="8" t="s">
        <v>1071</v>
      </c>
      <c r="D149" s="9" t="s">
        <v>686</v>
      </c>
      <c r="E149" s="8"/>
      <c r="F149" s="8"/>
      <c r="G149" s="8"/>
      <c r="H149" s="8"/>
      <c r="I149" s="8"/>
      <c r="J149" s="8"/>
      <c r="K149" s="8"/>
      <c r="L149" s="10" t="e">
        <f t="shared" si="4"/>
        <v>#DIV/0!</v>
      </c>
      <c r="M149" s="8"/>
      <c r="N149" s="10" t="e">
        <f t="shared" si="5"/>
        <v>#DIV/0!</v>
      </c>
      <c r="O149" s="47">
        <v>66</v>
      </c>
      <c r="P149" s="8"/>
      <c r="Q149" s="47" t="s">
        <v>409</v>
      </c>
      <c r="R149" s="47" t="s">
        <v>1026</v>
      </c>
      <c r="S149" s="10"/>
      <c r="T149" s="40">
        <v>0</v>
      </c>
      <c r="U149" s="10"/>
      <c r="V149" s="10"/>
      <c r="W149" s="10"/>
      <c r="X149" s="10"/>
      <c r="Y149" s="10"/>
      <c r="Z149" s="10"/>
      <c r="AA149" s="10" t="s">
        <v>412</v>
      </c>
      <c r="AB149" s="40"/>
      <c r="AC149" s="10"/>
      <c r="AD149" s="47">
        <v>24.921585</v>
      </c>
      <c r="AE149" s="47">
        <v>75.903171999999998</v>
      </c>
    </row>
    <row r="150" spans="1:31">
      <c r="A150" s="8" t="s">
        <v>36</v>
      </c>
      <c r="B150" s="8" t="s">
        <v>812</v>
      </c>
      <c r="C150" s="8" t="s">
        <v>1071</v>
      </c>
      <c r="D150" s="9" t="s">
        <v>1078</v>
      </c>
      <c r="E150" s="8" t="s">
        <v>1079</v>
      </c>
      <c r="F150" s="8">
        <v>213.91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10" t="e">
        <f t="shared" si="4"/>
        <v>#DIV/0!</v>
      </c>
      <c r="M150" s="8">
        <v>0</v>
      </c>
      <c r="N150" s="10" t="e">
        <f t="shared" si="5"/>
        <v>#DIV/0!</v>
      </c>
      <c r="O150" s="10"/>
      <c r="P150" s="8">
        <v>127.59</v>
      </c>
      <c r="Q150" s="10"/>
      <c r="R150" s="10"/>
      <c r="S150" s="10"/>
      <c r="T150" s="34">
        <v>0</v>
      </c>
      <c r="U150" s="10"/>
      <c r="V150" s="10"/>
      <c r="W150" s="10"/>
      <c r="X150" s="10"/>
      <c r="Y150" s="10"/>
      <c r="Z150" s="10"/>
      <c r="AA150" s="10" t="s">
        <v>412</v>
      </c>
      <c r="AB150" s="34"/>
      <c r="AC150" s="10"/>
      <c r="AD150" s="10"/>
      <c r="AE150" s="10"/>
    </row>
    <row r="151" spans="1:31">
      <c r="A151" s="8" t="s">
        <v>36</v>
      </c>
      <c r="B151" s="8" t="s">
        <v>812</v>
      </c>
      <c r="C151" s="8" t="s">
        <v>1071</v>
      </c>
      <c r="D151" s="9" t="s">
        <v>527</v>
      </c>
      <c r="E151" s="8" t="s">
        <v>1080</v>
      </c>
      <c r="F151" s="8">
        <v>349.61</v>
      </c>
      <c r="G151" s="8">
        <v>259</v>
      </c>
      <c r="H151" s="8">
        <v>1205</v>
      </c>
      <c r="I151" s="8">
        <v>600</v>
      </c>
      <c r="J151" s="8">
        <v>605</v>
      </c>
      <c r="K151" s="8">
        <v>82</v>
      </c>
      <c r="L151" s="10">
        <f t="shared" si="4"/>
        <v>6.804979253112033</v>
      </c>
      <c r="M151" s="8">
        <v>63</v>
      </c>
      <c r="N151" s="10">
        <f t="shared" si="5"/>
        <v>5.2282157676348548</v>
      </c>
      <c r="O151" s="10"/>
      <c r="P151" s="8">
        <v>0</v>
      </c>
      <c r="Q151" s="10"/>
      <c r="R151" s="10"/>
      <c r="S151" s="10"/>
      <c r="T151" s="34">
        <v>1.9</v>
      </c>
      <c r="U151" s="10"/>
      <c r="V151" s="10"/>
      <c r="W151" s="10"/>
      <c r="X151" s="10"/>
      <c r="Y151" s="10"/>
      <c r="Z151" s="10"/>
      <c r="AA151" s="10" t="s">
        <v>408</v>
      </c>
      <c r="AB151" s="34">
        <v>3</v>
      </c>
      <c r="AC151" s="10"/>
      <c r="AD151" s="10"/>
      <c r="AE151" s="10"/>
    </row>
    <row r="152" spans="1:31">
      <c r="A152" s="8" t="s">
        <v>36</v>
      </c>
      <c r="B152" s="8" t="s">
        <v>812</v>
      </c>
      <c r="C152" s="8" t="s">
        <v>1081</v>
      </c>
      <c r="D152" s="9" t="s">
        <v>1082</v>
      </c>
      <c r="E152" s="8" t="s">
        <v>1083</v>
      </c>
      <c r="F152" s="8">
        <v>892.43</v>
      </c>
      <c r="G152" s="8">
        <v>315</v>
      </c>
      <c r="H152" s="8">
        <v>1680</v>
      </c>
      <c r="I152" s="8">
        <v>860</v>
      </c>
      <c r="J152" s="8">
        <v>820</v>
      </c>
      <c r="K152" s="8">
        <v>435</v>
      </c>
      <c r="L152" s="10">
        <f t="shared" si="4"/>
        <v>25.892857142857146</v>
      </c>
      <c r="M152" s="8">
        <v>31</v>
      </c>
      <c r="N152" s="10">
        <f t="shared" si="5"/>
        <v>1.8452380952380953</v>
      </c>
      <c r="O152" s="18">
        <v>50.17</v>
      </c>
      <c r="P152" s="8">
        <v>0</v>
      </c>
      <c r="Q152" s="23" t="s">
        <v>409</v>
      </c>
      <c r="R152" s="24">
        <v>45859</v>
      </c>
      <c r="S152" s="10"/>
      <c r="T152" s="52">
        <v>6.5</v>
      </c>
      <c r="U152" s="10"/>
      <c r="V152" s="10"/>
      <c r="W152" s="10"/>
      <c r="X152" s="10"/>
      <c r="Y152" s="10"/>
      <c r="Z152" s="10"/>
      <c r="AA152" s="10" t="s">
        <v>412</v>
      </c>
      <c r="AB152" s="52"/>
      <c r="AC152" s="10"/>
      <c r="AD152" s="18">
        <v>25.223289999999999</v>
      </c>
      <c r="AE152" s="18">
        <v>76.000720000000001</v>
      </c>
    </row>
    <row r="153" spans="1:31">
      <c r="A153" s="8" t="s">
        <v>36</v>
      </c>
      <c r="B153" s="8" t="s">
        <v>812</v>
      </c>
      <c r="C153" s="8" t="s">
        <v>1081</v>
      </c>
      <c r="D153" s="9" t="s">
        <v>1084</v>
      </c>
      <c r="E153" s="8" t="s">
        <v>1085</v>
      </c>
      <c r="F153" s="8">
        <v>838.39</v>
      </c>
      <c r="G153" s="8">
        <v>161</v>
      </c>
      <c r="H153" s="8">
        <v>1025</v>
      </c>
      <c r="I153" s="8">
        <v>503</v>
      </c>
      <c r="J153" s="8">
        <v>522</v>
      </c>
      <c r="K153" s="8">
        <v>219</v>
      </c>
      <c r="L153" s="10">
        <f t="shared" si="4"/>
        <v>21.365853658536587</v>
      </c>
      <c r="M153" s="8">
        <v>221</v>
      </c>
      <c r="N153" s="10">
        <f t="shared" si="5"/>
        <v>21.560975609756099</v>
      </c>
      <c r="O153" s="18">
        <v>2</v>
      </c>
      <c r="P153" s="8">
        <v>0</v>
      </c>
      <c r="Q153" s="23" t="s">
        <v>409</v>
      </c>
      <c r="R153" s="24">
        <v>45859</v>
      </c>
      <c r="S153" s="10"/>
      <c r="T153" s="52">
        <v>6.5</v>
      </c>
      <c r="U153" s="10"/>
      <c r="V153" s="10"/>
      <c r="W153" s="10"/>
      <c r="X153" s="10"/>
      <c r="Y153" s="10"/>
      <c r="Z153" s="10"/>
      <c r="AA153" s="10" t="s">
        <v>412</v>
      </c>
      <c r="AB153" s="52"/>
      <c r="AC153" s="10"/>
      <c r="AD153" s="18">
        <v>25.221520000000002</v>
      </c>
      <c r="AE153" s="18">
        <v>75.982240000000004</v>
      </c>
    </row>
    <row r="154" spans="1:31">
      <c r="A154" s="8" t="s">
        <v>36</v>
      </c>
      <c r="B154" s="8" t="s">
        <v>812</v>
      </c>
      <c r="C154" s="8" t="s">
        <v>1081</v>
      </c>
      <c r="D154" s="9" t="s">
        <v>1086</v>
      </c>
      <c r="E154" s="8" t="s">
        <v>1087</v>
      </c>
      <c r="F154" s="8">
        <v>609.14</v>
      </c>
      <c r="G154" s="8">
        <v>255</v>
      </c>
      <c r="H154" s="8">
        <v>1312</v>
      </c>
      <c r="I154" s="8">
        <v>637</v>
      </c>
      <c r="J154" s="8">
        <v>675</v>
      </c>
      <c r="K154" s="8">
        <v>286</v>
      </c>
      <c r="L154" s="10">
        <f t="shared" si="4"/>
        <v>21.798780487804876</v>
      </c>
      <c r="M154" s="8">
        <v>268</v>
      </c>
      <c r="N154" s="10">
        <f t="shared" si="5"/>
        <v>20.426829268292682</v>
      </c>
      <c r="O154" s="18"/>
      <c r="P154" s="8">
        <v>32.32</v>
      </c>
      <c r="Q154" s="23" t="s">
        <v>409</v>
      </c>
      <c r="R154" s="24">
        <v>45859</v>
      </c>
      <c r="S154" s="10"/>
      <c r="T154" s="34">
        <v>0</v>
      </c>
      <c r="U154" s="10"/>
      <c r="V154" s="10"/>
      <c r="W154" s="10"/>
      <c r="X154" s="10"/>
      <c r="Y154" s="10"/>
      <c r="Z154" s="10"/>
      <c r="AA154" s="10" t="s">
        <v>412</v>
      </c>
      <c r="AB154" s="34"/>
      <c r="AC154" s="10"/>
      <c r="AD154" s="18">
        <v>25.172999999999998</v>
      </c>
      <c r="AE154" s="18">
        <v>76.001130000000003</v>
      </c>
    </row>
    <row r="155" spans="1:31">
      <c r="A155" s="8" t="s">
        <v>36</v>
      </c>
      <c r="B155" s="8" t="s">
        <v>812</v>
      </c>
      <c r="C155" s="8" t="s">
        <v>1088</v>
      </c>
      <c r="D155" s="9" t="s">
        <v>792</v>
      </c>
      <c r="E155" s="8" t="s">
        <v>1089</v>
      </c>
      <c r="F155" s="8">
        <v>672.38</v>
      </c>
      <c r="G155" s="8">
        <v>352</v>
      </c>
      <c r="H155" s="8">
        <v>2044</v>
      </c>
      <c r="I155" s="8">
        <v>1055</v>
      </c>
      <c r="J155" s="8">
        <v>989</v>
      </c>
      <c r="K155" s="8">
        <v>198</v>
      </c>
      <c r="L155" s="10">
        <f t="shared" si="4"/>
        <v>9.6868884540117417</v>
      </c>
      <c r="M155" s="8">
        <v>263</v>
      </c>
      <c r="N155" s="10">
        <f t="shared" si="5"/>
        <v>12.86692759295499</v>
      </c>
      <c r="O155" s="50">
        <v>67.489999999999995</v>
      </c>
      <c r="P155" s="8">
        <v>64.13</v>
      </c>
      <c r="Q155" s="50" t="s">
        <v>586</v>
      </c>
      <c r="R155" s="54">
        <v>44599</v>
      </c>
      <c r="S155" s="10"/>
      <c r="T155" s="10"/>
      <c r="U155" s="10"/>
      <c r="V155" s="10"/>
      <c r="W155" s="10"/>
      <c r="X155" s="10"/>
      <c r="Y155" s="10"/>
      <c r="Z155" s="10"/>
      <c r="AA155" s="10" t="s">
        <v>412</v>
      </c>
      <c r="AB155" s="10"/>
      <c r="AC155" s="10"/>
      <c r="AD155" s="50"/>
      <c r="AE155" s="50"/>
    </row>
    <row r="156" spans="1:31">
      <c r="A156" s="8" t="s">
        <v>36</v>
      </c>
      <c r="B156" s="8" t="s">
        <v>812</v>
      </c>
      <c r="C156" s="8" t="s">
        <v>1088</v>
      </c>
      <c r="D156" s="9" t="s">
        <v>792</v>
      </c>
      <c r="E156" s="8"/>
      <c r="F156" s="8"/>
      <c r="G156" s="8"/>
      <c r="H156" s="8"/>
      <c r="I156" s="8"/>
      <c r="J156" s="8"/>
      <c r="K156" s="8"/>
      <c r="L156" s="10" t="e">
        <f t="shared" si="4"/>
        <v>#DIV/0!</v>
      </c>
      <c r="M156" s="8"/>
      <c r="N156" s="10" t="e">
        <f t="shared" si="5"/>
        <v>#DIV/0!</v>
      </c>
      <c r="O156" s="50">
        <v>67.489999999999995</v>
      </c>
      <c r="P156" s="8"/>
      <c r="Q156" s="50" t="s">
        <v>586</v>
      </c>
      <c r="R156" s="54">
        <v>44599</v>
      </c>
      <c r="S156" s="10"/>
      <c r="T156" s="10"/>
      <c r="U156" s="10"/>
      <c r="V156" s="10"/>
      <c r="W156" s="10"/>
      <c r="X156" s="10"/>
      <c r="Y156" s="10"/>
      <c r="Z156" s="10"/>
      <c r="AA156" s="10" t="s">
        <v>412</v>
      </c>
      <c r="AB156" s="10"/>
      <c r="AC156" s="10"/>
      <c r="AD156" s="50"/>
      <c r="AE156" s="50"/>
    </row>
    <row r="157" spans="1:31">
      <c r="A157" s="8" t="s">
        <v>36</v>
      </c>
      <c r="B157" s="8" t="s">
        <v>812</v>
      </c>
      <c r="C157" s="8" t="s">
        <v>1088</v>
      </c>
      <c r="D157" s="9" t="s">
        <v>1090</v>
      </c>
      <c r="E157" s="8" t="s">
        <v>1091</v>
      </c>
      <c r="F157" s="8">
        <v>271.37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10" t="e">
        <f t="shared" si="4"/>
        <v>#DIV/0!</v>
      </c>
      <c r="M157" s="8">
        <v>0</v>
      </c>
      <c r="N157" s="10" t="e">
        <f t="shared" si="5"/>
        <v>#DIV/0!</v>
      </c>
      <c r="O157" s="10"/>
      <c r="P157" s="8">
        <v>271.37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 t="s">
        <v>412</v>
      </c>
      <c r="AB157" s="10"/>
      <c r="AC157" s="10"/>
      <c r="AD157" s="10"/>
      <c r="AE157" s="10"/>
    </row>
    <row r="158" spans="1:31">
      <c r="A158" s="8" t="s">
        <v>36</v>
      </c>
      <c r="B158" s="8" t="s">
        <v>812</v>
      </c>
      <c r="C158" s="8" t="s">
        <v>1088</v>
      </c>
      <c r="D158" s="9" t="s">
        <v>1092</v>
      </c>
      <c r="E158" s="8" t="s">
        <v>1093</v>
      </c>
      <c r="F158" s="8">
        <v>364.69</v>
      </c>
      <c r="G158" s="8">
        <v>24</v>
      </c>
      <c r="H158" s="8">
        <v>103</v>
      </c>
      <c r="I158" s="8">
        <v>46</v>
      </c>
      <c r="J158" s="8">
        <v>57</v>
      </c>
      <c r="K158" s="8">
        <v>0</v>
      </c>
      <c r="L158" s="10">
        <f t="shared" si="4"/>
        <v>0</v>
      </c>
      <c r="M158" s="8">
        <v>0</v>
      </c>
      <c r="N158" s="10">
        <f t="shared" si="5"/>
        <v>0</v>
      </c>
      <c r="O158" s="52">
        <v>8.1300000000000008</v>
      </c>
      <c r="P158" s="8">
        <v>183.23</v>
      </c>
      <c r="Q158" s="50" t="s">
        <v>586</v>
      </c>
      <c r="R158" s="53">
        <v>44590</v>
      </c>
      <c r="S158" s="10"/>
      <c r="T158" s="10"/>
      <c r="U158" s="10"/>
      <c r="V158" s="10"/>
      <c r="W158" s="10"/>
      <c r="X158" s="10"/>
      <c r="Y158" s="10"/>
      <c r="Z158" s="10"/>
      <c r="AA158" s="10" t="s">
        <v>412</v>
      </c>
      <c r="AB158" s="10"/>
      <c r="AC158" s="10"/>
      <c r="AD158" s="52">
        <v>25.080995999999999</v>
      </c>
      <c r="AE158" s="52">
        <v>76023052</v>
      </c>
    </row>
    <row r="159" spans="1:31">
      <c r="A159" s="8" t="s">
        <v>36</v>
      </c>
      <c r="B159" s="8" t="s">
        <v>812</v>
      </c>
      <c r="C159" s="8" t="s">
        <v>1088</v>
      </c>
      <c r="D159" s="9" t="s">
        <v>1094</v>
      </c>
      <c r="E159" s="8" t="s">
        <v>1095</v>
      </c>
      <c r="F159" s="8">
        <v>858.09</v>
      </c>
      <c r="G159" s="8">
        <v>226</v>
      </c>
      <c r="H159" s="8">
        <v>1100</v>
      </c>
      <c r="I159" s="8">
        <v>567</v>
      </c>
      <c r="J159" s="8">
        <v>533</v>
      </c>
      <c r="K159" s="8">
        <v>131</v>
      </c>
      <c r="L159" s="10">
        <f t="shared" si="4"/>
        <v>11.90909090909091</v>
      </c>
      <c r="M159" s="8">
        <v>447</v>
      </c>
      <c r="N159" s="10">
        <f t="shared" si="5"/>
        <v>40.63636363636364</v>
      </c>
      <c r="O159" s="50">
        <v>8</v>
      </c>
      <c r="P159" s="8">
        <v>550.76</v>
      </c>
      <c r="Q159" s="50" t="s">
        <v>586</v>
      </c>
      <c r="R159" s="54">
        <v>44600</v>
      </c>
      <c r="S159" s="10"/>
      <c r="T159" s="10"/>
      <c r="U159" s="10"/>
      <c r="V159" s="10"/>
      <c r="W159" s="10"/>
      <c r="X159" s="10"/>
      <c r="Y159" s="10"/>
      <c r="Z159" s="10"/>
      <c r="AA159" s="10" t="s">
        <v>412</v>
      </c>
      <c r="AB159" s="10"/>
      <c r="AC159" s="10"/>
      <c r="AD159" s="52"/>
      <c r="AE159" s="52"/>
    </row>
    <row r="160" spans="1:31">
      <c r="A160" s="8" t="s">
        <v>36</v>
      </c>
      <c r="B160" s="8" t="s">
        <v>812</v>
      </c>
      <c r="C160" s="8" t="s">
        <v>1088</v>
      </c>
      <c r="D160" s="9" t="s">
        <v>1096</v>
      </c>
      <c r="E160" s="8" t="s">
        <v>1097</v>
      </c>
      <c r="F160" s="8">
        <v>134.65</v>
      </c>
      <c r="G160" s="8">
        <v>39</v>
      </c>
      <c r="H160" s="8">
        <v>213</v>
      </c>
      <c r="I160" s="8">
        <v>108</v>
      </c>
      <c r="J160" s="8">
        <v>105</v>
      </c>
      <c r="K160" s="8">
        <v>0</v>
      </c>
      <c r="L160" s="10">
        <f t="shared" si="4"/>
        <v>0</v>
      </c>
      <c r="M160" s="8">
        <v>14</v>
      </c>
      <c r="N160" s="10">
        <f t="shared" si="5"/>
        <v>6.5727699530516439</v>
      </c>
      <c r="O160" s="10"/>
      <c r="P160" s="8">
        <v>0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 t="s">
        <v>412</v>
      </c>
      <c r="AB160" s="10"/>
      <c r="AC160" s="10"/>
      <c r="AD160" s="10"/>
      <c r="AE160" s="10"/>
    </row>
    <row r="161" spans="1:31">
      <c r="A161" s="8" t="s">
        <v>36</v>
      </c>
      <c r="B161" s="8" t="s">
        <v>812</v>
      </c>
      <c r="C161" s="8" t="s">
        <v>1088</v>
      </c>
      <c r="D161" s="9" t="s">
        <v>1098</v>
      </c>
      <c r="E161" s="8" t="s">
        <v>1099</v>
      </c>
      <c r="F161" s="8">
        <v>157.55000000000001</v>
      </c>
      <c r="G161" s="8">
        <v>86</v>
      </c>
      <c r="H161" s="8">
        <v>398</v>
      </c>
      <c r="I161" s="8">
        <v>204</v>
      </c>
      <c r="J161" s="8">
        <v>194</v>
      </c>
      <c r="K161" s="8">
        <v>104</v>
      </c>
      <c r="L161" s="10">
        <f t="shared" si="4"/>
        <v>26.13065326633166</v>
      </c>
      <c r="M161" s="8">
        <v>16</v>
      </c>
      <c r="N161" s="10">
        <f t="shared" si="5"/>
        <v>4.0201005025125625</v>
      </c>
      <c r="O161" s="10"/>
      <c r="P161" s="8">
        <v>0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 t="s">
        <v>412</v>
      </c>
      <c r="AB161" s="10"/>
      <c r="AC161" s="10"/>
      <c r="AD161" s="10"/>
      <c r="AE161" s="10"/>
    </row>
    <row r="162" spans="1:31">
      <c r="A162" s="8" t="s">
        <v>36</v>
      </c>
      <c r="B162" s="8" t="s">
        <v>812</v>
      </c>
      <c r="C162" s="8" t="s">
        <v>1088</v>
      </c>
      <c r="D162" s="9" t="s">
        <v>1100</v>
      </c>
      <c r="E162" s="8" t="s">
        <v>1101</v>
      </c>
      <c r="F162" s="8">
        <v>2027.96</v>
      </c>
      <c r="G162" s="8">
        <v>29</v>
      </c>
      <c r="H162" s="8">
        <v>140</v>
      </c>
      <c r="I162" s="8">
        <v>79</v>
      </c>
      <c r="J162" s="8">
        <v>61</v>
      </c>
      <c r="K162" s="8">
        <v>23</v>
      </c>
      <c r="L162" s="10">
        <f t="shared" si="4"/>
        <v>16.428571428571427</v>
      </c>
      <c r="M162" s="8">
        <v>56</v>
      </c>
      <c r="N162" s="10">
        <f t="shared" si="5"/>
        <v>40</v>
      </c>
      <c r="O162" s="10"/>
      <c r="P162" s="8">
        <v>1885.59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 t="s">
        <v>412</v>
      </c>
      <c r="AB162" s="10"/>
      <c r="AC162" s="10"/>
      <c r="AD162" s="10"/>
      <c r="AE162" s="10"/>
    </row>
    <row r="163" spans="1:31">
      <c r="A163" s="8" t="s">
        <v>36</v>
      </c>
      <c r="B163" s="8" t="s">
        <v>812</v>
      </c>
      <c r="C163" s="8" t="s">
        <v>1088</v>
      </c>
      <c r="D163" s="9" t="s">
        <v>1102</v>
      </c>
      <c r="E163" s="8" t="s">
        <v>1103</v>
      </c>
      <c r="F163" s="8">
        <v>366.04</v>
      </c>
      <c r="G163" s="8">
        <v>221</v>
      </c>
      <c r="H163" s="8">
        <v>1139</v>
      </c>
      <c r="I163" s="8">
        <v>620</v>
      </c>
      <c r="J163" s="8">
        <v>519</v>
      </c>
      <c r="K163" s="8">
        <v>121</v>
      </c>
      <c r="L163" s="10">
        <f t="shared" si="4"/>
        <v>10.623353819139595</v>
      </c>
      <c r="M163" s="8">
        <v>265</v>
      </c>
      <c r="N163" s="10">
        <f t="shared" si="5"/>
        <v>23.266022827041262</v>
      </c>
      <c r="O163" s="10"/>
      <c r="P163" s="8">
        <v>23.86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 t="s">
        <v>412</v>
      </c>
      <c r="AB163" s="10"/>
      <c r="AC163" s="10"/>
      <c r="AD163" s="10"/>
      <c r="AE163" s="10"/>
    </row>
    <row r="164" spans="1:31">
      <c r="A164" s="8" t="s">
        <v>36</v>
      </c>
      <c r="B164" s="8" t="s">
        <v>812</v>
      </c>
      <c r="C164" s="8" t="s">
        <v>1104</v>
      </c>
      <c r="D164" s="9" t="s">
        <v>1105</v>
      </c>
      <c r="E164" s="8" t="s">
        <v>1106</v>
      </c>
      <c r="F164" s="8">
        <v>842.69</v>
      </c>
      <c r="G164" s="8">
        <v>471</v>
      </c>
      <c r="H164" s="8">
        <v>2456</v>
      </c>
      <c r="I164" s="8">
        <v>1278</v>
      </c>
      <c r="J164" s="8">
        <v>1178</v>
      </c>
      <c r="K164" s="8">
        <v>349</v>
      </c>
      <c r="L164" s="10">
        <f t="shared" si="4"/>
        <v>14.210097719869708</v>
      </c>
      <c r="M164" s="8">
        <v>250</v>
      </c>
      <c r="N164" s="10">
        <f t="shared" si="5"/>
        <v>10.17915309446254</v>
      </c>
      <c r="O164" s="40">
        <v>0</v>
      </c>
      <c r="P164" s="8">
        <v>0</v>
      </c>
      <c r="Q164" s="40" t="s">
        <v>408</v>
      </c>
      <c r="R164" s="40" t="s">
        <v>628</v>
      </c>
      <c r="S164" s="10"/>
      <c r="T164" s="10"/>
      <c r="U164" s="10"/>
      <c r="V164" s="10"/>
      <c r="W164" s="10"/>
      <c r="X164" s="10"/>
      <c r="Y164" s="10"/>
      <c r="Z164" s="10"/>
      <c r="AA164" s="10" t="s">
        <v>412</v>
      </c>
      <c r="AB164" s="10"/>
      <c r="AC164" s="10"/>
      <c r="AD164" s="40">
        <v>0</v>
      </c>
      <c r="AE164" s="40">
        <v>0</v>
      </c>
    </row>
    <row r="165" spans="1:31">
      <c r="A165" s="8" t="s">
        <v>36</v>
      </c>
      <c r="B165" s="8" t="s">
        <v>812</v>
      </c>
      <c r="C165" s="8" t="s">
        <v>1104</v>
      </c>
      <c r="D165" s="9" t="s">
        <v>1107</v>
      </c>
      <c r="E165" s="8" t="s">
        <v>1108</v>
      </c>
      <c r="F165" s="8">
        <v>443.17</v>
      </c>
      <c r="G165" s="8">
        <v>132</v>
      </c>
      <c r="H165" s="8">
        <v>714</v>
      </c>
      <c r="I165" s="8">
        <v>363</v>
      </c>
      <c r="J165" s="8">
        <v>351</v>
      </c>
      <c r="K165" s="8">
        <v>245</v>
      </c>
      <c r="L165" s="10">
        <f t="shared" si="4"/>
        <v>34.313725490196077</v>
      </c>
      <c r="M165" s="8">
        <v>0</v>
      </c>
      <c r="N165" s="10">
        <f t="shared" si="5"/>
        <v>0</v>
      </c>
      <c r="O165" s="40">
        <v>0</v>
      </c>
      <c r="P165" s="8">
        <v>0</v>
      </c>
      <c r="Q165" s="40" t="s">
        <v>409</v>
      </c>
      <c r="R165" s="40" t="s">
        <v>628</v>
      </c>
      <c r="S165" s="10"/>
      <c r="T165" s="10"/>
      <c r="U165" s="10"/>
      <c r="V165" s="10"/>
      <c r="W165" s="10"/>
      <c r="X165" s="10"/>
      <c r="Y165" s="10"/>
      <c r="Z165" s="10"/>
      <c r="AA165" s="10" t="s">
        <v>412</v>
      </c>
      <c r="AB165" s="10"/>
      <c r="AC165" s="10"/>
      <c r="AD165" s="40">
        <v>0</v>
      </c>
      <c r="AE165" s="40">
        <v>0</v>
      </c>
    </row>
    <row r="166" spans="1:31">
      <c r="A166" s="8" t="s">
        <v>36</v>
      </c>
      <c r="B166" s="8" t="s">
        <v>812</v>
      </c>
      <c r="C166" s="8" t="s">
        <v>1104</v>
      </c>
      <c r="D166" s="9" t="s">
        <v>1109</v>
      </c>
      <c r="E166" s="8" t="s">
        <v>1110</v>
      </c>
      <c r="F166" s="8">
        <v>484.22</v>
      </c>
      <c r="G166" s="8">
        <v>153</v>
      </c>
      <c r="H166" s="8">
        <v>830</v>
      </c>
      <c r="I166" s="8">
        <v>428</v>
      </c>
      <c r="J166" s="8">
        <v>402</v>
      </c>
      <c r="K166" s="8">
        <v>150</v>
      </c>
      <c r="L166" s="10">
        <f t="shared" si="4"/>
        <v>18.072289156626507</v>
      </c>
      <c r="M166" s="8">
        <v>352</v>
      </c>
      <c r="N166" s="10">
        <f t="shared" si="5"/>
        <v>42.409638554216869</v>
      </c>
      <c r="O166" s="40">
        <v>1.41</v>
      </c>
      <c r="P166" s="8">
        <v>0</v>
      </c>
      <c r="Q166" s="40" t="s">
        <v>409</v>
      </c>
      <c r="R166" s="40" t="s">
        <v>628</v>
      </c>
      <c r="S166" s="10"/>
      <c r="T166" s="10"/>
      <c r="U166" s="10"/>
      <c r="V166" s="10"/>
      <c r="W166" s="10"/>
      <c r="X166" s="10"/>
      <c r="Y166" s="10"/>
      <c r="Z166" s="10"/>
      <c r="AA166" s="10" t="s">
        <v>412</v>
      </c>
      <c r="AB166" s="10"/>
      <c r="AC166" s="10"/>
      <c r="AD166" s="40">
        <v>25.269458</v>
      </c>
      <c r="AE166" s="40">
        <v>75.911826000000005</v>
      </c>
    </row>
    <row r="167" spans="1:31">
      <c r="A167" s="8" t="s">
        <v>36</v>
      </c>
      <c r="B167" s="8" t="s">
        <v>812</v>
      </c>
      <c r="C167" s="8" t="s">
        <v>1111</v>
      </c>
      <c r="D167" s="9" t="s">
        <v>1112</v>
      </c>
      <c r="E167" s="8" t="s">
        <v>1113</v>
      </c>
      <c r="F167" s="8">
        <v>922.49</v>
      </c>
      <c r="G167" s="8">
        <v>494</v>
      </c>
      <c r="H167" s="8">
        <v>2644</v>
      </c>
      <c r="I167" s="8">
        <v>1355</v>
      </c>
      <c r="J167" s="8">
        <v>1289</v>
      </c>
      <c r="K167" s="8">
        <v>1140</v>
      </c>
      <c r="L167" s="10">
        <f t="shared" si="4"/>
        <v>43.116490166414522</v>
      </c>
      <c r="M167" s="8">
        <v>99</v>
      </c>
      <c r="N167" s="10">
        <f t="shared" si="5"/>
        <v>3.744326777609682</v>
      </c>
      <c r="O167" s="34">
        <v>0</v>
      </c>
      <c r="P167" s="8">
        <v>0</v>
      </c>
      <c r="Q167" s="33" t="s">
        <v>409</v>
      </c>
      <c r="R167" s="47" t="s">
        <v>628</v>
      </c>
      <c r="S167" s="10"/>
      <c r="T167" s="10"/>
      <c r="U167" s="10" t="s">
        <v>408</v>
      </c>
      <c r="V167" s="10"/>
      <c r="W167" s="10"/>
      <c r="X167" s="10"/>
      <c r="Y167" s="10"/>
      <c r="Z167" s="10"/>
      <c r="AA167" s="10" t="s">
        <v>412</v>
      </c>
      <c r="AB167" s="10"/>
      <c r="AC167" s="10"/>
      <c r="AD167" s="34">
        <v>0</v>
      </c>
      <c r="AE167" s="34">
        <v>0</v>
      </c>
    </row>
    <row r="168" spans="1:31">
      <c r="A168" s="8" t="s">
        <v>36</v>
      </c>
      <c r="B168" s="8" t="s">
        <v>812</v>
      </c>
      <c r="C168" s="8" t="s">
        <v>1111</v>
      </c>
      <c r="D168" s="9" t="s">
        <v>1114</v>
      </c>
      <c r="E168" s="8" t="s">
        <v>1115</v>
      </c>
      <c r="F168" s="8">
        <v>279</v>
      </c>
      <c r="G168" s="8">
        <v>69</v>
      </c>
      <c r="H168" s="8">
        <v>383</v>
      </c>
      <c r="I168" s="8">
        <v>188</v>
      </c>
      <c r="J168" s="8">
        <v>195</v>
      </c>
      <c r="K168" s="8">
        <v>67</v>
      </c>
      <c r="L168" s="10">
        <f t="shared" si="4"/>
        <v>17.493472584856399</v>
      </c>
      <c r="M168" s="8">
        <v>202</v>
      </c>
      <c r="N168" s="10">
        <f t="shared" si="5"/>
        <v>52.74151436031331</v>
      </c>
      <c r="O168" s="34">
        <v>3.9</v>
      </c>
      <c r="P168" s="8">
        <v>0</v>
      </c>
      <c r="Q168" s="33" t="s">
        <v>409</v>
      </c>
      <c r="R168" s="47" t="s">
        <v>628</v>
      </c>
      <c r="S168" s="10"/>
      <c r="T168" s="10"/>
      <c r="U168" s="10" t="s">
        <v>408</v>
      </c>
      <c r="V168" s="10"/>
      <c r="W168" s="10"/>
      <c r="X168" s="10"/>
      <c r="Y168" s="10"/>
      <c r="Z168" s="10"/>
      <c r="AA168" s="10" t="s">
        <v>412</v>
      </c>
      <c r="AB168" s="10"/>
      <c r="AC168" s="10"/>
      <c r="AD168" s="34">
        <v>25.192314</v>
      </c>
      <c r="AE168" s="34">
        <v>75.961105000000003</v>
      </c>
    </row>
    <row r="169" spans="1:31">
      <c r="A169" s="8" t="s">
        <v>36</v>
      </c>
      <c r="B169" s="8" t="s">
        <v>812</v>
      </c>
      <c r="C169" s="8" t="s">
        <v>1111</v>
      </c>
      <c r="D169" s="9" t="s">
        <v>1116</v>
      </c>
      <c r="E169" s="8" t="s">
        <v>1117</v>
      </c>
      <c r="F169" s="8">
        <v>226.6</v>
      </c>
      <c r="G169" s="8">
        <v>78</v>
      </c>
      <c r="H169" s="8">
        <v>423</v>
      </c>
      <c r="I169" s="8">
        <v>212</v>
      </c>
      <c r="J169" s="8">
        <v>211</v>
      </c>
      <c r="K169" s="8">
        <v>26</v>
      </c>
      <c r="L169" s="10">
        <f t="shared" si="4"/>
        <v>6.1465721040189125</v>
      </c>
      <c r="M169" s="8">
        <v>212</v>
      </c>
      <c r="N169" s="10">
        <f t="shared" si="5"/>
        <v>50.118203309692667</v>
      </c>
      <c r="O169" s="52">
        <v>6.5</v>
      </c>
      <c r="P169" s="8">
        <v>0</v>
      </c>
      <c r="Q169" s="50" t="s">
        <v>586</v>
      </c>
      <c r="R169" s="53">
        <v>44592</v>
      </c>
      <c r="S169" s="10"/>
      <c r="T169" s="10"/>
      <c r="U169" s="10" t="s">
        <v>408</v>
      </c>
      <c r="V169" s="10"/>
      <c r="W169" s="10"/>
      <c r="X169" s="10"/>
      <c r="Y169" s="10"/>
      <c r="Z169" s="10"/>
      <c r="AA169" s="10" t="s">
        <v>412</v>
      </c>
      <c r="AB169" s="10"/>
      <c r="AC169" s="10"/>
      <c r="AD169" s="52">
        <v>25.188849999999999</v>
      </c>
      <c r="AE169" s="52">
        <v>75.964050999999998</v>
      </c>
    </row>
    <row r="170" spans="1:31">
      <c r="A170" s="8" t="s">
        <v>36</v>
      </c>
      <c r="B170" s="8" t="s">
        <v>812</v>
      </c>
      <c r="C170" s="8" t="s">
        <v>1111</v>
      </c>
      <c r="D170" s="9" t="s">
        <v>1118</v>
      </c>
      <c r="E170" s="8" t="s">
        <v>1119</v>
      </c>
      <c r="F170" s="8">
        <v>199.58</v>
      </c>
      <c r="G170" s="8">
        <v>100</v>
      </c>
      <c r="H170" s="8">
        <v>553</v>
      </c>
      <c r="I170" s="8">
        <v>287</v>
      </c>
      <c r="J170" s="8">
        <v>266</v>
      </c>
      <c r="K170" s="8">
        <v>62</v>
      </c>
      <c r="L170" s="10">
        <f t="shared" si="4"/>
        <v>11.211573236889691</v>
      </c>
      <c r="M170" s="8">
        <v>192</v>
      </c>
      <c r="N170" s="10">
        <f t="shared" si="5"/>
        <v>34.719710669077756</v>
      </c>
      <c r="O170" s="52">
        <v>6.5</v>
      </c>
      <c r="P170" s="8">
        <v>0</v>
      </c>
      <c r="Q170" s="50" t="s">
        <v>586</v>
      </c>
      <c r="R170" s="53">
        <v>44593</v>
      </c>
      <c r="S170" s="10"/>
      <c r="T170" s="10"/>
      <c r="U170" s="10" t="s">
        <v>408</v>
      </c>
      <c r="V170" s="10"/>
      <c r="W170" s="10"/>
      <c r="X170" s="10"/>
      <c r="Y170" s="10"/>
      <c r="Z170" s="10"/>
      <c r="AA170" s="10" t="s">
        <v>412</v>
      </c>
      <c r="AB170" s="10"/>
      <c r="AC170" s="10"/>
      <c r="AD170" s="52">
        <v>25.188673000000001</v>
      </c>
      <c r="AE170" s="52">
        <v>75.964050999999998</v>
      </c>
    </row>
    <row r="171" spans="1:31">
      <c r="A171" s="8" t="s">
        <v>36</v>
      </c>
      <c r="B171" s="8" t="s">
        <v>812</v>
      </c>
      <c r="C171" s="8" t="s">
        <v>1111</v>
      </c>
      <c r="D171" s="9" t="s">
        <v>1120</v>
      </c>
      <c r="E171" s="8" t="s">
        <v>1121</v>
      </c>
      <c r="F171" s="8">
        <v>192.57</v>
      </c>
      <c r="G171" s="8">
        <v>61</v>
      </c>
      <c r="H171" s="8">
        <v>366</v>
      </c>
      <c r="I171" s="8">
        <v>191</v>
      </c>
      <c r="J171" s="8">
        <v>175</v>
      </c>
      <c r="K171" s="8">
        <v>72</v>
      </c>
      <c r="L171" s="10">
        <f t="shared" si="4"/>
        <v>19.672131147540984</v>
      </c>
      <c r="M171" s="8">
        <v>27</v>
      </c>
      <c r="N171" s="10">
        <f t="shared" si="5"/>
        <v>7.3770491803278686</v>
      </c>
      <c r="O171" s="34">
        <v>0</v>
      </c>
      <c r="P171" s="8">
        <v>0</v>
      </c>
      <c r="Q171" s="33" t="s">
        <v>409</v>
      </c>
      <c r="R171" s="47" t="s">
        <v>628</v>
      </c>
      <c r="S171" s="10"/>
      <c r="T171" s="10"/>
      <c r="U171" s="10" t="s">
        <v>408</v>
      </c>
      <c r="V171" s="10"/>
      <c r="W171" s="10"/>
      <c r="X171" s="10"/>
      <c r="Y171" s="10"/>
      <c r="Z171" s="10"/>
      <c r="AA171" s="10" t="s">
        <v>412</v>
      </c>
      <c r="AB171" s="10"/>
      <c r="AC171" s="10"/>
      <c r="AD171" s="34">
        <v>0</v>
      </c>
      <c r="AE171" s="34">
        <v>0</v>
      </c>
    </row>
    <row r="172" spans="1:31">
      <c r="A172" s="8" t="s">
        <v>36</v>
      </c>
      <c r="B172" s="8" t="s">
        <v>812</v>
      </c>
      <c r="C172" s="10"/>
      <c r="D172" s="9" t="s">
        <v>1122</v>
      </c>
      <c r="E172" s="8" t="s">
        <v>1123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10" t="e">
        <f t="shared" si="4"/>
        <v>#DIV/0!</v>
      </c>
      <c r="M172" s="8">
        <v>0</v>
      </c>
      <c r="N172" s="10" t="e">
        <f t="shared" si="5"/>
        <v>#DIV/0!</v>
      </c>
      <c r="O172" s="10"/>
      <c r="P172" s="8">
        <v>0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 t="s">
        <v>412</v>
      </c>
      <c r="AB172" s="10"/>
      <c r="AC172" s="10"/>
      <c r="AD172" s="10"/>
      <c r="AE172" s="10"/>
    </row>
    <row r="173" spans="1:31">
      <c r="A173" s="8" t="s">
        <v>36</v>
      </c>
      <c r="B173" s="8" t="s">
        <v>812</v>
      </c>
      <c r="C173" s="10"/>
      <c r="D173" s="9" t="s">
        <v>1124</v>
      </c>
      <c r="E173" s="8" t="s">
        <v>1125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10" t="e">
        <f t="shared" si="4"/>
        <v>#DIV/0!</v>
      </c>
      <c r="M173" s="8">
        <v>0</v>
      </c>
      <c r="N173" s="10" t="e">
        <f t="shared" si="5"/>
        <v>#DIV/0!</v>
      </c>
      <c r="O173" s="10"/>
      <c r="P173" s="8">
        <v>0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 t="s">
        <v>412</v>
      </c>
      <c r="AB173" s="10"/>
      <c r="AC173" s="10"/>
      <c r="AD173" s="10"/>
      <c r="AE173" s="10"/>
    </row>
  </sheetData>
  <mergeCells count="3">
    <mergeCell ref="K2:L2"/>
    <mergeCell ref="M2:N2"/>
    <mergeCell ref="AD2:A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7"/>
  <sheetViews>
    <sheetView topLeftCell="B1" zoomScale="80" zoomScaleNormal="80" workbookViewId="0">
      <pane xSplit="3" ySplit="3" topLeftCell="H4" activePane="bottomRight" state="frozen"/>
      <selection activeCell="B1" sqref="B1"/>
      <selection pane="topRight" activeCell="E1" sqref="E1"/>
      <selection pane="bottomLeft" activeCell="B3" sqref="B3"/>
      <selection pane="bottomRight" activeCell="O194" sqref="O194"/>
    </sheetView>
  </sheetViews>
  <sheetFormatPr defaultRowHeight="15"/>
  <cols>
    <col min="3" max="3" width="17.28515625" customWidth="1"/>
    <col min="4" max="4" width="23.7109375" customWidth="1"/>
    <col min="5" max="5" width="17" customWidth="1"/>
    <col min="6" max="6" width="12.85546875" customWidth="1"/>
    <col min="7" max="7" width="12.42578125" customWidth="1"/>
    <col min="8" max="8" width="14.42578125" customWidth="1"/>
    <col min="15" max="15" width="14.7109375" customWidth="1"/>
    <col min="16" max="16" width="11.42578125" customWidth="1"/>
    <col min="17" max="17" width="17.5703125" customWidth="1"/>
    <col min="18" max="18" width="12.28515625" customWidth="1"/>
    <col min="19" max="19" width="21" customWidth="1"/>
    <col min="20" max="20" width="25.7109375" customWidth="1"/>
    <col min="21" max="21" width="16.7109375" customWidth="1"/>
    <col min="22" max="22" width="14.7109375" customWidth="1"/>
    <col min="23" max="23" width="14.85546875" customWidth="1"/>
    <col min="24" max="24" width="20.28515625" customWidth="1"/>
    <col min="25" max="25" width="15.28515625" customWidth="1"/>
    <col min="26" max="26" width="14.42578125" customWidth="1"/>
    <col min="27" max="27" width="17.28515625" customWidth="1"/>
    <col min="28" max="28" width="16.5703125" customWidth="1"/>
    <col min="29" max="29" width="21.5703125" customWidth="1"/>
  </cols>
  <sheetData>
    <row r="1" spans="1:31">
      <c r="Q1" s="92" t="s">
        <v>1953</v>
      </c>
      <c r="R1" s="92" t="s">
        <v>1953</v>
      </c>
      <c r="S1" s="92" t="s">
        <v>1954</v>
      </c>
      <c r="T1" s="93" t="s">
        <v>1955</v>
      </c>
      <c r="U1" s="92" t="s">
        <v>1955</v>
      </c>
      <c r="V1" s="92" t="s">
        <v>1955</v>
      </c>
      <c r="W1" s="92" t="s">
        <v>1955</v>
      </c>
      <c r="X1" s="92" t="s">
        <v>1955</v>
      </c>
      <c r="Y1" s="92" t="s">
        <v>1955</v>
      </c>
      <c r="Z1" s="94" t="s">
        <v>1956</v>
      </c>
      <c r="AA1" s="94" t="s">
        <v>1956</v>
      </c>
      <c r="AB1" s="94" t="s">
        <v>1956</v>
      </c>
      <c r="AC1" s="94" t="s">
        <v>1956</v>
      </c>
      <c r="AD1" s="94" t="s">
        <v>1956</v>
      </c>
      <c r="AE1" s="94" t="s">
        <v>1956</v>
      </c>
    </row>
    <row r="2" spans="1:31" ht="7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97" t="s">
        <v>10</v>
      </c>
      <c r="L2" s="98"/>
      <c r="M2" s="97" t="s">
        <v>11</v>
      </c>
      <c r="N2" s="98"/>
      <c r="O2" s="1" t="s">
        <v>12</v>
      </c>
      <c r="P2" s="1" t="s">
        <v>13</v>
      </c>
      <c r="Q2" s="3" t="s">
        <v>14</v>
      </c>
      <c r="R2" s="3" t="s">
        <v>15</v>
      </c>
      <c r="S2" s="1" t="s">
        <v>16</v>
      </c>
      <c r="T2" s="4" t="s">
        <v>17</v>
      </c>
      <c r="U2" s="1" t="s">
        <v>18</v>
      </c>
      <c r="V2" s="4" t="s">
        <v>19</v>
      </c>
      <c r="W2" s="1" t="s">
        <v>20</v>
      </c>
      <c r="X2" s="1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95" t="s">
        <v>27</v>
      </c>
      <c r="AE2" s="96"/>
    </row>
    <row r="3" spans="1:31" ht="30">
      <c r="A3" s="5"/>
      <c r="B3" s="5"/>
      <c r="C3" s="5"/>
      <c r="D3" s="5"/>
      <c r="E3" s="5"/>
      <c r="F3" s="5" t="s">
        <v>28</v>
      </c>
      <c r="G3" s="5" t="s">
        <v>29</v>
      </c>
      <c r="H3" s="5" t="s">
        <v>29</v>
      </c>
      <c r="I3" s="5" t="s">
        <v>29</v>
      </c>
      <c r="J3" s="5" t="s">
        <v>29</v>
      </c>
      <c r="K3" s="5" t="s">
        <v>29</v>
      </c>
      <c r="L3" s="6" t="s">
        <v>30</v>
      </c>
      <c r="M3" s="5" t="s">
        <v>29</v>
      </c>
      <c r="N3" s="6" t="s">
        <v>30</v>
      </c>
      <c r="O3" s="5" t="s">
        <v>28</v>
      </c>
      <c r="P3" s="5" t="s">
        <v>28</v>
      </c>
      <c r="Q3" s="5" t="s">
        <v>31</v>
      </c>
      <c r="R3" s="5" t="s">
        <v>32</v>
      </c>
      <c r="S3" s="5" t="s">
        <v>28</v>
      </c>
      <c r="T3" s="7" t="s">
        <v>28</v>
      </c>
      <c r="U3" s="5" t="s">
        <v>31</v>
      </c>
      <c r="V3" s="5" t="s">
        <v>31</v>
      </c>
      <c r="W3" s="7" t="s">
        <v>31</v>
      </c>
      <c r="X3" s="7" t="s">
        <v>31</v>
      </c>
      <c r="Y3" s="7" t="s">
        <v>28</v>
      </c>
      <c r="Z3" s="7" t="s">
        <v>31</v>
      </c>
      <c r="AA3" s="7" t="s">
        <v>31</v>
      </c>
      <c r="AB3" s="7" t="s">
        <v>28</v>
      </c>
      <c r="AC3" s="5" t="s">
        <v>33</v>
      </c>
      <c r="AD3" s="7" t="s">
        <v>34</v>
      </c>
      <c r="AE3" s="7" t="s">
        <v>35</v>
      </c>
    </row>
    <row r="4" spans="1:31">
      <c r="A4" s="8" t="s">
        <v>36</v>
      </c>
      <c r="B4" s="8" t="s">
        <v>37</v>
      </c>
      <c r="C4" s="8" t="s">
        <v>38</v>
      </c>
      <c r="D4" s="9" t="s">
        <v>39</v>
      </c>
      <c r="E4" s="8">
        <v>812700665101780</v>
      </c>
      <c r="F4" s="8">
        <v>217.02</v>
      </c>
      <c r="G4" s="8">
        <v>119</v>
      </c>
      <c r="H4" s="8">
        <v>603</v>
      </c>
      <c r="I4" s="8">
        <v>266</v>
      </c>
      <c r="J4" s="8">
        <v>337</v>
      </c>
      <c r="K4" s="8">
        <v>63</v>
      </c>
      <c r="L4" s="10">
        <f>K4/H4*100</f>
        <v>10.44776119402985</v>
      </c>
      <c r="M4" s="8">
        <v>320</v>
      </c>
      <c r="N4" s="10">
        <f>M4/H4*100</f>
        <v>53.067993366500829</v>
      </c>
      <c r="O4" s="8">
        <v>12.23</v>
      </c>
      <c r="P4" s="8">
        <v>0</v>
      </c>
      <c r="Q4" s="10"/>
      <c r="R4" s="10"/>
      <c r="S4" s="39"/>
      <c r="T4" s="10"/>
      <c r="U4" s="39"/>
      <c r="V4" s="39"/>
      <c r="W4" s="39"/>
      <c r="X4" s="39"/>
      <c r="Y4" s="39"/>
      <c r="Z4" s="39"/>
      <c r="AA4" s="39" t="s">
        <v>1949</v>
      </c>
      <c r="AB4" s="10"/>
      <c r="AC4" s="39"/>
      <c r="AD4" s="10"/>
      <c r="AE4" s="10"/>
    </row>
    <row r="5" spans="1:31">
      <c r="A5" s="8" t="s">
        <v>36</v>
      </c>
      <c r="B5" s="8" t="s">
        <v>37</v>
      </c>
      <c r="C5" s="8" t="s">
        <v>38</v>
      </c>
      <c r="D5" s="9" t="s">
        <v>40</v>
      </c>
      <c r="E5" s="8">
        <v>812700665101762</v>
      </c>
      <c r="F5" s="8">
        <v>2198</v>
      </c>
      <c r="G5" s="8">
        <v>5257</v>
      </c>
      <c r="H5" s="8">
        <v>26741</v>
      </c>
      <c r="I5" s="8">
        <v>13898</v>
      </c>
      <c r="J5" s="8">
        <v>12843</v>
      </c>
      <c r="K5" s="8">
        <v>7330</v>
      </c>
      <c r="L5" s="10">
        <f t="shared" ref="L5:L68" si="0">K5/H5*100</f>
        <v>27.411091582214574</v>
      </c>
      <c r="M5" s="8">
        <v>2120</v>
      </c>
      <c r="N5" s="10">
        <f t="shared" ref="N5:N68" si="1">M5/H5*100</f>
        <v>7.9279009760293189</v>
      </c>
      <c r="O5" s="8">
        <v>21.84</v>
      </c>
      <c r="P5" s="8">
        <v>1.6</v>
      </c>
      <c r="Q5" s="10"/>
      <c r="R5" s="10"/>
      <c r="S5" s="39"/>
      <c r="T5" s="10"/>
      <c r="U5" s="39"/>
      <c r="V5" s="39"/>
      <c r="W5" s="39"/>
      <c r="X5" s="39"/>
      <c r="Y5" s="39"/>
      <c r="Z5" s="39"/>
      <c r="AA5" s="39" t="s">
        <v>1949</v>
      </c>
      <c r="AB5" s="10"/>
      <c r="AC5" s="39"/>
      <c r="AD5" s="10"/>
      <c r="AE5" s="10"/>
    </row>
    <row r="6" spans="1:31">
      <c r="A6" s="8" t="s">
        <v>36</v>
      </c>
      <c r="B6" s="8" t="s">
        <v>37</v>
      </c>
      <c r="C6" s="8" t="s">
        <v>41</v>
      </c>
      <c r="D6" s="9" t="s">
        <v>42</v>
      </c>
      <c r="E6" s="8">
        <v>812700665101829</v>
      </c>
      <c r="F6" s="8">
        <v>2542.5700000000002</v>
      </c>
      <c r="G6" s="8">
        <v>948</v>
      </c>
      <c r="H6" s="8">
        <v>5161</v>
      </c>
      <c r="I6" s="8">
        <v>2651</v>
      </c>
      <c r="J6" s="8">
        <v>2510</v>
      </c>
      <c r="K6" s="8">
        <v>989</v>
      </c>
      <c r="L6" s="10">
        <f t="shared" si="0"/>
        <v>19.162952916101531</v>
      </c>
      <c r="M6" s="8">
        <v>511</v>
      </c>
      <c r="N6" s="10">
        <f t="shared" si="1"/>
        <v>9.9011819414842073</v>
      </c>
      <c r="O6" s="8">
        <v>30.83</v>
      </c>
      <c r="P6" s="8">
        <v>0</v>
      </c>
      <c r="Q6" s="13" t="s">
        <v>408</v>
      </c>
      <c r="R6" s="14">
        <v>44238</v>
      </c>
      <c r="S6" s="39"/>
      <c r="T6" s="12">
        <v>30.83</v>
      </c>
      <c r="U6" s="39"/>
      <c r="V6" s="39"/>
      <c r="W6" s="39"/>
      <c r="X6" s="39"/>
      <c r="Y6" s="39"/>
      <c r="Z6" s="39"/>
      <c r="AA6" s="39" t="s">
        <v>408</v>
      </c>
      <c r="AB6" s="16">
        <v>27</v>
      </c>
      <c r="AC6" s="39"/>
      <c r="AD6" s="11">
        <v>25.446695999999999</v>
      </c>
      <c r="AE6" s="11">
        <v>76.442216000000002</v>
      </c>
    </row>
    <row r="7" spans="1:31">
      <c r="A7" s="8" t="s">
        <v>36</v>
      </c>
      <c r="B7" s="8" t="s">
        <v>37</v>
      </c>
      <c r="C7" s="8" t="s">
        <v>41</v>
      </c>
      <c r="D7" s="9" t="s">
        <v>43</v>
      </c>
      <c r="E7" s="8">
        <v>812700665101838</v>
      </c>
      <c r="F7" s="8">
        <v>189.24</v>
      </c>
      <c r="G7" s="8">
        <v>70</v>
      </c>
      <c r="H7" s="8">
        <v>362</v>
      </c>
      <c r="I7" s="8">
        <v>182</v>
      </c>
      <c r="J7" s="8">
        <v>180</v>
      </c>
      <c r="K7" s="8">
        <v>12</v>
      </c>
      <c r="L7" s="10">
        <f t="shared" si="0"/>
        <v>3.3149171270718232</v>
      </c>
      <c r="M7" s="8">
        <v>214</v>
      </c>
      <c r="N7" s="10">
        <f t="shared" si="1"/>
        <v>59.11602209944752</v>
      </c>
      <c r="O7" s="8">
        <v>0.94</v>
      </c>
      <c r="P7" s="8">
        <v>0</v>
      </c>
      <c r="Q7" s="13" t="s">
        <v>408</v>
      </c>
      <c r="R7" s="14">
        <v>44238</v>
      </c>
      <c r="S7" s="39"/>
      <c r="T7" s="12">
        <v>0.94</v>
      </c>
      <c r="U7" s="39"/>
      <c r="V7" s="39"/>
      <c r="W7" s="39"/>
      <c r="X7" s="39"/>
      <c r="Y7" s="39"/>
      <c r="Z7" s="39"/>
      <c r="AA7" s="39" t="s">
        <v>408</v>
      </c>
      <c r="AB7" s="16">
        <v>1</v>
      </c>
      <c r="AC7" s="39"/>
      <c r="AD7" s="11">
        <v>25.446290000000001</v>
      </c>
      <c r="AE7" s="11">
        <v>76.483833000000004</v>
      </c>
    </row>
    <row r="8" spans="1:31">
      <c r="A8" s="8" t="s">
        <v>36</v>
      </c>
      <c r="B8" s="8" t="s">
        <v>37</v>
      </c>
      <c r="C8" s="8" t="s">
        <v>41</v>
      </c>
      <c r="D8" s="9" t="s">
        <v>44</v>
      </c>
      <c r="E8" s="8">
        <v>812700665101750</v>
      </c>
      <c r="F8" s="8">
        <v>148.15</v>
      </c>
      <c r="G8" s="8">
        <v>56</v>
      </c>
      <c r="H8" s="8">
        <v>260</v>
      </c>
      <c r="I8" s="8">
        <v>150</v>
      </c>
      <c r="J8" s="8">
        <v>110</v>
      </c>
      <c r="K8" s="8">
        <v>0</v>
      </c>
      <c r="L8" s="10">
        <f t="shared" si="0"/>
        <v>0</v>
      </c>
      <c r="M8" s="8">
        <v>200</v>
      </c>
      <c r="N8" s="10">
        <f t="shared" si="1"/>
        <v>76.923076923076934</v>
      </c>
      <c r="O8" s="8">
        <v>0</v>
      </c>
      <c r="P8" s="8">
        <v>0</v>
      </c>
      <c r="Q8" s="13" t="s">
        <v>408</v>
      </c>
      <c r="R8" s="14">
        <v>44238</v>
      </c>
      <c r="S8" s="39"/>
      <c r="T8" s="12">
        <v>0</v>
      </c>
      <c r="U8" s="39"/>
      <c r="V8" s="39"/>
      <c r="W8" s="39"/>
      <c r="X8" s="39"/>
      <c r="Y8" s="39"/>
      <c r="Z8" s="39"/>
      <c r="AA8" s="39" t="s">
        <v>1949</v>
      </c>
      <c r="AB8" s="16"/>
      <c r="AC8" s="39"/>
      <c r="AD8" s="13" t="s">
        <v>410</v>
      </c>
      <c r="AE8" s="13" t="s">
        <v>410</v>
      </c>
    </row>
    <row r="9" spans="1:31">
      <c r="A9" s="8" t="s">
        <v>36</v>
      </c>
      <c r="B9" s="8" t="s">
        <v>37</v>
      </c>
      <c r="C9" s="8" t="s">
        <v>45</v>
      </c>
      <c r="D9" s="9" t="s">
        <v>46</v>
      </c>
      <c r="E9" s="8">
        <v>812700665101824</v>
      </c>
      <c r="F9" s="8">
        <v>1023.86</v>
      </c>
      <c r="G9" s="8">
        <v>297</v>
      </c>
      <c r="H9" s="8">
        <v>1694</v>
      </c>
      <c r="I9" s="8">
        <v>857</v>
      </c>
      <c r="J9" s="8">
        <v>837</v>
      </c>
      <c r="K9" s="8">
        <v>635</v>
      </c>
      <c r="L9" s="10">
        <f t="shared" si="0"/>
        <v>37.485242030696575</v>
      </c>
      <c r="M9" s="8">
        <v>686</v>
      </c>
      <c r="N9" s="10">
        <f t="shared" si="1"/>
        <v>40.495867768595041</v>
      </c>
      <c r="O9" s="8">
        <v>31.58</v>
      </c>
      <c r="P9" s="8">
        <v>0</v>
      </c>
      <c r="Q9" s="13" t="s">
        <v>408</v>
      </c>
      <c r="R9" s="13" t="s">
        <v>411</v>
      </c>
      <c r="S9" s="39"/>
      <c r="T9" s="12">
        <v>31.58</v>
      </c>
      <c r="U9" s="39"/>
      <c r="V9" s="39"/>
      <c r="W9" s="39"/>
      <c r="X9" s="39"/>
      <c r="Y9" s="39"/>
      <c r="Z9" s="39"/>
      <c r="AA9" s="39" t="s">
        <v>408</v>
      </c>
      <c r="AB9" s="13">
        <v>21</v>
      </c>
      <c r="AC9" s="39"/>
      <c r="AD9" s="13">
        <v>25.420417</v>
      </c>
      <c r="AE9" s="13">
        <v>76.396416000000002</v>
      </c>
    </row>
    <row r="10" spans="1:31">
      <c r="A10" s="8" t="s">
        <v>36</v>
      </c>
      <c r="B10" s="8" t="s">
        <v>37</v>
      </c>
      <c r="C10" s="8" t="s">
        <v>45</v>
      </c>
      <c r="D10" s="9" t="s">
        <v>47</v>
      </c>
      <c r="E10" s="8" t="s">
        <v>48</v>
      </c>
      <c r="F10" s="8">
        <v>421.01</v>
      </c>
      <c r="G10" s="8">
        <v>106</v>
      </c>
      <c r="H10" s="8">
        <v>583</v>
      </c>
      <c r="I10" s="8">
        <v>302</v>
      </c>
      <c r="J10" s="8">
        <v>281</v>
      </c>
      <c r="K10" s="8">
        <v>112</v>
      </c>
      <c r="L10" s="10">
        <f t="shared" si="0"/>
        <v>19.210977701543737</v>
      </c>
      <c r="M10" s="8">
        <v>269</v>
      </c>
      <c r="N10" s="10">
        <f t="shared" si="1"/>
        <v>46.140651801029158</v>
      </c>
      <c r="O10" s="8">
        <v>0.14000000000000001</v>
      </c>
      <c r="P10" s="8">
        <v>0</v>
      </c>
      <c r="Q10" s="13" t="s">
        <v>408</v>
      </c>
      <c r="R10" s="13" t="s">
        <v>411</v>
      </c>
      <c r="S10" s="39"/>
      <c r="T10" s="12">
        <v>0.14000000000000001</v>
      </c>
      <c r="U10" s="39"/>
      <c r="V10" s="39"/>
      <c r="W10" s="39"/>
      <c r="X10" s="39"/>
      <c r="Y10" s="39"/>
      <c r="Z10" s="39"/>
      <c r="AA10" s="39" t="s">
        <v>1949</v>
      </c>
      <c r="AB10" s="13"/>
      <c r="AC10" s="39"/>
      <c r="AD10" s="13" t="s">
        <v>410</v>
      </c>
      <c r="AE10" s="13" t="s">
        <v>410</v>
      </c>
    </row>
    <row r="11" spans="1:31">
      <c r="A11" s="8" t="s">
        <v>36</v>
      </c>
      <c r="B11" s="8" t="s">
        <v>37</v>
      </c>
      <c r="C11" s="8" t="s">
        <v>45</v>
      </c>
      <c r="D11" s="9" t="s">
        <v>49</v>
      </c>
      <c r="E11" s="8" t="s">
        <v>50</v>
      </c>
      <c r="F11" s="8">
        <v>310.04000000000002</v>
      </c>
      <c r="G11" s="8">
        <v>130</v>
      </c>
      <c r="H11" s="8">
        <v>676</v>
      </c>
      <c r="I11" s="8">
        <v>342</v>
      </c>
      <c r="J11" s="8">
        <v>334</v>
      </c>
      <c r="K11" s="8">
        <v>39</v>
      </c>
      <c r="L11" s="10">
        <f t="shared" si="0"/>
        <v>5.7692307692307692</v>
      </c>
      <c r="M11" s="8">
        <v>525</v>
      </c>
      <c r="N11" s="10">
        <f t="shared" si="1"/>
        <v>77.662721893491124</v>
      </c>
      <c r="O11" s="8">
        <v>0.52</v>
      </c>
      <c r="P11" s="8">
        <v>0</v>
      </c>
      <c r="Q11" s="13" t="s">
        <v>408</v>
      </c>
      <c r="R11" s="13" t="s">
        <v>411</v>
      </c>
      <c r="S11" s="39"/>
      <c r="T11" s="12">
        <v>0.52</v>
      </c>
      <c r="U11" s="39"/>
      <c r="V11" s="39"/>
      <c r="W11" s="39"/>
      <c r="X11" s="39"/>
      <c r="Y11" s="39"/>
      <c r="Z11" s="39"/>
      <c r="AA11" s="39" t="s">
        <v>408</v>
      </c>
      <c r="AB11" s="13">
        <v>1</v>
      </c>
      <c r="AC11" s="39"/>
      <c r="AD11" s="13" t="s">
        <v>410</v>
      </c>
      <c r="AE11" s="13" t="s">
        <v>410</v>
      </c>
    </row>
    <row r="12" spans="1:31">
      <c r="A12" s="8" t="s">
        <v>36</v>
      </c>
      <c r="B12" s="8" t="s">
        <v>37</v>
      </c>
      <c r="C12" s="8" t="s">
        <v>45</v>
      </c>
      <c r="D12" s="9" t="s">
        <v>51</v>
      </c>
      <c r="E12" s="8" t="s">
        <v>52</v>
      </c>
      <c r="F12" s="8">
        <v>216.01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10" t="e">
        <f t="shared" si="0"/>
        <v>#DIV/0!</v>
      </c>
      <c r="M12" s="8">
        <v>0</v>
      </c>
      <c r="N12" s="10" t="e">
        <f t="shared" si="1"/>
        <v>#DIV/0!</v>
      </c>
      <c r="O12" s="8">
        <v>0</v>
      </c>
      <c r="P12" s="8">
        <v>0</v>
      </c>
      <c r="Q12" s="13" t="s">
        <v>408</v>
      </c>
      <c r="R12" s="13" t="s">
        <v>411</v>
      </c>
      <c r="S12" s="39"/>
      <c r="T12" s="12">
        <v>0</v>
      </c>
      <c r="U12" s="39"/>
      <c r="V12" s="39"/>
      <c r="W12" s="39"/>
      <c r="X12" s="39"/>
      <c r="Y12" s="39"/>
      <c r="Z12" s="39"/>
      <c r="AA12" s="39" t="s">
        <v>1949</v>
      </c>
      <c r="AB12" s="13"/>
      <c r="AC12" s="39"/>
      <c r="AD12" s="13" t="s">
        <v>410</v>
      </c>
      <c r="AE12" s="13" t="s">
        <v>410</v>
      </c>
    </row>
    <row r="13" spans="1:31">
      <c r="A13" s="8" t="s">
        <v>36</v>
      </c>
      <c r="B13" s="8" t="s">
        <v>37</v>
      </c>
      <c r="C13" s="8" t="s">
        <v>45</v>
      </c>
      <c r="D13" s="9" t="s">
        <v>53</v>
      </c>
      <c r="E13" s="8" t="s">
        <v>54</v>
      </c>
      <c r="F13" s="8">
        <v>430.15</v>
      </c>
      <c r="G13" s="8">
        <v>149</v>
      </c>
      <c r="H13" s="8">
        <v>724</v>
      </c>
      <c r="I13" s="8">
        <v>388</v>
      </c>
      <c r="J13" s="8">
        <v>336</v>
      </c>
      <c r="K13" s="8">
        <v>116</v>
      </c>
      <c r="L13" s="10">
        <f t="shared" si="0"/>
        <v>16.022099447513813</v>
      </c>
      <c r="M13" s="8">
        <v>351</v>
      </c>
      <c r="N13" s="10">
        <f t="shared" si="1"/>
        <v>48.480662983425418</v>
      </c>
      <c r="O13" s="8">
        <v>0</v>
      </c>
      <c r="P13" s="8">
        <v>0</v>
      </c>
      <c r="Q13" s="13" t="s">
        <v>408</v>
      </c>
      <c r="R13" s="13" t="s">
        <v>411</v>
      </c>
      <c r="S13" s="39"/>
      <c r="T13" s="12">
        <v>0</v>
      </c>
      <c r="U13" s="39"/>
      <c r="V13" s="39"/>
      <c r="W13" s="39"/>
      <c r="X13" s="39"/>
      <c r="Y13" s="39"/>
      <c r="Z13" s="39"/>
      <c r="AA13" s="39" t="s">
        <v>1949</v>
      </c>
      <c r="AB13" s="13"/>
      <c r="AC13" s="39"/>
      <c r="AD13" s="13" t="s">
        <v>410</v>
      </c>
      <c r="AE13" s="13" t="s">
        <v>410</v>
      </c>
    </row>
    <row r="14" spans="1:31">
      <c r="A14" s="8" t="s">
        <v>36</v>
      </c>
      <c r="B14" s="8" t="s">
        <v>37</v>
      </c>
      <c r="C14" s="8" t="s">
        <v>45</v>
      </c>
      <c r="D14" s="9" t="s">
        <v>55</v>
      </c>
      <c r="E14" s="8" t="s">
        <v>56</v>
      </c>
      <c r="F14" s="8">
        <v>900.57</v>
      </c>
      <c r="G14" s="8">
        <v>259</v>
      </c>
      <c r="H14" s="8">
        <v>1177</v>
      </c>
      <c r="I14" s="8">
        <v>606</v>
      </c>
      <c r="J14" s="8">
        <v>571</v>
      </c>
      <c r="K14" s="8">
        <v>448</v>
      </c>
      <c r="L14" s="10">
        <f t="shared" si="0"/>
        <v>38.062871707731524</v>
      </c>
      <c r="M14" s="8">
        <v>590</v>
      </c>
      <c r="N14" s="10">
        <f t="shared" si="1"/>
        <v>50.12744265080714</v>
      </c>
      <c r="O14" s="8">
        <v>18.690000000000001</v>
      </c>
      <c r="P14" s="8">
        <v>0</v>
      </c>
      <c r="Q14" s="13" t="s">
        <v>408</v>
      </c>
      <c r="R14" s="13" t="s">
        <v>411</v>
      </c>
      <c r="S14" s="39"/>
      <c r="T14" s="12">
        <v>18.690000000000001</v>
      </c>
      <c r="U14" s="39"/>
      <c r="V14" s="39"/>
      <c r="W14" s="39"/>
      <c r="X14" s="39"/>
      <c r="Y14" s="39"/>
      <c r="Z14" s="39"/>
      <c r="AA14" s="39" t="s">
        <v>408</v>
      </c>
      <c r="AB14" s="13">
        <v>13</v>
      </c>
      <c r="AC14" s="39"/>
      <c r="AD14" s="13">
        <v>25.433696000000001</v>
      </c>
      <c r="AE14" s="13">
        <v>76.422830000000005</v>
      </c>
    </row>
    <row r="15" spans="1:31">
      <c r="A15" s="8" t="s">
        <v>36</v>
      </c>
      <c r="B15" s="8" t="s">
        <v>37</v>
      </c>
      <c r="C15" s="8" t="s">
        <v>57</v>
      </c>
      <c r="D15" s="9" t="s">
        <v>58</v>
      </c>
      <c r="E15" s="8" t="s">
        <v>59</v>
      </c>
      <c r="F15" s="8">
        <v>887.91</v>
      </c>
      <c r="G15" s="8">
        <v>237</v>
      </c>
      <c r="H15" s="8">
        <v>1163</v>
      </c>
      <c r="I15" s="8">
        <v>627</v>
      </c>
      <c r="J15" s="8">
        <v>536</v>
      </c>
      <c r="K15" s="8">
        <v>330</v>
      </c>
      <c r="L15" s="10">
        <f t="shared" si="0"/>
        <v>28.374892519346517</v>
      </c>
      <c r="M15" s="8">
        <v>265</v>
      </c>
      <c r="N15" s="10">
        <f t="shared" si="1"/>
        <v>22.785898538263112</v>
      </c>
      <c r="O15" s="8">
        <v>0</v>
      </c>
      <c r="P15" s="8">
        <v>165.58</v>
      </c>
      <c r="Q15" s="10"/>
      <c r="R15" s="10"/>
      <c r="S15" s="39"/>
      <c r="T15" s="10"/>
      <c r="U15" s="39"/>
      <c r="V15" s="39"/>
      <c r="W15" s="39"/>
      <c r="X15" s="39"/>
      <c r="Y15" s="39"/>
      <c r="Z15" s="39"/>
      <c r="AA15" s="39" t="s">
        <v>1949</v>
      </c>
      <c r="AB15" s="10"/>
      <c r="AC15" s="39"/>
      <c r="AD15" s="10"/>
      <c r="AE15" s="10"/>
    </row>
    <row r="16" spans="1:31">
      <c r="A16" s="8" t="s">
        <v>36</v>
      </c>
      <c r="B16" s="8" t="s">
        <v>37</v>
      </c>
      <c r="C16" s="8" t="s">
        <v>57</v>
      </c>
      <c r="D16" s="9" t="s">
        <v>60</v>
      </c>
      <c r="E16" s="8" t="s">
        <v>61</v>
      </c>
      <c r="F16" s="8">
        <v>52.54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10"/>
      <c r="M16" s="8">
        <v>0</v>
      </c>
      <c r="N16" s="10"/>
      <c r="O16" s="8">
        <v>0</v>
      </c>
      <c r="P16" s="8">
        <v>0</v>
      </c>
      <c r="Q16" s="13" t="s">
        <v>408</v>
      </c>
      <c r="R16" s="20">
        <v>45342</v>
      </c>
      <c r="S16" s="39"/>
      <c r="T16" s="12">
        <v>0</v>
      </c>
      <c r="U16" s="39"/>
      <c r="V16" s="39"/>
      <c r="W16" s="39"/>
      <c r="X16" s="39"/>
      <c r="Y16" s="39"/>
      <c r="Z16" s="39"/>
      <c r="AA16" s="39" t="s">
        <v>1949</v>
      </c>
      <c r="AB16" s="12"/>
      <c r="AC16" s="39"/>
      <c r="AD16" s="13" t="s">
        <v>410</v>
      </c>
      <c r="AE16" s="13" t="s">
        <v>410</v>
      </c>
    </row>
    <row r="17" spans="1:31">
      <c r="A17" s="8" t="s">
        <v>36</v>
      </c>
      <c r="B17" s="8" t="s">
        <v>37</v>
      </c>
      <c r="C17" s="8" t="s">
        <v>57</v>
      </c>
      <c r="D17" s="9" t="s">
        <v>62</v>
      </c>
      <c r="E17" s="8" t="s">
        <v>63</v>
      </c>
      <c r="F17" s="8">
        <v>244.03</v>
      </c>
      <c r="G17" s="8">
        <v>146</v>
      </c>
      <c r="H17" s="8">
        <v>626</v>
      </c>
      <c r="I17" s="8">
        <v>323</v>
      </c>
      <c r="J17" s="8">
        <v>303</v>
      </c>
      <c r="K17" s="8">
        <v>104</v>
      </c>
      <c r="L17" s="10">
        <f t="shared" si="0"/>
        <v>16.613418530351439</v>
      </c>
      <c r="M17" s="8">
        <v>387</v>
      </c>
      <c r="N17" s="10">
        <f t="shared" si="1"/>
        <v>61.821086261980831</v>
      </c>
      <c r="O17" s="8">
        <v>0</v>
      </c>
      <c r="P17" s="8">
        <v>13.87</v>
      </c>
      <c r="Q17" s="13" t="s">
        <v>408</v>
      </c>
      <c r="R17" s="20">
        <v>45342</v>
      </c>
      <c r="S17" s="39"/>
      <c r="T17" s="12">
        <v>0</v>
      </c>
      <c r="U17" s="39"/>
      <c r="V17" s="39"/>
      <c r="W17" s="39"/>
      <c r="X17" s="39"/>
      <c r="Y17" s="39"/>
      <c r="Z17" s="39"/>
      <c r="AA17" s="39" t="s">
        <v>1949</v>
      </c>
      <c r="AB17" s="12"/>
      <c r="AC17" s="39"/>
      <c r="AD17" s="13" t="s">
        <v>410</v>
      </c>
      <c r="AE17" s="13" t="s">
        <v>410</v>
      </c>
    </row>
    <row r="18" spans="1:31">
      <c r="A18" s="8" t="s">
        <v>36</v>
      </c>
      <c r="B18" s="8" t="s">
        <v>37</v>
      </c>
      <c r="C18" s="8" t="s">
        <v>57</v>
      </c>
      <c r="D18" s="9" t="s">
        <v>64</v>
      </c>
      <c r="E18" s="8" t="s">
        <v>65</v>
      </c>
      <c r="F18" s="8">
        <v>392.88</v>
      </c>
      <c r="G18" s="8">
        <v>151</v>
      </c>
      <c r="H18" s="8">
        <v>799</v>
      </c>
      <c r="I18" s="8">
        <v>408</v>
      </c>
      <c r="J18" s="8">
        <v>391</v>
      </c>
      <c r="K18" s="8">
        <v>117</v>
      </c>
      <c r="L18" s="10">
        <f t="shared" si="0"/>
        <v>14.643304130162704</v>
      </c>
      <c r="M18" s="8">
        <v>2</v>
      </c>
      <c r="N18" s="10">
        <f t="shared" si="1"/>
        <v>0.25031289111389238</v>
      </c>
      <c r="O18" s="8">
        <v>0</v>
      </c>
      <c r="P18" s="8">
        <v>44.4</v>
      </c>
      <c r="Q18" s="13" t="s">
        <v>408</v>
      </c>
      <c r="R18" s="20">
        <v>45342</v>
      </c>
      <c r="S18" s="39"/>
      <c r="T18" s="12">
        <v>0</v>
      </c>
      <c r="U18" s="39"/>
      <c r="V18" s="39"/>
      <c r="W18" s="39"/>
      <c r="X18" s="39"/>
      <c r="Y18" s="39"/>
      <c r="Z18" s="39"/>
      <c r="AA18" s="39" t="s">
        <v>1949</v>
      </c>
      <c r="AB18" s="12"/>
      <c r="AC18" s="39"/>
      <c r="AD18" s="13" t="s">
        <v>410</v>
      </c>
      <c r="AE18" s="13" t="s">
        <v>410</v>
      </c>
    </row>
    <row r="19" spans="1:31">
      <c r="A19" s="8" t="s">
        <v>36</v>
      </c>
      <c r="B19" s="8" t="s">
        <v>37</v>
      </c>
      <c r="C19" s="8" t="s">
        <v>57</v>
      </c>
      <c r="D19" s="9" t="s">
        <v>66</v>
      </c>
      <c r="E19" s="8" t="s">
        <v>67</v>
      </c>
      <c r="F19" s="8">
        <v>369.12</v>
      </c>
      <c r="G19" s="8">
        <v>28</v>
      </c>
      <c r="H19" s="8">
        <v>128</v>
      </c>
      <c r="I19" s="8">
        <v>69</v>
      </c>
      <c r="J19" s="8">
        <v>59</v>
      </c>
      <c r="K19" s="8">
        <v>0</v>
      </c>
      <c r="L19" s="10">
        <f t="shared" si="0"/>
        <v>0</v>
      </c>
      <c r="M19" s="8">
        <v>0</v>
      </c>
      <c r="N19" s="10">
        <f t="shared" si="1"/>
        <v>0</v>
      </c>
      <c r="O19" s="8">
        <v>0</v>
      </c>
      <c r="P19" s="8">
        <v>111.33</v>
      </c>
      <c r="Q19" s="13" t="s">
        <v>408</v>
      </c>
      <c r="R19" s="20">
        <v>45342</v>
      </c>
      <c r="S19" s="39"/>
      <c r="T19" s="12">
        <v>0</v>
      </c>
      <c r="U19" s="39"/>
      <c r="V19" s="39"/>
      <c r="W19" s="39"/>
      <c r="X19" s="39"/>
      <c r="Y19" s="39"/>
      <c r="Z19" s="39"/>
      <c r="AA19" s="39" t="s">
        <v>1949</v>
      </c>
      <c r="AB19" s="12"/>
      <c r="AC19" s="39"/>
      <c r="AD19" s="13" t="s">
        <v>410</v>
      </c>
      <c r="AE19" s="13" t="s">
        <v>410</v>
      </c>
    </row>
    <row r="20" spans="1:31">
      <c r="A20" s="8" t="s">
        <v>36</v>
      </c>
      <c r="B20" s="8" t="s">
        <v>37</v>
      </c>
      <c r="C20" s="8" t="s">
        <v>57</v>
      </c>
      <c r="D20" s="9" t="s">
        <v>68</v>
      </c>
      <c r="E20" s="8" t="s">
        <v>69</v>
      </c>
      <c r="F20" s="8">
        <v>351.42</v>
      </c>
      <c r="G20" s="8">
        <v>131</v>
      </c>
      <c r="H20" s="8">
        <v>553</v>
      </c>
      <c r="I20" s="8">
        <v>284</v>
      </c>
      <c r="J20" s="8">
        <v>269</v>
      </c>
      <c r="K20" s="8">
        <v>372</v>
      </c>
      <c r="L20" s="10">
        <f t="shared" si="0"/>
        <v>67.269439421338149</v>
      </c>
      <c r="M20" s="8">
        <v>13</v>
      </c>
      <c r="N20" s="10">
        <f t="shared" si="1"/>
        <v>2.3508137432188065</v>
      </c>
      <c r="O20" s="8">
        <v>8.0399999999999991</v>
      </c>
      <c r="P20" s="8">
        <v>53.28</v>
      </c>
      <c r="Q20" s="13" t="s">
        <v>408</v>
      </c>
      <c r="R20" s="20">
        <v>45342</v>
      </c>
      <c r="S20" s="39"/>
      <c r="T20" s="12">
        <v>0</v>
      </c>
      <c r="U20" s="39"/>
      <c r="V20" s="39"/>
      <c r="W20" s="39"/>
      <c r="X20" s="39"/>
      <c r="Y20" s="39"/>
      <c r="Z20" s="39"/>
      <c r="AA20" s="39" t="s">
        <v>1949</v>
      </c>
      <c r="AB20" s="12"/>
      <c r="AC20" s="39"/>
      <c r="AD20" s="13" t="s">
        <v>410</v>
      </c>
      <c r="AE20" s="13" t="s">
        <v>410</v>
      </c>
    </row>
    <row r="21" spans="1:31">
      <c r="A21" s="8" t="s">
        <v>36</v>
      </c>
      <c r="B21" s="8" t="s">
        <v>37</v>
      </c>
      <c r="C21" s="8" t="s">
        <v>57</v>
      </c>
      <c r="D21" s="9" t="s">
        <v>70</v>
      </c>
      <c r="E21" s="8" t="s">
        <v>71</v>
      </c>
      <c r="F21" s="8">
        <v>364.12</v>
      </c>
      <c r="G21" s="8">
        <v>120</v>
      </c>
      <c r="H21" s="8">
        <v>398</v>
      </c>
      <c r="I21" s="8">
        <v>207</v>
      </c>
      <c r="J21" s="8">
        <v>191</v>
      </c>
      <c r="K21" s="8">
        <v>64</v>
      </c>
      <c r="L21" s="10">
        <f t="shared" si="0"/>
        <v>16.08040201005025</v>
      </c>
      <c r="M21" s="8">
        <v>30</v>
      </c>
      <c r="N21" s="10">
        <f t="shared" si="1"/>
        <v>7.5376884422110546</v>
      </c>
      <c r="O21" s="8">
        <v>0</v>
      </c>
      <c r="P21" s="8">
        <v>60.4</v>
      </c>
      <c r="Q21" s="13" t="s">
        <v>408</v>
      </c>
      <c r="R21" s="20">
        <v>45342</v>
      </c>
      <c r="S21" s="39"/>
      <c r="T21" s="12">
        <v>0</v>
      </c>
      <c r="U21" s="39"/>
      <c r="V21" s="39"/>
      <c r="W21" s="39"/>
      <c r="X21" s="39"/>
      <c r="Y21" s="39"/>
      <c r="Z21" s="39"/>
      <c r="AA21" s="39" t="s">
        <v>1949</v>
      </c>
      <c r="AB21" s="12"/>
      <c r="AC21" s="39"/>
      <c r="AD21" s="13" t="s">
        <v>410</v>
      </c>
      <c r="AE21" s="13" t="s">
        <v>410</v>
      </c>
    </row>
    <row r="22" spans="1:31">
      <c r="A22" s="8" t="s">
        <v>36</v>
      </c>
      <c r="B22" s="8" t="s">
        <v>37</v>
      </c>
      <c r="C22" s="8" t="s">
        <v>72</v>
      </c>
      <c r="D22" s="9" t="s">
        <v>73</v>
      </c>
      <c r="E22" s="8" t="s">
        <v>74</v>
      </c>
      <c r="F22" s="8">
        <v>1437</v>
      </c>
      <c r="G22" s="8">
        <v>246</v>
      </c>
      <c r="H22" s="8">
        <v>1020</v>
      </c>
      <c r="I22" s="8">
        <v>536</v>
      </c>
      <c r="J22" s="8">
        <v>484</v>
      </c>
      <c r="K22" s="8">
        <v>213</v>
      </c>
      <c r="L22" s="10">
        <f t="shared" si="0"/>
        <v>20.882352941176471</v>
      </c>
      <c r="M22" s="8">
        <v>65</v>
      </c>
      <c r="N22" s="10">
        <f t="shared" si="1"/>
        <v>6.3725490196078427</v>
      </c>
      <c r="O22" s="8">
        <v>0</v>
      </c>
      <c r="P22" s="8">
        <v>540</v>
      </c>
      <c r="Q22" s="18" t="s">
        <v>408</v>
      </c>
      <c r="R22" s="21">
        <v>46029</v>
      </c>
      <c r="S22" s="39"/>
      <c r="T22" s="18"/>
      <c r="U22" s="39"/>
      <c r="V22" s="39"/>
      <c r="W22" s="39"/>
      <c r="X22" s="39"/>
      <c r="Y22" s="39"/>
      <c r="Z22" s="39"/>
      <c r="AA22" s="39" t="s">
        <v>1949</v>
      </c>
      <c r="AB22" s="18"/>
      <c r="AC22" s="39"/>
      <c r="AD22" s="18" t="s">
        <v>410</v>
      </c>
      <c r="AE22" s="18" t="s">
        <v>410</v>
      </c>
    </row>
    <row r="23" spans="1:31">
      <c r="A23" s="8" t="s">
        <v>36</v>
      </c>
      <c r="B23" s="8" t="s">
        <v>37</v>
      </c>
      <c r="C23" s="8" t="s">
        <v>72</v>
      </c>
      <c r="D23" s="9" t="s">
        <v>75</v>
      </c>
      <c r="E23" s="8" t="s">
        <v>76</v>
      </c>
      <c r="F23" s="8">
        <v>245</v>
      </c>
      <c r="G23" s="8">
        <v>63</v>
      </c>
      <c r="H23" s="8">
        <v>291</v>
      </c>
      <c r="I23" s="8">
        <v>157</v>
      </c>
      <c r="J23" s="8">
        <v>134</v>
      </c>
      <c r="K23" s="8">
        <v>222</v>
      </c>
      <c r="L23" s="10">
        <f t="shared" si="0"/>
        <v>76.288659793814432</v>
      </c>
      <c r="M23" s="8">
        <v>0</v>
      </c>
      <c r="N23" s="10">
        <f t="shared" si="1"/>
        <v>0</v>
      </c>
      <c r="O23" s="8">
        <v>0</v>
      </c>
      <c r="P23" s="8">
        <v>7</v>
      </c>
      <c r="Q23" s="18" t="s">
        <v>408</v>
      </c>
      <c r="R23" s="21">
        <v>46029</v>
      </c>
      <c r="S23" s="39"/>
      <c r="T23" s="18"/>
      <c r="U23" s="39"/>
      <c r="V23" s="39"/>
      <c r="W23" s="39"/>
      <c r="X23" s="39"/>
      <c r="Y23" s="39"/>
      <c r="Z23" s="39"/>
      <c r="AA23" s="39" t="s">
        <v>1949</v>
      </c>
      <c r="AB23" s="18"/>
      <c r="AC23" s="39"/>
      <c r="AD23" s="18" t="s">
        <v>410</v>
      </c>
      <c r="AE23" s="18" t="s">
        <v>410</v>
      </c>
    </row>
    <row r="24" spans="1:31">
      <c r="A24" s="8" t="s">
        <v>36</v>
      </c>
      <c r="B24" s="8" t="s">
        <v>37</v>
      </c>
      <c r="C24" s="8" t="s">
        <v>72</v>
      </c>
      <c r="D24" s="9" t="s">
        <v>77</v>
      </c>
      <c r="E24" s="8" t="s">
        <v>78</v>
      </c>
      <c r="F24" s="8">
        <v>757</v>
      </c>
      <c r="G24" s="8">
        <v>161</v>
      </c>
      <c r="H24" s="8">
        <v>840</v>
      </c>
      <c r="I24" s="8">
        <v>448</v>
      </c>
      <c r="J24" s="8">
        <v>392</v>
      </c>
      <c r="K24" s="8">
        <v>307</v>
      </c>
      <c r="L24" s="10">
        <f t="shared" si="0"/>
        <v>36.547619047619044</v>
      </c>
      <c r="M24" s="8">
        <v>43</v>
      </c>
      <c r="N24" s="10">
        <f t="shared" si="1"/>
        <v>5.1190476190476186</v>
      </c>
      <c r="O24" s="8">
        <v>0</v>
      </c>
      <c r="P24" s="8">
        <v>56</v>
      </c>
      <c r="Q24" s="18" t="s">
        <v>408</v>
      </c>
      <c r="R24" s="21">
        <v>46029</v>
      </c>
      <c r="S24" s="39"/>
      <c r="T24" s="18"/>
      <c r="U24" s="39"/>
      <c r="V24" s="39"/>
      <c r="W24" s="39"/>
      <c r="X24" s="39"/>
      <c r="Y24" s="39"/>
      <c r="Z24" s="39"/>
      <c r="AA24" s="39" t="s">
        <v>1949</v>
      </c>
      <c r="AB24" s="18"/>
      <c r="AC24" s="39"/>
      <c r="AD24" s="18" t="s">
        <v>410</v>
      </c>
      <c r="AE24" s="18" t="s">
        <v>410</v>
      </c>
    </row>
    <row r="25" spans="1:31">
      <c r="A25" s="8" t="s">
        <v>36</v>
      </c>
      <c r="B25" s="8" t="s">
        <v>37</v>
      </c>
      <c r="C25" s="8" t="s">
        <v>72</v>
      </c>
      <c r="D25" s="9" t="s">
        <v>79</v>
      </c>
      <c r="E25" s="8" t="s">
        <v>80</v>
      </c>
      <c r="F25" s="8">
        <v>222</v>
      </c>
      <c r="G25" s="8">
        <v>77</v>
      </c>
      <c r="H25" s="8">
        <v>342</v>
      </c>
      <c r="I25" s="8">
        <v>190</v>
      </c>
      <c r="J25" s="8">
        <v>152</v>
      </c>
      <c r="K25" s="8">
        <v>340</v>
      </c>
      <c r="L25" s="10">
        <f t="shared" si="0"/>
        <v>99.415204678362571</v>
      </c>
      <c r="M25" s="8">
        <v>1</v>
      </c>
      <c r="N25" s="10">
        <f t="shared" si="1"/>
        <v>0.29239766081871343</v>
      </c>
      <c r="O25" s="8">
        <v>0</v>
      </c>
      <c r="P25" s="8">
        <v>0</v>
      </c>
      <c r="Q25" s="18" t="s">
        <v>408</v>
      </c>
      <c r="R25" s="21">
        <v>46029</v>
      </c>
      <c r="S25" s="39"/>
      <c r="T25" s="18"/>
      <c r="U25" s="39"/>
      <c r="V25" s="39"/>
      <c r="W25" s="39"/>
      <c r="X25" s="39"/>
      <c r="Y25" s="39"/>
      <c r="Z25" s="39"/>
      <c r="AA25" s="39" t="s">
        <v>1949</v>
      </c>
      <c r="AB25" s="18"/>
      <c r="AC25" s="39"/>
      <c r="AD25" s="18" t="s">
        <v>410</v>
      </c>
      <c r="AE25" s="18" t="s">
        <v>410</v>
      </c>
    </row>
    <row r="26" spans="1:31">
      <c r="A26" s="8" t="s">
        <v>36</v>
      </c>
      <c r="B26" s="8" t="s">
        <v>37</v>
      </c>
      <c r="C26" s="8" t="s">
        <v>72</v>
      </c>
      <c r="D26" s="9" t="s">
        <v>81</v>
      </c>
      <c r="E26" s="8" t="s">
        <v>82</v>
      </c>
      <c r="F26" s="8">
        <v>157</v>
      </c>
      <c r="G26" s="8">
        <v>84</v>
      </c>
      <c r="H26" s="8">
        <v>383</v>
      </c>
      <c r="I26" s="8">
        <v>204</v>
      </c>
      <c r="J26" s="8">
        <v>179</v>
      </c>
      <c r="K26" s="8">
        <v>0</v>
      </c>
      <c r="L26" s="10">
        <f t="shared" si="0"/>
        <v>0</v>
      </c>
      <c r="M26" s="8">
        <v>0</v>
      </c>
      <c r="N26" s="10">
        <f t="shared" si="1"/>
        <v>0</v>
      </c>
      <c r="O26" s="8">
        <v>0</v>
      </c>
      <c r="P26" s="8">
        <v>0</v>
      </c>
      <c r="Q26" s="18" t="s">
        <v>408</v>
      </c>
      <c r="R26" s="21">
        <v>46029</v>
      </c>
      <c r="S26" s="39"/>
      <c r="T26" s="18"/>
      <c r="U26" s="39"/>
      <c r="V26" s="39"/>
      <c r="W26" s="39"/>
      <c r="X26" s="39"/>
      <c r="Y26" s="39"/>
      <c r="Z26" s="39"/>
      <c r="AA26" s="39" t="s">
        <v>1949</v>
      </c>
      <c r="AB26" s="18"/>
      <c r="AC26" s="39"/>
      <c r="AD26" s="18" t="s">
        <v>410</v>
      </c>
      <c r="AE26" s="18" t="s">
        <v>410</v>
      </c>
    </row>
    <row r="27" spans="1:31">
      <c r="A27" s="8" t="s">
        <v>36</v>
      </c>
      <c r="B27" s="8" t="s">
        <v>37</v>
      </c>
      <c r="C27" s="8" t="s">
        <v>72</v>
      </c>
      <c r="D27" s="9" t="s">
        <v>83</v>
      </c>
      <c r="E27" s="8" t="s">
        <v>84</v>
      </c>
      <c r="F27" s="8">
        <v>484</v>
      </c>
      <c r="G27" s="8">
        <v>92</v>
      </c>
      <c r="H27" s="8">
        <v>378</v>
      </c>
      <c r="I27" s="8">
        <v>201</v>
      </c>
      <c r="J27" s="8">
        <v>177</v>
      </c>
      <c r="K27" s="8">
        <v>107</v>
      </c>
      <c r="L27" s="10">
        <f t="shared" si="0"/>
        <v>28.306878306878307</v>
      </c>
      <c r="M27" s="8">
        <v>0</v>
      </c>
      <c r="N27" s="10">
        <f t="shared" si="1"/>
        <v>0</v>
      </c>
      <c r="O27" s="8">
        <v>0</v>
      </c>
      <c r="P27" s="8">
        <v>147</v>
      </c>
      <c r="Q27" s="18" t="s">
        <v>408</v>
      </c>
      <c r="R27" s="21">
        <v>46029</v>
      </c>
      <c r="S27" s="39"/>
      <c r="T27" s="18"/>
      <c r="U27" s="39"/>
      <c r="V27" s="39"/>
      <c r="W27" s="39"/>
      <c r="X27" s="39"/>
      <c r="Y27" s="39"/>
      <c r="Z27" s="39"/>
      <c r="AA27" s="39" t="s">
        <v>1949</v>
      </c>
      <c r="AB27" s="18"/>
      <c r="AC27" s="39"/>
      <c r="AD27" s="18" t="s">
        <v>410</v>
      </c>
      <c r="AE27" s="18" t="s">
        <v>410</v>
      </c>
    </row>
    <row r="28" spans="1:31">
      <c r="A28" s="8" t="s">
        <v>36</v>
      </c>
      <c r="B28" s="8" t="s">
        <v>37</v>
      </c>
      <c r="C28" s="8" t="s">
        <v>85</v>
      </c>
      <c r="D28" s="9" t="s">
        <v>86</v>
      </c>
      <c r="E28" s="8" t="s">
        <v>87</v>
      </c>
      <c r="F28" s="8">
        <v>779.51</v>
      </c>
      <c r="G28" s="8">
        <v>172</v>
      </c>
      <c r="H28" s="8">
        <v>833</v>
      </c>
      <c r="I28" s="8">
        <v>417</v>
      </c>
      <c r="J28" s="8">
        <v>416</v>
      </c>
      <c r="K28" s="8">
        <v>150</v>
      </c>
      <c r="L28" s="10">
        <f t="shared" si="0"/>
        <v>18.007202881152462</v>
      </c>
      <c r="M28" s="8">
        <v>364</v>
      </c>
      <c r="N28" s="10">
        <f t="shared" si="1"/>
        <v>43.69747899159664</v>
      </c>
      <c r="O28" s="8">
        <v>0</v>
      </c>
      <c r="P28" s="8">
        <v>87.17</v>
      </c>
      <c r="Q28" s="23" t="s">
        <v>409</v>
      </c>
      <c r="R28" s="24">
        <v>45884</v>
      </c>
      <c r="S28" s="39"/>
      <c r="T28" s="18">
        <v>0</v>
      </c>
      <c r="U28" s="39"/>
      <c r="V28" s="39"/>
      <c r="W28" s="39"/>
      <c r="X28" s="39"/>
      <c r="Y28" s="39"/>
      <c r="Z28" s="39"/>
      <c r="AA28" s="39" t="s">
        <v>1949</v>
      </c>
      <c r="AB28" s="18"/>
      <c r="AC28" s="39"/>
      <c r="AD28" s="18" t="s">
        <v>410</v>
      </c>
      <c r="AE28" s="18" t="s">
        <v>410</v>
      </c>
    </row>
    <row r="29" spans="1:31">
      <c r="A29" s="8" t="s">
        <v>36</v>
      </c>
      <c r="B29" s="8" t="s">
        <v>37</v>
      </c>
      <c r="C29" s="8" t="s">
        <v>85</v>
      </c>
      <c r="D29" s="9" t="s">
        <v>88</v>
      </c>
      <c r="E29" s="8" t="s">
        <v>89</v>
      </c>
      <c r="F29" s="8">
        <v>286.56</v>
      </c>
      <c r="G29" s="8">
        <v>56</v>
      </c>
      <c r="H29" s="8">
        <v>334</v>
      </c>
      <c r="I29" s="8">
        <v>168</v>
      </c>
      <c r="J29" s="8">
        <v>166</v>
      </c>
      <c r="K29" s="8">
        <v>1</v>
      </c>
      <c r="L29" s="10">
        <f t="shared" si="0"/>
        <v>0.29940119760479045</v>
      </c>
      <c r="M29" s="8">
        <v>227</v>
      </c>
      <c r="N29" s="10">
        <f t="shared" si="1"/>
        <v>67.964071856287418</v>
      </c>
      <c r="O29" s="8">
        <v>0</v>
      </c>
      <c r="P29" s="8">
        <v>0</v>
      </c>
      <c r="Q29" s="23" t="s">
        <v>409</v>
      </c>
      <c r="R29" s="24">
        <v>45884</v>
      </c>
      <c r="S29" s="39"/>
      <c r="T29" s="18">
        <v>0</v>
      </c>
      <c r="U29" s="39"/>
      <c r="V29" s="39"/>
      <c r="W29" s="39"/>
      <c r="X29" s="39"/>
      <c r="Y29" s="39"/>
      <c r="Z29" s="39"/>
      <c r="AA29" s="39" t="s">
        <v>1949</v>
      </c>
      <c r="AB29" s="18"/>
      <c r="AC29" s="39"/>
      <c r="AD29" s="18" t="s">
        <v>410</v>
      </c>
      <c r="AE29" s="18" t="s">
        <v>410</v>
      </c>
    </row>
    <row r="30" spans="1:31">
      <c r="A30" s="8" t="s">
        <v>36</v>
      </c>
      <c r="B30" s="8" t="s">
        <v>37</v>
      </c>
      <c r="C30" s="8" t="s">
        <v>85</v>
      </c>
      <c r="D30" s="9" t="s">
        <v>90</v>
      </c>
      <c r="E30" s="8" t="s">
        <v>91</v>
      </c>
      <c r="F30" s="8">
        <v>262.27999999999997</v>
      </c>
      <c r="G30" s="8">
        <v>36</v>
      </c>
      <c r="H30" s="8">
        <v>219</v>
      </c>
      <c r="I30" s="8">
        <v>124</v>
      </c>
      <c r="J30" s="8">
        <v>95</v>
      </c>
      <c r="K30" s="8">
        <v>8</v>
      </c>
      <c r="L30" s="10">
        <f t="shared" si="0"/>
        <v>3.6529680365296802</v>
      </c>
      <c r="M30" s="8">
        <v>131</v>
      </c>
      <c r="N30" s="10">
        <f t="shared" si="1"/>
        <v>59.817351598173516</v>
      </c>
      <c r="O30" s="8">
        <v>0</v>
      </c>
      <c r="P30" s="8">
        <v>0</v>
      </c>
      <c r="Q30" s="23" t="s">
        <v>409</v>
      </c>
      <c r="R30" s="24">
        <v>45884</v>
      </c>
      <c r="S30" s="39"/>
      <c r="T30" s="18">
        <v>0</v>
      </c>
      <c r="U30" s="39"/>
      <c r="V30" s="39"/>
      <c r="W30" s="39"/>
      <c r="X30" s="39"/>
      <c r="Y30" s="39"/>
      <c r="Z30" s="39"/>
      <c r="AA30" s="39" t="s">
        <v>1949</v>
      </c>
      <c r="AB30" s="18"/>
      <c r="AC30" s="39"/>
      <c r="AD30" s="18" t="s">
        <v>410</v>
      </c>
      <c r="AE30" s="18" t="s">
        <v>410</v>
      </c>
    </row>
    <row r="31" spans="1:31">
      <c r="A31" s="8" t="s">
        <v>36</v>
      </c>
      <c r="B31" s="8" t="s">
        <v>37</v>
      </c>
      <c r="C31" s="8" t="s">
        <v>85</v>
      </c>
      <c r="D31" s="9" t="s">
        <v>92</v>
      </c>
      <c r="E31" s="8" t="s">
        <v>93</v>
      </c>
      <c r="F31" s="8">
        <v>688.97</v>
      </c>
      <c r="G31" s="8">
        <v>320</v>
      </c>
      <c r="H31" s="8">
        <v>1596</v>
      </c>
      <c r="I31" s="8">
        <v>821</v>
      </c>
      <c r="J31" s="8">
        <v>775</v>
      </c>
      <c r="K31" s="8">
        <v>520</v>
      </c>
      <c r="L31" s="10">
        <f t="shared" si="0"/>
        <v>32.581453634085214</v>
      </c>
      <c r="M31" s="8">
        <v>225</v>
      </c>
      <c r="N31" s="10">
        <f t="shared" si="1"/>
        <v>14.097744360902256</v>
      </c>
      <c r="O31" s="8">
        <v>0</v>
      </c>
      <c r="P31" s="8">
        <v>0</v>
      </c>
      <c r="Q31" s="23" t="s">
        <v>409</v>
      </c>
      <c r="R31" s="24">
        <v>45884</v>
      </c>
      <c r="S31" s="39"/>
      <c r="T31" s="18">
        <v>0</v>
      </c>
      <c r="U31" s="39"/>
      <c r="V31" s="39"/>
      <c r="W31" s="39"/>
      <c r="X31" s="39"/>
      <c r="Y31" s="39"/>
      <c r="Z31" s="39"/>
      <c r="AA31" s="39" t="s">
        <v>1949</v>
      </c>
      <c r="AB31" s="18"/>
      <c r="AC31" s="39"/>
      <c r="AD31" s="18" t="s">
        <v>410</v>
      </c>
      <c r="AE31" s="18" t="s">
        <v>410</v>
      </c>
    </row>
    <row r="32" spans="1:31">
      <c r="A32" s="8" t="s">
        <v>36</v>
      </c>
      <c r="B32" s="8" t="s">
        <v>37</v>
      </c>
      <c r="C32" s="8" t="s">
        <v>85</v>
      </c>
      <c r="D32" s="9" t="s">
        <v>94</v>
      </c>
      <c r="E32" s="8" t="s">
        <v>95</v>
      </c>
      <c r="F32" s="8">
        <v>174.38</v>
      </c>
      <c r="G32" s="8">
        <v>73</v>
      </c>
      <c r="H32" s="8">
        <v>347</v>
      </c>
      <c r="I32" s="8">
        <v>178</v>
      </c>
      <c r="J32" s="8">
        <v>169</v>
      </c>
      <c r="K32" s="8">
        <v>7</v>
      </c>
      <c r="L32" s="10">
        <f t="shared" si="0"/>
        <v>2.0172910662824206</v>
      </c>
      <c r="M32" s="8">
        <v>0</v>
      </c>
      <c r="N32" s="10">
        <f t="shared" si="1"/>
        <v>0</v>
      </c>
      <c r="O32" s="8">
        <v>0</v>
      </c>
      <c r="P32" s="8">
        <v>0</v>
      </c>
      <c r="Q32" s="23" t="s">
        <v>409</v>
      </c>
      <c r="R32" s="24">
        <v>45884</v>
      </c>
      <c r="S32" s="39"/>
      <c r="T32" s="18">
        <v>0</v>
      </c>
      <c r="U32" s="39"/>
      <c r="V32" s="39"/>
      <c r="W32" s="39"/>
      <c r="X32" s="39"/>
      <c r="Y32" s="39"/>
      <c r="Z32" s="39"/>
      <c r="AA32" s="39" t="s">
        <v>1949</v>
      </c>
      <c r="AB32" s="18"/>
      <c r="AC32" s="39"/>
      <c r="AD32" s="18" t="s">
        <v>410</v>
      </c>
      <c r="AE32" s="18" t="s">
        <v>410</v>
      </c>
    </row>
    <row r="33" spans="1:31">
      <c r="A33" s="8" t="s">
        <v>36</v>
      </c>
      <c r="B33" s="8" t="s">
        <v>37</v>
      </c>
      <c r="C33" s="8" t="s">
        <v>85</v>
      </c>
      <c r="D33" s="9" t="s">
        <v>96</v>
      </c>
      <c r="E33" s="8" t="s">
        <v>97</v>
      </c>
      <c r="F33" s="8">
        <v>673.94</v>
      </c>
      <c r="G33" s="8">
        <v>194</v>
      </c>
      <c r="H33" s="8">
        <v>1014</v>
      </c>
      <c r="I33" s="8">
        <v>523</v>
      </c>
      <c r="J33" s="8">
        <v>491</v>
      </c>
      <c r="K33" s="8">
        <v>219</v>
      </c>
      <c r="L33" s="10">
        <f t="shared" si="0"/>
        <v>21.597633136094675</v>
      </c>
      <c r="M33" s="8">
        <v>577</v>
      </c>
      <c r="N33" s="10">
        <f t="shared" si="1"/>
        <v>56.903353057199212</v>
      </c>
      <c r="O33" s="8">
        <v>0</v>
      </c>
      <c r="P33" s="8">
        <v>100.73</v>
      </c>
      <c r="Q33" s="23" t="s">
        <v>409</v>
      </c>
      <c r="R33" s="24">
        <v>45884</v>
      </c>
      <c r="S33" s="39"/>
      <c r="T33" s="18">
        <v>0</v>
      </c>
      <c r="U33" s="39"/>
      <c r="V33" s="39"/>
      <c r="W33" s="39"/>
      <c r="X33" s="39"/>
      <c r="Y33" s="39"/>
      <c r="Z33" s="39"/>
      <c r="AA33" s="39" t="s">
        <v>1949</v>
      </c>
      <c r="AB33" s="18"/>
      <c r="AC33" s="39"/>
      <c r="AD33" s="18" t="s">
        <v>410</v>
      </c>
      <c r="AE33" s="18" t="s">
        <v>410</v>
      </c>
    </row>
    <row r="34" spans="1:31">
      <c r="A34" s="8" t="s">
        <v>36</v>
      </c>
      <c r="B34" s="8" t="s">
        <v>37</v>
      </c>
      <c r="C34" s="8" t="s">
        <v>85</v>
      </c>
      <c r="D34" s="9" t="s">
        <v>98</v>
      </c>
      <c r="E34" s="8" t="s">
        <v>99</v>
      </c>
      <c r="F34" s="8">
        <v>556.86</v>
      </c>
      <c r="G34" s="8">
        <v>95</v>
      </c>
      <c r="H34" s="8">
        <v>605</v>
      </c>
      <c r="I34" s="8">
        <v>307</v>
      </c>
      <c r="J34" s="8">
        <v>298</v>
      </c>
      <c r="K34" s="8">
        <v>337</v>
      </c>
      <c r="L34" s="10">
        <f t="shared" si="0"/>
        <v>55.702479338842977</v>
      </c>
      <c r="M34" s="8">
        <v>149</v>
      </c>
      <c r="N34" s="10">
        <f t="shared" si="1"/>
        <v>24.628099173553718</v>
      </c>
      <c r="O34" s="8">
        <v>0</v>
      </c>
      <c r="P34" s="8">
        <v>72.56</v>
      </c>
      <c r="Q34" s="23" t="s">
        <v>409</v>
      </c>
      <c r="R34" s="24">
        <v>45884</v>
      </c>
      <c r="S34" s="39"/>
      <c r="T34" s="18">
        <v>0</v>
      </c>
      <c r="U34" s="39"/>
      <c r="V34" s="39"/>
      <c r="W34" s="39"/>
      <c r="X34" s="39"/>
      <c r="Y34" s="39"/>
      <c r="Z34" s="39"/>
      <c r="AA34" s="39" t="s">
        <v>1949</v>
      </c>
      <c r="AB34" s="18"/>
      <c r="AC34" s="39"/>
      <c r="AD34" s="18" t="s">
        <v>410</v>
      </c>
      <c r="AE34" s="18" t="s">
        <v>410</v>
      </c>
    </row>
    <row r="35" spans="1:31">
      <c r="A35" s="8" t="s">
        <v>36</v>
      </c>
      <c r="B35" s="8" t="s">
        <v>37</v>
      </c>
      <c r="C35" s="8" t="s">
        <v>85</v>
      </c>
      <c r="D35" s="9" t="s">
        <v>100</v>
      </c>
      <c r="E35" s="8" t="s">
        <v>101</v>
      </c>
      <c r="F35" s="8">
        <v>195.75</v>
      </c>
      <c r="G35" s="8">
        <v>63</v>
      </c>
      <c r="H35" s="8">
        <v>340</v>
      </c>
      <c r="I35" s="8">
        <v>165</v>
      </c>
      <c r="J35" s="8">
        <v>175</v>
      </c>
      <c r="K35" s="8">
        <v>0</v>
      </c>
      <c r="L35" s="10">
        <f t="shared" si="0"/>
        <v>0</v>
      </c>
      <c r="M35" s="8">
        <v>0</v>
      </c>
      <c r="N35" s="10">
        <f t="shared" si="1"/>
        <v>0</v>
      </c>
      <c r="O35" s="8">
        <v>0</v>
      </c>
      <c r="P35" s="8">
        <v>43.77</v>
      </c>
      <c r="Q35" s="23" t="s">
        <v>409</v>
      </c>
      <c r="R35" s="24">
        <v>45884</v>
      </c>
      <c r="S35" s="39"/>
      <c r="T35" s="18">
        <v>0</v>
      </c>
      <c r="U35" s="39"/>
      <c r="V35" s="39"/>
      <c r="W35" s="39"/>
      <c r="X35" s="39"/>
      <c r="Y35" s="39"/>
      <c r="Z35" s="39"/>
      <c r="AA35" s="39" t="s">
        <v>1949</v>
      </c>
      <c r="AB35" s="18"/>
      <c r="AC35" s="39"/>
      <c r="AD35" s="18" t="s">
        <v>410</v>
      </c>
      <c r="AE35" s="18" t="s">
        <v>410</v>
      </c>
    </row>
    <row r="36" spans="1:31">
      <c r="A36" s="8" t="s">
        <v>36</v>
      </c>
      <c r="B36" s="8" t="s">
        <v>37</v>
      </c>
      <c r="C36" s="8" t="s">
        <v>102</v>
      </c>
      <c r="D36" s="9" t="s">
        <v>103</v>
      </c>
      <c r="E36" s="8" t="s">
        <v>104</v>
      </c>
      <c r="F36" s="8">
        <v>967.21</v>
      </c>
      <c r="G36" s="8">
        <v>426</v>
      </c>
      <c r="H36" s="8">
        <v>2123</v>
      </c>
      <c r="I36" s="8">
        <v>1112</v>
      </c>
      <c r="J36" s="8">
        <v>1011</v>
      </c>
      <c r="K36" s="8">
        <v>210</v>
      </c>
      <c r="L36" s="10">
        <f t="shared" si="0"/>
        <v>9.8916627414036746</v>
      </c>
      <c r="M36" s="8">
        <v>816</v>
      </c>
      <c r="N36" s="10">
        <f t="shared" si="1"/>
        <v>38.436175223739987</v>
      </c>
      <c r="O36" s="8">
        <v>47.26</v>
      </c>
      <c r="P36" s="8">
        <v>0</v>
      </c>
      <c r="Q36" s="13" t="s">
        <v>408</v>
      </c>
      <c r="R36" s="13" t="s">
        <v>411</v>
      </c>
      <c r="S36" s="39"/>
      <c r="T36" s="12">
        <v>47.26</v>
      </c>
      <c r="U36" s="39"/>
      <c r="V36" s="39"/>
      <c r="W36" s="39"/>
      <c r="X36" s="39"/>
      <c r="Y36" s="39"/>
      <c r="Z36" s="39"/>
      <c r="AA36" s="39" t="s">
        <v>408</v>
      </c>
      <c r="AB36" s="13">
        <v>36</v>
      </c>
      <c r="AC36" s="39"/>
      <c r="AD36" s="13">
        <v>24.440894</v>
      </c>
      <c r="AE36" s="13">
        <v>76.357971000000006</v>
      </c>
    </row>
    <row r="37" spans="1:31">
      <c r="A37" s="8" t="s">
        <v>36</v>
      </c>
      <c r="B37" s="8" t="s">
        <v>37</v>
      </c>
      <c r="C37" s="8" t="s">
        <v>102</v>
      </c>
      <c r="D37" s="9" t="s">
        <v>105</v>
      </c>
      <c r="E37" s="8" t="s">
        <v>106</v>
      </c>
      <c r="F37" s="8">
        <v>446.41</v>
      </c>
      <c r="G37" s="8">
        <v>136</v>
      </c>
      <c r="H37" s="8">
        <v>661</v>
      </c>
      <c r="I37" s="8">
        <v>344</v>
      </c>
      <c r="J37" s="8">
        <v>317</v>
      </c>
      <c r="K37" s="8">
        <v>151</v>
      </c>
      <c r="L37" s="10">
        <f t="shared" si="0"/>
        <v>22.844175491679273</v>
      </c>
      <c r="M37" s="8">
        <v>421</v>
      </c>
      <c r="N37" s="10">
        <f t="shared" si="1"/>
        <v>63.691376701966718</v>
      </c>
      <c r="O37" s="8">
        <v>0</v>
      </c>
      <c r="P37" s="8">
        <v>0</v>
      </c>
      <c r="Q37" s="13" t="s">
        <v>408</v>
      </c>
      <c r="R37" s="13" t="s">
        <v>411</v>
      </c>
      <c r="S37" s="39"/>
      <c r="T37" s="12">
        <v>0</v>
      </c>
      <c r="U37" s="39"/>
      <c r="V37" s="39"/>
      <c r="W37" s="39"/>
      <c r="X37" s="39"/>
      <c r="Y37" s="39"/>
      <c r="Z37" s="39"/>
      <c r="AA37" s="39" t="s">
        <v>1949</v>
      </c>
      <c r="AB37" s="13"/>
      <c r="AC37" s="39"/>
      <c r="AD37" s="13" t="s">
        <v>410</v>
      </c>
      <c r="AE37" s="13" t="s">
        <v>410</v>
      </c>
    </row>
    <row r="38" spans="1:31">
      <c r="A38" s="8" t="s">
        <v>36</v>
      </c>
      <c r="B38" s="8" t="s">
        <v>37</v>
      </c>
      <c r="C38" s="8" t="s">
        <v>102</v>
      </c>
      <c r="D38" s="9" t="s">
        <v>107</v>
      </c>
      <c r="E38" s="8" t="s">
        <v>108</v>
      </c>
      <c r="F38" s="8">
        <v>679.73</v>
      </c>
      <c r="G38" s="8">
        <v>164</v>
      </c>
      <c r="H38" s="8">
        <v>806</v>
      </c>
      <c r="I38" s="8">
        <v>432</v>
      </c>
      <c r="J38" s="8">
        <v>374</v>
      </c>
      <c r="K38" s="8">
        <v>17</v>
      </c>
      <c r="L38" s="10">
        <f t="shared" si="0"/>
        <v>2.1091811414392061</v>
      </c>
      <c r="M38" s="8">
        <v>686</v>
      </c>
      <c r="N38" s="10">
        <f t="shared" si="1"/>
        <v>85.111662531017373</v>
      </c>
      <c r="O38" s="8">
        <v>22.59</v>
      </c>
      <c r="P38" s="8">
        <v>159.21</v>
      </c>
      <c r="Q38" s="13" t="s">
        <v>408</v>
      </c>
      <c r="R38" s="13" t="s">
        <v>411</v>
      </c>
      <c r="S38" s="39"/>
      <c r="T38" s="12">
        <v>22.59</v>
      </c>
      <c r="U38" s="39"/>
      <c r="V38" s="39"/>
      <c r="W38" s="39"/>
      <c r="X38" s="39"/>
      <c r="Y38" s="39"/>
      <c r="Z38" s="39"/>
      <c r="AA38" s="39" t="s">
        <v>408</v>
      </c>
      <c r="AB38" s="13">
        <v>17</v>
      </c>
      <c r="AC38" s="39"/>
      <c r="AD38" s="13">
        <v>25.446998000000001</v>
      </c>
      <c r="AE38" s="13">
        <v>76.321725999999998</v>
      </c>
    </row>
    <row r="39" spans="1:31">
      <c r="A39" s="8" t="s">
        <v>36</v>
      </c>
      <c r="B39" s="8" t="s">
        <v>37</v>
      </c>
      <c r="C39" s="8" t="s">
        <v>102</v>
      </c>
      <c r="D39" s="9" t="s">
        <v>109</v>
      </c>
      <c r="E39" s="8" t="s">
        <v>110</v>
      </c>
      <c r="F39" s="8">
        <v>476.07</v>
      </c>
      <c r="G39" s="8">
        <v>222</v>
      </c>
      <c r="H39" s="8">
        <v>1035</v>
      </c>
      <c r="I39" s="8">
        <v>537</v>
      </c>
      <c r="J39" s="8">
        <v>498</v>
      </c>
      <c r="K39" s="8">
        <v>229</v>
      </c>
      <c r="L39" s="10">
        <f t="shared" si="0"/>
        <v>22.125603864734302</v>
      </c>
      <c r="M39" s="8">
        <v>640</v>
      </c>
      <c r="N39" s="10">
        <f t="shared" si="1"/>
        <v>61.835748792270529</v>
      </c>
      <c r="O39" s="8">
        <v>0</v>
      </c>
      <c r="P39" s="8">
        <v>0</v>
      </c>
      <c r="Q39" s="13" t="s">
        <v>408</v>
      </c>
      <c r="R39" s="13" t="s">
        <v>411</v>
      </c>
      <c r="S39" s="39"/>
      <c r="T39" s="12">
        <v>0</v>
      </c>
      <c r="U39" s="39"/>
      <c r="V39" s="39"/>
      <c r="W39" s="39"/>
      <c r="X39" s="39"/>
      <c r="Y39" s="39"/>
      <c r="Z39" s="39"/>
      <c r="AA39" s="39" t="s">
        <v>1949</v>
      </c>
      <c r="AB39" s="13"/>
      <c r="AC39" s="39"/>
      <c r="AD39" s="13" t="s">
        <v>410</v>
      </c>
      <c r="AE39" s="13" t="s">
        <v>410</v>
      </c>
    </row>
    <row r="40" spans="1:31">
      <c r="A40" s="8" t="s">
        <v>36</v>
      </c>
      <c r="B40" s="8" t="s">
        <v>37</v>
      </c>
      <c r="C40" s="8" t="s">
        <v>111</v>
      </c>
      <c r="D40" s="9" t="s">
        <v>112</v>
      </c>
      <c r="E40" s="8" t="s">
        <v>113</v>
      </c>
      <c r="F40" s="8">
        <v>642.41</v>
      </c>
      <c r="G40" s="8">
        <v>395</v>
      </c>
      <c r="H40" s="8">
        <v>1868</v>
      </c>
      <c r="I40" s="8">
        <v>955</v>
      </c>
      <c r="J40" s="8">
        <v>913</v>
      </c>
      <c r="K40" s="8">
        <v>469</v>
      </c>
      <c r="L40" s="10">
        <f t="shared" si="0"/>
        <v>25.107066381156319</v>
      </c>
      <c r="M40" s="8">
        <v>606</v>
      </c>
      <c r="N40" s="10">
        <f t="shared" si="1"/>
        <v>32.441113490364025</v>
      </c>
      <c r="O40" s="8">
        <v>0</v>
      </c>
      <c r="P40" s="8">
        <v>0</v>
      </c>
      <c r="Q40" s="10"/>
      <c r="R40" s="10"/>
      <c r="S40" s="39"/>
      <c r="T40" s="10"/>
      <c r="U40" s="39"/>
      <c r="V40" s="39"/>
      <c r="W40" s="39"/>
      <c r="X40" s="39"/>
      <c r="Y40" s="39"/>
      <c r="Z40" s="39"/>
      <c r="AA40" s="39" t="s">
        <v>1949</v>
      </c>
      <c r="AB40" s="10"/>
      <c r="AC40" s="39"/>
      <c r="AD40" s="10"/>
      <c r="AE40" s="10"/>
    </row>
    <row r="41" spans="1:31">
      <c r="A41" s="8" t="s">
        <v>36</v>
      </c>
      <c r="B41" s="8" t="s">
        <v>37</v>
      </c>
      <c r="C41" s="8" t="s">
        <v>111</v>
      </c>
      <c r="D41" s="9" t="s">
        <v>114</v>
      </c>
      <c r="E41" s="8" t="s">
        <v>115</v>
      </c>
      <c r="F41" s="8">
        <v>701.22</v>
      </c>
      <c r="G41" s="8">
        <v>241</v>
      </c>
      <c r="H41" s="8">
        <v>1321</v>
      </c>
      <c r="I41" s="8">
        <v>681</v>
      </c>
      <c r="J41" s="8">
        <v>640</v>
      </c>
      <c r="K41" s="8">
        <v>200</v>
      </c>
      <c r="L41" s="10">
        <f t="shared" si="0"/>
        <v>15.140045420136261</v>
      </c>
      <c r="M41" s="8">
        <v>4</v>
      </c>
      <c r="N41" s="10">
        <f t="shared" si="1"/>
        <v>0.30280090840272522</v>
      </c>
      <c r="O41" s="8">
        <v>0</v>
      </c>
      <c r="P41" s="8">
        <v>0</v>
      </c>
      <c r="Q41" s="10"/>
      <c r="R41" s="10"/>
      <c r="S41" s="39"/>
      <c r="T41" s="10"/>
      <c r="U41" s="39"/>
      <c r="V41" s="39"/>
      <c r="W41" s="39"/>
      <c r="X41" s="39"/>
      <c r="Y41" s="39"/>
      <c r="Z41" s="39"/>
      <c r="AA41" s="39" t="s">
        <v>1949</v>
      </c>
      <c r="AB41" s="10"/>
      <c r="AC41" s="39"/>
      <c r="AD41" s="10"/>
      <c r="AE41" s="10"/>
    </row>
    <row r="42" spans="1:31">
      <c r="A42" s="8" t="s">
        <v>36</v>
      </c>
      <c r="B42" s="8" t="s">
        <v>37</v>
      </c>
      <c r="C42" s="8" t="s">
        <v>116</v>
      </c>
      <c r="D42" s="9" t="s">
        <v>117</v>
      </c>
      <c r="E42" s="8" t="s">
        <v>118</v>
      </c>
      <c r="F42" s="8">
        <v>319.38</v>
      </c>
      <c r="G42" s="8">
        <v>335</v>
      </c>
      <c r="H42" s="8">
        <v>1485</v>
      </c>
      <c r="I42" s="8">
        <v>789</v>
      </c>
      <c r="J42" s="8">
        <v>696</v>
      </c>
      <c r="K42" s="8">
        <v>568</v>
      </c>
      <c r="L42" s="10">
        <f t="shared" si="0"/>
        <v>38.249158249158249</v>
      </c>
      <c r="M42" s="8">
        <v>0</v>
      </c>
      <c r="N42" s="10">
        <f t="shared" si="1"/>
        <v>0</v>
      </c>
      <c r="O42" s="8">
        <v>0</v>
      </c>
      <c r="P42" s="8">
        <v>85.59</v>
      </c>
      <c r="Q42" s="13" t="s">
        <v>408</v>
      </c>
      <c r="R42" s="13" t="s">
        <v>413</v>
      </c>
      <c r="S42" s="39"/>
      <c r="T42" s="13">
        <v>0</v>
      </c>
      <c r="U42" s="39"/>
      <c r="V42" s="39"/>
      <c r="W42" s="39"/>
      <c r="X42" s="39"/>
      <c r="Y42" s="39"/>
      <c r="Z42" s="39"/>
      <c r="AA42" s="39" t="s">
        <v>1949</v>
      </c>
      <c r="AB42" s="13"/>
      <c r="AC42" s="39"/>
      <c r="AD42" s="13" t="s">
        <v>410</v>
      </c>
      <c r="AE42" s="13" t="s">
        <v>410</v>
      </c>
    </row>
    <row r="43" spans="1:31">
      <c r="A43" s="8" t="s">
        <v>36</v>
      </c>
      <c r="B43" s="8" t="s">
        <v>37</v>
      </c>
      <c r="C43" s="8" t="s">
        <v>116</v>
      </c>
      <c r="D43" s="9" t="s">
        <v>119</v>
      </c>
      <c r="E43" s="8" t="s">
        <v>120</v>
      </c>
      <c r="F43" s="8">
        <v>633.27</v>
      </c>
      <c r="G43" s="8">
        <v>116</v>
      </c>
      <c r="H43" s="8">
        <v>633</v>
      </c>
      <c r="I43" s="8">
        <v>332</v>
      </c>
      <c r="J43" s="8">
        <v>301</v>
      </c>
      <c r="K43" s="8">
        <v>48</v>
      </c>
      <c r="L43" s="10">
        <f t="shared" si="0"/>
        <v>7.5829383886255926</v>
      </c>
      <c r="M43" s="8">
        <v>332</v>
      </c>
      <c r="N43" s="10">
        <f t="shared" si="1"/>
        <v>52.448657187993689</v>
      </c>
      <c r="O43" s="8">
        <v>0</v>
      </c>
      <c r="P43" s="8">
        <v>0.86</v>
      </c>
      <c r="Q43" s="13" t="s">
        <v>408</v>
      </c>
      <c r="R43" s="13" t="s">
        <v>413</v>
      </c>
      <c r="S43" s="39"/>
      <c r="T43" s="13">
        <v>0</v>
      </c>
      <c r="U43" s="39"/>
      <c r="V43" s="39"/>
      <c r="W43" s="39"/>
      <c r="X43" s="39"/>
      <c r="Y43" s="39"/>
      <c r="Z43" s="39"/>
      <c r="AA43" s="39" t="s">
        <v>1949</v>
      </c>
      <c r="AB43" s="13"/>
      <c r="AC43" s="39"/>
      <c r="AD43" s="13" t="s">
        <v>410</v>
      </c>
      <c r="AE43" s="13" t="s">
        <v>410</v>
      </c>
    </row>
    <row r="44" spans="1:31">
      <c r="A44" s="8" t="s">
        <v>36</v>
      </c>
      <c r="B44" s="8" t="s">
        <v>37</v>
      </c>
      <c r="C44" s="8" t="s">
        <v>116</v>
      </c>
      <c r="D44" s="9" t="s">
        <v>121</v>
      </c>
      <c r="E44" s="8" t="s">
        <v>122</v>
      </c>
      <c r="F44" s="8">
        <v>95.48</v>
      </c>
      <c r="G44" s="8">
        <v>31</v>
      </c>
      <c r="H44" s="8">
        <v>171</v>
      </c>
      <c r="I44" s="8">
        <v>92</v>
      </c>
      <c r="J44" s="8">
        <v>79</v>
      </c>
      <c r="K44" s="8">
        <v>0</v>
      </c>
      <c r="L44" s="10">
        <f t="shared" si="0"/>
        <v>0</v>
      </c>
      <c r="M44" s="8">
        <v>153</v>
      </c>
      <c r="N44" s="10">
        <f t="shared" si="1"/>
        <v>89.473684210526315</v>
      </c>
      <c r="O44" s="8">
        <v>0</v>
      </c>
      <c r="P44" s="8">
        <v>0</v>
      </c>
      <c r="Q44" s="13" t="s">
        <v>408</v>
      </c>
      <c r="R44" s="13" t="s">
        <v>413</v>
      </c>
      <c r="S44" s="39"/>
      <c r="T44" s="13">
        <v>0</v>
      </c>
      <c r="U44" s="39"/>
      <c r="V44" s="39"/>
      <c r="W44" s="39"/>
      <c r="X44" s="39"/>
      <c r="Y44" s="39"/>
      <c r="Z44" s="39"/>
      <c r="AA44" s="39" t="s">
        <v>1949</v>
      </c>
      <c r="AB44" s="13"/>
      <c r="AC44" s="39"/>
      <c r="AD44" s="13" t="s">
        <v>410</v>
      </c>
      <c r="AE44" s="13" t="s">
        <v>410</v>
      </c>
    </row>
    <row r="45" spans="1:31">
      <c r="A45" s="8" t="s">
        <v>36</v>
      </c>
      <c r="B45" s="8" t="s">
        <v>37</v>
      </c>
      <c r="C45" s="8" t="s">
        <v>116</v>
      </c>
      <c r="D45" s="9" t="s">
        <v>47</v>
      </c>
      <c r="E45" s="8" t="s">
        <v>123</v>
      </c>
      <c r="F45" s="8">
        <v>289.29000000000002</v>
      </c>
      <c r="G45" s="8">
        <v>95</v>
      </c>
      <c r="H45" s="8">
        <v>487</v>
      </c>
      <c r="I45" s="8">
        <v>248</v>
      </c>
      <c r="J45" s="8">
        <v>239</v>
      </c>
      <c r="K45" s="8">
        <v>89</v>
      </c>
      <c r="L45" s="10">
        <f t="shared" si="0"/>
        <v>18.275154004106774</v>
      </c>
      <c r="M45" s="8">
        <v>342</v>
      </c>
      <c r="N45" s="10">
        <f t="shared" si="1"/>
        <v>70.225872689938399</v>
      </c>
      <c r="O45" s="8">
        <v>0</v>
      </c>
      <c r="P45" s="8">
        <v>0</v>
      </c>
      <c r="Q45" s="13" t="s">
        <v>408</v>
      </c>
      <c r="R45" s="13" t="s">
        <v>413</v>
      </c>
      <c r="S45" s="39"/>
      <c r="T45" s="13">
        <v>0</v>
      </c>
      <c r="U45" s="39"/>
      <c r="V45" s="39"/>
      <c r="W45" s="39"/>
      <c r="X45" s="39"/>
      <c r="Y45" s="39"/>
      <c r="Z45" s="39"/>
      <c r="AA45" s="39" t="s">
        <v>1949</v>
      </c>
      <c r="AB45" s="13"/>
      <c r="AC45" s="39"/>
      <c r="AD45" s="13" t="s">
        <v>410</v>
      </c>
      <c r="AE45" s="13" t="s">
        <v>410</v>
      </c>
    </row>
    <row r="46" spans="1:31">
      <c r="A46" s="8" t="s">
        <v>36</v>
      </c>
      <c r="B46" s="8" t="s">
        <v>37</v>
      </c>
      <c r="C46" s="8" t="s">
        <v>116</v>
      </c>
      <c r="D46" s="9" t="s">
        <v>124</v>
      </c>
      <c r="E46" s="8" t="s">
        <v>125</v>
      </c>
      <c r="F46" s="8">
        <v>92.83</v>
      </c>
      <c r="G46" s="8">
        <v>57</v>
      </c>
      <c r="H46" s="8">
        <v>286</v>
      </c>
      <c r="I46" s="8">
        <v>150</v>
      </c>
      <c r="J46" s="8">
        <v>136</v>
      </c>
      <c r="K46" s="8">
        <v>242</v>
      </c>
      <c r="L46" s="10">
        <f t="shared" si="0"/>
        <v>84.615384615384613</v>
      </c>
      <c r="M46" s="8">
        <v>41</v>
      </c>
      <c r="N46" s="10">
        <f t="shared" si="1"/>
        <v>14.335664335664337</v>
      </c>
      <c r="O46" s="8">
        <v>0</v>
      </c>
      <c r="P46" s="8">
        <v>0</v>
      </c>
      <c r="Q46" s="13" t="s">
        <v>408</v>
      </c>
      <c r="R46" s="13" t="s">
        <v>413</v>
      </c>
      <c r="S46" s="39"/>
      <c r="T46" s="13">
        <v>0</v>
      </c>
      <c r="U46" s="39"/>
      <c r="V46" s="39"/>
      <c r="W46" s="39"/>
      <c r="X46" s="39"/>
      <c r="Y46" s="39"/>
      <c r="Z46" s="39"/>
      <c r="AA46" s="39" t="s">
        <v>1949</v>
      </c>
      <c r="AB46" s="13"/>
      <c r="AC46" s="39"/>
      <c r="AD46" s="13" t="s">
        <v>410</v>
      </c>
      <c r="AE46" s="13" t="s">
        <v>410</v>
      </c>
    </row>
    <row r="47" spans="1:31">
      <c r="A47" s="8" t="s">
        <v>36</v>
      </c>
      <c r="B47" s="8" t="s">
        <v>37</v>
      </c>
      <c r="C47" s="8" t="s">
        <v>116</v>
      </c>
      <c r="D47" s="9" t="s">
        <v>126</v>
      </c>
      <c r="E47" s="8" t="s">
        <v>127</v>
      </c>
      <c r="F47" s="8">
        <v>147.55000000000001</v>
      </c>
      <c r="G47" s="8">
        <v>11</v>
      </c>
      <c r="H47" s="8">
        <v>49</v>
      </c>
      <c r="I47" s="8">
        <v>29</v>
      </c>
      <c r="J47" s="8">
        <v>20</v>
      </c>
      <c r="K47" s="8">
        <v>0</v>
      </c>
      <c r="L47" s="10">
        <f t="shared" si="0"/>
        <v>0</v>
      </c>
      <c r="M47" s="8">
        <v>0</v>
      </c>
      <c r="N47" s="10">
        <f t="shared" si="1"/>
        <v>0</v>
      </c>
      <c r="O47" s="8">
        <v>0</v>
      </c>
      <c r="P47" s="8">
        <v>72.28</v>
      </c>
      <c r="Q47" s="13" t="s">
        <v>408</v>
      </c>
      <c r="R47" s="13" t="s">
        <v>413</v>
      </c>
      <c r="S47" s="39"/>
      <c r="T47" s="13">
        <v>0</v>
      </c>
      <c r="U47" s="39"/>
      <c r="V47" s="39"/>
      <c r="W47" s="39"/>
      <c r="X47" s="39"/>
      <c r="Y47" s="39"/>
      <c r="Z47" s="39"/>
      <c r="AA47" s="39" t="s">
        <v>1949</v>
      </c>
      <c r="AB47" s="13"/>
      <c r="AC47" s="39"/>
      <c r="AD47" s="13" t="s">
        <v>410</v>
      </c>
      <c r="AE47" s="13" t="s">
        <v>410</v>
      </c>
    </row>
    <row r="48" spans="1:31">
      <c r="A48" s="8" t="s">
        <v>36</v>
      </c>
      <c r="B48" s="8" t="s">
        <v>37</v>
      </c>
      <c r="C48" s="8" t="s">
        <v>116</v>
      </c>
      <c r="D48" s="9" t="s">
        <v>128</v>
      </c>
      <c r="E48" s="8" t="s">
        <v>129</v>
      </c>
      <c r="F48" s="8">
        <v>322.14999999999998</v>
      </c>
      <c r="G48" s="8">
        <v>152</v>
      </c>
      <c r="H48" s="8">
        <v>731</v>
      </c>
      <c r="I48" s="8">
        <v>374</v>
      </c>
      <c r="J48" s="8">
        <v>357</v>
      </c>
      <c r="K48" s="8">
        <v>0</v>
      </c>
      <c r="L48" s="10">
        <f t="shared" si="0"/>
        <v>0</v>
      </c>
      <c r="M48" s="8">
        <v>0</v>
      </c>
      <c r="N48" s="10">
        <f t="shared" si="1"/>
        <v>0</v>
      </c>
      <c r="O48" s="8">
        <v>0</v>
      </c>
      <c r="P48" s="8">
        <v>0</v>
      </c>
      <c r="Q48" s="13" t="s">
        <v>408</v>
      </c>
      <c r="R48" s="13" t="s">
        <v>413</v>
      </c>
      <c r="S48" s="39"/>
      <c r="T48" s="13">
        <v>0</v>
      </c>
      <c r="U48" s="39"/>
      <c r="V48" s="39"/>
      <c r="W48" s="39"/>
      <c r="X48" s="39"/>
      <c r="Y48" s="39"/>
      <c r="Z48" s="39"/>
      <c r="AA48" s="39" t="s">
        <v>1949</v>
      </c>
      <c r="AB48" s="13"/>
      <c r="AC48" s="39"/>
      <c r="AD48" s="13" t="s">
        <v>410</v>
      </c>
      <c r="AE48" s="13" t="s">
        <v>410</v>
      </c>
    </row>
    <row r="49" spans="1:31">
      <c r="A49" s="8" t="s">
        <v>36</v>
      </c>
      <c r="B49" s="8" t="s">
        <v>37</v>
      </c>
      <c r="C49" s="8" t="s">
        <v>116</v>
      </c>
      <c r="D49" s="9" t="s">
        <v>130</v>
      </c>
      <c r="E49" s="8" t="s">
        <v>131</v>
      </c>
      <c r="F49" s="8">
        <v>56.4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10" t="e">
        <f t="shared" si="0"/>
        <v>#DIV/0!</v>
      </c>
      <c r="M49" s="8">
        <v>0</v>
      </c>
      <c r="N49" s="10" t="e">
        <f t="shared" si="1"/>
        <v>#DIV/0!</v>
      </c>
      <c r="O49" s="8">
        <v>0</v>
      </c>
      <c r="P49" s="8">
        <v>39.57</v>
      </c>
      <c r="Q49" s="13" t="s">
        <v>408</v>
      </c>
      <c r="R49" s="13" t="s">
        <v>413</v>
      </c>
      <c r="S49" s="39"/>
      <c r="T49" s="13">
        <v>0</v>
      </c>
      <c r="U49" s="39"/>
      <c r="V49" s="39"/>
      <c r="W49" s="39"/>
      <c r="X49" s="39"/>
      <c r="Y49" s="39"/>
      <c r="Z49" s="39"/>
      <c r="AA49" s="39" t="s">
        <v>1949</v>
      </c>
      <c r="AB49" s="13"/>
      <c r="AC49" s="39"/>
      <c r="AD49" s="13" t="s">
        <v>410</v>
      </c>
      <c r="AE49" s="13" t="s">
        <v>410</v>
      </c>
    </row>
    <row r="50" spans="1:31">
      <c r="A50" s="8" t="s">
        <v>36</v>
      </c>
      <c r="B50" s="8" t="s">
        <v>37</v>
      </c>
      <c r="C50" s="8" t="s">
        <v>132</v>
      </c>
      <c r="D50" s="9" t="s">
        <v>133</v>
      </c>
      <c r="E50" s="8" t="s">
        <v>134</v>
      </c>
      <c r="F50" s="8">
        <v>987.11</v>
      </c>
      <c r="G50" s="8">
        <v>364</v>
      </c>
      <c r="H50" s="8">
        <v>1765</v>
      </c>
      <c r="I50" s="8">
        <v>905</v>
      </c>
      <c r="J50" s="8">
        <v>860</v>
      </c>
      <c r="K50" s="8">
        <v>658</v>
      </c>
      <c r="L50" s="10">
        <f t="shared" si="0"/>
        <v>37.28045325779037</v>
      </c>
      <c r="M50" s="8">
        <v>356</v>
      </c>
      <c r="N50" s="10">
        <f t="shared" si="1"/>
        <v>20.169971671388101</v>
      </c>
      <c r="O50" s="8">
        <v>0</v>
      </c>
      <c r="P50" s="8">
        <v>0</v>
      </c>
      <c r="Q50" s="18" t="s">
        <v>409</v>
      </c>
      <c r="R50" s="18" t="s">
        <v>414</v>
      </c>
      <c r="S50" s="39"/>
      <c r="T50" s="18">
        <v>0</v>
      </c>
      <c r="U50" s="39"/>
      <c r="V50" s="39"/>
      <c r="W50" s="39"/>
      <c r="X50" s="39"/>
      <c r="Y50" s="39"/>
      <c r="Z50" s="39"/>
      <c r="AA50" s="39" t="s">
        <v>1949</v>
      </c>
      <c r="AB50" s="18"/>
      <c r="AC50" s="39"/>
      <c r="AD50" s="18" t="s">
        <v>410</v>
      </c>
      <c r="AE50" s="18" t="s">
        <v>410</v>
      </c>
    </row>
    <row r="51" spans="1:31">
      <c r="A51" s="8" t="s">
        <v>36</v>
      </c>
      <c r="B51" s="8" t="s">
        <v>37</v>
      </c>
      <c r="C51" s="8" t="s">
        <v>132</v>
      </c>
      <c r="D51" s="9" t="s">
        <v>135</v>
      </c>
      <c r="E51" s="8" t="s">
        <v>136</v>
      </c>
      <c r="F51" s="8">
        <v>1325.98</v>
      </c>
      <c r="G51" s="8">
        <v>111</v>
      </c>
      <c r="H51" s="8">
        <v>589</v>
      </c>
      <c r="I51" s="8">
        <v>319</v>
      </c>
      <c r="J51" s="8">
        <v>270</v>
      </c>
      <c r="K51" s="8">
        <v>250</v>
      </c>
      <c r="L51" s="10">
        <f t="shared" si="0"/>
        <v>42.444821731748725</v>
      </c>
      <c r="M51" s="8">
        <v>128</v>
      </c>
      <c r="N51" s="10">
        <f t="shared" si="1"/>
        <v>21.731748726655347</v>
      </c>
      <c r="O51" s="8">
        <v>0</v>
      </c>
      <c r="P51" s="8">
        <v>156.83000000000001</v>
      </c>
      <c r="Q51" s="18" t="s">
        <v>409</v>
      </c>
      <c r="R51" s="18" t="s">
        <v>414</v>
      </c>
      <c r="S51" s="39"/>
      <c r="T51" s="18">
        <v>0</v>
      </c>
      <c r="U51" s="39"/>
      <c r="V51" s="39"/>
      <c r="W51" s="39"/>
      <c r="X51" s="39"/>
      <c r="Y51" s="39"/>
      <c r="Z51" s="39"/>
      <c r="AA51" s="39" t="s">
        <v>1949</v>
      </c>
      <c r="AB51" s="18"/>
      <c r="AC51" s="39"/>
      <c r="AD51" s="18" t="s">
        <v>410</v>
      </c>
      <c r="AE51" s="18" t="s">
        <v>410</v>
      </c>
    </row>
    <row r="52" spans="1:31">
      <c r="A52" s="8" t="s">
        <v>36</v>
      </c>
      <c r="B52" s="8" t="s">
        <v>37</v>
      </c>
      <c r="C52" s="8" t="s">
        <v>132</v>
      </c>
      <c r="D52" s="9" t="s">
        <v>137</v>
      </c>
      <c r="E52" s="8" t="s">
        <v>138</v>
      </c>
      <c r="F52" s="8">
        <v>247.99</v>
      </c>
      <c r="G52" s="8">
        <v>87</v>
      </c>
      <c r="H52" s="8">
        <v>412</v>
      </c>
      <c r="I52" s="8">
        <v>217</v>
      </c>
      <c r="J52" s="8">
        <v>195</v>
      </c>
      <c r="K52" s="8">
        <v>0</v>
      </c>
      <c r="L52" s="10">
        <f t="shared" si="0"/>
        <v>0</v>
      </c>
      <c r="M52" s="8">
        <v>75</v>
      </c>
      <c r="N52" s="10">
        <f t="shared" si="1"/>
        <v>18.203883495145632</v>
      </c>
      <c r="O52" s="8">
        <v>0</v>
      </c>
      <c r="P52" s="8">
        <v>0</v>
      </c>
      <c r="Q52" s="18" t="s">
        <v>409</v>
      </c>
      <c r="R52" s="18" t="s">
        <v>414</v>
      </c>
      <c r="S52" s="39"/>
      <c r="T52" s="18">
        <v>0</v>
      </c>
      <c r="U52" s="39"/>
      <c r="V52" s="39"/>
      <c r="W52" s="39"/>
      <c r="X52" s="39"/>
      <c r="Y52" s="39"/>
      <c r="Z52" s="39"/>
      <c r="AA52" s="39" t="s">
        <v>1949</v>
      </c>
      <c r="AB52" s="18"/>
      <c r="AC52" s="39"/>
      <c r="AD52" s="18" t="s">
        <v>410</v>
      </c>
      <c r="AE52" s="18" t="s">
        <v>410</v>
      </c>
    </row>
    <row r="53" spans="1:31">
      <c r="A53" s="8" t="s">
        <v>36</v>
      </c>
      <c r="B53" s="8" t="s">
        <v>37</v>
      </c>
      <c r="C53" s="8" t="s">
        <v>132</v>
      </c>
      <c r="D53" s="9" t="s">
        <v>139</v>
      </c>
      <c r="E53" s="8" t="s">
        <v>140</v>
      </c>
      <c r="F53" s="8">
        <v>526.91</v>
      </c>
      <c r="G53" s="8">
        <v>70</v>
      </c>
      <c r="H53" s="8">
        <v>277</v>
      </c>
      <c r="I53" s="8">
        <v>141</v>
      </c>
      <c r="J53" s="8">
        <v>136</v>
      </c>
      <c r="K53" s="8">
        <v>16</v>
      </c>
      <c r="L53" s="10">
        <f t="shared" si="0"/>
        <v>5.7761732851985563</v>
      </c>
      <c r="M53" s="8">
        <v>40</v>
      </c>
      <c r="N53" s="10">
        <f t="shared" si="1"/>
        <v>14.440433212996389</v>
      </c>
      <c r="O53" s="8">
        <v>0</v>
      </c>
      <c r="P53" s="8">
        <v>66.42</v>
      </c>
      <c r="Q53" s="18" t="s">
        <v>409</v>
      </c>
      <c r="R53" s="18" t="s">
        <v>414</v>
      </c>
      <c r="S53" s="39"/>
      <c r="T53" s="18">
        <v>0</v>
      </c>
      <c r="U53" s="39"/>
      <c r="V53" s="39"/>
      <c r="W53" s="39"/>
      <c r="X53" s="39"/>
      <c r="Y53" s="39"/>
      <c r="Z53" s="39"/>
      <c r="AA53" s="39" t="s">
        <v>1949</v>
      </c>
      <c r="AB53" s="18"/>
      <c r="AC53" s="39"/>
      <c r="AD53" s="18" t="s">
        <v>410</v>
      </c>
      <c r="AE53" s="18" t="s">
        <v>410</v>
      </c>
    </row>
    <row r="54" spans="1:31">
      <c r="A54" s="8" t="s">
        <v>36</v>
      </c>
      <c r="B54" s="8" t="s">
        <v>37</v>
      </c>
      <c r="C54" s="8" t="s">
        <v>132</v>
      </c>
      <c r="D54" s="9" t="s">
        <v>141</v>
      </c>
      <c r="E54" s="8" t="s">
        <v>142</v>
      </c>
      <c r="F54" s="8">
        <v>746.94</v>
      </c>
      <c r="G54" s="8">
        <v>172</v>
      </c>
      <c r="H54" s="8">
        <v>876</v>
      </c>
      <c r="I54" s="8">
        <v>438</v>
      </c>
      <c r="J54" s="8">
        <v>438</v>
      </c>
      <c r="K54" s="8">
        <v>246</v>
      </c>
      <c r="L54" s="10">
        <f t="shared" si="0"/>
        <v>28.082191780821919</v>
      </c>
      <c r="M54" s="8">
        <v>247</v>
      </c>
      <c r="N54" s="10">
        <f t="shared" si="1"/>
        <v>28.196347031963469</v>
      </c>
      <c r="O54" s="8">
        <v>0</v>
      </c>
      <c r="P54" s="8">
        <v>0</v>
      </c>
      <c r="Q54" s="18" t="s">
        <v>409</v>
      </c>
      <c r="R54" s="18" t="s">
        <v>414</v>
      </c>
      <c r="S54" s="39"/>
      <c r="T54" s="18">
        <v>0</v>
      </c>
      <c r="U54" s="39"/>
      <c r="V54" s="39"/>
      <c r="W54" s="39"/>
      <c r="X54" s="39"/>
      <c r="Y54" s="39"/>
      <c r="Z54" s="39"/>
      <c r="AA54" s="39" t="s">
        <v>1949</v>
      </c>
      <c r="AB54" s="18"/>
      <c r="AC54" s="39"/>
      <c r="AD54" s="18" t="s">
        <v>410</v>
      </c>
      <c r="AE54" s="18" t="s">
        <v>410</v>
      </c>
    </row>
    <row r="55" spans="1:31">
      <c r="A55" s="8" t="s">
        <v>36</v>
      </c>
      <c r="B55" s="8" t="s">
        <v>37</v>
      </c>
      <c r="C55" s="8" t="s">
        <v>132</v>
      </c>
      <c r="D55" s="9" t="s">
        <v>143</v>
      </c>
      <c r="E55" s="8" t="s">
        <v>144</v>
      </c>
      <c r="F55" s="8">
        <v>619.15</v>
      </c>
      <c r="G55" s="8">
        <v>83</v>
      </c>
      <c r="H55" s="8">
        <v>503</v>
      </c>
      <c r="I55" s="8">
        <v>265</v>
      </c>
      <c r="J55" s="8">
        <v>238</v>
      </c>
      <c r="K55" s="8">
        <v>72</v>
      </c>
      <c r="L55" s="10">
        <f t="shared" si="0"/>
        <v>14.314115308151093</v>
      </c>
      <c r="M55" s="8">
        <v>215</v>
      </c>
      <c r="N55" s="10">
        <f t="shared" si="1"/>
        <v>42.743538767395627</v>
      </c>
      <c r="O55" s="8">
        <v>0</v>
      </c>
      <c r="P55" s="8">
        <v>298.44</v>
      </c>
      <c r="Q55" s="18" t="s">
        <v>409</v>
      </c>
      <c r="R55" s="18" t="s">
        <v>414</v>
      </c>
      <c r="S55" s="39"/>
      <c r="T55" s="18">
        <v>0</v>
      </c>
      <c r="U55" s="39"/>
      <c r="V55" s="39"/>
      <c r="W55" s="39"/>
      <c r="X55" s="39"/>
      <c r="Y55" s="39"/>
      <c r="Z55" s="39"/>
      <c r="AA55" s="39" t="s">
        <v>1949</v>
      </c>
      <c r="AB55" s="18"/>
      <c r="AC55" s="39"/>
      <c r="AD55" s="18" t="s">
        <v>410</v>
      </c>
      <c r="AE55" s="18" t="s">
        <v>410</v>
      </c>
    </row>
    <row r="56" spans="1:31">
      <c r="A56" s="8" t="s">
        <v>36</v>
      </c>
      <c r="B56" s="8" t="s">
        <v>37</v>
      </c>
      <c r="C56" s="8" t="s">
        <v>132</v>
      </c>
      <c r="D56" s="9" t="s">
        <v>145</v>
      </c>
      <c r="E56" s="8" t="s">
        <v>146</v>
      </c>
      <c r="F56" s="8">
        <v>503.61</v>
      </c>
      <c r="G56" s="8">
        <v>73</v>
      </c>
      <c r="H56" s="8">
        <v>330</v>
      </c>
      <c r="I56" s="8">
        <v>177</v>
      </c>
      <c r="J56" s="8">
        <v>153</v>
      </c>
      <c r="K56" s="8">
        <v>82</v>
      </c>
      <c r="L56" s="10">
        <f t="shared" si="0"/>
        <v>24.848484848484848</v>
      </c>
      <c r="M56" s="8">
        <v>22</v>
      </c>
      <c r="N56" s="10">
        <f t="shared" si="1"/>
        <v>6.666666666666667</v>
      </c>
      <c r="O56" s="8">
        <v>0</v>
      </c>
      <c r="P56" s="8">
        <v>76.02</v>
      </c>
      <c r="Q56" s="18" t="s">
        <v>409</v>
      </c>
      <c r="R56" s="18" t="s">
        <v>414</v>
      </c>
      <c r="S56" s="39"/>
      <c r="T56" s="18">
        <v>0</v>
      </c>
      <c r="U56" s="39"/>
      <c r="V56" s="39"/>
      <c r="W56" s="39"/>
      <c r="X56" s="39"/>
      <c r="Y56" s="39"/>
      <c r="Z56" s="39"/>
      <c r="AA56" s="39" t="s">
        <v>1949</v>
      </c>
      <c r="AB56" s="18"/>
      <c r="AC56" s="39"/>
      <c r="AD56" s="18" t="s">
        <v>410</v>
      </c>
      <c r="AE56" s="18" t="s">
        <v>410</v>
      </c>
    </row>
    <row r="57" spans="1:31">
      <c r="A57" s="8" t="s">
        <v>36</v>
      </c>
      <c r="B57" s="8" t="s">
        <v>37</v>
      </c>
      <c r="C57" s="8" t="s">
        <v>147</v>
      </c>
      <c r="D57" s="9" t="s">
        <v>148</v>
      </c>
      <c r="E57" s="8" t="s">
        <v>149</v>
      </c>
      <c r="F57" s="8">
        <v>1215.6300000000001</v>
      </c>
      <c r="G57" s="8">
        <v>344</v>
      </c>
      <c r="H57" s="8">
        <v>1723</v>
      </c>
      <c r="I57" s="8">
        <v>862</v>
      </c>
      <c r="J57" s="8">
        <v>861</v>
      </c>
      <c r="K57" s="8">
        <v>421</v>
      </c>
      <c r="L57" s="10">
        <f t="shared" si="0"/>
        <v>24.434126523505515</v>
      </c>
      <c r="M57" s="8">
        <v>497</v>
      </c>
      <c r="N57" s="10">
        <f t="shared" si="1"/>
        <v>28.845037724898432</v>
      </c>
      <c r="O57" s="8">
        <v>48</v>
      </c>
      <c r="P57" s="8">
        <v>132.22999999999999</v>
      </c>
      <c r="Q57" s="13" t="s">
        <v>408</v>
      </c>
      <c r="R57" s="14">
        <v>45201</v>
      </c>
      <c r="S57" s="39"/>
      <c r="T57" s="12">
        <v>48</v>
      </c>
      <c r="U57" s="39"/>
      <c r="V57" s="39"/>
      <c r="W57" s="39"/>
      <c r="X57" s="39"/>
      <c r="Y57" s="39"/>
      <c r="Z57" s="39"/>
      <c r="AA57" s="39" t="s">
        <v>408</v>
      </c>
      <c r="AB57" s="16">
        <v>37</v>
      </c>
      <c r="AC57" s="39"/>
      <c r="AD57" s="11">
        <v>25.484901000000001</v>
      </c>
      <c r="AE57" s="11">
        <v>76.543413000000001</v>
      </c>
    </row>
    <row r="58" spans="1:31">
      <c r="A58" s="8" t="s">
        <v>36</v>
      </c>
      <c r="B58" s="8" t="s">
        <v>37</v>
      </c>
      <c r="C58" s="8" t="s">
        <v>147</v>
      </c>
      <c r="D58" s="9" t="s">
        <v>150</v>
      </c>
      <c r="E58" s="8" t="s">
        <v>151</v>
      </c>
      <c r="F58" s="8">
        <v>533.05999999999995</v>
      </c>
      <c r="G58" s="8">
        <v>188</v>
      </c>
      <c r="H58" s="8">
        <v>943</v>
      </c>
      <c r="I58" s="8">
        <v>486</v>
      </c>
      <c r="J58" s="8">
        <v>457</v>
      </c>
      <c r="K58" s="8">
        <v>196</v>
      </c>
      <c r="L58" s="10">
        <f t="shared" si="0"/>
        <v>20.784729586426298</v>
      </c>
      <c r="M58" s="8">
        <v>352</v>
      </c>
      <c r="N58" s="10">
        <f t="shared" si="1"/>
        <v>37.327677624602337</v>
      </c>
      <c r="O58" s="8">
        <v>37.07</v>
      </c>
      <c r="P58" s="8">
        <v>0</v>
      </c>
      <c r="Q58" s="13" t="s">
        <v>408</v>
      </c>
      <c r="R58" s="14">
        <v>45201</v>
      </c>
      <c r="S58" s="39"/>
      <c r="T58" s="12">
        <v>37.07</v>
      </c>
      <c r="U58" s="39"/>
      <c r="V58" s="39"/>
      <c r="W58" s="39"/>
      <c r="X58" s="39"/>
      <c r="Y58" s="39"/>
      <c r="Z58" s="39"/>
      <c r="AA58" s="39" t="s">
        <v>408</v>
      </c>
      <c r="AB58" s="16">
        <v>32</v>
      </c>
      <c r="AC58" s="39"/>
      <c r="AD58" s="11">
        <v>25.462765999999998</v>
      </c>
      <c r="AE58" s="11">
        <v>76.550948000000005</v>
      </c>
    </row>
    <row r="59" spans="1:31">
      <c r="A59" s="8" t="s">
        <v>36</v>
      </c>
      <c r="B59" s="8" t="s">
        <v>37</v>
      </c>
      <c r="C59" s="8" t="s">
        <v>147</v>
      </c>
      <c r="D59" s="9" t="s">
        <v>152</v>
      </c>
      <c r="E59" s="8" t="s">
        <v>153</v>
      </c>
      <c r="F59" s="8">
        <v>160.78</v>
      </c>
      <c r="G59" s="8">
        <v>41</v>
      </c>
      <c r="H59" s="8">
        <v>203</v>
      </c>
      <c r="I59" s="8">
        <v>104</v>
      </c>
      <c r="J59" s="8">
        <v>99</v>
      </c>
      <c r="K59" s="8">
        <v>20</v>
      </c>
      <c r="L59" s="10">
        <f t="shared" si="0"/>
        <v>9.8522167487684733</v>
      </c>
      <c r="M59" s="8">
        <v>183</v>
      </c>
      <c r="N59" s="10">
        <f t="shared" si="1"/>
        <v>90.14778325123153</v>
      </c>
      <c r="O59" s="8">
        <v>6.1</v>
      </c>
      <c r="P59" s="8">
        <v>0</v>
      </c>
      <c r="Q59" s="13" t="s">
        <v>408</v>
      </c>
      <c r="R59" s="14">
        <v>45201</v>
      </c>
      <c r="S59" s="39"/>
      <c r="T59" s="12">
        <v>6.1</v>
      </c>
      <c r="U59" s="39"/>
      <c r="V59" s="39"/>
      <c r="W59" s="39"/>
      <c r="X59" s="39"/>
      <c r="Y59" s="39"/>
      <c r="Z59" s="39"/>
      <c r="AA59" s="39" t="s">
        <v>408</v>
      </c>
      <c r="AB59" s="16">
        <v>4</v>
      </c>
      <c r="AC59" s="39"/>
      <c r="AD59" s="11">
        <v>25.465502000000001</v>
      </c>
      <c r="AE59" s="11">
        <v>76.509125999999995</v>
      </c>
    </row>
    <row r="60" spans="1:31">
      <c r="A60" s="8" t="s">
        <v>36</v>
      </c>
      <c r="B60" s="8" t="s">
        <v>37</v>
      </c>
      <c r="C60" s="8" t="s">
        <v>147</v>
      </c>
      <c r="D60" s="9" t="s">
        <v>154</v>
      </c>
      <c r="E60" s="8" t="s">
        <v>155</v>
      </c>
      <c r="F60" s="8">
        <v>339.8</v>
      </c>
      <c r="G60" s="8">
        <v>137</v>
      </c>
      <c r="H60" s="8">
        <v>767</v>
      </c>
      <c r="I60" s="8">
        <v>408</v>
      </c>
      <c r="J60" s="8">
        <v>359</v>
      </c>
      <c r="K60" s="8">
        <v>78</v>
      </c>
      <c r="L60" s="10">
        <f t="shared" si="0"/>
        <v>10.16949152542373</v>
      </c>
      <c r="M60" s="8">
        <v>550</v>
      </c>
      <c r="N60" s="10">
        <f t="shared" si="1"/>
        <v>71.70795306388527</v>
      </c>
      <c r="O60" s="8">
        <v>9.8699999999999992</v>
      </c>
      <c r="P60" s="8">
        <v>0</v>
      </c>
      <c r="Q60" s="13" t="s">
        <v>408</v>
      </c>
      <c r="R60" s="14">
        <v>45201</v>
      </c>
      <c r="S60" s="39"/>
      <c r="T60" s="12">
        <v>9.8699999999999992</v>
      </c>
      <c r="U60" s="39"/>
      <c r="V60" s="39"/>
      <c r="W60" s="39"/>
      <c r="X60" s="39"/>
      <c r="Y60" s="39"/>
      <c r="Z60" s="39"/>
      <c r="AA60" s="39" t="s">
        <v>408</v>
      </c>
      <c r="AB60" s="16">
        <v>9</v>
      </c>
      <c r="AC60" s="39"/>
      <c r="AD60" s="11">
        <v>25.475252000000001</v>
      </c>
      <c r="AE60" s="11">
        <v>76.500157000000002</v>
      </c>
    </row>
    <row r="61" spans="1:31">
      <c r="A61" s="8" t="s">
        <v>36</v>
      </c>
      <c r="B61" s="8" t="s">
        <v>37</v>
      </c>
      <c r="C61" s="8" t="s">
        <v>147</v>
      </c>
      <c r="D61" s="9" t="s">
        <v>156</v>
      </c>
      <c r="E61" s="8" t="s">
        <v>157</v>
      </c>
      <c r="F61" s="8">
        <v>353.85</v>
      </c>
      <c r="G61" s="8">
        <v>129</v>
      </c>
      <c r="H61" s="8">
        <v>668</v>
      </c>
      <c r="I61" s="8">
        <v>354</v>
      </c>
      <c r="J61" s="8">
        <v>314</v>
      </c>
      <c r="K61" s="8">
        <v>298</v>
      </c>
      <c r="L61" s="10">
        <f t="shared" si="0"/>
        <v>44.610778443113773</v>
      </c>
      <c r="M61" s="8">
        <v>180</v>
      </c>
      <c r="N61" s="10">
        <f t="shared" si="1"/>
        <v>26.946107784431138</v>
      </c>
      <c r="O61" s="8">
        <v>16.010000000000002</v>
      </c>
      <c r="P61" s="8">
        <v>0</v>
      </c>
      <c r="Q61" s="13" t="s">
        <v>408</v>
      </c>
      <c r="R61" s="14">
        <v>45201</v>
      </c>
      <c r="S61" s="39"/>
      <c r="T61" s="12">
        <v>16.010000000000002</v>
      </c>
      <c r="U61" s="39"/>
      <c r="V61" s="39"/>
      <c r="W61" s="39"/>
      <c r="X61" s="39"/>
      <c r="Y61" s="39"/>
      <c r="Z61" s="39"/>
      <c r="AA61" s="39" t="s">
        <v>408</v>
      </c>
      <c r="AB61" s="16">
        <v>14</v>
      </c>
      <c r="AC61" s="39"/>
      <c r="AD61" s="11">
        <v>25.486713000000002</v>
      </c>
      <c r="AE61" s="11">
        <v>76.526957999999993</v>
      </c>
    </row>
    <row r="62" spans="1:31">
      <c r="A62" s="8" t="s">
        <v>36</v>
      </c>
      <c r="B62" s="8" t="s">
        <v>37</v>
      </c>
      <c r="C62" s="8" t="s">
        <v>147</v>
      </c>
      <c r="D62" s="9" t="s">
        <v>158</v>
      </c>
      <c r="E62" s="8" t="s">
        <v>159</v>
      </c>
      <c r="F62" s="8">
        <v>363.84</v>
      </c>
      <c r="G62" s="8">
        <v>174</v>
      </c>
      <c r="H62" s="8">
        <v>919</v>
      </c>
      <c r="I62" s="8">
        <v>475</v>
      </c>
      <c r="J62" s="8">
        <v>444</v>
      </c>
      <c r="K62" s="8">
        <v>246</v>
      </c>
      <c r="L62" s="10">
        <f t="shared" si="0"/>
        <v>26.768226332970617</v>
      </c>
      <c r="M62" s="8">
        <v>405</v>
      </c>
      <c r="N62" s="10">
        <f t="shared" si="1"/>
        <v>44.069640914036995</v>
      </c>
      <c r="O62" s="8">
        <v>4.47</v>
      </c>
      <c r="P62" s="8">
        <v>0</v>
      </c>
      <c r="Q62" s="13" t="s">
        <v>408</v>
      </c>
      <c r="R62" s="14">
        <v>45201</v>
      </c>
      <c r="S62" s="39"/>
      <c r="T62" s="12">
        <v>4.47</v>
      </c>
      <c r="U62" s="39"/>
      <c r="V62" s="39"/>
      <c r="W62" s="39"/>
      <c r="X62" s="39"/>
      <c r="Y62" s="39"/>
      <c r="Z62" s="39"/>
      <c r="AA62" s="39" t="s">
        <v>408</v>
      </c>
      <c r="AB62" s="16">
        <v>4</v>
      </c>
      <c r="AC62" s="39"/>
      <c r="AD62" s="11">
        <v>25.497817000000001</v>
      </c>
      <c r="AE62" s="11">
        <v>76.494443000000004</v>
      </c>
    </row>
    <row r="63" spans="1:31">
      <c r="A63" s="8" t="s">
        <v>36</v>
      </c>
      <c r="B63" s="8" t="s">
        <v>37</v>
      </c>
      <c r="C63" s="8" t="s">
        <v>147</v>
      </c>
      <c r="D63" s="9" t="s">
        <v>160</v>
      </c>
      <c r="E63" s="8" t="s">
        <v>161</v>
      </c>
      <c r="F63" s="8">
        <v>693.81</v>
      </c>
      <c r="G63" s="8">
        <v>66</v>
      </c>
      <c r="H63" s="8">
        <v>305</v>
      </c>
      <c r="I63" s="8">
        <v>165</v>
      </c>
      <c r="J63" s="8">
        <v>140</v>
      </c>
      <c r="K63" s="8">
        <v>133</v>
      </c>
      <c r="L63" s="10">
        <f t="shared" si="0"/>
        <v>43.606557377049185</v>
      </c>
      <c r="M63" s="8">
        <v>126</v>
      </c>
      <c r="N63" s="10">
        <f t="shared" si="1"/>
        <v>41.311475409836071</v>
      </c>
      <c r="O63" s="8">
        <v>15.41</v>
      </c>
      <c r="P63" s="8">
        <v>136.75</v>
      </c>
      <c r="Q63" s="13" t="s">
        <v>408</v>
      </c>
      <c r="R63" s="14">
        <v>45201</v>
      </c>
      <c r="S63" s="39"/>
      <c r="T63" s="12">
        <v>15.41</v>
      </c>
      <c r="U63" s="39"/>
      <c r="V63" s="39"/>
      <c r="W63" s="39"/>
      <c r="X63" s="39"/>
      <c r="Y63" s="39"/>
      <c r="Z63" s="39"/>
      <c r="AA63" s="39" t="s">
        <v>408</v>
      </c>
      <c r="AB63" s="16">
        <v>13</v>
      </c>
      <c r="AC63" s="39"/>
      <c r="AD63" s="11">
        <v>25.500011000000001</v>
      </c>
      <c r="AE63" s="11">
        <v>76.522870999999995</v>
      </c>
    </row>
    <row r="64" spans="1:31">
      <c r="A64" s="8" t="s">
        <v>36</v>
      </c>
      <c r="B64" s="8" t="s">
        <v>37</v>
      </c>
      <c r="C64" s="8" t="s">
        <v>147</v>
      </c>
      <c r="D64" s="9" t="s">
        <v>162</v>
      </c>
      <c r="E64" s="8" t="s">
        <v>163</v>
      </c>
      <c r="F64" s="8">
        <v>465.37</v>
      </c>
      <c r="G64" s="8">
        <v>1</v>
      </c>
      <c r="H64" s="8">
        <v>1</v>
      </c>
      <c r="I64" s="8">
        <v>1</v>
      </c>
      <c r="J64" s="8">
        <v>0</v>
      </c>
      <c r="K64" s="8">
        <v>0</v>
      </c>
      <c r="L64" s="10">
        <f t="shared" si="0"/>
        <v>0</v>
      </c>
      <c r="M64" s="8">
        <v>0</v>
      </c>
      <c r="N64" s="10">
        <f t="shared" si="1"/>
        <v>0</v>
      </c>
      <c r="O64" s="8">
        <v>0</v>
      </c>
      <c r="P64" s="8">
        <v>105.91</v>
      </c>
      <c r="Q64" s="10"/>
      <c r="R64" s="10"/>
      <c r="S64" s="39"/>
      <c r="T64" s="10"/>
      <c r="U64" s="39"/>
      <c r="V64" s="39"/>
      <c r="W64" s="39"/>
      <c r="X64" s="39"/>
      <c r="Y64" s="39"/>
      <c r="Z64" s="39"/>
      <c r="AA64" s="39" t="s">
        <v>1949</v>
      </c>
      <c r="AB64" s="10"/>
      <c r="AC64" s="39"/>
      <c r="AD64" s="10"/>
      <c r="AE64" s="10"/>
    </row>
    <row r="65" spans="1:31">
      <c r="A65" s="8" t="s">
        <v>36</v>
      </c>
      <c r="B65" s="8" t="s">
        <v>37</v>
      </c>
      <c r="C65" s="8" t="s">
        <v>164</v>
      </c>
      <c r="D65" s="9" t="s">
        <v>165</v>
      </c>
      <c r="E65" s="8" t="s">
        <v>166</v>
      </c>
      <c r="F65" s="8">
        <v>1050.29</v>
      </c>
      <c r="G65" s="8">
        <v>387</v>
      </c>
      <c r="H65" s="8">
        <v>1972</v>
      </c>
      <c r="I65" s="8">
        <v>1020</v>
      </c>
      <c r="J65" s="8">
        <v>952</v>
      </c>
      <c r="K65" s="8">
        <v>562</v>
      </c>
      <c r="L65" s="10">
        <f t="shared" si="0"/>
        <v>28.498985801217035</v>
      </c>
      <c r="M65" s="8">
        <v>745</v>
      </c>
      <c r="N65" s="10">
        <f t="shared" si="1"/>
        <v>37.7789046653144</v>
      </c>
      <c r="O65" s="8">
        <v>0.99</v>
      </c>
      <c r="P65" s="8">
        <v>0</v>
      </c>
      <c r="Q65" s="23" t="s">
        <v>409</v>
      </c>
      <c r="R65" s="27">
        <v>45189</v>
      </c>
      <c r="S65" s="39"/>
      <c r="T65" s="18">
        <v>0</v>
      </c>
      <c r="U65" s="39" t="s">
        <v>408</v>
      </c>
      <c r="V65" s="39"/>
      <c r="W65" s="39"/>
      <c r="X65" s="39"/>
      <c r="Y65" s="39"/>
      <c r="Z65" s="39"/>
      <c r="AA65" s="39" t="s">
        <v>1949</v>
      </c>
      <c r="AB65" s="18"/>
      <c r="AC65" s="39"/>
      <c r="AD65" s="18" t="s">
        <v>410</v>
      </c>
      <c r="AE65" s="18" t="s">
        <v>410</v>
      </c>
    </row>
    <row r="66" spans="1:31">
      <c r="A66" s="8" t="s">
        <v>36</v>
      </c>
      <c r="B66" s="8" t="s">
        <v>37</v>
      </c>
      <c r="C66" s="8" t="s">
        <v>164</v>
      </c>
      <c r="D66" s="9" t="s">
        <v>167</v>
      </c>
      <c r="E66" s="8" t="s">
        <v>168</v>
      </c>
      <c r="F66" s="8">
        <v>230.41</v>
      </c>
      <c r="G66" s="8">
        <v>112</v>
      </c>
      <c r="H66" s="8">
        <v>545</v>
      </c>
      <c r="I66" s="8">
        <v>256</v>
      </c>
      <c r="J66" s="8">
        <v>289</v>
      </c>
      <c r="K66" s="8">
        <v>192</v>
      </c>
      <c r="L66" s="10">
        <f t="shared" si="0"/>
        <v>35.22935779816514</v>
      </c>
      <c r="M66" s="8">
        <v>278</v>
      </c>
      <c r="N66" s="10">
        <f t="shared" si="1"/>
        <v>51.009174311926607</v>
      </c>
      <c r="O66" s="8">
        <v>0</v>
      </c>
      <c r="P66" s="8">
        <v>0</v>
      </c>
      <c r="Q66" s="23" t="s">
        <v>409</v>
      </c>
      <c r="R66" s="27">
        <v>45189</v>
      </c>
      <c r="S66" s="39"/>
      <c r="T66" s="18">
        <v>0</v>
      </c>
      <c r="U66" s="39" t="s">
        <v>408</v>
      </c>
      <c r="V66" s="39"/>
      <c r="W66" s="39"/>
      <c r="X66" s="39"/>
      <c r="Y66" s="39"/>
      <c r="Z66" s="39"/>
      <c r="AA66" s="39" t="s">
        <v>1949</v>
      </c>
      <c r="AB66" s="18"/>
      <c r="AC66" s="39"/>
      <c r="AD66" s="18" t="s">
        <v>410</v>
      </c>
      <c r="AE66" s="18" t="s">
        <v>410</v>
      </c>
    </row>
    <row r="67" spans="1:31">
      <c r="A67" s="8" t="s">
        <v>36</v>
      </c>
      <c r="B67" s="8" t="s">
        <v>37</v>
      </c>
      <c r="C67" s="8" t="s">
        <v>164</v>
      </c>
      <c r="D67" s="9" t="s">
        <v>169</v>
      </c>
      <c r="E67" s="8" t="s">
        <v>170</v>
      </c>
      <c r="F67" s="8">
        <v>603.71</v>
      </c>
      <c r="G67" s="8">
        <v>115</v>
      </c>
      <c r="H67" s="8">
        <v>684</v>
      </c>
      <c r="I67" s="8">
        <v>347</v>
      </c>
      <c r="J67" s="8">
        <v>337</v>
      </c>
      <c r="K67" s="8">
        <v>13</v>
      </c>
      <c r="L67" s="10">
        <f t="shared" si="0"/>
        <v>1.9005847953216373</v>
      </c>
      <c r="M67" s="8">
        <v>352</v>
      </c>
      <c r="N67" s="10">
        <f t="shared" si="1"/>
        <v>51.461988304093566</v>
      </c>
      <c r="O67" s="8">
        <v>0</v>
      </c>
      <c r="P67" s="8">
        <v>0</v>
      </c>
      <c r="Q67" s="23" t="s">
        <v>409</v>
      </c>
      <c r="R67" s="27">
        <v>45189</v>
      </c>
      <c r="S67" s="39"/>
      <c r="T67" s="18">
        <v>0</v>
      </c>
      <c r="U67" s="39" t="s">
        <v>408</v>
      </c>
      <c r="V67" s="39"/>
      <c r="W67" s="39"/>
      <c r="X67" s="39"/>
      <c r="Y67" s="39"/>
      <c r="Z67" s="39"/>
      <c r="AA67" s="39" t="s">
        <v>1949</v>
      </c>
      <c r="AB67" s="18"/>
      <c r="AC67" s="39"/>
      <c r="AD67" s="18" t="s">
        <v>410</v>
      </c>
      <c r="AE67" s="18" t="s">
        <v>410</v>
      </c>
    </row>
    <row r="68" spans="1:31">
      <c r="A68" s="8" t="s">
        <v>36</v>
      </c>
      <c r="B68" s="8" t="s">
        <v>37</v>
      </c>
      <c r="C68" s="8" t="s">
        <v>164</v>
      </c>
      <c r="D68" s="9" t="s">
        <v>171</v>
      </c>
      <c r="E68" s="8" t="s">
        <v>172</v>
      </c>
      <c r="F68" s="8">
        <v>494.19</v>
      </c>
      <c r="G68" s="8">
        <v>94</v>
      </c>
      <c r="H68" s="8">
        <v>470</v>
      </c>
      <c r="I68" s="8">
        <v>244</v>
      </c>
      <c r="J68" s="8">
        <v>226</v>
      </c>
      <c r="K68" s="8">
        <v>155</v>
      </c>
      <c r="L68" s="10">
        <f t="shared" si="0"/>
        <v>32.978723404255319</v>
      </c>
      <c r="M68" s="8">
        <v>253</v>
      </c>
      <c r="N68" s="10">
        <f t="shared" si="1"/>
        <v>53.829787234042556</v>
      </c>
      <c r="O68" s="8">
        <v>1.61</v>
      </c>
      <c r="P68" s="8">
        <v>0</v>
      </c>
      <c r="Q68" s="23" t="s">
        <v>409</v>
      </c>
      <c r="R68" s="27">
        <v>45189</v>
      </c>
      <c r="S68" s="39"/>
      <c r="T68" s="18">
        <v>0</v>
      </c>
      <c r="U68" s="39" t="s">
        <v>408</v>
      </c>
      <c r="V68" s="39"/>
      <c r="W68" s="39"/>
      <c r="X68" s="39"/>
      <c r="Y68" s="39"/>
      <c r="Z68" s="39"/>
      <c r="AA68" s="39" t="s">
        <v>1949</v>
      </c>
      <c r="AB68" s="18"/>
      <c r="AC68" s="39"/>
      <c r="AD68" s="18" t="s">
        <v>410</v>
      </c>
      <c r="AE68" s="18" t="s">
        <v>410</v>
      </c>
    </row>
    <row r="69" spans="1:31">
      <c r="A69" s="8" t="s">
        <v>36</v>
      </c>
      <c r="B69" s="8" t="s">
        <v>37</v>
      </c>
      <c r="C69" s="8" t="s">
        <v>164</v>
      </c>
      <c r="D69" s="9" t="s">
        <v>173</v>
      </c>
      <c r="E69" s="8" t="s">
        <v>174</v>
      </c>
      <c r="F69" s="8">
        <v>687.74</v>
      </c>
      <c r="G69" s="8">
        <v>259</v>
      </c>
      <c r="H69" s="8">
        <v>1256</v>
      </c>
      <c r="I69" s="8">
        <v>651</v>
      </c>
      <c r="J69" s="8">
        <v>605</v>
      </c>
      <c r="K69" s="8">
        <v>305</v>
      </c>
      <c r="L69" s="10">
        <f t="shared" ref="L69:L132" si="2">K69/H69*100</f>
        <v>24.283439490445861</v>
      </c>
      <c r="M69" s="8">
        <v>551</v>
      </c>
      <c r="N69" s="10">
        <f t="shared" ref="N69:N132" si="3">M69/H69*100</f>
        <v>43.869426751592357</v>
      </c>
      <c r="O69" s="8">
        <v>0</v>
      </c>
      <c r="P69" s="8">
        <v>0</v>
      </c>
      <c r="Q69" s="23" t="s">
        <v>409</v>
      </c>
      <c r="R69" s="27">
        <v>45189</v>
      </c>
      <c r="S69" s="39"/>
      <c r="T69" s="18">
        <v>0</v>
      </c>
      <c r="U69" s="39" t="s">
        <v>408</v>
      </c>
      <c r="V69" s="39"/>
      <c r="W69" s="39"/>
      <c r="X69" s="39"/>
      <c r="Y69" s="39"/>
      <c r="Z69" s="39"/>
      <c r="AA69" s="39" t="s">
        <v>1949</v>
      </c>
      <c r="AB69" s="18"/>
      <c r="AC69" s="39"/>
      <c r="AD69" s="18" t="s">
        <v>410</v>
      </c>
      <c r="AE69" s="18" t="s">
        <v>410</v>
      </c>
    </row>
    <row r="70" spans="1:31">
      <c r="A70" s="8" t="s">
        <v>36</v>
      </c>
      <c r="B70" s="8" t="s">
        <v>37</v>
      </c>
      <c r="C70" s="8" t="s">
        <v>175</v>
      </c>
      <c r="D70" s="9" t="s">
        <v>176</v>
      </c>
      <c r="E70" s="8" t="s">
        <v>177</v>
      </c>
      <c r="F70" s="8">
        <v>1483.08</v>
      </c>
      <c r="G70" s="8">
        <v>981</v>
      </c>
      <c r="H70" s="8">
        <v>4802</v>
      </c>
      <c r="I70" s="8">
        <v>2486</v>
      </c>
      <c r="J70" s="8">
        <v>2316</v>
      </c>
      <c r="K70" s="8">
        <v>1130</v>
      </c>
      <c r="L70" s="10">
        <f t="shared" si="2"/>
        <v>23.531861724281551</v>
      </c>
      <c r="M70" s="8">
        <v>60</v>
      </c>
      <c r="N70" s="10">
        <f t="shared" si="3"/>
        <v>1.2494793835901707</v>
      </c>
      <c r="O70" s="8">
        <v>0</v>
      </c>
      <c r="P70" s="8">
        <v>0.83</v>
      </c>
      <c r="Q70" s="18" t="s">
        <v>409</v>
      </c>
      <c r="R70" s="21">
        <v>45840</v>
      </c>
      <c r="S70" s="39"/>
      <c r="T70" s="18">
        <v>0</v>
      </c>
      <c r="U70" s="39"/>
      <c r="V70" s="39"/>
      <c r="W70" s="39"/>
      <c r="X70" s="39"/>
      <c r="Y70" s="39"/>
      <c r="Z70" s="39"/>
      <c r="AA70" s="39" t="s">
        <v>1949</v>
      </c>
      <c r="AB70" s="18"/>
      <c r="AC70" s="39"/>
      <c r="AD70" s="18" t="s">
        <v>410</v>
      </c>
      <c r="AE70" s="18" t="s">
        <v>410</v>
      </c>
    </row>
    <row r="71" spans="1:31">
      <c r="A71" s="8" t="s">
        <v>36</v>
      </c>
      <c r="B71" s="8" t="s">
        <v>37</v>
      </c>
      <c r="C71" s="8" t="s">
        <v>175</v>
      </c>
      <c r="D71" s="9" t="s">
        <v>178</v>
      </c>
      <c r="E71" s="8" t="s">
        <v>179</v>
      </c>
      <c r="F71" s="8">
        <v>812.29</v>
      </c>
      <c r="G71" s="8">
        <v>101</v>
      </c>
      <c r="H71" s="8">
        <v>511</v>
      </c>
      <c r="I71" s="8">
        <v>267</v>
      </c>
      <c r="J71" s="8">
        <v>244</v>
      </c>
      <c r="K71" s="8">
        <v>103</v>
      </c>
      <c r="L71" s="10">
        <f t="shared" si="2"/>
        <v>20.156555772994128</v>
      </c>
      <c r="M71" s="8">
        <v>129</v>
      </c>
      <c r="N71" s="10">
        <f t="shared" si="3"/>
        <v>25.244618395303327</v>
      </c>
      <c r="O71" s="8">
        <v>0</v>
      </c>
      <c r="P71" s="8">
        <v>161.12</v>
      </c>
      <c r="Q71" s="18" t="s">
        <v>409</v>
      </c>
      <c r="R71" s="21">
        <v>45840</v>
      </c>
      <c r="S71" s="39"/>
      <c r="T71" s="18">
        <v>0</v>
      </c>
      <c r="U71" s="39"/>
      <c r="V71" s="39"/>
      <c r="W71" s="39"/>
      <c r="X71" s="39"/>
      <c r="Y71" s="39"/>
      <c r="Z71" s="39"/>
      <c r="AA71" s="39" t="s">
        <v>1949</v>
      </c>
      <c r="AB71" s="18"/>
      <c r="AC71" s="39"/>
      <c r="AD71" s="18" t="s">
        <v>410</v>
      </c>
      <c r="AE71" s="18" t="s">
        <v>410</v>
      </c>
    </row>
    <row r="72" spans="1:31">
      <c r="A72" s="8" t="s">
        <v>36</v>
      </c>
      <c r="B72" s="8" t="s">
        <v>37</v>
      </c>
      <c r="C72" s="8" t="s">
        <v>175</v>
      </c>
      <c r="D72" s="9" t="s">
        <v>100</v>
      </c>
      <c r="E72" s="8" t="s">
        <v>180</v>
      </c>
      <c r="F72" s="8">
        <v>287.55</v>
      </c>
      <c r="G72" s="8">
        <v>116</v>
      </c>
      <c r="H72" s="8">
        <v>570</v>
      </c>
      <c r="I72" s="8">
        <v>306</v>
      </c>
      <c r="J72" s="8">
        <v>264</v>
      </c>
      <c r="K72" s="8">
        <v>0</v>
      </c>
      <c r="L72" s="10">
        <f t="shared" si="2"/>
        <v>0</v>
      </c>
      <c r="M72" s="8">
        <v>0</v>
      </c>
      <c r="N72" s="10">
        <f t="shared" si="3"/>
        <v>0</v>
      </c>
      <c r="O72" s="8">
        <v>0</v>
      </c>
      <c r="P72" s="8">
        <v>61.82</v>
      </c>
      <c r="Q72" s="18" t="s">
        <v>409</v>
      </c>
      <c r="R72" s="21">
        <v>45840</v>
      </c>
      <c r="S72" s="39"/>
      <c r="T72" s="18">
        <v>0</v>
      </c>
      <c r="U72" s="39"/>
      <c r="V72" s="39"/>
      <c r="W72" s="39"/>
      <c r="X72" s="39"/>
      <c r="Y72" s="39"/>
      <c r="Z72" s="39"/>
      <c r="AA72" s="39" t="s">
        <v>1949</v>
      </c>
      <c r="AB72" s="18"/>
      <c r="AC72" s="39"/>
      <c r="AD72" s="18" t="s">
        <v>410</v>
      </c>
      <c r="AE72" s="18" t="s">
        <v>410</v>
      </c>
    </row>
    <row r="73" spans="1:31">
      <c r="A73" s="8" t="s">
        <v>36</v>
      </c>
      <c r="B73" s="8" t="s">
        <v>37</v>
      </c>
      <c r="C73" s="8" t="s">
        <v>181</v>
      </c>
      <c r="D73" s="9" t="s">
        <v>182</v>
      </c>
      <c r="E73" s="8" t="s">
        <v>183</v>
      </c>
      <c r="F73" s="8">
        <v>994.08</v>
      </c>
      <c r="G73" s="8">
        <v>285</v>
      </c>
      <c r="H73" s="8">
        <v>1513</v>
      </c>
      <c r="I73" s="8">
        <v>761</v>
      </c>
      <c r="J73" s="8">
        <v>752</v>
      </c>
      <c r="K73" s="8">
        <v>515</v>
      </c>
      <c r="L73" s="10">
        <f t="shared" si="2"/>
        <v>34.038334434897557</v>
      </c>
      <c r="M73" s="8">
        <v>800</v>
      </c>
      <c r="N73" s="10">
        <f t="shared" si="3"/>
        <v>52.875082617316593</v>
      </c>
      <c r="O73" s="8">
        <v>22.38</v>
      </c>
      <c r="P73" s="8">
        <v>0</v>
      </c>
      <c r="Q73" s="18" t="s">
        <v>408</v>
      </c>
      <c r="R73" s="21">
        <v>45519</v>
      </c>
      <c r="S73" s="39"/>
      <c r="T73" s="18">
        <v>26.42</v>
      </c>
      <c r="U73" s="39"/>
      <c r="V73" s="39"/>
      <c r="W73" s="39"/>
      <c r="X73" s="39"/>
      <c r="Y73" s="39"/>
      <c r="Z73" s="39"/>
      <c r="AA73" s="39" t="s">
        <v>408</v>
      </c>
      <c r="AB73" s="18">
        <v>12</v>
      </c>
      <c r="AC73" s="39"/>
      <c r="AD73" s="18">
        <v>25.402245000000001</v>
      </c>
      <c r="AE73" s="18">
        <v>76.374579999999995</v>
      </c>
    </row>
    <row r="74" spans="1:31">
      <c r="A74" s="8" t="s">
        <v>36</v>
      </c>
      <c r="B74" s="8" t="s">
        <v>37</v>
      </c>
      <c r="C74" s="8" t="s">
        <v>181</v>
      </c>
      <c r="D74" s="9" t="s">
        <v>184</v>
      </c>
      <c r="E74" s="8" t="s">
        <v>185</v>
      </c>
      <c r="F74" s="8">
        <v>313.95999999999998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10" t="e">
        <f t="shared" si="2"/>
        <v>#DIV/0!</v>
      </c>
      <c r="M74" s="8">
        <v>0</v>
      </c>
      <c r="N74" s="10" t="e">
        <f t="shared" si="3"/>
        <v>#DIV/0!</v>
      </c>
      <c r="O74" s="8">
        <v>0</v>
      </c>
      <c r="P74" s="8">
        <v>0</v>
      </c>
      <c r="Q74" s="10"/>
      <c r="R74" s="10"/>
      <c r="S74" s="39"/>
      <c r="T74" s="10"/>
      <c r="U74" s="39"/>
      <c r="V74" s="39"/>
      <c r="W74" s="39"/>
      <c r="X74" s="39"/>
      <c r="Y74" s="39"/>
      <c r="Z74" s="39"/>
      <c r="AA74" s="39" t="s">
        <v>1949</v>
      </c>
      <c r="AB74" s="10"/>
      <c r="AC74" s="39"/>
      <c r="AD74" s="10"/>
      <c r="AE74" s="10"/>
    </row>
    <row r="75" spans="1:31">
      <c r="A75" s="8" t="s">
        <v>36</v>
      </c>
      <c r="B75" s="8" t="s">
        <v>37</v>
      </c>
      <c r="C75" s="8" t="s">
        <v>181</v>
      </c>
      <c r="D75" s="9" t="s">
        <v>186</v>
      </c>
      <c r="E75" s="8" t="s">
        <v>187</v>
      </c>
      <c r="F75" s="8">
        <v>233.69</v>
      </c>
      <c r="G75" s="8">
        <v>203</v>
      </c>
      <c r="H75" s="8">
        <v>1003</v>
      </c>
      <c r="I75" s="8">
        <v>511</v>
      </c>
      <c r="J75" s="8">
        <v>492</v>
      </c>
      <c r="K75" s="8">
        <v>415</v>
      </c>
      <c r="L75" s="10">
        <f t="shared" si="2"/>
        <v>41.375872382851448</v>
      </c>
      <c r="M75" s="8">
        <v>515</v>
      </c>
      <c r="N75" s="10">
        <f t="shared" si="3"/>
        <v>51.345962113659027</v>
      </c>
      <c r="O75" s="8">
        <v>19.88</v>
      </c>
      <c r="P75" s="8">
        <v>59.17</v>
      </c>
      <c r="Q75" s="18" t="s">
        <v>408</v>
      </c>
      <c r="R75" s="21">
        <v>45520</v>
      </c>
      <c r="S75" s="39"/>
      <c r="T75" s="18">
        <v>19.34</v>
      </c>
      <c r="U75" s="39"/>
      <c r="V75" s="39"/>
      <c r="W75" s="39"/>
      <c r="X75" s="39"/>
      <c r="Y75" s="39"/>
      <c r="Z75" s="39"/>
      <c r="AA75" s="39" t="s">
        <v>408</v>
      </c>
      <c r="AB75" s="18">
        <v>10.5</v>
      </c>
      <c r="AC75" s="39"/>
      <c r="AD75" s="18">
        <v>25.394155000000001</v>
      </c>
      <c r="AE75" s="18">
        <v>76.328675000000004</v>
      </c>
    </row>
    <row r="76" spans="1:31">
      <c r="A76" s="8" t="s">
        <v>36</v>
      </c>
      <c r="B76" s="8" t="s">
        <v>37</v>
      </c>
      <c r="C76" s="8" t="s">
        <v>181</v>
      </c>
      <c r="D76" s="9" t="s">
        <v>188</v>
      </c>
      <c r="E76" s="8" t="s">
        <v>189</v>
      </c>
      <c r="F76" s="8">
        <v>500.16</v>
      </c>
      <c r="G76" s="8">
        <v>191</v>
      </c>
      <c r="H76" s="8">
        <v>892</v>
      </c>
      <c r="I76" s="8">
        <v>476</v>
      </c>
      <c r="J76" s="8">
        <v>416</v>
      </c>
      <c r="K76" s="8">
        <v>294</v>
      </c>
      <c r="L76" s="10">
        <f t="shared" si="2"/>
        <v>32.959641255605383</v>
      </c>
      <c r="M76" s="8">
        <v>503</v>
      </c>
      <c r="N76" s="10">
        <f t="shared" si="3"/>
        <v>56.390134529147986</v>
      </c>
      <c r="O76" s="8">
        <v>0</v>
      </c>
      <c r="P76" s="8">
        <v>0</v>
      </c>
      <c r="Q76" s="18" t="s">
        <v>408</v>
      </c>
      <c r="R76" s="21">
        <v>45521</v>
      </c>
      <c r="S76" s="39"/>
      <c r="T76" s="18">
        <v>0.22</v>
      </c>
      <c r="U76" s="39"/>
      <c r="V76" s="39"/>
      <c r="W76" s="39"/>
      <c r="X76" s="39"/>
      <c r="Y76" s="39"/>
      <c r="Z76" s="39"/>
      <c r="AA76" s="39" t="s">
        <v>1949</v>
      </c>
      <c r="AB76" s="18"/>
      <c r="AC76" s="39"/>
      <c r="AD76" s="18"/>
      <c r="AE76" s="18"/>
    </row>
    <row r="77" spans="1:31">
      <c r="A77" s="8" t="s">
        <v>36</v>
      </c>
      <c r="B77" s="8" t="s">
        <v>37</v>
      </c>
      <c r="C77" s="8" t="s">
        <v>181</v>
      </c>
      <c r="D77" s="9" t="s">
        <v>190</v>
      </c>
      <c r="E77" s="8" t="s">
        <v>191</v>
      </c>
      <c r="F77" s="8">
        <v>594</v>
      </c>
      <c r="G77" s="8">
        <v>125</v>
      </c>
      <c r="H77" s="8">
        <v>482</v>
      </c>
      <c r="I77" s="8">
        <v>237</v>
      </c>
      <c r="J77" s="8">
        <v>245</v>
      </c>
      <c r="K77" s="8">
        <v>194</v>
      </c>
      <c r="L77" s="10">
        <f t="shared" si="2"/>
        <v>40.248962655601659</v>
      </c>
      <c r="M77" s="8">
        <v>198</v>
      </c>
      <c r="N77" s="10">
        <f t="shared" si="3"/>
        <v>41.078838174273855</v>
      </c>
      <c r="O77" s="8">
        <v>0</v>
      </c>
      <c r="P77" s="8">
        <v>146.25</v>
      </c>
      <c r="Q77" s="18" t="s">
        <v>408</v>
      </c>
      <c r="R77" s="21">
        <v>45522</v>
      </c>
      <c r="S77" s="39"/>
      <c r="T77" s="18">
        <v>0.2</v>
      </c>
      <c r="U77" s="39"/>
      <c r="V77" s="39"/>
      <c r="W77" s="39"/>
      <c r="X77" s="39"/>
      <c r="Y77" s="39"/>
      <c r="Z77" s="39"/>
      <c r="AA77" s="39" t="s">
        <v>1949</v>
      </c>
      <c r="AB77" s="18"/>
      <c r="AC77" s="39"/>
      <c r="AD77" s="18">
        <v>25.409711999999999</v>
      </c>
      <c r="AE77" s="18">
        <v>76.332725999999994</v>
      </c>
    </row>
    <row r="78" spans="1:31">
      <c r="A78" s="8" t="s">
        <v>36</v>
      </c>
      <c r="B78" s="8" t="s">
        <v>37</v>
      </c>
      <c r="C78" s="8" t="s">
        <v>181</v>
      </c>
      <c r="D78" s="9" t="s">
        <v>192</v>
      </c>
      <c r="E78" s="8" t="s">
        <v>193</v>
      </c>
      <c r="F78" s="8">
        <v>575.75</v>
      </c>
      <c r="G78" s="8">
        <v>170</v>
      </c>
      <c r="H78" s="8">
        <v>904</v>
      </c>
      <c r="I78" s="8">
        <v>471</v>
      </c>
      <c r="J78" s="8">
        <v>433</v>
      </c>
      <c r="K78" s="8">
        <v>242</v>
      </c>
      <c r="L78" s="10">
        <f t="shared" si="2"/>
        <v>26.769911504424783</v>
      </c>
      <c r="M78" s="8">
        <v>33</v>
      </c>
      <c r="N78" s="10">
        <f t="shared" si="3"/>
        <v>3.6504424778761062</v>
      </c>
      <c r="O78" s="8">
        <v>0</v>
      </c>
      <c r="P78" s="8">
        <v>136.52000000000001</v>
      </c>
      <c r="Q78" s="18" t="s">
        <v>408</v>
      </c>
      <c r="R78" s="21">
        <v>45523</v>
      </c>
      <c r="S78" s="39"/>
      <c r="T78" s="18">
        <v>0.04</v>
      </c>
      <c r="U78" s="39"/>
      <c r="V78" s="39"/>
      <c r="W78" s="39"/>
      <c r="X78" s="39"/>
      <c r="Y78" s="39"/>
      <c r="Z78" s="39"/>
      <c r="AA78" s="39" t="s">
        <v>1949</v>
      </c>
      <c r="AB78" s="18"/>
      <c r="AC78" s="39"/>
      <c r="AD78" s="18"/>
      <c r="AE78" s="18"/>
    </row>
    <row r="79" spans="1:31">
      <c r="A79" s="8" t="s">
        <v>36</v>
      </c>
      <c r="B79" s="8" t="s">
        <v>37</v>
      </c>
      <c r="C79" s="8" t="s">
        <v>194</v>
      </c>
      <c r="D79" s="9" t="s">
        <v>195</v>
      </c>
      <c r="E79" s="8" t="s">
        <v>196</v>
      </c>
      <c r="F79" s="8">
        <v>617.03</v>
      </c>
      <c r="G79" s="8">
        <v>156</v>
      </c>
      <c r="H79" s="8">
        <v>778</v>
      </c>
      <c r="I79" s="8">
        <v>405</v>
      </c>
      <c r="J79" s="8">
        <v>373</v>
      </c>
      <c r="K79" s="8">
        <v>76</v>
      </c>
      <c r="L79" s="10">
        <f t="shared" si="2"/>
        <v>9.7686375321336758</v>
      </c>
      <c r="M79" s="8">
        <v>392</v>
      </c>
      <c r="N79" s="10">
        <f t="shared" si="3"/>
        <v>50.385604113110539</v>
      </c>
      <c r="O79" s="8">
        <v>0</v>
      </c>
      <c r="P79" s="8">
        <v>129.02000000000001</v>
      </c>
      <c r="Q79" s="18" t="s">
        <v>409</v>
      </c>
      <c r="R79" s="28">
        <v>45636</v>
      </c>
      <c r="S79" s="39"/>
      <c r="T79" s="18">
        <v>0</v>
      </c>
      <c r="U79" s="39"/>
      <c r="V79" s="39"/>
      <c r="W79" s="39"/>
      <c r="X79" s="39"/>
      <c r="Y79" s="39"/>
      <c r="Z79" s="39"/>
      <c r="AA79" s="39" t="s">
        <v>1949</v>
      </c>
      <c r="AB79" s="18"/>
      <c r="AC79" s="39"/>
      <c r="AD79" s="18" t="s">
        <v>410</v>
      </c>
      <c r="AE79" s="18" t="s">
        <v>410</v>
      </c>
    </row>
    <row r="80" spans="1:31">
      <c r="A80" s="8" t="s">
        <v>36</v>
      </c>
      <c r="B80" s="8" t="s">
        <v>37</v>
      </c>
      <c r="C80" s="8" t="s">
        <v>194</v>
      </c>
      <c r="D80" s="9" t="s">
        <v>197</v>
      </c>
      <c r="E80" s="8" t="s">
        <v>198</v>
      </c>
      <c r="F80" s="8">
        <v>64.39</v>
      </c>
      <c r="G80" s="8">
        <v>68</v>
      </c>
      <c r="H80" s="8">
        <v>316</v>
      </c>
      <c r="I80" s="8">
        <v>164</v>
      </c>
      <c r="J80" s="8">
        <v>152</v>
      </c>
      <c r="K80" s="8">
        <v>168</v>
      </c>
      <c r="L80" s="10">
        <f t="shared" si="2"/>
        <v>53.164556962025308</v>
      </c>
      <c r="M80" s="8">
        <v>114</v>
      </c>
      <c r="N80" s="10">
        <f t="shared" si="3"/>
        <v>36.075949367088604</v>
      </c>
      <c r="O80" s="8">
        <v>0</v>
      </c>
      <c r="P80" s="8">
        <v>0</v>
      </c>
      <c r="Q80" s="18" t="s">
        <v>409</v>
      </c>
      <c r="R80" s="28">
        <v>45636</v>
      </c>
      <c r="S80" s="39"/>
      <c r="T80" s="18">
        <v>0</v>
      </c>
      <c r="U80" s="39"/>
      <c r="V80" s="39"/>
      <c r="W80" s="39"/>
      <c r="X80" s="39"/>
      <c r="Y80" s="39"/>
      <c r="Z80" s="39"/>
      <c r="AA80" s="39" t="s">
        <v>1949</v>
      </c>
      <c r="AB80" s="18"/>
      <c r="AC80" s="39"/>
      <c r="AD80" s="18" t="s">
        <v>410</v>
      </c>
      <c r="AE80" s="18" t="s">
        <v>410</v>
      </c>
    </row>
    <row r="81" spans="1:31">
      <c r="A81" s="8" t="s">
        <v>36</v>
      </c>
      <c r="B81" s="8" t="s">
        <v>37</v>
      </c>
      <c r="C81" s="8" t="s">
        <v>194</v>
      </c>
      <c r="D81" s="9" t="s">
        <v>199</v>
      </c>
      <c r="E81" s="8" t="s">
        <v>200</v>
      </c>
      <c r="F81" s="8">
        <v>72.5</v>
      </c>
      <c r="G81" s="8">
        <v>115</v>
      </c>
      <c r="H81" s="8">
        <v>540</v>
      </c>
      <c r="I81" s="8">
        <v>278</v>
      </c>
      <c r="J81" s="8">
        <v>262</v>
      </c>
      <c r="K81" s="8">
        <v>512</v>
      </c>
      <c r="L81" s="10">
        <f t="shared" si="2"/>
        <v>94.814814814814824</v>
      </c>
      <c r="M81" s="8">
        <v>0</v>
      </c>
      <c r="N81" s="10">
        <f t="shared" si="3"/>
        <v>0</v>
      </c>
      <c r="O81" s="8">
        <v>0</v>
      </c>
      <c r="P81" s="8">
        <v>0</v>
      </c>
      <c r="Q81" s="18" t="s">
        <v>409</v>
      </c>
      <c r="R81" s="28">
        <v>45636</v>
      </c>
      <c r="S81" s="39"/>
      <c r="T81" s="18">
        <v>0</v>
      </c>
      <c r="U81" s="39"/>
      <c r="V81" s="39"/>
      <c r="W81" s="39"/>
      <c r="X81" s="39"/>
      <c r="Y81" s="39"/>
      <c r="Z81" s="39"/>
      <c r="AA81" s="39" t="s">
        <v>1949</v>
      </c>
      <c r="AB81" s="18"/>
      <c r="AC81" s="39"/>
      <c r="AD81" s="18" t="s">
        <v>410</v>
      </c>
      <c r="AE81" s="18" t="s">
        <v>410</v>
      </c>
    </row>
    <row r="82" spans="1:31">
      <c r="A82" s="8" t="s">
        <v>36</v>
      </c>
      <c r="B82" s="8" t="s">
        <v>37</v>
      </c>
      <c r="C82" s="8" t="s">
        <v>194</v>
      </c>
      <c r="D82" s="9" t="s">
        <v>201</v>
      </c>
      <c r="E82" s="8" t="s">
        <v>202</v>
      </c>
      <c r="F82" s="8">
        <v>221.37</v>
      </c>
      <c r="G82" s="8">
        <v>69</v>
      </c>
      <c r="H82" s="8">
        <v>343</v>
      </c>
      <c r="I82" s="8">
        <v>180</v>
      </c>
      <c r="J82" s="8">
        <v>163</v>
      </c>
      <c r="K82" s="8">
        <v>170</v>
      </c>
      <c r="L82" s="10">
        <f t="shared" si="2"/>
        <v>49.562682215743443</v>
      </c>
      <c r="M82" s="8">
        <v>149</v>
      </c>
      <c r="N82" s="10">
        <f t="shared" si="3"/>
        <v>43.440233236151606</v>
      </c>
      <c r="O82" s="8">
        <v>0</v>
      </c>
      <c r="P82" s="8">
        <v>0</v>
      </c>
      <c r="Q82" s="18" t="s">
        <v>409</v>
      </c>
      <c r="R82" s="28">
        <v>45636</v>
      </c>
      <c r="S82" s="39"/>
      <c r="T82" s="18">
        <v>0</v>
      </c>
      <c r="U82" s="39"/>
      <c r="V82" s="39"/>
      <c r="W82" s="39"/>
      <c r="X82" s="39"/>
      <c r="Y82" s="39"/>
      <c r="Z82" s="39"/>
      <c r="AA82" s="39" t="s">
        <v>1949</v>
      </c>
      <c r="AB82" s="18"/>
      <c r="AC82" s="39"/>
      <c r="AD82" s="18" t="s">
        <v>410</v>
      </c>
      <c r="AE82" s="18" t="s">
        <v>410</v>
      </c>
    </row>
    <row r="83" spans="1:31">
      <c r="A83" s="8" t="s">
        <v>36</v>
      </c>
      <c r="B83" s="8" t="s">
        <v>37</v>
      </c>
      <c r="C83" s="8" t="s">
        <v>194</v>
      </c>
      <c r="D83" s="9" t="s">
        <v>203</v>
      </c>
      <c r="E83" s="8" t="s">
        <v>204</v>
      </c>
      <c r="F83" s="8">
        <v>362.56</v>
      </c>
      <c r="G83" s="8">
        <v>125</v>
      </c>
      <c r="H83" s="8">
        <v>655</v>
      </c>
      <c r="I83" s="8">
        <v>351</v>
      </c>
      <c r="J83" s="8">
        <v>304</v>
      </c>
      <c r="K83" s="8">
        <v>223</v>
      </c>
      <c r="L83" s="10">
        <f t="shared" si="2"/>
        <v>34.045801526717554</v>
      </c>
      <c r="M83" s="8">
        <v>196</v>
      </c>
      <c r="N83" s="10">
        <f t="shared" si="3"/>
        <v>29.923664122137406</v>
      </c>
      <c r="O83" s="8">
        <v>0</v>
      </c>
      <c r="P83" s="8">
        <v>0</v>
      </c>
      <c r="Q83" s="18" t="s">
        <v>409</v>
      </c>
      <c r="R83" s="28">
        <v>45636</v>
      </c>
      <c r="S83" s="39"/>
      <c r="T83" s="18">
        <v>0</v>
      </c>
      <c r="U83" s="39"/>
      <c r="V83" s="39"/>
      <c r="W83" s="39"/>
      <c r="X83" s="39"/>
      <c r="Y83" s="39"/>
      <c r="Z83" s="39"/>
      <c r="AA83" s="39" t="s">
        <v>1949</v>
      </c>
      <c r="AB83" s="18"/>
      <c r="AC83" s="39"/>
      <c r="AD83" s="18" t="s">
        <v>410</v>
      </c>
      <c r="AE83" s="18" t="s">
        <v>410</v>
      </c>
    </row>
    <row r="84" spans="1:31">
      <c r="A84" s="8" t="s">
        <v>36</v>
      </c>
      <c r="B84" s="8" t="s">
        <v>37</v>
      </c>
      <c r="C84" s="8" t="s">
        <v>194</v>
      </c>
      <c r="D84" s="9" t="s">
        <v>205</v>
      </c>
      <c r="E84" s="8" t="s">
        <v>206</v>
      </c>
      <c r="F84" s="8">
        <v>479.1</v>
      </c>
      <c r="G84" s="8">
        <v>139</v>
      </c>
      <c r="H84" s="8">
        <v>680</v>
      </c>
      <c r="I84" s="8">
        <v>351</v>
      </c>
      <c r="J84" s="8">
        <v>329</v>
      </c>
      <c r="K84" s="8">
        <v>236</v>
      </c>
      <c r="L84" s="10">
        <f t="shared" si="2"/>
        <v>34.705882352941174</v>
      </c>
      <c r="M84" s="8">
        <v>16</v>
      </c>
      <c r="N84" s="10">
        <f t="shared" si="3"/>
        <v>2.3529411764705883</v>
      </c>
      <c r="O84" s="8">
        <v>0</v>
      </c>
      <c r="P84" s="8">
        <v>18.440000000000001</v>
      </c>
      <c r="Q84" s="18" t="s">
        <v>409</v>
      </c>
      <c r="R84" s="28">
        <v>45636</v>
      </c>
      <c r="S84" s="39"/>
      <c r="T84" s="18">
        <v>0</v>
      </c>
      <c r="U84" s="39"/>
      <c r="V84" s="39"/>
      <c r="W84" s="39"/>
      <c r="X84" s="39"/>
      <c r="Y84" s="39"/>
      <c r="Z84" s="39"/>
      <c r="AA84" s="39" t="s">
        <v>1949</v>
      </c>
      <c r="AB84" s="18"/>
      <c r="AC84" s="39"/>
      <c r="AD84" s="18" t="s">
        <v>410</v>
      </c>
      <c r="AE84" s="18" t="s">
        <v>410</v>
      </c>
    </row>
    <row r="85" spans="1:31">
      <c r="A85" s="8" t="s">
        <v>36</v>
      </c>
      <c r="B85" s="8" t="s">
        <v>37</v>
      </c>
      <c r="C85" s="8" t="s">
        <v>194</v>
      </c>
      <c r="D85" s="9" t="s">
        <v>207</v>
      </c>
      <c r="E85" s="8" t="s">
        <v>208</v>
      </c>
      <c r="F85" s="8">
        <v>133.27000000000001</v>
      </c>
      <c r="G85" s="8">
        <v>44</v>
      </c>
      <c r="H85" s="8">
        <v>256</v>
      </c>
      <c r="I85" s="8">
        <v>128</v>
      </c>
      <c r="J85" s="8">
        <v>128</v>
      </c>
      <c r="K85" s="8">
        <v>110</v>
      </c>
      <c r="L85" s="10">
        <f t="shared" si="2"/>
        <v>42.96875</v>
      </c>
      <c r="M85" s="8">
        <v>0</v>
      </c>
      <c r="N85" s="10">
        <f t="shared" si="3"/>
        <v>0</v>
      </c>
      <c r="O85" s="8">
        <v>0</v>
      </c>
      <c r="P85" s="8">
        <v>0</v>
      </c>
      <c r="Q85" s="18" t="s">
        <v>409</v>
      </c>
      <c r="R85" s="28">
        <v>45636</v>
      </c>
      <c r="S85" s="39"/>
      <c r="T85" s="18">
        <v>0</v>
      </c>
      <c r="U85" s="39"/>
      <c r="V85" s="39"/>
      <c r="W85" s="39"/>
      <c r="X85" s="39"/>
      <c r="Y85" s="39"/>
      <c r="Z85" s="39"/>
      <c r="AA85" s="39" t="s">
        <v>1949</v>
      </c>
      <c r="AB85" s="18"/>
      <c r="AC85" s="39"/>
      <c r="AD85" s="18" t="s">
        <v>410</v>
      </c>
      <c r="AE85" s="18" t="s">
        <v>410</v>
      </c>
    </row>
    <row r="86" spans="1:31">
      <c r="A86" s="8" t="s">
        <v>36</v>
      </c>
      <c r="B86" s="8" t="s">
        <v>37</v>
      </c>
      <c r="C86" s="8" t="s">
        <v>194</v>
      </c>
      <c r="D86" s="9" t="s">
        <v>209</v>
      </c>
      <c r="E86" s="8" t="s">
        <v>210</v>
      </c>
      <c r="F86" s="8">
        <v>730</v>
      </c>
      <c r="G86" s="8">
        <v>263</v>
      </c>
      <c r="H86" s="8">
        <v>1186</v>
      </c>
      <c r="I86" s="8">
        <v>606</v>
      </c>
      <c r="J86" s="8">
        <v>580</v>
      </c>
      <c r="K86" s="8">
        <v>505</v>
      </c>
      <c r="L86" s="10">
        <f t="shared" si="2"/>
        <v>42.580101180438454</v>
      </c>
      <c r="M86" s="8">
        <v>132</v>
      </c>
      <c r="N86" s="10">
        <f t="shared" si="3"/>
        <v>11.129848229342327</v>
      </c>
      <c r="O86" s="8">
        <v>0</v>
      </c>
      <c r="P86" s="8">
        <v>93.41</v>
      </c>
      <c r="Q86" s="18" t="s">
        <v>409</v>
      </c>
      <c r="R86" s="28">
        <v>45636</v>
      </c>
      <c r="S86" s="39"/>
      <c r="T86" s="18">
        <v>0</v>
      </c>
      <c r="U86" s="39"/>
      <c r="V86" s="39"/>
      <c r="W86" s="39"/>
      <c r="X86" s="39"/>
      <c r="Y86" s="39"/>
      <c r="Z86" s="39"/>
      <c r="AA86" s="39" t="s">
        <v>1949</v>
      </c>
      <c r="AB86" s="18"/>
      <c r="AC86" s="39"/>
      <c r="AD86" s="18" t="s">
        <v>410</v>
      </c>
      <c r="AE86" s="18" t="s">
        <v>410</v>
      </c>
    </row>
    <row r="87" spans="1:31">
      <c r="A87" s="8" t="s">
        <v>36</v>
      </c>
      <c r="B87" s="8" t="s">
        <v>37</v>
      </c>
      <c r="C87" s="8" t="s">
        <v>194</v>
      </c>
      <c r="D87" s="9" t="s">
        <v>211</v>
      </c>
      <c r="E87" s="8" t="s">
        <v>212</v>
      </c>
      <c r="F87" s="8">
        <v>253.52</v>
      </c>
      <c r="G87" s="8">
        <v>82</v>
      </c>
      <c r="H87" s="8">
        <v>428</v>
      </c>
      <c r="I87" s="8">
        <v>218</v>
      </c>
      <c r="J87" s="8">
        <v>210</v>
      </c>
      <c r="K87" s="8">
        <v>0</v>
      </c>
      <c r="L87" s="10">
        <f t="shared" si="2"/>
        <v>0</v>
      </c>
      <c r="M87" s="8">
        <v>382</v>
      </c>
      <c r="N87" s="10">
        <f t="shared" si="3"/>
        <v>89.252336448598129</v>
      </c>
      <c r="O87" s="8">
        <v>0</v>
      </c>
      <c r="P87" s="8">
        <v>9.8000000000000007</v>
      </c>
      <c r="Q87" s="18" t="s">
        <v>409</v>
      </c>
      <c r="R87" s="28">
        <v>45636</v>
      </c>
      <c r="S87" s="39"/>
      <c r="T87" s="18">
        <v>0</v>
      </c>
      <c r="U87" s="39"/>
      <c r="V87" s="39"/>
      <c r="W87" s="39"/>
      <c r="X87" s="39"/>
      <c r="Y87" s="39"/>
      <c r="Z87" s="39"/>
      <c r="AA87" s="39" t="s">
        <v>1949</v>
      </c>
      <c r="AB87" s="18"/>
      <c r="AC87" s="39"/>
      <c r="AD87" s="18" t="s">
        <v>410</v>
      </c>
      <c r="AE87" s="18" t="s">
        <v>410</v>
      </c>
    </row>
    <row r="88" spans="1:31">
      <c r="A88" s="8" t="s">
        <v>36</v>
      </c>
      <c r="B88" s="8" t="s">
        <v>37</v>
      </c>
      <c r="C88" s="8" t="s">
        <v>213</v>
      </c>
      <c r="D88" s="9" t="s">
        <v>214</v>
      </c>
      <c r="E88" s="8" t="s">
        <v>215</v>
      </c>
      <c r="F88" s="8">
        <v>550.37</v>
      </c>
      <c r="G88" s="8">
        <v>357</v>
      </c>
      <c r="H88" s="8">
        <v>2019</v>
      </c>
      <c r="I88" s="8">
        <v>1028</v>
      </c>
      <c r="J88" s="8">
        <v>991</v>
      </c>
      <c r="K88" s="8">
        <v>699</v>
      </c>
      <c r="L88" s="10">
        <f t="shared" si="2"/>
        <v>34.621099554234767</v>
      </c>
      <c r="M88" s="8">
        <v>340</v>
      </c>
      <c r="N88" s="10">
        <f t="shared" si="3"/>
        <v>16.840019811788014</v>
      </c>
      <c r="O88" s="8">
        <v>0</v>
      </c>
      <c r="P88" s="8">
        <v>0</v>
      </c>
      <c r="Q88" s="13" t="s">
        <v>408</v>
      </c>
      <c r="R88" s="13" t="s">
        <v>415</v>
      </c>
      <c r="S88" s="39"/>
      <c r="T88" s="12">
        <v>0</v>
      </c>
      <c r="U88" s="39"/>
      <c r="V88" s="39"/>
      <c r="W88" s="39"/>
      <c r="X88" s="39"/>
      <c r="Y88" s="39"/>
      <c r="Z88" s="39"/>
      <c r="AA88" s="39" t="s">
        <v>1949</v>
      </c>
      <c r="AB88" s="12"/>
      <c r="AC88" s="39"/>
      <c r="AD88" s="13" t="s">
        <v>410</v>
      </c>
      <c r="AE88" s="13" t="s">
        <v>410</v>
      </c>
    </row>
    <row r="89" spans="1:31">
      <c r="A89" s="8" t="s">
        <v>36</v>
      </c>
      <c r="B89" s="8" t="s">
        <v>37</v>
      </c>
      <c r="C89" s="8" t="s">
        <v>213</v>
      </c>
      <c r="D89" s="9" t="s">
        <v>216</v>
      </c>
      <c r="E89" s="8" t="s">
        <v>217</v>
      </c>
      <c r="F89" s="8">
        <v>241.25</v>
      </c>
      <c r="G89" s="8">
        <v>103</v>
      </c>
      <c r="H89" s="8">
        <v>531</v>
      </c>
      <c r="I89" s="8">
        <v>270</v>
      </c>
      <c r="J89" s="8">
        <v>261</v>
      </c>
      <c r="K89" s="8">
        <v>113</v>
      </c>
      <c r="L89" s="10">
        <f t="shared" si="2"/>
        <v>21.280602636534841</v>
      </c>
      <c r="M89" s="8">
        <v>289</v>
      </c>
      <c r="N89" s="10">
        <f t="shared" si="3"/>
        <v>54.425612052730699</v>
      </c>
      <c r="O89" s="8">
        <v>0</v>
      </c>
      <c r="P89" s="8">
        <v>0</v>
      </c>
      <c r="Q89" s="13" t="s">
        <v>408</v>
      </c>
      <c r="R89" s="13" t="s">
        <v>415</v>
      </c>
      <c r="S89" s="39"/>
      <c r="T89" s="12">
        <v>0</v>
      </c>
      <c r="U89" s="39"/>
      <c r="V89" s="39"/>
      <c r="W89" s="39"/>
      <c r="X89" s="39"/>
      <c r="Y89" s="39"/>
      <c r="Z89" s="39"/>
      <c r="AA89" s="39" t="s">
        <v>1949</v>
      </c>
      <c r="AB89" s="12"/>
      <c r="AC89" s="39"/>
      <c r="AD89" s="13" t="s">
        <v>410</v>
      </c>
      <c r="AE89" s="13" t="s">
        <v>410</v>
      </c>
    </row>
    <row r="90" spans="1:31">
      <c r="A90" s="8" t="s">
        <v>36</v>
      </c>
      <c r="B90" s="8" t="s">
        <v>37</v>
      </c>
      <c r="C90" s="8" t="s">
        <v>213</v>
      </c>
      <c r="D90" s="9" t="s">
        <v>218</v>
      </c>
      <c r="E90" s="8" t="s">
        <v>219</v>
      </c>
      <c r="F90" s="8">
        <v>356.39</v>
      </c>
      <c r="G90" s="8">
        <v>72</v>
      </c>
      <c r="H90" s="8">
        <v>371</v>
      </c>
      <c r="I90" s="8">
        <v>201</v>
      </c>
      <c r="J90" s="8">
        <v>170</v>
      </c>
      <c r="K90" s="8">
        <v>43</v>
      </c>
      <c r="L90" s="10">
        <f t="shared" si="2"/>
        <v>11.590296495956872</v>
      </c>
      <c r="M90" s="8">
        <v>125</v>
      </c>
      <c r="N90" s="10">
        <f t="shared" si="3"/>
        <v>33.692722371967655</v>
      </c>
      <c r="O90" s="8">
        <v>0</v>
      </c>
      <c r="P90" s="8">
        <v>0</v>
      </c>
      <c r="Q90" s="13" t="s">
        <v>408</v>
      </c>
      <c r="R90" s="13" t="s">
        <v>415</v>
      </c>
      <c r="S90" s="39"/>
      <c r="T90" s="12">
        <v>0</v>
      </c>
      <c r="U90" s="39"/>
      <c r="V90" s="39"/>
      <c r="W90" s="39"/>
      <c r="X90" s="39"/>
      <c r="Y90" s="39"/>
      <c r="Z90" s="39"/>
      <c r="AA90" s="39" t="s">
        <v>1949</v>
      </c>
      <c r="AB90" s="12"/>
      <c r="AC90" s="39"/>
      <c r="AD90" s="13" t="s">
        <v>410</v>
      </c>
      <c r="AE90" s="13" t="s">
        <v>410</v>
      </c>
    </row>
    <row r="91" spans="1:31">
      <c r="A91" s="8" t="s">
        <v>36</v>
      </c>
      <c r="B91" s="8" t="s">
        <v>37</v>
      </c>
      <c r="C91" s="8" t="s">
        <v>213</v>
      </c>
      <c r="D91" s="9" t="s">
        <v>220</v>
      </c>
      <c r="E91" s="8" t="s">
        <v>221</v>
      </c>
      <c r="F91" s="8">
        <v>298.29000000000002</v>
      </c>
      <c r="G91" s="8">
        <v>33</v>
      </c>
      <c r="H91" s="8">
        <v>165</v>
      </c>
      <c r="I91" s="8">
        <v>91</v>
      </c>
      <c r="J91" s="8">
        <v>74</v>
      </c>
      <c r="K91" s="8">
        <v>0</v>
      </c>
      <c r="L91" s="10">
        <f t="shared" si="2"/>
        <v>0</v>
      </c>
      <c r="M91" s="8">
        <v>130</v>
      </c>
      <c r="N91" s="10">
        <f t="shared" si="3"/>
        <v>78.787878787878782</v>
      </c>
      <c r="O91" s="8">
        <v>0</v>
      </c>
      <c r="P91" s="8">
        <v>0</v>
      </c>
      <c r="Q91" s="13" t="s">
        <v>408</v>
      </c>
      <c r="R91" s="13" t="s">
        <v>415</v>
      </c>
      <c r="S91" s="39"/>
      <c r="T91" s="12">
        <v>0</v>
      </c>
      <c r="U91" s="39"/>
      <c r="V91" s="39"/>
      <c r="W91" s="39"/>
      <c r="X91" s="39"/>
      <c r="Y91" s="39"/>
      <c r="Z91" s="39"/>
      <c r="AA91" s="39" t="s">
        <v>1949</v>
      </c>
      <c r="AB91" s="12"/>
      <c r="AC91" s="39"/>
      <c r="AD91" s="13" t="s">
        <v>410</v>
      </c>
      <c r="AE91" s="13" t="s">
        <v>410</v>
      </c>
    </row>
    <row r="92" spans="1:31">
      <c r="A92" s="8" t="s">
        <v>36</v>
      </c>
      <c r="B92" s="8" t="s">
        <v>37</v>
      </c>
      <c r="C92" s="8" t="s">
        <v>213</v>
      </c>
      <c r="D92" s="9" t="s">
        <v>222</v>
      </c>
      <c r="E92" s="8" t="s">
        <v>223</v>
      </c>
      <c r="F92" s="8">
        <v>315.89</v>
      </c>
      <c r="G92" s="8">
        <v>74</v>
      </c>
      <c r="H92" s="8">
        <v>358</v>
      </c>
      <c r="I92" s="8">
        <v>204</v>
      </c>
      <c r="J92" s="8">
        <v>154</v>
      </c>
      <c r="K92" s="8">
        <v>49</v>
      </c>
      <c r="L92" s="10">
        <f t="shared" si="2"/>
        <v>13.687150837988826</v>
      </c>
      <c r="M92" s="8">
        <v>27</v>
      </c>
      <c r="N92" s="10">
        <f t="shared" si="3"/>
        <v>7.5418994413407825</v>
      </c>
      <c r="O92" s="8">
        <v>0</v>
      </c>
      <c r="P92" s="8">
        <v>0</v>
      </c>
      <c r="Q92" s="13" t="s">
        <v>408</v>
      </c>
      <c r="R92" s="13" t="s">
        <v>415</v>
      </c>
      <c r="S92" s="39"/>
      <c r="T92" s="12">
        <v>0</v>
      </c>
      <c r="U92" s="39"/>
      <c r="V92" s="39"/>
      <c r="W92" s="39"/>
      <c r="X92" s="39"/>
      <c r="Y92" s="39"/>
      <c r="Z92" s="39"/>
      <c r="AA92" s="39" t="s">
        <v>1949</v>
      </c>
      <c r="AB92" s="12"/>
      <c r="AC92" s="39"/>
      <c r="AD92" s="13" t="s">
        <v>410</v>
      </c>
      <c r="AE92" s="13" t="s">
        <v>410</v>
      </c>
    </row>
    <row r="93" spans="1:31">
      <c r="A93" s="8" t="s">
        <v>36</v>
      </c>
      <c r="B93" s="8" t="s">
        <v>37</v>
      </c>
      <c r="C93" s="8" t="s">
        <v>224</v>
      </c>
      <c r="D93" s="9" t="s">
        <v>225</v>
      </c>
      <c r="E93" s="8" t="s">
        <v>226</v>
      </c>
      <c r="F93" s="8">
        <v>873.96</v>
      </c>
      <c r="G93" s="8">
        <v>242</v>
      </c>
      <c r="H93" s="8">
        <v>1169</v>
      </c>
      <c r="I93" s="8">
        <v>578</v>
      </c>
      <c r="J93" s="8">
        <v>591</v>
      </c>
      <c r="K93" s="8">
        <v>204</v>
      </c>
      <c r="L93" s="10">
        <f t="shared" si="2"/>
        <v>17.450812660393499</v>
      </c>
      <c r="M93" s="8">
        <v>323</v>
      </c>
      <c r="N93" s="10">
        <f t="shared" si="3"/>
        <v>27.630453378956371</v>
      </c>
      <c r="O93" s="8">
        <v>0</v>
      </c>
      <c r="P93" s="8">
        <v>56.68</v>
      </c>
      <c r="Q93" s="23" t="s">
        <v>409</v>
      </c>
      <c r="R93" s="24">
        <v>45884</v>
      </c>
      <c r="S93" s="39"/>
      <c r="T93" s="18">
        <v>0</v>
      </c>
      <c r="U93" s="39"/>
      <c r="V93" s="39"/>
      <c r="W93" s="39"/>
      <c r="X93" s="39"/>
      <c r="Y93" s="39"/>
      <c r="Z93" s="39"/>
      <c r="AA93" s="39" t="s">
        <v>408</v>
      </c>
      <c r="AB93" s="18">
        <v>9</v>
      </c>
      <c r="AC93" s="39"/>
      <c r="AD93" s="26">
        <v>25.641186999999999</v>
      </c>
      <c r="AE93" s="26">
        <v>76.34675</v>
      </c>
    </row>
    <row r="94" spans="1:31">
      <c r="A94" s="8" t="s">
        <v>36</v>
      </c>
      <c r="B94" s="8" t="s">
        <v>37</v>
      </c>
      <c r="C94" s="8" t="s">
        <v>224</v>
      </c>
      <c r="D94" s="9" t="s">
        <v>227</v>
      </c>
      <c r="E94" s="8" t="s">
        <v>228</v>
      </c>
      <c r="F94" s="8">
        <v>951.42</v>
      </c>
      <c r="G94" s="8">
        <v>314</v>
      </c>
      <c r="H94" s="8">
        <v>1482</v>
      </c>
      <c r="I94" s="8">
        <v>750</v>
      </c>
      <c r="J94" s="8">
        <v>732</v>
      </c>
      <c r="K94" s="8">
        <v>221</v>
      </c>
      <c r="L94" s="10">
        <f t="shared" si="2"/>
        <v>14.912280701754385</v>
      </c>
      <c r="M94" s="8">
        <v>315</v>
      </c>
      <c r="N94" s="10">
        <f t="shared" si="3"/>
        <v>21.25506072874494</v>
      </c>
      <c r="O94" s="8">
        <v>0</v>
      </c>
      <c r="P94" s="8">
        <v>199.66</v>
      </c>
      <c r="Q94" s="23" t="s">
        <v>409</v>
      </c>
      <c r="R94" s="24">
        <v>45884</v>
      </c>
      <c r="S94" s="39"/>
      <c r="T94" s="18">
        <v>0</v>
      </c>
      <c r="U94" s="39"/>
      <c r="V94" s="39"/>
      <c r="W94" s="39"/>
      <c r="X94" s="39"/>
      <c r="Y94" s="39"/>
      <c r="Z94" s="39"/>
      <c r="AA94" s="39" t="s">
        <v>408</v>
      </c>
      <c r="AB94" s="18">
        <v>6</v>
      </c>
      <c r="AC94" s="39"/>
      <c r="AD94" s="26">
        <v>25.631046000000001</v>
      </c>
      <c r="AE94" s="26">
        <v>76.349304000000004</v>
      </c>
    </row>
    <row r="95" spans="1:31">
      <c r="A95" s="8" t="s">
        <v>36</v>
      </c>
      <c r="B95" s="8" t="s">
        <v>37</v>
      </c>
      <c r="C95" s="8" t="s">
        <v>224</v>
      </c>
      <c r="D95" s="9" t="s">
        <v>229</v>
      </c>
      <c r="E95" s="8" t="s">
        <v>230</v>
      </c>
      <c r="F95" s="8">
        <v>106.91</v>
      </c>
      <c r="G95" s="8">
        <v>50</v>
      </c>
      <c r="H95" s="8">
        <v>220</v>
      </c>
      <c r="I95" s="8">
        <v>100</v>
      </c>
      <c r="J95" s="8">
        <v>120</v>
      </c>
      <c r="K95" s="8">
        <v>71</v>
      </c>
      <c r="L95" s="10">
        <f t="shared" si="2"/>
        <v>32.272727272727273</v>
      </c>
      <c r="M95" s="8">
        <v>149</v>
      </c>
      <c r="N95" s="10">
        <f t="shared" si="3"/>
        <v>67.72727272727272</v>
      </c>
      <c r="O95" s="8">
        <v>0</v>
      </c>
      <c r="P95" s="8">
        <v>48.19</v>
      </c>
      <c r="Q95" s="10"/>
      <c r="R95" s="10"/>
      <c r="S95" s="39"/>
      <c r="T95" s="10"/>
      <c r="U95" s="39"/>
      <c r="V95" s="39"/>
      <c r="W95" s="39"/>
      <c r="X95" s="39"/>
      <c r="Y95" s="39"/>
      <c r="Z95" s="39"/>
      <c r="AA95" s="39" t="s">
        <v>1949</v>
      </c>
      <c r="AB95" s="10"/>
      <c r="AC95" s="39"/>
      <c r="AD95" s="10"/>
      <c r="AE95" s="10"/>
    </row>
    <row r="96" spans="1:31">
      <c r="A96" s="8" t="s">
        <v>36</v>
      </c>
      <c r="B96" s="8" t="s">
        <v>37</v>
      </c>
      <c r="C96" s="8" t="s">
        <v>231</v>
      </c>
      <c r="D96" s="9" t="s">
        <v>232</v>
      </c>
      <c r="E96" s="8" t="s">
        <v>233</v>
      </c>
      <c r="F96" s="8">
        <v>1291.1099999999999</v>
      </c>
      <c r="G96" s="8">
        <v>727</v>
      </c>
      <c r="H96" s="8">
        <v>3399</v>
      </c>
      <c r="I96" s="8">
        <v>1772</v>
      </c>
      <c r="J96" s="8">
        <v>1627</v>
      </c>
      <c r="K96" s="8">
        <v>820</v>
      </c>
      <c r="L96" s="10">
        <f t="shared" si="2"/>
        <v>24.124742571344512</v>
      </c>
      <c r="M96" s="8">
        <v>16</v>
      </c>
      <c r="N96" s="10">
        <f t="shared" si="3"/>
        <v>0.47072668431891729</v>
      </c>
      <c r="O96" s="8">
        <v>0</v>
      </c>
      <c r="P96" s="8">
        <v>0</v>
      </c>
      <c r="Q96" s="13" t="s">
        <v>408</v>
      </c>
      <c r="R96" s="13" t="s">
        <v>416</v>
      </c>
      <c r="S96" s="39"/>
      <c r="T96" s="12">
        <v>13.21</v>
      </c>
      <c r="U96" s="39"/>
      <c r="V96" s="39"/>
      <c r="W96" s="39"/>
      <c r="X96" s="39"/>
      <c r="Y96" s="39"/>
      <c r="Z96" s="39"/>
      <c r="AA96" s="39" t="s">
        <v>408</v>
      </c>
      <c r="AB96" s="13">
        <v>10</v>
      </c>
      <c r="AC96" s="39"/>
      <c r="AD96" s="29">
        <v>25.572787000000002</v>
      </c>
      <c r="AE96" s="13">
        <v>76.435615999999996</v>
      </c>
    </row>
    <row r="97" spans="1:31">
      <c r="A97" s="8" t="s">
        <v>36</v>
      </c>
      <c r="B97" s="8" t="s">
        <v>37</v>
      </c>
      <c r="C97" s="8" t="s">
        <v>231</v>
      </c>
      <c r="D97" s="9" t="s">
        <v>234</v>
      </c>
      <c r="E97" s="8" t="s">
        <v>235</v>
      </c>
      <c r="F97" s="8">
        <v>242.93</v>
      </c>
      <c r="G97" s="8">
        <v>148</v>
      </c>
      <c r="H97" s="8">
        <v>727</v>
      </c>
      <c r="I97" s="8">
        <v>371</v>
      </c>
      <c r="J97" s="8">
        <v>356</v>
      </c>
      <c r="K97" s="8">
        <v>412</v>
      </c>
      <c r="L97" s="10">
        <f t="shared" si="2"/>
        <v>56.671251719394775</v>
      </c>
      <c r="M97" s="8">
        <v>265</v>
      </c>
      <c r="N97" s="10">
        <f t="shared" si="3"/>
        <v>36.451169188445661</v>
      </c>
      <c r="O97" s="8">
        <v>0</v>
      </c>
      <c r="P97" s="8">
        <v>0</v>
      </c>
      <c r="Q97" s="13" t="s">
        <v>408</v>
      </c>
      <c r="R97" s="13" t="s">
        <v>416</v>
      </c>
      <c r="S97" s="39"/>
      <c r="T97" s="12">
        <v>0</v>
      </c>
      <c r="U97" s="39"/>
      <c r="V97" s="39"/>
      <c r="W97" s="39"/>
      <c r="X97" s="39"/>
      <c r="Y97" s="39"/>
      <c r="Z97" s="39"/>
      <c r="AA97" s="39" t="s">
        <v>1949</v>
      </c>
      <c r="AB97" s="12"/>
      <c r="AC97" s="39"/>
      <c r="AD97" s="13" t="s">
        <v>410</v>
      </c>
      <c r="AE97" s="13" t="s">
        <v>410</v>
      </c>
    </row>
    <row r="98" spans="1:31">
      <c r="A98" s="8" t="s">
        <v>36</v>
      </c>
      <c r="B98" s="8" t="s">
        <v>37</v>
      </c>
      <c r="C98" s="8" t="s">
        <v>231</v>
      </c>
      <c r="D98" s="9" t="s">
        <v>236</v>
      </c>
      <c r="E98" s="8" t="s">
        <v>237</v>
      </c>
      <c r="F98" s="8">
        <v>646.53</v>
      </c>
      <c r="G98" s="8">
        <v>132</v>
      </c>
      <c r="H98" s="8">
        <v>741</v>
      </c>
      <c r="I98" s="8">
        <v>386</v>
      </c>
      <c r="J98" s="8">
        <v>355</v>
      </c>
      <c r="K98" s="8">
        <v>84</v>
      </c>
      <c r="L98" s="10">
        <f t="shared" si="2"/>
        <v>11.336032388663968</v>
      </c>
      <c r="M98" s="8">
        <v>0</v>
      </c>
      <c r="N98" s="10">
        <f t="shared" si="3"/>
        <v>0</v>
      </c>
      <c r="O98" s="8">
        <v>0</v>
      </c>
      <c r="P98" s="8">
        <v>0</v>
      </c>
      <c r="Q98" s="13" t="s">
        <v>408</v>
      </c>
      <c r="R98" s="13" t="s">
        <v>416</v>
      </c>
      <c r="S98" s="39"/>
      <c r="T98" s="12">
        <v>0</v>
      </c>
      <c r="U98" s="39"/>
      <c r="V98" s="39"/>
      <c r="W98" s="39"/>
      <c r="X98" s="39"/>
      <c r="Y98" s="39"/>
      <c r="Z98" s="39"/>
      <c r="AA98" s="39" t="s">
        <v>1949</v>
      </c>
      <c r="AB98" s="12"/>
      <c r="AC98" s="39"/>
      <c r="AD98" s="13" t="s">
        <v>410</v>
      </c>
      <c r="AE98" s="13" t="s">
        <v>410</v>
      </c>
    </row>
    <row r="99" spans="1:31">
      <c r="A99" s="8" t="s">
        <v>36</v>
      </c>
      <c r="B99" s="8" t="s">
        <v>37</v>
      </c>
      <c r="C99" s="8" t="s">
        <v>231</v>
      </c>
      <c r="D99" s="9" t="s">
        <v>238</v>
      </c>
      <c r="E99" s="8" t="s">
        <v>239</v>
      </c>
      <c r="F99" s="8">
        <v>321.27999999999997</v>
      </c>
      <c r="G99" s="8">
        <v>134</v>
      </c>
      <c r="H99" s="8">
        <v>613</v>
      </c>
      <c r="I99" s="8">
        <v>325</v>
      </c>
      <c r="J99" s="8">
        <v>288</v>
      </c>
      <c r="K99" s="8">
        <v>84</v>
      </c>
      <c r="L99" s="10">
        <f t="shared" si="2"/>
        <v>13.70309951060359</v>
      </c>
      <c r="M99" s="8">
        <v>42</v>
      </c>
      <c r="N99" s="10">
        <f t="shared" si="3"/>
        <v>6.8515497553017948</v>
      </c>
      <c r="O99" s="8">
        <v>0</v>
      </c>
      <c r="P99" s="8">
        <v>60.76</v>
      </c>
      <c r="Q99" s="13" t="s">
        <v>408</v>
      </c>
      <c r="R99" s="13" t="s">
        <v>416</v>
      </c>
      <c r="S99" s="39"/>
      <c r="T99" s="12">
        <v>0</v>
      </c>
      <c r="U99" s="39"/>
      <c r="V99" s="39"/>
      <c r="W99" s="39"/>
      <c r="X99" s="39"/>
      <c r="Y99" s="39"/>
      <c r="Z99" s="39"/>
      <c r="AA99" s="39" t="s">
        <v>1949</v>
      </c>
      <c r="AB99" s="12"/>
      <c r="AC99" s="39"/>
      <c r="AD99" s="13" t="s">
        <v>410</v>
      </c>
      <c r="AE99" s="13" t="s">
        <v>410</v>
      </c>
    </row>
    <row r="100" spans="1:31">
      <c r="A100" s="8" t="s">
        <v>36</v>
      </c>
      <c r="B100" s="8" t="s">
        <v>37</v>
      </c>
      <c r="C100" s="8" t="s">
        <v>240</v>
      </c>
      <c r="D100" s="9" t="s">
        <v>241</v>
      </c>
      <c r="E100" s="8" t="s">
        <v>242</v>
      </c>
      <c r="F100" s="8">
        <v>712.09</v>
      </c>
      <c r="G100" s="8">
        <v>152</v>
      </c>
      <c r="H100" s="8">
        <v>862</v>
      </c>
      <c r="I100" s="8">
        <v>461</v>
      </c>
      <c r="J100" s="8">
        <v>401</v>
      </c>
      <c r="K100" s="8">
        <v>104</v>
      </c>
      <c r="L100" s="10">
        <f t="shared" si="2"/>
        <v>12.064965197215777</v>
      </c>
      <c r="M100" s="8">
        <v>42</v>
      </c>
      <c r="N100" s="10">
        <f t="shared" si="3"/>
        <v>4.8723897911832941</v>
      </c>
      <c r="O100" s="8">
        <v>0</v>
      </c>
      <c r="P100" s="8">
        <v>141.05000000000001</v>
      </c>
      <c r="Q100" s="18" t="s">
        <v>409</v>
      </c>
      <c r="R100" s="18" t="s">
        <v>417</v>
      </c>
      <c r="S100" s="39"/>
      <c r="T100" s="18">
        <v>0</v>
      </c>
      <c r="U100" s="39"/>
      <c r="V100" s="39"/>
      <c r="W100" s="39"/>
      <c r="X100" s="39"/>
      <c r="Y100" s="39"/>
      <c r="Z100" s="39"/>
      <c r="AA100" s="39" t="s">
        <v>1949</v>
      </c>
      <c r="AB100" s="18"/>
      <c r="AC100" s="39"/>
      <c r="AD100" s="18" t="s">
        <v>410</v>
      </c>
      <c r="AE100" s="18" t="s">
        <v>410</v>
      </c>
    </row>
    <row r="101" spans="1:31">
      <c r="A101" s="8" t="s">
        <v>36</v>
      </c>
      <c r="B101" s="8" t="s">
        <v>37</v>
      </c>
      <c r="C101" s="8" t="s">
        <v>240</v>
      </c>
      <c r="D101" s="9" t="s">
        <v>243</v>
      </c>
      <c r="E101" s="8" t="s">
        <v>244</v>
      </c>
      <c r="F101" s="8">
        <v>670.68</v>
      </c>
      <c r="G101" s="8">
        <v>67</v>
      </c>
      <c r="H101" s="8">
        <v>327</v>
      </c>
      <c r="I101" s="8">
        <v>184</v>
      </c>
      <c r="J101" s="8">
        <v>143</v>
      </c>
      <c r="K101" s="8">
        <v>64</v>
      </c>
      <c r="L101" s="10">
        <f t="shared" si="2"/>
        <v>19.571865443425075</v>
      </c>
      <c r="M101" s="8">
        <v>0</v>
      </c>
      <c r="N101" s="10">
        <f t="shared" si="3"/>
        <v>0</v>
      </c>
      <c r="O101" s="8">
        <v>0</v>
      </c>
      <c r="P101" s="8">
        <v>50.48</v>
      </c>
      <c r="Q101" s="18" t="s">
        <v>409</v>
      </c>
      <c r="R101" s="18" t="s">
        <v>417</v>
      </c>
      <c r="S101" s="39"/>
      <c r="T101" s="18">
        <v>0</v>
      </c>
      <c r="U101" s="39"/>
      <c r="V101" s="39"/>
      <c r="W101" s="39"/>
      <c r="X101" s="39"/>
      <c r="Y101" s="39"/>
      <c r="Z101" s="39"/>
      <c r="AA101" s="39" t="s">
        <v>1949</v>
      </c>
      <c r="AB101" s="18"/>
      <c r="AC101" s="39"/>
      <c r="AD101" s="18" t="s">
        <v>410</v>
      </c>
      <c r="AE101" s="18" t="s">
        <v>410</v>
      </c>
    </row>
    <row r="102" spans="1:31">
      <c r="A102" s="8" t="s">
        <v>36</v>
      </c>
      <c r="B102" s="8" t="s">
        <v>37</v>
      </c>
      <c r="C102" s="8" t="s">
        <v>240</v>
      </c>
      <c r="D102" s="9" t="s">
        <v>245</v>
      </c>
      <c r="E102" s="8" t="s">
        <v>246</v>
      </c>
      <c r="F102" s="8">
        <v>780.35</v>
      </c>
      <c r="G102" s="8">
        <v>191</v>
      </c>
      <c r="H102" s="8">
        <v>898</v>
      </c>
      <c r="I102" s="8">
        <v>476</v>
      </c>
      <c r="J102" s="8">
        <v>422</v>
      </c>
      <c r="K102" s="8">
        <v>466</v>
      </c>
      <c r="L102" s="10">
        <f t="shared" si="2"/>
        <v>51.893095768374167</v>
      </c>
      <c r="M102" s="8">
        <v>1</v>
      </c>
      <c r="N102" s="10">
        <f t="shared" si="3"/>
        <v>0.11135857461024498</v>
      </c>
      <c r="O102" s="8">
        <v>0</v>
      </c>
      <c r="P102" s="8">
        <v>0</v>
      </c>
      <c r="Q102" s="18" t="s">
        <v>409</v>
      </c>
      <c r="R102" s="18" t="s">
        <v>417</v>
      </c>
      <c r="S102" s="39"/>
      <c r="T102" s="18">
        <v>0</v>
      </c>
      <c r="U102" s="39"/>
      <c r="V102" s="39"/>
      <c r="W102" s="39"/>
      <c r="X102" s="39"/>
      <c r="Y102" s="39"/>
      <c r="Z102" s="39"/>
      <c r="AA102" s="39" t="s">
        <v>1949</v>
      </c>
      <c r="AB102" s="18"/>
      <c r="AC102" s="39"/>
      <c r="AD102" s="18" t="s">
        <v>410</v>
      </c>
      <c r="AE102" s="18" t="s">
        <v>410</v>
      </c>
    </row>
    <row r="103" spans="1:31">
      <c r="A103" s="8" t="s">
        <v>36</v>
      </c>
      <c r="B103" s="8" t="s">
        <v>37</v>
      </c>
      <c r="C103" s="8" t="s">
        <v>240</v>
      </c>
      <c r="D103" s="9" t="s">
        <v>247</v>
      </c>
      <c r="E103" s="8" t="s">
        <v>248</v>
      </c>
      <c r="F103" s="8">
        <v>496.96</v>
      </c>
      <c r="G103" s="8">
        <v>97</v>
      </c>
      <c r="H103" s="8">
        <v>546</v>
      </c>
      <c r="I103" s="8">
        <v>294</v>
      </c>
      <c r="J103" s="8">
        <v>252</v>
      </c>
      <c r="K103" s="8">
        <v>72</v>
      </c>
      <c r="L103" s="10">
        <f t="shared" si="2"/>
        <v>13.186813186813188</v>
      </c>
      <c r="M103" s="8">
        <v>0</v>
      </c>
      <c r="N103" s="10">
        <f t="shared" si="3"/>
        <v>0</v>
      </c>
      <c r="O103" s="8">
        <v>0</v>
      </c>
      <c r="P103" s="8">
        <v>124.9</v>
      </c>
      <c r="Q103" s="18" t="s">
        <v>409</v>
      </c>
      <c r="R103" s="18" t="s">
        <v>417</v>
      </c>
      <c r="S103" s="39"/>
      <c r="T103" s="18">
        <v>0</v>
      </c>
      <c r="U103" s="39"/>
      <c r="V103" s="39"/>
      <c r="W103" s="39"/>
      <c r="X103" s="39"/>
      <c r="Y103" s="39"/>
      <c r="Z103" s="39"/>
      <c r="AA103" s="39" t="s">
        <v>1949</v>
      </c>
      <c r="AB103" s="18"/>
      <c r="AC103" s="39"/>
      <c r="AD103" s="18" t="s">
        <v>410</v>
      </c>
      <c r="AE103" s="18" t="s">
        <v>410</v>
      </c>
    </row>
    <row r="104" spans="1:31">
      <c r="A104" s="8" t="s">
        <v>36</v>
      </c>
      <c r="B104" s="8" t="s">
        <v>37</v>
      </c>
      <c r="C104" s="8" t="s">
        <v>240</v>
      </c>
      <c r="D104" s="9" t="s">
        <v>249</v>
      </c>
      <c r="E104" s="8" t="s">
        <v>250</v>
      </c>
      <c r="F104" s="8">
        <v>394.39</v>
      </c>
      <c r="G104" s="8">
        <v>75</v>
      </c>
      <c r="H104" s="8">
        <v>368</v>
      </c>
      <c r="I104" s="8">
        <v>205</v>
      </c>
      <c r="J104" s="8">
        <v>163</v>
      </c>
      <c r="K104" s="8">
        <v>0</v>
      </c>
      <c r="L104" s="10">
        <f t="shared" si="2"/>
        <v>0</v>
      </c>
      <c r="M104" s="8">
        <v>302</v>
      </c>
      <c r="N104" s="10">
        <f t="shared" si="3"/>
        <v>82.065217391304344</v>
      </c>
      <c r="O104" s="8">
        <v>0</v>
      </c>
      <c r="P104" s="8">
        <v>47.24</v>
      </c>
      <c r="Q104" s="10"/>
      <c r="R104" s="10"/>
      <c r="S104" s="39"/>
      <c r="T104" s="10"/>
      <c r="U104" s="39"/>
      <c r="V104" s="39"/>
      <c r="W104" s="39"/>
      <c r="X104" s="39"/>
      <c r="Y104" s="39"/>
      <c r="Z104" s="39"/>
      <c r="AA104" s="39" t="s">
        <v>1949</v>
      </c>
      <c r="AB104" s="10"/>
      <c r="AC104" s="39"/>
      <c r="AD104" s="10"/>
      <c r="AE104" s="10"/>
    </row>
    <row r="105" spans="1:31">
      <c r="A105" s="8" t="s">
        <v>36</v>
      </c>
      <c r="B105" s="8" t="s">
        <v>37</v>
      </c>
      <c r="C105" s="8" t="s">
        <v>240</v>
      </c>
      <c r="D105" s="9" t="s">
        <v>251</v>
      </c>
      <c r="E105" s="8" t="s">
        <v>252</v>
      </c>
      <c r="F105" s="8">
        <v>284.23</v>
      </c>
      <c r="G105" s="8">
        <v>72</v>
      </c>
      <c r="H105" s="8">
        <v>393</v>
      </c>
      <c r="I105" s="8">
        <v>208</v>
      </c>
      <c r="J105" s="8">
        <v>185</v>
      </c>
      <c r="K105" s="8">
        <v>5</v>
      </c>
      <c r="L105" s="10">
        <f t="shared" si="2"/>
        <v>1.2722646310432568</v>
      </c>
      <c r="M105" s="8">
        <v>0</v>
      </c>
      <c r="N105" s="10">
        <f t="shared" si="3"/>
        <v>0</v>
      </c>
      <c r="O105" s="8">
        <v>0</v>
      </c>
      <c r="P105" s="8">
        <v>0</v>
      </c>
      <c r="Q105" s="18" t="s">
        <v>409</v>
      </c>
      <c r="R105" s="18" t="s">
        <v>417</v>
      </c>
      <c r="S105" s="39"/>
      <c r="T105" s="18">
        <v>0</v>
      </c>
      <c r="U105" s="39"/>
      <c r="V105" s="39"/>
      <c r="W105" s="39"/>
      <c r="X105" s="39"/>
      <c r="Y105" s="39"/>
      <c r="Z105" s="39"/>
      <c r="AA105" s="39" t="s">
        <v>1949</v>
      </c>
      <c r="AB105" s="18"/>
      <c r="AC105" s="39"/>
      <c r="AD105" s="18" t="s">
        <v>410</v>
      </c>
      <c r="AE105" s="18" t="s">
        <v>410</v>
      </c>
    </row>
    <row r="106" spans="1:31">
      <c r="A106" s="8" t="s">
        <v>36</v>
      </c>
      <c r="B106" s="8" t="s">
        <v>37</v>
      </c>
      <c r="C106" s="8" t="s">
        <v>240</v>
      </c>
      <c r="D106" s="9" t="s">
        <v>253</v>
      </c>
      <c r="E106" s="8" t="s">
        <v>254</v>
      </c>
      <c r="F106" s="8">
        <v>234.82</v>
      </c>
      <c r="G106" s="8">
        <v>46</v>
      </c>
      <c r="H106" s="8">
        <v>203</v>
      </c>
      <c r="I106" s="8">
        <v>114</v>
      </c>
      <c r="J106" s="8">
        <v>89</v>
      </c>
      <c r="K106" s="8">
        <v>6</v>
      </c>
      <c r="L106" s="10">
        <f t="shared" si="2"/>
        <v>2.9556650246305418</v>
      </c>
      <c r="M106" s="8">
        <v>0</v>
      </c>
      <c r="N106" s="10">
        <f t="shared" si="3"/>
        <v>0</v>
      </c>
      <c r="O106" s="8">
        <v>0</v>
      </c>
      <c r="P106" s="8">
        <v>14.11</v>
      </c>
      <c r="Q106" s="18" t="s">
        <v>409</v>
      </c>
      <c r="R106" s="21">
        <v>45778</v>
      </c>
      <c r="S106" s="39"/>
      <c r="T106" s="18">
        <v>0</v>
      </c>
      <c r="U106" s="39"/>
      <c r="V106" s="39"/>
      <c r="W106" s="39"/>
      <c r="X106" s="39"/>
      <c r="Y106" s="39"/>
      <c r="Z106" s="39"/>
      <c r="AA106" s="39" t="s">
        <v>1949</v>
      </c>
      <c r="AB106" s="18"/>
      <c r="AC106" s="39"/>
      <c r="AD106" s="18" t="s">
        <v>410</v>
      </c>
      <c r="AE106" s="18" t="s">
        <v>410</v>
      </c>
    </row>
    <row r="107" spans="1:31">
      <c r="A107" s="8" t="s">
        <v>36</v>
      </c>
      <c r="B107" s="8" t="s">
        <v>37</v>
      </c>
      <c r="C107" s="8" t="s">
        <v>255</v>
      </c>
      <c r="D107" s="9" t="s">
        <v>256</v>
      </c>
      <c r="E107" s="8" t="s">
        <v>257</v>
      </c>
      <c r="F107" s="8">
        <v>1282.51</v>
      </c>
      <c r="G107" s="8">
        <v>2016</v>
      </c>
      <c r="H107" s="8">
        <v>10159</v>
      </c>
      <c r="I107" s="8">
        <v>5294</v>
      </c>
      <c r="J107" s="8">
        <v>4865</v>
      </c>
      <c r="K107" s="8">
        <v>2826</v>
      </c>
      <c r="L107" s="10">
        <f t="shared" si="2"/>
        <v>27.817698592381142</v>
      </c>
      <c r="M107" s="8">
        <v>240</v>
      </c>
      <c r="N107" s="10">
        <f t="shared" si="3"/>
        <v>2.3624372477606062</v>
      </c>
      <c r="O107" s="8">
        <v>0</v>
      </c>
      <c r="P107" s="8">
        <v>250.46</v>
      </c>
      <c r="Q107" s="25" t="s">
        <v>408</v>
      </c>
      <c r="R107" s="30">
        <v>45932</v>
      </c>
      <c r="S107" s="39"/>
      <c r="T107" s="18">
        <v>0</v>
      </c>
      <c r="U107" s="39"/>
      <c r="V107" s="39"/>
      <c r="W107" s="39"/>
      <c r="X107" s="39"/>
      <c r="Y107" s="39"/>
      <c r="Z107" s="39"/>
      <c r="AA107" s="39" t="s">
        <v>1949</v>
      </c>
      <c r="AB107" s="18"/>
      <c r="AC107" s="39"/>
      <c r="AD107" s="25" t="s">
        <v>410</v>
      </c>
      <c r="AE107" s="25" t="s">
        <v>410</v>
      </c>
    </row>
    <row r="108" spans="1:31">
      <c r="A108" s="8" t="s">
        <v>36</v>
      </c>
      <c r="B108" s="8" t="s">
        <v>37</v>
      </c>
      <c r="C108" s="8" t="s">
        <v>255</v>
      </c>
      <c r="D108" s="9" t="s">
        <v>258</v>
      </c>
      <c r="E108" s="8" t="s">
        <v>259</v>
      </c>
      <c r="F108" s="8">
        <v>175.07</v>
      </c>
      <c r="G108" s="8">
        <v>58</v>
      </c>
      <c r="H108" s="8">
        <v>277</v>
      </c>
      <c r="I108" s="8">
        <v>159</v>
      </c>
      <c r="J108" s="8">
        <v>118</v>
      </c>
      <c r="K108" s="8">
        <v>33</v>
      </c>
      <c r="L108" s="10">
        <f t="shared" si="2"/>
        <v>11.913357400722022</v>
      </c>
      <c r="M108" s="8">
        <v>231</v>
      </c>
      <c r="N108" s="10">
        <f t="shared" si="3"/>
        <v>83.393501805054143</v>
      </c>
      <c r="O108" s="8">
        <v>0</v>
      </c>
      <c r="P108" s="8">
        <v>68.62</v>
      </c>
      <c r="Q108" s="25" t="s">
        <v>408</v>
      </c>
      <c r="R108" s="30">
        <v>45932</v>
      </c>
      <c r="S108" s="39"/>
      <c r="T108" s="18">
        <v>0</v>
      </c>
      <c r="U108" s="39"/>
      <c r="V108" s="39"/>
      <c r="W108" s="39"/>
      <c r="X108" s="39"/>
      <c r="Y108" s="39"/>
      <c r="Z108" s="39"/>
      <c r="AA108" s="39" t="s">
        <v>1949</v>
      </c>
      <c r="AB108" s="18"/>
      <c r="AC108" s="39"/>
      <c r="AD108" s="25" t="s">
        <v>410</v>
      </c>
      <c r="AE108" s="25" t="s">
        <v>410</v>
      </c>
    </row>
    <row r="109" spans="1:31">
      <c r="A109" s="8" t="s">
        <v>36</v>
      </c>
      <c r="B109" s="8" t="s">
        <v>37</v>
      </c>
      <c r="C109" s="8" t="s">
        <v>255</v>
      </c>
      <c r="D109" s="9" t="s">
        <v>260</v>
      </c>
      <c r="E109" s="8" t="s">
        <v>261</v>
      </c>
      <c r="F109" s="8">
        <v>478.95</v>
      </c>
      <c r="G109" s="8">
        <v>71</v>
      </c>
      <c r="H109" s="8">
        <v>344</v>
      </c>
      <c r="I109" s="8">
        <v>183</v>
      </c>
      <c r="J109" s="8">
        <v>161</v>
      </c>
      <c r="K109" s="8">
        <v>0</v>
      </c>
      <c r="L109" s="10">
        <f t="shared" si="2"/>
        <v>0</v>
      </c>
      <c r="M109" s="8">
        <v>243</v>
      </c>
      <c r="N109" s="10">
        <f t="shared" si="3"/>
        <v>70.639534883720927</v>
      </c>
      <c r="O109" s="8">
        <v>0</v>
      </c>
      <c r="P109" s="8">
        <v>21.39</v>
      </c>
      <c r="Q109" s="31" t="s">
        <v>408</v>
      </c>
      <c r="R109" s="32">
        <v>45932</v>
      </c>
      <c r="S109" s="39"/>
      <c r="T109" s="18">
        <v>8.5</v>
      </c>
      <c r="U109" s="39"/>
      <c r="V109" s="39"/>
      <c r="W109" s="39"/>
      <c r="X109" s="39"/>
      <c r="Y109" s="39"/>
      <c r="Z109" s="39"/>
      <c r="AA109" s="39" t="s">
        <v>1949</v>
      </c>
      <c r="AB109" s="18"/>
      <c r="AC109" s="39"/>
      <c r="AD109" s="18" t="s">
        <v>410</v>
      </c>
      <c r="AE109" s="18" t="s">
        <v>410</v>
      </c>
    </row>
    <row r="110" spans="1:31">
      <c r="A110" s="8" t="s">
        <v>36</v>
      </c>
      <c r="B110" s="8" t="s">
        <v>37</v>
      </c>
      <c r="C110" s="8" t="s">
        <v>255</v>
      </c>
      <c r="D110" s="9" t="s">
        <v>100</v>
      </c>
      <c r="E110" s="8" t="s">
        <v>262</v>
      </c>
      <c r="F110" s="8">
        <v>140.63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10" t="e">
        <f t="shared" si="2"/>
        <v>#DIV/0!</v>
      </c>
      <c r="M110" s="8">
        <v>0</v>
      </c>
      <c r="N110" s="10" t="e">
        <f t="shared" si="3"/>
        <v>#DIV/0!</v>
      </c>
      <c r="O110" s="8">
        <v>0</v>
      </c>
      <c r="P110" s="8">
        <v>26.33</v>
      </c>
      <c r="Q110" s="10"/>
      <c r="R110" s="10"/>
      <c r="S110" s="39"/>
      <c r="T110" s="10"/>
      <c r="U110" s="39"/>
      <c r="V110" s="39"/>
      <c r="W110" s="39"/>
      <c r="X110" s="39"/>
      <c r="Y110" s="39"/>
      <c r="Z110" s="39"/>
      <c r="AA110" s="39" t="s">
        <v>1949</v>
      </c>
      <c r="AB110" s="10"/>
      <c r="AC110" s="39"/>
      <c r="AD110" s="10"/>
      <c r="AE110" s="10"/>
    </row>
    <row r="111" spans="1:31">
      <c r="A111" s="8" t="s">
        <v>36</v>
      </c>
      <c r="B111" s="8" t="s">
        <v>37</v>
      </c>
      <c r="C111" s="8" t="s">
        <v>263</v>
      </c>
      <c r="D111" s="9" t="s">
        <v>264</v>
      </c>
      <c r="E111" s="8" t="s">
        <v>265</v>
      </c>
      <c r="F111" s="8">
        <v>1512.18</v>
      </c>
      <c r="G111" s="8">
        <v>340</v>
      </c>
      <c r="H111" s="8">
        <v>1577</v>
      </c>
      <c r="I111" s="8">
        <v>814</v>
      </c>
      <c r="J111" s="8">
        <v>763</v>
      </c>
      <c r="K111" s="8">
        <v>509</v>
      </c>
      <c r="L111" s="10">
        <f t="shared" si="2"/>
        <v>32.276474318325938</v>
      </c>
      <c r="M111" s="8">
        <v>144</v>
      </c>
      <c r="N111" s="10">
        <f t="shared" si="3"/>
        <v>9.1312618896639197</v>
      </c>
      <c r="O111" s="8">
        <v>0.64</v>
      </c>
      <c r="P111" s="8">
        <v>51.03</v>
      </c>
      <c r="Q111" s="23" t="s">
        <v>409</v>
      </c>
      <c r="R111" s="27">
        <v>45828</v>
      </c>
      <c r="S111" s="39"/>
      <c r="T111" s="18">
        <v>0</v>
      </c>
      <c r="U111" s="39"/>
      <c r="V111" s="39"/>
      <c r="W111" s="39"/>
      <c r="X111" s="39"/>
      <c r="Y111" s="39"/>
      <c r="Z111" s="39"/>
      <c r="AA111" s="39" t="s">
        <v>1949</v>
      </c>
      <c r="AB111" s="18"/>
      <c r="AC111" s="39"/>
      <c r="AD111" s="18" t="s">
        <v>410</v>
      </c>
      <c r="AE111" s="18" t="s">
        <v>410</v>
      </c>
    </row>
    <row r="112" spans="1:31">
      <c r="A112" s="8" t="s">
        <v>36</v>
      </c>
      <c r="B112" s="8" t="s">
        <v>37</v>
      </c>
      <c r="C112" s="8" t="s">
        <v>263</v>
      </c>
      <c r="D112" s="9" t="s">
        <v>266</v>
      </c>
      <c r="E112" s="8" t="s">
        <v>267</v>
      </c>
      <c r="F112" s="8">
        <v>763.76</v>
      </c>
      <c r="G112" s="8">
        <v>395</v>
      </c>
      <c r="H112" s="8">
        <v>2110</v>
      </c>
      <c r="I112" s="8">
        <v>1093</v>
      </c>
      <c r="J112" s="8">
        <v>1017</v>
      </c>
      <c r="K112" s="8">
        <v>627</v>
      </c>
      <c r="L112" s="10">
        <f t="shared" si="2"/>
        <v>29.715639810426541</v>
      </c>
      <c r="M112" s="8">
        <v>493</v>
      </c>
      <c r="N112" s="10">
        <f t="shared" si="3"/>
        <v>23.364928909952607</v>
      </c>
      <c r="O112" s="8">
        <v>0</v>
      </c>
      <c r="P112" s="8">
        <v>0</v>
      </c>
      <c r="Q112" s="23" t="s">
        <v>409</v>
      </c>
      <c r="R112" s="27">
        <v>45828</v>
      </c>
      <c r="S112" s="39"/>
      <c r="T112" s="18">
        <v>0</v>
      </c>
      <c r="U112" s="39"/>
      <c r="V112" s="39"/>
      <c r="W112" s="39"/>
      <c r="X112" s="39"/>
      <c r="Y112" s="39"/>
      <c r="Z112" s="39"/>
      <c r="AA112" s="39" t="s">
        <v>1949</v>
      </c>
      <c r="AB112" s="18"/>
      <c r="AC112" s="39"/>
      <c r="AD112" s="18" t="s">
        <v>410</v>
      </c>
      <c r="AE112" s="18" t="s">
        <v>410</v>
      </c>
    </row>
    <row r="113" spans="1:31">
      <c r="A113" s="8" t="s">
        <v>36</v>
      </c>
      <c r="B113" s="8" t="s">
        <v>37</v>
      </c>
      <c r="C113" s="8" t="s">
        <v>263</v>
      </c>
      <c r="D113" s="9" t="s">
        <v>268</v>
      </c>
      <c r="E113" s="8" t="s">
        <v>269</v>
      </c>
      <c r="F113" s="8">
        <v>284.39</v>
      </c>
      <c r="G113" s="8">
        <v>222</v>
      </c>
      <c r="H113" s="8">
        <v>1115</v>
      </c>
      <c r="I113" s="8">
        <v>561</v>
      </c>
      <c r="J113" s="8">
        <v>554</v>
      </c>
      <c r="K113" s="8">
        <v>295</v>
      </c>
      <c r="L113" s="10">
        <f t="shared" si="2"/>
        <v>26.457399103139011</v>
      </c>
      <c r="M113" s="8">
        <v>208</v>
      </c>
      <c r="N113" s="10">
        <f t="shared" si="3"/>
        <v>18.654708520179373</v>
      </c>
      <c r="O113" s="8">
        <v>0</v>
      </c>
      <c r="P113" s="8">
        <v>0</v>
      </c>
      <c r="Q113" s="23" t="s">
        <v>409</v>
      </c>
      <c r="R113" s="27">
        <v>45828</v>
      </c>
      <c r="S113" s="39"/>
      <c r="T113" s="18">
        <v>0</v>
      </c>
      <c r="U113" s="39"/>
      <c r="V113" s="39"/>
      <c r="W113" s="39"/>
      <c r="X113" s="39"/>
      <c r="Y113" s="39"/>
      <c r="Z113" s="39"/>
      <c r="AA113" s="39" t="s">
        <v>1949</v>
      </c>
      <c r="AB113" s="18"/>
      <c r="AC113" s="39"/>
      <c r="AD113" s="18" t="s">
        <v>410</v>
      </c>
      <c r="AE113" s="18" t="s">
        <v>410</v>
      </c>
    </row>
    <row r="114" spans="1:31">
      <c r="A114" s="8" t="s">
        <v>36</v>
      </c>
      <c r="B114" s="8" t="s">
        <v>37</v>
      </c>
      <c r="C114" s="8" t="s">
        <v>263</v>
      </c>
      <c r="D114" s="9" t="s">
        <v>270</v>
      </c>
      <c r="E114" s="8" t="s">
        <v>271</v>
      </c>
      <c r="F114" s="8">
        <v>390.81</v>
      </c>
      <c r="G114" s="8">
        <v>119</v>
      </c>
      <c r="H114" s="8">
        <v>516</v>
      </c>
      <c r="I114" s="8">
        <v>260</v>
      </c>
      <c r="J114" s="8">
        <v>256</v>
      </c>
      <c r="K114" s="8">
        <v>362</v>
      </c>
      <c r="L114" s="10">
        <f t="shared" si="2"/>
        <v>70.15503875968993</v>
      </c>
      <c r="M114" s="8">
        <v>0</v>
      </c>
      <c r="N114" s="10">
        <f t="shared" si="3"/>
        <v>0</v>
      </c>
      <c r="O114" s="8">
        <v>0</v>
      </c>
      <c r="P114" s="8">
        <v>0</v>
      </c>
      <c r="Q114" s="23" t="s">
        <v>409</v>
      </c>
      <c r="R114" s="27">
        <v>45828</v>
      </c>
      <c r="S114" s="39"/>
      <c r="T114" s="18">
        <v>0</v>
      </c>
      <c r="U114" s="39"/>
      <c r="V114" s="39"/>
      <c r="W114" s="39"/>
      <c r="X114" s="39"/>
      <c r="Y114" s="39"/>
      <c r="Z114" s="39"/>
      <c r="AA114" s="39" t="s">
        <v>1949</v>
      </c>
      <c r="AB114" s="18"/>
      <c r="AC114" s="39"/>
      <c r="AD114" s="18" t="s">
        <v>410</v>
      </c>
      <c r="AE114" s="18" t="s">
        <v>410</v>
      </c>
    </row>
    <row r="115" spans="1:31">
      <c r="A115" s="8" t="s">
        <v>36</v>
      </c>
      <c r="B115" s="8" t="s">
        <v>37</v>
      </c>
      <c r="C115" s="8" t="s">
        <v>263</v>
      </c>
      <c r="D115" s="9" t="s">
        <v>272</v>
      </c>
      <c r="E115" s="8" t="s">
        <v>273</v>
      </c>
      <c r="F115" s="8">
        <v>411.25</v>
      </c>
      <c r="G115" s="8">
        <v>142</v>
      </c>
      <c r="H115" s="8">
        <v>757</v>
      </c>
      <c r="I115" s="8">
        <v>408</v>
      </c>
      <c r="J115" s="8">
        <v>349</v>
      </c>
      <c r="K115" s="8">
        <v>80</v>
      </c>
      <c r="L115" s="10">
        <f t="shared" si="2"/>
        <v>10.568031704095112</v>
      </c>
      <c r="M115" s="8">
        <v>40</v>
      </c>
      <c r="N115" s="10">
        <f t="shared" si="3"/>
        <v>5.2840158520475562</v>
      </c>
      <c r="O115" s="8">
        <v>5.21</v>
      </c>
      <c r="P115" s="8">
        <v>0</v>
      </c>
      <c r="Q115" s="23" t="s">
        <v>409</v>
      </c>
      <c r="R115" s="27">
        <v>45828</v>
      </c>
      <c r="S115" s="39"/>
      <c r="T115" s="18">
        <v>0</v>
      </c>
      <c r="U115" s="39"/>
      <c r="V115" s="39"/>
      <c r="W115" s="39"/>
      <c r="X115" s="39"/>
      <c r="Y115" s="39"/>
      <c r="Z115" s="39"/>
      <c r="AA115" s="39" t="s">
        <v>1949</v>
      </c>
      <c r="AB115" s="18"/>
      <c r="AC115" s="39"/>
      <c r="AD115" s="18" t="s">
        <v>410</v>
      </c>
      <c r="AE115" s="18" t="s">
        <v>410</v>
      </c>
    </row>
    <row r="116" spans="1:31">
      <c r="A116" s="8" t="s">
        <v>36</v>
      </c>
      <c r="B116" s="8" t="s">
        <v>37</v>
      </c>
      <c r="C116" s="8" t="s">
        <v>274</v>
      </c>
      <c r="D116" s="9" t="s">
        <v>275</v>
      </c>
      <c r="E116" s="8" t="s">
        <v>276</v>
      </c>
      <c r="F116" s="8">
        <v>793.18</v>
      </c>
      <c r="G116" s="8">
        <v>218</v>
      </c>
      <c r="H116" s="8">
        <v>1113</v>
      </c>
      <c r="I116" s="8">
        <v>559</v>
      </c>
      <c r="J116" s="8">
        <v>554</v>
      </c>
      <c r="K116" s="8">
        <v>295</v>
      </c>
      <c r="L116" s="10">
        <f t="shared" si="2"/>
        <v>26.504941599281224</v>
      </c>
      <c r="M116" s="8">
        <v>316</v>
      </c>
      <c r="N116" s="10">
        <f t="shared" si="3"/>
        <v>28.39173405211141</v>
      </c>
      <c r="O116" s="8">
        <v>0</v>
      </c>
      <c r="P116" s="8">
        <v>0</v>
      </c>
      <c r="Q116" s="13" t="s">
        <v>409</v>
      </c>
      <c r="R116" s="13" t="s">
        <v>416</v>
      </c>
      <c r="S116" s="39"/>
      <c r="T116" s="12">
        <v>0</v>
      </c>
      <c r="U116" s="39"/>
      <c r="V116" s="39"/>
      <c r="W116" s="39"/>
      <c r="X116" s="39"/>
      <c r="Y116" s="39"/>
      <c r="Z116" s="39"/>
      <c r="AA116" s="39" t="s">
        <v>1949</v>
      </c>
      <c r="AB116" s="12"/>
      <c r="AC116" s="39"/>
      <c r="AD116" s="13" t="s">
        <v>410</v>
      </c>
      <c r="AE116" s="13" t="s">
        <v>410</v>
      </c>
    </row>
    <row r="117" spans="1:31">
      <c r="A117" s="8" t="s">
        <v>36</v>
      </c>
      <c r="B117" s="8" t="s">
        <v>37</v>
      </c>
      <c r="C117" s="8" t="s">
        <v>274</v>
      </c>
      <c r="D117" s="9" t="s">
        <v>277</v>
      </c>
      <c r="E117" s="8" t="s">
        <v>278</v>
      </c>
      <c r="F117" s="8">
        <v>307.70999999999998</v>
      </c>
      <c r="G117" s="8">
        <v>132</v>
      </c>
      <c r="H117" s="8">
        <v>731</v>
      </c>
      <c r="I117" s="8">
        <v>369</v>
      </c>
      <c r="J117" s="8">
        <v>362</v>
      </c>
      <c r="K117" s="8">
        <v>136</v>
      </c>
      <c r="L117" s="10">
        <f t="shared" si="2"/>
        <v>18.604651162790699</v>
      </c>
      <c r="M117" s="8">
        <v>213</v>
      </c>
      <c r="N117" s="10">
        <f t="shared" si="3"/>
        <v>29.138166894664842</v>
      </c>
      <c r="O117" s="8">
        <v>0</v>
      </c>
      <c r="P117" s="8">
        <v>0</v>
      </c>
      <c r="Q117" s="13" t="s">
        <v>409</v>
      </c>
      <c r="R117" s="13" t="s">
        <v>416</v>
      </c>
      <c r="S117" s="39"/>
      <c r="T117" s="12">
        <v>0</v>
      </c>
      <c r="U117" s="39"/>
      <c r="V117" s="39"/>
      <c r="W117" s="39"/>
      <c r="X117" s="39"/>
      <c r="Y117" s="39"/>
      <c r="Z117" s="39"/>
      <c r="AA117" s="39" t="s">
        <v>1949</v>
      </c>
      <c r="AB117" s="12"/>
      <c r="AC117" s="39"/>
      <c r="AD117" s="13" t="s">
        <v>410</v>
      </c>
      <c r="AE117" s="13" t="s">
        <v>410</v>
      </c>
    </row>
    <row r="118" spans="1:31">
      <c r="A118" s="8" t="s">
        <v>36</v>
      </c>
      <c r="B118" s="8" t="s">
        <v>37</v>
      </c>
      <c r="C118" s="8" t="s">
        <v>274</v>
      </c>
      <c r="D118" s="9" t="s">
        <v>279</v>
      </c>
      <c r="E118" s="8" t="s">
        <v>280</v>
      </c>
      <c r="F118" s="8">
        <v>386.06</v>
      </c>
      <c r="G118" s="8">
        <v>192</v>
      </c>
      <c r="H118" s="8">
        <v>1019</v>
      </c>
      <c r="I118" s="8">
        <v>529</v>
      </c>
      <c r="J118" s="8">
        <v>490</v>
      </c>
      <c r="K118" s="8">
        <v>87</v>
      </c>
      <c r="L118" s="10">
        <f t="shared" si="2"/>
        <v>8.5377821393523075</v>
      </c>
      <c r="M118" s="8">
        <v>752</v>
      </c>
      <c r="N118" s="10">
        <f t="shared" si="3"/>
        <v>73.797841020608431</v>
      </c>
      <c r="O118" s="8">
        <v>0.62</v>
      </c>
      <c r="P118" s="8">
        <v>0</v>
      </c>
      <c r="Q118" s="13" t="s">
        <v>409</v>
      </c>
      <c r="R118" s="13" t="s">
        <v>416</v>
      </c>
      <c r="S118" s="39"/>
      <c r="T118" s="12">
        <v>2.33</v>
      </c>
      <c r="U118" s="39"/>
      <c r="V118" s="39"/>
      <c r="W118" s="39"/>
      <c r="X118" s="39"/>
      <c r="Y118" s="39"/>
      <c r="Z118" s="39"/>
      <c r="AA118" s="39" t="s">
        <v>408</v>
      </c>
      <c r="AB118" s="12">
        <v>2</v>
      </c>
      <c r="AC118" s="39"/>
      <c r="AD118" s="13">
        <v>25.413177000000001</v>
      </c>
      <c r="AE118" s="13">
        <v>76.454131000000004</v>
      </c>
    </row>
    <row r="119" spans="1:31">
      <c r="A119" s="8" t="s">
        <v>36</v>
      </c>
      <c r="B119" s="8" t="s">
        <v>37</v>
      </c>
      <c r="C119" s="8" t="s">
        <v>274</v>
      </c>
      <c r="D119" s="9" t="s">
        <v>281</v>
      </c>
      <c r="E119" s="8" t="s">
        <v>282</v>
      </c>
      <c r="F119" s="8">
        <v>176.83</v>
      </c>
      <c r="G119" s="8">
        <v>75</v>
      </c>
      <c r="H119" s="8">
        <v>334</v>
      </c>
      <c r="I119" s="8">
        <v>174</v>
      </c>
      <c r="J119" s="8">
        <v>160</v>
      </c>
      <c r="K119" s="8">
        <v>7</v>
      </c>
      <c r="L119" s="10">
        <f t="shared" si="2"/>
        <v>2.0958083832335328</v>
      </c>
      <c r="M119" s="8">
        <v>205</v>
      </c>
      <c r="N119" s="10">
        <f t="shared" si="3"/>
        <v>61.377245508982035</v>
      </c>
      <c r="O119" s="8">
        <v>0</v>
      </c>
      <c r="P119" s="8">
        <v>0</v>
      </c>
      <c r="Q119" s="13" t="s">
        <v>409</v>
      </c>
      <c r="R119" s="13" t="s">
        <v>416</v>
      </c>
      <c r="S119" s="39"/>
      <c r="T119" s="12">
        <v>0</v>
      </c>
      <c r="U119" s="39"/>
      <c r="V119" s="39"/>
      <c r="W119" s="39"/>
      <c r="X119" s="39"/>
      <c r="Y119" s="39"/>
      <c r="Z119" s="39"/>
      <c r="AA119" s="39" t="s">
        <v>1949</v>
      </c>
      <c r="AB119" s="12"/>
      <c r="AC119" s="39"/>
      <c r="AD119" s="13" t="s">
        <v>410</v>
      </c>
      <c r="AE119" s="13" t="s">
        <v>410</v>
      </c>
    </row>
    <row r="120" spans="1:31">
      <c r="A120" s="8" t="s">
        <v>36</v>
      </c>
      <c r="B120" s="8" t="s">
        <v>37</v>
      </c>
      <c r="C120" s="8" t="s">
        <v>274</v>
      </c>
      <c r="D120" s="9" t="s">
        <v>283</v>
      </c>
      <c r="E120" s="8" t="s">
        <v>284</v>
      </c>
      <c r="F120" s="8">
        <v>649.80999999999995</v>
      </c>
      <c r="G120" s="8">
        <v>178</v>
      </c>
      <c r="H120" s="8">
        <v>873</v>
      </c>
      <c r="I120" s="8">
        <v>438</v>
      </c>
      <c r="J120" s="8">
        <v>435</v>
      </c>
      <c r="K120" s="8">
        <v>185</v>
      </c>
      <c r="L120" s="10">
        <f t="shared" si="2"/>
        <v>21.191294387170675</v>
      </c>
      <c r="M120" s="8">
        <v>4</v>
      </c>
      <c r="N120" s="10">
        <f t="shared" si="3"/>
        <v>0.45819014891179843</v>
      </c>
      <c r="O120" s="8">
        <v>0</v>
      </c>
      <c r="P120" s="8">
        <v>0</v>
      </c>
      <c r="Q120" s="13" t="s">
        <v>409</v>
      </c>
      <c r="R120" s="13" t="s">
        <v>416</v>
      </c>
      <c r="S120" s="39"/>
      <c r="T120" s="12">
        <v>0</v>
      </c>
      <c r="U120" s="39"/>
      <c r="V120" s="39"/>
      <c r="W120" s="39"/>
      <c r="X120" s="39"/>
      <c r="Y120" s="39"/>
      <c r="Z120" s="39"/>
      <c r="AA120" s="39" t="s">
        <v>1949</v>
      </c>
      <c r="AB120" s="12"/>
      <c r="AC120" s="39"/>
      <c r="AD120" s="13" t="s">
        <v>410</v>
      </c>
      <c r="AE120" s="13" t="s">
        <v>410</v>
      </c>
    </row>
    <row r="121" spans="1:31">
      <c r="A121" s="8" t="s">
        <v>36</v>
      </c>
      <c r="B121" s="8" t="s">
        <v>37</v>
      </c>
      <c r="C121" s="8" t="s">
        <v>274</v>
      </c>
      <c r="D121" s="9" t="s">
        <v>285</v>
      </c>
      <c r="E121" s="8" t="s">
        <v>286</v>
      </c>
      <c r="F121" s="8">
        <v>567.01</v>
      </c>
      <c r="G121" s="8">
        <v>126</v>
      </c>
      <c r="H121" s="8">
        <v>628</v>
      </c>
      <c r="I121" s="8">
        <v>331</v>
      </c>
      <c r="J121" s="8">
        <v>297</v>
      </c>
      <c r="K121" s="8">
        <v>10</v>
      </c>
      <c r="L121" s="10">
        <f t="shared" si="2"/>
        <v>1.5923566878980893</v>
      </c>
      <c r="M121" s="8">
        <v>0</v>
      </c>
      <c r="N121" s="10">
        <f t="shared" si="3"/>
        <v>0</v>
      </c>
      <c r="O121" s="8">
        <v>12.08</v>
      </c>
      <c r="P121" s="8">
        <v>81.5</v>
      </c>
      <c r="Q121" s="13" t="s">
        <v>409</v>
      </c>
      <c r="R121" s="13" t="s">
        <v>416</v>
      </c>
      <c r="S121" s="39"/>
      <c r="T121" s="12">
        <v>13.73</v>
      </c>
      <c r="U121" s="39"/>
      <c r="V121" s="39"/>
      <c r="W121" s="39"/>
      <c r="X121" s="39"/>
      <c r="Y121" s="39"/>
      <c r="Z121" s="39"/>
      <c r="AA121" s="39" t="s">
        <v>408</v>
      </c>
      <c r="AB121" s="12">
        <v>11</v>
      </c>
      <c r="AC121" s="39"/>
      <c r="AD121" s="13">
        <v>25.555485000000001</v>
      </c>
      <c r="AE121" s="13">
        <v>76.422916000000001</v>
      </c>
    </row>
    <row r="122" spans="1:31">
      <c r="A122" s="8" t="s">
        <v>36</v>
      </c>
      <c r="B122" s="8" t="s">
        <v>37</v>
      </c>
      <c r="C122" s="8" t="s">
        <v>274</v>
      </c>
      <c r="D122" s="9" t="s">
        <v>287</v>
      </c>
      <c r="E122" s="8" t="s">
        <v>288</v>
      </c>
      <c r="F122" s="8">
        <v>493.77</v>
      </c>
      <c r="G122" s="8">
        <v>188</v>
      </c>
      <c r="H122" s="8">
        <v>1083</v>
      </c>
      <c r="I122" s="8">
        <v>551</v>
      </c>
      <c r="J122" s="8">
        <v>532</v>
      </c>
      <c r="K122" s="8">
        <v>256</v>
      </c>
      <c r="L122" s="10">
        <f t="shared" si="2"/>
        <v>23.63804247460757</v>
      </c>
      <c r="M122" s="8">
        <v>470</v>
      </c>
      <c r="N122" s="10">
        <f t="shared" si="3"/>
        <v>43.397968605724841</v>
      </c>
      <c r="O122" s="8">
        <v>0</v>
      </c>
      <c r="P122" s="8">
        <v>0</v>
      </c>
      <c r="Q122" s="13" t="s">
        <v>409</v>
      </c>
      <c r="R122" s="13" t="s">
        <v>416</v>
      </c>
      <c r="S122" s="39"/>
      <c r="T122" s="12">
        <v>0</v>
      </c>
      <c r="U122" s="39"/>
      <c r="V122" s="39"/>
      <c r="W122" s="39"/>
      <c r="X122" s="39"/>
      <c r="Y122" s="39"/>
      <c r="Z122" s="39"/>
      <c r="AA122" s="39" t="s">
        <v>1949</v>
      </c>
      <c r="AB122" s="12"/>
      <c r="AC122" s="39"/>
      <c r="AD122" s="13" t="s">
        <v>410</v>
      </c>
      <c r="AE122" s="13" t="s">
        <v>410</v>
      </c>
    </row>
    <row r="123" spans="1:31">
      <c r="A123" s="8" t="s">
        <v>36</v>
      </c>
      <c r="B123" s="8" t="s">
        <v>37</v>
      </c>
      <c r="C123" s="8" t="s">
        <v>274</v>
      </c>
      <c r="D123" s="9" t="s">
        <v>289</v>
      </c>
      <c r="E123" s="8" t="s">
        <v>290</v>
      </c>
      <c r="F123" s="8">
        <v>249.76</v>
      </c>
      <c r="G123" s="8">
        <v>91</v>
      </c>
      <c r="H123" s="8">
        <v>493</v>
      </c>
      <c r="I123" s="8">
        <v>255</v>
      </c>
      <c r="J123" s="8">
        <v>238</v>
      </c>
      <c r="K123" s="8">
        <v>113</v>
      </c>
      <c r="L123" s="10">
        <f t="shared" si="2"/>
        <v>22.920892494929006</v>
      </c>
      <c r="M123" s="8">
        <v>272</v>
      </c>
      <c r="N123" s="10">
        <f t="shared" si="3"/>
        <v>55.172413793103445</v>
      </c>
      <c r="O123" s="8">
        <v>0</v>
      </c>
      <c r="P123" s="8">
        <v>0</v>
      </c>
      <c r="Q123" s="13" t="s">
        <v>409</v>
      </c>
      <c r="R123" s="13" t="s">
        <v>416</v>
      </c>
      <c r="S123" s="39"/>
      <c r="T123" s="12">
        <v>0</v>
      </c>
      <c r="U123" s="39"/>
      <c r="V123" s="39"/>
      <c r="W123" s="39"/>
      <c r="X123" s="39"/>
      <c r="Y123" s="39"/>
      <c r="Z123" s="39"/>
      <c r="AA123" s="39" t="s">
        <v>1949</v>
      </c>
      <c r="AB123" s="12"/>
      <c r="AC123" s="39"/>
      <c r="AD123" s="13" t="s">
        <v>410</v>
      </c>
      <c r="AE123" s="13" t="s">
        <v>410</v>
      </c>
    </row>
    <row r="124" spans="1:31">
      <c r="A124" s="8" t="s">
        <v>36</v>
      </c>
      <c r="B124" s="8" t="s">
        <v>37</v>
      </c>
      <c r="C124" s="8" t="s">
        <v>274</v>
      </c>
      <c r="D124" s="9" t="s">
        <v>291</v>
      </c>
      <c r="E124" s="8" t="s">
        <v>292</v>
      </c>
      <c r="F124" s="8">
        <v>465.12</v>
      </c>
      <c r="G124" s="8">
        <v>123</v>
      </c>
      <c r="H124" s="8">
        <v>626</v>
      </c>
      <c r="I124" s="8">
        <v>318</v>
      </c>
      <c r="J124" s="8">
        <v>308</v>
      </c>
      <c r="K124" s="8">
        <v>1</v>
      </c>
      <c r="L124" s="10">
        <f t="shared" si="2"/>
        <v>0.15974440894568689</v>
      </c>
      <c r="M124" s="8">
        <v>499</v>
      </c>
      <c r="N124" s="10">
        <f t="shared" si="3"/>
        <v>79.712460063897765</v>
      </c>
      <c r="O124" s="8">
        <v>0</v>
      </c>
      <c r="P124" s="8">
        <v>0</v>
      </c>
      <c r="Q124" s="13" t="s">
        <v>409</v>
      </c>
      <c r="R124" s="13" t="s">
        <v>416</v>
      </c>
      <c r="S124" s="39"/>
      <c r="T124" s="12">
        <v>13.73</v>
      </c>
      <c r="U124" s="39"/>
      <c r="V124" s="39"/>
      <c r="W124" s="39"/>
      <c r="X124" s="39"/>
      <c r="Y124" s="39"/>
      <c r="Z124" s="39"/>
      <c r="AA124" s="39" t="s">
        <v>408</v>
      </c>
      <c r="AB124" s="12">
        <v>11</v>
      </c>
      <c r="AC124" s="39"/>
      <c r="AD124" s="13">
        <v>25.555485000000001</v>
      </c>
      <c r="AE124" s="13">
        <v>76.422916000000001</v>
      </c>
    </row>
    <row r="125" spans="1:31">
      <c r="A125" s="8" t="s">
        <v>36</v>
      </c>
      <c r="B125" s="8" t="s">
        <v>37</v>
      </c>
      <c r="C125" s="8" t="s">
        <v>293</v>
      </c>
      <c r="D125" s="9" t="s">
        <v>294</v>
      </c>
      <c r="E125" s="8" t="s">
        <v>295</v>
      </c>
      <c r="F125" s="8">
        <v>1281.21</v>
      </c>
      <c r="G125" s="8">
        <v>682</v>
      </c>
      <c r="H125" s="8">
        <v>3494</v>
      </c>
      <c r="I125" s="8">
        <v>1756</v>
      </c>
      <c r="J125" s="8">
        <v>1738</v>
      </c>
      <c r="K125" s="8">
        <v>1139</v>
      </c>
      <c r="L125" s="10">
        <f t="shared" si="2"/>
        <v>32.598740698340009</v>
      </c>
      <c r="M125" s="8">
        <v>966</v>
      </c>
      <c r="N125" s="10">
        <f t="shared" si="3"/>
        <v>27.647395535203206</v>
      </c>
      <c r="O125" s="8">
        <v>13.61</v>
      </c>
      <c r="P125" s="8">
        <v>0</v>
      </c>
      <c r="Q125" s="23" t="s">
        <v>409</v>
      </c>
      <c r="R125" s="27">
        <v>45884</v>
      </c>
      <c r="S125" s="39"/>
      <c r="T125" s="18">
        <v>0</v>
      </c>
      <c r="U125" s="39"/>
      <c r="V125" s="39"/>
      <c r="W125" s="39"/>
      <c r="X125" s="39"/>
      <c r="Y125" s="39"/>
      <c r="Z125" s="39"/>
      <c r="AA125" s="39" t="s">
        <v>1949</v>
      </c>
      <c r="AB125" s="18"/>
      <c r="AC125" s="39"/>
      <c r="AD125" s="18" t="s">
        <v>410</v>
      </c>
      <c r="AE125" s="18" t="s">
        <v>410</v>
      </c>
    </row>
    <row r="126" spans="1:31">
      <c r="A126" s="8" t="s">
        <v>36</v>
      </c>
      <c r="B126" s="8" t="s">
        <v>37</v>
      </c>
      <c r="C126" s="8" t="s">
        <v>293</v>
      </c>
      <c r="D126" s="9" t="s">
        <v>296</v>
      </c>
      <c r="E126" s="8" t="s">
        <v>297</v>
      </c>
      <c r="F126" s="8">
        <v>276.69</v>
      </c>
      <c r="G126" s="8">
        <v>136</v>
      </c>
      <c r="H126" s="8">
        <v>615</v>
      </c>
      <c r="I126" s="8">
        <v>316</v>
      </c>
      <c r="J126" s="8">
        <v>299</v>
      </c>
      <c r="K126" s="8">
        <v>488</v>
      </c>
      <c r="L126" s="10">
        <f t="shared" si="2"/>
        <v>79.349593495934954</v>
      </c>
      <c r="M126" s="8">
        <v>36</v>
      </c>
      <c r="N126" s="10">
        <f t="shared" si="3"/>
        <v>5.8536585365853666</v>
      </c>
      <c r="O126" s="8">
        <v>1.1599999999999999</v>
      </c>
      <c r="P126" s="8">
        <v>0</v>
      </c>
      <c r="Q126" s="23" t="s">
        <v>409</v>
      </c>
      <c r="R126" s="27">
        <v>45884</v>
      </c>
      <c r="S126" s="39"/>
      <c r="T126" s="18">
        <v>0</v>
      </c>
      <c r="U126" s="39"/>
      <c r="V126" s="39"/>
      <c r="W126" s="39"/>
      <c r="X126" s="39"/>
      <c r="Y126" s="39"/>
      <c r="Z126" s="39"/>
      <c r="AA126" s="39" t="s">
        <v>1949</v>
      </c>
      <c r="AB126" s="18"/>
      <c r="AC126" s="39"/>
      <c r="AD126" s="18" t="s">
        <v>410</v>
      </c>
      <c r="AE126" s="18" t="s">
        <v>410</v>
      </c>
    </row>
    <row r="127" spans="1:31">
      <c r="A127" s="8" t="s">
        <v>36</v>
      </c>
      <c r="B127" s="8" t="s">
        <v>37</v>
      </c>
      <c r="C127" s="8" t="s">
        <v>293</v>
      </c>
      <c r="D127" s="9" t="s">
        <v>298</v>
      </c>
      <c r="E127" s="8" t="s">
        <v>299</v>
      </c>
      <c r="F127" s="8">
        <v>489.55</v>
      </c>
      <c r="G127" s="8">
        <v>109</v>
      </c>
      <c r="H127" s="8">
        <v>619</v>
      </c>
      <c r="I127" s="8">
        <v>323</v>
      </c>
      <c r="J127" s="8">
        <v>296</v>
      </c>
      <c r="K127" s="8">
        <v>0</v>
      </c>
      <c r="L127" s="10">
        <f t="shared" si="2"/>
        <v>0</v>
      </c>
      <c r="M127" s="8">
        <v>174</v>
      </c>
      <c r="N127" s="10">
        <f t="shared" si="3"/>
        <v>28.109854604200322</v>
      </c>
      <c r="O127" s="8">
        <v>0.14000000000000001</v>
      </c>
      <c r="P127" s="8">
        <v>0</v>
      </c>
      <c r="Q127" s="23" t="s">
        <v>409</v>
      </c>
      <c r="R127" s="27">
        <v>45884</v>
      </c>
      <c r="S127" s="39"/>
      <c r="T127" s="18">
        <v>0</v>
      </c>
      <c r="U127" s="39"/>
      <c r="V127" s="39"/>
      <c r="W127" s="39"/>
      <c r="X127" s="39"/>
      <c r="Y127" s="39"/>
      <c r="Z127" s="39"/>
      <c r="AA127" s="39" t="s">
        <v>1949</v>
      </c>
      <c r="AB127" s="18"/>
      <c r="AC127" s="39"/>
      <c r="AD127" s="18" t="s">
        <v>410</v>
      </c>
      <c r="AE127" s="18" t="s">
        <v>410</v>
      </c>
    </row>
    <row r="128" spans="1:31">
      <c r="A128" s="8" t="s">
        <v>36</v>
      </c>
      <c r="B128" s="8" t="s">
        <v>37</v>
      </c>
      <c r="C128" s="8" t="s">
        <v>293</v>
      </c>
      <c r="D128" s="9" t="s">
        <v>300</v>
      </c>
      <c r="E128" s="8" t="s">
        <v>301</v>
      </c>
      <c r="F128" s="8">
        <v>604.88</v>
      </c>
      <c r="G128" s="8">
        <v>222</v>
      </c>
      <c r="H128" s="8">
        <v>1059</v>
      </c>
      <c r="I128" s="8">
        <v>520</v>
      </c>
      <c r="J128" s="8">
        <v>539</v>
      </c>
      <c r="K128" s="8">
        <v>290</v>
      </c>
      <c r="L128" s="10">
        <f t="shared" si="2"/>
        <v>27.384324834749762</v>
      </c>
      <c r="M128" s="8">
        <v>39</v>
      </c>
      <c r="N128" s="10">
        <f t="shared" si="3"/>
        <v>3.6827195467422094</v>
      </c>
      <c r="O128" s="8">
        <v>10.83</v>
      </c>
      <c r="P128" s="8">
        <v>0</v>
      </c>
      <c r="Q128" s="23" t="s">
        <v>409</v>
      </c>
      <c r="R128" s="27">
        <v>45884</v>
      </c>
      <c r="S128" s="39"/>
      <c r="T128" s="18">
        <v>0</v>
      </c>
      <c r="U128" s="39"/>
      <c r="V128" s="39"/>
      <c r="W128" s="39"/>
      <c r="X128" s="39"/>
      <c r="Y128" s="39"/>
      <c r="Z128" s="39"/>
      <c r="AA128" s="39" t="s">
        <v>1949</v>
      </c>
      <c r="AB128" s="18"/>
      <c r="AC128" s="39"/>
      <c r="AD128" s="18" t="s">
        <v>410</v>
      </c>
      <c r="AE128" s="18" t="s">
        <v>410</v>
      </c>
    </row>
    <row r="129" spans="1:31">
      <c r="A129" s="8" t="s">
        <v>36</v>
      </c>
      <c r="B129" s="8" t="s">
        <v>37</v>
      </c>
      <c r="C129" s="8" t="s">
        <v>302</v>
      </c>
      <c r="D129" s="9" t="s">
        <v>303</v>
      </c>
      <c r="E129" s="8" t="s">
        <v>304</v>
      </c>
      <c r="F129" s="8">
        <v>906.34</v>
      </c>
      <c r="G129" s="8">
        <v>399</v>
      </c>
      <c r="H129" s="8">
        <v>2063</v>
      </c>
      <c r="I129" s="8">
        <v>1078</v>
      </c>
      <c r="J129" s="8">
        <v>985</v>
      </c>
      <c r="K129" s="8">
        <v>521</v>
      </c>
      <c r="L129" s="10">
        <f t="shared" si="2"/>
        <v>25.254483761512358</v>
      </c>
      <c r="M129" s="8">
        <v>19</v>
      </c>
      <c r="N129" s="10">
        <f t="shared" si="3"/>
        <v>0.92098885118759088</v>
      </c>
      <c r="O129" s="8">
        <v>0</v>
      </c>
      <c r="P129" s="8">
        <v>0</v>
      </c>
      <c r="Q129" s="18" t="s">
        <v>409</v>
      </c>
      <c r="R129" s="28">
        <v>45567</v>
      </c>
      <c r="S129" s="39"/>
      <c r="T129" s="18">
        <v>0</v>
      </c>
      <c r="U129" s="39"/>
      <c r="V129" s="39"/>
      <c r="W129" s="39"/>
      <c r="X129" s="39"/>
      <c r="Y129" s="39"/>
      <c r="Z129" s="39"/>
      <c r="AA129" s="39" t="s">
        <v>1949</v>
      </c>
      <c r="AB129" s="18"/>
      <c r="AC129" s="39"/>
      <c r="AD129" s="18" t="s">
        <v>410</v>
      </c>
      <c r="AE129" s="18" t="s">
        <v>410</v>
      </c>
    </row>
    <row r="130" spans="1:31">
      <c r="A130" s="8" t="s">
        <v>36</v>
      </c>
      <c r="B130" s="8" t="s">
        <v>37</v>
      </c>
      <c r="C130" s="8" t="s">
        <v>302</v>
      </c>
      <c r="D130" s="9" t="s">
        <v>305</v>
      </c>
      <c r="E130" s="8" t="s">
        <v>306</v>
      </c>
      <c r="F130" s="8">
        <v>448.32</v>
      </c>
      <c r="G130" s="8">
        <v>193</v>
      </c>
      <c r="H130" s="8">
        <v>1008</v>
      </c>
      <c r="I130" s="8">
        <v>544</v>
      </c>
      <c r="J130" s="8">
        <v>464</v>
      </c>
      <c r="K130" s="8">
        <v>141</v>
      </c>
      <c r="L130" s="10">
        <f t="shared" si="2"/>
        <v>13.988095238095239</v>
      </c>
      <c r="M130" s="8">
        <v>199</v>
      </c>
      <c r="N130" s="10">
        <f t="shared" si="3"/>
        <v>19.74206349206349</v>
      </c>
      <c r="O130" s="8">
        <v>0</v>
      </c>
      <c r="P130" s="8">
        <v>33.799999999999997</v>
      </c>
      <c r="Q130" s="18" t="s">
        <v>409</v>
      </c>
      <c r="R130" s="28">
        <v>45567</v>
      </c>
      <c r="S130" s="39"/>
      <c r="T130" s="18">
        <v>0</v>
      </c>
      <c r="U130" s="39"/>
      <c r="V130" s="39"/>
      <c r="W130" s="39"/>
      <c r="X130" s="39"/>
      <c r="Y130" s="39"/>
      <c r="Z130" s="39"/>
      <c r="AA130" s="39" t="s">
        <v>1949</v>
      </c>
      <c r="AB130" s="18"/>
      <c r="AC130" s="39"/>
      <c r="AD130" s="18" t="s">
        <v>410</v>
      </c>
      <c r="AE130" s="18" t="s">
        <v>410</v>
      </c>
    </row>
    <row r="131" spans="1:31">
      <c r="A131" s="8" t="s">
        <v>36</v>
      </c>
      <c r="B131" s="8" t="s">
        <v>37</v>
      </c>
      <c r="C131" s="8" t="s">
        <v>302</v>
      </c>
      <c r="D131" s="9" t="s">
        <v>307</v>
      </c>
      <c r="E131" s="8" t="s">
        <v>308</v>
      </c>
      <c r="F131" s="8">
        <v>398.08</v>
      </c>
      <c r="G131" s="8">
        <v>61</v>
      </c>
      <c r="H131" s="8">
        <v>280</v>
      </c>
      <c r="I131" s="8">
        <v>154</v>
      </c>
      <c r="J131" s="8">
        <v>126</v>
      </c>
      <c r="K131" s="8">
        <v>82</v>
      </c>
      <c r="L131" s="10">
        <f t="shared" si="2"/>
        <v>29.285714285714288</v>
      </c>
      <c r="M131" s="8">
        <v>148</v>
      </c>
      <c r="N131" s="10">
        <f t="shared" si="3"/>
        <v>52.857142857142861</v>
      </c>
      <c r="O131" s="8">
        <v>0</v>
      </c>
      <c r="P131" s="8">
        <v>0</v>
      </c>
      <c r="Q131" s="18" t="s">
        <v>409</v>
      </c>
      <c r="R131" s="28">
        <v>45567</v>
      </c>
      <c r="S131" s="39"/>
      <c r="T131" s="18">
        <v>0</v>
      </c>
      <c r="U131" s="39"/>
      <c r="V131" s="39"/>
      <c r="W131" s="39"/>
      <c r="X131" s="39"/>
      <c r="Y131" s="39"/>
      <c r="Z131" s="39"/>
      <c r="AA131" s="39" t="s">
        <v>1949</v>
      </c>
      <c r="AB131" s="18"/>
      <c r="AC131" s="39"/>
      <c r="AD131" s="18" t="s">
        <v>410</v>
      </c>
      <c r="AE131" s="18" t="s">
        <v>410</v>
      </c>
    </row>
    <row r="132" spans="1:31">
      <c r="A132" s="8" t="s">
        <v>36</v>
      </c>
      <c r="B132" s="8" t="s">
        <v>37</v>
      </c>
      <c r="C132" s="8" t="s">
        <v>302</v>
      </c>
      <c r="D132" s="9" t="s">
        <v>309</v>
      </c>
      <c r="E132" s="8" t="s">
        <v>310</v>
      </c>
      <c r="F132" s="8">
        <v>223.76</v>
      </c>
      <c r="G132" s="8">
        <v>65</v>
      </c>
      <c r="H132" s="8">
        <v>275</v>
      </c>
      <c r="I132" s="8">
        <v>146</v>
      </c>
      <c r="J132" s="8">
        <v>129</v>
      </c>
      <c r="K132" s="8">
        <v>0</v>
      </c>
      <c r="L132" s="10">
        <f t="shared" si="2"/>
        <v>0</v>
      </c>
      <c r="M132" s="8">
        <v>262</v>
      </c>
      <c r="N132" s="10">
        <f t="shared" si="3"/>
        <v>95.27272727272728</v>
      </c>
      <c r="O132" s="8">
        <v>0</v>
      </c>
      <c r="P132" s="8">
        <v>0</v>
      </c>
      <c r="Q132" s="10"/>
      <c r="R132" s="10"/>
      <c r="S132" s="39"/>
      <c r="T132" s="10"/>
      <c r="U132" s="39"/>
      <c r="V132" s="39"/>
      <c r="W132" s="39"/>
      <c r="X132" s="39"/>
      <c r="Y132" s="39"/>
      <c r="Z132" s="39"/>
      <c r="AA132" s="39" t="s">
        <v>1949</v>
      </c>
      <c r="AB132" s="10"/>
      <c r="AC132" s="39"/>
      <c r="AD132" s="10"/>
      <c r="AE132" s="10"/>
    </row>
    <row r="133" spans="1:31">
      <c r="A133" s="8" t="s">
        <v>36</v>
      </c>
      <c r="B133" s="8" t="s">
        <v>37</v>
      </c>
      <c r="C133" s="8" t="s">
        <v>302</v>
      </c>
      <c r="D133" s="9" t="s">
        <v>311</v>
      </c>
      <c r="E133" s="8" t="s">
        <v>312</v>
      </c>
      <c r="F133" s="8">
        <v>465.26</v>
      </c>
      <c r="G133" s="8">
        <v>142</v>
      </c>
      <c r="H133" s="8">
        <v>713</v>
      </c>
      <c r="I133" s="8">
        <v>384</v>
      </c>
      <c r="J133" s="8">
        <v>329</v>
      </c>
      <c r="K133" s="8">
        <v>111</v>
      </c>
      <c r="L133" s="10">
        <f t="shared" ref="L133:L177" si="4">K133/H133*100</f>
        <v>15.568022440392706</v>
      </c>
      <c r="M133" s="8">
        <v>418</v>
      </c>
      <c r="N133" s="10">
        <f t="shared" ref="N133:N177" si="5">M133/H133*100</f>
        <v>58.625525946704073</v>
      </c>
      <c r="O133" s="8">
        <v>0</v>
      </c>
      <c r="P133" s="8">
        <v>0</v>
      </c>
      <c r="Q133" s="18" t="s">
        <v>409</v>
      </c>
      <c r="R133" s="28">
        <v>45567</v>
      </c>
      <c r="S133" s="39"/>
      <c r="T133" s="18">
        <v>0</v>
      </c>
      <c r="U133" s="39"/>
      <c r="V133" s="39"/>
      <c r="W133" s="39"/>
      <c r="X133" s="39"/>
      <c r="Y133" s="39"/>
      <c r="Z133" s="39"/>
      <c r="AA133" s="39" t="s">
        <v>1949</v>
      </c>
      <c r="AB133" s="18"/>
      <c r="AC133" s="39"/>
      <c r="AD133" s="18" t="s">
        <v>410</v>
      </c>
      <c r="AE133" s="18" t="s">
        <v>410</v>
      </c>
    </row>
    <row r="134" spans="1:31">
      <c r="A134" s="8" t="s">
        <v>36</v>
      </c>
      <c r="B134" s="8" t="s">
        <v>37</v>
      </c>
      <c r="C134" s="8" t="s">
        <v>302</v>
      </c>
      <c r="D134" s="9" t="s">
        <v>313</v>
      </c>
      <c r="E134" s="8" t="s">
        <v>314</v>
      </c>
      <c r="F134" s="8">
        <v>1266.48</v>
      </c>
      <c r="G134" s="8">
        <v>304</v>
      </c>
      <c r="H134" s="8">
        <v>1567</v>
      </c>
      <c r="I134" s="8">
        <v>804</v>
      </c>
      <c r="J134" s="8">
        <v>763</v>
      </c>
      <c r="K134" s="8">
        <v>542</v>
      </c>
      <c r="L134" s="10">
        <f t="shared" si="4"/>
        <v>34.588385449904273</v>
      </c>
      <c r="M134" s="8">
        <v>157</v>
      </c>
      <c r="N134" s="10">
        <f t="shared" si="5"/>
        <v>10.01914486279515</v>
      </c>
      <c r="O134" s="8">
        <v>0</v>
      </c>
      <c r="P134" s="8">
        <v>229.72</v>
      </c>
      <c r="Q134" s="18" t="s">
        <v>409</v>
      </c>
      <c r="R134" s="28">
        <v>45567</v>
      </c>
      <c r="S134" s="39"/>
      <c r="T134" s="18">
        <v>0</v>
      </c>
      <c r="U134" s="39"/>
      <c r="V134" s="39"/>
      <c r="W134" s="39"/>
      <c r="X134" s="39"/>
      <c r="Y134" s="39"/>
      <c r="Z134" s="39"/>
      <c r="AA134" s="39" t="s">
        <v>1949</v>
      </c>
      <c r="AB134" s="18"/>
      <c r="AC134" s="39"/>
      <c r="AD134" s="18" t="s">
        <v>410</v>
      </c>
      <c r="AE134" s="18" t="s">
        <v>410</v>
      </c>
    </row>
    <row r="135" spans="1:31">
      <c r="A135" s="8" t="s">
        <v>36</v>
      </c>
      <c r="B135" s="8" t="s">
        <v>37</v>
      </c>
      <c r="C135" s="8" t="s">
        <v>315</v>
      </c>
      <c r="D135" s="9" t="s">
        <v>316</v>
      </c>
      <c r="E135" s="8" t="s">
        <v>317</v>
      </c>
      <c r="F135" s="8">
        <v>1156.21</v>
      </c>
      <c r="G135" s="8">
        <v>308</v>
      </c>
      <c r="H135" s="8">
        <v>1411</v>
      </c>
      <c r="I135" s="8">
        <v>739</v>
      </c>
      <c r="J135" s="8">
        <v>672</v>
      </c>
      <c r="K135" s="8">
        <v>327</v>
      </c>
      <c r="L135" s="10">
        <f t="shared" si="4"/>
        <v>23.175053153791637</v>
      </c>
      <c r="M135" s="8">
        <v>555</v>
      </c>
      <c r="N135" s="10">
        <f t="shared" si="5"/>
        <v>39.33380581148122</v>
      </c>
      <c r="O135" s="8">
        <v>100.98</v>
      </c>
      <c r="P135" s="8">
        <v>78.81</v>
      </c>
      <c r="Q135" s="13" t="s">
        <v>408</v>
      </c>
      <c r="R135" s="14">
        <v>45181</v>
      </c>
      <c r="S135" s="39"/>
      <c r="T135" s="12">
        <v>100.98</v>
      </c>
      <c r="U135" s="39"/>
      <c r="V135" s="39"/>
      <c r="W135" s="39"/>
      <c r="X135" s="39"/>
      <c r="Y135" s="39"/>
      <c r="Z135" s="39"/>
      <c r="AA135" s="39" t="s">
        <v>408</v>
      </c>
      <c r="AB135" s="16">
        <v>81</v>
      </c>
      <c r="AC135" s="39"/>
      <c r="AD135" s="11">
        <v>25.519328000000002</v>
      </c>
      <c r="AE135" s="11">
        <v>76.335607999999993</v>
      </c>
    </row>
    <row r="136" spans="1:31">
      <c r="A136" s="8" t="s">
        <v>36</v>
      </c>
      <c r="B136" s="8" t="s">
        <v>37</v>
      </c>
      <c r="C136" s="8" t="s">
        <v>315</v>
      </c>
      <c r="D136" s="9" t="s">
        <v>318</v>
      </c>
      <c r="E136" s="8" t="s">
        <v>319</v>
      </c>
      <c r="F136" s="8">
        <v>531.89</v>
      </c>
      <c r="G136" s="8">
        <v>48</v>
      </c>
      <c r="H136" s="8">
        <v>242</v>
      </c>
      <c r="I136" s="8">
        <v>131</v>
      </c>
      <c r="J136" s="8">
        <v>111</v>
      </c>
      <c r="K136" s="8">
        <v>0</v>
      </c>
      <c r="L136" s="10">
        <f t="shared" si="4"/>
        <v>0</v>
      </c>
      <c r="M136" s="8">
        <v>145</v>
      </c>
      <c r="N136" s="10">
        <f t="shared" si="5"/>
        <v>59.917355371900825</v>
      </c>
      <c r="O136" s="8">
        <v>8.41</v>
      </c>
      <c r="P136" s="8">
        <v>199.33</v>
      </c>
      <c r="Q136" s="13" t="s">
        <v>408</v>
      </c>
      <c r="R136" s="14">
        <v>45181</v>
      </c>
      <c r="S136" s="39"/>
      <c r="T136" s="12">
        <v>8.41</v>
      </c>
      <c r="U136" s="39"/>
      <c r="V136" s="39"/>
      <c r="W136" s="39"/>
      <c r="X136" s="39"/>
      <c r="Y136" s="39"/>
      <c r="Z136" s="39"/>
      <c r="AA136" s="39" t="s">
        <v>408</v>
      </c>
      <c r="AB136" s="16">
        <v>6</v>
      </c>
      <c r="AC136" s="39"/>
      <c r="AD136" s="11">
        <v>25.492764000000001</v>
      </c>
      <c r="AE136" s="11">
        <v>76.328197000000003</v>
      </c>
    </row>
    <row r="137" spans="1:31">
      <c r="A137" s="8" t="s">
        <v>36</v>
      </c>
      <c r="B137" s="8" t="s">
        <v>37</v>
      </c>
      <c r="C137" s="8" t="s">
        <v>315</v>
      </c>
      <c r="D137" s="9" t="s">
        <v>320</v>
      </c>
      <c r="E137" s="8" t="s">
        <v>321</v>
      </c>
      <c r="F137" s="8">
        <v>424.5</v>
      </c>
      <c r="G137" s="8">
        <v>37</v>
      </c>
      <c r="H137" s="8">
        <v>184</v>
      </c>
      <c r="I137" s="8">
        <v>98</v>
      </c>
      <c r="J137" s="8">
        <v>86</v>
      </c>
      <c r="K137" s="8">
        <v>0</v>
      </c>
      <c r="L137" s="10">
        <f t="shared" si="4"/>
        <v>0</v>
      </c>
      <c r="M137" s="8">
        <v>179</v>
      </c>
      <c r="N137" s="10">
        <f t="shared" si="5"/>
        <v>97.282608695652172</v>
      </c>
      <c r="O137" s="8">
        <v>12.51</v>
      </c>
      <c r="P137" s="8">
        <v>129.12</v>
      </c>
      <c r="Q137" s="13" t="s">
        <v>408</v>
      </c>
      <c r="R137" s="14">
        <v>45181</v>
      </c>
      <c r="S137" s="39"/>
      <c r="T137" s="12">
        <v>12.51</v>
      </c>
      <c r="U137" s="39"/>
      <c r="V137" s="39"/>
      <c r="W137" s="39"/>
      <c r="X137" s="39"/>
      <c r="Y137" s="39"/>
      <c r="Z137" s="39"/>
      <c r="AA137" s="39" t="s">
        <v>408</v>
      </c>
      <c r="AB137" s="16">
        <v>9</v>
      </c>
      <c r="AC137" s="39"/>
      <c r="AD137" s="11">
        <v>25.527581000000001</v>
      </c>
      <c r="AE137" s="11">
        <v>76.302660000000003</v>
      </c>
    </row>
    <row r="138" spans="1:31">
      <c r="A138" s="8" t="s">
        <v>36</v>
      </c>
      <c r="B138" s="8" t="s">
        <v>37</v>
      </c>
      <c r="C138" s="8" t="s">
        <v>315</v>
      </c>
      <c r="D138" s="9" t="s">
        <v>322</v>
      </c>
      <c r="E138" s="8" t="s">
        <v>323</v>
      </c>
      <c r="F138" s="8">
        <v>406.15</v>
      </c>
      <c r="G138" s="8">
        <v>82</v>
      </c>
      <c r="H138" s="8">
        <v>398</v>
      </c>
      <c r="I138" s="8">
        <v>213</v>
      </c>
      <c r="J138" s="8">
        <v>185</v>
      </c>
      <c r="K138" s="8">
        <v>41</v>
      </c>
      <c r="L138" s="10">
        <f t="shared" si="4"/>
        <v>10.301507537688442</v>
      </c>
      <c r="M138" s="8">
        <v>294</v>
      </c>
      <c r="N138" s="10">
        <f t="shared" si="5"/>
        <v>73.869346733668337</v>
      </c>
      <c r="O138" s="8">
        <v>20.010000000000002</v>
      </c>
      <c r="P138" s="8">
        <v>0</v>
      </c>
      <c r="Q138" s="13" t="s">
        <v>408</v>
      </c>
      <c r="R138" s="14">
        <v>45181</v>
      </c>
      <c r="S138" s="39"/>
      <c r="T138" s="12">
        <v>20.010000000000002</v>
      </c>
      <c r="U138" s="39"/>
      <c r="V138" s="39"/>
      <c r="W138" s="39"/>
      <c r="X138" s="39"/>
      <c r="Y138" s="39"/>
      <c r="Z138" s="39"/>
      <c r="AA138" s="39" t="s">
        <v>408</v>
      </c>
      <c r="AB138" s="16">
        <v>14</v>
      </c>
      <c r="AC138" s="39"/>
      <c r="AD138" s="11">
        <v>25.363679999999999</v>
      </c>
      <c r="AE138" s="11">
        <v>76.292750999999996</v>
      </c>
    </row>
    <row r="139" spans="1:31">
      <c r="A139" s="8" t="s">
        <v>36</v>
      </c>
      <c r="B139" s="8" t="s">
        <v>37</v>
      </c>
      <c r="C139" s="8" t="s">
        <v>315</v>
      </c>
      <c r="D139" s="9" t="s">
        <v>324</v>
      </c>
      <c r="E139" s="8" t="s">
        <v>325</v>
      </c>
      <c r="F139" s="8">
        <v>852.03</v>
      </c>
      <c r="G139" s="8">
        <v>294</v>
      </c>
      <c r="H139" s="8">
        <v>1610</v>
      </c>
      <c r="I139" s="8">
        <v>850</v>
      </c>
      <c r="J139" s="8">
        <v>760</v>
      </c>
      <c r="K139" s="8">
        <v>474</v>
      </c>
      <c r="L139" s="10">
        <f t="shared" si="4"/>
        <v>29.440993788819874</v>
      </c>
      <c r="M139" s="8">
        <v>380</v>
      </c>
      <c r="N139" s="10">
        <f t="shared" si="5"/>
        <v>23.602484472049689</v>
      </c>
      <c r="O139" s="8">
        <v>46.05</v>
      </c>
      <c r="P139" s="8">
        <v>0</v>
      </c>
      <c r="Q139" s="13" t="s">
        <v>408</v>
      </c>
      <c r="R139" s="14">
        <v>45181</v>
      </c>
      <c r="S139" s="39"/>
      <c r="T139" s="12">
        <v>46.05</v>
      </c>
      <c r="U139" s="39"/>
      <c r="V139" s="39"/>
      <c r="W139" s="39"/>
      <c r="X139" s="39"/>
      <c r="Y139" s="39"/>
      <c r="Z139" s="39"/>
      <c r="AA139" s="39" t="s">
        <v>408</v>
      </c>
      <c r="AB139" s="16">
        <v>40</v>
      </c>
      <c r="AC139" s="39"/>
      <c r="AD139" s="11">
        <v>25.535150000000002</v>
      </c>
      <c r="AE139" s="11">
        <v>76.357114999999993</v>
      </c>
    </row>
    <row r="140" spans="1:31">
      <c r="A140" s="8" t="s">
        <v>36</v>
      </c>
      <c r="B140" s="8" t="s">
        <v>37</v>
      </c>
      <c r="C140" s="8" t="s">
        <v>326</v>
      </c>
      <c r="D140" s="9" t="s">
        <v>327</v>
      </c>
      <c r="E140" s="8" t="s">
        <v>328</v>
      </c>
      <c r="F140" s="8">
        <v>512.77</v>
      </c>
      <c r="G140" s="8">
        <v>1060</v>
      </c>
      <c r="H140" s="8">
        <v>5143</v>
      </c>
      <c r="I140" s="8">
        <v>2652</v>
      </c>
      <c r="J140" s="8">
        <v>2491</v>
      </c>
      <c r="K140" s="8">
        <v>1271</v>
      </c>
      <c r="L140" s="10">
        <f t="shared" si="4"/>
        <v>24.71320241104414</v>
      </c>
      <c r="M140" s="8">
        <v>19</v>
      </c>
      <c r="N140" s="10">
        <f t="shared" si="5"/>
        <v>0.36943418238382264</v>
      </c>
      <c r="O140" s="8">
        <v>0</v>
      </c>
      <c r="P140" s="8">
        <v>0</v>
      </c>
      <c r="Q140" s="10"/>
      <c r="R140" s="10"/>
      <c r="S140" s="39"/>
      <c r="T140" s="10"/>
      <c r="U140" s="39"/>
      <c r="V140" s="39"/>
      <c r="W140" s="39"/>
      <c r="X140" s="39"/>
      <c r="Y140" s="39"/>
      <c r="Z140" s="39"/>
      <c r="AA140" s="39" t="s">
        <v>1949</v>
      </c>
      <c r="AB140" s="10"/>
      <c r="AC140" s="39"/>
      <c r="AD140" s="10"/>
      <c r="AE140" s="10"/>
    </row>
    <row r="141" spans="1:31">
      <c r="A141" s="8" t="s">
        <v>36</v>
      </c>
      <c r="B141" s="8" t="s">
        <v>37</v>
      </c>
      <c r="C141" s="8" t="s">
        <v>329</v>
      </c>
      <c r="D141" s="9" t="s">
        <v>330</v>
      </c>
      <c r="E141" s="8" t="s">
        <v>331</v>
      </c>
      <c r="F141" s="8">
        <v>493.57</v>
      </c>
      <c r="G141" s="8">
        <v>336</v>
      </c>
      <c r="H141" s="8">
        <v>1674</v>
      </c>
      <c r="I141" s="8">
        <v>858</v>
      </c>
      <c r="J141" s="8">
        <v>816</v>
      </c>
      <c r="K141" s="8">
        <v>347</v>
      </c>
      <c r="L141" s="10">
        <f t="shared" si="4"/>
        <v>20.728793309438469</v>
      </c>
      <c r="M141" s="8">
        <v>82</v>
      </c>
      <c r="N141" s="10">
        <f t="shared" si="5"/>
        <v>4.8984468339307048</v>
      </c>
      <c r="O141" s="8">
        <v>32.61</v>
      </c>
      <c r="P141" s="8">
        <v>0</v>
      </c>
      <c r="Q141" s="13" t="s">
        <v>408</v>
      </c>
      <c r="R141" s="14">
        <v>45174</v>
      </c>
      <c r="S141" s="39"/>
      <c r="T141" s="12">
        <v>32.61</v>
      </c>
      <c r="U141" s="39"/>
      <c r="V141" s="39"/>
      <c r="W141" s="39"/>
      <c r="X141" s="39"/>
      <c r="Y141" s="39"/>
      <c r="Z141" s="39"/>
      <c r="AA141" s="39" t="s">
        <v>408</v>
      </c>
      <c r="AB141" s="16">
        <v>29</v>
      </c>
      <c r="AC141" s="39"/>
      <c r="AD141" s="11">
        <v>25.582718</v>
      </c>
      <c r="AE141" s="11">
        <v>76.395471000000001</v>
      </c>
    </row>
    <row r="142" spans="1:31">
      <c r="A142" s="8" t="s">
        <v>36</v>
      </c>
      <c r="B142" s="8" t="s">
        <v>37</v>
      </c>
      <c r="C142" s="8" t="s">
        <v>329</v>
      </c>
      <c r="D142" s="9" t="s">
        <v>332</v>
      </c>
      <c r="E142" s="8" t="s">
        <v>333</v>
      </c>
      <c r="F142" s="8">
        <v>312.75</v>
      </c>
      <c r="G142" s="8">
        <v>118</v>
      </c>
      <c r="H142" s="8">
        <v>649</v>
      </c>
      <c r="I142" s="8">
        <v>348</v>
      </c>
      <c r="J142" s="8">
        <v>301</v>
      </c>
      <c r="K142" s="8">
        <v>178</v>
      </c>
      <c r="L142" s="10">
        <f t="shared" si="4"/>
        <v>27.426810477657938</v>
      </c>
      <c r="M142" s="8">
        <v>288</v>
      </c>
      <c r="N142" s="10">
        <f t="shared" si="5"/>
        <v>44.375963020030817</v>
      </c>
      <c r="O142" s="8">
        <v>7.12</v>
      </c>
      <c r="P142" s="8">
        <v>0</v>
      </c>
      <c r="Q142" s="13" t="s">
        <v>408</v>
      </c>
      <c r="R142" s="14">
        <v>45174</v>
      </c>
      <c r="S142" s="39"/>
      <c r="T142" s="12">
        <v>7.12</v>
      </c>
      <c r="U142" s="39"/>
      <c r="V142" s="39"/>
      <c r="W142" s="39"/>
      <c r="X142" s="39"/>
      <c r="Y142" s="39"/>
      <c r="Z142" s="39"/>
      <c r="AA142" s="39" t="s">
        <v>408</v>
      </c>
      <c r="AB142" s="16">
        <v>6</v>
      </c>
      <c r="AC142" s="39"/>
      <c r="AD142" s="11">
        <v>25.552555999999999</v>
      </c>
      <c r="AE142" s="11">
        <v>76.401049999999998</v>
      </c>
    </row>
    <row r="143" spans="1:31">
      <c r="A143" s="8" t="s">
        <v>36</v>
      </c>
      <c r="B143" s="8" t="s">
        <v>37</v>
      </c>
      <c r="C143" s="8" t="s">
        <v>329</v>
      </c>
      <c r="D143" s="9" t="s">
        <v>334</v>
      </c>
      <c r="E143" s="8" t="s">
        <v>335</v>
      </c>
      <c r="F143" s="8">
        <v>862.74</v>
      </c>
      <c r="G143" s="8">
        <v>246</v>
      </c>
      <c r="H143" s="8">
        <v>1299</v>
      </c>
      <c r="I143" s="8">
        <v>645</v>
      </c>
      <c r="J143" s="8">
        <v>654</v>
      </c>
      <c r="K143" s="8">
        <v>303</v>
      </c>
      <c r="L143" s="10">
        <f t="shared" si="4"/>
        <v>23.325635103926096</v>
      </c>
      <c r="M143" s="8">
        <v>713</v>
      </c>
      <c r="N143" s="10">
        <f t="shared" si="5"/>
        <v>54.888375673595071</v>
      </c>
      <c r="O143" s="8">
        <v>0</v>
      </c>
      <c r="P143" s="8">
        <v>0</v>
      </c>
      <c r="Q143" s="10"/>
      <c r="R143" s="10"/>
      <c r="S143" s="39"/>
      <c r="T143" s="10"/>
      <c r="U143" s="39"/>
      <c r="V143" s="39"/>
      <c r="W143" s="39"/>
      <c r="X143" s="39"/>
      <c r="Y143" s="39"/>
      <c r="Z143" s="39"/>
      <c r="AA143" s="39" t="s">
        <v>1949</v>
      </c>
      <c r="AB143" s="10"/>
      <c r="AC143" s="39"/>
      <c r="AD143" s="10"/>
      <c r="AE143" s="10"/>
    </row>
    <row r="144" spans="1:31">
      <c r="A144" s="8" t="s">
        <v>36</v>
      </c>
      <c r="B144" s="8" t="s">
        <v>37</v>
      </c>
      <c r="C144" s="8" t="s">
        <v>329</v>
      </c>
      <c r="D144" s="9" t="s">
        <v>336</v>
      </c>
      <c r="E144" s="8" t="s">
        <v>337</v>
      </c>
      <c r="F144" s="8">
        <v>679.31</v>
      </c>
      <c r="G144" s="8">
        <v>283</v>
      </c>
      <c r="H144" s="8">
        <v>1400</v>
      </c>
      <c r="I144" s="8">
        <v>701</v>
      </c>
      <c r="J144" s="8">
        <v>699</v>
      </c>
      <c r="K144" s="8">
        <v>499</v>
      </c>
      <c r="L144" s="10">
        <f t="shared" si="4"/>
        <v>35.642857142857146</v>
      </c>
      <c r="M144" s="8">
        <v>621</v>
      </c>
      <c r="N144" s="10">
        <f t="shared" si="5"/>
        <v>44.357142857142854</v>
      </c>
      <c r="O144" s="8">
        <v>0.04</v>
      </c>
      <c r="P144" s="8">
        <v>0</v>
      </c>
      <c r="Q144" s="13" t="s">
        <v>408</v>
      </c>
      <c r="R144" s="14">
        <v>45174</v>
      </c>
      <c r="S144" s="39"/>
      <c r="T144" s="12">
        <v>0.04</v>
      </c>
      <c r="U144" s="39"/>
      <c r="V144" s="39"/>
      <c r="W144" s="39"/>
      <c r="X144" s="39"/>
      <c r="Y144" s="39"/>
      <c r="Z144" s="39"/>
      <c r="AA144" s="39" t="s">
        <v>1949</v>
      </c>
      <c r="AB144" s="16"/>
      <c r="AC144" s="39"/>
      <c r="AD144" s="13">
        <v>25.603193999999998</v>
      </c>
      <c r="AE144" s="13">
        <v>76.397043999999994</v>
      </c>
    </row>
    <row r="145" spans="1:31">
      <c r="A145" s="8" t="s">
        <v>36</v>
      </c>
      <c r="B145" s="8" t="s">
        <v>37</v>
      </c>
      <c r="C145" s="8" t="s">
        <v>329</v>
      </c>
      <c r="D145" s="9" t="s">
        <v>338</v>
      </c>
      <c r="E145" s="8" t="s">
        <v>339</v>
      </c>
      <c r="F145" s="8">
        <v>430.48</v>
      </c>
      <c r="G145" s="8">
        <v>195</v>
      </c>
      <c r="H145" s="8">
        <v>907</v>
      </c>
      <c r="I145" s="8">
        <v>463</v>
      </c>
      <c r="J145" s="8">
        <v>444</v>
      </c>
      <c r="K145" s="8">
        <v>85</v>
      </c>
      <c r="L145" s="10">
        <f t="shared" si="4"/>
        <v>9.3715545755237049</v>
      </c>
      <c r="M145" s="8">
        <v>584</v>
      </c>
      <c r="N145" s="10">
        <f t="shared" si="5"/>
        <v>64.388092613009917</v>
      </c>
      <c r="O145" s="8">
        <v>0</v>
      </c>
      <c r="P145" s="8">
        <v>0</v>
      </c>
      <c r="Q145" s="13" t="s">
        <v>408</v>
      </c>
      <c r="R145" s="14">
        <v>45174</v>
      </c>
      <c r="S145" s="39"/>
      <c r="T145" s="12">
        <v>0</v>
      </c>
      <c r="U145" s="39"/>
      <c r="V145" s="39"/>
      <c r="W145" s="39"/>
      <c r="X145" s="39"/>
      <c r="Y145" s="39"/>
      <c r="Z145" s="39"/>
      <c r="AA145" s="39" t="s">
        <v>1949</v>
      </c>
      <c r="AB145" s="16"/>
      <c r="AC145" s="39"/>
      <c r="AD145" s="13">
        <v>25.617867</v>
      </c>
      <c r="AE145" s="13">
        <v>76.373240999999993</v>
      </c>
    </row>
    <row r="146" spans="1:31">
      <c r="A146" s="8" t="s">
        <v>36</v>
      </c>
      <c r="B146" s="8" t="s">
        <v>37</v>
      </c>
      <c r="C146" s="8" t="s">
        <v>329</v>
      </c>
      <c r="D146" s="9" t="s">
        <v>340</v>
      </c>
      <c r="E146" s="8" t="s">
        <v>341</v>
      </c>
      <c r="F146" s="8">
        <v>297.32</v>
      </c>
      <c r="G146" s="8">
        <v>84</v>
      </c>
      <c r="H146" s="8">
        <v>448</v>
      </c>
      <c r="I146" s="8">
        <v>235</v>
      </c>
      <c r="J146" s="8">
        <v>213</v>
      </c>
      <c r="K146" s="8">
        <v>141</v>
      </c>
      <c r="L146" s="10">
        <f t="shared" si="4"/>
        <v>31.473214285714285</v>
      </c>
      <c r="M146" s="8">
        <v>0</v>
      </c>
      <c r="N146" s="10">
        <f t="shared" si="5"/>
        <v>0</v>
      </c>
      <c r="O146" s="8">
        <v>0</v>
      </c>
      <c r="P146" s="8">
        <v>0</v>
      </c>
      <c r="Q146" s="13" t="s">
        <v>408</v>
      </c>
      <c r="R146" s="14">
        <v>45174</v>
      </c>
      <c r="S146" s="39"/>
      <c r="T146" s="12">
        <v>0</v>
      </c>
      <c r="U146" s="39"/>
      <c r="V146" s="39"/>
      <c r="W146" s="39"/>
      <c r="X146" s="39"/>
      <c r="Y146" s="39"/>
      <c r="Z146" s="39"/>
      <c r="AA146" s="39" t="s">
        <v>1949</v>
      </c>
      <c r="AB146" s="16"/>
      <c r="AC146" s="39"/>
      <c r="AD146" s="13">
        <v>25.567294</v>
      </c>
      <c r="AE146" s="13">
        <v>76.373203000000004</v>
      </c>
    </row>
    <row r="147" spans="1:31">
      <c r="A147" s="8" t="s">
        <v>36</v>
      </c>
      <c r="B147" s="8" t="s">
        <v>37</v>
      </c>
      <c r="C147" s="8" t="s">
        <v>329</v>
      </c>
      <c r="D147" s="9" t="s">
        <v>342</v>
      </c>
      <c r="E147" s="8" t="s">
        <v>343</v>
      </c>
      <c r="F147" s="8">
        <v>460</v>
      </c>
      <c r="G147" s="8">
        <v>281</v>
      </c>
      <c r="H147" s="8">
        <v>1371</v>
      </c>
      <c r="I147" s="8">
        <v>725</v>
      </c>
      <c r="J147" s="8">
        <v>646</v>
      </c>
      <c r="K147" s="8">
        <v>410</v>
      </c>
      <c r="L147" s="10">
        <f t="shared" si="4"/>
        <v>29.90517870167761</v>
      </c>
      <c r="M147" s="8">
        <v>60</v>
      </c>
      <c r="N147" s="10">
        <f t="shared" si="5"/>
        <v>4.3763676148796495</v>
      </c>
      <c r="O147" s="8">
        <v>0</v>
      </c>
      <c r="P147" s="8">
        <v>0</v>
      </c>
      <c r="Q147" s="13" t="s">
        <v>408</v>
      </c>
      <c r="R147" s="14">
        <v>45174</v>
      </c>
      <c r="S147" s="39"/>
      <c r="T147" s="12">
        <v>0</v>
      </c>
      <c r="U147" s="39"/>
      <c r="V147" s="39"/>
      <c r="W147" s="39"/>
      <c r="X147" s="39"/>
      <c r="Y147" s="39"/>
      <c r="Z147" s="39"/>
      <c r="AA147" s="39" t="s">
        <v>1949</v>
      </c>
      <c r="AB147" s="16"/>
      <c r="AC147" s="39"/>
      <c r="AD147" s="13">
        <v>25.579356000000001</v>
      </c>
      <c r="AE147" s="13">
        <v>76.358754000000005</v>
      </c>
    </row>
    <row r="148" spans="1:31">
      <c r="A148" s="8" t="s">
        <v>36</v>
      </c>
      <c r="B148" s="8" t="s">
        <v>37</v>
      </c>
      <c r="C148" s="8" t="s">
        <v>344</v>
      </c>
      <c r="D148" s="9" t="s">
        <v>345</v>
      </c>
      <c r="E148" s="8" t="s">
        <v>346</v>
      </c>
      <c r="F148" s="8">
        <v>980.18</v>
      </c>
      <c r="G148" s="8">
        <v>476</v>
      </c>
      <c r="H148" s="8">
        <v>2195</v>
      </c>
      <c r="I148" s="8">
        <v>1158</v>
      </c>
      <c r="J148" s="8">
        <v>1037</v>
      </c>
      <c r="K148" s="8">
        <v>857</v>
      </c>
      <c r="L148" s="10">
        <f t="shared" si="4"/>
        <v>39.043280182232351</v>
      </c>
      <c r="M148" s="8">
        <v>717</v>
      </c>
      <c r="N148" s="10">
        <f t="shared" si="5"/>
        <v>32.665148063781317</v>
      </c>
      <c r="O148" s="8">
        <v>0</v>
      </c>
      <c r="P148" s="8">
        <v>0</v>
      </c>
      <c r="Q148" s="31"/>
      <c r="R148" s="31"/>
      <c r="S148" s="39"/>
      <c r="T148" s="18">
        <v>2.2599999999999998</v>
      </c>
      <c r="U148" s="39"/>
      <c r="V148" s="39"/>
      <c r="W148" s="39"/>
      <c r="X148" s="39"/>
      <c r="Y148" s="39"/>
      <c r="Z148" s="39"/>
      <c r="AA148" s="39" t="s">
        <v>1949</v>
      </c>
      <c r="AB148" s="18"/>
      <c r="AC148" s="39"/>
      <c r="AD148" s="18" t="s">
        <v>410</v>
      </c>
      <c r="AE148" s="18" t="s">
        <v>410</v>
      </c>
    </row>
    <row r="149" spans="1:31">
      <c r="A149" s="8" t="s">
        <v>36</v>
      </c>
      <c r="B149" s="8" t="s">
        <v>37</v>
      </c>
      <c r="C149" s="8" t="s">
        <v>344</v>
      </c>
      <c r="D149" s="9" t="s">
        <v>347</v>
      </c>
      <c r="E149" s="8" t="s">
        <v>348</v>
      </c>
      <c r="F149" s="8">
        <v>605.63</v>
      </c>
      <c r="G149" s="8">
        <v>196</v>
      </c>
      <c r="H149" s="8">
        <v>836</v>
      </c>
      <c r="I149" s="8">
        <v>435</v>
      </c>
      <c r="J149" s="8">
        <v>401</v>
      </c>
      <c r="K149" s="8">
        <v>67</v>
      </c>
      <c r="L149" s="10">
        <f t="shared" si="4"/>
        <v>8.0143540669856463</v>
      </c>
      <c r="M149" s="8">
        <v>536</v>
      </c>
      <c r="N149" s="10">
        <f t="shared" si="5"/>
        <v>64.114832535885171</v>
      </c>
      <c r="O149" s="8">
        <v>7.11</v>
      </c>
      <c r="P149" s="8">
        <v>0</v>
      </c>
      <c r="Q149" s="31"/>
      <c r="R149" s="31"/>
      <c r="S149" s="39"/>
      <c r="T149" s="18">
        <v>0</v>
      </c>
      <c r="U149" s="39"/>
      <c r="V149" s="39"/>
      <c r="W149" s="39"/>
      <c r="X149" s="39"/>
      <c r="Y149" s="39"/>
      <c r="Z149" s="39"/>
      <c r="AA149" s="39" t="s">
        <v>1949</v>
      </c>
      <c r="AB149" s="18"/>
      <c r="AC149" s="39"/>
      <c r="AD149" s="18" t="s">
        <v>410</v>
      </c>
      <c r="AE149" s="18" t="s">
        <v>410</v>
      </c>
    </row>
    <row r="150" spans="1:31">
      <c r="A150" s="8" t="s">
        <v>36</v>
      </c>
      <c r="B150" s="8" t="s">
        <v>37</v>
      </c>
      <c r="C150" s="8" t="s">
        <v>344</v>
      </c>
      <c r="D150" s="9" t="s">
        <v>349</v>
      </c>
      <c r="E150" s="8" t="s">
        <v>350</v>
      </c>
      <c r="F150" s="8">
        <v>623.69000000000005</v>
      </c>
      <c r="G150" s="8">
        <v>51</v>
      </c>
      <c r="H150" s="8">
        <v>251</v>
      </c>
      <c r="I150" s="8">
        <v>138</v>
      </c>
      <c r="J150" s="8">
        <v>113</v>
      </c>
      <c r="K150" s="8">
        <v>12</v>
      </c>
      <c r="L150" s="10">
        <f t="shared" si="4"/>
        <v>4.7808764940239046</v>
      </c>
      <c r="M150" s="8">
        <v>199</v>
      </c>
      <c r="N150" s="10">
        <f t="shared" si="5"/>
        <v>79.282868525896404</v>
      </c>
      <c r="O150" s="8">
        <v>2.2599999999999998</v>
      </c>
      <c r="P150" s="8">
        <v>234.63</v>
      </c>
      <c r="Q150" s="31"/>
      <c r="R150" s="31"/>
      <c r="S150" s="39"/>
      <c r="T150" s="18">
        <v>0</v>
      </c>
      <c r="U150" s="39"/>
      <c r="V150" s="39"/>
      <c r="W150" s="39"/>
      <c r="X150" s="39"/>
      <c r="Y150" s="39"/>
      <c r="Z150" s="39"/>
      <c r="AA150" s="39" t="s">
        <v>1949</v>
      </c>
      <c r="AB150" s="18"/>
      <c r="AC150" s="39"/>
      <c r="AD150" s="18" t="s">
        <v>410</v>
      </c>
      <c r="AE150" s="18" t="s">
        <v>410</v>
      </c>
    </row>
    <row r="151" spans="1:31">
      <c r="A151" s="8" t="s">
        <v>36</v>
      </c>
      <c r="B151" s="8" t="s">
        <v>37</v>
      </c>
      <c r="C151" s="8" t="s">
        <v>344</v>
      </c>
      <c r="D151" s="9" t="s">
        <v>351</v>
      </c>
      <c r="E151" s="8" t="s">
        <v>352</v>
      </c>
      <c r="F151" s="8">
        <v>512.32000000000005</v>
      </c>
      <c r="G151" s="8">
        <v>151</v>
      </c>
      <c r="H151" s="8">
        <v>823</v>
      </c>
      <c r="I151" s="8">
        <v>442</v>
      </c>
      <c r="J151" s="8">
        <v>381</v>
      </c>
      <c r="K151" s="8">
        <v>72</v>
      </c>
      <c r="L151" s="10">
        <f t="shared" si="4"/>
        <v>8.7484811664641562</v>
      </c>
      <c r="M151" s="8">
        <v>393</v>
      </c>
      <c r="N151" s="10">
        <f t="shared" si="5"/>
        <v>47.752126366950179</v>
      </c>
      <c r="O151" s="8">
        <v>0</v>
      </c>
      <c r="P151" s="8">
        <v>36.700000000000003</v>
      </c>
      <c r="Q151" s="31"/>
      <c r="R151" s="31"/>
      <c r="S151" s="39"/>
      <c r="T151" s="18">
        <v>0</v>
      </c>
      <c r="U151" s="39"/>
      <c r="V151" s="39"/>
      <c r="W151" s="39"/>
      <c r="X151" s="39"/>
      <c r="Y151" s="39"/>
      <c r="Z151" s="39"/>
      <c r="AA151" s="39" t="s">
        <v>1949</v>
      </c>
      <c r="AB151" s="18"/>
      <c r="AC151" s="39"/>
      <c r="AD151" s="18" t="s">
        <v>410</v>
      </c>
      <c r="AE151" s="18" t="s">
        <v>410</v>
      </c>
    </row>
    <row r="152" spans="1:31">
      <c r="A152" s="8" t="s">
        <v>36</v>
      </c>
      <c r="B152" s="8" t="s">
        <v>37</v>
      </c>
      <c r="C152" s="8" t="s">
        <v>344</v>
      </c>
      <c r="D152" s="9" t="s">
        <v>353</v>
      </c>
      <c r="E152" s="8" t="s">
        <v>354</v>
      </c>
      <c r="F152" s="8">
        <v>226.14</v>
      </c>
      <c r="G152" s="8">
        <v>3</v>
      </c>
      <c r="H152" s="8">
        <v>7</v>
      </c>
      <c r="I152" s="8">
        <v>4</v>
      </c>
      <c r="J152" s="8">
        <v>3</v>
      </c>
      <c r="K152" s="8">
        <v>2</v>
      </c>
      <c r="L152" s="10">
        <f t="shared" si="4"/>
        <v>28.571428571428569</v>
      </c>
      <c r="M152" s="8">
        <v>1</v>
      </c>
      <c r="N152" s="10">
        <f t="shared" si="5"/>
        <v>14.285714285714285</v>
      </c>
      <c r="O152" s="8">
        <v>0</v>
      </c>
      <c r="P152" s="8">
        <v>0</v>
      </c>
      <c r="Q152" s="10"/>
      <c r="R152" s="10"/>
      <c r="S152" s="39"/>
      <c r="T152" s="10"/>
      <c r="U152" s="39"/>
      <c r="V152" s="39"/>
      <c r="W152" s="39"/>
      <c r="X152" s="39"/>
      <c r="Y152" s="39"/>
      <c r="Z152" s="39"/>
      <c r="AA152" s="39" t="s">
        <v>1949</v>
      </c>
      <c r="AB152" s="10"/>
      <c r="AC152" s="39"/>
      <c r="AD152" s="10"/>
      <c r="AE152" s="10"/>
    </row>
    <row r="153" spans="1:31">
      <c r="A153" s="8" t="s">
        <v>36</v>
      </c>
      <c r="B153" s="8" t="s">
        <v>37</v>
      </c>
      <c r="C153" s="8" t="s">
        <v>355</v>
      </c>
      <c r="D153" s="9" t="s">
        <v>356</v>
      </c>
      <c r="E153" s="8" t="s">
        <v>357</v>
      </c>
      <c r="F153" s="8">
        <v>629.1</v>
      </c>
      <c r="G153" s="8">
        <v>250</v>
      </c>
      <c r="H153" s="8">
        <v>1255</v>
      </c>
      <c r="I153" s="8">
        <v>653</v>
      </c>
      <c r="J153" s="8">
        <v>602</v>
      </c>
      <c r="K153" s="8">
        <v>237</v>
      </c>
      <c r="L153" s="10">
        <f t="shared" si="4"/>
        <v>18.88446215139442</v>
      </c>
      <c r="M153" s="8">
        <v>12</v>
      </c>
      <c r="N153" s="10">
        <f t="shared" si="5"/>
        <v>0.9561752988047808</v>
      </c>
      <c r="O153" s="8">
        <v>0</v>
      </c>
      <c r="P153" s="8">
        <v>105.57</v>
      </c>
      <c r="Q153" s="23" t="s">
        <v>409</v>
      </c>
      <c r="R153" s="24">
        <v>45932</v>
      </c>
      <c r="S153" s="39"/>
      <c r="T153" s="18">
        <v>0</v>
      </c>
      <c r="U153" s="39"/>
      <c r="V153" s="39"/>
      <c r="W153" s="39"/>
      <c r="X153" s="39"/>
      <c r="Y153" s="39"/>
      <c r="Z153" s="39"/>
      <c r="AA153" s="39" t="s">
        <v>1949</v>
      </c>
      <c r="AB153" s="18"/>
      <c r="AC153" s="39"/>
      <c r="AD153" s="18" t="s">
        <v>410</v>
      </c>
      <c r="AE153" s="18" t="s">
        <v>410</v>
      </c>
    </row>
    <row r="154" spans="1:31">
      <c r="A154" s="8" t="s">
        <v>36</v>
      </c>
      <c r="B154" s="8" t="s">
        <v>37</v>
      </c>
      <c r="C154" s="8" t="s">
        <v>355</v>
      </c>
      <c r="D154" s="9" t="s">
        <v>358</v>
      </c>
      <c r="E154" s="8" t="s">
        <v>359</v>
      </c>
      <c r="F154" s="8">
        <v>282.85000000000002</v>
      </c>
      <c r="G154" s="8">
        <v>16</v>
      </c>
      <c r="H154" s="8">
        <v>94</v>
      </c>
      <c r="I154" s="8">
        <v>51</v>
      </c>
      <c r="J154" s="8">
        <v>43</v>
      </c>
      <c r="K154" s="8">
        <v>0</v>
      </c>
      <c r="L154" s="10">
        <f t="shared" si="4"/>
        <v>0</v>
      </c>
      <c r="M154" s="8">
        <v>94</v>
      </c>
      <c r="N154" s="10">
        <f t="shared" si="5"/>
        <v>100</v>
      </c>
      <c r="O154" s="8">
        <v>0</v>
      </c>
      <c r="P154" s="8">
        <v>0</v>
      </c>
      <c r="Q154" s="10"/>
      <c r="R154" s="10"/>
      <c r="S154" s="39"/>
      <c r="T154" s="10"/>
      <c r="U154" s="39"/>
      <c r="V154" s="39"/>
      <c r="W154" s="39"/>
      <c r="X154" s="39"/>
      <c r="Y154" s="39"/>
      <c r="Z154" s="39"/>
      <c r="AA154" s="39" t="s">
        <v>1949</v>
      </c>
      <c r="AB154" s="10"/>
      <c r="AC154" s="39"/>
      <c r="AD154" s="10"/>
      <c r="AE154" s="10"/>
    </row>
    <row r="155" spans="1:31">
      <c r="A155" s="8" t="s">
        <v>36</v>
      </c>
      <c r="B155" s="8" t="s">
        <v>37</v>
      </c>
      <c r="C155" s="8" t="s">
        <v>355</v>
      </c>
      <c r="D155" s="9" t="s">
        <v>360</v>
      </c>
      <c r="E155" s="8" t="s">
        <v>361</v>
      </c>
      <c r="F155" s="8">
        <v>235.46</v>
      </c>
      <c r="G155" s="8">
        <v>59</v>
      </c>
      <c r="H155" s="8">
        <v>332</v>
      </c>
      <c r="I155" s="8">
        <v>169</v>
      </c>
      <c r="J155" s="8">
        <v>163</v>
      </c>
      <c r="K155" s="8">
        <v>134</v>
      </c>
      <c r="L155" s="10">
        <f t="shared" si="4"/>
        <v>40.361445783132531</v>
      </c>
      <c r="M155" s="8">
        <v>0</v>
      </c>
      <c r="N155" s="10">
        <f t="shared" si="5"/>
        <v>0</v>
      </c>
      <c r="O155" s="8">
        <v>0</v>
      </c>
      <c r="P155" s="8">
        <v>37.270000000000003</v>
      </c>
      <c r="Q155" s="23" t="s">
        <v>409</v>
      </c>
      <c r="R155" s="24">
        <v>45932</v>
      </c>
      <c r="S155" s="39"/>
      <c r="T155" s="18">
        <v>0</v>
      </c>
      <c r="U155" s="39"/>
      <c r="V155" s="39"/>
      <c r="W155" s="39"/>
      <c r="X155" s="39"/>
      <c r="Y155" s="39"/>
      <c r="Z155" s="39"/>
      <c r="AA155" s="39" t="s">
        <v>1949</v>
      </c>
      <c r="AB155" s="18"/>
      <c r="AC155" s="39"/>
      <c r="AD155" s="18" t="s">
        <v>410</v>
      </c>
      <c r="AE155" s="18" t="s">
        <v>410</v>
      </c>
    </row>
    <row r="156" spans="1:31">
      <c r="A156" s="8" t="s">
        <v>36</v>
      </c>
      <c r="B156" s="8" t="s">
        <v>37</v>
      </c>
      <c r="C156" s="8" t="s">
        <v>355</v>
      </c>
      <c r="D156" s="9" t="s">
        <v>362</v>
      </c>
      <c r="E156" s="8" t="s">
        <v>363</v>
      </c>
      <c r="F156" s="8">
        <v>275.98</v>
      </c>
      <c r="G156" s="8">
        <v>136</v>
      </c>
      <c r="H156" s="8">
        <v>698</v>
      </c>
      <c r="I156" s="8">
        <v>373</v>
      </c>
      <c r="J156" s="8">
        <v>325</v>
      </c>
      <c r="K156" s="8">
        <v>116</v>
      </c>
      <c r="L156" s="10">
        <f t="shared" si="4"/>
        <v>16.618911174785101</v>
      </c>
      <c r="M156" s="8">
        <v>177</v>
      </c>
      <c r="N156" s="10">
        <f t="shared" si="5"/>
        <v>25.358166189111746</v>
      </c>
      <c r="O156" s="8">
        <v>0</v>
      </c>
      <c r="P156" s="8">
        <v>110.64</v>
      </c>
      <c r="Q156" s="23" t="s">
        <v>409</v>
      </c>
      <c r="R156" s="24">
        <v>45932</v>
      </c>
      <c r="S156" s="39"/>
      <c r="T156" s="18">
        <v>0</v>
      </c>
      <c r="U156" s="39"/>
      <c r="V156" s="39"/>
      <c r="W156" s="39"/>
      <c r="X156" s="39"/>
      <c r="Y156" s="39"/>
      <c r="Z156" s="39"/>
      <c r="AA156" s="39" t="s">
        <v>1949</v>
      </c>
      <c r="AB156" s="18"/>
      <c r="AC156" s="39"/>
      <c r="AD156" s="18" t="s">
        <v>410</v>
      </c>
      <c r="AE156" s="18" t="s">
        <v>410</v>
      </c>
    </row>
    <row r="157" spans="1:31">
      <c r="A157" s="8" t="s">
        <v>36</v>
      </c>
      <c r="B157" s="8" t="s">
        <v>37</v>
      </c>
      <c r="C157" s="8" t="s">
        <v>355</v>
      </c>
      <c r="D157" s="9" t="s">
        <v>364</v>
      </c>
      <c r="E157" s="8" t="s">
        <v>365</v>
      </c>
      <c r="F157" s="8">
        <v>206.93</v>
      </c>
      <c r="G157" s="8">
        <v>22</v>
      </c>
      <c r="H157" s="8">
        <v>93</v>
      </c>
      <c r="I157" s="8">
        <v>47</v>
      </c>
      <c r="J157" s="8">
        <v>46</v>
      </c>
      <c r="K157" s="8">
        <v>0</v>
      </c>
      <c r="L157" s="10">
        <f t="shared" si="4"/>
        <v>0</v>
      </c>
      <c r="M157" s="8">
        <v>93</v>
      </c>
      <c r="N157" s="10">
        <f t="shared" si="5"/>
        <v>100</v>
      </c>
      <c r="O157" s="8">
        <v>0</v>
      </c>
      <c r="P157" s="8">
        <v>0</v>
      </c>
      <c r="Q157" s="23" t="s">
        <v>409</v>
      </c>
      <c r="R157" s="24">
        <v>45932</v>
      </c>
      <c r="S157" s="39"/>
      <c r="T157" s="18">
        <v>0</v>
      </c>
      <c r="U157" s="39"/>
      <c r="V157" s="39"/>
      <c r="W157" s="39"/>
      <c r="X157" s="39"/>
      <c r="Y157" s="39"/>
      <c r="Z157" s="39"/>
      <c r="AA157" s="39" t="s">
        <v>1949</v>
      </c>
      <c r="AB157" s="18"/>
      <c r="AC157" s="39"/>
      <c r="AD157" s="18" t="s">
        <v>410</v>
      </c>
      <c r="AE157" s="18" t="s">
        <v>410</v>
      </c>
    </row>
    <row r="158" spans="1:31">
      <c r="A158" s="8" t="s">
        <v>36</v>
      </c>
      <c r="B158" s="8" t="s">
        <v>37</v>
      </c>
      <c r="C158" s="8" t="s">
        <v>355</v>
      </c>
      <c r="D158" s="9" t="s">
        <v>366</v>
      </c>
      <c r="E158" s="8" t="s">
        <v>367</v>
      </c>
      <c r="F158" s="8">
        <v>9.4</v>
      </c>
      <c r="G158" s="8">
        <v>70</v>
      </c>
      <c r="H158" s="8">
        <v>291</v>
      </c>
      <c r="I158" s="8">
        <v>157</v>
      </c>
      <c r="J158" s="8">
        <v>134</v>
      </c>
      <c r="K158" s="8">
        <v>145</v>
      </c>
      <c r="L158" s="10">
        <f t="shared" si="4"/>
        <v>49.828178694158076</v>
      </c>
      <c r="M158" s="8">
        <v>142</v>
      </c>
      <c r="N158" s="10">
        <f t="shared" si="5"/>
        <v>48.797250859106526</v>
      </c>
      <c r="O158" s="8">
        <v>0</v>
      </c>
      <c r="P158" s="8">
        <v>0</v>
      </c>
      <c r="Q158" s="23" t="s">
        <v>409</v>
      </c>
      <c r="R158" s="24">
        <v>45932</v>
      </c>
      <c r="S158" s="39"/>
      <c r="T158" s="18">
        <v>0</v>
      </c>
      <c r="U158" s="39"/>
      <c r="V158" s="39"/>
      <c r="W158" s="39"/>
      <c r="X158" s="39"/>
      <c r="Y158" s="39"/>
      <c r="Z158" s="39"/>
      <c r="AA158" s="39" t="s">
        <v>1949</v>
      </c>
      <c r="AB158" s="18"/>
      <c r="AC158" s="39"/>
      <c r="AD158" s="18" t="s">
        <v>410</v>
      </c>
      <c r="AE158" s="18" t="s">
        <v>410</v>
      </c>
    </row>
    <row r="159" spans="1:31">
      <c r="A159" s="8" t="s">
        <v>36</v>
      </c>
      <c r="B159" s="8" t="s">
        <v>37</v>
      </c>
      <c r="C159" s="8" t="s">
        <v>355</v>
      </c>
      <c r="D159" s="9" t="s">
        <v>368</v>
      </c>
      <c r="E159" s="8" t="s">
        <v>369</v>
      </c>
      <c r="F159" s="8">
        <v>510.7</v>
      </c>
      <c r="G159" s="8">
        <v>302</v>
      </c>
      <c r="H159" s="8">
        <v>1562</v>
      </c>
      <c r="I159" s="8">
        <v>790</v>
      </c>
      <c r="J159" s="8">
        <v>772</v>
      </c>
      <c r="K159" s="8">
        <v>66</v>
      </c>
      <c r="L159" s="10">
        <f t="shared" si="4"/>
        <v>4.225352112676056</v>
      </c>
      <c r="M159" s="8">
        <v>633</v>
      </c>
      <c r="N159" s="10">
        <f t="shared" si="5"/>
        <v>40.524967989756725</v>
      </c>
      <c r="O159" s="8">
        <v>0</v>
      </c>
      <c r="P159" s="8">
        <v>0</v>
      </c>
      <c r="Q159" s="23" t="s">
        <v>409</v>
      </c>
      <c r="R159" s="24">
        <v>45932</v>
      </c>
      <c r="S159" s="39"/>
      <c r="T159" s="18">
        <v>0</v>
      </c>
      <c r="U159" s="39"/>
      <c r="V159" s="39"/>
      <c r="W159" s="39"/>
      <c r="X159" s="39"/>
      <c r="Y159" s="39"/>
      <c r="Z159" s="39"/>
      <c r="AA159" s="39" t="s">
        <v>1949</v>
      </c>
      <c r="AB159" s="18"/>
      <c r="AC159" s="39"/>
      <c r="AD159" s="18" t="s">
        <v>410</v>
      </c>
      <c r="AE159" s="18" t="s">
        <v>410</v>
      </c>
    </row>
    <row r="160" spans="1:31">
      <c r="A160" s="8" t="s">
        <v>36</v>
      </c>
      <c r="B160" s="8" t="s">
        <v>37</v>
      </c>
      <c r="C160" s="8" t="s">
        <v>355</v>
      </c>
      <c r="D160" s="9" t="s">
        <v>370</v>
      </c>
      <c r="E160" s="8" t="s">
        <v>371</v>
      </c>
      <c r="F160" s="8">
        <v>347.93</v>
      </c>
      <c r="G160" s="8">
        <v>58</v>
      </c>
      <c r="H160" s="8">
        <v>286</v>
      </c>
      <c r="I160" s="8">
        <v>152</v>
      </c>
      <c r="J160" s="8">
        <v>134</v>
      </c>
      <c r="K160" s="8">
        <v>0</v>
      </c>
      <c r="L160" s="10">
        <f t="shared" si="4"/>
        <v>0</v>
      </c>
      <c r="M160" s="8">
        <v>220</v>
      </c>
      <c r="N160" s="10">
        <f t="shared" si="5"/>
        <v>76.923076923076934</v>
      </c>
      <c r="O160" s="8">
        <v>0</v>
      </c>
      <c r="P160" s="8">
        <v>102.99</v>
      </c>
      <c r="Q160" s="23" t="s">
        <v>409</v>
      </c>
      <c r="R160" s="24">
        <v>45932</v>
      </c>
      <c r="S160" s="39"/>
      <c r="T160" s="18">
        <v>0</v>
      </c>
      <c r="U160" s="39"/>
      <c r="V160" s="39"/>
      <c r="W160" s="39"/>
      <c r="X160" s="39"/>
      <c r="Y160" s="39"/>
      <c r="Z160" s="39"/>
      <c r="AA160" s="39" t="s">
        <v>1949</v>
      </c>
      <c r="AB160" s="18"/>
      <c r="AC160" s="39"/>
      <c r="AD160" s="18" t="s">
        <v>410</v>
      </c>
      <c r="AE160" s="18" t="s">
        <v>410</v>
      </c>
    </row>
    <row r="161" spans="1:31">
      <c r="A161" s="8" t="s">
        <v>36</v>
      </c>
      <c r="B161" s="8" t="s">
        <v>37</v>
      </c>
      <c r="C161" s="8" t="s">
        <v>372</v>
      </c>
      <c r="D161" s="9" t="s">
        <v>373</v>
      </c>
      <c r="E161" s="8" t="s">
        <v>374</v>
      </c>
      <c r="F161" s="8">
        <v>941.15</v>
      </c>
      <c r="G161" s="8">
        <v>310</v>
      </c>
      <c r="H161" s="8">
        <v>1316</v>
      </c>
      <c r="I161" s="8">
        <v>668</v>
      </c>
      <c r="J161" s="8">
        <v>648</v>
      </c>
      <c r="K161" s="8">
        <v>207</v>
      </c>
      <c r="L161" s="10">
        <f t="shared" si="4"/>
        <v>15.729483282674773</v>
      </c>
      <c r="M161" s="8">
        <v>314</v>
      </c>
      <c r="N161" s="10">
        <f t="shared" si="5"/>
        <v>23.860182370820667</v>
      </c>
      <c r="O161" s="8">
        <v>0</v>
      </c>
      <c r="P161" s="8">
        <v>81.05</v>
      </c>
      <c r="Q161" s="18" t="s">
        <v>409</v>
      </c>
      <c r="R161" s="21">
        <v>45778</v>
      </c>
      <c r="S161" s="39"/>
      <c r="T161" s="18">
        <v>0</v>
      </c>
      <c r="U161" s="39"/>
      <c r="V161" s="39"/>
      <c r="W161" s="39"/>
      <c r="X161" s="39"/>
      <c r="Y161" s="39"/>
      <c r="Z161" s="39"/>
      <c r="AA161" s="39" t="s">
        <v>1949</v>
      </c>
      <c r="AB161" s="18"/>
      <c r="AC161" s="39"/>
      <c r="AD161" s="18" t="s">
        <v>410</v>
      </c>
      <c r="AE161" s="18" t="s">
        <v>410</v>
      </c>
    </row>
    <row r="162" spans="1:31">
      <c r="A162" s="8" t="s">
        <v>36</v>
      </c>
      <c r="B162" s="8" t="s">
        <v>37</v>
      </c>
      <c r="C162" s="8" t="s">
        <v>372</v>
      </c>
      <c r="D162" s="9" t="s">
        <v>375</v>
      </c>
      <c r="E162" s="8" t="s">
        <v>376</v>
      </c>
      <c r="F162" s="8">
        <v>51.19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10" t="e">
        <f t="shared" si="4"/>
        <v>#DIV/0!</v>
      </c>
      <c r="M162" s="8">
        <v>0</v>
      </c>
      <c r="N162" s="10" t="e">
        <f t="shared" si="5"/>
        <v>#DIV/0!</v>
      </c>
      <c r="O162" s="8">
        <v>0</v>
      </c>
      <c r="P162" s="8">
        <v>0</v>
      </c>
      <c r="Q162" s="18" t="s">
        <v>409</v>
      </c>
      <c r="R162" s="21">
        <v>45778</v>
      </c>
      <c r="S162" s="39"/>
      <c r="T162" s="18">
        <v>0</v>
      </c>
      <c r="U162" s="39"/>
      <c r="V162" s="39"/>
      <c r="W162" s="39"/>
      <c r="X162" s="39"/>
      <c r="Y162" s="39"/>
      <c r="Z162" s="39"/>
      <c r="AA162" s="39" t="s">
        <v>1949</v>
      </c>
      <c r="AB162" s="18"/>
      <c r="AC162" s="39"/>
      <c r="AD162" s="18" t="s">
        <v>410</v>
      </c>
      <c r="AE162" s="18" t="s">
        <v>410</v>
      </c>
    </row>
    <row r="163" spans="1:31">
      <c r="A163" s="8" t="s">
        <v>36</v>
      </c>
      <c r="B163" s="8" t="s">
        <v>37</v>
      </c>
      <c r="C163" s="8" t="s">
        <v>372</v>
      </c>
      <c r="D163" s="9" t="s">
        <v>377</v>
      </c>
      <c r="E163" s="8" t="s">
        <v>378</v>
      </c>
      <c r="F163" s="8">
        <v>259.60000000000002</v>
      </c>
      <c r="G163" s="8">
        <v>107</v>
      </c>
      <c r="H163" s="8">
        <v>547</v>
      </c>
      <c r="I163" s="8">
        <v>275</v>
      </c>
      <c r="J163" s="8">
        <v>272</v>
      </c>
      <c r="K163" s="8">
        <v>101</v>
      </c>
      <c r="L163" s="10">
        <f t="shared" si="4"/>
        <v>18.46435100548446</v>
      </c>
      <c r="M163" s="8">
        <v>209</v>
      </c>
      <c r="N163" s="10">
        <f t="shared" si="5"/>
        <v>38.208409506398539</v>
      </c>
      <c r="O163" s="8">
        <v>0</v>
      </c>
      <c r="P163" s="8">
        <v>0</v>
      </c>
      <c r="Q163" s="18" t="s">
        <v>409</v>
      </c>
      <c r="R163" s="21">
        <v>45778</v>
      </c>
      <c r="S163" s="39"/>
      <c r="T163" s="18">
        <v>0</v>
      </c>
      <c r="U163" s="39"/>
      <c r="V163" s="39"/>
      <c r="W163" s="39"/>
      <c r="X163" s="39"/>
      <c r="Y163" s="39"/>
      <c r="Z163" s="39"/>
      <c r="AA163" s="39" t="s">
        <v>1949</v>
      </c>
      <c r="AB163" s="18"/>
      <c r="AC163" s="39"/>
      <c r="AD163" s="18" t="s">
        <v>410</v>
      </c>
      <c r="AE163" s="18" t="s">
        <v>410</v>
      </c>
    </row>
    <row r="164" spans="1:31">
      <c r="A164" s="8" t="s">
        <v>36</v>
      </c>
      <c r="B164" s="8" t="s">
        <v>37</v>
      </c>
      <c r="C164" s="8" t="s">
        <v>372</v>
      </c>
      <c r="D164" s="9" t="s">
        <v>379</v>
      </c>
      <c r="E164" s="8" t="s">
        <v>380</v>
      </c>
      <c r="F164" s="8">
        <v>142.31</v>
      </c>
      <c r="G164" s="8">
        <v>69</v>
      </c>
      <c r="H164" s="8">
        <v>302</v>
      </c>
      <c r="I164" s="8">
        <v>163</v>
      </c>
      <c r="J164" s="8">
        <v>139</v>
      </c>
      <c r="K164" s="8">
        <v>0</v>
      </c>
      <c r="L164" s="10">
        <f t="shared" si="4"/>
        <v>0</v>
      </c>
      <c r="M164" s="8">
        <v>0</v>
      </c>
      <c r="N164" s="10">
        <f t="shared" si="5"/>
        <v>0</v>
      </c>
      <c r="O164" s="8">
        <v>0</v>
      </c>
      <c r="P164" s="8">
        <v>2.72</v>
      </c>
      <c r="Q164" s="18" t="s">
        <v>409</v>
      </c>
      <c r="R164" s="21">
        <v>45778</v>
      </c>
      <c r="S164" s="39"/>
      <c r="T164" s="18">
        <v>0</v>
      </c>
      <c r="U164" s="39"/>
      <c r="V164" s="39"/>
      <c r="W164" s="39"/>
      <c r="X164" s="39"/>
      <c r="Y164" s="39"/>
      <c r="Z164" s="39"/>
      <c r="AA164" s="39" t="s">
        <v>1949</v>
      </c>
      <c r="AB164" s="18"/>
      <c r="AC164" s="39"/>
      <c r="AD164" s="18" t="s">
        <v>410</v>
      </c>
      <c r="AE164" s="18" t="s">
        <v>410</v>
      </c>
    </row>
    <row r="165" spans="1:31">
      <c r="A165" s="8" t="s">
        <v>36</v>
      </c>
      <c r="B165" s="8" t="s">
        <v>37</v>
      </c>
      <c r="C165" s="8" t="s">
        <v>372</v>
      </c>
      <c r="D165" s="9" t="s">
        <v>381</v>
      </c>
      <c r="E165" s="8" t="s">
        <v>382</v>
      </c>
      <c r="F165" s="8">
        <v>365.16</v>
      </c>
      <c r="G165" s="8">
        <v>86</v>
      </c>
      <c r="H165" s="8">
        <v>424</v>
      </c>
      <c r="I165" s="8">
        <v>230</v>
      </c>
      <c r="J165" s="8">
        <v>194</v>
      </c>
      <c r="K165" s="8">
        <v>161</v>
      </c>
      <c r="L165" s="10">
        <f t="shared" si="4"/>
        <v>37.971698113207545</v>
      </c>
      <c r="M165" s="8">
        <v>239</v>
      </c>
      <c r="N165" s="10">
        <f t="shared" si="5"/>
        <v>56.367924528301884</v>
      </c>
      <c r="O165" s="8">
        <v>0</v>
      </c>
      <c r="P165" s="8">
        <v>0</v>
      </c>
      <c r="Q165" s="18" t="s">
        <v>409</v>
      </c>
      <c r="R165" s="21">
        <v>45778</v>
      </c>
      <c r="S165" s="39"/>
      <c r="T165" s="18">
        <v>0</v>
      </c>
      <c r="U165" s="39"/>
      <c r="V165" s="39"/>
      <c r="W165" s="39"/>
      <c r="X165" s="39"/>
      <c r="Y165" s="39"/>
      <c r="Z165" s="39"/>
      <c r="AA165" s="39" t="s">
        <v>1949</v>
      </c>
      <c r="AB165" s="18"/>
      <c r="AC165" s="39"/>
      <c r="AD165" s="18" t="s">
        <v>410</v>
      </c>
      <c r="AE165" s="18" t="s">
        <v>410</v>
      </c>
    </row>
    <row r="166" spans="1:31">
      <c r="A166" s="8" t="s">
        <v>36</v>
      </c>
      <c r="B166" s="8" t="s">
        <v>37</v>
      </c>
      <c r="C166" s="8" t="s">
        <v>372</v>
      </c>
      <c r="D166" s="9" t="s">
        <v>383</v>
      </c>
      <c r="E166" s="8" t="s">
        <v>384</v>
      </c>
      <c r="F166" s="8">
        <v>352.72</v>
      </c>
      <c r="G166" s="8">
        <v>85</v>
      </c>
      <c r="H166" s="8">
        <v>399</v>
      </c>
      <c r="I166" s="8">
        <v>216</v>
      </c>
      <c r="J166" s="8">
        <v>183</v>
      </c>
      <c r="K166" s="8">
        <v>54</v>
      </c>
      <c r="L166" s="10">
        <f t="shared" si="4"/>
        <v>13.533834586466165</v>
      </c>
      <c r="M166" s="8">
        <v>164</v>
      </c>
      <c r="N166" s="10">
        <f t="shared" si="5"/>
        <v>41.102756892230573</v>
      </c>
      <c r="O166" s="8">
        <v>0</v>
      </c>
      <c r="P166" s="8">
        <v>0</v>
      </c>
      <c r="Q166" s="10"/>
      <c r="R166" s="10"/>
      <c r="S166" s="39"/>
      <c r="T166" s="10"/>
      <c r="U166" s="39"/>
      <c r="V166" s="39"/>
      <c r="W166" s="39"/>
      <c r="X166" s="39"/>
      <c r="Y166" s="39"/>
      <c r="Z166" s="39"/>
      <c r="AA166" s="39" t="s">
        <v>1949</v>
      </c>
      <c r="AB166" s="10"/>
      <c r="AC166" s="39"/>
      <c r="AD166" s="10"/>
      <c r="AE166" s="10"/>
    </row>
    <row r="167" spans="1:31">
      <c r="A167" s="8" t="s">
        <v>36</v>
      </c>
      <c r="B167" s="8" t="s">
        <v>37</v>
      </c>
      <c r="C167" s="8" t="s">
        <v>372</v>
      </c>
      <c r="D167" s="9" t="s">
        <v>385</v>
      </c>
      <c r="E167" s="8" t="s">
        <v>386</v>
      </c>
      <c r="F167" s="8">
        <v>581.67999999999995</v>
      </c>
      <c r="G167" s="8">
        <v>62</v>
      </c>
      <c r="H167" s="8">
        <v>275</v>
      </c>
      <c r="I167" s="8">
        <v>134</v>
      </c>
      <c r="J167" s="8">
        <v>141</v>
      </c>
      <c r="K167" s="8">
        <v>0</v>
      </c>
      <c r="L167" s="10">
        <f t="shared" si="4"/>
        <v>0</v>
      </c>
      <c r="M167" s="8">
        <v>0</v>
      </c>
      <c r="N167" s="10">
        <f t="shared" si="5"/>
        <v>0</v>
      </c>
      <c r="O167" s="8">
        <v>0</v>
      </c>
      <c r="P167" s="8">
        <v>0</v>
      </c>
      <c r="Q167" s="18" t="s">
        <v>409</v>
      </c>
      <c r="R167" s="21">
        <v>45778</v>
      </c>
      <c r="S167" s="39"/>
      <c r="T167" s="18">
        <v>0</v>
      </c>
      <c r="U167" s="39"/>
      <c r="V167" s="39"/>
      <c r="W167" s="39"/>
      <c r="X167" s="39"/>
      <c r="Y167" s="39"/>
      <c r="Z167" s="39"/>
      <c r="AA167" s="39" t="s">
        <v>1949</v>
      </c>
      <c r="AB167" s="18"/>
      <c r="AC167" s="39"/>
      <c r="AD167" s="18" t="s">
        <v>410</v>
      </c>
      <c r="AE167" s="18" t="s">
        <v>410</v>
      </c>
    </row>
    <row r="168" spans="1:31">
      <c r="A168" s="8" t="s">
        <v>36</v>
      </c>
      <c r="B168" s="8" t="s">
        <v>37</v>
      </c>
      <c r="C168" s="8" t="s">
        <v>372</v>
      </c>
      <c r="D168" s="9" t="s">
        <v>387</v>
      </c>
      <c r="E168" s="8" t="s">
        <v>388</v>
      </c>
      <c r="F168" s="8">
        <v>134.37</v>
      </c>
      <c r="G168" s="8">
        <v>93</v>
      </c>
      <c r="H168" s="8">
        <v>361</v>
      </c>
      <c r="I168" s="8">
        <v>186</v>
      </c>
      <c r="J168" s="8">
        <v>175</v>
      </c>
      <c r="K168" s="8">
        <v>361</v>
      </c>
      <c r="L168" s="10">
        <f t="shared" si="4"/>
        <v>100</v>
      </c>
      <c r="M168" s="8">
        <v>0</v>
      </c>
      <c r="N168" s="10">
        <f t="shared" si="5"/>
        <v>0</v>
      </c>
      <c r="O168" s="8">
        <v>0</v>
      </c>
      <c r="P168" s="8">
        <v>0</v>
      </c>
      <c r="Q168" s="18" t="s">
        <v>409</v>
      </c>
      <c r="R168" s="21">
        <v>45778</v>
      </c>
      <c r="S168" s="39"/>
      <c r="T168" s="18">
        <v>0</v>
      </c>
      <c r="U168" s="39"/>
      <c r="V168" s="39"/>
      <c r="W168" s="39"/>
      <c r="X168" s="39"/>
      <c r="Y168" s="39"/>
      <c r="Z168" s="39"/>
      <c r="AA168" s="39" t="s">
        <v>1949</v>
      </c>
      <c r="AB168" s="18"/>
      <c r="AC168" s="39"/>
      <c r="AD168" s="18" t="s">
        <v>410</v>
      </c>
      <c r="AE168" s="18" t="s">
        <v>410</v>
      </c>
    </row>
    <row r="169" spans="1:31">
      <c r="A169" s="8" t="s">
        <v>36</v>
      </c>
      <c r="B169" s="8" t="s">
        <v>37</v>
      </c>
      <c r="C169" s="8" t="s">
        <v>372</v>
      </c>
      <c r="D169" s="9" t="s">
        <v>389</v>
      </c>
      <c r="E169" s="8" t="s">
        <v>390</v>
      </c>
      <c r="F169" s="8">
        <v>190.05</v>
      </c>
      <c r="G169" s="8">
        <v>93</v>
      </c>
      <c r="H169" s="8">
        <v>410</v>
      </c>
      <c r="I169" s="8">
        <v>219</v>
      </c>
      <c r="J169" s="8">
        <v>191</v>
      </c>
      <c r="K169" s="8">
        <v>0</v>
      </c>
      <c r="L169" s="10">
        <f t="shared" si="4"/>
        <v>0</v>
      </c>
      <c r="M169" s="8">
        <v>0</v>
      </c>
      <c r="N169" s="10">
        <f t="shared" si="5"/>
        <v>0</v>
      </c>
      <c r="O169" s="8">
        <v>0</v>
      </c>
      <c r="P169" s="8">
        <v>0</v>
      </c>
      <c r="Q169" s="10"/>
      <c r="R169" s="10"/>
      <c r="S169" s="39"/>
      <c r="T169" s="10"/>
      <c r="U169" s="39"/>
      <c r="V169" s="39"/>
      <c r="W169" s="39"/>
      <c r="X169" s="39"/>
      <c r="Y169" s="39"/>
      <c r="Z169" s="39"/>
      <c r="AA169" s="39" t="s">
        <v>1949</v>
      </c>
      <c r="AB169" s="10"/>
      <c r="AC169" s="39"/>
      <c r="AD169" s="10"/>
      <c r="AE169" s="10"/>
    </row>
    <row r="170" spans="1:31">
      <c r="A170" s="8" t="s">
        <v>36</v>
      </c>
      <c r="B170" s="8" t="s">
        <v>37</v>
      </c>
      <c r="C170" s="8" t="s">
        <v>372</v>
      </c>
      <c r="D170" s="9" t="s">
        <v>391</v>
      </c>
      <c r="E170" s="8" t="s">
        <v>392</v>
      </c>
      <c r="F170" s="8">
        <v>313.44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10" t="e">
        <f t="shared" si="4"/>
        <v>#DIV/0!</v>
      </c>
      <c r="M170" s="8">
        <v>0</v>
      </c>
      <c r="N170" s="10" t="e">
        <f t="shared" si="5"/>
        <v>#DIV/0!</v>
      </c>
      <c r="O170" s="8">
        <v>0</v>
      </c>
      <c r="P170" s="8">
        <v>137.88999999999999</v>
      </c>
      <c r="Q170" s="10"/>
      <c r="R170" s="10"/>
      <c r="S170" s="39"/>
      <c r="T170" s="10"/>
      <c r="U170" s="39"/>
      <c r="V170" s="39"/>
      <c r="W170" s="39"/>
      <c r="X170" s="39"/>
      <c r="Y170" s="39"/>
      <c r="Z170" s="39"/>
      <c r="AA170" s="39" t="s">
        <v>1949</v>
      </c>
      <c r="AB170" s="10"/>
      <c r="AC170" s="39"/>
      <c r="AD170" s="10"/>
      <c r="AE170" s="10"/>
    </row>
    <row r="171" spans="1:31">
      <c r="A171" s="8" t="s">
        <v>36</v>
      </c>
      <c r="B171" s="8" t="s">
        <v>37</v>
      </c>
      <c r="C171" s="8" t="s">
        <v>393</v>
      </c>
      <c r="D171" s="9" t="s">
        <v>394</v>
      </c>
      <c r="E171" s="8" t="s">
        <v>395</v>
      </c>
      <c r="F171" s="8">
        <v>887.06</v>
      </c>
      <c r="G171" s="8">
        <v>713</v>
      </c>
      <c r="H171" s="8">
        <v>3595</v>
      </c>
      <c r="I171" s="8">
        <v>1830</v>
      </c>
      <c r="J171" s="8">
        <v>1765</v>
      </c>
      <c r="K171" s="8">
        <v>933</v>
      </c>
      <c r="L171" s="10">
        <f t="shared" si="4"/>
        <v>25.952712100139081</v>
      </c>
      <c r="M171" s="8">
        <v>67</v>
      </c>
      <c r="N171" s="10">
        <f t="shared" si="5"/>
        <v>1.8636995827538245</v>
      </c>
      <c r="O171" s="8">
        <v>0</v>
      </c>
      <c r="P171" s="8">
        <v>0</v>
      </c>
      <c r="Q171" s="18" t="s">
        <v>409</v>
      </c>
      <c r="R171" s="28">
        <v>45631</v>
      </c>
      <c r="S171" s="39"/>
      <c r="T171" s="18">
        <v>0</v>
      </c>
      <c r="U171" s="39"/>
      <c r="V171" s="39"/>
      <c r="W171" s="39"/>
      <c r="X171" s="39"/>
      <c r="Y171" s="39"/>
      <c r="Z171" s="39"/>
      <c r="AA171" s="39" t="s">
        <v>1949</v>
      </c>
      <c r="AB171" s="18"/>
      <c r="AC171" s="39"/>
      <c r="AD171" s="18" t="s">
        <v>410</v>
      </c>
      <c r="AE171" s="18" t="s">
        <v>410</v>
      </c>
    </row>
    <row r="172" spans="1:31">
      <c r="A172" s="8" t="s">
        <v>36</v>
      </c>
      <c r="B172" s="8" t="s">
        <v>37</v>
      </c>
      <c r="C172" s="8" t="s">
        <v>393</v>
      </c>
      <c r="D172" s="9" t="s">
        <v>396</v>
      </c>
      <c r="E172" s="8" t="s">
        <v>397</v>
      </c>
      <c r="F172" s="8">
        <v>316.5</v>
      </c>
      <c r="G172" s="8">
        <v>120</v>
      </c>
      <c r="H172" s="8">
        <v>694</v>
      </c>
      <c r="I172" s="8">
        <v>352</v>
      </c>
      <c r="J172" s="8">
        <v>342</v>
      </c>
      <c r="K172" s="8">
        <v>11</v>
      </c>
      <c r="L172" s="10">
        <f t="shared" si="4"/>
        <v>1.5850144092219021</v>
      </c>
      <c r="M172" s="8">
        <v>574</v>
      </c>
      <c r="N172" s="10">
        <f t="shared" si="5"/>
        <v>82.708933717579242</v>
      </c>
      <c r="O172" s="8">
        <v>0</v>
      </c>
      <c r="P172" s="8">
        <v>0</v>
      </c>
      <c r="Q172" s="18" t="s">
        <v>409</v>
      </c>
      <c r="R172" s="28">
        <v>45631</v>
      </c>
      <c r="S172" s="39"/>
      <c r="T172" s="18">
        <v>0</v>
      </c>
      <c r="U172" s="39"/>
      <c r="V172" s="39"/>
      <c r="W172" s="39"/>
      <c r="X172" s="39"/>
      <c r="Y172" s="39"/>
      <c r="Z172" s="39"/>
      <c r="AA172" s="39" t="s">
        <v>1949</v>
      </c>
      <c r="AB172" s="18"/>
      <c r="AC172" s="39"/>
      <c r="AD172" s="18" t="s">
        <v>410</v>
      </c>
      <c r="AE172" s="18" t="s">
        <v>410</v>
      </c>
    </row>
    <row r="173" spans="1:31">
      <c r="A173" s="8" t="s">
        <v>36</v>
      </c>
      <c r="B173" s="8" t="s">
        <v>37</v>
      </c>
      <c r="C173" s="8" t="s">
        <v>393</v>
      </c>
      <c r="D173" s="9" t="s">
        <v>398</v>
      </c>
      <c r="E173" s="8" t="s">
        <v>399</v>
      </c>
      <c r="F173" s="8">
        <v>513.66999999999996</v>
      </c>
      <c r="G173" s="8">
        <v>102</v>
      </c>
      <c r="H173" s="8">
        <v>562</v>
      </c>
      <c r="I173" s="8">
        <v>305</v>
      </c>
      <c r="J173" s="8">
        <v>257</v>
      </c>
      <c r="K173" s="8">
        <v>144</v>
      </c>
      <c r="L173" s="10">
        <f t="shared" si="4"/>
        <v>25.622775800711743</v>
      </c>
      <c r="M173" s="8">
        <v>205</v>
      </c>
      <c r="N173" s="10">
        <f t="shared" si="5"/>
        <v>36.476868327402137</v>
      </c>
      <c r="O173" s="8">
        <v>0</v>
      </c>
      <c r="P173" s="8">
        <v>0</v>
      </c>
      <c r="Q173" s="18" t="s">
        <v>409</v>
      </c>
      <c r="R173" s="28">
        <v>45631</v>
      </c>
      <c r="S173" s="39"/>
      <c r="T173" s="18">
        <v>0</v>
      </c>
      <c r="U173" s="39"/>
      <c r="V173" s="39"/>
      <c r="W173" s="39"/>
      <c r="X173" s="39"/>
      <c r="Y173" s="39"/>
      <c r="Z173" s="39"/>
      <c r="AA173" s="39" t="s">
        <v>1949</v>
      </c>
      <c r="AB173" s="18"/>
      <c r="AC173" s="39"/>
      <c r="AD173" s="18" t="s">
        <v>410</v>
      </c>
      <c r="AE173" s="18" t="s">
        <v>410</v>
      </c>
    </row>
    <row r="174" spans="1:31">
      <c r="A174" s="8" t="s">
        <v>36</v>
      </c>
      <c r="B174" s="8" t="s">
        <v>37</v>
      </c>
      <c r="C174" s="8" t="s">
        <v>393</v>
      </c>
      <c r="D174" s="9" t="s">
        <v>400</v>
      </c>
      <c r="E174" s="8" t="s">
        <v>401</v>
      </c>
      <c r="F174" s="8">
        <v>272.92</v>
      </c>
      <c r="G174" s="8">
        <v>110</v>
      </c>
      <c r="H174" s="8">
        <v>558</v>
      </c>
      <c r="I174" s="8">
        <v>283</v>
      </c>
      <c r="J174" s="8">
        <v>275</v>
      </c>
      <c r="K174" s="8">
        <v>110</v>
      </c>
      <c r="L174" s="10">
        <f t="shared" si="4"/>
        <v>19.713261648745519</v>
      </c>
      <c r="M174" s="8">
        <v>102</v>
      </c>
      <c r="N174" s="10">
        <f t="shared" si="5"/>
        <v>18.27956989247312</v>
      </c>
      <c r="O174" s="8">
        <v>0</v>
      </c>
      <c r="P174" s="8">
        <v>0</v>
      </c>
      <c r="Q174" s="18" t="s">
        <v>409</v>
      </c>
      <c r="R174" s="28">
        <v>45631</v>
      </c>
      <c r="S174" s="39"/>
      <c r="T174" s="18">
        <v>0</v>
      </c>
      <c r="U174" s="39"/>
      <c r="V174" s="39"/>
      <c r="W174" s="39"/>
      <c r="X174" s="39"/>
      <c r="Y174" s="39"/>
      <c r="Z174" s="39"/>
      <c r="AA174" s="39" t="s">
        <v>1949</v>
      </c>
      <c r="AB174" s="18"/>
      <c r="AC174" s="39"/>
      <c r="AD174" s="18" t="s">
        <v>410</v>
      </c>
      <c r="AE174" s="18" t="s">
        <v>410</v>
      </c>
    </row>
    <row r="175" spans="1:31">
      <c r="A175" s="8" t="s">
        <v>36</v>
      </c>
      <c r="B175" s="8" t="s">
        <v>37</v>
      </c>
      <c r="C175" s="8" t="s">
        <v>393</v>
      </c>
      <c r="D175" s="9" t="s">
        <v>402</v>
      </c>
      <c r="E175" s="8" t="s">
        <v>403</v>
      </c>
      <c r="F175" s="8">
        <v>543.14</v>
      </c>
      <c r="G175" s="8">
        <v>93</v>
      </c>
      <c r="H175" s="8">
        <v>530</v>
      </c>
      <c r="I175" s="8">
        <v>273</v>
      </c>
      <c r="J175" s="8">
        <v>257</v>
      </c>
      <c r="K175" s="8">
        <v>29</v>
      </c>
      <c r="L175" s="10">
        <f t="shared" si="4"/>
        <v>5.4716981132075473</v>
      </c>
      <c r="M175" s="8">
        <v>16</v>
      </c>
      <c r="N175" s="10">
        <f t="shared" si="5"/>
        <v>3.0188679245283021</v>
      </c>
      <c r="O175" s="8">
        <v>0</v>
      </c>
      <c r="P175" s="8">
        <v>0</v>
      </c>
      <c r="Q175" s="18" t="s">
        <v>409</v>
      </c>
      <c r="R175" s="28">
        <v>45631</v>
      </c>
      <c r="S175" s="39"/>
      <c r="T175" s="18">
        <v>0</v>
      </c>
      <c r="U175" s="39"/>
      <c r="V175" s="39"/>
      <c r="W175" s="39"/>
      <c r="X175" s="39"/>
      <c r="Y175" s="39"/>
      <c r="Z175" s="39"/>
      <c r="AA175" s="39" t="s">
        <v>1949</v>
      </c>
      <c r="AB175" s="18"/>
      <c r="AC175" s="39"/>
      <c r="AD175" s="18" t="s">
        <v>410</v>
      </c>
      <c r="AE175" s="18" t="s">
        <v>410</v>
      </c>
    </row>
    <row r="176" spans="1:31">
      <c r="A176" s="8" t="s">
        <v>36</v>
      </c>
      <c r="B176" s="8" t="s">
        <v>37</v>
      </c>
      <c r="C176" s="8" t="s">
        <v>393</v>
      </c>
      <c r="D176" s="9" t="s">
        <v>404</v>
      </c>
      <c r="E176" s="8" t="s">
        <v>405</v>
      </c>
      <c r="F176" s="8">
        <v>146.21</v>
      </c>
      <c r="G176" s="8">
        <v>47</v>
      </c>
      <c r="H176" s="8">
        <v>220</v>
      </c>
      <c r="I176" s="8">
        <v>117</v>
      </c>
      <c r="J176" s="8">
        <v>103</v>
      </c>
      <c r="K176" s="8">
        <v>0</v>
      </c>
      <c r="L176" s="10">
        <f t="shared" si="4"/>
        <v>0</v>
      </c>
      <c r="M176" s="8">
        <v>209</v>
      </c>
      <c r="N176" s="10">
        <f t="shared" si="5"/>
        <v>95</v>
      </c>
      <c r="O176" s="8">
        <v>0</v>
      </c>
      <c r="P176" s="8">
        <v>0</v>
      </c>
      <c r="Q176" s="18" t="s">
        <v>409</v>
      </c>
      <c r="R176" s="28">
        <v>45631</v>
      </c>
      <c r="S176" s="39"/>
      <c r="T176" s="18">
        <v>0</v>
      </c>
      <c r="U176" s="39"/>
      <c r="V176" s="39"/>
      <c r="W176" s="39"/>
      <c r="X176" s="39"/>
      <c r="Y176" s="39"/>
      <c r="Z176" s="39"/>
      <c r="AA176" s="39" t="s">
        <v>1949</v>
      </c>
      <c r="AB176" s="18"/>
      <c r="AC176" s="39"/>
      <c r="AD176" s="18" t="s">
        <v>410</v>
      </c>
      <c r="AE176" s="18" t="s">
        <v>410</v>
      </c>
    </row>
    <row r="177" spans="1:31">
      <c r="A177" s="8" t="s">
        <v>36</v>
      </c>
      <c r="B177" s="8" t="s">
        <v>37</v>
      </c>
      <c r="C177" s="8" t="s">
        <v>393</v>
      </c>
      <c r="D177" s="9" t="s">
        <v>406</v>
      </c>
      <c r="E177" s="8" t="s">
        <v>407</v>
      </c>
      <c r="F177" s="8">
        <v>332.74</v>
      </c>
      <c r="G177" s="8">
        <v>74</v>
      </c>
      <c r="H177" s="8">
        <v>395</v>
      </c>
      <c r="I177" s="8">
        <v>196</v>
      </c>
      <c r="J177" s="8">
        <v>199</v>
      </c>
      <c r="K177" s="8">
        <v>0</v>
      </c>
      <c r="L177" s="10">
        <f t="shared" si="4"/>
        <v>0</v>
      </c>
      <c r="M177" s="8">
        <v>222</v>
      </c>
      <c r="N177" s="10">
        <f t="shared" si="5"/>
        <v>56.202531645569621</v>
      </c>
      <c r="O177" s="8">
        <v>0</v>
      </c>
      <c r="P177" s="8">
        <v>0</v>
      </c>
      <c r="Q177" s="18" t="s">
        <v>409</v>
      </c>
      <c r="R177" s="28">
        <v>45631</v>
      </c>
      <c r="S177" s="39"/>
      <c r="T177" s="18">
        <v>0</v>
      </c>
      <c r="U177" s="39"/>
      <c r="V177" s="39"/>
      <c r="W177" s="39"/>
      <c r="X177" s="39"/>
      <c r="Y177" s="39"/>
      <c r="Z177" s="39"/>
      <c r="AA177" s="39" t="s">
        <v>1949</v>
      </c>
      <c r="AB177" s="18"/>
      <c r="AC177" s="39"/>
      <c r="AD177" s="18" t="s">
        <v>410</v>
      </c>
      <c r="AE177" s="18" t="s">
        <v>410</v>
      </c>
    </row>
  </sheetData>
  <mergeCells count="3">
    <mergeCell ref="K2:L2"/>
    <mergeCell ref="M2:N2"/>
    <mergeCell ref="AD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SANGOD</vt:lpstr>
      <vt:lpstr>KHERABAD</vt:lpstr>
      <vt:lpstr>SULTANPUR</vt:lpstr>
      <vt:lpstr>LADPURA</vt:lpstr>
      <vt:lpstr>ITAWA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</dc:creator>
  <cp:lastModifiedBy>fes</cp:lastModifiedBy>
  <dcterms:created xsi:type="dcterms:W3CDTF">2026-10-13T05:10:45Z</dcterms:created>
  <dcterms:modified xsi:type="dcterms:W3CDTF">2026-10-16T19:05:47Z</dcterms:modified>
</cp:coreProperties>
</file>