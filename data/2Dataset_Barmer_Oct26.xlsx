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Barmer 21 blocks" sheetId="2" r:id="rId1"/>
  </sheets>
  <definedNames>
    <definedName name="_xlnm._FilterDatabase" localSheetId="0" hidden="1">'Barmer 21 blocks'!$A$2:$AE$5216</definedName>
  </definedNames>
  <calcPr calcId="152511"/>
</workbook>
</file>

<file path=xl/calcChain.xml><?xml version="1.0" encoding="utf-8"?>
<calcChain xmlns="http://schemas.openxmlformats.org/spreadsheetml/2006/main">
  <c r="H2889" i="2" l="1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L2909" i="2" s="1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886" i="2"/>
  <c r="H2887" i="2"/>
  <c r="H2888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L2356" i="2" s="1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L2295" i="2" s="1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261" i="2"/>
  <c r="H2262" i="2"/>
  <c r="H2263" i="2"/>
  <c r="H2264" i="2"/>
  <c r="H2265" i="2"/>
  <c r="H2266" i="2"/>
  <c r="H2267" i="2"/>
  <c r="H2268" i="2"/>
  <c r="H2269" i="2"/>
  <c r="H2270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L2231" i="2" s="1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53" i="2"/>
  <c r="H2154" i="2"/>
  <c r="L2154" i="2" s="1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21" i="2"/>
  <c r="H2122" i="2"/>
  <c r="L2122" i="2" s="1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L2138" i="2" s="1"/>
  <c r="H2139" i="2"/>
  <c r="H2100" i="2"/>
  <c r="H2101" i="2"/>
  <c r="H2102" i="2"/>
  <c r="H2103" i="2"/>
  <c r="H2104" i="2"/>
  <c r="H2105" i="2"/>
  <c r="H2106" i="2"/>
  <c r="L2106" i="2" s="1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L1962" i="2" s="1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L2026" i="2" s="1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L2090" i="2" s="1"/>
  <c r="H2091" i="2"/>
  <c r="H2092" i="2"/>
  <c r="H2093" i="2"/>
  <c r="H2094" i="2"/>
  <c r="H2095" i="2"/>
  <c r="H2096" i="2"/>
  <c r="H2097" i="2"/>
  <c r="H2098" i="2"/>
  <c r="H2099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L1793" i="2" s="1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L1878" i="2" s="1"/>
  <c r="H1879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L1465" i="2" s="1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L1481" i="2" s="1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L1513" i="2" s="1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L1545" i="2" s="1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L1622" i="2" s="1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L1708" i="2" s="1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L1428" i="2" s="1"/>
  <c r="H1429" i="2"/>
  <c r="H1377" i="2"/>
  <c r="H1378" i="2"/>
  <c r="H1379" i="2"/>
  <c r="H1380" i="2"/>
  <c r="H1381" i="2"/>
  <c r="H1382" i="2"/>
  <c r="L1382" i="2" s="1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L1398" i="2" s="1"/>
  <c r="H1399" i="2"/>
  <c r="H1400" i="2"/>
  <c r="H1401" i="2"/>
  <c r="H1402" i="2"/>
  <c r="H1403" i="2"/>
  <c r="H1404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L1350" i="2" s="1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28" i="2"/>
  <c r="H1329" i="2"/>
  <c r="H1330" i="2"/>
  <c r="H1331" i="2"/>
  <c r="H1332" i="2"/>
  <c r="H1333" i="2"/>
  <c r="H1334" i="2"/>
  <c r="L1334" i="2" s="1"/>
  <c r="H1335" i="2"/>
  <c r="H1336" i="2"/>
  <c r="H1301" i="2"/>
  <c r="H1302" i="2"/>
  <c r="L1302" i="2" s="1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125" i="2"/>
  <c r="H1126" i="2"/>
  <c r="L1126" i="2" s="1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L1158" i="2" s="1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L1174" i="2" s="1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L1190" i="2" s="1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L1206" i="2" s="1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L1222" i="2" s="1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L1238" i="2" s="1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L1254" i="2" s="1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L1270" i="2" s="1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L1286" i="2" s="1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L917" i="2" s="1"/>
  <c r="H918" i="2"/>
  <c r="H919" i="2"/>
  <c r="H920" i="2"/>
  <c r="H921" i="2"/>
  <c r="H922" i="2"/>
  <c r="H923" i="2"/>
  <c r="H924" i="2"/>
  <c r="H925" i="2"/>
  <c r="H926" i="2"/>
  <c r="H927" i="2"/>
  <c r="H928" i="2"/>
  <c r="H929" i="2"/>
  <c r="L929" i="2" s="1"/>
  <c r="H930" i="2"/>
  <c r="H931" i="2"/>
  <c r="H932" i="2"/>
  <c r="H933" i="2"/>
  <c r="H934" i="2"/>
  <c r="L934" i="2" s="1"/>
  <c r="H935" i="2"/>
  <c r="H936" i="2"/>
  <c r="H937" i="2"/>
  <c r="H938" i="2"/>
  <c r="H939" i="2"/>
  <c r="H940" i="2"/>
  <c r="H941" i="2"/>
  <c r="H942" i="2"/>
  <c r="H943" i="2"/>
  <c r="H944" i="2"/>
  <c r="H945" i="2"/>
  <c r="L945" i="2" s="1"/>
  <c r="H946" i="2"/>
  <c r="H947" i="2"/>
  <c r="H948" i="2"/>
  <c r="H949" i="2"/>
  <c r="H950" i="2"/>
  <c r="L950" i="2" s="1"/>
  <c r="H951" i="2"/>
  <c r="H952" i="2"/>
  <c r="H953" i="2"/>
  <c r="H954" i="2"/>
  <c r="H955" i="2"/>
  <c r="L955" i="2" s="1"/>
  <c r="H956" i="2"/>
  <c r="H957" i="2"/>
  <c r="H958" i="2"/>
  <c r="H959" i="2"/>
  <c r="H960" i="2"/>
  <c r="H961" i="2"/>
  <c r="L961" i="2" s="1"/>
  <c r="H962" i="2"/>
  <c r="H963" i="2"/>
  <c r="H964" i="2"/>
  <c r="H965" i="2"/>
  <c r="H966" i="2"/>
  <c r="H967" i="2"/>
  <c r="H968" i="2"/>
  <c r="H969" i="2"/>
  <c r="H970" i="2"/>
  <c r="H971" i="2"/>
  <c r="L971" i="2" s="1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L987" i="2" s="1"/>
  <c r="H988" i="2"/>
  <c r="H989" i="2"/>
  <c r="H990" i="2"/>
  <c r="H991" i="2"/>
  <c r="H992" i="2"/>
  <c r="H993" i="2"/>
  <c r="H994" i="2"/>
  <c r="H995" i="2"/>
  <c r="H996" i="2"/>
  <c r="H997" i="2"/>
  <c r="H998" i="2"/>
  <c r="L998" i="2" s="1"/>
  <c r="H999" i="2"/>
  <c r="H1000" i="2"/>
  <c r="H1001" i="2"/>
  <c r="H1002" i="2"/>
  <c r="H1003" i="2"/>
  <c r="H1004" i="2"/>
  <c r="H1005" i="2"/>
  <c r="H1006" i="2"/>
  <c r="H1007" i="2"/>
  <c r="H1008" i="2"/>
  <c r="H1009" i="2"/>
  <c r="L1009" i="2" s="1"/>
  <c r="H1010" i="2"/>
  <c r="H1011" i="2"/>
  <c r="H1012" i="2"/>
  <c r="H1013" i="2"/>
  <c r="H1014" i="2"/>
  <c r="H1015" i="2"/>
  <c r="H1016" i="2"/>
  <c r="H1017" i="2"/>
  <c r="H1018" i="2"/>
  <c r="H1019" i="2"/>
  <c r="L1019" i="2" s="1"/>
  <c r="H1020" i="2"/>
  <c r="H1021" i="2"/>
  <c r="H1022" i="2"/>
  <c r="H1023" i="2"/>
  <c r="H1024" i="2"/>
  <c r="H1025" i="2"/>
  <c r="L1025" i="2" s="1"/>
  <c r="H1026" i="2"/>
  <c r="H1027" i="2"/>
  <c r="H1028" i="2"/>
  <c r="H1029" i="2"/>
  <c r="H1030" i="2"/>
  <c r="L1030" i="2" s="1"/>
  <c r="H1031" i="2"/>
  <c r="H1032" i="2"/>
  <c r="H1033" i="2"/>
  <c r="H1034" i="2"/>
  <c r="H1035" i="2"/>
  <c r="L1035" i="2" s="1"/>
  <c r="H1036" i="2"/>
  <c r="H1037" i="2"/>
  <c r="H1038" i="2"/>
  <c r="H1039" i="2"/>
  <c r="H1040" i="2"/>
  <c r="H1041" i="2"/>
  <c r="L1041" i="2" s="1"/>
  <c r="H1042" i="2"/>
  <c r="H1043" i="2"/>
  <c r="H1044" i="2"/>
  <c r="H1045" i="2"/>
  <c r="H1046" i="2"/>
  <c r="L1046" i="2" s="1"/>
  <c r="H1047" i="2"/>
  <c r="H1048" i="2"/>
  <c r="H1049" i="2"/>
  <c r="H1050" i="2"/>
  <c r="H1051" i="2"/>
  <c r="H1052" i="2"/>
  <c r="H1053" i="2"/>
  <c r="H1054" i="2"/>
  <c r="H1055" i="2"/>
  <c r="H1056" i="2"/>
  <c r="H1057" i="2"/>
  <c r="L1057" i="2" s="1"/>
  <c r="H1058" i="2"/>
  <c r="H1059" i="2"/>
  <c r="H1060" i="2"/>
  <c r="H1061" i="2"/>
  <c r="H1062" i="2"/>
  <c r="L1062" i="2" s="1"/>
  <c r="H1063" i="2"/>
  <c r="H1064" i="2"/>
  <c r="H1065" i="2"/>
  <c r="H1066" i="2"/>
  <c r="H1067" i="2"/>
  <c r="H1068" i="2"/>
  <c r="H1069" i="2"/>
  <c r="H1070" i="2"/>
  <c r="H1071" i="2"/>
  <c r="H1072" i="2"/>
  <c r="H1073" i="2"/>
  <c r="L1073" i="2" s="1"/>
  <c r="H1074" i="2"/>
  <c r="H1075" i="2"/>
  <c r="H1076" i="2"/>
  <c r="H1077" i="2"/>
  <c r="H1078" i="2"/>
  <c r="L1078" i="2" s="1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L1110" i="2" s="1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52" i="2"/>
  <c r="L152" i="2" s="1"/>
  <c r="H153" i="2"/>
  <c r="H154" i="2"/>
  <c r="H155" i="2"/>
  <c r="H156" i="2"/>
  <c r="L156" i="2" s="1"/>
  <c r="H157" i="2"/>
  <c r="H158" i="2"/>
  <c r="H159" i="2"/>
  <c r="H160" i="2"/>
  <c r="L160" i="2" s="1"/>
  <c r="H161" i="2"/>
  <c r="H162" i="2"/>
  <c r="H163" i="2"/>
  <c r="H164" i="2"/>
  <c r="L164" i="2" s="1"/>
  <c r="H165" i="2"/>
  <c r="H166" i="2"/>
  <c r="H167" i="2"/>
  <c r="H168" i="2"/>
  <c r="L168" i="2" s="1"/>
  <c r="H169" i="2"/>
  <c r="H170" i="2"/>
  <c r="H171" i="2"/>
  <c r="H172" i="2"/>
  <c r="L172" i="2" s="1"/>
  <c r="H173" i="2"/>
  <c r="H174" i="2"/>
  <c r="H175" i="2"/>
  <c r="H176" i="2"/>
  <c r="L176" i="2" s="1"/>
  <c r="H177" i="2"/>
  <c r="H178" i="2"/>
  <c r="H179" i="2"/>
  <c r="H180" i="2"/>
  <c r="L180" i="2" s="1"/>
  <c r="H181" i="2"/>
  <c r="H182" i="2"/>
  <c r="H183" i="2"/>
  <c r="H184" i="2"/>
  <c r="H185" i="2"/>
  <c r="H186" i="2"/>
  <c r="H187" i="2"/>
  <c r="H188" i="2"/>
  <c r="H189" i="2"/>
  <c r="H190" i="2"/>
  <c r="H191" i="2"/>
  <c r="L191" i="2" s="1"/>
  <c r="H192" i="2"/>
  <c r="H193" i="2"/>
  <c r="H194" i="2"/>
  <c r="H195" i="2"/>
  <c r="L195" i="2" s="1"/>
  <c r="H196" i="2"/>
  <c r="H197" i="2"/>
  <c r="H198" i="2"/>
  <c r="H199" i="2"/>
  <c r="L199" i="2" s="1"/>
  <c r="H200" i="2"/>
  <c r="H201" i="2"/>
  <c r="H202" i="2"/>
  <c r="H203" i="2"/>
  <c r="L203" i="2" s="1"/>
  <c r="H204" i="2"/>
  <c r="H205" i="2"/>
  <c r="H206" i="2"/>
  <c r="H207" i="2"/>
  <c r="L207" i="2" s="1"/>
  <c r="H208" i="2"/>
  <c r="H209" i="2"/>
  <c r="H210" i="2"/>
  <c r="H211" i="2"/>
  <c r="L211" i="2" s="1"/>
  <c r="H212" i="2"/>
  <c r="H213" i="2"/>
  <c r="H214" i="2"/>
  <c r="H215" i="2"/>
  <c r="L215" i="2" s="1"/>
  <c r="H216" i="2"/>
  <c r="H217" i="2"/>
  <c r="H218" i="2"/>
  <c r="H219" i="2"/>
  <c r="L219" i="2" s="1"/>
  <c r="H220" i="2"/>
  <c r="H221" i="2"/>
  <c r="H222" i="2"/>
  <c r="H223" i="2"/>
  <c r="L223" i="2" s="1"/>
  <c r="H224" i="2"/>
  <c r="H225" i="2"/>
  <c r="H226" i="2"/>
  <c r="H227" i="2"/>
  <c r="L227" i="2" s="1"/>
  <c r="H228" i="2"/>
  <c r="H229" i="2"/>
  <c r="H230" i="2"/>
  <c r="H231" i="2"/>
  <c r="H232" i="2"/>
  <c r="H233" i="2"/>
  <c r="H234" i="2"/>
  <c r="H235" i="2"/>
  <c r="L235" i="2" s="1"/>
  <c r="H236" i="2"/>
  <c r="H237" i="2"/>
  <c r="H238" i="2"/>
  <c r="H239" i="2"/>
  <c r="L239" i="2" s="1"/>
  <c r="H240" i="2"/>
  <c r="H241" i="2"/>
  <c r="H242" i="2"/>
  <c r="H243" i="2"/>
  <c r="L243" i="2" s="1"/>
  <c r="H244" i="2"/>
  <c r="H245" i="2"/>
  <c r="H246" i="2"/>
  <c r="H247" i="2"/>
  <c r="L247" i="2" s="1"/>
  <c r="H248" i="2"/>
  <c r="H249" i="2"/>
  <c r="H250" i="2"/>
  <c r="H251" i="2"/>
  <c r="L251" i="2" s="1"/>
  <c r="H252" i="2"/>
  <c r="H253" i="2"/>
  <c r="H254" i="2"/>
  <c r="H255" i="2"/>
  <c r="L255" i="2" s="1"/>
  <c r="H256" i="2"/>
  <c r="H257" i="2"/>
  <c r="H258" i="2"/>
  <c r="H259" i="2"/>
  <c r="H260" i="2"/>
  <c r="H261" i="2"/>
  <c r="H262" i="2"/>
  <c r="H263" i="2"/>
  <c r="L263" i="2" s="1"/>
  <c r="H264" i="2"/>
  <c r="H265" i="2"/>
  <c r="H266" i="2"/>
  <c r="H267" i="2"/>
  <c r="L267" i="2" s="1"/>
  <c r="H268" i="2"/>
  <c r="H269" i="2"/>
  <c r="H270" i="2"/>
  <c r="H271" i="2"/>
  <c r="H272" i="2"/>
  <c r="H273" i="2"/>
  <c r="H274" i="2"/>
  <c r="H275" i="2"/>
  <c r="L275" i="2" s="1"/>
  <c r="H276" i="2"/>
  <c r="H277" i="2"/>
  <c r="H278" i="2"/>
  <c r="H279" i="2"/>
  <c r="L279" i="2" s="1"/>
  <c r="H280" i="2"/>
  <c r="H281" i="2"/>
  <c r="H282" i="2"/>
  <c r="H283" i="2"/>
  <c r="L283" i="2" s="1"/>
  <c r="H284" i="2"/>
  <c r="H285" i="2"/>
  <c r="H286" i="2"/>
  <c r="H287" i="2"/>
  <c r="L287" i="2" s="1"/>
  <c r="H288" i="2"/>
  <c r="H289" i="2"/>
  <c r="H290" i="2"/>
  <c r="H291" i="2"/>
  <c r="L291" i="2" s="1"/>
  <c r="H292" i="2"/>
  <c r="H293" i="2"/>
  <c r="H294" i="2"/>
  <c r="H295" i="2"/>
  <c r="H296" i="2"/>
  <c r="H297" i="2"/>
  <c r="H298" i="2"/>
  <c r="H299" i="2"/>
  <c r="L299" i="2" s="1"/>
  <c r="H300" i="2"/>
  <c r="H301" i="2"/>
  <c r="H302" i="2"/>
  <c r="H303" i="2"/>
  <c r="L303" i="2" s="1"/>
  <c r="H304" i="2"/>
  <c r="H305" i="2"/>
  <c r="H306" i="2"/>
  <c r="H307" i="2"/>
  <c r="L307" i="2" s="1"/>
  <c r="H308" i="2"/>
  <c r="H309" i="2"/>
  <c r="H310" i="2"/>
  <c r="H311" i="2"/>
  <c r="L311" i="2" s="1"/>
  <c r="H312" i="2"/>
  <c r="H313" i="2"/>
  <c r="H314" i="2"/>
  <c r="H315" i="2"/>
  <c r="L315" i="2" s="1"/>
  <c r="H316" i="2"/>
  <c r="H317" i="2"/>
  <c r="H318" i="2"/>
  <c r="H319" i="2"/>
  <c r="L319" i="2" s="1"/>
  <c r="H320" i="2"/>
  <c r="H321" i="2"/>
  <c r="H322" i="2"/>
  <c r="H323" i="2"/>
  <c r="L323" i="2" s="1"/>
  <c r="H324" i="2"/>
  <c r="H325" i="2"/>
  <c r="H326" i="2"/>
  <c r="H327" i="2"/>
  <c r="L327" i="2" s="1"/>
  <c r="H328" i="2"/>
  <c r="H329" i="2"/>
  <c r="H330" i="2"/>
  <c r="H331" i="2"/>
  <c r="L331" i="2" s="1"/>
  <c r="H332" i="2"/>
  <c r="H333" i="2"/>
  <c r="H334" i="2"/>
  <c r="H335" i="2"/>
  <c r="L335" i="2" s="1"/>
  <c r="H336" i="2"/>
  <c r="H337" i="2"/>
  <c r="H338" i="2"/>
  <c r="H339" i="2"/>
  <c r="L339" i="2" s="1"/>
  <c r="H340" i="2"/>
  <c r="H341" i="2"/>
  <c r="H342" i="2"/>
  <c r="H343" i="2"/>
  <c r="L343" i="2" s="1"/>
  <c r="H344" i="2"/>
  <c r="H345" i="2"/>
  <c r="H346" i="2"/>
  <c r="H347" i="2"/>
  <c r="L347" i="2" s="1"/>
  <c r="H348" i="2"/>
  <c r="H349" i="2"/>
  <c r="H350" i="2"/>
  <c r="H351" i="2"/>
  <c r="L351" i="2" s="1"/>
  <c r="H353" i="2"/>
  <c r="H354" i="2"/>
  <c r="H355" i="2"/>
  <c r="L355" i="2" s="1"/>
  <c r="H356" i="2"/>
  <c r="H357" i="2"/>
  <c r="H358" i="2"/>
  <c r="H359" i="2"/>
  <c r="L359" i="2" s="1"/>
  <c r="H360" i="2"/>
  <c r="H361" i="2"/>
  <c r="H362" i="2"/>
  <c r="H363" i="2"/>
  <c r="L363" i="2" s="1"/>
  <c r="H364" i="2"/>
  <c r="H365" i="2"/>
  <c r="H366" i="2"/>
  <c r="H367" i="2"/>
  <c r="L367" i="2" s="1"/>
  <c r="H368" i="2"/>
  <c r="H369" i="2"/>
  <c r="H370" i="2"/>
  <c r="H371" i="2"/>
  <c r="L371" i="2" s="1"/>
  <c r="H372" i="2"/>
  <c r="H373" i="2"/>
  <c r="H374" i="2"/>
  <c r="H375" i="2"/>
  <c r="L375" i="2" s="1"/>
  <c r="H376" i="2"/>
  <c r="H377" i="2"/>
  <c r="H378" i="2"/>
  <c r="H379" i="2"/>
  <c r="L379" i="2" s="1"/>
  <c r="H380" i="2"/>
  <c r="H381" i="2"/>
  <c r="H382" i="2"/>
  <c r="H383" i="2"/>
  <c r="L383" i="2" s="1"/>
  <c r="H384" i="2"/>
  <c r="H385" i="2"/>
  <c r="H386" i="2"/>
  <c r="H387" i="2"/>
  <c r="L387" i="2" s="1"/>
  <c r="H388" i="2"/>
  <c r="H389" i="2"/>
  <c r="H390" i="2"/>
  <c r="H391" i="2"/>
  <c r="L391" i="2" s="1"/>
  <c r="H392" i="2"/>
  <c r="H393" i="2"/>
  <c r="H394" i="2"/>
  <c r="H395" i="2"/>
  <c r="L395" i="2" s="1"/>
  <c r="H396" i="2"/>
  <c r="H397" i="2"/>
  <c r="H398" i="2"/>
  <c r="H399" i="2"/>
  <c r="L399" i="2" s="1"/>
  <c r="H400" i="2"/>
  <c r="H401" i="2"/>
  <c r="H402" i="2"/>
  <c r="H403" i="2"/>
  <c r="L403" i="2" s="1"/>
  <c r="H404" i="2"/>
  <c r="H405" i="2"/>
  <c r="H406" i="2"/>
  <c r="H407" i="2"/>
  <c r="L407" i="2" s="1"/>
  <c r="H408" i="2"/>
  <c r="H409" i="2"/>
  <c r="H410" i="2"/>
  <c r="H411" i="2"/>
  <c r="L411" i="2" s="1"/>
  <c r="H412" i="2"/>
  <c r="H413" i="2"/>
  <c r="H414" i="2"/>
  <c r="H415" i="2"/>
  <c r="L415" i="2" s="1"/>
  <c r="H416" i="2"/>
  <c r="H417" i="2"/>
  <c r="H418" i="2"/>
  <c r="H419" i="2"/>
  <c r="L419" i="2" s="1"/>
  <c r="H420" i="2"/>
  <c r="H421" i="2"/>
  <c r="H422" i="2"/>
  <c r="H423" i="2"/>
  <c r="L423" i="2" s="1"/>
  <c r="H424" i="2"/>
  <c r="H425" i="2"/>
  <c r="H426" i="2"/>
  <c r="H427" i="2"/>
  <c r="H428" i="2"/>
  <c r="L428" i="2" s="1"/>
  <c r="H429" i="2"/>
  <c r="H430" i="2"/>
  <c r="H431" i="2"/>
  <c r="H432" i="2"/>
  <c r="H433" i="2"/>
  <c r="L433" i="2" s="1"/>
  <c r="H434" i="2"/>
  <c r="H435" i="2"/>
  <c r="H436" i="2"/>
  <c r="H437" i="2"/>
  <c r="H438" i="2"/>
  <c r="H439" i="2"/>
  <c r="L439" i="2" s="1"/>
  <c r="H440" i="2"/>
  <c r="H441" i="2"/>
  <c r="H442" i="2"/>
  <c r="H443" i="2"/>
  <c r="H444" i="2"/>
  <c r="L444" i="2" s="1"/>
  <c r="H445" i="2"/>
  <c r="H446" i="2"/>
  <c r="H447" i="2"/>
  <c r="H448" i="2"/>
  <c r="H449" i="2"/>
  <c r="L449" i="2" s="1"/>
  <c r="H450" i="2"/>
  <c r="H451" i="2"/>
  <c r="H452" i="2"/>
  <c r="H453" i="2"/>
  <c r="H454" i="2"/>
  <c r="H455" i="2"/>
  <c r="L455" i="2" s="1"/>
  <c r="H456" i="2"/>
  <c r="H457" i="2"/>
  <c r="H458" i="2"/>
  <c r="H459" i="2"/>
  <c r="H460" i="2"/>
  <c r="L460" i="2" s="1"/>
  <c r="H461" i="2"/>
  <c r="H462" i="2"/>
  <c r="H463" i="2"/>
  <c r="H464" i="2"/>
  <c r="H465" i="2"/>
  <c r="L465" i="2" s="1"/>
  <c r="H466" i="2"/>
  <c r="H467" i="2"/>
  <c r="H468" i="2"/>
  <c r="H469" i="2"/>
  <c r="H470" i="2"/>
  <c r="H471" i="2"/>
  <c r="H472" i="2"/>
  <c r="H473" i="2"/>
  <c r="H474" i="2"/>
  <c r="H475" i="2"/>
  <c r="H476" i="2"/>
  <c r="L476" i="2" s="1"/>
  <c r="H477" i="2"/>
  <c r="H478" i="2"/>
  <c r="H479" i="2"/>
  <c r="H480" i="2"/>
  <c r="H481" i="2"/>
  <c r="H482" i="2"/>
  <c r="H483" i="2"/>
  <c r="H484" i="2"/>
  <c r="H485" i="2"/>
  <c r="H486" i="2"/>
  <c r="H487" i="2"/>
  <c r="L487" i="2" s="1"/>
  <c r="H488" i="2"/>
  <c r="H489" i="2"/>
  <c r="H490" i="2"/>
  <c r="H491" i="2"/>
  <c r="H492" i="2"/>
  <c r="H493" i="2"/>
  <c r="H494" i="2"/>
  <c r="H495" i="2"/>
  <c r="H496" i="2"/>
  <c r="H497" i="2"/>
  <c r="L497" i="2" s="1"/>
  <c r="H498" i="2"/>
  <c r="H499" i="2"/>
  <c r="H500" i="2"/>
  <c r="H501" i="2"/>
  <c r="H502" i="2"/>
  <c r="H503" i="2"/>
  <c r="L503" i="2" s="1"/>
  <c r="H504" i="2"/>
  <c r="H505" i="2"/>
  <c r="H506" i="2"/>
  <c r="H507" i="2"/>
  <c r="H508" i="2"/>
  <c r="L508" i="2" s="1"/>
  <c r="H509" i="2"/>
  <c r="H510" i="2"/>
  <c r="H511" i="2"/>
  <c r="H512" i="2"/>
  <c r="H513" i="2"/>
  <c r="L513" i="2" s="1"/>
  <c r="H514" i="2"/>
  <c r="H515" i="2"/>
  <c r="H516" i="2"/>
  <c r="H517" i="2"/>
  <c r="H518" i="2"/>
  <c r="H519" i="2"/>
  <c r="L519" i="2" s="1"/>
  <c r="H520" i="2"/>
  <c r="H521" i="2"/>
  <c r="H522" i="2"/>
  <c r="L522" i="2" s="1"/>
  <c r="H523" i="2"/>
  <c r="H524" i="2"/>
  <c r="L524" i="2" s="1"/>
  <c r="H525" i="2"/>
  <c r="H526" i="2"/>
  <c r="H527" i="2"/>
  <c r="H528" i="2"/>
  <c r="H529" i="2"/>
  <c r="L529" i="2" s="1"/>
  <c r="H530" i="2"/>
  <c r="H531" i="2"/>
  <c r="H532" i="2"/>
  <c r="H533" i="2"/>
  <c r="H534" i="2"/>
  <c r="H535" i="2"/>
  <c r="L535" i="2" s="1"/>
  <c r="H536" i="2"/>
  <c r="H537" i="2"/>
  <c r="H538" i="2"/>
  <c r="H539" i="2"/>
  <c r="H540" i="2"/>
  <c r="L540" i="2" s="1"/>
  <c r="H541" i="2"/>
  <c r="H542" i="2"/>
  <c r="H543" i="2"/>
  <c r="H544" i="2"/>
  <c r="H545" i="2"/>
  <c r="H546" i="2"/>
  <c r="H547" i="2"/>
  <c r="H548" i="2"/>
  <c r="H549" i="2"/>
  <c r="H550" i="2"/>
  <c r="H551" i="2"/>
  <c r="L551" i="2" s="1"/>
  <c r="H552" i="2"/>
  <c r="H553" i="2"/>
  <c r="H554" i="2"/>
  <c r="H555" i="2"/>
  <c r="H556" i="2"/>
  <c r="L556" i="2" s="1"/>
  <c r="H557" i="2"/>
  <c r="H558" i="2"/>
  <c r="H559" i="2"/>
  <c r="H560" i="2"/>
  <c r="H561" i="2"/>
  <c r="L561" i="2" s="1"/>
  <c r="H562" i="2"/>
  <c r="H563" i="2"/>
  <c r="H564" i="2"/>
  <c r="H565" i="2"/>
  <c r="H566" i="2"/>
  <c r="H567" i="2"/>
  <c r="L567" i="2" s="1"/>
  <c r="H568" i="2"/>
  <c r="H569" i="2"/>
  <c r="H570" i="2"/>
  <c r="H571" i="2"/>
  <c r="H572" i="2"/>
  <c r="L572" i="2" s="1"/>
  <c r="H573" i="2"/>
  <c r="H574" i="2"/>
  <c r="H575" i="2"/>
  <c r="H576" i="2"/>
  <c r="H577" i="2"/>
  <c r="L577" i="2" s="1"/>
  <c r="H578" i="2"/>
  <c r="H579" i="2"/>
  <c r="H580" i="2"/>
  <c r="H581" i="2"/>
  <c r="H582" i="2"/>
  <c r="H583" i="2"/>
  <c r="L583" i="2" s="1"/>
  <c r="H584" i="2"/>
  <c r="H585" i="2"/>
  <c r="H586" i="2"/>
  <c r="H587" i="2"/>
  <c r="H588" i="2"/>
  <c r="L588" i="2" s="1"/>
  <c r="H589" i="2"/>
  <c r="H590" i="2"/>
  <c r="H591" i="2"/>
  <c r="H592" i="2"/>
  <c r="H593" i="2"/>
  <c r="L593" i="2" s="1"/>
  <c r="H594" i="2"/>
  <c r="H595" i="2"/>
  <c r="H596" i="2"/>
  <c r="H597" i="2"/>
  <c r="H598" i="2"/>
  <c r="H599" i="2"/>
  <c r="L599" i="2" s="1"/>
  <c r="H600" i="2"/>
  <c r="H601" i="2"/>
  <c r="H602" i="2"/>
  <c r="H603" i="2"/>
  <c r="H604" i="2"/>
  <c r="L604" i="2" s="1"/>
  <c r="H605" i="2"/>
  <c r="H606" i="2"/>
  <c r="H607" i="2"/>
  <c r="H608" i="2"/>
  <c r="H609" i="2"/>
  <c r="L609" i="2" s="1"/>
  <c r="H610" i="2"/>
  <c r="H611" i="2"/>
  <c r="H612" i="2"/>
  <c r="H613" i="2"/>
  <c r="H614" i="2"/>
  <c r="H615" i="2"/>
  <c r="L615" i="2" s="1"/>
  <c r="H616" i="2"/>
  <c r="H617" i="2"/>
  <c r="H618" i="2"/>
  <c r="H619" i="2"/>
  <c r="H620" i="2"/>
  <c r="L620" i="2" s="1"/>
  <c r="H621" i="2"/>
  <c r="H622" i="2"/>
  <c r="H623" i="2"/>
  <c r="H624" i="2"/>
  <c r="H625" i="2"/>
  <c r="L625" i="2" s="1"/>
  <c r="H626" i="2"/>
  <c r="H627" i="2"/>
  <c r="H628" i="2"/>
  <c r="H629" i="2"/>
  <c r="H630" i="2"/>
  <c r="H631" i="2"/>
  <c r="L631" i="2" s="1"/>
  <c r="H632" i="2"/>
  <c r="H633" i="2"/>
  <c r="H634" i="2"/>
  <c r="H635" i="2"/>
  <c r="H636" i="2"/>
  <c r="L636" i="2" s="1"/>
  <c r="H637" i="2"/>
  <c r="H638" i="2"/>
  <c r="H639" i="2"/>
  <c r="H640" i="2"/>
  <c r="H641" i="2"/>
  <c r="L641" i="2" s="1"/>
  <c r="H642" i="2"/>
  <c r="H643" i="2"/>
  <c r="H644" i="2"/>
  <c r="H645" i="2"/>
  <c r="H646" i="2"/>
  <c r="H647" i="2"/>
  <c r="L647" i="2" s="1"/>
  <c r="H648" i="2"/>
  <c r="H649" i="2"/>
  <c r="H650" i="2"/>
  <c r="H651" i="2"/>
  <c r="H652" i="2"/>
  <c r="L652" i="2" s="1"/>
  <c r="H653" i="2"/>
  <c r="H654" i="2"/>
  <c r="H655" i="2"/>
  <c r="H656" i="2"/>
  <c r="H657" i="2"/>
  <c r="L657" i="2" s="1"/>
  <c r="H658" i="2"/>
  <c r="H659" i="2"/>
  <c r="H660" i="2"/>
  <c r="H661" i="2"/>
  <c r="H662" i="2"/>
  <c r="H663" i="2"/>
  <c r="L663" i="2" s="1"/>
  <c r="H664" i="2"/>
  <c r="H665" i="2"/>
  <c r="H666" i="2"/>
  <c r="H667" i="2"/>
  <c r="H668" i="2"/>
  <c r="L668" i="2" s="1"/>
  <c r="H669" i="2"/>
  <c r="H670" i="2"/>
  <c r="H671" i="2"/>
  <c r="H672" i="2"/>
  <c r="H673" i="2"/>
  <c r="L673" i="2" s="1"/>
  <c r="H674" i="2"/>
  <c r="H675" i="2"/>
  <c r="H676" i="2"/>
  <c r="H677" i="2"/>
  <c r="H678" i="2"/>
  <c r="H679" i="2"/>
  <c r="L679" i="2" s="1"/>
  <c r="H680" i="2"/>
  <c r="H681" i="2"/>
  <c r="H682" i="2"/>
  <c r="H683" i="2"/>
  <c r="H684" i="2"/>
  <c r="H685" i="2"/>
  <c r="H686" i="2"/>
  <c r="H687" i="2"/>
  <c r="H688" i="2"/>
  <c r="H689" i="2"/>
  <c r="L689" i="2" s="1"/>
  <c r="H690" i="2"/>
  <c r="H691" i="2"/>
  <c r="H692" i="2"/>
  <c r="H693" i="2"/>
  <c r="L693" i="2" s="1"/>
  <c r="H694" i="2"/>
  <c r="H695" i="2"/>
  <c r="H696" i="2"/>
  <c r="H697" i="2"/>
  <c r="L697" i="2" s="1"/>
  <c r="H698" i="2"/>
  <c r="H699" i="2"/>
  <c r="H700" i="2"/>
  <c r="H701" i="2"/>
  <c r="L701" i="2" s="1"/>
  <c r="H702" i="2"/>
  <c r="H703" i="2"/>
  <c r="H704" i="2"/>
  <c r="H705" i="2"/>
  <c r="L705" i="2" s="1"/>
  <c r="H706" i="2"/>
  <c r="H707" i="2"/>
  <c r="H708" i="2"/>
  <c r="H709" i="2"/>
  <c r="L709" i="2" s="1"/>
  <c r="H710" i="2"/>
  <c r="H711" i="2"/>
  <c r="H712" i="2"/>
  <c r="H713" i="2"/>
  <c r="L713" i="2" s="1"/>
  <c r="H714" i="2"/>
  <c r="H715" i="2"/>
  <c r="H716" i="2"/>
  <c r="H717" i="2"/>
  <c r="L717" i="2" s="1"/>
  <c r="H718" i="2"/>
  <c r="H719" i="2"/>
  <c r="H720" i="2"/>
  <c r="H721" i="2"/>
  <c r="L721" i="2" s="1"/>
  <c r="H722" i="2"/>
  <c r="H723" i="2"/>
  <c r="H724" i="2"/>
  <c r="H725" i="2"/>
  <c r="L725" i="2" s="1"/>
  <c r="H726" i="2"/>
  <c r="H727" i="2"/>
  <c r="H728" i="2"/>
  <c r="H729" i="2"/>
  <c r="L729" i="2" s="1"/>
  <c r="H730" i="2"/>
  <c r="H731" i="2"/>
  <c r="H732" i="2"/>
  <c r="H733" i="2"/>
  <c r="H734" i="2"/>
  <c r="H735" i="2"/>
  <c r="H736" i="2"/>
  <c r="H737" i="2"/>
  <c r="H738" i="2"/>
  <c r="H739" i="2"/>
  <c r="H740" i="2"/>
  <c r="H741" i="2"/>
  <c r="L741" i="2" s="1"/>
  <c r="H742" i="2"/>
  <c r="H743" i="2"/>
  <c r="H744" i="2"/>
  <c r="H745" i="2"/>
  <c r="L745" i="2" s="1"/>
  <c r="H746" i="2"/>
  <c r="H747" i="2"/>
  <c r="H748" i="2"/>
  <c r="H749" i="2"/>
  <c r="L749" i="2" s="1"/>
  <c r="H750" i="2"/>
  <c r="H751" i="2"/>
  <c r="H752" i="2"/>
  <c r="H753" i="2"/>
  <c r="L753" i="2" s="1"/>
  <c r="H754" i="2"/>
  <c r="H755" i="2"/>
  <c r="H756" i="2"/>
  <c r="H757" i="2"/>
  <c r="L757" i="2" s="1"/>
  <c r="H758" i="2"/>
  <c r="H759" i="2"/>
  <c r="H760" i="2"/>
  <c r="H761" i="2"/>
  <c r="H762" i="2"/>
  <c r="H763" i="2"/>
  <c r="H764" i="2"/>
  <c r="H765" i="2"/>
  <c r="H766" i="2"/>
  <c r="H767" i="2"/>
  <c r="H768" i="2"/>
  <c r="H769" i="2"/>
  <c r="L769" i="2" s="1"/>
  <c r="H770" i="2"/>
  <c r="H771" i="2"/>
  <c r="H772" i="2"/>
  <c r="H773" i="2"/>
  <c r="L773" i="2" s="1"/>
  <c r="H774" i="2"/>
  <c r="H775" i="2"/>
  <c r="H776" i="2"/>
  <c r="H777" i="2"/>
  <c r="L777" i="2" s="1"/>
  <c r="H778" i="2"/>
  <c r="H779" i="2"/>
  <c r="H780" i="2"/>
  <c r="H781" i="2"/>
  <c r="L781" i="2" s="1"/>
  <c r="H782" i="2"/>
  <c r="H783" i="2"/>
  <c r="H784" i="2"/>
  <c r="H785" i="2"/>
  <c r="H786" i="2"/>
  <c r="H787" i="2"/>
  <c r="H788" i="2"/>
  <c r="H789" i="2"/>
  <c r="L789" i="2" s="1"/>
  <c r="H790" i="2"/>
  <c r="H791" i="2"/>
  <c r="H792" i="2"/>
  <c r="H793" i="2"/>
  <c r="L793" i="2" s="1"/>
  <c r="H794" i="2"/>
  <c r="H795" i="2"/>
  <c r="H796" i="2"/>
  <c r="H797" i="2"/>
  <c r="L797" i="2" s="1"/>
  <c r="H798" i="2"/>
  <c r="H799" i="2"/>
  <c r="H800" i="2"/>
  <c r="H801" i="2"/>
  <c r="L801" i="2" s="1"/>
  <c r="H802" i="2"/>
  <c r="H803" i="2"/>
  <c r="H804" i="2"/>
  <c r="H805" i="2"/>
  <c r="L805" i="2" s="1"/>
  <c r="H806" i="2"/>
  <c r="H807" i="2"/>
  <c r="H808" i="2"/>
  <c r="H809" i="2"/>
  <c r="H810" i="2"/>
  <c r="H811" i="2"/>
  <c r="H812" i="2"/>
  <c r="H813" i="2"/>
  <c r="L813" i="2" s="1"/>
  <c r="H814" i="2"/>
  <c r="H815" i="2"/>
  <c r="H816" i="2"/>
  <c r="H817" i="2"/>
  <c r="H818" i="2"/>
  <c r="H819" i="2"/>
  <c r="H820" i="2"/>
  <c r="H821" i="2"/>
  <c r="L821" i="2" s="1"/>
  <c r="H822" i="2"/>
  <c r="H823" i="2"/>
  <c r="H824" i="2"/>
  <c r="H825" i="2"/>
  <c r="H826" i="2"/>
  <c r="H827" i="2"/>
  <c r="H828" i="2"/>
  <c r="H829" i="2"/>
  <c r="L829" i="2" s="1"/>
  <c r="H830" i="2"/>
  <c r="H831" i="2"/>
  <c r="H832" i="2"/>
  <c r="H833" i="2"/>
  <c r="L833" i="2" s="1"/>
  <c r="H834" i="2"/>
  <c r="H835" i="2"/>
  <c r="H836" i="2"/>
  <c r="H837" i="2"/>
  <c r="L837" i="2" s="1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L853" i="2" s="1"/>
  <c r="H854" i="2"/>
  <c r="H855" i="2"/>
  <c r="H856" i="2"/>
  <c r="H857" i="2"/>
  <c r="L857" i="2" s="1"/>
  <c r="H858" i="2"/>
  <c r="H859" i="2"/>
  <c r="H860" i="2"/>
  <c r="H861" i="2"/>
  <c r="L861" i="2" s="1"/>
  <c r="H862" i="2"/>
  <c r="H863" i="2"/>
  <c r="H864" i="2"/>
  <c r="H865" i="2"/>
  <c r="L865" i="2" s="1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L885" i="2" s="1"/>
  <c r="H886" i="2"/>
  <c r="H887" i="2"/>
  <c r="H888" i="2"/>
  <c r="H889" i="2"/>
  <c r="H890" i="2"/>
  <c r="H891" i="2"/>
  <c r="H5" i="2"/>
  <c r="H6" i="2"/>
  <c r="H7" i="2"/>
  <c r="L7" i="2" s="1"/>
  <c r="H8" i="2"/>
  <c r="H9" i="2"/>
  <c r="H10" i="2"/>
  <c r="H11" i="2"/>
  <c r="L11" i="2" s="1"/>
  <c r="H12" i="2"/>
  <c r="H13" i="2"/>
  <c r="H14" i="2"/>
  <c r="H15" i="2"/>
  <c r="L15" i="2" s="1"/>
  <c r="H16" i="2"/>
  <c r="H17" i="2"/>
  <c r="H18" i="2"/>
  <c r="H19" i="2"/>
  <c r="L19" i="2" s="1"/>
  <c r="H20" i="2"/>
  <c r="H21" i="2"/>
  <c r="H22" i="2"/>
  <c r="L22" i="2" s="1"/>
  <c r="H23" i="2"/>
  <c r="H24" i="2"/>
  <c r="H25" i="2"/>
  <c r="H26" i="2"/>
  <c r="L26" i="2" s="1"/>
  <c r="H27" i="2"/>
  <c r="H28" i="2"/>
  <c r="H29" i="2"/>
  <c r="H30" i="2"/>
  <c r="L30" i="2" s="1"/>
  <c r="H31" i="2"/>
  <c r="H32" i="2"/>
  <c r="H33" i="2"/>
  <c r="H34" i="2"/>
  <c r="L34" i="2" s="1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L48" i="2" s="1"/>
  <c r="H49" i="2"/>
  <c r="H50" i="2"/>
  <c r="H51" i="2"/>
  <c r="H52" i="2"/>
  <c r="L52" i="2" s="1"/>
  <c r="H53" i="2"/>
  <c r="H54" i="2"/>
  <c r="H55" i="2"/>
  <c r="H56" i="2"/>
  <c r="L56" i="2" s="1"/>
  <c r="H57" i="2"/>
  <c r="H58" i="2"/>
  <c r="H59" i="2"/>
  <c r="H60" i="2"/>
  <c r="L60" i="2" s="1"/>
  <c r="H61" i="2"/>
  <c r="H62" i="2"/>
  <c r="H63" i="2"/>
  <c r="H64" i="2"/>
  <c r="L64" i="2" s="1"/>
  <c r="H65" i="2"/>
  <c r="H66" i="2"/>
  <c r="H67" i="2"/>
  <c r="H68" i="2"/>
  <c r="H69" i="2"/>
  <c r="H70" i="2"/>
  <c r="H71" i="2"/>
  <c r="H72" i="2"/>
  <c r="L72" i="2" s="1"/>
  <c r="H73" i="2"/>
  <c r="H74" i="2"/>
  <c r="H75" i="2"/>
  <c r="H76" i="2"/>
  <c r="L76" i="2" s="1"/>
  <c r="H77" i="2"/>
  <c r="H78" i="2"/>
  <c r="H79" i="2"/>
  <c r="H80" i="2"/>
  <c r="L80" i="2" s="1"/>
  <c r="H81" i="2"/>
  <c r="H82" i="2"/>
  <c r="H83" i="2"/>
  <c r="H84" i="2"/>
  <c r="L84" i="2" s="1"/>
  <c r="H85" i="2"/>
  <c r="H86" i="2"/>
  <c r="H87" i="2"/>
  <c r="H88" i="2"/>
  <c r="L88" i="2" s="1"/>
  <c r="H89" i="2"/>
  <c r="H90" i="2"/>
  <c r="H91" i="2"/>
  <c r="H92" i="2"/>
  <c r="L92" i="2" s="1"/>
  <c r="H93" i="2"/>
  <c r="H94" i="2"/>
  <c r="H95" i="2"/>
  <c r="H96" i="2"/>
  <c r="H97" i="2"/>
  <c r="H98" i="2"/>
  <c r="H99" i="2"/>
  <c r="H100" i="2"/>
  <c r="L100" i="2" s="1"/>
  <c r="H101" i="2"/>
  <c r="H102" i="2"/>
  <c r="H103" i="2"/>
  <c r="H104" i="2"/>
  <c r="L104" i="2" s="1"/>
  <c r="H105" i="2"/>
  <c r="H106" i="2"/>
  <c r="H108" i="2"/>
  <c r="L108" i="2" s="1"/>
  <c r="H109" i="2"/>
  <c r="H110" i="2"/>
  <c r="H111" i="2"/>
  <c r="H112" i="2"/>
  <c r="L112" i="2" s="1"/>
  <c r="H113" i="2"/>
  <c r="H114" i="2"/>
  <c r="H115" i="2"/>
  <c r="H116" i="2"/>
  <c r="L116" i="2" s="1"/>
  <c r="H117" i="2"/>
  <c r="H118" i="2"/>
  <c r="H119" i="2"/>
  <c r="H120" i="2"/>
  <c r="H121" i="2"/>
  <c r="H122" i="2"/>
  <c r="H123" i="2"/>
  <c r="H124" i="2"/>
  <c r="L124" i="2" s="1"/>
  <c r="H125" i="2"/>
  <c r="H126" i="2"/>
  <c r="H127" i="2"/>
  <c r="H128" i="2"/>
  <c r="L128" i="2" s="1"/>
  <c r="H129" i="2"/>
  <c r="H130" i="2"/>
  <c r="H131" i="2"/>
  <c r="H132" i="2"/>
  <c r="L132" i="2" s="1"/>
  <c r="H133" i="2"/>
  <c r="H134" i="2"/>
  <c r="H135" i="2"/>
  <c r="H136" i="2"/>
  <c r="L136" i="2" s="1"/>
  <c r="H137" i="2"/>
  <c r="H138" i="2"/>
  <c r="H139" i="2"/>
  <c r="H140" i="2"/>
  <c r="H141" i="2"/>
  <c r="H142" i="2"/>
  <c r="H143" i="2"/>
  <c r="H144" i="2"/>
  <c r="L144" i="2" s="1"/>
  <c r="H145" i="2"/>
  <c r="H146" i="2"/>
  <c r="H147" i="2"/>
  <c r="H148" i="2"/>
  <c r="L148" i="2" s="1"/>
  <c r="H149" i="2"/>
  <c r="H150" i="2"/>
  <c r="H151" i="2"/>
  <c r="H4" i="2"/>
  <c r="L4" i="2" s="1"/>
  <c r="N100" i="2" l="1"/>
  <c r="N407" i="2"/>
  <c r="N343" i="2"/>
  <c r="N275" i="2"/>
  <c r="N227" i="2"/>
  <c r="N195" i="2"/>
  <c r="N769" i="2"/>
  <c r="N689" i="2"/>
  <c r="N604" i="2"/>
  <c r="N519" i="2"/>
  <c r="N433" i="2"/>
  <c r="N934" i="2"/>
  <c r="N1222" i="2"/>
  <c r="N30" i="2"/>
  <c r="N84" i="2"/>
  <c r="N391" i="2"/>
  <c r="N327" i="2"/>
  <c r="N263" i="2"/>
  <c r="N215" i="2"/>
  <c r="N865" i="2"/>
  <c r="N753" i="2"/>
  <c r="N668" i="2"/>
  <c r="N583" i="2"/>
  <c r="N497" i="2"/>
  <c r="N1062" i="2"/>
  <c r="N885" i="2"/>
  <c r="N1158" i="2"/>
  <c r="N180" i="2"/>
  <c r="N52" i="2"/>
  <c r="N375" i="2"/>
  <c r="N311" i="2"/>
  <c r="N247" i="2"/>
  <c r="N211" i="2"/>
  <c r="N833" i="2"/>
  <c r="N721" i="2"/>
  <c r="N647" i="2"/>
  <c r="N561" i="2"/>
  <c r="N476" i="2"/>
  <c r="N1041" i="2"/>
  <c r="N1350" i="2"/>
  <c r="N2090" i="2"/>
  <c r="N164" i="2"/>
  <c r="N423" i="2"/>
  <c r="N359" i="2"/>
  <c r="N279" i="2"/>
  <c r="N243" i="2"/>
  <c r="N199" i="2"/>
  <c r="N801" i="2"/>
  <c r="N705" i="2"/>
  <c r="N625" i="2"/>
  <c r="N540" i="2"/>
  <c r="N455" i="2"/>
  <c r="N998" i="2"/>
  <c r="N1286" i="2"/>
  <c r="N2295" i="2"/>
  <c r="L79" i="2"/>
  <c r="N79" i="2"/>
  <c r="L71" i="2"/>
  <c r="N71" i="2"/>
  <c r="L59" i="2"/>
  <c r="N59" i="2"/>
  <c r="L47" i="2"/>
  <c r="N47" i="2"/>
  <c r="L850" i="2"/>
  <c r="N850" i="2"/>
  <c r="L838" i="2"/>
  <c r="N838" i="2"/>
  <c r="L814" i="2"/>
  <c r="N814" i="2"/>
  <c r="L798" i="2"/>
  <c r="N798" i="2"/>
  <c r="L758" i="2"/>
  <c r="N758" i="2"/>
  <c r="L746" i="2"/>
  <c r="N746" i="2"/>
  <c r="L738" i="2"/>
  <c r="N738" i="2"/>
  <c r="L718" i="2"/>
  <c r="N718" i="2"/>
  <c r="L710" i="2"/>
  <c r="N710" i="2"/>
  <c r="L686" i="2"/>
  <c r="N686" i="2"/>
  <c r="L670" i="2"/>
  <c r="N670" i="2"/>
  <c r="L658" i="2"/>
  <c r="N658" i="2"/>
  <c r="L642" i="2"/>
  <c r="N642" i="2"/>
  <c r="L622" i="2"/>
  <c r="N622" i="2"/>
  <c r="L610" i="2"/>
  <c r="N610" i="2"/>
  <c r="L598" i="2"/>
  <c r="N598" i="2"/>
  <c r="L582" i="2"/>
  <c r="N582" i="2"/>
  <c r="L514" i="2"/>
  <c r="N514" i="2"/>
  <c r="L498" i="2"/>
  <c r="N498" i="2"/>
  <c r="L486" i="2"/>
  <c r="N486" i="2"/>
  <c r="L474" i="2"/>
  <c r="N474" i="2"/>
  <c r="L458" i="2"/>
  <c r="N458" i="2"/>
  <c r="L438" i="2"/>
  <c r="N438" i="2"/>
  <c r="L414" i="2"/>
  <c r="N414" i="2"/>
  <c r="L406" i="2"/>
  <c r="N406" i="2"/>
  <c r="L390" i="2"/>
  <c r="N390" i="2"/>
  <c r="L378" i="2"/>
  <c r="N378" i="2"/>
  <c r="L362" i="2"/>
  <c r="N362" i="2"/>
  <c r="L350" i="2"/>
  <c r="N350" i="2"/>
  <c r="L330" i="2"/>
  <c r="N330" i="2"/>
  <c r="L318" i="2"/>
  <c r="N318" i="2"/>
  <c r="L298" i="2"/>
  <c r="N298" i="2"/>
  <c r="L286" i="2"/>
  <c r="N286" i="2"/>
  <c r="L246" i="2"/>
  <c r="N246" i="2"/>
  <c r="L234" i="2"/>
  <c r="N234" i="2"/>
  <c r="L218" i="2"/>
  <c r="N218" i="2"/>
  <c r="L202" i="2"/>
  <c r="N202" i="2"/>
  <c r="L190" i="2"/>
  <c r="N190" i="2"/>
  <c r="L174" i="2"/>
  <c r="N174" i="2"/>
  <c r="L166" i="2"/>
  <c r="N166" i="2"/>
  <c r="L158" i="2"/>
  <c r="N158" i="2"/>
  <c r="L1119" i="2"/>
  <c r="N1119" i="2"/>
  <c r="L1103" i="2"/>
  <c r="N1103" i="2"/>
  <c r="L1087" i="2"/>
  <c r="N1087" i="2"/>
  <c r="L1075" i="2"/>
  <c r="N1075" i="2"/>
  <c r="L1063" i="2"/>
  <c r="N1063" i="2"/>
  <c r="L1031" i="2"/>
  <c r="N1031" i="2"/>
  <c r="L1023" i="2"/>
  <c r="N1023" i="2"/>
  <c r="L1011" i="2"/>
  <c r="N1011" i="2"/>
  <c r="L975" i="2"/>
  <c r="N975" i="2"/>
  <c r="L951" i="2"/>
  <c r="N951" i="2"/>
  <c r="L1300" i="2"/>
  <c r="N1300" i="2"/>
  <c r="L1284" i="2"/>
  <c r="N1284" i="2"/>
  <c r="L1248" i="2"/>
  <c r="N1248" i="2"/>
  <c r="L1240" i="2"/>
  <c r="N1240" i="2"/>
  <c r="L1228" i="2"/>
  <c r="N1228" i="2"/>
  <c r="L1220" i="2"/>
  <c r="N1220" i="2"/>
  <c r="L1200" i="2"/>
  <c r="N1200" i="2"/>
  <c r="L1164" i="2"/>
  <c r="N1164" i="2"/>
  <c r="L1152" i="2"/>
  <c r="N1152" i="2"/>
  <c r="L1132" i="2"/>
  <c r="N1132" i="2"/>
  <c r="L1303" i="2"/>
  <c r="N1303" i="2"/>
  <c r="L1404" i="2"/>
  <c r="N1404" i="2"/>
  <c r="L1396" i="2"/>
  <c r="N1396" i="2"/>
  <c r="L1737" i="2"/>
  <c r="N1737" i="2"/>
  <c r="L1725" i="2"/>
  <c r="N1725" i="2"/>
  <c r="L1705" i="2"/>
  <c r="N1705" i="2"/>
  <c r="L1693" i="2"/>
  <c r="N1693" i="2"/>
  <c r="L1677" i="2"/>
  <c r="N1677" i="2"/>
  <c r="L1661" i="2"/>
  <c r="N1661" i="2"/>
  <c r="L1649" i="2"/>
  <c r="N1649" i="2"/>
  <c r="L1637" i="2"/>
  <c r="N1637" i="2"/>
  <c r="L1625" i="2"/>
  <c r="N1625" i="2"/>
  <c r="L1621" i="2"/>
  <c r="N1621" i="2"/>
  <c r="L1613" i="2"/>
  <c r="N1613" i="2"/>
  <c r="L1597" i="2"/>
  <c r="N1597" i="2"/>
  <c r="L1573" i="2"/>
  <c r="N1573" i="2"/>
  <c r="L1537" i="2"/>
  <c r="N1537" i="2"/>
  <c r="L1525" i="2"/>
  <c r="N1525" i="2"/>
  <c r="L1489" i="2"/>
  <c r="N1489" i="2"/>
  <c r="L1461" i="2"/>
  <c r="N1461" i="2"/>
  <c r="L1761" i="2"/>
  <c r="N1761" i="2"/>
  <c r="L1749" i="2"/>
  <c r="N1749" i="2"/>
  <c r="L1767" i="2"/>
  <c r="N1767" i="2"/>
  <c r="L1869" i="2"/>
  <c r="N1869" i="2"/>
  <c r="L1861" i="2"/>
  <c r="N1861" i="2"/>
  <c r="L1845" i="2"/>
  <c r="N1845" i="2"/>
  <c r="L1829" i="2"/>
  <c r="N1829" i="2"/>
  <c r="L1817" i="2"/>
  <c r="N1817" i="2"/>
  <c r="L1893" i="2"/>
  <c r="N1893" i="2"/>
  <c r="L1914" i="2"/>
  <c r="N1914" i="2"/>
  <c r="L1932" i="2"/>
  <c r="N1932" i="2"/>
  <c r="L2088" i="2"/>
  <c r="N2088" i="2"/>
  <c r="L2072" i="2"/>
  <c r="N2072" i="2"/>
  <c r="L2060" i="2"/>
  <c r="N2060" i="2"/>
  <c r="L2032" i="2"/>
  <c r="N2032" i="2"/>
  <c r="L2020" i="2"/>
  <c r="N2020" i="2"/>
  <c r="L1988" i="2"/>
  <c r="N1988" i="2"/>
  <c r="L1976" i="2"/>
  <c r="N1976" i="2"/>
  <c r="L1964" i="2"/>
  <c r="N1964" i="2"/>
  <c r="L2119" i="2"/>
  <c r="N2119" i="2"/>
  <c r="L2107" i="2"/>
  <c r="N2107" i="2"/>
  <c r="N132" i="2"/>
  <c r="L147" i="2"/>
  <c r="N147" i="2"/>
  <c r="L115" i="2"/>
  <c r="N115" i="2"/>
  <c r="L102" i="2"/>
  <c r="N102" i="2"/>
  <c r="L90" i="2"/>
  <c r="N90" i="2"/>
  <c r="L74" i="2"/>
  <c r="N74" i="2"/>
  <c r="L54" i="2"/>
  <c r="N54" i="2"/>
  <c r="L889" i="2"/>
  <c r="N889" i="2"/>
  <c r="L661" i="2"/>
  <c r="N661" i="2"/>
  <c r="L649" i="2"/>
  <c r="N649" i="2"/>
  <c r="L629" i="2"/>
  <c r="N629" i="2"/>
  <c r="L617" i="2"/>
  <c r="N617" i="2"/>
  <c r="L605" i="2"/>
  <c r="N605" i="2"/>
  <c r="L597" i="2"/>
  <c r="N597" i="2"/>
  <c r="L585" i="2"/>
  <c r="N585" i="2"/>
  <c r="L517" i="2"/>
  <c r="N517" i="2"/>
  <c r="L509" i="2"/>
  <c r="N509" i="2"/>
  <c r="L493" i="2"/>
  <c r="N493" i="2"/>
  <c r="L473" i="2"/>
  <c r="N473" i="2"/>
  <c r="L461" i="2"/>
  <c r="N461" i="2"/>
  <c r="L409" i="2"/>
  <c r="N409" i="2"/>
  <c r="L397" i="2"/>
  <c r="N397" i="2"/>
  <c r="L373" i="2"/>
  <c r="N373" i="2"/>
  <c r="L349" i="2"/>
  <c r="N349" i="2"/>
  <c r="L337" i="2"/>
  <c r="N337" i="2"/>
  <c r="L317" i="2"/>
  <c r="N317" i="2"/>
  <c r="L201" i="2"/>
  <c r="N201" i="2"/>
  <c r="L189" i="2"/>
  <c r="N189" i="2"/>
  <c r="L1086" i="2"/>
  <c r="N1086" i="2"/>
  <c r="L1074" i="2"/>
  <c r="N1074" i="2"/>
  <c r="L986" i="2"/>
  <c r="N986" i="2"/>
  <c r="L954" i="2"/>
  <c r="N954" i="2"/>
  <c r="L918" i="2"/>
  <c r="N918" i="2"/>
  <c r="L1299" i="2"/>
  <c r="N1299" i="2"/>
  <c r="L1287" i="2"/>
  <c r="N1287" i="2"/>
  <c r="L1283" i="2"/>
  <c r="N1283" i="2"/>
  <c r="L1279" i="2"/>
  <c r="N1279" i="2"/>
  <c r="L1275" i="2"/>
  <c r="N1275" i="2"/>
  <c r="L1271" i="2"/>
  <c r="N1271" i="2"/>
  <c r="L1267" i="2"/>
  <c r="N1267" i="2"/>
  <c r="L1263" i="2"/>
  <c r="N1263" i="2"/>
  <c r="L1259" i="2"/>
  <c r="N1259" i="2"/>
  <c r="L1255" i="2"/>
  <c r="N1255" i="2"/>
  <c r="L1247" i="2"/>
  <c r="N1247" i="2"/>
  <c r="L1231" i="2"/>
  <c r="N1231" i="2"/>
  <c r="L1227" i="2"/>
  <c r="N1227" i="2"/>
  <c r="L1223" i="2"/>
  <c r="N1223" i="2"/>
  <c r="L1219" i="2"/>
  <c r="N1219" i="2"/>
  <c r="L1215" i="2"/>
  <c r="N1215" i="2"/>
  <c r="L1207" i="2"/>
  <c r="N1207" i="2"/>
  <c r="L1203" i="2"/>
  <c r="N1203" i="2"/>
  <c r="L1199" i="2"/>
  <c r="N1199" i="2"/>
  <c r="L1195" i="2"/>
  <c r="N1195" i="2"/>
  <c r="L1191" i="2"/>
  <c r="N1191" i="2"/>
  <c r="L1187" i="2"/>
  <c r="N1187" i="2"/>
  <c r="L1183" i="2"/>
  <c r="N1183" i="2"/>
  <c r="L1179" i="2"/>
  <c r="N1179" i="2"/>
  <c r="L1175" i="2"/>
  <c r="N1175" i="2"/>
  <c r="L1171" i="2"/>
  <c r="N1171" i="2"/>
  <c r="L1167" i="2"/>
  <c r="N1167" i="2"/>
  <c r="L1163" i="2"/>
  <c r="N1163" i="2"/>
  <c r="L1159" i="2"/>
  <c r="N1159" i="2"/>
  <c r="L1155" i="2"/>
  <c r="N1155" i="2"/>
  <c r="L1151" i="2"/>
  <c r="N1151" i="2"/>
  <c r="L1147" i="2"/>
  <c r="N1147" i="2"/>
  <c r="L1139" i="2"/>
  <c r="N1139" i="2"/>
  <c r="L1135" i="2"/>
  <c r="N1135" i="2"/>
  <c r="L1127" i="2"/>
  <c r="N1127" i="2"/>
  <c r="L1322" i="2"/>
  <c r="N1322" i="2"/>
  <c r="L1314" i="2"/>
  <c r="N1314" i="2"/>
  <c r="L1310" i="2"/>
  <c r="N1310" i="2"/>
  <c r="L1306" i="2"/>
  <c r="N1306" i="2"/>
  <c r="L1330" i="2"/>
  <c r="N1330" i="2"/>
  <c r="L1375" i="2"/>
  <c r="N1375" i="2"/>
  <c r="L1371" i="2"/>
  <c r="N1371" i="2"/>
  <c r="L1363" i="2"/>
  <c r="N1363" i="2"/>
  <c r="L1359" i="2"/>
  <c r="N1359" i="2"/>
  <c r="L1355" i="2"/>
  <c r="N1355" i="2"/>
  <c r="L1351" i="2"/>
  <c r="N1351" i="2"/>
  <c r="L1347" i="2"/>
  <c r="N1347" i="2"/>
  <c r="L1343" i="2"/>
  <c r="N1343" i="2"/>
  <c r="L1339" i="2"/>
  <c r="N1339" i="2"/>
  <c r="L1403" i="2"/>
  <c r="N1403" i="2"/>
  <c r="L1399" i="2"/>
  <c r="N1399" i="2"/>
  <c r="L1395" i="2"/>
  <c r="N1395" i="2"/>
  <c r="L1391" i="2"/>
  <c r="N1391" i="2"/>
  <c r="L1387" i="2"/>
  <c r="N1387" i="2"/>
  <c r="L1383" i="2"/>
  <c r="N1383" i="2"/>
  <c r="L1379" i="2"/>
  <c r="N1379" i="2"/>
  <c r="L1424" i="2"/>
  <c r="N1424" i="2"/>
  <c r="L1416" i="2"/>
  <c r="N1416" i="2"/>
  <c r="L1744" i="2"/>
  <c r="N1744" i="2"/>
  <c r="L1740" i="2"/>
  <c r="N1740" i="2"/>
  <c r="L1736" i="2"/>
  <c r="N1736" i="2"/>
  <c r="L1732" i="2"/>
  <c r="N1732" i="2"/>
  <c r="L1728" i="2"/>
  <c r="N1728" i="2"/>
  <c r="L1724" i="2"/>
  <c r="N1724" i="2"/>
  <c r="L1720" i="2"/>
  <c r="N1720" i="2"/>
  <c r="L1716" i="2"/>
  <c r="N1716" i="2"/>
  <c r="L1712" i="2"/>
  <c r="N1712" i="2"/>
  <c r="L1704" i="2"/>
  <c r="N1704" i="2"/>
  <c r="L1700" i="2"/>
  <c r="N1700" i="2"/>
  <c r="L1696" i="2"/>
  <c r="N1696" i="2"/>
  <c r="L1692" i="2"/>
  <c r="N1692" i="2"/>
  <c r="L1688" i="2"/>
  <c r="N1688" i="2"/>
  <c r="L1684" i="2"/>
  <c r="N1684" i="2"/>
  <c r="L1680" i="2"/>
  <c r="N1680" i="2"/>
  <c r="L1676" i="2"/>
  <c r="N1676" i="2"/>
  <c r="L1672" i="2"/>
  <c r="N1672" i="2"/>
  <c r="L1668" i="2"/>
  <c r="N1668" i="2"/>
  <c r="L1664" i="2"/>
  <c r="N1664" i="2"/>
  <c r="L1660" i="2"/>
  <c r="N1660" i="2"/>
  <c r="L1656" i="2"/>
  <c r="N1656" i="2"/>
  <c r="L1652" i="2"/>
  <c r="N1652" i="2"/>
  <c r="L1648" i="2"/>
  <c r="N1648" i="2"/>
  <c r="L1644" i="2"/>
  <c r="N1644" i="2"/>
  <c r="L1640" i="2"/>
  <c r="N1640" i="2"/>
  <c r="L1636" i="2"/>
  <c r="N1636" i="2"/>
  <c r="L1632" i="2"/>
  <c r="N1632" i="2"/>
  <c r="L1628" i="2"/>
  <c r="N1628" i="2"/>
  <c r="L1624" i="2"/>
  <c r="N1624" i="2"/>
  <c r="L1620" i="2"/>
  <c r="N1620" i="2"/>
  <c r="L1616" i="2"/>
  <c r="N1616" i="2"/>
  <c r="L1612" i="2"/>
  <c r="N1612" i="2"/>
  <c r="L1608" i="2"/>
  <c r="N1608" i="2"/>
  <c r="L1604" i="2"/>
  <c r="N1604" i="2"/>
  <c r="L1600" i="2"/>
  <c r="N1600" i="2"/>
  <c r="L1596" i="2"/>
  <c r="N1596" i="2"/>
  <c r="L1592" i="2"/>
  <c r="N1592" i="2"/>
  <c r="L1588" i="2"/>
  <c r="N1588" i="2"/>
  <c r="L1584" i="2"/>
  <c r="N1584" i="2"/>
  <c r="L1580" i="2"/>
  <c r="N1580" i="2"/>
  <c r="L1576" i="2"/>
  <c r="N1576" i="2"/>
  <c r="L1572" i="2"/>
  <c r="N1572" i="2"/>
  <c r="L1568" i="2"/>
  <c r="N1568" i="2"/>
  <c r="L1564" i="2"/>
  <c r="N1564" i="2"/>
  <c r="L1560" i="2"/>
  <c r="N1560" i="2"/>
  <c r="L1556" i="2"/>
  <c r="N1556" i="2"/>
  <c r="L1552" i="2"/>
  <c r="N1552" i="2"/>
  <c r="L1548" i="2"/>
  <c r="N1548" i="2"/>
  <c r="L1544" i="2"/>
  <c r="N1544" i="2"/>
  <c r="L1540" i="2"/>
  <c r="N1540" i="2"/>
  <c r="L1536" i="2"/>
  <c r="N1536" i="2"/>
  <c r="L1532" i="2"/>
  <c r="N1532" i="2"/>
  <c r="L1528" i="2"/>
  <c r="N1528" i="2"/>
  <c r="L1524" i="2"/>
  <c r="N1524" i="2"/>
  <c r="L1516" i="2"/>
  <c r="N1516" i="2"/>
  <c r="L1512" i="2"/>
  <c r="N1512" i="2"/>
  <c r="L1508" i="2"/>
  <c r="N1508" i="2"/>
  <c r="L1492" i="2"/>
  <c r="N1492" i="2"/>
  <c r="L1484" i="2"/>
  <c r="N1484" i="2"/>
  <c r="L1480" i="2"/>
  <c r="N1480" i="2"/>
  <c r="L1476" i="2"/>
  <c r="N1476" i="2"/>
  <c r="L1472" i="2"/>
  <c r="N1472" i="2"/>
  <c r="L1468" i="2"/>
  <c r="N1468" i="2"/>
  <c r="L1464" i="2"/>
  <c r="N1464" i="2"/>
  <c r="L1456" i="2"/>
  <c r="N1456" i="2"/>
  <c r="L1452" i="2"/>
  <c r="N1452" i="2"/>
  <c r="L1436" i="2"/>
  <c r="N1436" i="2"/>
  <c r="L1432" i="2"/>
  <c r="N1432" i="2"/>
  <c r="L1760" i="2"/>
  <c r="N1760" i="2"/>
  <c r="L1756" i="2"/>
  <c r="N1756" i="2"/>
  <c r="L1752" i="2"/>
  <c r="N1752" i="2"/>
  <c r="L1748" i="2"/>
  <c r="N1748" i="2"/>
  <c r="L1774" i="2"/>
  <c r="N1774" i="2"/>
  <c r="L1770" i="2"/>
  <c r="N1770" i="2"/>
  <c r="L1766" i="2"/>
  <c r="N1766" i="2"/>
  <c r="L1762" i="2"/>
  <c r="N1762" i="2"/>
  <c r="L1876" i="2"/>
  <c r="N1876" i="2"/>
  <c r="L1872" i="2"/>
  <c r="N1872" i="2"/>
  <c r="L1868" i="2"/>
  <c r="N1868" i="2"/>
  <c r="L1864" i="2"/>
  <c r="N1864" i="2"/>
  <c r="L1860" i="2"/>
  <c r="N1860" i="2"/>
  <c r="L1856" i="2"/>
  <c r="N1856" i="2"/>
  <c r="L1852" i="2"/>
  <c r="N1852" i="2"/>
  <c r="L1848" i="2"/>
  <c r="N1848" i="2"/>
  <c r="L1844" i="2"/>
  <c r="N1844" i="2"/>
  <c r="L1840" i="2"/>
  <c r="N1840" i="2"/>
  <c r="L1836" i="2"/>
  <c r="N1836" i="2"/>
  <c r="L1832" i="2"/>
  <c r="N1832" i="2"/>
  <c r="L1828" i="2"/>
  <c r="N1828" i="2"/>
  <c r="L1824" i="2"/>
  <c r="N1824" i="2"/>
  <c r="L1820" i="2"/>
  <c r="N1820" i="2"/>
  <c r="L1816" i="2"/>
  <c r="N1816" i="2"/>
  <c r="L1812" i="2"/>
  <c r="N1812" i="2"/>
  <c r="L1808" i="2"/>
  <c r="N1808" i="2"/>
  <c r="L1804" i="2"/>
  <c r="N1804" i="2"/>
  <c r="L1800" i="2"/>
  <c r="N1800" i="2"/>
  <c r="L1796" i="2"/>
  <c r="N1796" i="2"/>
  <c r="L1792" i="2"/>
  <c r="N1792" i="2"/>
  <c r="L1788" i="2"/>
  <c r="N1788" i="2"/>
  <c r="L1784" i="2"/>
  <c r="N1784" i="2"/>
  <c r="L1780" i="2"/>
  <c r="N1780" i="2"/>
  <c r="L1900" i="2"/>
  <c r="N1900" i="2"/>
  <c r="L1896" i="2"/>
  <c r="N1896" i="2"/>
  <c r="L1892" i="2"/>
  <c r="N1892" i="2"/>
  <c r="L1888" i="2"/>
  <c r="N1888" i="2"/>
  <c r="L1884" i="2"/>
  <c r="N1884" i="2"/>
  <c r="L1880" i="2"/>
  <c r="N1880" i="2"/>
  <c r="L1913" i="2"/>
  <c r="N1913" i="2"/>
  <c r="L1909" i="2"/>
  <c r="N1909" i="2"/>
  <c r="L1905" i="2"/>
  <c r="N1905" i="2"/>
  <c r="L1930" i="2"/>
  <c r="N1930" i="2"/>
  <c r="L1926" i="2"/>
  <c r="N1926" i="2"/>
  <c r="L1922" i="2"/>
  <c r="N1922" i="2"/>
  <c r="L1918" i="2"/>
  <c r="N1918" i="2"/>
  <c r="L1947" i="2"/>
  <c r="N1947" i="2"/>
  <c r="L1939" i="2"/>
  <c r="N1939" i="2"/>
  <c r="L1935" i="2"/>
  <c r="N1935" i="2"/>
  <c r="L2099" i="2"/>
  <c r="N2099" i="2"/>
  <c r="L2095" i="2"/>
  <c r="N2095" i="2"/>
  <c r="L2091" i="2"/>
  <c r="N2091" i="2"/>
  <c r="L2087" i="2"/>
  <c r="N2087" i="2"/>
  <c r="L2083" i="2"/>
  <c r="N2083" i="2"/>
  <c r="L2079" i="2"/>
  <c r="N2079" i="2"/>
  <c r="L2075" i="2"/>
  <c r="N2075" i="2"/>
  <c r="L2071" i="2"/>
  <c r="N2071" i="2"/>
  <c r="L2067" i="2"/>
  <c r="N2067" i="2"/>
  <c r="L2063" i="2"/>
  <c r="N2063" i="2"/>
  <c r="L2059" i="2"/>
  <c r="N2059" i="2"/>
  <c r="L2055" i="2"/>
  <c r="N2055" i="2"/>
  <c r="L2051" i="2"/>
  <c r="N2051" i="2"/>
  <c r="L2047" i="2"/>
  <c r="N2047" i="2"/>
  <c r="L2043" i="2"/>
  <c r="N2043" i="2"/>
  <c r="L2039" i="2"/>
  <c r="N2039" i="2"/>
  <c r="L2035" i="2"/>
  <c r="N2035" i="2"/>
  <c r="N11" i="2"/>
  <c r="N26" i="2"/>
  <c r="N176" i="2"/>
  <c r="N160" i="2"/>
  <c r="N144" i="2"/>
  <c r="N128" i="2"/>
  <c r="N112" i="2"/>
  <c r="N80" i="2"/>
  <c r="N64" i="2"/>
  <c r="N48" i="2"/>
  <c r="N419" i="2"/>
  <c r="N403" i="2"/>
  <c r="N387" i="2"/>
  <c r="N371" i="2"/>
  <c r="N355" i="2"/>
  <c r="N339" i="2"/>
  <c r="N323" i="2"/>
  <c r="N307" i="2"/>
  <c r="N291" i="2"/>
  <c r="N861" i="2"/>
  <c r="N829" i="2"/>
  <c r="N813" i="2"/>
  <c r="N797" i="2"/>
  <c r="N781" i="2"/>
  <c r="N749" i="2"/>
  <c r="N717" i="2"/>
  <c r="N701" i="2"/>
  <c r="N663" i="2"/>
  <c r="N641" i="2"/>
  <c r="N620" i="2"/>
  <c r="N599" i="2"/>
  <c r="N577" i="2"/>
  <c r="N556" i="2"/>
  <c r="N535" i="2"/>
  <c r="N513" i="2"/>
  <c r="N449" i="2"/>
  <c r="N428" i="2"/>
  <c r="N1057" i="2"/>
  <c r="N1035" i="2"/>
  <c r="N971" i="2"/>
  <c r="N950" i="2"/>
  <c r="N929" i="2"/>
  <c r="N1398" i="2"/>
  <c r="N1334" i="2"/>
  <c r="N1270" i="2"/>
  <c r="N1206" i="2"/>
  <c r="N1078" i="2"/>
  <c r="N1428" i="2"/>
  <c r="N2026" i="2"/>
  <c r="N1708" i="2"/>
  <c r="L103" i="2"/>
  <c r="N103" i="2"/>
  <c r="L87" i="2"/>
  <c r="N87" i="2"/>
  <c r="L55" i="2"/>
  <c r="N55" i="2"/>
  <c r="L35" i="2"/>
  <c r="N35" i="2"/>
  <c r="L874" i="2"/>
  <c r="N874" i="2"/>
  <c r="L866" i="2"/>
  <c r="N866" i="2"/>
  <c r="L854" i="2"/>
  <c r="N854" i="2"/>
  <c r="L846" i="2"/>
  <c r="N846" i="2"/>
  <c r="L830" i="2"/>
  <c r="N830" i="2"/>
  <c r="L826" i="2"/>
  <c r="N826" i="2"/>
  <c r="L818" i="2"/>
  <c r="N818" i="2"/>
  <c r="L810" i="2"/>
  <c r="N810" i="2"/>
  <c r="L802" i="2"/>
  <c r="N802" i="2"/>
  <c r="L786" i="2"/>
  <c r="N786" i="2"/>
  <c r="L774" i="2"/>
  <c r="N774" i="2"/>
  <c r="L770" i="2"/>
  <c r="N770" i="2"/>
  <c r="L754" i="2"/>
  <c r="N754" i="2"/>
  <c r="L726" i="2"/>
  <c r="N726" i="2"/>
  <c r="L714" i="2"/>
  <c r="N714" i="2"/>
  <c r="L702" i="2"/>
  <c r="N702" i="2"/>
  <c r="L694" i="2"/>
  <c r="N694" i="2"/>
  <c r="L678" i="2"/>
  <c r="N678" i="2"/>
  <c r="L662" i="2"/>
  <c r="N662" i="2"/>
  <c r="L650" i="2"/>
  <c r="N650" i="2"/>
  <c r="L638" i="2"/>
  <c r="N638" i="2"/>
  <c r="L630" i="2"/>
  <c r="N630" i="2"/>
  <c r="L618" i="2"/>
  <c r="N618" i="2"/>
  <c r="L614" i="2"/>
  <c r="N614" i="2"/>
  <c r="L566" i="2"/>
  <c r="N566" i="2"/>
  <c r="L554" i="2"/>
  <c r="N554" i="2"/>
  <c r="L530" i="2"/>
  <c r="N530" i="2"/>
  <c r="L506" i="2"/>
  <c r="N506" i="2"/>
  <c r="L482" i="2"/>
  <c r="N482" i="2"/>
  <c r="L466" i="2"/>
  <c r="N466" i="2"/>
  <c r="L454" i="2"/>
  <c r="N454" i="2"/>
  <c r="L450" i="2"/>
  <c r="N450" i="2"/>
  <c r="L442" i="2"/>
  <c r="N442" i="2"/>
  <c r="L430" i="2"/>
  <c r="N430" i="2"/>
  <c r="L422" i="2"/>
  <c r="N422" i="2"/>
  <c r="L402" i="2"/>
  <c r="N402" i="2"/>
  <c r="L386" i="2"/>
  <c r="N386" i="2"/>
  <c r="L370" i="2"/>
  <c r="N370" i="2"/>
  <c r="L358" i="2"/>
  <c r="N358" i="2"/>
  <c r="L342" i="2"/>
  <c r="N342" i="2"/>
  <c r="L334" i="2"/>
  <c r="N334" i="2"/>
  <c r="L322" i="2"/>
  <c r="N322" i="2"/>
  <c r="L310" i="2"/>
  <c r="N310" i="2"/>
  <c r="L278" i="2"/>
  <c r="N278" i="2"/>
  <c r="L250" i="2"/>
  <c r="N250" i="2"/>
  <c r="L242" i="2"/>
  <c r="N242" i="2"/>
  <c r="L238" i="2"/>
  <c r="N238" i="2"/>
  <c r="L226" i="2"/>
  <c r="N226" i="2"/>
  <c r="L210" i="2"/>
  <c r="N210" i="2"/>
  <c r="L198" i="2"/>
  <c r="N198" i="2"/>
  <c r="L182" i="2"/>
  <c r="N182" i="2"/>
  <c r="L1111" i="2"/>
  <c r="N1111" i="2"/>
  <c r="L1091" i="2"/>
  <c r="N1091" i="2"/>
  <c r="L1079" i="2"/>
  <c r="N1079" i="2"/>
  <c r="L1059" i="2"/>
  <c r="N1059" i="2"/>
  <c r="L1007" i="2"/>
  <c r="N1007" i="2"/>
  <c r="L979" i="2"/>
  <c r="N979" i="2"/>
  <c r="L967" i="2"/>
  <c r="N967" i="2"/>
  <c r="L943" i="2"/>
  <c r="N943" i="2"/>
  <c r="L935" i="2"/>
  <c r="N935" i="2"/>
  <c r="L927" i="2"/>
  <c r="N927" i="2"/>
  <c r="L915" i="2"/>
  <c r="N915" i="2"/>
  <c r="L895" i="2"/>
  <c r="N895" i="2"/>
  <c r="L1296" i="2"/>
  <c r="N1296" i="2"/>
  <c r="L1288" i="2"/>
  <c r="N1288" i="2"/>
  <c r="L1276" i="2"/>
  <c r="N1276" i="2"/>
  <c r="L1268" i="2"/>
  <c r="N1268" i="2"/>
  <c r="L1224" i="2"/>
  <c r="N1224" i="2"/>
  <c r="L1216" i="2"/>
  <c r="N1216" i="2"/>
  <c r="L1208" i="2"/>
  <c r="N1208" i="2"/>
  <c r="L1196" i="2"/>
  <c r="N1196" i="2"/>
  <c r="L1188" i="2"/>
  <c r="N1188" i="2"/>
  <c r="L1180" i="2"/>
  <c r="N1180" i="2"/>
  <c r="L1168" i="2"/>
  <c r="N1168" i="2"/>
  <c r="L1140" i="2"/>
  <c r="N1140" i="2"/>
  <c r="L1128" i="2"/>
  <c r="N1128" i="2"/>
  <c r="L1323" i="2"/>
  <c r="N1323" i="2"/>
  <c r="L1311" i="2"/>
  <c r="N1311" i="2"/>
  <c r="L1335" i="2"/>
  <c r="N1335" i="2"/>
  <c r="L1376" i="2"/>
  <c r="N1376" i="2"/>
  <c r="L1364" i="2"/>
  <c r="N1364" i="2"/>
  <c r="L1348" i="2"/>
  <c r="N1348" i="2"/>
  <c r="L1388" i="2"/>
  <c r="N1388" i="2"/>
  <c r="L1384" i="2"/>
  <c r="N1384" i="2"/>
  <c r="L1380" i="2"/>
  <c r="N1380" i="2"/>
  <c r="L1425" i="2"/>
  <c r="N1425" i="2"/>
  <c r="L1413" i="2"/>
  <c r="N1413" i="2"/>
  <c r="L1405" i="2"/>
  <c r="N1405" i="2"/>
  <c r="L1733" i="2"/>
  <c r="N1733" i="2"/>
  <c r="L1721" i="2"/>
  <c r="N1721" i="2"/>
  <c r="L1713" i="2"/>
  <c r="N1713" i="2"/>
  <c r="L1697" i="2"/>
  <c r="N1697" i="2"/>
  <c r="L1685" i="2"/>
  <c r="N1685" i="2"/>
  <c r="L1669" i="2"/>
  <c r="N1669" i="2"/>
  <c r="L1657" i="2"/>
  <c r="N1657" i="2"/>
  <c r="L1645" i="2"/>
  <c r="N1645" i="2"/>
  <c r="L1633" i="2"/>
  <c r="N1633" i="2"/>
  <c r="L1617" i="2"/>
  <c r="N1617" i="2"/>
  <c r="L1605" i="2"/>
  <c r="N1605" i="2"/>
  <c r="L1593" i="2"/>
  <c r="N1593" i="2"/>
  <c r="L1585" i="2"/>
  <c r="N1585" i="2"/>
  <c r="L1577" i="2"/>
  <c r="N1577" i="2"/>
  <c r="L1565" i="2"/>
  <c r="N1565" i="2"/>
  <c r="L1557" i="2"/>
  <c r="N1557" i="2"/>
  <c r="L1549" i="2"/>
  <c r="N1549" i="2"/>
  <c r="L1473" i="2"/>
  <c r="N1473" i="2"/>
  <c r="L1433" i="2"/>
  <c r="N1433" i="2"/>
  <c r="L1753" i="2"/>
  <c r="N1753" i="2"/>
  <c r="L1775" i="2"/>
  <c r="N1775" i="2"/>
  <c r="L1763" i="2"/>
  <c r="N1763" i="2"/>
  <c r="L1873" i="2"/>
  <c r="N1873" i="2"/>
  <c r="L1841" i="2"/>
  <c r="N1841" i="2"/>
  <c r="L1837" i="2"/>
  <c r="N1837" i="2"/>
  <c r="L1825" i="2"/>
  <c r="N1825" i="2"/>
  <c r="L1813" i="2"/>
  <c r="N1813" i="2"/>
  <c r="L1801" i="2"/>
  <c r="N1801" i="2"/>
  <c r="L1785" i="2"/>
  <c r="N1785" i="2"/>
  <c r="L1901" i="2"/>
  <c r="N1901" i="2"/>
  <c r="L1889" i="2"/>
  <c r="N1889" i="2"/>
  <c r="L1881" i="2"/>
  <c r="N1881" i="2"/>
  <c r="L1948" i="2"/>
  <c r="N1948" i="2"/>
  <c r="L1940" i="2"/>
  <c r="N1940" i="2"/>
  <c r="L2092" i="2"/>
  <c r="N2092" i="2"/>
  <c r="L2080" i="2"/>
  <c r="N2080" i="2"/>
  <c r="L2064" i="2"/>
  <c r="N2064" i="2"/>
  <c r="L2052" i="2"/>
  <c r="N2052" i="2"/>
  <c r="L2044" i="2"/>
  <c r="N2044" i="2"/>
  <c r="L2040" i="2"/>
  <c r="N2040" i="2"/>
  <c r="L2024" i="2"/>
  <c r="N2024" i="2"/>
  <c r="L2012" i="2"/>
  <c r="N2012" i="2"/>
  <c r="L2004" i="2"/>
  <c r="N2004" i="2"/>
  <c r="L1968" i="2"/>
  <c r="N1968" i="2"/>
  <c r="L1956" i="2"/>
  <c r="N1956" i="2"/>
  <c r="L2115" i="2"/>
  <c r="N2115" i="2"/>
  <c r="N15" i="2"/>
  <c r="N116" i="2"/>
  <c r="N955" i="2"/>
  <c r="N1793" i="2"/>
  <c r="L143" i="2"/>
  <c r="N143" i="2"/>
  <c r="L139" i="2"/>
  <c r="N139" i="2"/>
  <c r="L135" i="2"/>
  <c r="N135" i="2"/>
  <c r="L82" i="2"/>
  <c r="N82" i="2"/>
  <c r="L66" i="2"/>
  <c r="N66" i="2"/>
  <c r="L58" i="2"/>
  <c r="N58" i="2"/>
  <c r="L46" i="2"/>
  <c r="N46" i="2"/>
  <c r="L38" i="2"/>
  <c r="N38" i="2"/>
  <c r="L18" i="2"/>
  <c r="N18" i="2"/>
  <c r="L6" i="2"/>
  <c r="N6" i="2"/>
  <c r="L685" i="2"/>
  <c r="N685" i="2"/>
  <c r="L677" i="2"/>
  <c r="N677" i="2"/>
  <c r="L645" i="2"/>
  <c r="N645" i="2"/>
  <c r="L637" i="2"/>
  <c r="N637" i="2"/>
  <c r="L633" i="2"/>
  <c r="N633" i="2"/>
  <c r="L581" i="2"/>
  <c r="N581" i="2"/>
  <c r="L573" i="2"/>
  <c r="N573" i="2"/>
  <c r="L557" i="2"/>
  <c r="N557" i="2"/>
  <c r="L537" i="2"/>
  <c r="N537" i="2"/>
  <c r="L525" i="2"/>
  <c r="N525" i="2"/>
  <c r="L501" i="2"/>
  <c r="N501" i="2"/>
  <c r="L489" i="2"/>
  <c r="N489" i="2"/>
  <c r="L477" i="2"/>
  <c r="N477" i="2"/>
  <c r="L469" i="2"/>
  <c r="N469" i="2"/>
  <c r="L441" i="2"/>
  <c r="N441" i="2"/>
  <c r="L425" i="2"/>
  <c r="N425" i="2"/>
  <c r="L417" i="2"/>
  <c r="N417" i="2"/>
  <c r="L405" i="2"/>
  <c r="N405" i="2"/>
  <c r="L389" i="2"/>
  <c r="N389" i="2"/>
  <c r="L381" i="2"/>
  <c r="N381" i="2"/>
  <c r="L365" i="2"/>
  <c r="N365" i="2"/>
  <c r="L357" i="2"/>
  <c r="N357" i="2"/>
  <c r="L341" i="2"/>
  <c r="N341" i="2"/>
  <c r="L309" i="2"/>
  <c r="N309" i="2"/>
  <c r="L305" i="2"/>
  <c r="N305" i="2"/>
  <c r="L301" i="2"/>
  <c r="N301" i="2"/>
  <c r="L289" i="2"/>
  <c r="N289" i="2"/>
  <c r="L281" i="2"/>
  <c r="N281" i="2"/>
  <c r="L273" i="2"/>
  <c r="N273" i="2"/>
  <c r="L269" i="2"/>
  <c r="N269" i="2"/>
  <c r="L265" i="2"/>
  <c r="N265" i="2"/>
  <c r="L233" i="2"/>
  <c r="N233" i="2"/>
  <c r="L217" i="2"/>
  <c r="N217" i="2"/>
  <c r="L209" i="2"/>
  <c r="N209" i="2"/>
  <c r="L177" i="2"/>
  <c r="N177" i="2"/>
  <c r="L165" i="2"/>
  <c r="N165" i="2"/>
  <c r="L1122" i="2"/>
  <c r="N1122" i="2"/>
  <c r="L1114" i="2"/>
  <c r="N1114" i="2"/>
  <c r="L1106" i="2"/>
  <c r="N1106" i="2"/>
  <c r="L1082" i="2"/>
  <c r="N1082" i="2"/>
  <c r="L1042" i="2"/>
  <c r="N1042" i="2"/>
  <c r="L1010" i="2"/>
  <c r="N1010" i="2"/>
  <c r="L1002" i="2"/>
  <c r="N1002" i="2"/>
  <c r="L990" i="2"/>
  <c r="N990" i="2"/>
  <c r="L970" i="2"/>
  <c r="N970" i="2"/>
  <c r="L958" i="2"/>
  <c r="N958" i="2"/>
  <c r="L946" i="2"/>
  <c r="N946" i="2"/>
  <c r="L1243" i="2"/>
  <c r="N1243" i="2"/>
  <c r="L150" i="2"/>
  <c r="N150" i="2"/>
  <c r="L142" i="2"/>
  <c r="N142" i="2"/>
  <c r="L134" i="2"/>
  <c r="N134" i="2"/>
  <c r="L114" i="2"/>
  <c r="N114" i="2"/>
  <c r="L105" i="2"/>
  <c r="N105" i="2"/>
  <c r="L93" i="2"/>
  <c r="N93" i="2"/>
  <c r="L73" i="2"/>
  <c r="N73" i="2"/>
  <c r="L61" i="2"/>
  <c r="N61" i="2"/>
  <c r="L53" i="2"/>
  <c r="N53" i="2"/>
  <c r="L41" i="2"/>
  <c r="N41" i="2"/>
  <c r="L33" i="2"/>
  <c r="N33" i="2"/>
  <c r="L29" i="2"/>
  <c r="N29" i="2"/>
  <c r="L856" i="2"/>
  <c r="N856" i="2"/>
  <c r="L844" i="2"/>
  <c r="N844" i="2"/>
  <c r="L816" i="2"/>
  <c r="N816" i="2"/>
  <c r="L804" i="2"/>
  <c r="N804" i="2"/>
  <c r="L796" i="2"/>
  <c r="N796" i="2"/>
  <c r="L784" i="2"/>
  <c r="N784" i="2"/>
  <c r="L756" i="2"/>
  <c r="N756" i="2"/>
  <c r="L748" i="2"/>
  <c r="N748" i="2"/>
  <c r="L740" i="2"/>
  <c r="N740" i="2"/>
  <c r="L732" i="2"/>
  <c r="N732" i="2"/>
  <c r="L724" i="2"/>
  <c r="N724" i="2"/>
  <c r="L696" i="2"/>
  <c r="N696" i="2"/>
  <c r="L688" i="2"/>
  <c r="N688" i="2"/>
  <c r="L676" i="2"/>
  <c r="N676" i="2"/>
  <c r="L644" i="2"/>
  <c r="N644" i="2"/>
  <c r="L640" i="2"/>
  <c r="N640" i="2"/>
  <c r="L632" i="2"/>
  <c r="N632" i="2"/>
  <c r="L624" i="2"/>
  <c r="N624" i="2"/>
  <c r="L616" i="2"/>
  <c r="N616" i="2"/>
  <c r="L608" i="2"/>
  <c r="N608" i="2"/>
  <c r="L600" i="2"/>
  <c r="N600" i="2"/>
  <c r="L592" i="2"/>
  <c r="N592" i="2"/>
  <c r="L564" i="2"/>
  <c r="N564" i="2"/>
  <c r="L560" i="2"/>
  <c r="N560" i="2"/>
  <c r="L552" i="2"/>
  <c r="N552" i="2"/>
  <c r="L544" i="2"/>
  <c r="N544" i="2"/>
  <c r="L516" i="2"/>
  <c r="N516" i="2"/>
  <c r="L512" i="2"/>
  <c r="N512" i="2"/>
  <c r="L504" i="2"/>
  <c r="N504" i="2"/>
  <c r="L496" i="2"/>
  <c r="N496" i="2"/>
  <c r="L484" i="2"/>
  <c r="N484" i="2"/>
  <c r="L468" i="2"/>
  <c r="N468" i="2"/>
  <c r="L464" i="2"/>
  <c r="N464" i="2"/>
  <c r="L456" i="2"/>
  <c r="N456" i="2"/>
  <c r="L448" i="2"/>
  <c r="N448" i="2"/>
  <c r="L440" i="2"/>
  <c r="N440" i="2"/>
  <c r="L424" i="2"/>
  <c r="N424" i="2"/>
  <c r="L416" i="2"/>
  <c r="N416" i="2"/>
  <c r="L408" i="2"/>
  <c r="N408" i="2"/>
  <c r="L400" i="2"/>
  <c r="N400" i="2"/>
  <c r="L388" i="2"/>
  <c r="N388" i="2"/>
  <c r="L380" i="2"/>
  <c r="N380" i="2"/>
  <c r="L364" i="2"/>
  <c r="N364" i="2"/>
  <c r="L344" i="2"/>
  <c r="N344" i="2"/>
  <c r="L336" i="2"/>
  <c r="N336" i="2"/>
  <c r="L328" i="2"/>
  <c r="N328" i="2"/>
  <c r="L316" i="2"/>
  <c r="N316" i="2"/>
  <c r="L308" i="2"/>
  <c r="N308" i="2"/>
  <c r="L304" i="2"/>
  <c r="N304" i="2"/>
  <c r="L300" i="2"/>
  <c r="N300" i="2"/>
  <c r="L292" i="2"/>
  <c r="N292" i="2"/>
  <c r="L288" i="2"/>
  <c r="N288" i="2"/>
  <c r="L280" i="2"/>
  <c r="N280" i="2"/>
  <c r="L276" i="2"/>
  <c r="N276" i="2"/>
  <c r="L268" i="2"/>
  <c r="N268" i="2"/>
  <c r="L264" i="2"/>
  <c r="N264" i="2"/>
  <c r="L256" i="2"/>
  <c r="N256" i="2"/>
  <c r="L252" i="2"/>
  <c r="N252" i="2"/>
  <c r="L248" i="2"/>
  <c r="N248" i="2"/>
  <c r="L244" i="2"/>
  <c r="N244" i="2"/>
  <c r="L240" i="2"/>
  <c r="N240" i="2"/>
  <c r="L236" i="2"/>
  <c r="N236" i="2"/>
  <c r="L232" i="2"/>
  <c r="N232" i="2"/>
  <c r="L228" i="2"/>
  <c r="N228" i="2"/>
  <c r="L224" i="2"/>
  <c r="N224" i="2"/>
  <c r="L220" i="2"/>
  <c r="N220" i="2"/>
  <c r="L216" i="2"/>
  <c r="N216" i="2"/>
  <c r="L212" i="2"/>
  <c r="N212" i="2"/>
  <c r="L208" i="2"/>
  <c r="N208" i="2"/>
  <c r="L204" i="2"/>
  <c r="N204" i="2"/>
  <c r="L200" i="2"/>
  <c r="N200" i="2"/>
  <c r="L196" i="2"/>
  <c r="N196" i="2"/>
  <c r="L192" i="2"/>
  <c r="N192" i="2"/>
  <c r="L188" i="2"/>
  <c r="N188" i="2"/>
  <c r="L1121" i="2"/>
  <c r="N1121" i="2"/>
  <c r="L1117" i="2"/>
  <c r="N1117" i="2"/>
  <c r="L1113" i="2"/>
  <c r="N1113" i="2"/>
  <c r="L1109" i="2"/>
  <c r="N1109" i="2"/>
  <c r="L1105" i="2"/>
  <c r="N1105" i="2"/>
  <c r="L1101" i="2"/>
  <c r="N1101" i="2"/>
  <c r="L1093" i="2"/>
  <c r="N1093" i="2"/>
  <c r="L1089" i="2"/>
  <c r="N1089" i="2"/>
  <c r="L1081" i="2"/>
  <c r="N1081" i="2"/>
  <c r="L1077" i="2"/>
  <c r="N1077" i="2"/>
  <c r="L1069" i="2"/>
  <c r="N1069" i="2"/>
  <c r="L1065" i="2"/>
  <c r="N1065" i="2"/>
  <c r="L1061" i="2"/>
  <c r="N1061" i="2"/>
  <c r="L1037" i="2"/>
  <c r="N1037" i="2"/>
  <c r="L1033" i="2"/>
  <c r="N1033" i="2"/>
  <c r="L1029" i="2"/>
  <c r="N1029" i="2"/>
  <c r="L1017" i="2"/>
  <c r="N1017" i="2"/>
  <c r="L1005" i="2"/>
  <c r="N1005" i="2"/>
  <c r="L1001" i="2"/>
  <c r="N1001" i="2"/>
  <c r="L997" i="2"/>
  <c r="N997" i="2"/>
  <c r="L989" i="2"/>
  <c r="N989" i="2"/>
  <c r="L973" i="2"/>
  <c r="N973" i="2"/>
  <c r="L969" i="2"/>
  <c r="N969" i="2"/>
  <c r="L957" i="2"/>
  <c r="N957" i="2"/>
  <c r="L953" i="2"/>
  <c r="N953" i="2"/>
  <c r="L949" i="2"/>
  <c r="N949" i="2"/>
  <c r="L941" i="2"/>
  <c r="N941" i="2"/>
  <c r="L937" i="2"/>
  <c r="N937" i="2"/>
  <c r="L933" i="2"/>
  <c r="N933" i="2"/>
  <c r="L921" i="2"/>
  <c r="N921" i="2"/>
  <c r="L913" i="2"/>
  <c r="N913" i="2"/>
  <c r="L893" i="2"/>
  <c r="N893" i="2"/>
  <c r="L1298" i="2"/>
  <c r="N1298" i="2"/>
  <c r="L1294" i="2"/>
  <c r="N1294" i="2"/>
  <c r="L1290" i="2"/>
  <c r="N1290" i="2"/>
  <c r="L1282" i="2"/>
  <c r="N1282" i="2"/>
  <c r="L1278" i="2"/>
  <c r="N1278" i="2"/>
  <c r="L1274" i="2"/>
  <c r="N1274" i="2"/>
  <c r="L1266" i="2"/>
  <c r="N1266" i="2"/>
  <c r="L1262" i="2"/>
  <c r="N1262" i="2"/>
  <c r="L1258" i="2"/>
  <c r="N1258" i="2"/>
  <c r="L1242" i="2"/>
  <c r="N1242" i="2"/>
  <c r="L1234" i="2"/>
  <c r="N1234" i="2"/>
  <c r="L1230" i="2"/>
  <c r="N1230" i="2"/>
  <c r="L1226" i="2"/>
  <c r="N1226" i="2"/>
  <c r="L1218" i="2"/>
  <c r="N1218" i="2"/>
  <c r="L1214" i="2"/>
  <c r="N1214" i="2"/>
  <c r="L1210" i="2"/>
  <c r="N1210" i="2"/>
  <c r="L1202" i="2"/>
  <c r="N1202" i="2"/>
  <c r="L1198" i="2"/>
  <c r="N1198" i="2"/>
  <c r="L1194" i="2"/>
  <c r="N1194" i="2"/>
  <c r="L1186" i="2"/>
  <c r="N1186" i="2"/>
  <c r="L1182" i="2"/>
  <c r="N1182" i="2"/>
  <c r="L1178" i="2"/>
  <c r="N1178" i="2"/>
  <c r="L1170" i="2"/>
  <c r="N1170" i="2"/>
  <c r="L1166" i="2"/>
  <c r="N1166" i="2"/>
  <c r="L1162" i="2"/>
  <c r="N1162" i="2"/>
  <c r="L1154" i="2"/>
  <c r="N1154" i="2"/>
  <c r="L1150" i="2"/>
  <c r="N1150" i="2"/>
  <c r="L1146" i="2"/>
  <c r="N1146" i="2"/>
  <c r="L1138" i="2"/>
  <c r="N1138" i="2"/>
  <c r="L1134" i="2"/>
  <c r="N1134" i="2"/>
  <c r="L1317" i="2"/>
  <c r="N1317" i="2"/>
  <c r="L1313" i="2"/>
  <c r="N1313" i="2"/>
  <c r="L1309" i="2"/>
  <c r="N1309" i="2"/>
  <c r="L1305" i="2"/>
  <c r="N1305" i="2"/>
  <c r="L1301" i="2"/>
  <c r="N1301" i="2"/>
  <c r="L1333" i="2"/>
  <c r="N1333" i="2"/>
  <c r="L1374" i="2"/>
  <c r="N1374" i="2"/>
  <c r="L1370" i="2"/>
  <c r="N1370" i="2"/>
  <c r="L1362" i="2"/>
  <c r="N1362" i="2"/>
  <c r="L1358" i="2"/>
  <c r="N1358" i="2"/>
  <c r="L1354" i="2"/>
  <c r="N1354" i="2"/>
  <c r="L1346" i="2"/>
  <c r="N1346" i="2"/>
  <c r="L1342" i="2"/>
  <c r="N1342" i="2"/>
  <c r="L1338" i="2"/>
  <c r="N1338" i="2"/>
  <c r="L1394" i="2"/>
  <c r="N1394" i="2"/>
  <c r="L1390" i="2"/>
  <c r="N1390" i="2"/>
  <c r="L1386" i="2"/>
  <c r="N1386" i="2"/>
  <c r="L1378" i="2"/>
  <c r="N1378" i="2"/>
  <c r="L1427" i="2"/>
  <c r="N1427" i="2"/>
  <c r="L1423" i="2"/>
  <c r="N1423" i="2"/>
  <c r="L1415" i="2"/>
  <c r="N1415" i="2"/>
  <c r="L1411" i="2"/>
  <c r="N1411" i="2"/>
  <c r="L1743" i="2"/>
  <c r="N1743" i="2"/>
  <c r="L1739" i="2"/>
  <c r="N1739" i="2"/>
  <c r="L1735" i="2"/>
  <c r="N1735" i="2"/>
  <c r="L1731" i="2"/>
  <c r="N1731" i="2"/>
  <c r="L1727" i="2"/>
  <c r="N1727" i="2"/>
  <c r="L1723" i="2"/>
  <c r="N1723" i="2"/>
  <c r="L1719" i="2"/>
  <c r="N1719" i="2"/>
  <c r="L1715" i="2"/>
  <c r="N1715" i="2"/>
  <c r="L1711" i="2"/>
  <c r="N1711" i="2"/>
  <c r="L1707" i="2"/>
  <c r="N1707" i="2"/>
  <c r="L1703" i="2"/>
  <c r="N1703" i="2"/>
  <c r="L1699" i="2"/>
  <c r="N1699" i="2"/>
  <c r="L1695" i="2"/>
  <c r="N1695" i="2"/>
  <c r="L1691" i="2"/>
  <c r="N1691" i="2"/>
  <c r="L1687" i="2"/>
  <c r="N1687" i="2"/>
  <c r="L1683" i="2"/>
  <c r="N1683" i="2"/>
  <c r="L1679" i="2"/>
  <c r="N1679" i="2"/>
  <c r="L1675" i="2"/>
  <c r="N1675" i="2"/>
  <c r="L1671" i="2"/>
  <c r="N1671" i="2"/>
  <c r="L1667" i="2"/>
  <c r="N1667" i="2"/>
  <c r="L1663" i="2"/>
  <c r="N1663" i="2"/>
  <c r="L1659" i="2"/>
  <c r="N1659" i="2"/>
  <c r="L1655" i="2"/>
  <c r="N1655" i="2"/>
  <c r="L1651" i="2"/>
  <c r="N1651" i="2"/>
  <c r="L1647" i="2"/>
  <c r="N1647" i="2"/>
  <c r="L1643" i="2"/>
  <c r="N1643" i="2"/>
  <c r="L1639" i="2"/>
  <c r="N1639" i="2"/>
  <c r="L1635" i="2"/>
  <c r="N1635" i="2"/>
  <c r="L1631" i="2"/>
  <c r="N1631" i="2"/>
  <c r="L1627" i="2"/>
  <c r="N1627" i="2"/>
  <c r="L1623" i="2"/>
  <c r="N1623" i="2"/>
  <c r="L1619" i="2"/>
  <c r="N1619" i="2"/>
  <c r="L1615" i="2"/>
  <c r="N1615" i="2"/>
  <c r="L1611" i="2"/>
  <c r="N1611" i="2"/>
  <c r="L1607" i="2"/>
  <c r="N1607" i="2"/>
  <c r="L1603" i="2"/>
  <c r="N1603" i="2"/>
  <c r="L1599" i="2"/>
  <c r="N1599" i="2"/>
  <c r="L1595" i="2"/>
  <c r="N1595" i="2"/>
  <c r="L1587" i="2"/>
  <c r="N1587" i="2"/>
  <c r="L1583" i="2"/>
  <c r="N1583" i="2"/>
  <c r="L1579" i="2"/>
  <c r="N1579" i="2"/>
  <c r="L1575" i="2"/>
  <c r="N1575" i="2"/>
  <c r="L1571" i="2"/>
  <c r="N1571" i="2"/>
  <c r="L1567" i="2"/>
  <c r="N1567" i="2"/>
  <c r="L1563" i="2"/>
  <c r="N1563" i="2"/>
  <c r="L1559" i="2"/>
  <c r="N1559" i="2"/>
  <c r="L1555" i="2"/>
  <c r="N1555" i="2"/>
  <c r="L1551" i="2"/>
  <c r="N1551" i="2"/>
  <c r="L1547" i="2"/>
  <c r="N1547" i="2"/>
  <c r="L1543" i="2"/>
  <c r="N1543" i="2"/>
  <c r="L1539" i="2"/>
  <c r="N1539" i="2"/>
  <c r="L1535" i="2"/>
  <c r="N1535" i="2"/>
  <c r="L1531" i="2"/>
  <c r="N1531" i="2"/>
  <c r="L1527" i="2"/>
  <c r="N1527" i="2"/>
  <c r="L1523" i="2"/>
  <c r="N1523" i="2"/>
  <c r="L1519" i="2"/>
  <c r="N1519" i="2"/>
  <c r="L1515" i="2"/>
  <c r="N1515" i="2"/>
  <c r="L1511" i="2"/>
  <c r="N1511" i="2"/>
  <c r="L1507" i="2"/>
  <c r="N1507" i="2"/>
  <c r="L1491" i="2"/>
  <c r="N1491" i="2"/>
  <c r="L1483" i="2"/>
  <c r="N1483" i="2"/>
  <c r="L1479" i="2"/>
  <c r="N1479" i="2"/>
  <c r="L1471" i="2"/>
  <c r="N1471" i="2"/>
  <c r="L1467" i="2"/>
  <c r="N1467" i="2"/>
  <c r="L1463" i="2"/>
  <c r="N1463" i="2"/>
  <c r="L1459" i="2"/>
  <c r="N1459" i="2"/>
  <c r="L1451" i="2"/>
  <c r="N1451" i="2"/>
  <c r="L1447" i="2"/>
  <c r="N1447" i="2"/>
  <c r="L1435" i="2"/>
  <c r="N1435" i="2"/>
  <c r="L1431" i="2"/>
  <c r="N1431" i="2"/>
  <c r="L1759" i="2"/>
  <c r="N1759" i="2"/>
  <c r="L1755" i="2"/>
  <c r="N1755" i="2"/>
  <c r="L1751" i="2"/>
  <c r="N1751" i="2"/>
  <c r="L1747" i="2"/>
  <c r="N1747" i="2"/>
  <c r="L1777" i="2"/>
  <c r="N1777" i="2"/>
  <c r="L1773" i="2"/>
  <c r="N1773" i="2"/>
  <c r="L1769" i="2"/>
  <c r="N1769" i="2"/>
  <c r="L1765" i="2"/>
  <c r="N1765" i="2"/>
  <c r="L1879" i="2"/>
  <c r="N1879" i="2"/>
  <c r="L1875" i="2"/>
  <c r="N1875" i="2"/>
  <c r="L1867" i="2"/>
  <c r="N1867" i="2"/>
  <c r="L1863" i="2"/>
  <c r="N1863" i="2"/>
  <c r="L1859" i="2"/>
  <c r="N1859" i="2"/>
  <c r="L1855" i="2"/>
  <c r="N1855" i="2"/>
  <c r="L1851" i="2"/>
  <c r="N1851" i="2"/>
  <c r="L1847" i="2"/>
  <c r="N1847" i="2"/>
  <c r="L1843" i="2"/>
  <c r="N1843" i="2"/>
  <c r="L1839" i="2"/>
  <c r="N1839" i="2"/>
  <c r="L1835" i="2"/>
  <c r="N1835" i="2"/>
  <c r="L1823" i="2"/>
  <c r="N1823" i="2"/>
  <c r="L1819" i="2"/>
  <c r="N1819" i="2"/>
  <c r="L1815" i="2"/>
  <c r="N1815" i="2"/>
  <c r="L1811" i="2"/>
  <c r="N1811" i="2"/>
  <c r="L1807" i="2"/>
  <c r="N1807" i="2"/>
  <c r="L1803" i="2"/>
  <c r="N1803" i="2"/>
  <c r="L1799" i="2"/>
  <c r="N1799" i="2"/>
  <c r="L1795" i="2"/>
  <c r="N1795" i="2"/>
  <c r="L1791" i="2"/>
  <c r="N1791" i="2"/>
  <c r="L1787" i="2"/>
  <c r="N1787" i="2"/>
  <c r="L1783" i="2"/>
  <c r="N1783" i="2"/>
  <c r="L1779" i="2"/>
  <c r="N1779" i="2"/>
  <c r="L1899" i="2"/>
  <c r="N1899" i="2"/>
  <c r="L1895" i="2"/>
  <c r="N1895" i="2"/>
  <c r="L1891" i="2"/>
  <c r="N1891" i="2"/>
  <c r="L1887" i="2"/>
  <c r="N1887" i="2"/>
  <c r="L1883" i="2"/>
  <c r="N1883" i="2"/>
  <c r="L1916" i="2"/>
  <c r="N1916" i="2"/>
  <c r="L1912" i="2"/>
  <c r="N1912" i="2"/>
  <c r="L1908" i="2"/>
  <c r="N1908" i="2"/>
  <c r="L1904" i="2"/>
  <c r="N1904" i="2"/>
  <c r="L1929" i="2"/>
  <c r="N1929" i="2"/>
  <c r="L1925" i="2"/>
  <c r="N1925" i="2"/>
  <c r="L1921" i="2"/>
  <c r="N1921" i="2"/>
  <c r="L1917" i="2"/>
  <c r="N1917" i="2"/>
  <c r="L1946" i="2"/>
  <c r="N1946" i="2"/>
  <c r="L1942" i="2"/>
  <c r="N1942" i="2"/>
  <c r="L1938" i="2"/>
  <c r="N1938" i="2"/>
  <c r="L1934" i="2"/>
  <c r="N1934" i="2"/>
  <c r="L2098" i="2"/>
  <c r="N2098" i="2"/>
  <c r="L2094" i="2"/>
  <c r="N2094" i="2"/>
  <c r="L2086" i="2"/>
  <c r="N2086" i="2"/>
  <c r="L2082" i="2"/>
  <c r="N2082" i="2"/>
  <c r="L2078" i="2"/>
  <c r="N2078" i="2"/>
  <c r="L2074" i="2"/>
  <c r="N2074" i="2"/>
  <c r="L2070" i="2"/>
  <c r="N2070" i="2"/>
  <c r="L2066" i="2"/>
  <c r="N2066" i="2"/>
  <c r="L2062" i="2"/>
  <c r="N2062" i="2"/>
  <c r="L2058" i="2"/>
  <c r="N2058" i="2"/>
  <c r="L2054" i="2"/>
  <c r="N2054" i="2"/>
  <c r="L2050" i="2"/>
  <c r="N2050" i="2"/>
  <c r="L2046" i="2"/>
  <c r="N2046" i="2"/>
  <c r="L2042" i="2"/>
  <c r="N2042" i="2"/>
  <c r="L2038" i="2"/>
  <c r="N2038" i="2"/>
  <c r="L2034" i="2"/>
  <c r="N2034" i="2"/>
  <c r="L2030" i="2"/>
  <c r="N2030" i="2"/>
  <c r="L2022" i="2"/>
  <c r="N2022" i="2"/>
  <c r="L2018" i="2"/>
  <c r="N2018" i="2"/>
  <c r="L2014" i="2"/>
  <c r="N2014" i="2"/>
  <c r="L2010" i="2"/>
  <c r="N2010" i="2"/>
  <c r="L2006" i="2"/>
  <c r="N2006" i="2"/>
  <c r="L2002" i="2"/>
  <c r="N2002" i="2"/>
  <c r="L1998" i="2"/>
  <c r="N1998" i="2"/>
  <c r="L1994" i="2"/>
  <c r="N1994" i="2"/>
  <c r="L1990" i="2"/>
  <c r="N1990" i="2"/>
  <c r="L1982" i="2"/>
  <c r="N1982" i="2"/>
  <c r="L1978" i="2"/>
  <c r="N1978" i="2"/>
  <c r="L1974" i="2"/>
  <c r="N1974" i="2"/>
  <c r="L1970" i="2"/>
  <c r="N1970" i="2"/>
  <c r="L1966" i="2"/>
  <c r="N1966" i="2"/>
  <c r="L1958" i="2"/>
  <c r="N1958" i="2"/>
  <c r="L1950" i="2"/>
  <c r="N1950" i="2"/>
  <c r="L2117" i="2"/>
  <c r="N2117" i="2"/>
  <c r="L2113" i="2"/>
  <c r="N2113" i="2"/>
  <c r="L2109" i="2"/>
  <c r="N2109" i="2"/>
  <c r="L2105" i="2"/>
  <c r="N2105" i="2"/>
  <c r="L2101" i="2"/>
  <c r="N2101" i="2"/>
  <c r="L2137" i="2"/>
  <c r="N2137" i="2"/>
  <c r="L2133" i="2"/>
  <c r="N2133" i="2"/>
  <c r="L2129" i="2"/>
  <c r="N2129" i="2"/>
  <c r="L2125" i="2"/>
  <c r="N2125" i="2"/>
  <c r="L2121" i="2"/>
  <c r="N2121" i="2"/>
  <c r="L2149" i="2"/>
  <c r="N2149" i="2"/>
  <c r="L2145" i="2"/>
  <c r="N2145" i="2"/>
  <c r="L2141" i="2"/>
  <c r="N2141" i="2"/>
  <c r="L2170" i="2"/>
  <c r="N2170" i="2"/>
  <c r="L2166" i="2"/>
  <c r="N2166" i="2"/>
  <c r="L2162" i="2"/>
  <c r="N2162" i="2"/>
  <c r="L2158" i="2"/>
  <c r="N2158" i="2"/>
  <c r="L2190" i="2"/>
  <c r="N2190" i="2"/>
  <c r="L2186" i="2"/>
  <c r="N2186" i="2"/>
  <c r="L2182" i="2"/>
  <c r="N2182" i="2"/>
  <c r="L2178" i="2"/>
  <c r="N2178" i="2"/>
  <c r="L2174" i="2"/>
  <c r="N2174" i="2"/>
  <c r="L2258" i="2"/>
  <c r="N2258" i="2"/>
  <c r="L2254" i="2"/>
  <c r="N2254" i="2"/>
  <c r="L2250" i="2"/>
  <c r="N2250" i="2"/>
  <c r="L2246" i="2"/>
  <c r="N2246" i="2"/>
  <c r="L2242" i="2"/>
  <c r="N2242" i="2"/>
  <c r="L2238" i="2"/>
  <c r="N2238" i="2"/>
  <c r="L2234" i="2"/>
  <c r="N2234" i="2"/>
  <c r="L2230" i="2"/>
  <c r="N2230" i="2"/>
  <c r="L2226" i="2"/>
  <c r="N2226" i="2"/>
  <c r="L2222" i="2"/>
  <c r="N2222" i="2"/>
  <c r="L2218" i="2"/>
  <c r="N2218" i="2"/>
  <c r="L2214" i="2"/>
  <c r="N2214" i="2"/>
  <c r="L2210" i="2"/>
  <c r="N2210" i="2"/>
  <c r="L2206" i="2"/>
  <c r="N2206" i="2"/>
  <c r="L2202" i="2"/>
  <c r="N2202" i="2"/>
  <c r="L2198" i="2"/>
  <c r="N2198" i="2"/>
  <c r="L2194" i="2"/>
  <c r="N2194" i="2"/>
  <c r="L2268" i="2"/>
  <c r="N2268" i="2"/>
  <c r="L2264" i="2"/>
  <c r="N2264" i="2"/>
  <c r="L2316" i="2"/>
  <c r="N2316" i="2"/>
  <c r="L2312" i="2"/>
  <c r="N2312" i="2"/>
  <c r="L2308" i="2"/>
  <c r="N2308" i="2"/>
  <c r="L2304" i="2"/>
  <c r="N2304" i="2"/>
  <c r="L2300" i="2"/>
  <c r="N2300" i="2"/>
  <c r="L2296" i="2"/>
  <c r="N2296" i="2"/>
  <c r="L2292" i="2"/>
  <c r="N2292" i="2"/>
  <c r="L2288" i="2"/>
  <c r="N2288" i="2"/>
  <c r="L2284" i="2"/>
  <c r="N2284" i="2"/>
  <c r="L2280" i="2"/>
  <c r="N2280" i="2"/>
  <c r="L2276" i="2"/>
  <c r="N2276" i="2"/>
  <c r="L2272" i="2"/>
  <c r="N2272" i="2"/>
  <c r="L2374" i="2"/>
  <c r="N2374" i="2"/>
  <c r="L2366" i="2"/>
  <c r="N2366" i="2"/>
  <c r="L2362" i="2"/>
  <c r="N2362" i="2"/>
  <c r="L2358" i="2"/>
  <c r="N2358" i="2"/>
  <c r="L2354" i="2"/>
  <c r="N2354" i="2"/>
  <c r="L2350" i="2"/>
  <c r="N2350" i="2"/>
  <c r="L2346" i="2"/>
  <c r="N2346" i="2"/>
  <c r="L2342" i="2"/>
  <c r="N2342" i="2"/>
  <c r="L2338" i="2"/>
  <c r="N2338" i="2"/>
  <c r="L2334" i="2"/>
  <c r="N2334" i="2"/>
  <c r="L2330" i="2"/>
  <c r="N2330" i="2"/>
  <c r="L2326" i="2"/>
  <c r="N2326" i="2"/>
  <c r="L2322" i="2"/>
  <c r="N2322" i="2"/>
  <c r="L2318" i="2"/>
  <c r="N2318" i="2"/>
  <c r="L2391" i="2"/>
  <c r="N2391" i="2"/>
  <c r="L2387" i="2"/>
  <c r="N2387" i="2"/>
  <c r="L2383" i="2"/>
  <c r="N2383" i="2"/>
  <c r="L2416" i="2"/>
  <c r="N2416" i="2"/>
  <c r="L2412" i="2"/>
  <c r="N2412" i="2"/>
  <c r="L2404" i="2"/>
  <c r="N2404" i="2"/>
  <c r="L2400" i="2"/>
  <c r="N2400" i="2"/>
  <c r="L2396" i="2"/>
  <c r="N2396" i="2"/>
  <c r="L2433" i="2"/>
  <c r="N2433" i="2"/>
  <c r="L2425" i="2"/>
  <c r="N2425" i="2"/>
  <c r="L2421" i="2"/>
  <c r="N2421" i="2"/>
  <c r="L2456" i="2"/>
  <c r="N2456" i="2"/>
  <c r="L2452" i="2"/>
  <c r="N2452" i="2"/>
  <c r="L2444" i="2"/>
  <c r="N2444" i="2"/>
  <c r="L2440" i="2"/>
  <c r="N2440" i="2"/>
  <c r="L2855" i="2"/>
  <c r="N2855" i="2"/>
  <c r="L2851" i="2"/>
  <c r="N2851" i="2"/>
  <c r="L2847" i="2"/>
  <c r="N2847" i="2"/>
  <c r="L2843" i="2"/>
  <c r="N2843" i="2"/>
  <c r="L2839" i="2"/>
  <c r="N2839" i="2"/>
  <c r="L2835" i="2"/>
  <c r="N2835" i="2"/>
  <c r="L2831" i="2"/>
  <c r="N2831" i="2"/>
  <c r="L2827" i="2"/>
  <c r="N2827" i="2"/>
  <c r="L2823" i="2"/>
  <c r="N2823" i="2"/>
  <c r="L2819" i="2"/>
  <c r="N2819" i="2"/>
  <c r="L2815" i="2"/>
  <c r="N2815" i="2"/>
  <c r="L2811" i="2"/>
  <c r="N2811" i="2"/>
  <c r="L2807" i="2"/>
  <c r="N2807" i="2"/>
  <c r="L2803" i="2"/>
  <c r="N2803" i="2"/>
  <c r="L2799" i="2"/>
  <c r="N2799" i="2"/>
  <c r="L2795" i="2"/>
  <c r="N2795" i="2"/>
  <c r="L2791" i="2"/>
  <c r="N2791" i="2"/>
  <c r="L2787" i="2"/>
  <c r="N2787" i="2"/>
  <c r="L2775" i="2"/>
  <c r="N2775" i="2"/>
  <c r="L2771" i="2"/>
  <c r="N2771" i="2"/>
  <c r="L2767" i="2"/>
  <c r="N2767" i="2"/>
  <c r="L2763" i="2"/>
  <c r="N2763" i="2"/>
  <c r="L2759" i="2"/>
  <c r="N2759" i="2"/>
  <c r="L2755" i="2"/>
  <c r="N2755" i="2"/>
  <c r="L2743" i="2"/>
  <c r="N2743" i="2"/>
  <c r="L2739" i="2"/>
  <c r="N2739" i="2"/>
  <c r="L2731" i="2"/>
  <c r="N2731" i="2"/>
  <c r="L2727" i="2"/>
  <c r="N2727" i="2"/>
  <c r="L2723" i="2"/>
  <c r="N2723" i="2"/>
  <c r="L2719" i="2"/>
  <c r="N2719" i="2"/>
  <c r="L2715" i="2"/>
  <c r="N2715" i="2"/>
  <c r="L2711" i="2"/>
  <c r="N2711" i="2"/>
  <c r="L2707" i="2"/>
  <c r="N2707" i="2"/>
  <c r="L2703" i="2"/>
  <c r="N2703" i="2"/>
  <c r="L2699" i="2"/>
  <c r="N2699" i="2"/>
  <c r="L2695" i="2"/>
  <c r="N2695" i="2"/>
  <c r="L2683" i="2"/>
  <c r="N2683" i="2"/>
  <c r="L2679" i="2"/>
  <c r="N2679" i="2"/>
  <c r="L2675" i="2"/>
  <c r="N2675" i="2"/>
  <c r="L2671" i="2"/>
  <c r="N2671" i="2"/>
  <c r="L2667" i="2"/>
  <c r="N2667" i="2"/>
  <c r="L2663" i="2"/>
  <c r="N2663" i="2"/>
  <c r="L2655" i="2"/>
  <c r="N2655" i="2"/>
  <c r="L2651" i="2"/>
  <c r="N2651" i="2"/>
  <c r="L2647" i="2"/>
  <c r="N2647" i="2"/>
  <c r="L2643" i="2"/>
  <c r="N2643" i="2"/>
  <c r="L2639" i="2"/>
  <c r="N2639" i="2"/>
  <c r="L2635" i="2"/>
  <c r="N2635" i="2"/>
  <c r="L2627" i="2"/>
  <c r="N2627" i="2"/>
  <c r="L2623" i="2"/>
  <c r="N2623" i="2"/>
  <c r="L2619" i="2"/>
  <c r="N2619" i="2"/>
  <c r="L2615" i="2"/>
  <c r="N2615" i="2"/>
  <c r="L2611" i="2"/>
  <c r="N2611" i="2"/>
  <c r="L2607" i="2"/>
  <c r="N2607" i="2"/>
  <c r="L2599" i="2"/>
  <c r="N2599" i="2"/>
  <c r="L2595" i="2"/>
  <c r="N2595" i="2"/>
  <c r="L2591" i="2"/>
  <c r="N2591" i="2"/>
  <c r="L2587" i="2"/>
  <c r="N2587" i="2"/>
  <c r="L2583" i="2"/>
  <c r="N2583" i="2"/>
  <c r="L2579" i="2"/>
  <c r="N2579" i="2"/>
  <c r="L2575" i="2"/>
  <c r="N2575" i="2"/>
  <c r="L2567" i="2"/>
  <c r="N2567" i="2"/>
  <c r="L2563" i="2"/>
  <c r="N2563" i="2"/>
  <c r="L2559" i="2"/>
  <c r="N2559" i="2"/>
  <c r="L2555" i="2"/>
  <c r="N2555" i="2"/>
  <c r="L2551" i="2"/>
  <c r="N2551" i="2"/>
  <c r="L2547" i="2"/>
  <c r="N2547" i="2"/>
  <c r="L2543" i="2"/>
  <c r="N2543" i="2"/>
  <c r="L2539" i="2"/>
  <c r="N2539" i="2"/>
  <c r="L2535" i="2"/>
  <c r="N2535" i="2"/>
  <c r="L2527" i="2"/>
  <c r="N2527" i="2"/>
  <c r="L2523" i="2"/>
  <c r="N2523" i="2"/>
  <c r="L2519" i="2"/>
  <c r="N2519" i="2"/>
  <c r="L2515" i="2"/>
  <c r="N2515" i="2"/>
  <c r="L2511" i="2"/>
  <c r="N2511" i="2"/>
  <c r="L2503" i="2"/>
  <c r="N2503" i="2"/>
  <c r="L2499" i="2"/>
  <c r="N2499" i="2"/>
  <c r="L2495" i="2"/>
  <c r="N2495" i="2"/>
  <c r="L2491" i="2"/>
  <c r="N2491" i="2"/>
  <c r="L2487" i="2"/>
  <c r="N2487" i="2"/>
  <c r="L2483" i="2"/>
  <c r="N2483" i="2"/>
  <c r="L2479" i="2"/>
  <c r="N2479" i="2"/>
  <c r="L2475" i="2"/>
  <c r="N2475" i="2"/>
  <c r="L2884" i="2"/>
  <c r="N2884" i="2"/>
  <c r="L2880" i="2"/>
  <c r="N2880" i="2"/>
  <c r="L2868" i="2"/>
  <c r="N2868" i="2"/>
  <c r="L2864" i="2"/>
  <c r="N2864" i="2"/>
  <c r="L2860" i="2"/>
  <c r="N2860" i="2"/>
  <c r="L2887" i="2"/>
  <c r="N2887" i="2"/>
  <c r="L2976" i="2"/>
  <c r="N2976" i="2"/>
  <c r="L2972" i="2"/>
  <c r="N2972" i="2"/>
  <c r="L2968" i="2"/>
  <c r="N2968" i="2"/>
  <c r="L2964" i="2"/>
  <c r="N2964" i="2"/>
  <c r="L2960" i="2"/>
  <c r="N2960" i="2"/>
  <c r="L2956" i="2"/>
  <c r="N2956" i="2"/>
  <c r="L2952" i="2"/>
  <c r="N2952" i="2"/>
  <c r="L2948" i="2"/>
  <c r="N2948" i="2"/>
  <c r="L2940" i="2"/>
  <c r="N2940" i="2"/>
  <c r="L2936" i="2"/>
  <c r="N2936" i="2"/>
  <c r="L2932" i="2"/>
  <c r="N2932" i="2"/>
  <c r="L2928" i="2"/>
  <c r="N2928" i="2"/>
  <c r="L2924" i="2"/>
  <c r="N2924" i="2"/>
  <c r="L2920" i="2"/>
  <c r="N2920" i="2"/>
  <c r="L2916" i="2"/>
  <c r="N2916" i="2"/>
  <c r="L2912" i="2"/>
  <c r="N2912" i="2"/>
  <c r="L2908" i="2"/>
  <c r="N2908" i="2"/>
  <c r="L2904" i="2"/>
  <c r="N2904" i="2"/>
  <c r="L2900" i="2"/>
  <c r="N2900" i="2"/>
  <c r="L2896" i="2"/>
  <c r="N2896" i="2"/>
  <c r="L2892" i="2"/>
  <c r="N2892" i="2"/>
  <c r="N4" i="2"/>
  <c r="N7" i="2"/>
  <c r="N22" i="2"/>
  <c r="N172" i="2"/>
  <c r="N156" i="2"/>
  <c r="N124" i="2"/>
  <c r="N108" i="2"/>
  <c r="N92" i="2"/>
  <c r="N76" i="2"/>
  <c r="N60" i="2"/>
  <c r="N415" i="2"/>
  <c r="N399" i="2"/>
  <c r="N383" i="2"/>
  <c r="N367" i="2"/>
  <c r="N351" i="2"/>
  <c r="N335" i="2"/>
  <c r="N319" i="2"/>
  <c r="N303" i="2"/>
  <c r="N287" i="2"/>
  <c r="N255" i="2"/>
  <c r="N239" i="2"/>
  <c r="N223" i="2"/>
  <c r="N207" i="2"/>
  <c r="N191" i="2"/>
  <c r="N857" i="2"/>
  <c r="N793" i="2"/>
  <c r="N777" i="2"/>
  <c r="N745" i="2"/>
  <c r="N729" i="2"/>
  <c r="N713" i="2"/>
  <c r="N697" i="2"/>
  <c r="N679" i="2"/>
  <c r="N657" i="2"/>
  <c r="N636" i="2"/>
  <c r="N615" i="2"/>
  <c r="N593" i="2"/>
  <c r="N572" i="2"/>
  <c r="N551" i="2"/>
  <c r="N529" i="2"/>
  <c r="N508" i="2"/>
  <c r="N487" i="2"/>
  <c r="N465" i="2"/>
  <c r="N444" i="2"/>
  <c r="N1073" i="2"/>
  <c r="N1030" i="2"/>
  <c r="N1009" i="2"/>
  <c r="N987" i="2"/>
  <c r="N945" i="2"/>
  <c r="N917" i="2"/>
  <c r="N1382" i="2"/>
  <c r="N1254" i="2"/>
  <c r="N1190" i="2"/>
  <c r="N1126" i="2"/>
  <c r="N1545" i="2"/>
  <c r="N1481" i="2"/>
  <c r="N1962" i="2"/>
  <c r="N1622" i="2"/>
  <c r="L99" i="2"/>
  <c r="N99" i="2"/>
  <c r="L91" i="2"/>
  <c r="N91" i="2"/>
  <c r="L83" i="2"/>
  <c r="N83" i="2"/>
  <c r="L75" i="2"/>
  <c r="N75" i="2"/>
  <c r="L63" i="2"/>
  <c r="N63" i="2"/>
  <c r="L31" i="2"/>
  <c r="N31" i="2"/>
  <c r="L27" i="2"/>
  <c r="N27" i="2"/>
  <c r="L890" i="2"/>
  <c r="N890" i="2"/>
  <c r="L858" i="2"/>
  <c r="N858" i="2"/>
  <c r="L834" i="2"/>
  <c r="N834" i="2"/>
  <c r="L822" i="2"/>
  <c r="N822" i="2"/>
  <c r="L794" i="2"/>
  <c r="N794" i="2"/>
  <c r="L790" i="2"/>
  <c r="N790" i="2"/>
  <c r="L782" i="2"/>
  <c r="N782" i="2"/>
  <c r="L778" i="2"/>
  <c r="N778" i="2"/>
  <c r="L750" i="2"/>
  <c r="N750" i="2"/>
  <c r="L742" i="2"/>
  <c r="N742" i="2"/>
  <c r="L730" i="2"/>
  <c r="N730" i="2"/>
  <c r="L722" i="2"/>
  <c r="N722" i="2"/>
  <c r="L706" i="2"/>
  <c r="N706" i="2"/>
  <c r="L698" i="2"/>
  <c r="N698" i="2"/>
  <c r="L690" i="2"/>
  <c r="N690" i="2"/>
  <c r="L682" i="2"/>
  <c r="N682" i="2"/>
  <c r="L674" i="2"/>
  <c r="N674" i="2"/>
  <c r="L666" i="2"/>
  <c r="N666" i="2"/>
  <c r="L654" i="2"/>
  <c r="N654" i="2"/>
  <c r="L646" i="2"/>
  <c r="N646" i="2"/>
  <c r="L634" i="2"/>
  <c r="N634" i="2"/>
  <c r="L626" i="2"/>
  <c r="N626" i="2"/>
  <c r="L602" i="2"/>
  <c r="N602" i="2"/>
  <c r="L594" i="2"/>
  <c r="N594" i="2"/>
  <c r="L586" i="2"/>
  <c r="N586" i="2"/>
  <c r="L578" i="2"/>
  <c r="N578" i="2"/>
  <c r="L570" i="2"/>
  <c r="N570" i="2"/>
  <c r="L562" i="2"/>
  <c r="N562" i="2"/>
  <c r="L550" i="2"/>
  <c r="N550" i="2"/>
  <c r="L546" i="2"/>
  <c r="N546" i="2"/>
  <c r="L534" i="2"/>
  <c r="N534" i="2"/>
  <c r="L526" i="2"/>
  <c r="N526" i="2"/>
  <c r="L518" i="2"/>
  <c r="N518" i="2"/>
  <c r="L510" i="2"/>
  <c r="N510" i="2"/>
  <c r="L502" i="2"/>
  <c r="N502" i="2"/>
  <c r="L494" i="2"/>
  <c r="N494" i="2"/>
  <c r="L470" i="2"/>
  <c r="N470" i="2"/>
  <c r="L462" i="2"/>
  <c r="N462" i="2"/>
  <c r="L446" i="2"/>
  <c r="N446" i="2"/>
  <c r="L434" i="2"/>
  <c r="N434" i="2"/>
  <c r="L426" i="2"/>
  <c r="N426" i="2"/>
  <c r="L418" i="2"/>
  <c r="N418" i="2"/>
  <c r="L410" i="2"/>
  <c r="N410" i="2"/>
  <c r="L398" i="2"/>
  <c r="N398" i="2"/>
  <c r="L394" i="2"/>
  <c r="N394" i="2"/>
  <c r="L382" i="2"/>
  <c r="N382" i="2"/>
  <c r="L374" i="2"/>
  <c r="N374" i="2"/>
  <c r="L366" i="2"/>
  <c r="N366" i="2"/>
  <c r="L354" i="2"/>
  <c r="N354" i="2"/>
  <c r="L346" i="2"/>
  <c r="N346" i="2"/>
  <c r="L338" i="2"/>
  <c r="N338" i="2"/>
  <c r="L326" i="2"/>
  <c r="N326" i="2"/>
  <c r="L314" i="2"/>
  <c r="N314" i="2"/>
  <c r="L306" i="2"/>
  <c r="N306" i="2"/>
  <c r="L302" i="2"/>
  <c r="N302" i="2"/>
  <c r="L290" i="2"/>
  <c r="N290" i="2"/>
  <c r="L282" i="2"/>
  <c r="N282" i="2"/>
  <c r="L274" i="2"/>
  <c r="N274" i="2"/>
  <c r="L270" i="2"/>
  <c r="N270" i="2"/>
  <c r="L266" i="2"/>
  <c r="N266" i="2"/>
  <c r="L254" i="2"/>
  <c r="N254" i="2"/>
  <c r="L222" i="2"/>
  <c r="N222" i="2"/>
  <c r="L214" i="2"/>
  <c r="N214" i="2"/>
  <c r="L206" i="2"/>
  <c r="N206" i="2"/>
  <c r="L194" i="2"/>
  <c r="N194" i="2"/>
  <c r="L186" i="2"/>
  <c r="N186" i="2"/>
  <c r="L178" i="2"/>
  <c r="N178" i="2"/>
  <c r="L170" i="2"/>
  <c r="N170" i="2"/>
  <c r="L162" i="2"/>
  <c r="N162" i="2"/>
  <c r="L1123" i="2"/>
  <c r="N1123" i="2"/>
  <c r="L1115" i="2"/>
  <c r="N1115" i="2"/>
  <c r="L1107" i="2"/>
  <c r="N1107" i="2"/>
  <c r="L1071" i="2"/>
  <c r="N1071" i="2"/>
  <c r="L1039" i="2"/>
  <c r="N1039" i="2"/>
  <c r="L1027" i="2"/>
  <c r="N1027" i="2"/>
  <c r="L991" i="2"/>
  <c r="N991" i="2"/>
  <c r="L983" i="2"/>
  <c r="N983" i="2"/>
  <c r="L963" i="2"/>
  <c r="N963" i="2"/>
  <c r="L959" i="2"/>
  <c r="N959" i="2"/>
  <c r="L947" i="2"/>
  <c r="N947" i="2"/>
  <c r="L931" i="2"/>
  <c r="N931" i="2"/>
  <c r="L919" i="2"/>
  <c r="N919" i="2"/>
  <c r="L911" i="2"/>
  <c r="N911" i="2"/>
  <c r="L1272" i="2"/>
  <c r="N1272" i="2"/>
  <c r="L1264" i="2"/>
  <c r="N1264" i="2"/>
  <c r="L1256" i="2"/>
  <c r="N1256" i="2"/>
  <c r="L1232" i="2"/>
  <c r="N1232" i="2"/>
  <c r="L1204" i="2"/>
  <c r="N1204" i="2"/>
  <c r="L1192" i="2"/>
  <c r="N1192" i="2"/>
  <c r="L1184" i="2"/>
  <c r="N1184" i="2"/>
  <c r="L1176" i="2"/>
  <c r="N1176" i="2"/>
  <c r="L1156" i="2"/>
  <c r="N1156" i="2"/>
  <c r="L1144" i="2"/>
  <c r="N1144" i="2"/>
  <c r="L1136" i="2"/>
  <c r="N1136" i="2"/>
  <c r="L1319" i="2"/>
  <c r="N1319" i="2"/>
  <c r="L1307" i="2"/>
  <c r="N1307" i="2"/>
  <c r="L1360" i="2"/>
  <c r="N1360" i="2"/>
  <c r="L1356" i="2"/>
  <c r="N1356" i="2"/>
  <c r="L1352" i="2"/>
  <c r="N1352" i="2"/>
  <c r="L1340" i="2"/>
  <c r="N1340" i="2"/>
  <c r="L1417" i="2"/>
  <c r="N1417" i="2"/>
  <c r="L1409" i="2"/>
  <c r="N1409" i="2"/>
  <c r="L1741" i="2"/>
  <c r="N1741" i="2"/>
  <c r="L1729" i="2"/>
  <c r="N1729" i="2"/>
  <c r="L1717" i="2"/>
  <c r="N1717" i="2"/>
  <c r="L1709" i="2"/>
  <c r="N1709" i="2"/>
  <c r="L1701" i="2"/>
  <c r="N1701" i="2"/>
  <c r="L1689" i="2"/>
  <c r="N1689" i="2"/>
  <c r="L1681" i="2"/>
  <c r="N1681" i="2"/>
  <c r="L1673" i="2"/>
  <c r="N1673" i="2"/>
  <c r="L1665" i="2"/>
  <c r="N1665" i="2"/>
  <c r="L1653" i="2"/>
  <c r="N1653" i="2"/>
  <c r="L1641" i="2"/>
  <c r="N1641" i="2"/>
  <c r="L1629" i="2"/>
  <c r="N1629" i="2"/>
  <c r="L1609" i="2"/>
  <c r="N1609" i="2"/>
  <c r="L1601" i="2"/>
  <c r="N1601" i="2"/>
  <c r="L1589" i="2"/>
  <c r="N1589" i="2"/>
  <c r="L1581" i="2"/>
  <c r="N1581" i="2"/>
  <c r="L1569" i="2"/>
  <c r="N1569" i="2"/>
  <c r="L1561" i="2"/>
  <c r="N1561" i="2"/>
  <c r="L1553" i="2"/>
  <c r="N1553" i="2"/>
  <c r="L1541" i="2"/>
  <c r="N1541" i="2"/>
  <c r="L1533" i="2"/>
  <c r="N1533" i="2"/>
  <c r="L1521" i="2"/>
  <c r="N1521" i="2"/>
  <c r="L1517" i="2"/>
  <c r="N1517" i="2"/>
  <c r="L1509" i="2"/>
  <c r="N1509" i="2"/>
  <c r="L1505" i="2"/>
  <c r="N1505" i="2"/>
  <c r="L1477" i="2"/>
  <c r="N1477" i="2"/>
  <c r="L1453" i="2"/>
  <c r="N1453" i="2"/>
  <c r="L1437" i="2"/>
  <c r="N1437" i="2"/>
  <c r="L1757" i="2"/>
  <c r="N1757" i="2"/>
  <c r="L1745" i="2"/>
  <c r="N1745" i="2"/>
  <c r="L1771" i="2"/>
  <c r="N1771" i="2"/>
  <c r="L1877" i="2"/>
  <c r="N1877" i="2"/>
  <c r="L1857" i="2"/>
  <c r="N1857" i="2"/>
  <c r="L1849" i="2"/>
  <c r="N1849" i="2"/>
  <c r="L1833" i="2"/>
  <c r="N1833" i="2"/>
  <c r="L1821" i="2"/>
  <c r="N1821" i="2"/>
  <c r="L1809" i="2"/>
  <c r="N1809" i="2"/>
  <c r="L1805" i="2"/>
  <c r="N1805" i="2"/>
  <c r="L1797" i="2"/>
  <c r="N1797" i="2"/>
  <c r="L1789" i="2"/>
  <c r="N1789" i="2"/>
  <c r="L1781" i="2"/>
  <c r="N1781" i="2"/>
  <c r="L1897" i="2"/>
  <c r="N1897" i="2"/>
  <c r="L1885" i="2"/>
  <c r="N1885" i="2"/>
  <c r="L1906" i="2"/>
  <c r="N1906" i="2"/>
  <c r="L1931" i="2"/>
  <c r="N1931" i="2"/>
  <c r="L1923" i="2"/>
  <c r="N1923" i="2"/>
  <c r="L1944" i="2"/>
  <c r="N1944" i="2"/>
  <c r="L1936" i="2"/>
  <c r="N1936" i="2"/>
  <c r="L2096" i="2"/>
  <c r="N2096" i="2"/>
  <c r="L2084" i="2"/>
  <c r="N2084" i="2"/>
  <c r="L2076" i="2"/>
  <c r="N2076" i="2"/>
  <c r="L2068" i="2"/>
  <c r="N2068" i="2"/>
  <c r="L2056" i="2"/>
  <c r="N2056" i="2"/>
  <c r="L2048" i="2"/>
  <c r="N2048" i="2"/>
  <c r="L2036" i="2"/>
  <c r="N2036" i="2"/>
  <c r="L2028" i="2"/>
  <c r="N2028" i="2"/>
  <c r="L2016" i="2"/>
  <c r="N2016" i="2"/>
  <c r="L2008" i="2"/>
  <c r="N2008" i="2"/>
  <c r="L2000" i="2"/>
  <c r="N2000" i="2"/>
  <c r="L1992" i="2"/>
  <c r="N1992" i="2"/>
  <c r="L1980" i="2"/>
  <c r="N1980" i="2"/>
  <c r="L1972" i="2"/>
  <c r="N1972" i="2"/>
  <c r="L1960" i="2"/>
  <c r="N1960" i="2"/>
  <c r="L1952" i="2"/>
  <c r="N1952" i="2"/>
  <c r="L2111" i="2"/>
  <c r="N2111" i="2"/>
  <c r="N148" i="2"/>
  <c r="N1019" i="2"/>
  <c r="N1513" i="2"/>
  <c r="L151" i="2"/>
  <c r="N151" i="2"/>
  <c r="L127" i="2"/>
  <c r="N127" i="2"/>
  <c r="L106" i="2"/>
  <c r="N106" i="2"/>
  <c r="L98" i="2"/>
  <c r="N98" i="2"/>
  <c r="L86" i="2"/>
  <c r="N86" i="2"/>
  <c r="L78" i="2"/>
  <c r="N78" i="2"/>
  <c r="L70" i="2"/>
  <c r="N70" i="2"/>
  <c r="L62" i="2"/>
  <c r="N62" i="2"/>
  <c r="L50" i="2"/>
  <c r="N50" i="2"/>
  <c r="L14" i="2"/>
  <c r="N14" i="2"/>
  <c r="L669" i="2"/>
  <c r="N669" i="2"/>
  <c r="L665" i="2"/>
  <c r="N665" i="2"/>
  <c r="L653" i="2"/>
  <c r="N653" i="2"/>
  <c r="L621" i="2"/>
  <c r="N621" i="2"/>
  <c r="L613" i="2"/>
  <c r="N613" i="2"/>
  <c r="L601" i="2"/>
  <c r="N601" i="2"/>
  <c r="L589" i="2"/>
  <c r="N589" i="2"/>
  <c r="L569" i="2"/>
  <c r="N569" i="2"/>
  <c r="L565" i="2"/>
  <c r="N565" i="2"/>
  <c r="L553" i="2"/>
  <c r="N553" i="2"/>
  <c r="L549" i="2"/>
  <c r="N549" i="2"/>
  <c r="L521" i="2"/>
  <c r="N521" i="2"/>
  <c r="L485" i="2"/>
  <c r="N485" i="2"/>
  <c r="L457" i="2"/>
  <c r="N457" i="2"/>
  <c r="L453" i="2"/>
  <c r="N453" i="2"/>
  <c r="L445" i="2"/>
  <c r="N445" i="2"/>
  <c r="L437" i="2"/>
  <c r="N437" i="2"/>
  <c r="L429" i="2"/>
  <c r="N429" i="2"/>
  <c r="L421" i="2"/>
  <c r="N421" i="2"/>
  <c r="L413" i="2"/>
  <c r="N413" i="2"/>
  <c r="L401" i="2"/>
  <c r="N401" i="2"/>
  <c r="L393" i="2"/>
  <c r="N393" i="2"/>
  <c r="L385" i="2"/>
  <c r="N385" i="2"/>
  <c r="L377" i="2"/>
  <c r="N377" i="2"/>
  <c r="L369" i="2"/>
  <c r="N369" i="2"/>
  <c r="L361" i="2"/>
  <c r="N361" i="2"/>
  <c r="L353" i="2"/>
  <c r="N353" i="2"/>
  <c r="L345" i="2"/>
  <c r="N345" i="2"/>
  <c r="L333" i="2"/>
  <c r="N333" i="2"/>
  <c r="L329" i="2"/>
  <c r="N329" i="2"/>
  <c r="L325" i="2"/>
  <c r="N325" i="2"/>
  <c r="L313" i="2"/>
  <c r="N313" i="2"/>
  <c r="L285" i="2"/>
  <c r="N285" i="2"/>
  <c r="L277" i="2"/>
  <c r="N277" i="2"/>
  <c r="L253" i="2"/>
  <c r="N253" i="2"/>
  <c r="L249" i="2"/>
  <c r="N249" i="2"/>
  <c r="L241" i="2"/>
  <c r="N241" i="2"/>
  <c r="L237" i="2"/>
  <c r="N237" i="2"/>
  <c r="L225" i="2"/>
  <c r="N225" i="2"/>
  <c r="L221" i="2"/>
  <c r="N221" i="2"/>
  <c r="L213" i="2"/>
  <c r="N213" i="2"/>
  <c r="L205" i="2"/>
  <c r="N205" i="2"/>
  <c r="L197" i="2"/>
  <c r="N197" i="2"/>
  <c r="L193" i="2"/>
  <c r="N193" i="2"/>
  <c r="L181" i="2"/>
  <c r="N181" i="2"/>
  <c r="L173" i="2"/>
  <c r="N173" i="2"/>
  <c r="L169" i="2"/>
  <c r="N169" i="2"/>
  <c r="L161" i="2"/>
  <c r="N161" i="2"/>
  <c r="L157" i="2"/>
  <c r="N157" i="2"/>
  <c r="L1118" i="2"/>
  <c r="N1118" i="2"/>
  <c r="L1102" i="2"/>
  <c r="N1102" i="2"/>
  <c r="L1090" i="2"/>
  <c r="N1090" i="2"/>
  <c r="L1070" i="2"/>
  <c r="N1070" i="2"/>
  <c r="L1058" i="2"/>
  <c r="N1058" i="2"/>
  <c r="L1038" i="2"/>
  <c r="N1038" i="2"/>
  <c r="L1034" i="2"/>
  <c r="N1034" i="2"/>
  <c r="L1026" i="2"/>
  <c r="N1026" i="2"/>
  <c r="L1018" i="2"/>
  <c r="N1018" i="2"/>
  <c r="L1006" i="2"/>
  <c r="N1006" i="2"/>
  <c r="L974" i="2"/>
  <c r="N974" i="2"/>
  <c r="L962" i="2"/>
  <c r="N962" i="2"/>
  <c r="L942" i="2"/>
  <c r="N942" i="2"/>
  <c r="L938" i="2"/>
  <c r="N938" i="2"/>
  <c r="L930" i="2"/>
  <c r="N930" i="2"/>
  <c r="L914" i="2"/>
  <c r="N914" i="2"/>
  <c r="L894" i="2"/>
  <c r="N894" i="2"/>
  <c r="L1239" i="2"/>
  <c r="N1239" i="2"/>
  <c r="L146" i="2"/>
  <c r="N146" i="2"/>
  <c r="L138" i="2"/>
  <c r="N138" i="2"/>
  <c r="L126" i="2"/>
  <c r="N126" i="2"/>
  <c r="L118" i="2"/>
  <c r="N118" i="2"/>
  <c r="L101" i="2"/>
  <c r="N101" i="2"/>
  <c r="L97" i="2"/>
  <c r="N97" i="2"/>
  <c r="L89" i="2"/>
  <c r="N89" i="2"/>
  <c r="L85" i="2"/>
  <c r="N85" i="2"/>
  <c r="L69" i="2"/>
  <c r="N69" i="2"/>
  <c r="L65" i="2"/>
  <c r="N65" i="2"/>
  <c r="L57" i="2"/>
  <c r="N57" i="2"/>
  <c r="L49" i="2"/>
  <c r="N49" i="2"/>
  <c r="L45" i="2"/>
  <c r="N45" i="2"/>
  <c r="L37" i="2"/>
  <c r="N37" i="2"/>
  <c r="L21" i="2"/>
  <c r="N21" i="2"/>
  <c r="L17" i="2"/>
  <c r="N17" i="2"/>
  <c r="L13" i="2"/>
  <c r="N13" i="2"/>
  <c r="L5" i="2"/>
  <c r="N5" i="2"/>
  <c r="L888" i="2"/>
  <c r="N888" i="2"/>
  <c r="L860" i="2"/>
  <c r="N860" i="2"/>
  <c r="L848" i="2"/>
  <c r="N848" i="2"/>
  <c r="L840" i="2"/>
  <c r="N840" i="2"/>
  <c r="L836" i="2"/>
  <c r="N836" i="2"/>
  <c r="L832" i="2"/>
  <c r="N832" i="2"/>
  <c r="L828" i="2"/>
  <c r="N828" i="2"/>
  <c r="L820" i="2"/>
  <c r="N820" i="2"/>
  <c r="L812" i="2"/>
  <c r="N812" i="2"/>
  <c r="L808" i="2"/>
  <c r="N808" i="2"/>
  <c r="L800" i="2"/>
  <c r="N800" i="2"/>
  <c r="L792" i="2"/>
  <c r="N792" i="2"/>
  <c r="L788" i="2"/>
  <c r="N788" i="2"/>
  <c r="L780" i="2"/>
  <c r="N780" i="2"/>
  <c r="L776" i="2"/>
  <c r="N776" i="2"/>
  <c r="L772" i="2"/>
  <c r="N772" i="2"/>
  <c r="L768" i="2"/>
  <c r="N768" i="2"/>
  <c r="L752" i="2"/>
  <c r="N752" i="2"/>
  <c r="L744" i="2"/>
  <c r="N744" i="2"/>
  <c r="L728" i="2"/>
  <c r="N728" i="2"/>
  <c r="L720" i="2"/>
  <c r="N720" i="2"/>
  <c r="L716" i="2"/>
  <c r="N716" i="2"/>
  <c r="L712" i="2"/>
  <c r="N712" i="2"/>
  <c r="L708" i="2"/>
  <c r="N708" i="2"/>
  <c r="L700" i="2"/>
  <c r="N700" i="2"/>
  <c r="L672" i="2"/>
  <c r="N672" i="2"/>
  <c r="L660" i="2"/>
  <c r="N660" i="2"/>
  <c r="L656" i="2"/>
  <c r="N656" i="2"/>
  <c r="L648" i="2"/>
  <c r="N648" i="2"/>
  <c r="L628" i="2"/>
  <c r="N628" i="2"/>
  <c r="L612" i="2"/>
  <c r="N612" i="2"/>
  <c r="L596" i="2"/>
  <c r="N596" i="2"/>
  <c r="L584" i="2"/>
  <c r="N584" i="2"/>
  <c r="L580" i="2"/>
  <c r="N580" i="2"/>
  <c r="L576" i="2"/>
  <c r="N576" i="2"/>
  <c r="L568" i="2"/>
  <c r="N568" i="2"/>
  <c r="L548" i="2"/>
  <c r="N548" i="2"/>
  <c r="L536" i="2"/>
  <c r="N536" i="2"/>
  <c r="L532" i="2"/>
  <c r="N532" i="2"/>
  <c r="L528" i="2"/>
  <c r="N528" i="2"/>
  <c r="L520" i="2"/>
  <c r="N520" i="2"/>
  <c r="L500" i="2"/>
  <c r="N500" i="2"/>
  <c r="L488" i="2"/>
  <c r="N488" i="2"/>
  <c r="L472" i="2"/>
  <c r="N472" i="2"/>
  <c r="L452" i="2"/>
  <c r="N452" i="2"/>
  <c r="L436" i="2"/>
  <c r="N436" i="2"/>
  <c r="L432" i="2"/>
  <c r="N432" i="2"/>
  <c r="L420" i="2"/>
  <c r="N420" i="2"/>
  <c r="L412" i="2"/>
  <c r="N412" i="2"/>
  <c r="L404" i="2"/>
  <c r="N404" i="2"/>
  <c r="L396" i="2"/>
  <c r="N396" i="2"/>
  <c r="L392" i="2"/>
  <c r="N392" i="2"/>
  <c r="L384" i="2"/>
  <c r="N384" i="2"/>
  <c r="L376" i="2"/>
  <c r="N376" i="2"/>
  <c r="L372" i="2"/>
  <c r="N372" i="2"/>
  <c r="L368" i="2"/>
  <c r="N368" i="2"/>
  <c r="L360" i="2"/>
  <c r="N360" i="2"/>
  <c r="L356" i="2"/>
  <c r="N356" i="2"/>
  <c r="L348" i="2"/>
  <c r="N348" i="2"/>
  <c r="L340" i="2"/>
  <c r="N340" i="2"/>
  <c r="L332" i="2"/>
  <c r="N332" i="2"/>
  <c r="L324" i="2"/>
  <c r="N324" i="2"/>
  <c r="L320" i="2"/>
  <c r="N320" i="2"/>
  <c r="L312" i="2"/>
  <c r="N312" i="2"/>
  <c r="L284" i="2"/>
  <c r="N284" i="2"/>
  <c r="L149" i="2"/>
  <c r="N149" i="2"/>
  <c r="L145" i="2"/>
  <c r="N145" i="2"/>
  <c r="L141" i="2"/>
  <c r="N141" i="2"/>
  <c r="L137" i="2"/>
  <c r="N137" i="2"/>
  <c r="L133" i="2"/>
  <c r="N133" i="2"/>
  <c r="L125" i="2"/>
  <c r="N125" i="2"/>
  <c r="L117" i="2"/>
  <c r="N117" i="2"/>
  <c r="L113" i="2"/>
  <c r="N113" i="2"/>
  <c r="L109" i="2"/>
  <c r="N109" i="2"/>
  <c r="L36" i="2"/>
  <c r="N36" i="2"/>
  <c r="L32" i="2"/>
  <c r="N32" i="2"/>
  <c r="L28" i="2"/>
  <c r="N28" i="2"/>
  <c r="L20" i="2"/>
  <c r="N20" i="2"/>
  <c r="L16" i="2"/>
  <c r="N16" i="2"/>
  <c r="L12" i="2"/>
  <c r="N12" i="2"/>
  <c r="L8" i="2"/>
  <c r="N8" i="2"/>
  <c r="L891" i="2"/>
  <c r="N891" i="2"/>
  <c r="L887" i="2"/>
  <c r="N887" i="2"/>
  <c r="L879" i="2"/>
  <c r="N879" i="2"/>
  <c r="L875" i="2"/>
  <c r="N875" i="2"/>
  <c r="L867" i="2"/>
  <c r="N867" i="2"/>
  <c r="L859" i="2"/>
  <c r="N859" i="2"/>
  <c r="L855" i="2"/>
  <c r="N855" i="2"/>
  <c r="L851" i="2"/>
  <c r="N851" i="2"/>
  <c r="L843" i="2"/>
  <c r="N843" i="2"/>
  <c r="L839" i="2"/>
  <c r="N839" i="2"/>
  <c r="L835" i="2"/>
  <c r="N835" i="2"/>
  <c r="L831" i="2"/>
  <c r="N831" i="2"/>
  <c r="L827" i="2"/>
  <c r="N827" i="2"/>
  <c r="L823" i="2"/>
  <c r="N823" i="2"/>
  <c r="L819" i="2"/>
  <c r="N819" i="2"/>
  <c r="L815" i="2"/>
  <c r="N815" i="2"/>
  <c r="L811" i="2"/>
  <c r="N811" i="2"/>
  <c r="L807" i="2"/>
  <c r="N807" i="2"/>
  <c r="L803" i="2"/>
  <c r="N803" i="2"/>
  <c r="L799" i="2"/>
  <c r="N799" i="2"/>
  <c r="L795" i="2"/>
  <c r="N795" i="2"/>
  <c r="L791" i="2"/>
  <c r="N791" i="2"/>
  <c r="L787" i="2"/>
  <c r="N787" i="2"/>
  <c r="L783" i="2"/>
  <c r="N783" i="2"/>
  <c r="L775" i="2"/>
  <c r="N775" i="2"/>
  <c r="L771" i="2"/>
  <c r="N771" i="2"/>
  <c r="L767" i="2"/>
  <c r="N767" i="2"/>
  <c r="L759" i="2"/>
  <c r="N759" i="2"/>
  <c r="L755" i="2"/>
  <c r="N755" i="2"/>
  <c r="L751" i="2"/>
  <c r="N751" i="2"/>
  <c r="L747" i="2"/>
  <c r="N747" i="2"/>
  <c r="L743" i="2"/>
  <c r="N743" i="2"/>
  <c r="L739" i="2"/>
  <c r="N739" i="2"/>
  <c r="L731" i="2"/>
  <c r="N731" i="2"/>
  <c r="L727" i="2"/>
  <c r="N727" i="2"/>
  <c r="L723" i="2"/>
  <c r="N723" i="2"/>
  <c r="L719" i="2"/>
  <c r="N719" i="2"/>
  <c r="L715" i="2"/>
  <c r="N715" i="2"/>
  <c r="L711" i="2"/>
  <c r="N711" i="2"/>
  <c r="L707" i="2"/>
  <c r="N707" i="2"/>
  <c r="L699" i="2"/>
  <c r="N699" i="2"/>
  <c r="L695" i="2"/>
  <c r="N695" i="2"/>
  <c r="L691" i="2"/>
  <c r="N691" i="2"/>
  <c r="L687" i="2"/>
  <c r="N687" i="2"/>
  <c r="L683" i="2"/>
  <c r="N683" i="2"/>
  <c r="L675" i="2"/>
  <c r="N675" i="2"/>
  <c r="L671" i="2"/>
  <c r="N671" i="2"/>
  <c r="L667" i="2"/>
  <c r="N667" i="2"/>
  <c r="L659" i="2"/>
  <c r="N659" i="2"/>
  <c r="L655" i="2"/>
  <c r="N655" i="2"/>
  <c r="L651" i="2"/>
  <c r="N651" i="2"/>
  <c r="L643" i="2"/>
  <c r="N643" i="2"/>
  <c r="L639" i="2"/>
  <c r="N639" i="2"/>
  <c r="L635" i="2"/>
  <c r="N635" i="2"/>
  <c r="L627" i="2"/>
  <c r="N627" i="2"/>
  <c r="L623" i="2"/>
  <c r="N623" i="2"/>
  <c r="L619" i="2"/>
  <c r="N619" i="2"/>
  <c r="L611" i="2"/>
  <c r="N611" i="2"/>
  <c r="L607" i="2"/>
  <c r="N607" i="2"/>
  <c r="L603" i="2"/>
  <c r="N603" i="2"/>
  <c r="L591" i="2"/>
  <c r="N591" i="2"/>
  <c r="L579" i="2"/>
  <c r="N579" i="2"/>
  <c r="L575" i="2"/>
  <c r="N575" i="2"/>
  <c r="L571" i="2"/>
  <c r="N571" i="2"/>
  <c r="L563" i="2"/>
  <c r="N563" i="2"/>
  <c r="L559" i="2"/>
  <c r="N559" i="2"/>
  <c r="L547" i="2"/>
  <c r="N547" i="2"/>
  <c r="L543" i="2"/>
  <c r="N543" i="2"/>
  <c r="L539" i="2"/>
  <c r="N539" i="2"/>
  <c r="L531" i="2"/>
  <c r="N531" i="2"/>
  <c r="L523" i="2"/>
  <c r="N523" i="2"/>
  <c r="L515" i="2"/>
  <c r="N515" i="2"/>
  <c r="L511" i="2"/>
  <c r="N511" i="2"/>
  <c r="L507" i="2"/>
  <c r="N507" i="2"/>
  <c r="L495" i="2"/>
  <c r="N495" i="2"/>
  <c r="L483" i="2"/>
  <c r="N483" i="2"/>
  <c r="L475" i="2"/>
  <c r="N475" i="2"/>
  <c r="L467" i="2"/>
  <c r="N467" i="2"/>
  <c r="L463" i="2"/>
  <c r="N463" i="2"/>
  <c r="L459" i="2"/>
  <c r="N459" i="2"/>
  <c r="L451" i="2"/>
  <c r="N451" i="2"/>
  <c r="L447" i="2"/>
  <c r="N447" i="2"/>
  <c r="L443" i="2"/>
  <c r="N443" i="2"/>
  <c r="L435" i="2"/>
  <c r="N435" i="2"/>
  <c r="L431" i="2"/>
  <c r="N431" i="2"/>
  <c r="L427" i="2"/>
  <c r="N427" i="2"/>
  <c r="L187" i="2"/>
  <c r="N187" i="2"/>
  <c r="L183" i="2"/>
  <c r="N183" i="2"/>
  <c r="L179" i="2"/>
  <c r="N179" i="2"/>
  <c r="L175" i="2"/>
  <c r="N175" i="2"/>
  <c r="L171" i="2"/>
  <c r="N171" i="2"/>
  <c r="L167" i="2"/>
  <c r="N167" i="2"/>
  <c r="L163" i="2"/>
  <c r="N163" i="2"/>
  <c r="L159" i="2"/>
  <c r="N159" i="2"/>
  <c r="L155" i="2"/>
  <c r="N155" i="2"/>
  <c r="L1124" i="2"/>
  <c r="N1124" i="2"/>
  <c r="L1120" i="2"/>
  <c r="N1120" i="2"/>
  <c r="L1116" i="2"/>
  <c r="N1116" i="2"/>
  <c r="L1112" i="2"/>
  <c r="N1112" i="2"/>
  <c r="L1108" i="2"/>
  <c r="N1108" i="2"/>
  <c r="L1104" i="2"/>
  <c r="N1104" i="2"/>
  <c r="L1092" i="2"/>
  <c r="N1092" i="2"/>
  <c r="L1088" i="2"/>
  <c r="N1088" i="2"/>
  <c r="L1080" i="2"/>
  <c r="N1080" i="2"/>
  <c r="L1076" i="2"/>
  <c r="N1076" i="2"/>
  <c r="L1072" i="2"/>
  <c r="N1072" i="2"/>
  <c r="L1060" i="2"/>
  <c r="N1060" i="2"/>
  <c r="L1056" i="2"/>
  <c r="N1056" i="2"/>
  <c r="L1044" i="2"/>
  <c r="N1044" i="2"/>
  <c r="L1040" i="2"/>
  <c r="N1040" i="2"/>
  <c r="L1036" i="2"/>
  <c r="N1036" i="2"/>
  <c r="L1032" i="2"/>
  <c r="N1032" i="2"/>
  <c r="L1028" i="2"/>
  <c r="N1028" i="2"/>
  <c r="L1024" i="2"/>
  <c r="N1024" i="2"/>
  <c r="L1012" i="2"/>
  <c r="N1012" i="2"/>
  <c r="L1008" i="2"/>
  <c r="N1008" i="2"/>
  <c r="L1004" i="2"/>
  <c r="N1004" i="2"/>
  <c r="L1000" i="2"/>
  <c r="N1000" i="2"/>
  <c r="L984" i="2"/>
  <c r="N984" i="2"/>
  <c r="L972" i="2"/>
  <c r="N972" i="2"/>
  <c r="L968" i="2"/>
  <c r="N968" i="2"/>
  <c r="L960" i="2"/>
  <c r="N960" i="2"/>
  <c r="L956" i="2"/>
  <c r="N956" i="2"/>
  <c r="L952" i="2"/>
  <c r="N952" i="2"/>
  <c r="L948" i="2"/>
  <c r="N948" i="2"/>
  <c r="L944" i="2"/>
  <c r="N944" i="2"/>
  <c r="L940" i="2"/>
  <c r="N940" i="2"/>
  <c r="L936" i="2"/>
  <c r="N936" i="2"/>
  <c r="L932" i="2"/>
  <c r="N932" i="2"/>
  <c r="L928" i="2"/>
  <c r="N928" i="2"/>
  <c r="L920" i="2"/>
  <c r="N920" i="2"/>
  <c r="L916" i="2"/>
  <c r="N916" i="2"/>
  <c r="L912" i="2"/>
  <c r="N912" i="2"/>
  <c r="L892" i="2"/>
  <c r="N892" i="2"/>
  <c r="L1297" i="2"/>
  <c r="N1297" i="2"/>
  <c r="L1293" i="2"/>
  <c r="N1293" i="2"/>
  <c r="L1289" i="2"/>
  <c r="N1289" i="2"/>
  <c r="L1285" i="2"/>
  <c r="N1285" i="2"/>
  <c r="L1281" i="2"/>
  <c r="N1281" i="2"/>
  <c r="L1277" i="2"/>
  <c r="N1277" i="2"/>
  <c r="L1273" i="2"/>
  <c r="N1273" i="2"/>
  <c r="L1269" i="2"/>
  <c r="N1269" i="2"/>
  <c r="L1265" i="2"/>
  <c r="N1265" i="2"/>
  <c r="L1261" i="2"/>
  <c r="N1261" i="2"/>
  <c r="L1257" i="2"/>
  <c r="N1257" i="2"/>
  <c r="L1253" i="2"/>
  <c r="N1253" i="2"/>
  <c r="L1241" i="2"/>
  <c r="N1241" i="2"/>
  <c r="L1237" i="2"/>
  <c r="N1237" i="2"/>
  <c r="L1233" i="2"/>
  <c r="N1233" i="2"/>
  <c r="L1229" i="2"/>
  <c r="N1229" i="2"/>
  <c r="L1225" i="2"/>
  <c r="N1225" i="2"/>
  <c r="L1221" i="2"/>
  <c r="N1221" i="2"/>
  <c r="L1217" i="2"/>
  <c r="N1217" i="2"/>
  <c r="L1213" i="2"/>
  <c r="N1213" i="2"/>
  <c r="L1209" i="2"/>
  <c r="N1209" i="2"/>
  <c r="L1205" i="2"/>
  <c r="N1205" i="2"/>
  <c r="L1201" i="2"/>
  <c r="N1201" i="2"/>
  <c r="L1197" i="2"/>
  <c r="N1197" i="2"/>
  <c r="L1193" i="2"/>
  <c r="N1193" i="2"/>
  <c r="L1189" i="2"/>
  <c r="N1189" i="2"/>
  <c r="L1185" i="2"/>
  <c r="N1185" i="2"/>
  <c r="L1181" i="2"/>
  <c r="N1181" i="2"/>
  <c r="L1177" i="2"/>
  <c r="N1177" i="2"/>
  <c r="L1173" i="2"/>
  <c r="N1173" i="2"/>
  <c r="L1169" i="2"/>
  <c r="N1169" i="2"/>
  <c r="L1165" i="2"/>
  <c r="N1165" i="2"/>
  <c r="L1157" i="2"/>
  <c r="N1157" i="2"/>
  <c r="L1153" i="2"/>
  <c r="N1153" i="2"/>
  <c r="L1149" i="2"/>
  <c r="N1149" i="2"/>
  <c r="L1145" i="2"/>
  <c r="N1145" i="2"/>
  <c r="L1137" i="2"/>
  <c r="N1137" i="2"/>
  <c r="L1133" i="2"/>
  <c r="N1133" i="2"/>
  <c r="L1129" i="2"/>
  <c r="N1129" i="2"/>
  <c r="L1125" i="2"/>
  <c r="N1125" i="2"/>
  <c r="L1324" i="2"/>
  <c r="N1324" i="2"/>
  <c r="L1320" i="2"/>
  <c r="N1320" i="2"/>
  <c r="L1316" i="2"/>
  <c r="N1316" i="2"/>
  <c r="L1312" i="2"/>
  <c r="N1312" i="2"/>
  <c r="L1308" i="2"/>
  <c r="N1308" i="2"/>
  <c r="L1304" i="2"/>
  <c r="N1304" i="2"/>
  <c r="L1336" i="2"/>
  <c r="N1336" i="2"/>
  <c r="L1373" i="2"/>
  <c r="N1373" i="2"/>
  <c r="L1369" i="2"/>
  <c r="N1369" i="2"/>
  <c r="L1365" i="2"/>
  <c r="N1365" i="2"/>
  <c r="L1361" i="2"/>
  <c r="N1361" i="2"/>
  <c r="L1357" i="2"/>
  <c r="N1357" i="2"/>
  <c r="L1353" i="2"/>
  <c r="N1353" i="2"/>
  <c r="L1349" i="2"/>
  <c r="N1349" i="2"/>
  <c r="L1341" i="2"/>
  <c r="N1341" i="2"/>
  <c r="L1337" i="2"/>
  <c r="N1337" i="2"/>
  <c r="L1397" i="2"/>
  <c r="N1397" i="2"/>
  <c r="L1393" i="2"/>
  <c r="N1393" i="2"/>
  <c r="L1389" i="2"/>
  <c r="N1389" i="2"/>
  <c r="L1385" i="2"/>
  <c r="N1385" i="2"/>
  <c r="L1381" i="2"/>
  <c r="N1381" i="2"/>
  <c r="L1377" i="2"/>
  <c r="N1377" i="2"/>
  <c r="L1426" i="2"/>
  <c r="N1426" i="2"/>
  <c r="L1418" i="2"/>
  <c r="N1418" i="2"/>
  <c r="L1414" i="2"/>
  <c r="N1414" i="2"/>
  <c r="L1410" i="2"/>
  <c r="N1410" i="2"/>
  <c r="L1406" i="2"/>
  <c r="N1406" i="2"/>
  <c r="L1742" i="2"/>
  <c r="N1742" i="2"/>
  <c r="L1738" i="2"/>
  <c r="N1738" i="2"/>
  <c r="L1734" i="2"/>
  <c r="N1734" i="2"/>
  <c r="L1730" i="2"/>
  <c r="N1730" i="2"/>
  <c r="L1726" i="2"/>
  <c r="N1726" i="2"/>
  <c r="L1722" i="2"/>
  <c r="N1722" i="2"/>
  <c r="L1718" i="2"/>
  <c r="N1718" i="2"/>
  <c r="L1714" i="2"/>
  <c r="N1714" i="2"/>
  <c r="L1710" i="2"/>
  <c r="N1710" i="2"/>
  <c r="L1706" i="2"/>
  <c r="N1706" i="2"/>
  <c r="L1702" i="2"/>
  <c r="N1702" i="2"/>
  <c r="L1698" i="2"/>
  <c r="N1698" i="2"/>
  <c r="L1694" i="2"/>
  <c r="N1694" i="2"/>
  <c r="L1690" i="2"/>
  <c r="N1690" i="2"/>
  <c r="L1686" i="2"/>
  <c r="N1686" i="2"/>
  <c r="L1682" i="2"/>
  <c r="N1682" i="2"/>
  <c r="L1678" i="2"/>
  <c r="N1678" i="2"/>
  <c r="L1674" i="2"/>
  <c r="N1674" i="2"/>
  <c r="L1670" i="2"/>
  <c r="N1670" i="2"/>
  <c r="L1666" i="2"/>
  <c r="N1666" i="2"/>
  <c r="L1662" i="2"/>
  <c r="N1662" i="2"/>
  <c r="L1658" i="2"/>
  <c r="N1658" i="2"/>
  <c r="L1654" i="2"/>
  <c r="N1654" i="2"/>
  <c r="L1650" i="2"/>
  <c r="N1650" i="2"/>
  <c r="L1642" i="2"/>
  <c r="N1642" i="2"/>
  <c r="L1638" i="2"/>
  <c r="N1638" i="2"/>
  <c r="L1634" i="2"/>
  <c r="N1634" i="2"/>
  <c r="L1630" i="2"/>
  <c r="N1630" i="2"/>
  <c r="L1626" i="2"/>
  <c r="N1626" i="2"/>
  <c r="L1618" i="2"/>
  <c r="N1618" i="2"/>
  <c r="L1614" i="2"/>
  <c r="N1614" i="2"/>
  <c r="L1610" i="2"/>
  <c r="N1610" i="2"/>
  <c r="L1606" i="2"/>
  <c r="N1606" i="2"/>
  <c r="L1602" i="2"/>
  <c r="N1602" i="2"/>
  <c r="L1598" i="2"/>
  <c r="N1598" i="2"/>
  <c r="L1594" i="2"/>
  <c r="N1594" i="2"/>
  <c r="L1590" i="2"/>
  <c r="N1590" i="2"/>
  <c r="L1586" i="2"/>
  <c r="N1586" i="2"/>
  <c r="L1582" i="2"/>
  <c r="N1582" i="2"/>
  <c r="L1578" i="2"/>
  <c r="N1578" i="2"/>
  <c r="L1574" i="2"/>
  <c r="N1574" i="2"/>
  <c r="L1570" i="2"/>
  <c r="N1570" i="2"/>
  <c r="L1566" i="2"/>
  <c r="N1566" i="2"/>
  <c r="L1562" i="2"/>
  <c r="N1562" i="2"/>
  <c r="L1558" i="2"/>
  <c r="N1558" i="2"/>
  <c r="L1554" i="2"/>
  <c r="N1554" i="2"/>
  <c r="L1550" i="2"/>
  <c r="N1550" i="2"/>
  <c r="L1546" i="2"/>
  <c r="N1546" i="2"/>
  <c r="L1542" i="2"/>
  <c r="N1542" i="2"/>
  <c r="L1538" i="2"/>
  <c r="N1538" i="2"/>
  <c r="L1534" i="2"/>
  <c r="N1534" i="2"/>
  <c r="L1530" i="2"/>
  <c r="N1530" i="2"/>
  <c r="L1526" i="2"/>
  <c r="N1526" i="2"/>
  <c r="L1522" i="2"/>
  <c r="N1522" i="2"/>
  <c r="L1518" i="2"/>
  <c r="N1518" i="2"/>
  <c r="L1514" i="2"/>
  <c r="N1514" i="2"/>
  <c r="L1510" i="2"/>
  <c r="N1510" i="2"/>
  <c r="L1506" i="2"/>
  <c r="N1506" i="2"/>
  <c r="L1490" i="2"/>
  <c r="N1490" i="2"/>
  <c r="L1478" i="2"/>
  <c r="N1478" i="2"/>
  <c r="L1474" i="2"/>
  <c r="N1474" i="2"/>
  <c r="L1454" i="2"/>
  <c r="N1454" i="2"/>
  <c r="L1450" i="2"/>
  <c r="N1450" i="2"/>
  <c r="L1438" i="2"/>
  <c r="N1438" i="2"/>
  <c r="L1434" i="2"/>
  <c r="N1434" i="2"/>
  <c r="L1430" i="2"/>
  <c r="N1430" i="2"/>
  <c r="L1758" i="2"/>
  <c r="N1758" i="2"/>
  <c r="L1754" i="2"/>
  <c r="N1754" i="2"/>
  <c r="L1750" i="2"/>
  <c r="N1750" i="2"/>
  <c r="L1746" i="2"/>
  <c r="N1746" i="2"/>
  <c r="L1776" i="2"/>
  <c r="N1776" i="2"/>
  <c r="L1772" i="2"/>
  <c r="N1772" i="2"/>
  <c r="L1768" i="2"/>
  <c r="N1768" i="2"/>
  <c r="L1764" i="2"/>
  <c r="N1764" i="2"/>
  <c r="L1874" i="2"/>
  <c r="N1874" i="2"/>
  <c r="L1870" i="2"/>
  <c r="N1870" i="2"/>
  <c r="L1862" i="2"/>
  <c r="N1862" i="2"/>
  <c r="L1858" i="2"/>
  <c r="N1858" i="2"/>
  <c r="L1854" i="2"/>
  <c r="N1854" i="2"/>
  <c r="L1850" i="2"/>
  <c r="N1850" i="2"/>
  <c r="L1846" i="2"/>
  <c r="N1846" i="2"/>
  <c r="L1842" i="2"/>
  <c r="N1842" i="2"/>
  <c r="L1838" i="2"/>
  <c r="N1838" i="2"/>
  <c r="L1830" i="2"/>
  <c r="N1830" i="2"/>
  <c r="L1826" i="2"/>
  <c r="N1826" i="2"/>
  <c r="L1822" i="2"/>
  <c r="N1822" i="2"/>
  <c r="L1818" i="2"/>
  <c r="N1818" i="2"/>
  <c r="L1814" i="2"/>
  <c r="N1814" i="2"/>
  <c r="L1810" i="2"/>
  <c r="N1810" i="2"/>
  <c r="L1806" i="2"/>
  <c r="N1806" i="2"/>
  <c r="L1802" i="2"/>
  <c r="N1802" i="2"/>
  <c r="L1798" i="2"/>
  <c r="N1798" i="2"/>
  <c r="L1794" i="2"/>
  <c r="N1794" i="2"/>
  <c r="L1790" i="2"/>
  <c r="N1790" i="2"/>
  <c r="L1786" i="2"/>
  <c r="N1786" i="2"/>
  <c r="L1782" i="2"/>
  <c r="N1782" i="2"/>
  <c r="L1902" i="2"/>
  <c r="N1902" i="2"/>
  <c r="L1898" i="2"/>
  <c r="N1898" i="2"/>
  <c r="L1894" i="2"/>
  <c r="N1894" i="2"/>
  <c r="L1890" i="2"/>
  <c r="N1890" i="2"/>
  <c r="L1886" i="2"/>
  <c r="N1886" i="2"/>
  <c r="L1882" i="2"/>
  <c r="N1882" i="2"/>
  <c r="L1915" i="2"/>
  <c r="N1915" i="2"/>
  <c r="L1911" i="2"/>
  <c r="N1911" i="2"/>
  <c r="L1907" i="2"/>
  <c r="N1907" i="2"/>
  <c r="L1903" i="2"/>
  <c r="N1903" i="2"/>
  <c r="L1928" i="2"/>
  <c r="N1928" i="2"/>
  <c r="L1924" i="2"/>
  <c r="N1924" i="2"/>
  <c r="L1920" i="2"/>
  <c r="N1920" i="2"/>
  <c r="L1949" i="2"/>
  <c r="N1949" i="2"/>
  <c r="L1941" i="2"/>
  <c r="N1941" i="2"/>
  <c r="L1937" i="2"/>
  <c r="N1937" i="2"/>
  <c r="L2097" i="2"/>
  <c r="N2097" i="2"/>
  <c r="L2093" i="2"/>
  <c r="N2093" i="2"/>
  <c r="L2089" i="2"/>
  <c r="N2089" i="2"/>
  <c r="L2085" i="2"/>
  <c r="N2085" i="2"/>
  <c r="L2081" i="2"/>
  <c r="N2081" i="2"/>
  <c r="L2077" i="2"/>
  <c r="N2077" i="2"/>
  <c r="L2073" i="2"/>
  <c r="N2073" i="2"/>
  <c r="L2069" i="2"/>
  <c r="N2069" i="2"/>
  <c r="L2065" i="2"/>
  <c r="N2065" i="2"/>
  <c r="L2061" i="2"/>
  <c r="N2061" i="2"/>
  <c r="L2057" i="2"/>
  <c r="N2057" i="2"/>
  <c r="L2053" i="2"/>
  <c r="N2053" i="2"/>
  <c r="L2049" i="2"/>
  <c r="N2049" i="2"/>
  <c r="L2045" i="2"/>
  <c r="N2045" i="2"/>
  <c r="L2041" i="2"/>
  <c r="N2041" i="2"/>
  <c r="L2037" i="2"/>
  <c r="N2037" i="2"/>
  <c r="L2033" i="2"/>
  <c r="N2033" i="2"/>
  <c r="L2029" i="2"/>
  <c r="N2029" i="2"/>
  <c r="L2025" i="2"/>
  <c r="N2025" i="2"/>
  <c r="L2021" i="2"/>
  <c r="N2021" i="2"/>
  <c r="L2013" i="2"/>
  <c r="N2013" i="2"/>
  <c r="L2009" i="2"/>
  <c r="N2009" i="2"/>
  <c r="L2005" i="2"/>
  <c r="N2005" i="2"/>
  <c r="L2001" i="2"/>
  <c r="N2001" i="2"/>
  <c r="L1997" i="2"/>
  <c r="N1997" i="2"/>
  <c r="L1993" i="2"/>
  <c r="N1993" i="2"/>
  <c r="L1989" i="2"/>
  <c r="N1989" i="2"/>
  <c r="L1985" i="2"/>
  <c r="N1985" i="2"/>
  <c r="L1977" i="2"/>
  <c r="N1977" i="2"/>
  <c r="L1973" i="2"/>
  <c r="N1973" i="2"/>
  <c r="L1969" i="2"/>
  <c r="N1969" i="2"/>
  <c r="L1965" i="2"/>
  <c r="N1965" i="2"/>
  <c r="L1961" i="2"/>
  <c r="N1961" i="2"/>
  <c r="L1953" i="2"/>
  <c r="N1953" i="2"/>
  <c r="L2120" i="2"/>
  <c r="N2120" i="2"/>
  <c r="L2116" i="2"/>
  <c r="N2116" i="2"/>
  <c r="L2112" i="2"/>
  <c r="N2112" i="2"/>
  <c r="L2108" i="2"/>
  <c r="N2108" i="2"/>
  <c r="L2104" i="2"/>
  <c r="N2104" i="2"/>
  <c r="L2100" i="2"/>
  <c r="N2100" i="2"/>
  <c r="L2136" i="2"/>
  <c r="N2136" i="2"/>
  <c r="L2132" i="2"/>
  <c r="N2132" i="2"/>
  <c r="L2128" i="2"/>
  <c r="N2128" i="2"/>
  <c r="L2124" i="2"/>
  <c r="N2124" i="2"/>
  <c r="L2152" i="2"/>
  <c r="N2152" i="2"/>
  <c r="L2148" i="2"/>
  <c r="N2148" i="2"/>
  <c r="L2144" i="2"/>
  <c r="N2144" i="2"/>
  <c r="L2140" i="2"/>
  <c r="N2140" i="2"/>
  <c r="L2169" i="2"/>
  <c r="N2169" i="2"/>
  <c r="L2165" i="2"/>
  <c r="N2165" i="2"/>
  <c r="L2161" i="2"/>
  <c r="N2161" i="2"/>
  <c r="L2153" i="2"/>
  <c r="N2153" i="2"/>
  <c r="L2189" i="2"/>
  <c r="N2189" i="2"/>
  <c r="L2185" i="2"/>
  <c r="N2185" i="2"/>
  <c r="L2181" i="2"/>
  <c r="N2181" i="2"/>
  <c r="L2177" i="2"/>
  <c r="N2177" i="2"/>
  <c r="L2173" i="2"/>
  <c r="N2173" i="2"/>
  <c r="L2257" i="2"/>
  <c r="N2257" i="2"/>
  <c r="L2253" i="2"/>
  <c r="N2253" i="2"/>
  <c r="L2249" i="2"/>
  <c r="N2249" i="2"/>
  <c r="L2245" i="2"/>
  <c r="N2245" i="2"/>
  <c r="L2241" i="2"/>
  <c r="N2241" i="2"/>
  <c r="L2237" i="2"/>
  <c r="N2237" i="2"/>
  <c r="L2233" i="2"/>
  <c r="N2233" i="2"/>
  <c r="L2229" i="2"/>
  <c r="N2229" i="2"/>
  <c r="L2225" i="2"/>
  <c r="N2225" i="2"/>
  <c r="L2221" i="2"/>
  <c r="N2221" i="2"/>
  <c r="N19" i="2"/>
  <c r="N34" i="2"/>
  <c r="N168" i="2"/>
  <c r="N152" i="2"/>
  <c r="N136" i="2"/>
  <c r="N104" i="2"/>
  <c r="N88" i="2"/>
  <c r="N72" i="2"/>
  <c r="N56" i="2"/>
  <c r="N411" i="2"/>
  <c r="N395" i="2"/>
  <c r="N379" i="2"/>
  <c r="N363" i="2"/>
  <c r="N347" i="2"/>
  <c r="N331" i="2"/>
  <c r="N315" i="2"/>
  <c r="N299" i="2"/>
  <c r="N283" i="2"/>
  <c r="N267" i="2"/>
  <c r="N251" i="2"/>
  <c r="N235" i="2"/>
  <c r="N219" i="2"/>
  <c r="N203" i="2"/>
  <c r="N853" i="2"/>
  <c r="N837" i="2"/>
  <c r="N821" i="2"/>
  <c r="N805" i="2"/>
  <c r="N789" i="2"/>
  <c r="N773" i="2"/>
  <c r="N757" i="2"/>
  <c r="N741" i="2"/>
  <c r="N725" i="2"/>
  <c r="N709" i="2"/>
  <c r="N693" i="2"/>
  <c r="N673" i="2"/>
  <c r="N652" i="2"/>
  <c r="N631" i="2"/>
  <c r="N609" i="2"/>
  <c r="N588" i="2"/>
  <c r="N567" i="2"/>
  <c r="N524" i="2"/>
  <c r="N503" i="2"/>
  <c r="N460" i="2"/>
  <c r="N439" i="2"/>
  <c r="N1046" i="2"/>
  <c r="N1025" i="2"/>
  <c r="N961" i="2"/>
  <c r="N1302" i="2"/>
  <c r="N1238" i="2"/>
  <c r="N1174" i="2"/>
  <c r="N1110" i="2"/>
  <c r="N1465" i="2"/>
  <c r="N2154" i="2"/>
  <c r="N1878" i="2"/>
  <c r="L2217" i="2"/>
  <c r="N2217" i="2"/>
  <c r="L2213" i="2"/>
  <c r="N2213" i="2"/>
  <c r="L2209" i="2"/>
  <c r="N2209" i="2"/>
  <c r="L2205" i="2"/>
  <c r="N2205" i="2"/>
  <c r="L2201" i="2"/>
  <c r="N2201" i="2"/>
  <c r="L2197" i="2"/>
  <c r="N2197" i="2"/>
  <c r="L2193" i="2"/>
  <c r="N2193" i="2"/>
  <c r="L2267" i="2"/>
  <c r="N2267" i="2"/>
  <c r="L2263" i="2"/>
  <c r="N2263" i="2"/>
  <c r="L2315" i="2"/>
  <c r="N2315" i="2"/>
  <c r="L2311" i="2"/>
  <c r="N2311" i="2"/>
  <c r="L2307" i="2"/>
  <c r="N2307" i="2"/>
  <c r="L2303" i="2"/>
  <c r="N2303" i="2"/>
  <c r="L2299" i="2"/>
  <c r="N2299" i="2"/>
  <c r="L2291" i="2"/>
  <c r="N2291" i="2"/>
  <c r="L2287" i="2"/>
  <c r="N2287" i="2"/>
  <c r="L2283" i="2"/>
  <c r="N2283" i="2"/>
  <c r="L2279" i="2"/>
  <c r="N2279" i="2"/>
  <c r="L2275" i="2"/>
  <c r="N2275" i="2"/>
  <c r="L2271" i="2"/>
  <c r="N2271" i="2"/>
  <c r="L2373" i="2"/>
  <c r="N2373" i="2"/>
  <c r="L2369" i="2"/>
  <c r="N2369" i="2"/>
  <c r="L2361" i="2"/>
  <c r="N2361" i="2"/>
  <c r="L2357" i="2"/>
  <c r="N2357" i="2"/>
  <c r="L2353" i="2"/>
  <c r="N2353" i="2"/>
  <c r="L2349" i="2"/>
  <c r="N2349" i="2"/>
  <c r="L2345" i="2"/>
  <c r="N2345" i="2"/>
  <c r="L2341" i="2"/>
  <c r="N2341" i="2"/>
  <c r="L2337" i="2"/>
  <c r="N2337" i="2"/>
  <c r="L2333" i="2"/>
  <c r="N2333" i="2"/>
  <c r="L2329" i="2"/>
  <c r="N2329" i="2"/>
  <c r="L2325" i="2"/>
  <c r="N2325" i="2"/>
  <c r="L2321" i="2"/>
  <c r="N2321" i="2"/>
  <c r="L2317" i="2"/>
  <c r="N2317" i="2"/>
  <c r="L2390" i="2"/>
  <c r="N2390" i="2"/>
  <c r="L2386" i="2"/>
  <c r="N2386" i="2"/>
  <c r="L2382" i="2"/>
  <c r="N2382" i="2"/>
  <c r="L2415" i="2"/>
  <c r="N2415" i="2"/>
  <c r="L2411" i="2"/>
  <c r="N2411" i="2"/>
  <c r="L2407" i="2"/>
  <c r="N2407" i="2"/>
  <c r="L2403" i="2"/>
  <c r="N2403" i="2"/>
  <c r="L2399" i="2"/>
  <c r="N2399" i="2"/>
  <c r="L2395" i="2"/>
  <c r="N2395" i="2"/>
  <c r="L2436" i="2"/>
  <c r="N2436" i="2"/>
  <c r="L2432" i="2"/>
  <c r="N2432" i="2"/>
  <c r="L2424" i="2"/>
  <c r="N2424" i="2"/>
  <c r="L2420" i="2"/>
  <c r="N2420" i="2"/>
  <c r="L2459" i="2"/>
  <c r="N2459" i="2"/>
  <c r="L2455" i="2"/>
  <c r="N2455" i="2"/>
  <c r="L2447" i="2"/>
  <c r="N2447" i="2"/>
  <c r="L2439" i="2"/>
  <c r="N2439" i="2"/>
  <c r="L2854" i="2"/>
  <c r="N2854" i="2"/>
  <c r="L2850" i="2"/>
  <c r="N2850" i="2"/>
  <c r="L2846" i="2"/>
  <c r="N2846" i="2"/>
  <c r="L2842" i="2"/>
  <c r="N2842" i="2"/>
  <c r="L2838" i="2"/>
  <c r="N2838" i="2"/>
  <c r="L2834" i="2"/>
  <c r="N2834" i="2"/>
  <c r="L2830" i="2"/>
  <c r="N2830" i="2"/>
  <c r="L2826" i="2"/>
  <c r="N2826" i="2"/>
  <c r="L2822" i="2"/>
  <c r="N2822" i="2"/>
  <c r="L2818" i="2"/>
  <c r="N2818" i="2"/>
  <c r="L2814" i="2"/>
  <c r="N2814" i="2"/>
  <c r="L2810" i="2"/>
  <c r="N2810" i="2"/>
  <c r="L2806" i="2"/>
  <c r="N2806" i="2"/>
  <c r="L2802" i="2"/>
  <c r="N2802" i="2"/>
  <c r="L2798" i="2"/>
  <c r="N2798" i="2"/>
  <c r="L2794" i="2"/>
  <c r="N2794" i="2"/>
  <c r="L2790" i="2"/>
  <c r="N2790" i="2"/>
  <c r="L2778" i="2"/>
  <c r="N2778" i="2"/>
  <c r="L2774" i="2"/>
  <c r="N2774" i="2"/>
  <c r="L2770" i="2"/>
  <c r="N2770" i="2"/>
  <c r="L2766" i="2"/>
  <c r="N2766" i="2"/>
  <c r="L2762" i="2"/>
  <c r="N2762" i="2"/>
  <c r="L2758" i="2"/>
  <c r="N2758" i="2"/>
  <c r="L2746" i="2"/>
  <c r="N2746" i="2"/>
  <c r="L2742" i="2"/>
  <c r="N2742" i="2"/>
  <c r="L2738" i="2"/>
  <c r="N2738" i="2"/>
  <c r="L2734" i="2"/>
  <c r="N2734" i="2"/>
  <c r="L2730" i="2"/>
  <c r="N2730" i="2"/>
  <c r="L2726" i="2"/>
  <c r="N2726" i="2"/>
  <c r="L2722" i="2"/>
  <c r="N2722" i="2"/>
  <c r="L2718" i="2"/>
  <c r="N2718" i="2"/>
  <c r="L2714" i="2"/>
  <c r="N2714" i="2"/>
  <c r="L2710" i="2"/>
  <c r="N2710" i="2"/>
  <c r="L2706" i="2"/>
  <c r="N2706" i="2"/>
  <c r="L2698" i="2"/>
  <c r="N2698" i="2"/>
  <c r="L2694" i="2"/>
  <c r="N2694" i="2"/>
  <c r="L2686" i="2"/>
  <c r="N2686" i="2"/>
  <c r="L2682" i="2"/>
  <c r="N2682" i="2"/>
  <c r="L2678" i="2"/>
  <c r="N2678" i="2"/>
  <c r="L2674" i="2"/>
  <c r="N2674" i="2"/>
  <c r="L2670" i="2"/>
  <c r="N2670" i="2"/>
  <c r="L2666" i="2"/>
  <c r="N2666" i="2"/>
  <c r="L2662" i="2"/>
  <c r="N2662" i="2"/>
  <c r="L2654" i="2"/>
  <c r="N2654" i="2"/>
  <c r="L2650" i="2"/>
  <c r="N2650" i="2"/>
  <c r="L2646" i="2"/>
  <c r="N2646" i="2"/>
  <c r="L2642" i="2"/>
  <c r="N2642" i="2"/>
  <c r="L2638" i="2"/>
  <c r="N2638" i="2"/>
  <c r="L2634" i="2"/>
  <c r="N2634" i="2"/>
  <c r="L2630" i="2"/>
  <c r="N2630" i="2"/>
  <c r="L2626" i="2"/>
  <c r="N2626" i="2"/>
  <c r="L2622" i="2"/>
  <c r="N2622" i="2"/>
  <c r="L2618" i="2"/>
  <c r="N2618" i="2"/>
  <c r="L2614" i="2"/>
  <c r="N2614" i="2"/>
  <c r="L2610" i="2"/>
  <c r="N2610" i="2"/>
  <c r="L2606" i="2"/>
  <c r="N2606" i="2"/>
  <c r="L2598" i="2"/>
  <c r="N2598" i="2"/>
  <c r="L2594" i="2"/>
  <c r="N2594" i="2"/>
  <c r="L2590" i="2"/>
  <c r="N2590" i="2"/>
  <c r="L2582" i="2"/>
  <c r="N2582" i="2"/>
  <c r="L2574" i="2"/>
  <c r="N2574" i="2"/>
  <c r="L2570" i="2"/>
  <c r="N2570" i="2"/>
  <c r="L2566" i="2"/>
  <c r="N2566" i="2"/>
  <c r="L2562" i="2"/>
  <c r="N2562" i="2"/>
  <c r="L2558" i="2"/>
  <c r="N2558" i="2"/>
  <c r="L2546" i="2"/>
  <c r="N2546" i="2"/>
  <c r="L2542" i="2"/>
  <c r="N2542" i="2"/>
  <c r="L2538" i="2"/>
  <c r="N2538" i="2"/>
  <c r="L2534" i="2"/>
  <c r="N2534" i="2"/>
  <c r="L2530" i="2"/>
  <c r="N2530" i="2"/>
  <c r="L2526" i="2"/>
  <c r="N2526" i="2"/>
  <c r="L2522" i="2"/>
  <c r="N2522" i="2"/>
  <c r="L2518" i="2"/>
  <c r="N2518" i="2"/>
  <c r="L2514" i="2"/>
  <c r="N2514" i="2"/>
  <c r="L2506" i="2"/>
  <c r="N2506" i="2"/>
  <c r="L2502" i="2"/>
  <c r="N2502" i="2"/>
  <c r="L2498" i="2"/>
  <c r="N2498" i="2"/>
  <c r="L2494" i="2"/>
  <c r="N2494" i="2"/>
  <c r="L2490" i="2"/>
  <c r="N2490" i="2"/>
  <c r="L2486" i="2"/>
  <c r="N2486" i="2"/>
  <c r="L2482" i="2"/>
  <c r="N2482" i="2"/>
  <c r="L2474" i="2"/>
  <c r="N2474" i="2"/>
  <c r="L2470" i="2"/>
  <c r="N2470" i="2"/>
  <c r="L2883" i="2"/>
  <c r="N2883" i="2"/>
  <c r="L2879" i="2"/>
  <c r="N2879" i="2"/>
  <c r="L2867" i="2"/>
  <c r="N2867" i="2"/>
  <c r="L2863" i="2"/>
  <c r="N2863" i="2"/>
  <c r="L2859" i="2"/>
  <c r="N2859" i="2"/>
  <c r="L2886" i="2"/>
  <c r="N2886" i="2"/>
  <c r="L2975" i="2"/>
  <c r="N2975" i="2"/>
  <c r="L2971" i="2"/>
  <c r="N2971" i="2"/>
  <c r="L2967" i="2"/>
  <c r="N2967" i="2"/>
  <c r="L2963" i="2"/>
  <c r="N2963" i="2"/>
  <c r="L2959" i="2"/>
  <c r="N2959" i="2"/>
  <c r="L2955" i="2"/>
  <c r="N2955" i="2"/>
  <c r="L2951" i="2"/>
  <c r="N2951" i="2"/>
  <c r="L2947" i="2"/>
  <c r="N2947" i="2"/>
  <c r="L2943" i="2"/>
  <c r="N2943" i="2"/>
  <c r="L2939" i="2"/>
  <c r="N2939" i="2"/>
  <c r="L2935" i="2"/>
  <c r="N2935" i="2"/>
  <c r="L2931" i="2"/>
  <c r="N2931" i="2"/>
  <c r="L2927" i="2"/>
  <c r="N2927" i="2"/>
  <c r="L2923" i="2"/>
  <c r="N2923" i="2"/>
  <c r="L2919" i="2"/>
  <c r="N2919" i="2"/>
  <c r="L2915" i="2"/>
  <c r="N2915" i="2"/>
  <c r="L2911" i="2"/>
  <c r="N2911" i="2"/>
  <c r="L2907" i="2"/>
  <c r="N2907" i="2"/>
  <c r="L2903" i="2"/>
  <c r="N2903" i="2"/>
  <c r="L2899" i="2"/>
  <c r="N2899" i="2"/>
  <c r="L2895" i="2"/>
  <c r="N2895" i="2"/>
  <c r="L2891" i="2"/>
  <c r="N2891" i="2"/>
  <c r="N2138" i="2"/>
  <c r="N2231" i="2"/>
  <c r="L2103" i="2"/>
  <c r="N2103" i="2"/>
  <c r="L2139" i="2"/>
  <c r="N2139" i="2"/>
  <c r="L2135" i="2"/>
  <c r="N2135" i="2"/>
  <c r="L2131" i="2"/>
  <c r="N2131" i="2"/>
  <c r="L2127" i="2"/>
  <c r="N2127" i="2"/>
  <c r="L2123" i="2"/>
  <c r="N2123" i="2"/>
  <c r="L2151" i="2"/>
  <c r="N2151" i="2"/>
  <c r="L2147" i="2"/>
  <c r="N2147" i="2"/>
  <c r="L2143" i="2"/>
  <c r="N2143" i="2"/>
  <c r="L2172" i="2"/>
  <c r="N2172" i="2"/>
  <c r="L2168" i="2"/>
  <c r="N2168" i="2"/>
  <c r="L2164" i="2"/>
  <c r="N2164" i="2"/>
  <c r="L2160" i="2"/>
  <c r="N2160" i="2"/>
  <c r="L2192" i="2"/>
  <c r="N2192" i="2"/>
  <c r="L2188" i="2"/>
  <c r="N2188" i="2"/>
  <c r="L2184" i="2"/>
  <c r="N2184" i="2"/>
  <c r="L2180" i="2"/>
  <c r="N2180" i="2"/>
  <c r="L2176" i="2"/>
  <c r="N2176" i="2"/>
  <c r="L2260" i="2"/>
  <c r="N2260" i="2"/>
  <c r="L2256" i="2"/>
  <c r="N2256" i="2"/>
  <c r="L2248" i="2"/>
  <c r="N2248" i="2"/>
  <c r="L2244" i="2"/>
  <c r="N2244" i="2"/>
  <c r="L2240" i="2"/>
  <c r="N2240" i="2"/>
  <c r="L2236" i="2"/>
  <c r="N2236" i="2"/>
  <c r="L2232" i="2"/>
  <c r="N2232" i="2"/>
  <c r="L2228" i="2"/>
  <c r="N2228" i="2"/>
  <c r="L2224" i="2"/>
  <c r="N2224" i="2"/>
  <c r="L2220" i="2"/>
  <c r="N2220" i="2"/>
  <c r="L2216" i="2"/>
  <c r="N2216" i="2"/>
  <c r="L2212" i="2"/>
  <c r="N2212" i="2"/>
  <c r="L2208" i="2"/>
  <c r="N2208" i="2"/>
  <c r="L2204" i="2"/>
  <c r="N2204" i="2"/>
  <c r="L2200" i="2"/>
  <c r="N2200" i="2"/>
  <c r="L2196" i="2"/>
  <c r="N2196" i="2"/>
  <c r="L2270" i="2"/>
  <c r="N2270" i="2"/>
  <c r="L2266" i="2"/>
  <c r="N2266" i="2"/>
  <c r="L2262" i="2"/>
  <c r="N2262" i="2"/>
  <c r="L2314" i="2"/>
  <c r="N2314" i="2"/>
  <c r="L2310" i="2"/>
  <c r="N2310" i="2"/>
  <c r="L2306" i="2"/>
  <c r="N2306" i="2"/>
  <c r="L2302" i="2"/>
  <c r="N2302" i="2"/>
  <c r="L2298" i="2"/>
  <c r="N2298" i="2"/>
  <c r="L2294" i="2"/>
  <c r="N2294" i="2"/>
  <c r="L2290" i="2"/>
  <c r="N2290" i="2"/>
  <c r="L2286" i="2"/>
  <c r="N2286" i="2"/>
  <c r="L2282" i="2"/>
  <c r="N2282" i="2"/>
  <c r="L2278" i="2"/>
  <c r="N2278" i="2"/>
  <c r="L2274" i="2"/>
  <c r="N2274" i="2"/>
  <c r="L2380" i="2"/>
  <c r="N2380" i="2"/>
  <c r="L2376" i="2"/>
  <c r="N2376" i="2"/>
  <c r="L2372" i="2"/>
  <c r="N2372" i="2"/>
  <c r="L2368" i="2"/>
  <c r="N2368" i="2"/>
  <c r="L2364" i="2"/>
  <c r="N2364" i="2"/>
  <c r="L2360" i="2"/>
  <c r="N2360" i="2"/>
  <c r="L2352" i="2"/>
  <c r="N2352" i="2"/>
  <c r="L2348" i="2"/>
  <c r="N2348" i="2"/>
  <c r="L2344" i="2"/>
  <c r="N2344" i="2"/>
  <c r="L2340" i="2"/>
  <c r="N2340" i="2"/>
  <c r="L2336" i="2"/>
  <c r="N2336" i="2"/>
  <c r="L2332" i="2"/>
  <c r="N2332" i="2"/>
  <c r="L2328" i="2"/>
  <c r="N2328" i="2"/>
  <c r="L2324" i="2"/>
  <c r="N2324" i="2"/>
  <c r="L2320" i="2"/>
  <c r="N2320" i="2"/>
  <c r="L2393" i="2"/>
  <c r="N2393" i="2"/>
  <c r="L2389" i="2"/>
  <c r="N2389" i="2"/>
  <c r="L2385" i="2"/>
  <c r="N2385" i="2"/>
  <c r="L2381" i="2"/>
  <c r="N2381" i="2"/>
  <c r="L2414" i="2"/>
  <c r="N2414" i="2"/>
  <c r="L2410" i="2"/>
  <c r="N2410" i="2"/>
  <c r="L2406" i="2"/>
  <c r="N2406" i="2"/>
  <c r="L2398" i="2"/>
  <c r="N2398" i="2"/>
  <c r="L2394" i="2"/>
  <c r="N2394" i="2"/>
  <c r="L2435" i="2"/>
  <c r="N2435" i="2"/>
  <c r="L2431" i="2"/>
  <c r="N2431" i="2"/>
  <c r="L2427" i="2"/>
  <c r="N2427" i="2"/>
  <c r="L2423" i="2"/>
  <c r="N2423" i="2"/>
  <c r="L2458" i="2"/>
  <c r="N2458" i="2"/>
  <c r="L2454" i="2"/>
  <c r="N2454" i="2"/>
  <c r="L2442" i="2"/>
  <c r="N2442" i="2"/>
  <c r="L2857" i="2"/>
  <c r="N2857" i="2"/>
  <c r="L2853" i="2"/>
  <c r="N2853" i="2"/>
  <c r="L2849" i="2"/>
  <c r="N2849" i="2"/>
  <c r="L2845" i="2"/>
  <c r="N2845" i="2"/>
  <c r="L2841" i="2"/>
  <c r="N2841" i="2"/>
  <c r="L2837" i="2"/>
  <c r="N2837" i="2"/>
  <c r="L2833" i="2"/>
  <c r="N2833" i="2"/>
  <c r="L2829" i="2"/>
  <c r="N2829" i="2"/>
  <c r="L2825" i="2"/>
  <c r="N2825" i="2"/>
  <c r="L2821" i="2"/>
  <c r="N2821" i="2"/>
  <c r="L2817" i="2"/>
  <c r="N2817" i="2"/>
  <c r="L2813" i="2"/>
  <c r="N2813" i="2"/>
  <c r="L2809" i="2"/>
  <c r="N2809" i="2"/>
  <c r="L2805" i="2"/>
  <c r="N2805" i="2"/>
  <c r="L2801" i="2"/>
  <c r="N2801" i="2"/>
  <c r="L2797" i="2"/>
  <c r="N2797" i="2"/>
  <c r="L2793" i="2"/>
  <c r="N2793" i="2"/>
  <c r="L2789" i="2"/>
  <c r="N2789" i="2"/>
  <c r="L2785" i="2"/>
  <c r="N2785" i="2"/>
  <c r="L2777" i="2"/>
  <c r="N2777" i="2"/>
  <c r="L2773" i="2"/>
  <c r="N2773" i="2"/>
  <c r="L2769" i="2"/>
  <c r="N2769" i="2"/>
  <c r="L2765" i="2"/>
  <c r="N2765" i="2"/>
  <c r="L2761" i="2"/>
  <c r="N2761" i="2"/>
  <c r="L2757" i="2"/>
  <c r="N2757" i="2"/>
  <c r="L2749" i="2"/>
  <c r="N2749" i="2"/>
  <c r="L2741" i="2"/>
  <c r="N2741" i="2"/>
  <c r="L2737" i="2"/>
  <c r="N2737" i="2"/>
  <c r="L2733" i="2"/>
  <c r="N2733" i="2"/>
  <c r="L2729" i="2"/>
  <c r="N2729" i="2"/>
  <c r="L2725" i="2"/>
  <c r="N2725" i="2"/>
  <c r="L2721" i="2"/>
  <c r="N2721" i="2"/>
  <c r="L2717" i="2"/>
  <c r="N2717" i="2"/>
  <c r="L2713" i="2"/>
  <c r="N2713" i="2"/>
  <c r="L2709" i="2"/>
  <c r="N2709" i="2"/>
  <c r="L2705" i="2"/>
  <c r="N2705" i="2"/>
  <c r="L2701" i="2"/>
  <c r="N2701" i="2"/>
  <c r="L2693" i="2"/>
  <c r="N2693" i="2"/>
  <c r="L2681" i="2"/>
  <c r="N2681" i="2"/>
  <c r="L2677" i="2"/>
  <c r="N2677" i="2"/>
  <c r="L2673" i="2"/>
  <c r="N2673" i="2"/>
  <c r="L2669" i="2"/>
  <c r="N2669" i="2"/>
  <c r="L2665" i="2"/>
  <c r="N2665" i="2"/>
  <c r="L2661" i="2"/>
  <c r="N2661" i="2"/>
  <c r="L2657" i="2"/>
  <c r="N2657" i="2"/>
  <c r="L2653" i="2"/>
  <c r="N2653" i="2"/>
  <c r="L2649" i="2"/>
  <c r="N2649" i="2"/>
  <c r="L2645" i="2"/>
  <c r="N2645" i="2"/>
  <c r="L2641" i="2"/>
  <c r="N2641" i="2"/>
  <c r="L2637" i="2"/>
  <c r="N2637" i="2"/>
  <c r="L2633" i="2"/>
  <c r="N2633" i="2"/>
  <c r="L2629" i="2"/>
  <c r="N2629" i="2"/>
  <c r="L2625" i="2"/>
  <c r="N2625" i="2"/>
  <c r="L2621" i="2"/>
  <c r="N2621" i="2"/>
  <c r="L2617" i="2"/>
  <c r="N2617" i="2"/>
  <c r="L2613" i="2"/>
  <c r="N2613" i="2"/>
  <c r="L2609" i="2"/>
  <c r="N2609" i="2"/>
  <c r="L2605" i="2"/>
  <c r="N2605" i="2"/>
  <c r="L2601" i="2"/>
  <c r="N2601" i="2"/>
  <c r="L2597" i="2"/>
  <c r="N2597" i="2"/>
  <c r="L2593" i="2"/>
  <c r="N2593" i="2"/>
  <c r="L2589" i="2"/>
  <c r="N2589" i="2"/>
  <c r="L2585" i="2"/>
  <c r="N2585" i="2"/>
  <c r="L2581" i="2"/>
  <c r="N2581" i="2"/>
  <c r="L2573" i="2"/>
  <c r="N2573" i="2"/>
  <c r="L2569" i="2"/>
  <c r="N2569" i="2"/>
  <c r="L2565" i="2"/>
  <c r="N2565" i="2"/>
  <c r="L2561" i="2"/>
  <c r="N2561" i="2"/>
  <c r="L2557" i="2"/>
  <c r="N2557" i="2"/>
  <c r="L2545" i="2"/>
  <c r="N2545" i="2"/>
  <c r="L2541" i="2"/>
  <c r="N2541" i="2"/>
  <c r="L2537" i="2"/>
  <c r="N2537" i="2"/>
  <c r="L2533" i="2"/>
  <c r="N2533" i="2"/>
  <c r="L2529" i="2"/>
  <c r="N2529" i="2"/>
  <c r="L2525" i="2"/>
  <c r="N2525" i="2"/>
  <c r="L2521" i="2"/>
  <c r="N2521" i="2"/>
  <c r="L2517" i="2"/>
  <c r="N2517" i="2"/>
  <c r="L2513" i="2"/>
  <c r="N2513" i="2"/>
  <c r="L2509" i="2"/>
  <c r="N2509" i="2"/>
  <c r="L2505" i="2"/>
  <c r="N2505" i="2"/>
  <c r="L2501" i="2"/>
  <c r="N2501" i="2"/>
  <c r="L2497" i="2"/>
  <c r="N2497" i="2"/>
  <c r="L2493" i="2"/>
  <c r="N2493" i="2"/>
  <c r="L2489" i="2"/>
  <c r="N2489" i="2"/>
  <c r="L2485" i="2"/>
  <c r="N2485" i="2"/>
  <c r="L2481" i="2"/>
  <c r="N2481" i="2"/>
  <c r="L2477" i="2"/>
  <c r="N2477" i="2"/>
  <c r="L2473" i="2"/>
  <c r="N2473" i="2"/>
  <c r="L2882" i="2"/>
  <c r="N2882" i="2"/>
  <c r="L2878" i="2"/>
  <c r="N2878" i="2"/>
  <c r="L2866" i="2"/>
  <c r="N2866" i="2"/>
  <c r="L2862" i="2"/>
  <c r="N2862" i="2"/>
  <c r="L2858" i="2"/>
  <c r="N2858" i="2"/>
  <c r="L2978" i="2"/>
  <c r="N2978" i="2"/>
  <c r="L2974" i="2"/>
  <c r="N2974" i="2"/>
  <c r="L2970" i="2"/>
  <c r="N2970" i="2"/>
  <c r="L2966" i="2"/>
  <c r="N2966" i="2"/>
  <c r="L2962" i="2"/>
  <c r="N2962" i="2"/>
  <c r="L2958" i="2"/>
  <c r="N2958" i="2"/>
  <c r="L2954" i="2"/>
  <c r="N2954" i="2"/>
  <c r="L2950" i="2"/>
  <c r="N2950" i="2"/>
  <c r="L2946" i="2"/>
  <c r="N2946" i="2"/>
  <c r="L2942" i="2"/>
  <c r="N2942" i="2"/>
  <c r="L2938" i="2"/>
  <c r="N2938" i="2"/>
  <c r="L2934" i="2"/>
  <c r="N2934" i="2"/>
  <c r="L2930" i="2"/>
  <c r="N2930" i="2"/>
  <c r="L2926" i="2"/>
  <c r="N2926" i="2"/>
  <c r="L2922" i="2"/>
  <c r="N2922" i="2"/>
  <c r="L2918" i="2"/>
  <c r="N2918" i="2"/>
  <c r="L2914" i="2"/>
  <c r="N2914" i="2"/>
  <c r="L2910" i="2"/>
  <c r="N2910" i="2"/>
  <c r="L2906" i="2"/>
  <c r="N2906" i="2"/>
  <c r="L2902" i="2"/>
  <c r="N2902" i="2"/>
  <c r="L2898" i="2"/>
  <c r="N2898" i="2"/>
  <c r="L2894" i="2"/>
  <c r="N2894" i="2"/>
  <c r="L2890" i="2"/>
  <c r="N2890" i="2"/>
  <c r="N2122" i="2"/>
  <c r="N2356" i="2"/>
  <c r="L2031" i="2"/>
  <c r="N2031" i="2"/>
  <c r="L2027" i="2"/>
  <c r="N2027" i="2"/>
  <c r="L2023" i="2"/>
  <c r="N2023" i="2"/>
  <c r="L2019" i="2"/>
  <c r="N2019" i="2"/>
  <c r="L2015" i="2"/>
  <c r="N2015" i="2"/>
  <c r="L2011" i="2"/>
  <c r="N2011" i="2"/>
  <c r="L2007" i="2"/>
  <c r="N2007" i="2"/>
  <c r="L2003" i="2"/>
  <c r="N2003" i="2"/>
  <c r="L1999" i="2"/>
  <c r="N1999" i="2"/>
  <c r="L1991" i="2"/>
  <c r="N1991" i="2"/>
  <c r="L1987" i="2"/>
  <c r="N1987" i="2"/>
  <c r="L1983" i="2"/>
  <c r="N1983" i="2"/>
  <c r="L1975" i="2"/>
  <c r="N1975" i="2"/>
  <c r="L1971" i="2"/>
  <c r="N1971" i="2"/>
  <c r="L1967" i="2"/>
  <c r="N1967" i="2"/>
  <c r="L1963" i="2"/>
  <c r="N1963" i="2"/>
  <c r="L1955" i="2"/>
  <c r="N1955" i="2"/>
  <c r="L1951" i="2"/>
  <c r="N1951" i="2"/>
  <c r="L2118" i="2"/>
  <c r="N2118" i="2"/>
  <c r="L2114" i="2"/>
  <c r="N2114" i="2"/>
  <c r="L2110" i="2"/>
  <c r="N2110" i="2"/>
  <c r="L2102" i="2"/>
  <c r="N2102" i="2"/>
  <c r="L2134" i="2"/>
  <c r="N2134" i="2"/>
  <c r="L2130" i="2"/>
  <c r="N2130" i="2"/>
  <c r="L2126" i="2"/>
  <c r="N2126" i="2"/>
  <c r="L2150" i="2"/>
  <c r="N2150" i="2"/>
  <c r="L2146" i="2"/>
  <c r="N2146" i="2"/>
  <c r="L2142" i="2"/>
  <c r="N2142" i="2"/>
  <c r="L2171" i="2"/>
  <c r="N2171" i="2"/>
  <c r="L2167" i="2"/>
  <c r="N2167" i="2"/>
  <c r="L2163" i="2"/>
  <c r="N2163" i="2"/>
  <c r="L2159" i="2"/>
  <c r="N2159" i="2"/>
  <c r="L2155" i="2"/>
  <c r="N2155" i="2"/>
  <c r="L2191" i="2"/>
  <c r="N2191" i="2"/>
  <c r="L2187" i="2"/>
  <c r="N2187" i="2"/>
  <c r="L2183" i="2"/>
  <c r="N2183" i="2"/>
  <c r="L2179" i="2"/>
  <c r="N2179" i="2"/>
  <c r="L2175" i="2"/>
  <c r="N2175" i="2"/>
  <c r="L2259" i="2"/>
  <c r="N2259" i="2"/>
  <c r="L2255" i="2"/>
  <c r="N2255" i="2"/>
  <c r="L2251" i="2"/>
  <c r="N2251" i="2"/>
  <c r="L2247" i="2"/>
  <c r="N2247" i="2"/>
  <c r="L2243" i="2"/>
  <c r="N2243" i="2"/>
  <c r="L2239" i="2"/>
  <c r="N2239" i="2"/>
  <c r="L2235" i="2"/>
  <c r="N2235" i="2"/>
  <c r="L2227" i="2"/>
  <c r="N2227" i="2"/>
  <c r="L2223" i="2"/>
  <c r="N2223" i="2"/>
  <c r="L2219" i="2"/>
  <c r="N2219" i="2"/>
  <c r="L2215" i="2"/>
  <c r="N2215" i="2"/>
  <c r="L2211" i="2"/>
  <c r="N2211" i="2"/>
  <c r="L2207" i="2"/>
  <c r="N2207" i="2"/>
  <c r="L2203" i="2"/>
  <c r="N2203" i="2"/>
  <c r="L2199" i="2"/>
  <c r="N2199" i="2"/>
  <c r="L2195" i="2"/>
  <c r="N2195" i="2"/>
  <c r="L2269" i="2"/>
  <c r="N2269" i="2"/>
  <c r="L2265" i="2"/>
  <c r="N2265" i="2"/>
  <c r="L2261" i="2"/>
  <c r="N2261" i="2"/>
  <c r="L2313" i="2"/>
  <c r="N2313" i="2"/>
  <c r="L2309" i="2"/>
  <c r="N2309" i="2"/>
  <c r="L2305" i="2"/>
  <c r="N2305" i="2"/>
  <c r="L2301" i="2"/>
  <c r="N2301" i="2"/>
  <c r="L2297" i="2"/>
  <c r="N2297" i="2"/>
  <c r="L2293" i="2"/>
  <c r="N2293" i="2"/>
  <c r="L2289" i="2"/>
  <c r="N2289" i="2"/>
  <c r="L2285" i="2"/>
  <c r="N2285" i="2"/>
  <c r="L2281" i="2"/>
  <c r="N2281" i="2"/>
  <c r="L2277" i="2"/>
  <c r="N2277" i="2"/>
  <c r="L2273" i="2"/>
  <c r="N2273" i="2"/>
  <c r="L2379" i="2"/>
  <c r="N2379" i="2"/>
  <c r="L2371" i="2"/>
  <c r="N2371" i="2"/>
  <c r="L2367" i="2"/>
  <c r="N2367" i="2"/>
  <c r="L2363" i="2"/>
  <c r="N2363" i="2"/>
  <c r="L2359" i="2"/>
  <c r="N2359" i="2"/>
  <c r="L2355" i="2"/>
  <c r="N2355" i="2"/>
  <c r="L2351" i="2"/>
  <c r="N2351" i="2"/>
  <c r="L2347" i="2"/>
  <c r="N2347" i="2"/>
  <c r="L2343" i="2"/>
  <c r="N2343" i="2"/>
  <c r="L2339" i="2"/>
  <c r="N2339" i="2"/>
  <c r="L2335" i="2"/>
  <c r="N2335" i="2"/>
  <c r="L2331" i="2"/>
  <c r="N2331" i="2"/>
  <c r="L2327" i="2"/>
  <c r="N2327" i="2"/>
  <c r="L2323" i="2"/>
  <c r="N2323" i="2"/>
  <c r="L2319" i="2"/>
  <c r="N2319" i="2"/>
  <c r="L2392" i="2"/>
  <c r="N2392" i="2"/>
  <c r="L2388" i="2"/>
  <c r="N2388" i="2"/>
  <c r="L2384" i="2"/>
  <c r="N2384" i="2"/>
  <c r="L2413" i="2"/>
  <c r="N2413" i="2"/>
  <c r="L2409" i="2"/>
  <c r="N2409" i="2"/>
  <c r="L2405" i="2"/>
  <c r="N2405" i="2"/>
  <c r="L2401" i="2"/>
  <c r="N2401" i="2"/>
  <c r="L2397" i="2"/>
  <c r="N2397" i="2"/>
  <c r="L2438" i="2"/>
  <c r="N2438" i="2"/>
  <c r="L2434" i="2"/>
  <c r="N2434" i="2"/>
  <c r="L2426" i="2"/>
  <c r="N2426" i="2"/>
  <c r="L2422" i="2"/>
  <c r="N2422" i="2"/>
  <c r="L2418" i="2"/>
  <c r="N2418" i="2"/>
  <c r="L2461" i="2"/>
  <c r="N2461" i="2"/>
  <c r="L2457" i="2"/>
  <c r="N2457" i="2"/>
  <c r="L2453" i="2"/>
  <c r="N2453" i="2"/>
  <c r="L2449" i="2"/>
  <c r="N2449" i="2"/>
  <c r="L2445" i="2"/>
  <c r="N2445" i="2"/>
  <c r="L2441" i="2"/>
  <c r="N2441" i="2"/>
  <c r="L2856" i="2"/>
  <c r="N2856" i="2"/>
  <c r="L2852" i="2"/>
  <c r="N2852" i="2"/>
  <c r="L2848" i="2"/>
  <c r="N2848" i="2"/>
  <c r="L2844" i="2"/>
  <c r="N2844" i="2"/>
  <c r="L2840" i="2"/>
  <c r="N2840" i="2"/>
  <c r="L2836" i="2"/>
  <c r="N2836" i="2"/>
  <c r="L2832" i="2"/>
  <c r="N2832" i="2"/>
  <c r="L2828" i="2"/>
  <c r="N2828" i="2"/>
  <c r="L2824" i="2"/>
  <c r="N2824" i="2"/>
  <c r="L2820" i="2"/>
  <c r="N2820" i="2"/>
  <c r="L2816" i="2"/>
  <c r="N2816" i="2"/>
  <c r="L2812" i="2"/>
  <c r="N2812" i="2"/>
  <c r="L2808" i="2"/>
  <c r="N2808" i="2"/>
  <c r="L2804" i="2"/>
  <c r="N2804" i="2"/>
  <c r="L2800" i="2"/>
  <c r="N2800" i="2"/>
  <c r="L2796" i="2"/>
  <c r="N2796" i="2"/>
  <c r="L2792" i="2"/>
  <c r="N2792" i="2"/>
  <c r="L2788" i="2"/>
  <c r="N2788" i="2"/>
  <c r="L2780" i="2"/>
  <c r="N2780" i="2"/>
  <c r="L2776" i="2"/>
  <c r="N2776" i="2"/>
  <c r="L2772" i="2"/>
  <c r="N2772" i="2"/>
  <c r="L2768" i="2"/>
  <c r="N2768" i="2"/>
  <c r="L2760" i="2"/>
  <c r="N2760" i="2"/>
  <c r="L2748" i="2"/>
  <c r="N2748" i="2"/>
  <c r="L2740" i="2"/>
  <c r="N2740" i="2"/>
  <c r="L2732" i="2"/>
  <c r="N2732" i="2"/>
  <c r="L2728" i="2"/>
  <c r="N2728" i="2"/>
  <c r="L2724" i="2"/>
  <c r="N2724" i="2"/>
  <c r="L2720" i="2"/>
  <c r="N2720" i="2"/>
  <c r="L2716" i="2"/>
  <c r="N2716" i="2"/>
  <c r="L2708" i="2"/>
  <c r="N2708" i="2"/>
  <c r="L2704" i="2"/>
  <c r="N2704" i="2"/>
  <c r="L2696" i="2"/>
  <c r="N2696" i="2"/>
  <c r="L2692" i="2"/>
  <c r="N2692" i="2"/>
  <c r="L2680" i="2"/>
  <c r="N2680" i="2"/>
  <c r="L2676" i="2"/>
  <c r="N2676" i="2"/>
  <c r="L2672" i="2"/>
  <c r="N2672" i="2"/>
  <c r="L2668" i="2"/>
  <c r="N2668" i="2"/>
  <c r="L2664" i="2"/>
  <c r="N2664" i="2"/>
  <c r="L2660" i="2"/>
  <c r="N2660" i="2"/>
  <c r="L2656" i="2"/>
  <c r="N2656" i="2"/>
  <c r="L2652" i="2"/>
  <c r="N2652" i="2"/>
  <c r="L2648" i="2"/>
  <c r="N2648" i="2"/>
  <c r="L2644" i="2"/>
  <c r="N2644" i="2"/>
  <c r="L2640" i="2"/>
  <c r="N2640" i="2"/>
  <c r="L2636" i="2"/>
  <c r="N2636" i="2"/>
  <c r="L2632" i="2"/>
  <c r="N2632" i="2"/>
  <c r="L2628" i="2"/>
  <c r="N2628" i="2"/>
  <c r="L2620" i="2"/>
  <c r="N2620" i="2"/>
  <c r="L2616" i="2"/>
  <c r="N2616" i="2"/>
  <c r="L2612" i="2"/>
  <c r="N2612" i="2"/>
  <c r="L2608" i="2"/>
  <c r="N2608" i="2"/>
  <c r="L2600" i="2"/>
  <c r="N2600" i="2"/>
  <c r="L2596" i="2"/>
  <c r="N2596" i="2"/>
  <c r="L2592" i="2"/>
  <c r="N2592" i="2"/>
  <c r="L2588" i="2"/>
  <c r="N2588" i="2"/>
  <c r="L2584" i="2"/>
  <c r="N2584" i="2"/>
  <c r="L2580" i="2"/>
  <c r="N2580" i="2"/>
  <c r="L2572" i="2"/>
  <c r="N2572" i="2"/>
  <c r="L2568" i="2"/>
  <c r="N2568" i="2"/>
  <c r="L2564" i="2"/>
  <c r="N2564" i="2"/>
  <c r="L2560" i="2"/>
  <c r="N2560" i="2"/>
  <c r="L2556" i="2"/>
  <c r="N2556" i="2"/>
  <c r="L2552" i="2"/>
  <c r="N2552" i="2"/>
  <c r="L2548" i="2"/>
  <c r="N2548" i="2"/>
  <c r="L2544" i="2"/>
  <c r="N2544" i="2"/>
  <c r="L2540" i="2"/>
  <c r="N2540" i="2"/>
  <c r="L2536" i="2"/>
  <c r="N2536" i="2"/>
  <c r="L2528" i="2"/>
  <c r="N2528" i="2"/>
  <c r="L2524" i="2"/>
  <c r="N2524" i="2"/>
  <c r="L2520" i="2"/>
  <c r="N2520" i="2"/>
  <c r="L2516" i="2"/>
  <c r="N2516" i="2"/>
  <c r="L2512" i="2"/>
  <c r="N2512" i="2"/>
  <c r="L2508" i="2"/>
  <c r="N2508" i="2"/>
  <c r="L2504" i="2"/>
  <c r="N2504" i="2"/>
  <c r="L2500" i="2"/>
  <c r="N2500" i="2"/>
  <c r="L2496" i="2"/>
  <c r="N2496" i="2"/>
  <c r="L2488" i="2"/>
  <c r="N2488" i="2"/>
  <c r="L2484" i="2"/>
  <c r="N2484" i="2"/>
  <c r="L2480" i="2"/>
  <c r="N2480" i="2"/>
  <c r="L2476" i="2"/>
  <c r="N2476" i="2"/>
  <c r="L2885" i="2"/>
  <c r="N2885" i="2"/>
  <c r="L2881" i="2"/>
  <c r="N2881" i="2"/>
  <c r="L2877" i="2"/>
  <c r="N2877" i="2"/>
  <c r="L2869" i="2"/>
  <c r="N2869" i="2"/>
  <c r="L2865" i="2"/>
  <c r="N2865" i="2"/>
  <c r="L2861" i="2"/>
  <c r="N2861" i="2"/>
  <c r="L2888" i="2"/>
  <c r="N2888" i="2"/>
  <c r="L2977" i="2"/>
  <c r="N2977" i="2"/>
  <c r="L2973" i="2"/>
  <c r="N2973" i="2"/>
  <c r="L2969" i="2"/>
  <c r="N2969" i="2"/>
  <c r="L2965" i="2"/>
  <c r="N2965" i="2"/>
  <c r="L2961" i="2"/>
  <c r="N2961" i="2"/>
  <c r="L2957" i="2"/>
  <c r="N2957" i="2"/>
  <c r="L2953" i="2"/>
  <c r="N2953" i="2"/>
  <c r="L2949" i="2"/>
  <c r="N2949" i="2"/>
  <c r="L2945" i="2"/>
  <c r="N2945" i="2"/>
  <c r="L2941" i="2"/>
  <c r="N2941" i="2"/>
  <c r="L2937" i="2"/>
  <c r="N2937" i="2"/>
  <c r="L2933" i="2"/>
  <c r="N2933" i="2"/>
  <c r="L2929" i="2"/>
  <c r="N2929" i="2"/>
  <c r="L2925" i="2"/>
  <c r="N2925" i="2"/>
  <c r="L2921" i="2"/>
  <c r="N2921" i="2"/>
  <c r="L2917" i="2"/>
  <c r="N2917" i="2"/>
  <c r="L2913" i="2"/>
  <c r="N2913" i="2"/>
  <c r="L2905" i="2"/>
  <c r="N2905" i="2"/>
  <c r="L2901" i="2"/>
  <c r="N2901" i="2"/>
  <c r="L2897" i="2"/>
  <c r="N2897" i="2"/>
  <c r="L2893" i="2"/>
  <c r="N2893" i="2"/>
  <c r="L2889" i="2"/>
  <c r="N2889" i="2"/>
  <c r="N2106" i="2"/>
  <c r="N2909" i="2"/>
  <c r="P107" i="2" l="1"/>
  <c r="O107" i="2"/>
  <c r="M107" i="2"/>
  <c r="K107" i="2"/>
  <c r="J107" i="2"/>
  <c r="I107" i="2"/>
  <c r="G107" i="2"/>
  <c r="H107" i="2" l="1"/>
  <c r="L107" i="2" s="1"/>
  <c r="N107" i="2" l="1"/>
</calcChain>
</file>

<file path=xl/comments1.xml><?xml version="1.0" encoding="utf-8"?>
<comments xmlns="http://schemas.openxmlformats.org/spreadsheetml/2006/main">
  <authors>
    <author>Author</author>
  </authors>
  <commentList>
    <comment ref="R548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<sst xmlns="http://schemas.openxmlformats.org/spreadsheetml/2006/main" count="18897" uniqueCount="6380">
  <si>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</si>
  <si>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</si>
  <si>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</si>
  <si>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</si>
  <si>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</si>
  <si>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</si>
  <si>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</si>
  <si>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</si>
  <si>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</si>
  <si>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</si>
  <si>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 xml:space="preserve">Total SC Population </t>
  </si>
  <si>
    <t>Total ST Population</t>
  </si>
  <si>
    <t>Permanent Pasture &amp; other Grazing Land Area</t>
  </si>
  <si>
    <t>Potential CFRR Area</t>
  </si>
  <si>
    <t>Resolution for CVS formation/ reorganisation</t>
  </si>
  <si>
    <t>CVS formed/ reorganised</t>
  </si>
  <si>
    <t>Application by CVS for Pastaure land recognition (Resolution)</t>
  </si>
  <si>
    <t xml:space="preserve">Recognition of VI &amp; Tenure over Pasture land under 170 (1) (Sahmati Patra) </t>
  </si>
  <si>
    <t>Entry of Pasture land in Panchayat asset register</t>
  </si>
  <si>
    <t>Village specific bylaws for Pasture land</t>
  </si>
  <si>
    <t>Action taken for demarcation of Pasture land</t>
  </si>
  <si>
    <t>Action taken for removal of enchrochment of Pasture land</t>
  </si>
  <si>
    <t>Removal of encrochment from Pasture Land</t>
  </si>
  <si>
    <t xml:space="preserve">Ecorestoration Plan of Pasture land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</si>
  <si>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</si>
  <si>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</si>
  <si>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</si>
  <si>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 of work</t>
  </si>
  <si>
    <t>Ha</t>
  </si>
  <si>
    <t>No.</t>
  </si>
  <si>
    <t>%</t>
  </si>
  <si>
    <t>Y/N</t>
  </si>
  <si>
    <t>Month/Year</t>
  </si>
  <si>
    <t>Narration</t>
  </si>
  <si>
    <t>Latitude</t>
  </si>
  <si>
    <t>Longitude</t>
  </si>
  <si>
    <t>BARMER</t>
  </si>
  <si>
    <t>AADEL</t>
  </si>
  <si>
    <t>AASUON KI DHANI</t>
  </si>
  <si>
    <t>Aasuon Ki Dhani</t>
  </si>
  <si>
    <t>0811500581087944</t>
  </si>
  <si>
    <t>Adel</t>
  </si>
  <si>
    <t>Barmer</t>
  </si>
  <si>
    <t>Y</t>
  </si>
  <si>
    <t>yes</t>
  </si>
  <si>
    <t>Bhabhuon Ki Beri</t>
  </si>
  <si>
    <t>0811500581087825</t>
  </si>
  <si>
    <t>Chipri Nadi</t>
  </si>
  <si>
    <t>0811500581087943</t>
  </si>
  <si>
    <t>Godaron Ki Beri</t>
  </si>
  <si>
    <t>0811500581087945</t>
  </si>
  <si>
    <t>Dhelani Nadi</t>
  </si>
  <si>
    <t>0811500581087822</t>
  </si>
  <si>
    <t>ADARSH ADEL</t>
  </si>
  <si>
    <t>Saiyon Ka Tala</t>
  </si>
  <si>
    <t>Methari Nadi</t>
  </si>
  <si>
    <t>Bakani Sarano ki Dhani</t>
  </si>
  <si>
    <t>Ongoing</t>
  </si>
  <si>
    <t>0811500581087835</t>
  </si>
  <si>
    <t>Sarnon Ka Tala</t>
  </si>
  <si>
    <t>0811500581087837</t>
  </si>
  <si>
    <t>Sutharon Ki Beri</t>
  </si>
  <si>
    <t>0811500581087836</t>
  </si>
  <si>
    <t>ADEL</t>
  </si>
  <si>
    <t>0811500581087834</t>
  </si>
  <si>
    <t>Ramdevpura</t>
  </si>
  <si>
    <t>0811500581087826</t>
  </si>
  <si>
    <t>Raikon Ka Nada</t>
  </si>
  <si>
    <t>0811500581087827</t>
  </si>
  <si>
    <t>Modaniyon Ki Dhani</t>
  </si>
  <si>
    <t>0811500581087828</t>
  </si>
  <si>
    <t>Vabhutasar</t>
  </si>
  <si>
    <t>0811500581087829</t>
  </si>
  <si>
    <t>Bhabhuon Ka Tala</t>
  </si>
  <si>
    <t>0811500581087830</t>
  </si>
  <si>
    <t>ankhiyan</t>
  </si>
  <si>
    <t>Ankhiyan</t>
  </si>
  <si>
    <t>0811500581087677</t>
  </si>
  <si>
    <t>Ankhiya</t>
  </si>
  <si>
    <t>Hudon Ka Tala</t>
  </si>
  <si>
    <t>0811500581087680</t>
  </si>
  <si>
    <t>Hudo ka tla</t>
  </si>
  <si>
    <t>Nehron Ki Dhani Khurd</t>
  </si>
  <si>
    <t>0811500581087678</t>
  </si>
  <si>
    <t>Naeyo ka dhani</t>
  </si>
  <si>
    <t>Bhurji godaro ki dhani</t>
  </si>
  <si>
    <t>Karvasoka dhora</t>
  </si>
  <si>
    <t>Nehron Ka Bera</t>
  </si>
  <si>
    <t>0811500581087679</t>
  </si>
  <si>
    <t>Nehro ka bera</t>
  </si>
  <si>
    <t>ARJUN KI DHANI</t>
  </si>
  <si>
    <t>Arjun Ki Dhani</t>
  </si>
  <si>
    <t>0811500581087818</t>
  </si>
  <si>
    <t>Adarsh Chhotu</t>
  </si>
  <si>
    <t>0811500581087810</t>
  </si>
  <si>
    <t>Vijai Nagar</t>
  </si>
  <si>
    <t>0811500581087809</t>
  </si>
  <si>
    <t>Bhomani Kadwasaron Ki Dhani</t>
  </si>
  <si>
    <t>0811500581087811</t>
  </si>
  <si>
    <t>Ed Chhotu</t>
  </si>
  <si>
    <t>0811500581087816</t>
  </si>
  <si>
    <t>Peerani Godaron Ki Dhani</t>
  </si>
  <si>
    <t>0811500581087819</t>
  </si>
  <si>
    <t>Khaniya</t>
  </si>
  <si>
    <t>0811500581087817</t>
  </si>
  <si>
    <t>BAND</t>
  </si>
  <si>
    <t>Band</t>
  </si>
  <si>
    <t>0811500581087793</t>
  </si>
  <si>
    <t xml:space="preserve">चारागाह विकास कार्य बांड </t>
  </si>
  <si>
    <t>Khadiyali Nadi</t>
  </si>
  <si>
    <t>0811500581087794</t>
  </si>
  <si>
    <t>Khadiyalinadi</t>
  </si>
  <si>
    <t>Lala Ki Beri</t>
  </si>
  <si>
    <t>0811500581087795</t>
  </si>
  <si>
    <t>Lala ki beri</t>
  </si>
  <si>
    <t>Nai Band</t>
  </si>
  <si>
    <t>0811500581087797</t>
  </si>
  <si>
    <t>चारागाह विकास कार्य नई बांड</t>
  </si>
  <si>
    <t>Kheecharo Ka Was</t>
  </si>
  <si>
    <t>0811500581087798</t>
  </si>
  <si>
    <t>Khichdo ka vas</t>
  </si>
  <si>
    <t>Siyolon Ki Beri</t>
  </si>
  <si>
    <t>0811500581087799</t>
  </si>
  <si>
    <t>Siyolo ki beri</t>
  </si>
  <si>
    <t>BHAMBHU NAGAR</t>
  </si>
  <si>
    <t>Bhambhu Nagar</t>
  </si>
  <si>
    <t>kanasar</t>
  </si>
  <si>
    <t>Kaishriya dham</t>
  </si>
  <si>
    <t>Jooni Undari</t>
  </si>
  <si>
    <t>0811500581087947</t>
  </si>
  <si>
    <t>Junu undari</t>
  </si>
  <si>
    <t>CHOTU</t>
  </si>
  <si>
    <t>Chhotu</t>
  </si>
  <si>
    <t>0811500581087814</t>
  </si>
  <si>
    <t>Pokrasar</t>
  </si>
  <si>
    <t>0811500581087808</t>
  </si>
  <si>
    <t>Mahadeo Mandir</t>
  </si>
  <si>
    <t>0811500581087813</t>
  </si>
  <si>
    <t>Jhardasar</t>
  </si>
  <si>
    <t>0811500581087815</t>
  </si>
  <si>
    <t>Sanwalsar</t>
  </si>
  <si>
    <t>0811500581087812</t>
  </si>
  <si>
    <t>DHOLANADA</t>
  </si>
  <si>
    <t>Jiyasar</t>
  </si>
  <si>
    <t xml:space="preserve">चारागाह विकास कार्य जियासर </t>
  </si>
  <si>
    <t>Dholanada</t>
  </si>
  <si>
    <t>Dhola Nada</t>
  </si>
  <si>
    <t>0811500581087946</t>
  </si>
  <si>
    <t>Khoobri Beri</t>
  </si>
  <si>
    <t>0811500581087820</t>
  </si>
  <si>
    <t>khubdi beri</t>
  </si>
  <si>
    <t>Dholpaliya Nada</t>
  </si>
  <si>
    <t>0811500581087672</t>
  </si>
  <si>
    <t>Dholpaliya nada</t>
  </si>
  <si>
    <t>Bhilon Ka Gol</t>
  </si>
  <si>
    <t>0811500581087671</t>
  </si>
  <si>
    <t>Bhilo ka gol</t>
  </si>
  <si>
    <t>GOLIYA JETMAL</t>
  </si>
  <si>
    <t>Goliya Jetmal</t>
  </si>
  <si>
    <t>0811500581087688</t>
  </si>
  <si>
    <t>y</t>
  </si>
  <si>
    <t>Adarsh Goliya</t>
  </si>
  <si>
    <t>0811500581087691</t>
  </si>
  <si>
    <t>Aadrsh goliya</t>
  </si>
  <si>
    <t>Rameshwar Nagar</t>
  </si>
  <si>
    <t>0811500581087690</t>
  </si>
  <si>
    <t>Rameshver Nager</t>
  </si>
  <si>
    <t>Kalasar</t>
  </si>
  <si>
    <t>0811500581087692</t>
  </si>
  <si>
    <t>चारागाह विकास कार्य कलासर</t>
  </si>
  <si>
    <t>Magasar</t>
  </si>
  <si>
    <t>0811500581087689</t>
  </si>
  <si>
    <t>Mgasar</t>
  </si>
  <si>
    <t>Asha Nagar</t>
  </si>
  <si>
    <t>0811500581087687</t>
  </si>
  <si>
    <t>Aasha Nager</t>
  </si>
  <si>
    <t>Khardi Beri</t>
  </si>
  <si>
    <t>0811500581087824</t>
  </si>
  <si>
    <t>Adel Shivnagar @ Peme Ki Beri</t>
  </si>
  <si>
    <t>0811500581087832</t>
  </si>
  <si>
    <t>Aadel shiv Nager</t>
  </si>
  <si>
    <t>Adel Panji</t>
  </si>
  <si>
    <t>0811500581087831</t>
  </si>
  <si>
    <t>Bateron Ki Beri</t>
  </si>
  <si>
    <t>0811500581087833</t>
  </si>
  <si>
    <t>Batore ki beri</t>
  </si>
  <si>
    <t>Aadhtara</t>
  </si>
  <si>
    <t>0811500581087821</t>
  </si>
  <si>
    <t>Adhtra</t>
  </si>
  <si>
    <t>Sadul Nager</t>
  </si>
  <si>
    <t>Sadul Nagar</t>
  </si>
  <si>
    <t>0811500581087823</t>
  </si>
  <si>
    <t>KHARIYA KHURD</t>
  </si>
  <si>
    <t>Khariya Khurd</t>
  </si>
  <si>
    <t>0811500581087936</t>
  </si>
  <si>
    <t>Megwalon Ki Dhani</t>
  </si>
  <si>
    <t>0811500581087934</t>
  </si>
  <si>
    <t>Gangapura</t>
  </si>
  <si>
    <t>0811500581087938</t>
  </si>
  <si>
    <t>Kishanpura</t>
  </si>
  <si>
    <t>0811500581087937</t>
  </si>
  <si>
    <t>Bananiyon Ki Beri</t>
  </si>
  <si>
    <t>0811500581087933</t>
  </si>
  <si>
    <t>Choraliya Nada</t>
  </si>
  <si>
    <t>0811500581087935</t>
  </si>
  <si>
    <t>MALPURA</t>
  </si>
  <si>
    <t>Malpura</t>
  </si>
  <si>
    <t>0811500581087674</t>
  </si>
  <si>
    <t>Thoriyo ka tla</t>
  </si>
  <si>
    <t xml:space="preserve">चारागाह विकास कार्य मालपुरा </t>
  </si>
  <si>
    <t>Thoriyon Ka Tala</t>
  </si>
  <si>
    <t>0811500581087673</t>
  </si>
  <si>
    <t>Hukmani Khoton Ki Dhani</t>
  </si>
  <si>
    <t>0811500581087675</t>
  </si>
  <si>
    <t>Hukmani khotho ki dhani</t>
  </si>
  <si>
    <t>MANGLE KI BERI</t>
  </si>
  <si>
    <t>Mangle Ki Beri</t>
  </si>
  <si>
    <t>0811500581087806</t>
  </si>
  <si>
    <t>Magle ki beri</t>
  </si>
  <si>
    <t>Naya Kua</t>
  </si>
  <si>
    <t>0811500581087805</t>
  </si>
  <si>
    <t>Nya Kuaa</t>
  </si>
  <si>
    <t>Wankalsar</t>
  </si>
  <si>
    <t>0811500581087807</t>
  </si>
  <si>
    <t>Vakalsar</t>
  </si>
  <si>
    <t>Meethi Beri</t>
  </si>
  <si>
    <t>0811500581087694</t>
  </si>
  <si>
    <t>Rajnagar</t>
  </si>
  <si>
    <t>0811500581087693</t>
  </si>
  <si>
    <t>Visvakarma Nagar</t>
  </si>
  <si>
    <t>0811500581087686</t>
  </si>
  <si>
    <t>Bakani Sarnon Ki Dhani</t>
  </si>
  <si>
    <t>0811500581087685</t>
  </si>
  <si>
    <t>Daukiyon Ki Dhani</t>
  </si>
  <si>
    <t>0811500581087684</t>
  </si>
  <si>
    <t>NIMBALKOT</t>
  </si>
  <si>
    <t>Neembal Kot</t>
  </si>
  <si>
    <t>0811500581087842</t>
  </si>
  <si>
    <t xml:space="preserve">चारागाह विकास निम्बल कोट </t>
  </si>
  <si>
    <t>Siyagon Ki Dhani Chak No1</t>
  </si>
  <si>
    <t>0811500581087843</t>
  </si>
  <si>
    <t>Siyago ki Dhani</t>
  </si>
  <si>
    <t>Nimbalkot</t>
  </si>
  <si>
    <t>Lakhoni Megwalon Ki Dhani</t>
  </si>
  <si>
    <t>0811500581087844</t>
  </si>
  <si>
    <t>चारागाह विकास लखानी मेघवालो की ढाणी</t>
  </si>
  <si>
    <t>Neembal Nadi</t>
  </si>
  <si>
    <t>0811500581087845</t>
  </si>
  <si>
    <t>Nimbli nadi</t>
  </si>
  <si>
    <t>Lakhoni Godaron Ki Dhani</t>
  </si>
  <si>
    <t>0811500581087846</t>
  </si>
  <si>
    <t>Lakhani Godaro ki dhani</t>
  </si>
  <si>
    <t>Doloniyo ki dhani</t>
  </si>
  <si>
    <t>चारागाह विकास कार्य दौलोनियो की ढाणी</t>
  </si>
  <si>
    <t>Janiyon Ki Dhani</t>
  </si>
  <si>
    <t>0811500581088023</t>
  </si>
  <si>
    <t>Janiyo ki dhani</t>
  </si>
  <si>
    <t>NOKHARA</t>
  </si>
  <si>
    <t>Nokhra</t>
  </si>
  <si>
    <t>0811500581087681</t>
  </si>
  <si>
    <t>Nokhda</t>
  </si>
  <si>
    <t>Guruon Ka Tala</t>
  </si>
  <si>
    <t>0811500581087683</t>
  </si>
  <si>
    <t>Guruoka tla</t>
  </si>
  <si>
    <t>Nehron Ka Tala</t>
  </si>
  <si>
    <t>0811500581087682</t>
  </si>
  <si>
    <t>Nehro ka tala</t>
  </si>
  <si>
    <t>Jagram Ki Dhani</t>
  </si>
  <si>
    <t>0811500581087676</t>
  </si>
  <si>
    <t>Jagram ki dhani</t>
  </si>
  <si>
    <t>RANASAR KHURD</t>
  </si>
  <si>
    <t>Ranasar Khurd</t>
  </si>
  <si>
    <t>0811500581087800</t>
  </si>
  <si>
    <t>Andaniyon Ki Beri</t>
  </si>
  <si>
    <t>0811500581087796</t>
  </si>
  <si>
    <t>SADECHA</t>
  </si>
  <si>
    <t>Sadecha</t>
  </si>
  <si>
    <t>0811500581087840</t>
  </si>
  <si>
    <t>Budhrani Hudon Ki Dhani</t>
  </si>
  <si>
    <t>0811500581087839</t>
  </si>
  <si>
    <t>Panani Dhatarwalon Ki Dhani</t>
  </si>
  <si>
    <t>0811500581087838</t>
  </si>
  <si>
    <t>Adarsh Undkha</t>
  </si>
  <si>
    <t>0811500582088343</t>
  </si>
  <si>
    <t>Lorti Hight Bara</t>
  </si>
  <si>
    <t>0811500582088344</t>
  </si>
  <si>
    <t>Rando ki dhani</t>
  </si>
  <si>
    <t>Raymalaniyo ki dhani</t>
  </si>
  <si>
    <t>ATI</t>
  </si>
  <si>
    <t>Ati</t>
  </si>
  <si>
    <t>0811500582088319</t>
  </si>
  <si>
    <t>Dabala</t>
  </si>
  <si>
    <t>0811500582088316</t>
  </si>
  <si>
    <t>Indara</t>
  </si>
  <si>
    <t>0811500582088318</t>
  </si>
  <si>
    <t>Saganseri</t>
  </si>
  <si>
    <t>0811500582088317</t>
  </si>
  <si>
    <t>Juneeaati</t>
  </si>
  <si>
    <t>0811500582088315</t>
  </si>
  <si>
    <t>BALAU</t>
  </si>
  <si>
    <t>Balau</t>
  </si>
  <si>
    <t>0811500582088335</t>
  </si>
  <si>
    <t>Berdho Ki Dhani</t>
  </si>
  <si>
    <t>0811500582088334</t>
  </si>
  <si>
    <t>Gajuo ki basti</t>
  </si>
  <si>
    <t>Chenpura</t>
  </si>
  <si>
    <t>Somoniyo ki basti</t>
  </si>
  <si>
    <t>Bajrang pura</t>
  </si>
  <si>
    <t>Tejasar</t>
  </si>
  <si>
    <t>Alika Tala</t>
  </si>
  <si>
    <t>0811500582088333</t>
  </si>
  <si>
    <t>BALERA</t>
  </si>
  <si>
    <t>Balera</t>
  </si>
  <si>
    <t>0811500582088326</t>
  </si>
  <si>
    <t>Radwa</t>
  </si>
  <si>
    <t>0811500582088327</t>
  </si>
  <si>
    <t>Lakhaniyo ki dhani</t>
  </si>
  <si>
    <t>Shrvan nagar</t>
  </si>
  <si>
    <t>Jugat nagar (jahanpura )</t>
  </si>
  <si>
    <t>Bankalpura</t>
  </si>
  <si>
    <t>Vankalpura</t>
  </si>
  <si>
    <t>0811500582088361</t>
  </si>
  <si>
    <t>Jadaniyon Ka Was</t>
  </si>
  <si>
    <t>0811500582088346</t>
  </si>
  <si>
    <t>Vishanpura</t>
  </si>
  <si>
    <t>0811500582088360</t>
  </si>
  <si>
    <t>Karanpura</t>
  </si>
  <si>
    <t>0811500582088359</t>
  </si>
  <si>
    <t>BARMER AGORE</t>
  </si>
  <si>
    <t>Barmer Agor</t>
  </si>
  <si>
    <t>0811500582088308</t>
  </si>
  <si>
    <t>Barmer Adrash Agoor</t>
  </si>
  <si>
    <t>0811500582088364</t>
  </si>
  <si>
    <t>Barmer Gadan</t>
  </si>
  <si>
    <t>0811500582088309</t>
  </si>
  <si>
    <t>Kurja</t>
  </si>
  <si>
    <t>0811500582088340</t>
  </si>
  <si>
    <t>Vankal pura</t>
  </si>
  <si>
    <t>BARMER GRAMIN</t>
  </si>
  <si>
    <t>Barmer City (Rural)</t>
  </si>
  <si>
    <t>0811500582088258</t>
  </si>
  <si>
    <t>BHADRESH</t>
  </si>
  <si>
    <t>Bhadresh Gandhau</t>
  </si>
  <si>
    <t>0811500582088234</t>
  </si>
  <si>
    <t>Kamoipura</t>
  </si>
  <si>
    <t>0811500582088235</t>
  </si>
  <si>
    <t>Bhadresh Punasiya</t>
  </si>
  <si>
    <t>0811500582088236</t>
  </si>
  <si>
    <t>Ishwer Pura</t>
  </si>
  <si>
    <t>0811500582088217</t>
  </si>
  <si>
    <t>BOLA</t>
  </si>
  <si>
    <t>Bola</t>
  </si>
  <si>
    <t>0811500582088241</t>
  </si>
  <si>
    <t>Beebara</t>
  </si>
  <si>
    <t>0811500582088244</t>
  </si>
  <si>
    <t>Mithisar</t>
  </si>
  <si>
    <t>0811500582088243</t>
  </si>
  <si>
    <t>Harsana</t>
  </si>
  <si>
    <t>0811500582088242</t>
  </si>
  <si>
    <t>Tanwarpura</t>
  </si>
  <si>
    <t>0811500582088240</t>
  </si>
  <si>
    <t>Tirsingri</t>
  </si>
  <si>
    <t>0811500582088239</t>
  </si>
  <si>
    <t>Tirsingra</t>
  </si>
  <si>
    <t>0811500582088237</t>
  </si>
  <si>
    <t>Sabari nagar</t>
  </si>
  <si>
    <t>Bola tala</t>
  </si>
  <si>
    <t>CHOOLI</t>
  </si>
  <si>
    <t>Chooli</t>
  </si>
  <si>
    <t>0811500582088228</t>
  </si>
  <si>
    <t>चारागाह विकास कार्य चूली</t>
  </si>
  <si>
    <t>Hapon Ki Dhani</t>
  </si>
  <si>
    <t>0811500582088260</t>
  </si>
  <si>
    <t>Jalipa Agor</t>
  </si>
  <si>
    <t>0811500582088226</t>
  </si>
  <si>
    <t>Adarsh Chooli</t>
  </si>
  <si>
    <t>0811500582088227</t>
  </si>
  <si>
    <t>Daroora</t>
  </si>
  <si>
    <t>0811500582088256</t>
  </si>
  <si>
    <t>Doongeron Ka Tala</t>
  </si>
  <si>
    <t>0811500582088442</t>
  </si>
  <si>
    <t>Mehrampur</t>
  </si>
  <si>
    <t>0811500582088459</t>
  </si>
  <si>
    <t>Sutharon Ka Kua</t>
  </si>
  <si>
    <t>0811500582088458</t>
  </si>
  <si>
    <t>Hathitala Station</t>
  </si>
  <si>
    <t>0811500582088332</t>
  </si>
  <si>
    <t>DUDABERI</t>
  </si>
  <si>
    <t>Doodaberi</t>
  </si>
  <si>
    <t>0811500582088174</t>
  </si>
  <si>
    <t>20.12.23</t>
  </si>
  <si>
    <t>Abdasar</t>
  </si>
  <si>
    <t>0811500582088176</t>
  </si>
  <si>
    <t>Sokhru</t>
  </si>
  <si>
    <t>0811500582088177</t>
  </si>
  <si>
    <t>Samon Ki Dhani</t>
  </si>
  <si>
    <t>0811500582088178</t>
  </si>
  <si>
    <t xml:space="preserve">KANTEL Nadi MODAL TALAB </t>
  </si>
  <si>
    <t>Malwa</t>
  </si>
  <si>
    <t>0811500582088175</t>
  </si>
  <si>
    <t>Andaniyon Ka Tala</t>
  </si>
  <si>
    <t>0811500582088181</t>
  </si>
  <si>
    <t>Sesau</t>
  </si>
  <si>
    <t>0811500582088173</t>
  </si>
  <si>
    <t>GARAL</t>
  </si>
  <si>
    <t>Garal</t>
  </si>
  <si>
    <t>0811500582088437</t>
  </si>
  <si>
    <t>Bankana</t>
  </si>
  <si>
    <t>0811500582088460</t>
  </si>
  <si>
    <t>Bankana(khema baba)</t>
  </si>
  <si>
    <t>Jogesar Kua</t>
  </si>
  <si>
    <t>0811500582088440</t>
  </si>
  <si>
    <t>Sutharon Ka Tala</t>
  </si>
  <si>
    <t>0811500582088439</t>
  </si>
  <si>
    <t>Garal Sujan Singh</t>
  </si>
  <si>
    <t>0811500582088436</t>
  </si>
  <si>
    <t>Rampura Garal</t>
  </si>
  <si>
    <t>0811500582088351</t>
  </si>
  <si>
    <t>Garalraisingh</t>
  </si>
  <si>
    <t>0811500582088438</t>
  </si>
  <si>
    <t>Gehoon</t>
  </si>
  <si>
    <t>0811500582088259</t>
  </si>
  <si>
    <t>Somaniyon Ki Dhani</t>
  </si>
  <si>
    <t>0811500582088257</t>
  </si>
  <si>
    <t>Gudisar</t>
  </si>
  <si>
    <t>0811500582088232</t>
  </si>
  <si>
    <t>Adarsh Basti Gudisar</t>
  </si>
  <si>
    <t>0811500582088255</t>
  </si>
  <si>
    <t>Dolaniyon Ki Dhani</t>
  </si>
  <si>
    <t>0811500582088254</t>
  </si>
  <si>
    <t>Dhanora</t>
  </si>
  <si>
    <t>0811500582088238</t>
  </si>
  <si>
    <t>Shiv pura</t>
  </si>
  <si>
    <t>Dhudasar</t>
  </si>
  <si>
    <t>Hajhaniyon Ki Dhani (Kerli)</t>
  </si>
  <si>
    <t>Hajhaniyon Ki Dhani</t>
  </si>
  <si>
    <t>0811500582088352</t>
  </si>
  <si>
    <t>Hadala Sutharon Ka Tala</t>
  </si>
  <si>
    <t>0811500582088356</t>
  </si>
  <si>
    <t>Deshlaniyon Ki Dhani</t>
  </si>
  <si>
    <t>0811500582088355</t>
  </si>
  <si>
    <t>HATHITALA</t>
  </si>
  <si>
    <t>Hathitala</t>
  </si>
  <si>
    <t>0811500582088350</t>
  </si>
  <si>
    <t>Jaduon Ki Nadi</t>
  </si>
  <si>
    <t>0811500582088441</t>
  </si>
  <si>
    <t>JAKHRO KI DHANI</t>
  </si>
  <si>
    <t>Jakhdon Ki Dhani</t>
  </si>
  <si>
    <t>0811500582088444</t>
  </si>
  <si>
    <t>0811500582088452</t>
  </si>
  <si>
    <t>Maloniyon Ki Dhani</t>
  </si>
  <si>
    <t>0811500582088453</t>
  </si>
  <si>
    <t>0811500582088450</t>
  </si>
  <si>
    <t>Andeka Tala</t>
  </si>
  <si>
    <t>0811500582088451</t>
  </si>
  <si>
    <t>Mando Ka Tala</t>
  </si>
  <si>
    <t>0811500582088449</t>
  </si>
  <si>
    <t>Phoosaniyon Ka Tala</t>
  </si>
  <si>
    <t>0811500582088448</t>
  </si>
  <si>
    <t>JASAI</t>
  </si>
  <si>
    <t>Jasai</t>
  </si>
  <si>
    <t>0811500582088250</t>
  </si>
  <si>
    <t>Kamalsinghpura</t>
  </si>
  <si>
    <t>0811500582088248</t>
  </si>
  <si>
    <t>Para</t>
  </si>
  <si>
    <t>0811500582088320</t>
  </si>
  <si>
    <t>Vishvakarma Basti</t>
  </si>
  <si>
    <t>0811500582088249</t>
  </si>
  <si>
    <t>Meethari Khurd</t>
  </si>
  <si>
    <t>0811500582088251</t>
  </si>
  <si>
    <t>Magsinghpura</t>
  </si>
  <si>
    <t>0811500582088247</t>
  </si>
  <si>
    <t>Manshoniyon Ki Basti</t>
  </si>
  <si>
    <t>0811500582088246</t>
  </si>
  <si>
    <t>Asara Ki Beri</t>
  </si>
  <si>
    <t>0811500582088245</t>
  </si>
  <si>
    <t>JUNAPATRASAR</t>
  </si>
  <si>
    <t>Joona Patrasar</t>
  </si>
  <si>
    <t>0811500582088323</t>
  </si>
  <si>
    <t>Jahanpura</t>
  </si>
  <si>
    <t>0811500582088322</t>
  </si>
  <si>
    <t>Sodhon Ki Basti</t>
  </si>
  <si>
    <t>0811500582088321</t>
  </si>
  <si>
    <t>Laxmanpura</t>
  </si>
  <si>
    <t>0811500582088324</t>
  </si>
  <si>
    <t>Sujan Nagar</t>
  </si>
  <si>
    <t>0811500582088325</t>
  </si>
  <si>
    <t>KAGAU</t>
  </si>
  <si>
    <t>Kagau</t>
  </si>
  <si>
    <t>0811500582088463</t>
  </si>
  <si>
    <t>Raiko Ki Dhani</t>
  </si>
  <si>
    <t>0811500582088467</t>
  </si>
  <si>
    <t>0811500582088466</t>
  </si>
  <si>
    <t>Kumharon Ka Tala</t>
  </si>
  <si>
    <t>0811500582088465</t>
  </si>
  <si>
    <t>Ridmlaniyon Ki Dhani</t>
  </si>
  <si>
    <t>0811500582088461</t>
  </si>
  <si>
    <t>Sidhaniyon Ki Dhani</t>
  </si>
  <si>
    <t>0811500582088464</t>
  </si>
  <si>
    <t>Kerawa</t>
  </si>
  <si>
    <t>0811500582088210</t>
  </si>
  <si>
    <t>Sura Narpatan</t>
  </si>
  <si>
    <t>0811500582088209</t>
  </si>
  <si>
    <t>Kanora</t>
  </si>
  <si>
    <t>0811500582088211</t>
  </si>
  <si>
    <t>Langera</t>
  </si>
  <si>
    <t>0811500582088311</t>
  </si>
  <si>
    <t>Pindiyon Ka Tala</t>
  </si>
  <si>
    <t>0811500582088339</t>
  </si>
  <si>
    <t>Deegra</t>
  </si>
  <si>
    <t>0811500582088310</t>
  </si>
  <si>
    <t>Loonoo Khurd</t>
  </si>
  <si>
    <t>0811500582088229</t>
  </si>
  <si>
    <t>Lunu khurd</t>
  </si>
  <si>
    <t>Lunu Agor</t>
  </si>
  <si>
    <t>0811500582088231</t>
  </si>
  <si>
    <t>Lunu aagor</t>
  </si>
  <si>
    <t>Lunu Kalan</t>
  </si>
  <si>
    <t>0811500582088230</t>
  </si>
  <si>
    <t>Lunu kala</t>
  </si>
  <si>
    <t>Jharwa</t>
  </si>
  <si>
    <t>0811500582088233</t>
  </si>
  <si>
    <t>Jhadva</t>
  </si>
  <si>
    <t>MAHABAR</t>
  </si>
  <si>
    <t>Mahabar</t>
  </si>
  <si>
    <t>0811500582088363</t>
  </si>
  <si>
    <t>Adarsh Mahabar</t>
  </si>
  <si>
    <t>0811500582088362</t>
  </si>
  <si>
    <t>Aadrsh mahabar</t>
  </si>
  <si>
    <t>ManglNagar</t>
  </si>
  <si>
    <t>Kiahn Nagar</t>
  </si>
  <si>
    <t>Pataniyo ki Dhani</t>
  </si>
  <si>
    <t>MAROODI</t>
  </si>
  <si>
    <t>Maroodi</t>
  </si>
  <si>
    <t>0811500582088314</t>
  </si>
  <si>
    <t>चारागाह विकास कार्य ग्राम मारुडी</t>
  </si>
  <si>
    <t>Pabupura</t>
  </si>
  <si>
    <t>0811500582088312</t>
  </si>
  <si>
    <t>चारागाह विकास कार्य ग्राम पाबूपुरा</t>
  </si>
  <si>
    <t>Gordhanpura</t>
  </si>
  <si>
    <t>0811500582088313</t>
  </si>
  <si>
    <t>चारागाह विकास कार्य ग्राम गोरधनपुरा</t>
  </si>
  <si>
    <t>Tansingh Pura</t>
  </si>
  <si>
    <t>0811500582088252</t>
  </si>
  <si>
    <t>चारागाह विकास कार्य ग्राम तनसिंह पूरा</t>
  </si>
  <si>
    <t>Danta</t>
  </si>
  <si>
    <t>0811500582088253</t>
  </si>
  <si>
    <t xml:space="preserve">चारागाह विकास कार्य ग्राम दांता </t>
  </si>
  <si>
    <t>MEETHRA</t>
  </si>
  <si>
    <t>Meethra</t>
  </si>
  <si>
    <t>0811500582088358</t>
  </si>
  <si>
    <t>Aainath Ka Tala</t>
  </si>
  <si>
    <t>0811500582088354</t>
  </si>
  <si>
    <t>Kelanon Ki Dhani</t>
  </si>
  <si>
    <t>0811500582088353</t>
  </si>
  <si>
    <t>Aaidanpura</t>
  </si>
  <si>
    <t>0811500582088357</t>
  </si>
  <si>
    <t>Moodhon Ka Tala</t>
  </si>
  <si>
    <t>0811500582088456</t>
  </si>
  <si>
    <t>Siyagpura</t>
  </si>
  <si>
    <t>0811500582088455</t>
  </si>
  <si>
    <t>Legon Ki Dhani</t>
  </si>
  <si>
    <t>0811500582088462</t>
  </si>
  <si>
    <t>Sadulaniyon Ka Tala</t>
  </si>
  <si>
    <t>0811500582088457</t>
  </si>
  <si>
    <t>Pindelo ka tala</t>
  </si>
  <si>
    <t>MURTALA GALA</t>
  </si>
  <si>
    <t>Murtaala Gala</t>
  </si>
  <si>
    <t>0811500582088347</t>
  </si>
  <si>
    <t>Peethalpura</t>
  </si>
  <si>
    <t>0811500582088348</t>
  </si>
  <si>
    <t>Ude Ka Tala</t>
  </si>
  <si>
    <t>0811500582088349</t>
  </si>
  <si>
    <t>Mhabar Peethal</t>
  </si>
  <si>
    <t>0811500582088345</t>
  </si>
  <si>
    <t>Sansiyon Ka Tala</t>
  </si>
  <si>
    <t>0811500582088341</t>
  </si>
  <si>
    <t>NAND</t>
  </si>
  <si>
    <t>Nand</t>
  </si>
  <si>
    <t>0811500582088183</t>
  </si>
  <si>
    <t>Chokhaniyon Ki Dhani</t>
  </si>
  <si>
    <t>0811500582088180</t>
  </si>
  <si>
    <t>Adarsh Basti Nand</t>
  </si>
  <si>
    <t>0811500582088184</t>
  </si>
  <si>
    <t>Janiyawas</t>
  </si>
  <si>
    <t>0811500582088185</t>
  </si>
  <si>
    <t>Shiv Bhakhri</t>
  </si>
  <si>
    <t>0811500582088182</t>
  </si>
  <si>
    <t>Mhadev nagar</t>
  </si>
  <si>
    <t>Mulani</t>
  </si>
  <si>
    <t>Puran nagar</t>
  </si>
  <si>
    <t>Jakhad sir</t>
  </si>
  <si>
    <t>Devasir</t>
  </si>
  <si>
    <t>Lishmno beddo ka vas</t>
  </si>
  <si>
    <t>Ramderiya</t>
  </si>
  <si>
    <t>0811500582088330</t>
  </si>
  <si>
    <t>Amarpura</t>
  </si>
  <si>
    <t>0811500582088447</t>
  </si>
  <si>
    <t>Kharthasar Nadi</t>
  </si>
  <si>
    <t>0811500582088445</t>
  </si>
  <si>
    <t>Mahesani Godaron Ki Dhani</t>
  </si>
  <si>
    <t>0811500582088446</t>
  </si>
  <si>
    <t>Nimbasar Nadi</t>
  </si>
  <si>
    <t>0811500582088331</t>
  </si>
  <si>
    <t>RANIGAON</t>
  </si>
  <si>
    <t>Rani Gaon</t>
  </si>
  <si>
    <t>0811500582088328</t>
  </si>
  <si>
    <t>Ranigaon Kalan</t>
  </si>
  <si>
    <t>0811500582088329</t>
  </si>
  <si>
    <t>Hamir singh Nagar</t>
  </si>
  <si>
    <t>Nawal sir</t>
  </si>
  <si>
    <t>Segari</t>
  </si>
  <si>
    <t>0811500582088336</t>
  </si>
  <si>
    <t>SANAWARA</t>
  </si>
  <si>
    <t>Sanawara</t>
  </si>
  <si>
    <t>0811500582088443</t>
  </si>
  <si>
    <t>Megwalon Ka Tala</t>
  </si>
  <si>
    <t>0811500582088454</t>
  </si>
  <si>
    <t>Sejuon Ki Dhani</t>
  </si>
  <si>
    <t>0811500582088205</t>
  </si>
  <si>
    <t>चारागाह विकास कार्य सेजुओ की बस्‍ती</t>
  </si>
  <si>
    <t>Rajeevpura</t>
  </si>
  <si>
    <t>0811500582088213</t>
  </si>
  <si>
    <t>Hariyala Magra</t>
  </si>
  <si>
    <t>0811500582088206</t>
  </si>
  <si>
    <t>SURA CHARNAN</t>
  </si>
  <si>
    <t>Sura Charnan</t>
  </si>
  <si>
    <t>0811500582088207</t>
  </si>
  <si>
    <t>Sura Jageer</t>
  </si>
  <si>
    <t>0811500582088208</t>
  </si>
  <si>
    <t>Lopal Nadi</t>
  </si>
  <si>
    <t>0811500582088179</t>
  </si>
  <si>
    <t>UNDKHA</t>
  </si>
  <si>
    <t>Undkha</t>
  </si>
  <si>
    <t>0811500582088342</t>
  </si>
  <si>
    <t>Dhandhu Pura</t>
  </si>
  <si>
    <t>0811500582088337</t>
  </si>
  <si>
    <t>Pumdro Ki Basti</t>
  </si>
  <si>
    <t>0811500582088338</t>
  </si>
  <si>
    <t>VISHALA</t>
  </si>
  <si>
    <t>Vishala</t>
  </si>
  <si>
    <t>0811500582088204</t>
  </si>
  <si>
    <t>Prajapaton Ki Dhani</t>
  </si>
  <si>
    <t>0811500582088216</t>
  </si>
  <si>
    <t>Adarsh Basti Bishala</t>
  </si>
  <si>
    <t>0811500582088214</t>
  </si>
  <si>
    <t>Musalmanon Ki Dhani</t>
  </si>
  <si>
    <t>0811500582088215</t>
  </si>
  <si>
    <t>Chhapari</t>
  </si>
  <si>
    <t>0811500582088203</t>
  </si>
  <si>
    <t>VISHALA AGORE</t>
  </si>
  <si>
    <t>Vishala Agor</t>
  </si>
  <si>
    <t>0811500582088212</t>
  </si>
  <si>
    <t>Sonari</t>
  </si>
  <si>
    <t>0811500582088186</t>
  </si>
  <si>
    <t>Satal Bhakhri</t>
  </si>
  <si>
    <t>0811500582088187</t>
  </si>
  <si>
    <t>kumawant Nagar</t>
  </si>
  <si>
    <t>Sumar sar</t>
  </si>
  <si>
    <t>Jaimla dhora</t>
  </si>
  <si>
    <t>Barmer (M)</t>
  </si>
  <si>
    <t>0811500582800550</t>
  </si>
  <si>
    <t>BAYTOO</t>
  </si>
  <si>
    <t>AKDARA</t>
  </si>
  <si>
    <t>Akdara</t>
  </si>
  <si>
    <t>0811500578087142</t>
  </si>
  <si>
    <t>27.10.23</t>
  </si>
  <si>
    <t>Soojaniya Nadiya</t>
  </si>
  <si>
    <t>0811500578087143</t>
  </si>
  <si>
    <t>Hemji Ka Pana</t>
  </si>
  <si>
    <t>0811500578087139</t>
  </si>
  <si>
    <t>Hudon Ki Dhani</t>
  </si>
  <si>
    <t>0811500578087141</t>
  </si>
  <si>
    <t>Thakanon Ki Dhani</t>
  </si>
  <si>
    <t>0811500578087140</t>
  </si>
  <si>
    <t>BAITU BHIMJI</t>
  </si>
  <si>
    <t>Bayatu Bhimji</t>
  </si>
  <si>
    <t>0811500578087176</t>
  </si>
  <si>
    <t>Dananiyon Medhwalon Ki Dhani</t>
  </si>
  <si>
    <t>0811500578087185</t>
  </si>
  <si>
    <t>Panoni Joniyon Ki Dhani</t>
  </si>
  <si>
    <t>0811500578087184</t>
  </si>
  <si>
    <t>Dharna Dhora</t>
  </si>
  <si>
    <t>0811500578087177</t>
  </si>
  <si>
    <t>Baniya Dhora</t>
  </si>
  <si>
    <t>0811500578087182</t>
  </si>
  <si>
    <t>Dharasar Ka Tala</t>
  </si>
  <si>
    <t>0811500578087183</t>
  </si>
  <si>
    <t>BAITU BHOPJI</t>
  </si>
  <si>
    <t>Baytoo Bhopji</t>
  </si>
  <si>
    <t>0811500578087191</t>
  </si>
  <si>
    <t>Bairdon Ki Dhani</t>
  </si>
  <si>
    <t>0811500578087197</t>
  </si>
  <si>
    <t>Ramsariya</t>
  </si>
  <si>
    <t>0811500578086935</t>
  </si>
  <si>
    <t>BAITU CHIMANJI</t>
  </si>
  <si>
    <t>Bayatu Chimanji</t>
  </si>
  <si>
    <t>0811500578087148</t>
  </si>
  <si>
    <t>Deramoni Potliyon Ki Dhani</t>
  </si>
  <si>
    <t>0811500578087145</t>
  </si>
  <si>
    <t>Padmoni Godaron Ki Dhani</t>
  </si>
  <si>
    <t>0811500578087144</t>
  </si>
  <si>
    <t>BAITU PANJI</t>
  </si>
  <si>
    <t>Bayatu Panji</t>
  </si>
  <si>
    <t>0811500578087160</t>
  </si>
  <si>
    <t>Saluji Ka Tala</t>
  </si>
  <si>
    <t>0811500578087162</t>
  </si>
  <si>
    <t>Purana Gaon Bayatu Panji</t>
  </si>
  <si>
    <t>0811500578087161</t>
  </si>
  <si>
    <t>Bauk Nadi</t>
  </si>
  <si>
    <t>0811500578087163</t>
  </si>
  <si>
    <t>Deramaniyon Ki Dhani</t>
  </si>
  <si>
    <t>0811500578087159</t>
  </si>
  <si>
    <t>Kakaron With Bananiyon Mudon Ki Dhani</t>
  </si>
  <si>
    <t>0811500578087158</t>
  </si>
  <si>
    <t>Ladhaniyon Ki Dhani</t>
  </si>
  <si>
    <t>0811500578087137</t>
  </si>
  <si>
    <t>BATADU</t>
  </si>
  <si>
    <t>Hemoniyon Ka Tala</t>
  </si>
  <si>
    <t>0811500578086995</t>
  </si>
  <si>
    <t>Batadoo</t>
  </si>
  <si>
    <t>Umaniyon Daukiyon Ki Dhani</t>
  </si>
  <si>
    <t>0811500578086994</t>
  </si>
  <si>
    <t>Mehrajoniyon Ki Beri</t>
  </si>
  <si>
    <t>0811500578086991</t>
  </si>
  <si>
    <t>Kishne Ka Tala</t>
  </si>
  <si>
    <t>0811500578086993</t>
  </si>
  <si>
    <t>Rampura</t>
  </si>
  <si>
    <t>0811500578086996</t>
  </si>
  <si>
    <t>0811500578086998</t>
  </si>
  <si>
    <t>BHEEMDA</t>
  </si>
  <si>
    <t>Bheemra</t>
  </si>
  <si>
    <t>0811500578086958</t>
  </si>
  <si>
    <t>Bheemda</t>
  </si>
  <si>
    <t>Isramon Ka Tala</t>
  </si>
  <si>
    <t>0811500578086961</t>
  </si>
  <si>
    <t>Roogoniyon Ka Tala</t>
  </si>
  <si>
    <t>0811500578086962</t>
  </si>
  <si>
    <t>Chokhoniyon Ka Tala</t>
  </si>
  <si>
    <t>0811500578086960</t>
  </si>
  <si>
    <t>Ratnali Nadi</t>
  </si>
  <si>
    <t>0811500578086959</t>
  </si>
  <si>
    <t>Bhojasar</t>
  </si>
  <si>
    <t>0811500578087203</t>
  </si>
  <si>
    <t>Sauon Ki Dhani</t>
  </si>
  <si>
    <t>0811500578087222</t>
  </si>
  <si>
    <t>Raychandpura</t>
  </si>
  <si>
    <t>0811500578087224</t>
  </si>
  <si>
    <t>Seeyolon Ki Dhani</t>
  </si>
  <si>
    <t>0811500578087223</t>
  </si>
  <si>
    <t>Booth Sara</t>
  </si>
  <si>
    <t>0811500578087232</t>
  </si>
  <si>
    <t>Karnipura Chak Charnot</t>
  </si>
  <si>
    <t>0811500578087221</t>
  </si>
  <si>
    <t>Kerli Nadi</t>
  </si>
  <si>
    <t>0811500578087220</t>
  </si>
  <si>
    <t>Meer Mohamad Ki Dhani</t>
  </si>
  <si>
    <t>0811500578087233</t>
  </si>
  <si>
    <t>Mukansar</t>
  </si>
  <si>
    <t>0811500578087231</t>
  </si>
  <si>
    <t>BORWA</t>
  </si>
  <si>
    <t>Borwa</t>
  </si>
  <si>
    <t>0811500578087210</t>
  </si>
  <si>
    <t>Makoniyon Ki Dhani</t>
  </si>
  <si>
    <t>0811500578087218</t>
  </si>
  <si>
    <t>Kharda Bera</t>
  </si>
  <si>
    <t>0811500578087217</t>
  </si>
  <si>
    <t>0811500578087213</t>
  </si>
  <si>
    <t>Dogiyalon Ki Dhani</t>
  </si>
  <si>
    <t>0811500578087219</t>
  </si>
  <si>
    <t>Sutharon Ki Dhani</t>
  </si>
  <si>
    <t>0811500578087212</t>
  </si>
  <si>
    <t>Khanwaliya Nada</t>
  </si>
  <si>
    <t>0811500578087211</t>
  </si>
  <si>
    <t>Andoniyon Ki Dhani</t>
  </si>
  <si>
    <t>0811500578087209</t>
  </si>
  <si>
    <t>CHHITAR KA PAR</t>
  </si>
  <si>
    <t>Chhitar Kapar</t>
  </si>
  <si>
    <t>0811500578086983</t>
  </si>
  <si>
    <t>चारागाह विकास कार्य छितर का पार</t>
  </si>
  <si>
    <t>Jogasar Kuwan</t>
  </si>
  <si>
    <t>0811500578086981</t>
  </si>
  <si>
    <t>Sagramoni Sarno Ki Dhani</t>
  </si>
  <si>
    <t>0811500578086982</t>
  </si>
  <si>
    <t>Bandatalar</t>
  </si>
  <si>
    <t>0811500578086984</t>
  </si>
  <si>
    <t>Meghwalon Ka Bas</t>
  </si>
  <si>
    <t>0811500578086980</t>
  </si>
  <si>
    <t>Dhhatarwallon Ka Sara</t>
  </si>
  <si>
    <t>0811500578086965</t>
  </si>
  <si>
    <t>CHOKHLA</t>
  </si>
  <si>
    <t>Chokhla</t>
  </si>
  <si>
    <t>0811500578086972</t>
  </si>
  <si>
    <t>Sakhroda</t>
  </si>
  <si>
    <t>0811500578086978</t>
  </si>
  <si>
    <t>Nawaldeo Chatri</t>
  </si>
  <si>
    <t>0811500578086975</t>
  </si>
  <si>
    <t>Phoolasar</t>
  </si>
  <si>
    <t>0811500578086979</t>
  </si>
  <si>
    <t>Danasar</t>
  </si>
  <si>
    <t>0811500578086968</t>
  </si>
  <si>
    <t>Khatiyon Ka Tala</t>
  </si>
  <si>
    <t>0811500578086967</t>
  </si>
  <si>
    <t>Jasnath Puri</t>
  </si>
  <si>
    <t>0811500578086970</t>
  </si>
  <si>
    <t>Karanpur</t>
  </si>
  <si>
    <t>0811500578086971</t>
  </si>
  <si>
    <t>Hemji Ka Tala</t>
  </si>
  <si>
    <t>0811500578087150</t>
  </si>
  <si>
    <t>Ruponi Bagdawon Ki Dhani</t>
  </si>
  <si>
    <t>0811500578087146</t>
  </si>
  <si>
    <t>0811500578087149</t>
  </si>
  <si>
    <t>Kerlipura</t>
  </si>
  <si>
    <t>0811500578087147</t>
  </si>
  <si>
    <t>Jasder</t>
  </si>
  <si>
    <t>0811500578087151</t>
  </si>
  <si>
    <t>Sagramoni Godaron Ki Dhani</t>
  </si>
  <si>
    <t>0811500578087152</t>
  </si>
  <si>
    <t>Bagdawon Ki Dhani</t>
  </si>
  <si>
    <t>0811500578087153</t>
  </si>
  <si>
    <t>Hudo Ki Dhani</t>
  </si>
  <si>
    <t>0811500578086987</t>
  </si>
  <si>
    <t>Tankeliyasar</t>
  </si>
  <si>
    <t>0811500578086988</t>
  </si>
  <si>
    <t>Gangawas</t>
  </si>
  <si>
    <t>0811500578086989</t>
  </si>
  <si>
    <t>Chawa Nada</t>
  </si>
  <si>
    <t>0811500578086990</t>
  </si>
  <si>
    <t>Janguon Ki Dhani</t>
  </si>
  <si>
    <t>Jangoowo Ki Dhani</t>
  </si>
  <si>
    <t>0811500578086963</t>
  </si>
  <si>
    <t>Muknoniyon Ki Dhani</t>
  </si>
  <si>
    <t>0811500578086964</t>
  </si>
  <si>
    <t>Muloniyon Ki Dhani</t>
  </si>
  <si>
    <t>0811500578086957</t>
  </si>
  <si>
    <t>Haruponi</t>
  </si>
  <si>
    <t>0811500578086956</t>
  </si>
  <si>
    <t>JHAK</t>
  </si>
  <si>
    <t>Jhak</t>
  </si>
  <si>
    <t>0811500578086940</t>
  </si>
  <si>
    <t>Thaleson Ki Dhani</t>
  </si>
  <si>
    <t>0811500578086942</t>
  </si>
  <si>
    <t>Maylon Ki Dhani</t>
  </si>
  <si>
    <t>0811500578086943</t>
  </si>
  <si>
    <t>Khejariyali</t>
  </si>
  <si>
    <t>0811500578086949</t>
  </si>
  <si>
    <t>Kalanada</t>
  </si>
  <si>
    <t>0811500578086941</t>
  </si>
  <si>
    <t>Khetarlai</t>
  </si>
  <si>
    <t>0811500578086939</t>
  </si>
  <si>
    <t>Jogasar</t>
  </si>
  <si>
    <t>0811500578087199</t>
  </si>
  <si>
    <t>Dhatarwalon Ka Nagar</t>
  </si>
  <si>
    <t>0811500578087202</t>
  </si>
  <si>
    <t>Heerani Dharwalon Ki Dhani</t>
  </si>
  <si>
    <t>0811500578087201</t>
  </si>
  <si>
    <t>Jasnath Nagar</t>
  </si>
  <si>
    <t>0811500578087198</t>
  </si>
  <si>
    <t>Khanji Ka Tala</t>
  </si>
  <si>
    <t>0811500578086976</t>
  </si>
  <si>
    <t>YES</t>
  </si>
  <si>
    <t>Ramsar Kua</t>
  </si>
  <si>
    <t>0811500578086977</t>
  </si>
  <si>
    <t>Moolani</t>
  </si>
  <si>
    <t>0811500578086966</t>
  </si>
  <si>
    <t>Jaitpur</t>
  </si>
  <si>
    <t>0811500578086974</t>
  </si>
  <si>
    <t>Bagasar</t>
  </si>
  <si>
    <t>0811500578086969</t>
  </si>
  <si>
    <t>Khanadiya</t>
  </si>
  <si>
    <t>0811500578086973</t>
  </si>
  <si>
    <t>KHIPSAR</t>
  </si>
  <si>
    <t>Kheenpar</t>
  </si>
  <si>
    <t>0811500578086936</t>
  </si>
  <si>
    <t>0811500578087200</t>
  </si>
  <si>
    <t>Ramsariya 1</t>
  </si>
  <si>
    <t>Ridhusar</t>
  </si>
  <si>
    <t>0811500578086938</t>
  </si>
  <si>
    <t>Janduo Ki Dhani</t>
  </si>
  <si>
    <t>0811500578086937</t>
  </si>
  <si>
    <t>Khoton Ki Dhani</t>
  </si>
  <si>
    <t>Khotho Ki Dhani</t>
  </si>
  <si>
    <t>0811500578087138</t>
  </si>
  <si>
    <t>Ladhoniyon Ki Dhani</t>
  </si>
  <si>
    <t>0811500578087164</t>
  </si>
  <si>
    <t>0811500578087134</t>
  </si>
  <si>
    <t>Bhadasar</t>
  </si>
  <si>
    <t>0811500578087135</t>
  </si>
  <si>
    <t>Gulji Ka Pana</t>
  </si>
  <si>
    <t>0811500578087136</t>
  </si>
  <si>
    <t>KOLU</t>
  </si>
  <si>
    <t>Koloo</t>
  </si>
  <si>
    <t>0811500578087002</t>
  </si>
  <si>
    <t>Morala</t>
  </si>
  <si>
    <t>0811500578086999</t>
  </si>
  <si>
    <t>Pabusara</t>
  </si>
  <si>
    <t>0811500578087004</t>
  </si>
  <si>
    <t>Dhatarwalon Ka Tala</t>
  </si>
  <si>
    <t>0811500578087003</t>
  </si>
  <si>
    <t>Dabliya</t>
  </si>
  <si>
    <t>0811500578087005</t>
  </si>
  <si>
    <t>Jugtasar</t>
  </si>
  <si>
    <t>0811500578087006</t>
  </si>
  <si>
    <t>KOSARIYA</t>
  </si>
  <si>
    <t>Kosariya</t>
  </si>
  <si>
    <t>0811500578086986</t>
  </si>
  <si>
    <t>चारागाह विकास कार्य कोसरिया</t>
  </si>
  <si>
    <t>Lapla</t>
  </si>
  <si>
    <t>0811500578086985</t>
  </si>
  <si>
    <t>Lilala</t>
  </si>
  <si>
    <t>0811500578087155</t>
  </si>
  <si>
    <t>Mithiya Tala</t>
  </si>
  <si>
    <t>0811500578087154</t>
  </si>
  <si>
    <t>Mahigoniyon Moodhon Ki Dhani</t>
  </si>
  <si>
    <t>0811500578087156</t>
  </si>
  <si>
    <t>Janduon Ki Dhani</t>
  </si>
  <si>
    <t>0811500578087157</t>
  </si>
  <si>
    <t>LOONADA</t>
  </si>
  <si>
    <t>Loonara</t>
  </si>
  <si>
    <t>0811500578086944</t>
  </si>
  <si>
    <t>MADHASAR</t>
  </si>
  <si>
    <t>Madhasar</t>
  </si>
  <si>
    <t>0811500578087194</t>
  </si>
  <si>
    <t>Ahoniyon Baniyalon Ki Dhani</t>
  </si>
  <si>
    <t>0811500578087196</t>
  </si>
  <si>
    <t>Darjiyon Ki Dhani</t>
  </si>
  <si>
    <t>0811500578087192</t>
  </si>
  <si>
    <t>Peerawas</t>
  </si>
  <si>
    <t>0811500578087193</t>
  </si>
  <si>
    <t>Rojiya Nadi</t>
  </si>
  <si>
    <t>0811500578087195</t>
  </si>
  <si>
    <t>MADPURA BARWALA</t>
  </si>
  <si>
    <t>Madpura Barwala</t>
  </si>
  <si>
    <t>0811500578087172</t>
  </si>
  <si>
    <t>28.6.24</t>
  </si>
  <si>
    <t>Siyagaon Ki Dhani</t>
  </si>
  <si>
    <t>0811500578087171</t>
  </si>
  <si>
    <t>Godaraon Ki Dhani</t>
  </si>
  <si>
    <t>0811500578087173</t>
  </si>
  <si>
    <t>NAGANI DHATERWALO KI DHANI</t>
  </si>
  <si>
    <t>Nagoni Dhatarwalon Ki Dhani</t>
  </si>
  <si>
    <t>0811500578087188</t>
  </si>
  <si>
    <t>Baniyalon Ki Dhani</t>
  </si>
  <si>
    <t>0811500578087186</t>
  </si>
  <si>
    <t>Nathoni Joniyon Ki Dhani</t>
  </si>
  <si>
    <t>0811500578087187</t>
  </si>
  <si>
    <t>Naya Gaon</t>
  </si>
  <si>
    <t>0811500578087190</t>
  </si>
  <si>
    <t>Purana Gaon</t>
  </si>
  <si>
    <t>0811500578087189</t>
  </si>
  <si>
    <t>Narsali Nadi</t>
  </si>
  <si>
    <t>0811500578087001</t>
  </si>
  <si>
    <t>Lilasar</t>
  </si>
  <si>
    <t>0811500578087000</t>
  </si>
  <si>
    <t>nayaa somesara</t>
  </si>
  <si>
    <t>Naya Somesara</t>
  </si>
  <si>
    <t>0811500578087228</t>
  </si>
  <si>
    <t>Danoniyon Ki Dhani</t>
  </si>
  <si>
    <t>0811500578087229</t>
  </si>
  <si>
    <t>Khinwali Sara</t>
  </si>
  <si>
    <t>0811500578087225</t>
  </si>
  <si>
    <t>Juna Somesara</t>
  </si>
  <si>
    <t>0811500578087227</t>
  </si>
  <si>
    <t>Akhe Ka Dhara</t>
  </si>
  <si>
    <t>0811500578087226</t>
  </si>
  <si>
    <t>Nimbaniyon Ki Dhani</t>
  </si>
  <si>
    <t>Nimboniyon Ki Dhani</t>
  </si>
  <si>
    <t>0811500578087166</t>
  </si>
  <si>
    <t>Chutroniyon Ki Dhani</t>
  </si>
  <si>
    <t>0811500578087170</t>
  </si>
  <si>
    <t>Madpura Purana Gaon</t>
  </si>
  <si>
    <t>0811500578087169</t>
  </si>
  <si>
    <t>Bhambhuon Ki Dhani</t>
  </si>
  <si>
    <t>0811500578087168</t>
  </si>
  <si>
    <t>Bhagoniyon Ki Dhani</t>
  </si>
  <si>
    <t>0811500578087165</t>
  </si>
  <si>
    <t>Bhaduon Ki Dhani</t>
  </si>
  <si>
    <t>0811500578087167</t>
  </si>
  <si>
    <t>NOSAR</t>
  </si>
  <si>
    <t>Nosar</t>
  </si>
  <si>
    <t>0811500578087230</t>
  </si>
  <si>
    <t>Undriyasara</t>
  </si>
  <si>
    <t>0811500578087234</t>
  </si>
  <si>
    <t>PANAWARA</t>
  </si>
  <si>
    <t>Panawara</t>
  </si>
  <si>
    <t>0811500578087009</t>
  </si>
  <si>
    <t>Prem Nagar</t>
  </si>
  <si>
    <t>0811500578087012</t>
  </si>
  <si>
    <t>Meethiyasara</t>
  </si>
  <si>
    <t>0811500578087011</t>
  </si>
  <si>
    <t>Saiyo Ki Dhani</t>
  </si>
  <si>
    <t>0811500578087008</t>
  </si>
  <si>
    <t>Mandrooponiyon Ki Dhani</t>
  </si>
  <si>
    <t>0811500578087007</t>
  </si>
  <si>
    <t>Bandi Dhora</t>
  </si>
  <si>
    <t>0811500578087010</t>
  </si>
  <si>
    <t>Rewali</t>
  </si>
  <si>
    <t>0811500578086952</t>
  </si>
  <si>
    <t>Dedwali</t>
  </si>
  <si>
    <t>0811500578086951</t>
  </si>
  <si>
    <t>Nai Rewali</t>
  </si>
  <si>
    <t>0811500578086950</t>
  </si>
  <si>
    <t>0811500578086992</t>
  </si>
  <si>
    <t>Durgoniyon Ka Tala</t>
  </si>
  <si>
    <t>0811500578086997</t>
  </si>
  <si>
    <t>Ramdan Katala</t>
  </si>
  <si>
    <t>0811500578086945</t>
  </si>
  <si>
    <t>Ramdan Ka tala</t>
  </si>
  <si>
    <t>SEONIYALA</t>
  </si>
  <si>
    <t>Seo Niyala</t>
  </si>
  <si>
    <t>0811500578087208</t>
  </si>
  <si>
    <t>SEOVNIYALA</t>
  </si>
  <si>
    <t>Seehron Ki Dhani</t>
  </si>
  <si>
    <t>0811500578087207</t>
  </si>
  <si>
    <t>Pannaniyon Ki Dhani</t>
  </si>
  <si>
    <t>0811500578087205</t>
  </si>
  <si>
    <t>Kharthaniyon Ki Dhani</t>
  </si>
  <si>
    <t>0811500578087206</t>
  </si>
  <si>
    <t>Chainaniyon Ki Dhani</t>
  </si>
  <si>
    <t>0811500578087204</t>
  </si>
  <si>
    <t>SINGORIYA</t>
  </si>
  <si>
    <t>Sigoriya</t>
  </si>
  <si>
    <t>0811500578086953</t>
  </si>
  <si>
    <t>Naya Sigoriya</t>
  </si>
  <si>
    <t>0811500578086955</t>
  </si>
  <si>
    <t>Gomateshwar</t>
  </si>
  <si>
    <t>0811500578086954</t>
  </si>
  <si>
    <t>Naya Batadoo</t>
  </si>
  <si>
    <t>0811500578086947</t>
  </si>
  <si>
    <t>0811500578086948</t>
  </si>
  <si>
    <t>Harkhali</t>
  </si>
  <si>
    <t>0811500578086946</t>
  </si>
  <si>
    <t>Virendra Nagar</t>
  </si>
  <si>
    <t>Kakadon Ki Dhani</t>
  </si>
  <si>
    <t>0811500578087175</t>
  </si>
  <si>
    <t>Rekoowala</t>
  </si>
  <si>
    <t>0811500578087174</t>
  </si>
  <si>
    <t>Gehoon Wala</t>
  </si>
  <si>
    <t>0811500578087179</t>
  </si>
  <si>
    <t>Naiyon Ki Dhani</t>
  </si>
  <si>
    <t>0811500578087180</t>
  </si>
  <si>
    <t>Dhatarwalon Ki Dhani</t>
  </si>
  <si>
    <t>0811500578087178</t>
  </si>
  <si>
    <t>Sindhiyon Ki Dhnai</t>
  </si>
  <si>
    <t>0811500578087181</t>
  </si>
  <si>
    <t>Rugani kakdo ki dhani</t>
  </si>
  <si>
    <t>Ramdev Nagar</t>
  </si>
  <si>
    <t>jashnathpuri</t>
  </si>
  <si>
    <t>BALTORA</t>
  </si>
  <si>
    <t>AKARLI BAKSHIRAM</t>
  </si>
  <si>
    <t>Akarli Bakshiram</t>
  </si>
  <si>
    <t>0811500579087259</t>
  </si>
  <si>
    <t>Akadli Bakshi Ram</t>
  </si>
  <si>
    <t>Bagundi</t>
  </si>
  <si>
    <t>0811500579087257</t>
  </si>
  <si>
    <t xml:space="preserve">चारागाह विकास कार्य बागुन्दी गाव के पास </t>
  </si>
  <si>
    <t xml:space="preserve">चारागाह विकास रोड के पास </t>
  </si>
  <si>
    <t>चारागाह विकास कार्य वन विभाग मेन रोड</t>
  </si>
  <si>
    <t>Googri</t>
  </si>
  <si>
    <t>0811500579087258</t>
  </si>
  <si>
    <t xml:space="preserve">चारागाह विकाश कार्य गुगली </t>
  </si>
  <si>
    <t xml:space="preserve">चारागाह विकास कार्य गुगली रोड के सामने </t>
  </si>
  <si>
    <t>Akarli Dhansingh</t>
  </si>
  <si>
    <t>0811500579087280</t>
  </si>
  <si>
    <t xml:space="preserve">चारागाह विकास कार्य आकरली धन सिंह </t>
  </si>
  <si>
    <t>Mahadeo Nagar</t>
  </si>
  <si>
    <t>0811500579087281</t>
  </si>
  <si>
    <t>Mahadev Nagar</t>
  </si>
  <si>
    <t>Akarli Sutharon Ki Dhani</t>
  </si>
  <si>
    <t>0811500579087283</t>
  </si>
  <si>
    <t>Sutharo ki Dhani</t>
  </si>
  <si>
    <t>ASADA</t>
  </si>
  <si>
    <t>Asara</t>
  </si>
  <si>
    <t>0811500579087333</t>
  </si>
  <si>
    <t xml:space="preserve">चारागाह विकास कार्य असाडा </t>
  </si>
  <si>
    <t>चारागाह विकास कार्य पोशाल नगर</t>
  </si>
  <si>
    <t>चारागाह विकास कार्य रावातानियों की ढाणी</t>
  </si>
  <si>
    <t>Udani Nagar</t>
  </si>
  <si>
    <t>ASOTRA</t>
  </si>
  <si>
    <t>Kheteshwar Brahmdham</t>
  </si>
  <si>
    <t>0811500579087336</t>
  </si>
  <si>
    <t>चारागाह विकास कार्य खेतेश्वर ब्रह्मधाम</t>
  </si>
  <si>
    <t>Asotara</t>
  </si>
  <si>
    <t>0811500579087337</t>
  </si>
  <si>
    <t>चारागाह विकास कार्य आसोतरा</t>
  </si>
  <si>
    <t>Bhakhri Khera</t>
  </si>
  <si>
    <t>0811500579087325</t>
  </si>
  <si>
    <t>Panotrinadi</t>
  </si>
  <si>
    <t>0811500579087326</t>
  </si>
  <si>
    <t>चरागाह विकास कार्य पनोतरी नाडी</t>
  </si>
  <si>
    <t>BHANDIYAWAS</t>
  </si>
  <si>
    <t>Bhandiyawas</t>
  </si>
  <si>
    <t>0811500579087345</t>
  </si>
  <si>
    <t>चारागाह विकास कार्य भांडियावास</t>
  </si>
  <si>
    <t>चारागाह निर्माण कार्य पाबूजी ओरण भांडीयावास</t>
  </si>
  <si>
    <t>Hempura</t>
  </si>
  <si>
    <t>0811500579087342</t>
  </si>
  <si>
    <t>चारागाह विकास कार्य हेमपुरा</t>
  </si>
  <si>
    <t>BHIMARLAI</t>
  </si>
  <si>
    <t>Bheemarlai Gaon</t>
  </si>
  <si>
    <t>0811500579087246</t>
  </si>
  <si>
    <t>चारागाह विकास कार्य भीमरलाई</t>
  </si>
  <si>
    <t>Vajawas</t>
  </si>
  <si>
    <t>0811500579087266</t>
  </si>
  <si>
    <t>चारागाह विकास कार्य बजावास</t>
  </si>
  <si>
    <t>Khar Ki Dhani</t>
  </si>
  <si>
    <t>0811500579087247</t>
  </si>
  <si>
    <t>चारागाह विकास कार्य खार की ढाणी</t>
  </si>
  <si>
    <t>Mekarna</t>
  </si>
  <si>
    <t>0811500579087265</t>
  </si>
  <si>
    <t>चारागाह विकास कार्य मेकराना</t>
  </si>
  <si>
    <t>BITHUJA</t>
  </si>
  <si>
    <t>Bithooja</t>
  </si>
  <si>
    <t>0811500579087338</t>
  </si>
  <si>
    <t>चारागाह विकास कार्य खसरा नम्‍बर 1060 / 419</t>
  </si>
  <si>
    <t>Budiwara</t>
  </si>
  <si>
    <t>0811500579087332</t>
  </si>
  <si>
    <t>चारागाह विकास कार्य बुडीवाडा1</t>
  </si>
  <si>
    <t>चारागाह विकास कार्य बुडीवाडा</t>
  </si>
  <si>
    <t>CHANDESARA</t>
  </si>
  <si>
    <t>Chandesara</t>
  </si>
  <si>
    <t>0811500579087245</t>
  </si>
  <si>
    <t>चारगाह विकास कार्य चान्देसरा</t>
  </si>
  <si>
    <t>Botala Purohitan</t>
  </si>
  <si>
    <t>0811500579087244</t>
  </si>
  <si>
    <t>Bheemarlai Station</t>
  </si>
  <si>
    <t>0811500579087243</t>
  </si>
  <si>
    <t xml:space="preserve">Bhimarlai Station </t>
  </si>
  <si>
    <t>Doodhwa Mallinath</t>
  </si>
  <si>
    <t>0811500579087253</t>
  </si>
  <si>
    <t>चारागाह विकास कार्य दुधवा</t>
  </si>
  <si>
    <t>Doodhwa Der</t>
  </si>
  <si>
    <t>0811500579087249</t>
  </si>
  <si>
    <t>चारागाह विकास कार्य दूध बड़ेर</t>
  </si>
  <si>
    <t>Barla</t>
  </si>
  <si>
    <t>0811500579087250</t>
  </si>
  <si>
    <t>Badala</t>
  </si>
  <si>
    <t>DUDHWA</t>
  </si>
  <si>
    <t>Doodhwa</t>
  </si>
  <si>
    <t>0811500579087255</t>
  </si>
  <si>
    <t>चारागाह विकास कार्य दूदवा</t>
  </si>
  <si>
    <t>Naya Doodhwa</t>
  </si>
  <si>
    <t>0811500579087254</t>
  </si>
  <si>
    <t>Roopadevi</t>
  </si>
  <si>
    <t>0811500579087256</t>
  </si>
  <si>
    <t>Nimbli</t>
  </si>
  <si>
    <t>0811500579087252</t>
  </si>
  <si>
    <t>Laachar</t>
  </si>
  <si>
    <t>0811500579087251</t>
  </si>
  <si>
    <t>GOLE STATION</t>
  </si>
  <si>
    <t>Gol Station</t>
  </si>
  <si>
    <t>0811500579087263</t>
  </si>
  <si>
    <t>Gol Soda</t>
  </si>
  <si>
    <t>0811500579087264</t>
  </si>
  <si>
    <t>चारागाह विकास कार्य गोल सोढा</t>
  </si>
  <si>
    <t>Gol Sodha</t>
  </si>
  <si>
    <t>Sodhon Ki Dhani</t>
  </si>
  <si>
    <t>0811500579087261</t>
  </si>
  <si>
    <t>Sodho ki Dhani</t>
  </si>
  <si>
    <t>चारागाह विकास कार्य Sodho ki Dhani</t>
  </si>
  <si>
    <t>Chaukriya Ki Dhani</t>
  </si>
  <si>
    <t>0811500579087248</t>
  </si>
  <si>
    <t xml:space="preserve">चारगाह विकास कार्य चौकड़ियो की ढाणी </t>
  </si>
  <si>
    <t>GOPARI</t>
  </si>
  <si>
    <t>Gopri</t>
  </si>
  <si>
    <t>0811500579087306</t>
  </si>
  <si>
    <t>चारागाह विकास कार्य गोपडी</t>
  </si>
  <si>
    <t>Godaron Ki Dhani</t>
  </si>
  <si>
    <t>0811500579087307</t>
  </si>
  <si>
    <t>Godaro Ki Dhani</t>
  </si>
  <si>
    <t>Shivnathpura</t>
  </si>
  <si>
    <t>0811500579087304</t>
  </si>
  <si>
    <t>Chandiyon Ki Dhani</t>
  </si>
  <si>
    <t>0811500579087305</t>
  </si>
  <si>
    <t>Chandiyo ki Dhani</t>
  </si>
  <si>
    <t>JAGSA</t>
  </si>
  <si>
    <t>Jagsa</t>
  </si>
  <si>
    <t>0811500579087328</t>
  </si>
  <si>
    <t>चारागाह विकास कार्य जागसा</t>
  </si>
  <si>
    <t>JANIYANA</t>
  </si>
  <si>
    <t>Janiyana</t>
  </si>
  <si>
    <t>0811500579087433</t>
  </si>
  <si>
    <t>चारगाह विकास कार्य जानियाना</t>
  </si>
  <si>
    <t>Gharoi Nadi</t>
  </si>
  <si>
    <t>0811500579087432</t>
  </si>
  <si>
    <t>चारागाह विकास कार्य घडोई नाडी</t>
  </si>
  <si>
    <t>Moolji Ki Dhani</t>
  </si>
  <si>
    <t>0811500579087431</t>
  </si>
  <si>
    <t>Mulaji ki Dhani</t>
  </si>
  <si>
    <t>JASOL</t>
  </si>
  <si>
    <t>Jasol</t>
  </si>
  <si>
    <t>0811500579087334</t>
  </si>
  <si>
    <t>चारागाह विकास कार्य खसरा नम्‍बर 1404 / 323</t>
  </si>
  <si>
    <t>KALOORI</t>
  </si>
  <si>
    <t>Kaloori</t>
  </si>
  <si>
    <t>0811500579087323</t>
  </si>
  <si>
    <t>चारागाह विकास कार्य खसरा नम्‍बर 25</t>
  </si>
  <si>
    <t>KANANA</t>
  </si>
  <si>
    <t>Kanana</t>
  </si>
  <si>
    <t>0811500579087438</t>
  </si>
  <si>
    <t>चारागाह विकास कार्य कनाना</t>
  </si>
  <si>
    <t xml:space="preserve">चारागाह विकास कार्य कनाना  </t>
  </si>
  <si>
    <t>KHATTU</t>
  </si>
  <si>
    <t>Khattoo</t>
  </si>
  <si>
    <t>0811500579087242</t>
  </si>
  <si>
    <t>चारागाह विकास कार्य खसरा नम्‍बर 573 / 186</t>
  </si>
  <si>
    <t>चारागाह विकास कार्य खसरा नम्‍बर 594/ 234</t>
  </si>
  <si>
    <t>चारागाह विकास कार्य खट्टू</t>
  </si>
  <si>
    <t>KHED</t>
  </si>
  <si>
    <t>Kher</t>
  </si>
  <si>
    <t>0811500579087314</t>
  </si>
  <si>
    <t>चारागाह विकास कार्य खेड1</t>
  </si>
  <si>
    <t>चारागाह विकास कार्य खेड</t>
  </si>
  <si>
    <t>Ratanada</t>
  </si>
  <si>
    <t>0811500579087313</t>
  </si>
  <si>
    <t>Kalawa</t>
  </si>
  <si>
    <t>0811500579087275</t>
  </si>
  <si>
    <t>चारागाह विकास कार्य कलावा</t>
  </si>
  <si>
    <t>KITNOD</t>
  </si>
  <si>
    <t>Kitnod</t>
  </si>
  <si>
    <t>0811500579087435</t>
  </si>
  <si>
    <t>चारागाह विकास कार्य किटनोद</t>
  </si>
  <si>
    <t>Bamani</t>
  </si>
  <si>
    <t>0811500579087436</t>
  </si>
  <si>
    <t>Bhinda Kua</t>
  </si>
  <si>
    <t>चारागाह विकास कार्य खसरा नम्‍बर 140 / 50</t>
  </si>
  <si>
    <t>0811500579087434</t>
  </si>
  <si>
    <t>Kitpala</t>
  </si>
  <si>
    <t>0811500579087321</t>
  </si>
  <si>
    <t>चारागाह विकास कार्य कितपाला</t>
  </si>
  <si>
    <t>Junjaniyon Ki Dhani</t>
  </si>
  <si>
    <t>0811500579087322</t>
  </si>
  <si>
    <t>Jujhaniyo ki Dhani</t>
  </si>
  <si>
    <t>Simaliya</t>
  </si>
  <si>
    <t>0811500579087320</t>
  </si>
  <si>
    <t>चारागाह विकास कार्य सिमलिया</t>
  </si>
  <si>
    <t>MAJIWALA</t>
  </si>
  <si>
    <t>Majiwala</t>
  </si>
  <si>
    <t>0811500579087335</t>
  </si>
  <si>
    <t>Mandapura</t>
  </si>
  <si>
    <t>Chirdhani</t>
  </si>
  <si>
    <t>0811500579087343</t>
  </si>
  <si>
    <t>Chir Dhani</t>
  </si>
  <si>
    <t>0811500579087310</t>
  </si>
  <si>
    <t>Sindhiyon Ki Dhani</t>
  </si>
  <si>
    <t>0811500579087309</t>
  </si>
  <si>
    <t>चारागाह विकास कार्य सिंधियो की ढाणी</t>
  </si>
  <si>
    <t>MEWA NAGAR</t>
  </si>
  <si>
    <t>Mewa Nagar</t>
  </si>
  <si>
    <t>0811500579087317</t>
  </si>
  <si>
    <t>चरागाह विकास कार्य ख न 183 व 146</t>
  </si>
  <si>
    <t>Shobhawas</t>
  </si>
  <si>
    <t>0811500579087316</t>
  </si>
  <si>
    <t>Bamseen</t>
  </si>
  <si>
    <t>0811500579087315</t>
  </si>
  <si>
    <t>Bamsin</t>
  </si>
  <si>
    <t>Temawas</t>
  </si>
  <si>
    <t>0811500579087312</t>
  </si>
  <si>
    <t>Mandawas</t>
  </si>
  <si>
    <t>0811500579087274</t>
  </si>
  <si>
    <t>MUNGRA</t>
  </si>
  <si>
    <t>Moongra</t>
  </si>
  <si>
    <t>0811500579087341</t>
  </si>
  <si>
    <t>चारागाह विकास कार्य मुन्गडा</t>
  </si>
  <si>
    <t>Newai</t>
  </si>
  <si>
    <t>Maliyon Ki Dhani</t>
  </si>
  <si>
    <t>0811500579087347</t>
  </si>
  <si>
    <t>Maliyo ki Dhani</t>
  </si>
  <si>
    <t>0811500579087348</t>
  </si>
  <si>
    <t>चारागाह विकास कार्य नेवाई</t>
  </si>
  <si>
    <t>Rewara Sodha</t>
  </si>
  <si>
    <t>0811500579087355</t>
  </si>
  <si>
    <t>चारागाह विकास कार्य रेवाडा</t>
  </si>
  <si>
    <t>Rewara Asiyan</t>
  </si>
  <si>
    <t>0811500579087349</t>
  </si>
  <si>
    <t>PACHPADRA</t>
  </si>
  <si>
    <t>Pachpadra</t>
  </si>
  <si>
    <t>0811500579087344</t>
  </si>
  <si>
    <t>चारागाह विकास कार्य पचपदरा</t>
  </si>
  <si>
    <t>PARLOO</t>
  </si>
  <si>
    <t>Parloo</t>
  </si>
  <si>
    <t>0811500579087439</t>
  </si>
  <si>
    <t>Ramseen</t>
  </si>
  <si>
    <t>0811500579087340</t>
  </si>
  <si>
    <t xml:space="preserve">चारागाह विकास कार्य रामसीन 1 </t>
  </si>
  <si>
    <t xml:space="preserve">चारागाह विकास कार्य रामसीन </t>
  </si>
  <si>
    <t>Hotloo</t>
  </si>
  <si>
    <t>0811500579087339</t>
  </si>
  <si>
    <t>चारागाह विकास कार्य होटलू</t>
  </si>
  <si>
    <t>Jerla</t>
  </si>
  <si>
    <t>0811500579087311</t>
  </si>
  <si>
    <t>चारागाह विकास कार्य जेरला1</t>
  </si>
  <si>
    <t>SARANA</t>
  </si>
  <si>
    <t>Sarana</t>
  </si>
  <si>
    <t>0811500579087437</t>
  </si>
  <si>
    <t>चारागाह विकास कार्य सराना</t>
  </si>
  <si>
    <t>SINLI JAGEER</t>
  </si>
  <si>
    <t>Sinli Jageer</t>
  </si>
  <si>
    <t>0811500579087267</t>
  </si>
  <si>
    <t>चारागाह विकास कार्य सिणली जागीर</t>
  </si>
  <si>
    <t>Katwari</t>
  </si>
  <si>
    <t>0811500579087269</t>
  </si>
  <si>
    <t>katawari</t>
  </si>
  <si>
    <t>Rikarlai</t>
  </si>
  <si>
    <t>0811500579087268</t>
  </si>
  <si>
    <t>चारागाह विकास कार्य रीन्करालाई</t>
  </si>
  <si>
    <t>Sinli Chauseera</t>
  </si>
  <si>
    <t>0811500579087270</t>
  </si>
  <si>
    <t>चारागाह विकास कार्य सिणली चोसिरा</t>
  </si>
  <si>
    <t>Sursingh Ki Dhani</t>
  </si>
  <si>
    <t>0811500579087330</t>
  </si>
  <si>
    <t>Sur Singh ka Dhana</t>
  </si>
  <si>
    <t>Raniyasar</t>
  </si>
  <si>
    <t>0811500579087329</t>
  </si>
  <si>
    <t xml:space="preserve">चारगाह विकास कार्य रनियासर </t>
  </si>
  <si>
    <t>Modau</t>
  </si>
  <si>
    <t>0811500579087331</t>
  </si>
  <si>
    <t>Madau</t>
  </si>
  <si>
    <t>TAPRA</t>
  </si>
  <si>
    <t>Tapra</t>
  </si>
  <si>
    <t>0811500579087327</t>
  </si>
  <si>
    <t>TILWARA</t>
  </si>
  <si>
    <t>Tilwara</t>
  </si>
  <si>
    <t>0811500579087272</t>
  </si>
  <si>
    <t>चारागाह विकास कार्य तिलवाडा</t>
  </si>
  <si>
    <t>चारागाह विकास कार्य थान मल्लिनाथ</t>
  </si>
  <si>
    <t>Than Mallinath</t>
  </si>
  <si>
    <t>Jogeshwar Mahadev</t>
  </si>
  <si>
    <t>0811500579087271</t>
  </si>
  <si>
    <t>Jogeshavar Mahadev</t>
  </si>
  <si>
    <t>0811500579087273</t>
  </si>
  <si>
    <t>चारागाह विकास कार्य थान मल्लिनाथ 1</t>
  </si>
  <si>
    <t>Kapuriya Geraabad</t>
  </si>
  <si>
    <t>0811500579087262</t>
  </si>
  <si>
    <t>Kapuriya</t>
  </si>
  <si>
    <t>Borawas</t>
  </si>
  <si>
    <t>0811500579087260</t>
  </si>
  <si>
    <t>चारागाह विकास कार्य बोरावास</t>
  </si>
  <si>
    <t>Variya Varecha</t>
  </si>
  <si>
    <t>0811500579087318</t>
  </si>
  <si>
    <t>चारागाह विकास कार्य वरिया वरेचा</t>
  </si>
  <si>
    <t>Variya (Bhagji)</t>
  </si>
  <si>
    <t>0811500579087324</t>
  </si>
  <si>
    <t>चारागाह विकास कार्य वरिया भगजी</t>
  </si>
  <si>
    <t>Variya Tagji</t>
  </si>
  <si>
    <t>0811500579087319</t>
  </si>
  <si>
    <t>Variya Tagaji</t>
  </si>
  <si>
    <t>Balotra (M)</t>
  </si>
  <si>
    <t>0811500579800549</t>
  </si>
  <si>
    <t>BARMER RURAL</t>
  </si>
  <si>
    <t>ADARSH CHAWA</t>
  </si>
  <si>
    <t>Adarsh Chawa</t>
  </si>
  <si>
    <t>0811500582088298</t>
  </si>
  <si>
    <t>Kerli</t>
  </si>
  <si>
    <t>0811500582088405</t>
  </si>
  <si>
    <t>Pooniyon Ki Basti</t>
  </si>
  <si>
    <t>0811500582088395</t>
  </si>
  <si>
    <t>Hanuman Nagar</t>
  </si>
  <si>
    <t>0811500582088394</t>
  </si>
  <si>
    <t>Indra Colony</t>
  </si>
  <si>
    <t>0811500582088297</t>
  </si>
  <si>
    <t>Gule Ka Nadiya</t>
  </si>
  <si>
    <t>0811500582088299</t>
  </si>
  <si>
    <t>Adrash Dhoondha</t>
  </si>
  <si>
    <t>Adarsh Dhoondha</t>
  </si>
  <si>
    <t>0811500582088276</t>
  </si>
  <si>
    <t>Naguesiyan Dhoondha</t>
  </si>
  <si>
    <t>0811500582088280</t>
  </si>
  <si>
    <t>Chaklani</t>
  </si>
  <si>
    <t>0811500582088277</t>
  </si>
  <si>
    <t>Utarlai (CT)</t>
  </si>
  <si>
    <t>0811500582088468</t>
  </si>
  <si>
    <t>BANDRA</t>
  </si>
  <si>
    <t>Bandra</t>
  </si>
  <si>
    <t>0811500582088267</t>
  </si>
  <si>
    <t>Sansiyon Ki Basti</t>
  </si>
  <si>
    <t>0811500582088279</t>
  </si>
  <si>
    <t>Alaniyon Ki Dhani</t>
  </si>
  <si>
    <t>0811500582088278</t>
  </si>
  <si>
    <t>Chandaniyon Ki Dhani</t>
  </si>
  <si>
    <t>0811500582088268</t>
  </si>
  <si>
    <t>Sodhani Musalmanon Ki Dhani</t>
  </si>
  <si>
    <t>0811500582088269</t>
  </si>
  <si>
    <t>Sar Ka Par</t>
  </si>
  <si>
    <t>0811500582088270</t>
  </si>
  <si>
    <t>BARMER MAGRA</t>
  </si>
  <si>
    <t>Barmer Magra</t>
  </si>
  <si>
    <t>0811500582088262</t>
  </si>
  <si>
    <t>Lalaniyon Ki Dhani</t>
  </si>
  <si>
    <t>0811500582088281</t>
  </si>
  <si>
    <t>Udai Nagar</t>
  </si>
  <si>
    <t>0811500582088263</t>
  </si>
  <si>
    <t>BERIWALA TALA</t>
  </si>
  <si>
    <t>Beriwala Tala</t>
  </si>
  <si>
    <t>0811500582088384</t>
  </si>
  <si>
    <t>Karda Nada</t>
  </si>
  <si>
    <t>0811500582088385</t>
  </si>
  <si>
    <t>Dhadhisar</t>
  </si>
  <si>
    <t>0811500582088386</t>
  </si>
  <si>
    <t>Dhandhisar</t>
  </si>
  <si>
    <t>Godarasar</t>
  </si>
  <si>
    <t>0811500582088383</t>
  </si>
  <si>
    <t>Sanuratal</t>
  </si>
  <si>
    <t>0811500582088387</t>
  </si>
  <si>
    <t>BHADKHA</t>
  </si>
  <si>
    <t>Bhadkha</t>
  </si>
  <si>
    <t>0811500582088189</t>
  </si>
  <si>
    <t xml:space="preserve">चारागाह विकास कार्य भाडखा </t>
  </si>
  <si>
    <t xml:space="preserve">चारागाह विकास कार्य भाडखा 2 </t>
  </si>
  <si>
    <t>0811500582088200</t>
  </si>
  <si>
    <t>Sutharo ki dhani</t>
  </si>
  <si>
    <t>Juneja Mehron Ki Basti</t>
  </si>
  <si>
    <t>0811500582088199</t>
  </si>
  <si>
    <t>Junejo mehro ki Basti</t>
  </si>
  <si>
    <t>Hariyali</t>
  </si>
  <si>
    <t>0811500582088196</t>
  </si>
  <si>
    <t>Jasontaniyon Ki Dhani</t>
  </si>
  <si>
    <t>0811500582088188</t>
  </si>
  <si>
    <t>Jesotaniyo ki Dhani</t>
  </si>
  <si>
    <t>Narnaniyon Ki Dhani</t>
  </si>
  <si>
    <t>0811500582088190</t>
  </si>
  <si>
    <t>Narnaniyo ki dhani</t>
  </si>
  <si>
    <t>BHURTIYA</t>
  </si>
  <si>
    <t>Bhurtiya</t>
  </si>
  <si>
    <t>0811500582088288</t>
  </si>
  <si>
    <t>Bhuratiya</t>
  </si>
  <si>
    <t>Sauonki Dhani</t>
  </si>
  <si>
    <t>0811500582088285</t>
  </si>
  <si>
    <t>Sauo Ki Dhani</t>
  </si>
  <si>
    <t>Naya Bhurtiya</t>
  </si>
  <si>
    <t>0811500582088286</t>
  </si>
  <si>
    <t>Naya Bhuratiya</t>
  </si>
  <si>
    <t>Jagsinghpura</t>
  </si>
  <si>
    <t>0811500582088287</t>
  </si>
  <si>
    <t>Jag Singh</t>
  </si>
  <si>
    <t>CHAWA</t>
  </si>
  <si>
    <t>Chawa</t>
  </si>
  <si>
    <t>0811500582088300</t>
  </si>
  <si>
    <t>Kharinga Kua</t>
  </si>
  <si>
    <t>0811500582088296</t>
  </si>
  <si>
    <t>Dablisara</t>
  </si>
  <si>
    <t>0811500582088294</t>
  </si>
  <si>
    <t>Dabalisara 1</t>
  </si>
  <si>
    <t>Bhagasar</t>
  </si>
  <si>
    <t>0811500582088301</t>
  </si>
  <si>
    <t>Abhaniyon Ka Sara</t>
  </si>
  <si>
    <t>0811500582088295</t>
  </si>
  <si>
    <t>Dhanne Ka Tala</t>
  </si>
  <si>
    <t>Dhane Ka Tala</t>
  </si>
  <si>
    <t>0811500582088382</t>
  </si>
  <si>
    <t>चारागाह विकास कार्य धन्ने का टला</t>
  </si>
  <si>
    <t>Danpura</t>
  </si>
  <si>
    <t>0811500582088370</t>
  </si>
  <si>
    <t>Dewaniyon Ki Dhani</t>
  </si>
  <si>
    <t>0811500582088369</t>
  </si>
  <si>
    <t>Tulchhi Nagar</t>
  </si>
  <si>
    <t>0811500582088381</t>
  </si>
  <si>
    <t>Hemawas</t>
  </si>
  <si>
    <t>0811500582088380</t>
  </si>
  <si>
    <t>Daulatnagar</t>
  </si>
  <si>
    <t>0811500582088379</t>
  </si>
  <si>
    <t>Dautal Nagar</t>
  </si>
  <si>
    <t>Dudiyo Ki Dhani</t>
  </si>
  <si>
    <t>0811500582088423</t>
  </si>
  <si>
    <t>Rawatsar Daksin</t>
  </si>
  <si>
    <t>0811500582088392</t>
  </si>
  <si>
    <t>Rawatsar</t>
  </si>
  <si>
    <t>Gala beri</t>
  </si>
  <si>
    <t>Galaberi</t>
  </si>
  <si>
    <t>0811500582088373</t>
  </si>
  <si>
    <t>Kumbhaberi</t>
  </si>
  <si>
    <t>0811500582088374</t>
  </si>
  <si>
    <t>Khemawas</t>
  </si>
  <si>
    <t>0811500582088377</t>
  </si>
  <si>
    <t>Khetawas</t>
  </si>
  <si>
    <t>0811500582088375</t>
  </si>
  <si>
    <t>Sukhsagar</t>
  </si>
  <si>
    <t>0811500582088376</t>
  </si>
  <si>
    <t>Karnawas</t>
  </si>
  <si>
    <t>0811500582088372</t>
  </si>
  <si>
    <t>Hanumanpura</t>
  </si>
  <si>
    <t>0811500582088378</t>
  </si>
  <si>
    <t>gangasara</t>
  </si>
  <si>
    <t>Gangasara</t>
  </si>
  <si>
    <t>0811500582088420</t>
  </si>
  <si>
    <t>Gomoni Beniwalon Ki Dhani</t>
  </si>
  <si>
    <t>0811500582088425</t>
  </si>
  <si>
    <t>Gorasiyon Ka Tala</t>
  </si>
  <si>
    <t>0811500582088424</t>
  </si>
  <si>
    <t>Lookhon Ka Tala</t>
  </si>
  <si>
    <t>0811500582088413</t>
  </si>
  <si>
    <t>Harduon Ki Dhani</t>
  </si>
  <si>
    <t>0811500582088422</t>
  </si>
  <si>
    <t>Mule Ka Tala</t>
  </si>
  <si>
    <t>0811500582088421</t>
  </si>
  <si>
    <t>JALIPA</t>
  </si>
  <si>
    <t>Jalipa</t>
  </si>
  <si>
    <t>0811500582088264</t>
  </si>
  <si>
    <t xml:space="preserve">चारागाह विकास कार्य जालीपा </t>
  </si>
  <si>
    <t>Chak Dholka</t>
  </si>
  <si>
    <t>0811500582088266</t>
  </si>
  <si>
    <t>Chak Dholasar</t>
  </si>
  <si>
    <t>KAPOORDI</t>
  </si>
  <si>
    <t>Kapoordi</t>
  </si>
  <si>
    <t>0811500582088218</t>
  </si>
  <si>
    <t>Bothiya Purohitan</t>
  </si>
  <si>
    <t>0811500582088201</t>
  </si>
  <si>
    <t>Bothiya Jageer</t>
  </si>
  <si>
    <t>0811500582088202</t>
  </si>
  <si>
    <t>Hindupura</t>
  </si>
  <si>
    <t>Kau Ka Khera</t>
  </si>
  <si>
    <t>0811500582088273</t>
  </si>
  <si>
    <t>Kau ka  Kheda</t>
  </si>
  <si>
    <t>Harupaniyon Ki Dhani</t>
  </si>
  <si>
    <t>0811500582088274</t>
  </si>
  <si>
    <t>Rauji Ki Dhani</t>
  </si>
  <si>
    <t>0811500582088271</t>
  </si>
  <si>
    <t>KAWAS</t>
  </si>
  <si>
    <t>Dhoondha (Kawas)</t>
  </si>
  <si>
    <t>0811500582088275</t>
  </si>
  <si>
    <t>Dhundha</t>
  </si>
  <si>
    <t>Madpura Sani</t>
  </si>
  <si>
    <t>0811500582088272</t>
  </si>
  <si>
    <t>mandpurasani</t>
  </si>
  <si>
    <t>Khariya Tala</t>
  </si>
  <si>
    <t>0811500582088192</t>
  </si>
  <si>
    <t>Magnaniyon Ki Dhani</t>
  </si>
  <si>
    <t>0811500582088197</t>
  </si>
  <si>
    <t>Praganiyon Ki Dhani</t>
  </si>
  <si>
    <t>0811500582088195</t>
  </si>
  <si>
    <t>Jaitaniyon Ki Dhani</t>
  </si>
  <si>
    <t>0811500582088194</t>
  </si>
  <si>
    <t>Bhadkha Purohitan</t>
  </si>
  <si>
    <t>0811500582088191</t>
  </si>
  <si>
    <t>Bhadakha Purohit</t>
  </si>
  <si>
    <t>Panchaniyon Ki Dhani</t>
  </si>
  <si>
    <t>0811500582088193</t>
  </si>
  <si>
    <t>Panchaniyo ki Dhani</t>
  </si>
  <si>
    <t>KHUDASA</t>
  </si>
  <si>
    <t>Khudasa</t>
  </si>
  <si>
    <t>0811500582088435</t>
  </si>
  <si>
    <t>Kadwasron Ki Dhani</t>
  </si>
  <si>
    <t>0811500582088433</t>
  </si>
  <si>
    <t>Kadawasaro ki Dhani</t>
  </si>
  <si>
    <t>Jaitaniyon Ka tala</t>
  </si>
  <si>
    <t>0811500582088431</t>
  </si>
  <si>
    <t>Jaitaniyo ki Dhani</t>
  </si>
  <si>
    <t>Maylon Ka Der</t>
  </si>
  <si>
    <t>0811500582088432</t>
  </si>
  <si>
    <t>Mayalo Ki Der</t>
  </si>
  <si>
    <t>Khariga Kua</t>
  </si>
  <si>
    <t>KUDLA</t>
  </si>
  <si>
    <t>Kudla</t>
  </si>
  <si>
    <t>0811500582088306</t>
  </si>
  <si>
    <t>चारागाह विकास कार्य कुडला</t>
  </si>
  <si>
    <t xml:space="preserve">Beriwala </t>
  </si>
  <si>
    <t>0811500582088307</t>
  </si>
  <si>
    <t xml:space="preserve">चारागाह विकास कार्य बेरी वाला </t>
  </si>
  <si>
    <t>Parbhuji ka was</t>
  </si>
  <si>
    <t>23.12.21</t>
  </si>
  <si>
    <t>Lakhetali</t>
  </si>
  <si>
    <t>0811500582088219</t>
  </si>
  <si>
    <t>चारागाह विकास कार्य लाखेटाली</t>
  </si>
  <si>
    <t>Viram Nagar</t>
  </si>
  <si>
    <t>0811500582088265</t>
  </si>
  <si>
    <t>Jatiya Kumaharon Ki Basti</t>
  </si>
  <si>
    <t>0811500582088220</t>
  </si>
  <si>
    <t>Magne Ki Dhani</t>
  </si>
  <si>
    <t>0811500582088305</t>
  </si>
  <si>
    <t>Nathaniyon Ka Was</t>
  </si>
  <si>
    <t>0811500582088284</t>
  </si>
  <si>
    <t>Bakaniyon Ka Was</t>
  </si>
  <si>
    <t>0811500582088283</t>
  </si>
  <si>
    <t>Bakaniyo ki Dhani</t>
  </si>
  <si>
    <t>Lani Kantha</t>
  </si>
  <si>
    <t>0811500582088282</t>
  </si>
  <si>
    <t>Siyolo Ki Dhani</t>
  </si>
  <si>
    <t>Matasar</t>
  </si>
  <si>
    <t>0811500582088289</t>
  </si>
  <si>
    <t>Navji Ka Pana</t>
  </si>
  <si>
    <t>0811500582088293</t>
  </si>
  <si>
    <t xml:space="preserve">Navaji Ka Pana </t>
  </si>
  <si>
    <t>Dakshini Matasar</t>
  </si>
  <si>
    <t>0811500582088292</t>
  </si>
  <si>
    <t>west Matasar</t>
  </si>
  <si>
    <t>Purvi Matasar</t>
  </si>
  <si>
    <t>0811500582088291</t>
  </si>
  <si>
    <t>east Matasar</t>
  </si>
  <si>
    <t>0811500582088290</t>
  </si>
  <si>
    <t>Daukiyo ki Dhani</t>
  </si>
  <si>
    <t>MOODHON KI DHANI</t>
  </si>
  <si>
    <t>Moodhnon Ki Dhani</t>
  </si>
  <si>
    <t>0811500582088404</t>
  </si>
  <si>
    <t>चारागाह विकास कार्य मूढो की ढाणी</t>
  </si>
  <si>
    <t>Purohition Ki Basti</t>
  </si>
  <si>
    <t>0811500582088225</t>
  </si>
  <si>
    <t>चारागाह विकास कार्य पुरोहितो की बस्ती</t>
  </si>
  <si>
    <t>Vishnasar</t>
  </si>
  <si>
    <t>0811500582088222</t>
  </si>
  <si>
    <t>Vishanasar</t>
  </si>
  <si>
    <t>Nagana</t>
  </si>
  <si>
    <t>0811500582088223</t>
  </si>
  <si>
    <t>Bhation Ka Der</t>
  </si>
  <si>
    <t>0811500582088221</t>
  </si>
  <si>
    <t>Bhato ka Der</t>
  </si>
  <si>
    <t>चारागाह विकास कार्य महादेव नगर</t>
  </si>
  <si>
    <t>Khatiyo Meghawalo  ki Dhani</t>
  </si>
  <si>
    <t>Motiyoniyon Ka Tala</t>
  </si>
  <si>
    <t>0811500582088411</t>
  </si>
  <si>
    <t>Motoyoniyo Ka Tala</t>
  </si>
  <si>
    <t>Daulaniyonka Tala</t>
  </si>
  <si>
    <t>0811500582088412</t>
  </si>
  <si>
    <t>Bhanbhuo Ki Dhani</t>
  </si>
  <si>
    <t>0811500582088406</t>
  </si>
  <si>
    <t>Naukh</t>
  </si>
  <si>
    <t>0811500582088430</t>
  </si>
  <si>
    <t>Nokh</t>
  </si>
  <si>
    <t>Pokar Bhadu Ki Dhani</t>
  </si>
  <si>
    <t>0811500582088434</t>
  </si>
  <si>
    <t>Pokar Bhaadu</t>
  </si>
  <si>
    <t>Siyagon Ki Dhani</t>
  </si>
  <si>
    <t>0811500582088427</t>
  </si>
  <si>
    <t>Bakhse Ka Tala</t>
  </si>
  <si>
    <t>0811500582088426</t>
  </si>
  <si>
    <t>Ram sar ka kua</t>
  </si>
  <si>
    <t>Ramsar Ka Kua</t>
  </si>
  <si>
    <t>0811500582088304</t>
  </si>
  <si>
    <t>Sangana Kua</t>
  </si>
  <si>
    <t>0811500582088388</t>
  </si>
  <si>
    <t>Dhoneri Talar</t>
  </si>
  <si>
    <t>0811500582088303</t>
  </si>
  <si>
    <t>Ghonari Talar</t>
  </si>
  <si>
    <t>Dhonari Nadi</t>
  </si>
  <si>
    <t>0811500582088302</t>
  </si>
  <si>
    <t>Ghonari Nadi</t>
  </si>
  <si>
    <t>RAWATSAR</t>
  </si>
  <si>
    <t>0811500582088389</t>
  </si>
  <si>
    <t>Rawarsar</t>
  </si>
  <si>
    <t>Prem Sagar</t>
  </si>
  <si>
    <t>0811500582088393</t>
  </si>
  <si>
    <t>Rawatsar Paschim</t>
  </si>
  <si>
    <t>0811500582088391</t>
  </si>
  <si>
    <t>Rawatsar Purv</t>
  </si>
  <si>
    <t>0811500582088390</t>
  </si>
  <si>
    <t>ROHILI</t>
  </si>
  <si>
    <t>Rohili</t>
  </si>
  <si>
    <t>0811500582088198</t>
  </si>
  <si>
    <t>चारागाह विकास कार्य फकीरों की बस्ती</t>
  </si>
  <si>
    <t>SANJATA</t>
  </si>
  <si>
    <t>Sanjata</t>
  </si>
  <si>
    <t>0811500582088408</t>
  </si>
  <si>
    <t>चारागाह विकास कार्य सांजटा</t>
  </si>
  <si>
    <t>Poulaniyon Ki Dhani</t>
  </si>
  <si>
    <t>0811500582088409</t>
  </si>
  <si>
    <t>Asuon Ki Dhani</t>
  </si>
  <si>
    <t>0811500582088410</t>
  </si>
  <si>
    <t>0811500582088407</t>
  </si>
  <si>
    <t>SARLI</t>
  </si>
  <si>
    <t>Sarli</t>
  </si>
  <si>
    <t>0811500582088417</t>
  </si>
  <si>
    <t xml:space="preserve">चारागाह विकास कार्य सरली </t>
  </si>
  <si>
    <t>Dudiyon Ka Tala</t>
  </si>
  <si>
    <t>0811500582088416</t>
  </si>
  <si>
    <t>Dudiyo ka Tala</t>
  </si>
  <si>
    <t>Dhiraniyon Ki Dhani</t>
  </si>
  <si>
    <t>0811500582088429</t>
  </si>
  <si>
    <t>Dhiraniyo ki Dhani</t>
  </si>
  <si>
    <t>Legon Ka Tala</t>
  </si>
  <si>
    <t>0811500582088415</t>
  </si>
  <si>
    <t>Lego ka tala</t>
  </si>
  <si>
    <t>Goron Ka Tala</t>
  </si>
  <si>
    <t>0811500582088414</t>
  </si>
  <si>
    <t>Goro ka tala</t>
  </si>
  <si>
    <t>Bankasar</t>
  </si>
  <si>
    <t>0811500582088418</t>
  </si>
  <si>
    <t>Banka sar</t>
  </si>
  <si>
    <t>Dharmani Gorsiyon Ka Gala</t>
  </si>
  <si>
    <t>0811500582088419</t>
  </si>
  <si>
    <t>Dharmani gorshiyo ka gala</t>
  </si>
  <si>
    <t>Sarli Kalan</t>
  </si>
  <si>
    <t>0811500582088428</t>
  </si>
  <si>
    <t>Sarali Kala</t>
  </si>
  <si>
    <t>Aajoni Hudo ki Dhani</t>
  </si>
  <si>
    <t>Bano ka tala</t>
  </si>
  <si>
    <t>Ghemr Pura</t>
  </si>
  <si>
    <t>Purkhani Hudo ka tala</t>
  </si>
  <si>
    <t>Ramani sarno ki Dhani</t>
  </si>
  <si>
    <t>sarnoo panji</t>
  </si>
  <si>
    <t>Sarnoo Panji</t>
  </si>
  <si>
    <t>0811500582088397</t>
  </si>
  <si>
    <t>चारागाह विकास कार्य सरनु पनजी</t>
  </si>
  <si>
    <t>Ramnagar</t>
  </si>
  <si>
    <t>0811500582088401</t>
  </si>
  <si>
    <t>Ram Nagar</t>
  </si>
  <si>
    <t>Indra Nagar</t>
  </si>
  <si>
    <t>0811500582088399</t>
  </si>
  <si>
    <t>Sarnoo Bhimji</t>
  </si>
  <si>
    <t>0811500582088398</t>
  </si>
  <si>
    <t>Sarnu Bheemaji</t>
  </si>
  <si>
    <t>SARNU CHIMANJI</t>
  </si>
  <si>
    <t>Sarnoo Chimanji</t>
  </si>
  <si>
    <t>0811500582088402</t>
  </si>
  <si>
    <t>sarnu chimanji</t>
  </si>
  <si>
    <t>Akal</t>
  </si>
  <si>
    <t>0811500582088400</t>
  </si>
  <si>
    <t xml:space="preserve">चारागाह विकास कार्य Ankal </t>
  </si>
  <si>
    <t>Ankal</t>
  </si>
  <si>
    <t>Potliyasar</t>
  </si>
  <si>
    <t>0811500582088403</t>
  </si>
  <si>
    <t>Raikon Ki Dhani</t>
  </si>
  <si>
    <t>0811500582088396</t>
  </si>
  <si>
    <t>Moodhonki Dhani</t>
  </si>
  <si>
    <t>0811500582088224</t>
  </si>
  <si>
    <t>SHIVKAR</t>
  </si>
  <si>
    <t>Shivkar</t>
  </si>
  <si>
    <t>0811500582088367</t>
  </si>
  <si>
    <t>चारागाह विकास कार्य शिवकर</t>
  </si>
  <si>
    <t>Heerpura</t>
  </si>
  <si>
    <t>0811500582088371</t>
  </si>
  <si>
    <t>0811500582088368</t>
  </si>
  <si>
    <t>Nenava</t>
  </si>
  <si>
    <t>0811500582088366</t>
  </si>
  <si>
    <t>Ajabnagar</t>
  </si>
  <si>
    <t>0811500582088365</t>
  </si>
  <si>
    <t>Vidasar</t>
  </si>
  <si>
    <t>Bidasar</t>
  </si>
  <si>
    <t>0811500582088261</t>
  </si>
  <si>
    <t>CHOHTAN</t>
  </si>
  <si>
    <t>AAKORA</t>
  </si>
  <si>
    <t>Aakora</t>
  </si>
  <si>
    <t>0811500584088659</t>
  </si>
  <si>
    <t>Aakoda</t>
  </si>
  <si>
    <t>Chohtan</t>
  </si>
  <si>
    <t>Dudhwa Khurd</t>
  </si>
  <si>
    <t>0811500584088655</t>
  </si>
  <si>
    <t>Dudhva Khurd</t>
  </si>
  <si>
    <t>Mahendrapura</t>
  </si>
  <si>
    <t>0811500584088656</t>
  </si>
  <si>
    <t>Jethmalpura</t>
  </si>
  <si>
    <t>0811500584088657</t>
  </si>
  <si>
    <t>ANTIYA</t>
  </si>
  <si>
    <t>Antiya</t>
  </si>
  <si>
    <t>0811500584088710</t>
  </si>
  <si>
    <t>Aatiya</t>
  </si>
  <si>
    <t>20.3.23</t>
  </si>
  <si>
    <t>Gorsiyon Ka Tala</t>
  </si>
  <si>
    <t>0811500584088711</t>
  </si>
  <si>
    <t>Gorshiyo ka tala</t>
  </si>
  <si>
    <t>Dudhadiyon Ka Tala</t>
  </si>
  <si>
    <t>0811500584088706</t>
  </si>
  <si>
    <t>Dudhadiyo ka tala</t>
  </si>
  <si>
    <t xml:space="preserve">Bachdau </t>
  </si>
  <si>
    <t>Bachadau</t>
  </si>
  <si>
    <t>चारागाह विकास कार्य बाचडाऊ</t>
  </si>
  <si>
    <t>Bachdau</t>
  </si>
  <si>
    <t xml:space="preserve">Rugpura </t>
  </si>
  <si>
    <t>Sahidpura</t>
  </si>
  <si>
    <t>Arbi Ki Gafan</t>
  </si>
  <si>
    <t>0811500584088764</t>
  </si>
  <si>
    <t>Hejam Ka Bhara</t>
  </si>
  <si>
    <t>0811500584088767</t>
  </si>
  <si>
    <t>Udsiyar</t>
  </si>
  <si>
    <t>0811500584088768</t>
  </si>
  <si>
    <t>Majnani</t>
  </si>
  <si>
    <t>0811500584088765</t>
  </si>
  <si>
    <t>Tamachi Ki Gafan</t>
  </si>
  <si>
    <t>0811500584088755</t>
  </si>
  <si>
    <t>BAORI KALLAN</t>
  </si>
  <si>
    <t>Bawri Kalan</t>
  </si>
  <si>
    <t>0811500584088796</t>
  </si>
  <si>
    <t>Rodiyon Ka Tala</t>
  </si>
  <si>
    <t>0811500584088795</t>
  </si>
  <si>
    <t>BHOJARIYA</t>
  </si>
  <si>
    <t>Bhojariya</t>
  </si>
  <si>
    <t>0811500584088746</t>
  </si>
  <si>
    <t>Naya Bhojariya</t>
  </si>
  <si>
    <t>0811500584088753</t>
  </si>
  <si>
    <t>Chhota Bhojariya</t>
  </si>
  <si>
    <t>0811500584088752</t>
  </si>
  <si>
    <t>Kiphayat Nagar</t>
  </si>
  <si>
    <t>0811500584088747</t>
  </si>
  <si>
    <t>BIJRAD</t>
  </si>
  <si>
    <t>Bijrar</t>
  </si>
  <si>
    <t>0811500584088776</t>
  </si>
  <si>
    <t>Bijarad</t>
  </si>
  <si>
    <t>Haji alane ka Tala</t>
  </si>
  <si>
    <t>Sevron Ki Basti</t>
  </si>
  <si>
    <t>0811500584088774</t>
  </si>
  <si>
    <t>Sewaro Ki dhani</t>
  </si>
  <si>
    <t>Daukiyon Ki Basti</t>
  </si>
  <si>
    <t>0811500584088775</t>
  </si>
  <si>
    <t>Daukiya ki Basti</t>
  </si>
  <si>
    <t>Sukaliya</t>
  </si>
  <si>
    <t>0811500584088777</t>
  </si>
  <si>
    <t>Machron Ka Tala</t>
  </si>
  <si>
    <t>0811500584088772</t>
  </si>
  <si>
    <t>Machro ka Tala</t>
  </si>
  <si>
    <t>Nehron Ki Basti</t>
  </si>
  <si>
    <t>0811500584088771</t>
  </si>
  <si>
    <t>Meharo ki Basti</t>
  </si>
  <si>
    <t>BOOTH RATHORAN</t>
  </si>
  <si>
    <t>Booth Rathoran</t>
  </si>
  <si>
    <t>0811500584088799</t>
  </si>
  <si>
    <t>Hazi Ka Tala</t>
  </si>
  <si>
    <t>0811500584088797</t>
  </si>
  <si>
    <t>Abdula Ka Tala</t>
  </si>
  <si>
    <t>0811500584088798</t>
  </si>
  <si>
    <t>Malei Ka Tala</t>
  </si>
  <si>
    <t>0811500584088800</t>
  </si>
  <si>
    <t>Ali Ki Basti</t>
  </si>
  <si>
    <t>0811500584088801</t>
  </si>
  <si>
    <t>Guloniyon Ki Dhani</t>
  </si>
  <si>
    <t>0811500584088802</t>
  </si>
  <si>
    <t>0811500584088647</t>
  </si>
  <si>
    <t>Chohtan Aagor</t>
  </si>
  <si>
    <t>Vishnu Nagar</t>
  </si>
  <si>
    <t>0811500584088648</t>
  </si>
  <si>
    <t>Ambedkar Nagar</t>
  </si>
  <si>
    <t>0811500584088649</t>
  </si>
  <si>
    <t>Rajeev Nagar</t>
  </si>
  <si>
    <t>0811500584088650</t>
  </si>
  <si>
    <t>Jambheswar Nagar</t>
  </si>
  <si>
    <t>0811500584088651</t>
  </si>
  <si>
    <t>0811500584088652</t>
  </si>
  <si>
    <t>DEDUSAR</t>
  </si>
  <si>
    <t>Dedoosar</t>
  </si>
  <si>
    <t>0811500584088780</t>
  </si>
  <si>
    <t>Bhara Gulmohmmad</t>
  </si>
  <si>
    <t>0811500584088794</t>
  </si>
  <si>
    <t>Ali Ki Dhani</t>
  </si>
  <si>
    <t>0811500584088793</t>
  </si>
  <si>
    <t>Prem Singh Ki Dhani</t>
  </si>
  <si>
    <t>0811500584088779</t>
  </si>
  <si>
    <t>DHARASAR</t>
  </si>
  <si>
    <t>Dharasar</t>
  </si>
  <si>
    <t>0811500584088726</t>
  </si>
  <si>
    <t>Darjion Ka Tala</t>
  </si>
  <si>
    <t>0811500584088723</t>
  </si>
  <si>
    <t>Adarsh Dharasar</t>
  </si>
  <si>
    <t>0811500584088724</t>
  </si>
  <si>
    <t>Aidan Ki Dhani</t>
  </si>
  <si>
    <t>0811500584088725</t>
  </si>
  <si>
    <t>Saiyon Ki Basti</t>
  </si>
  <si>
    <t>0811500584088728</t>
  </si>
  <si>
    <t>DHOK</t>
  </si>
  <si>
    <t>Dhok</t>
  </si>
  <si>
    <t>0811500584088717</t>
  </si>
  <si>
    <t xml:space="preserve">चारागाह विकाश कार्य ढोक </t>
  </si>
  <si>
    <t>Ghoniya</t>
  </si>
  <si>
    <t>Meghsingh Ki Dhani</t>
  </si>
  <si>
    <t>0811500584088720</t>
  </si>
  <si>
    <t>Meghsingh  ki Dhani</t>
  </si>
  <si>
    <t xml:space="preserve">Ghoniya </t>
  </si>
  <si>
    <t>0811500584088721</t>
  </si>
  <si>
    <t>Bhima Ram suthar ki Dhani</t>
  </si>
  <si>
    <t>Kothe Ka Tala</t>
  </si>
  <si>
    <t>0811500584088722</t>
  </si>
  <si>
    <t xml:space="preserve">Kothe ka tala </t>
  </si>
  <si>
    <t>GOLIYAR</t>
  </si>
  <si>
    <t>Bhariyon Ki Basti</t>
  </si>
  <si>
    <t>0811500584088688</t>
  </si>
  <si>
    <t>Bhariyo ki Basti</t>
  </si>
  <si>
    <t>Goliyar</t>
  </si>
  <si>
    <t>Ranisar</t>
  </si>
  <si>
    <t>0811500584088682</t>
  </si>
  <si>
    <t>Bhadupura</t>
  </si>
  <si>
    <t>0811500584088684</t>
  </si>
  <si>
    <t>0811500584088687</t>
  </si>
  <si>
    <t>Neembali</t>
  </si>
  <si>
    <t>0811500584088685</t>
  </si>
  <si>
    <t>Nimbali</t>
  </si>
  <si>
    <t>Shivpura</t>
  </si>
  <si>
    <t>0811500584088686</t>
  </si>
  <si>
    <t>GUMANE KA TALA</t>
  </si>
  <si>
    <t>Gumane Ka Tala</t>
  </si>
  <si>
    <t>0811500584088791</t>
  </si>
  <si>
    <t>Hoodo Ka Tala</t>
  </si>
  <si>
    <t>0811500584088730</t>
  </si>
  <si>
    <t>Bajrangpura</t>
  </si>
  <si>
    <t>0811500584088732</t>
  </si>
  <si>
    <t>Nandram Ki Dhani</t>
  </si>
  <si>
    <t>0811500584088731</t>
  </si>
  <si>
    <t>Ramji Ki Dhani</t>
  </si>
  <si>
    <t>0811500584088727</t>
  </si>
  <si>
    <t>0811500584088729</t>
  </si>
  <si>
    <t>Ishrol</t>
  </si>
  <si>
    <t>12.7.23</t>
  </si>
  <si>
    <t>JAISAR</t>
  </si>
  <si>
    <t>Jaisar</t>
  </si>
  <si>
    <t>0811500584088744</t>
  </si>
  <si>
    <t>Bankalsar</t>
  </si>
  <si>
    <t>0811500584088741</t>
  </si>
  <si>
    <t>0811500584088745</t>
  </si>
  <si>
    <t>Jairamderiya</t>
  </si>
  <si>
    <t>0811500584088740</t>
  </si>
  <si>
    <t>Meghpura</t>
  </si>
  <si>
    <t>0811500584088742</t>
  </si>
  <si>
    <t>0811500584088743</t>
  </si>
  <si>
    <t>Joona Lakhwara</t>
  </si>
  <si>
    <t>0811500584088707</t>
  </si>
  <si>
    <t>Juna Lakhawara</t>
  </si>
  <si>
    <t>0811500584088708</t>
  </si>
  <si>
    <t>Jaton Ki Basti</t>
  </si>
  <si>
    <t>0811500584088702</t>
  </si>
  <si>
    <t>Jato Ki Basti</t>
  </si>
  <si>
    <t>Lakhwara</t>
  </si>
  <si>
    <t>0811500584088709</t>
  </si>
  <si>
    <t>Lakhawara</t>
  </si>
  <si>
    <t>KAPRAU</t>
  </si>
  <si>
    <t>Kaprau</t>
  </si>
  <si>
    <t>0811500584088713</t>
  </si>
  <si>
    <t>Chamanpura</t>
  </si>
  <si>
    <t>0811500584088715</t>
  </si>
  <si>
    <t>Tajaniyon Ka Tala</t>
  </si>
  <si>
    <t>0811500584088718</t>
  </si>
  <si>
    <t>Sewron Ka Tala</t>
  </si>
  <si>
    <t>0811500584088714</t>
  </si>
  <si>
    <t>Devaniyon Ka Tala</t>
  </si>
  <si>
    <t>0811500584088712</t>
  </si>
  <si>
    <t>Ishwarpura</t>
  </si>
  <si>
    <t>0811500584088716</t>
  </si>
  <si>
    <t>Kharavala</t>
  </si>
  <si>
    <t>13.7.23</t>
  </si>
  <si>
    <t>Neembala</t>
  </si>
  <si>
    <t>KELNORE</t>
  </si>
  <si>
    <t>Kelnor</t>
  </si>
  <si>
    <t>0811500584088786</t>
  </si>
  <si>
    <t>Kalyanpura</t>
  </si>
  <si>
    <t>0811500584088766</t>
  </si>
  <si>
    <t>Ummedpura</t>
  </si>
  <si>
    <t>0811500584088763</t>
  </si>
  <si>
    <t>Hejam Ka Tala</t>
  </si>
  <si>
    <t>0811500584088762</t>
  </si>
  <si>
    <t>Rasbani</t>
  </si>
  <si>
    <t>0811500584088761</t>
  </si>
  <si>
    <t>Kernada</t>
  </si>
  <si>
    <t>Kairnada</t>
  </si>
  <si>
    <t>0811500584088646</t>
  </si>
  <si>
    <t>Keranada</t>
  </si>
  <si>
    <t>Gujaro ka Tala</t>
  </si>
  <si>
    <t>Bhakhar Pura</t>
  </si>
  <si>
    <t>0811500584088645</t>
  </si>
  <si>
    <t>Bhakharpura</t>
  </si>
  <si>
    <t>Jato Ki Dhani</t>
  </si>
  <si>
    <t>0811500584088644</t>
  </si>
  <si>
    <t>Jato ki Dhani</t>
  </si>
  <si>
    <t>Chuli Doongri</t>
  </si>
  <si>
    <t>0811500584088643</t>
  </si>
  <si>
    <t>Chuliugani</t>
  </si>
  <si>
    <t>KONRA</t>
  </si>
  <si>
    <t>Konra</t>
  </si>
  <si>
    <t>0811500584088809</t>
  </si>
  <si>
    <t>Sundarnagar</t>
  </si>
  <si>
    <t>0811500584088806</t>
  </si>
  <si>
    <t>Soorpura</t>
  </si>
  <si>
    <t>0811500584088805</t>
  </si>
  <si>
    <t>Maluk Ka Tala</t>
  </si>
  <si>
    <t>0811500584088807</t>
  </si>
  <si>
    <t>Ummed Nagar</t>
  </si>
  <si>
    <t>0811500584088804</t>
  </si>
  <si>
    <t>Mehrangadh</t>
  </si>
  <si>
    <t>0811500584088811</t>
  </si>
  <si>
    <t>Khem pura</t>
  </si>
  <si>
    <t>13.7.25</t>
  </si>
  <si>
    <t>Konra Vilayatshah</t>
  </si>
  <si>
    <t>Thoriyo ka tala</t>
  </si>
  <si>
    <t>Manglasar</t>
  </si>
  <si>
    <t>0811500584088808</t>
  </si>
  <si>
    <t>Amrawas</t>
  </si>
  <si>
    <t>0811500584088810</t>
  </si>
  <si>
    <t>Ratanpura</t>
  </si>
  <si>
    <t>0811500584088803</t>
  </si>
  <si>
    <t>Leelsir</t>
  </si>
  <si>
    <t>Siyag pura</t>
  </si>
  <si>
    <t>10.7.23</t>
  </si>
  <si>
    <t>Sharvan Nagar</t>
  </si>
  <si>
    <t>Pemaniyo ki dhani</t>
  </si>
  <si>
    <t>Godaro ka  tala</t>
  </si>
  <si>
    <t>Shar pura</t>
  </si>
  <si>
    <t>Mate ka tala</t>
  </si>
  <si>
    <t>Mate Ka Tala</t>
  </si>
  <si>
    <t>0811500584088778</t>
  </si>
  <si>
    <t>Mate ka Tala</t>
  </si>
  <si>
    <t>Panoniyon Ki Dhani</t>
  </si>
  <si>
    <t>0811500584088719</t>
  </si>
  <si>
    <t>Pananiyo ki Dhani</t>
  </si>
  <si>
    <t>Mukane ka tala</t>
  </si>
  <si>
    <t>Gogadevo ka Tala</t>
  </si>
  <si>
    <t>Sakariya Tala</t>
  </si>
  <si>
    <t>MITHRAU</t>
  </si>
  <si>
    <t>Mitharaoo</t>
  </si>
  <si>
    <t>0811500584088790</t>
  </si>
  <si>
    <t>Mithrau</t>
  </si>
  <si>
    <t>14.7.23</t>
  </si>
  <si>
    <t>Netarad</t>
  </si>
  <si>
    <t>Adrash Nagar</t>
  </si>
  <si>
    <t>Kheraj ka Tala</t>
  </si>
  <si>
    <t>Bhaduo ka Tala</t>
  </si>
  <si>
    <t>aajad Nag</t>
  </si>
  <si>
    <t>NAWATALA JETMAL</t>
  </si>
  <si>
    <t>0811500584088792</t>
  </si>
  <si>
    <t>Meghatar</t>
  </si>
  <si>
    <t>Godaro ki Dhani</t>
  </si>
  <si>
    <t>Lunva Khurd</t>
  </si>
  <si>
    <t>Khuda</t>
  </si>
  <si>
    <t>Sangaraniyo Ki Beri</t>
  </si>
  <si>
    <t>Bhimgarh</t>
  </si>
  <si>
    <t>Pratapgarh</t>
  </si>
  <si>
    <t>0811500584088788</t>
  </si>
  <si>
    <t>Lumba Was</t>
  </si>
  <si>
    <t>0811500584088787</t>
  </si>
  <si>
    <t>Vilo ki Dhani</t>
  </si>
  <si>
    <t>0811500584088759</t>
  </si>
  <si>
    <t>Panoniyo ka Tala</t>
  </si>
  <si>
    <t>Balau Jati</t>
  </si>
  <si>
    <t>Pananiyo ka Tala</t>
  </si>
  <si>
    <t>Taratra</t>
  </si>
  <si>
    <t>11.7.23</t>
  </si>
  <si>
    <t>Bhomasar</t>
  </si>
  <si>
    <t>veerdasar</t>
  </si>
  <si>
    <t>Tajasar</t>
  </si>
  <si>
    <t>sharno ka tala</t>
  </si>
  <si>
    <t>Sahid dharma ram Nagar</t>
  </si>
  <si>
    <t>naroniyo ka tala</t>
  </si>
  <si>
    <t>heeroniVirdo ki dhani</t>
  </si>
  <si>
    <t>Ladhusara</t>
  </si>
  <si>
    <t>Valasar</t>
  </si>
  <si>
    <t>Surjanpura</t>
  </si>
  <si>
    <t>Hudasar</t>
  </si>
  <si>
    <t>Puroniyo ka tala</t>
  </si>
  <si>
    <t>14.7.25</t>
  </si>
  <si>
    <t>Pataukala</t>
  </si>
  <si>
    <t>0811500584088672</t>
  </si>
  <si>
    <t>Rajpura</t>
  </si>
  <si>
    <t>0811500584088675</t>
  </si>
  <si>
    <t>Opji ki dhani</t>
  </si>
  <si>
    <t>0811500584088671</t>
  </si>
  <si>
    <t>Neemba kheda</t>
  </si>
  <si>
    <t>0811500584088674</t>
  </si>
  <si>
    <t>Padiharo ki dhani</t>
  </si>
  <si>
    <t>0811500584088670</t>
  </si>
  <si>
    <t>sahib nagar</t>
  </si>
  <si>
    <t>0811500584088673</t>
  </si>
  <si>
    <t>Hapanada</t>
  </si>
  <si>
    <t>0811500584088669</t>
  </si>
  <si>
    <t>shrimali</t>
  </si>
  <si>
    <t>0811500584088676</t>
  </si>
  <si>
    <t>Pariharo ki Dhani</t>
  </si>
  <si>
    <t>0811500584088668</t>
  </si>
  <si>
    <t>Aambedakar nagar</t>
  </si>
  <si>
    <t>0811500584088678</t>
  </si>
  <si>
    <t>Panchla</t>
  </si>
  <si>
    <t>0811500584088677</t>
  </si>
  <si>
    <t>Pawariya</t>
  </si>
  <si>
    <t>Budiyon Ka Tala</t>
  </si>
  <si>
    <t>Leelsar Dakhnad</t>
  </si>
  <si>
    <t>Paradiaya</t>
  </si>
  <si>
    <t>Suthar ki Basti</t>
  </si>
  <si>
    <t>Devpura</t>
  </si>
  <si>
    <t>Poshal</t>
  </si>
  <si>
    <t>0811500584088769</t>
  </si>
  <si>
    <t>0811500584088770</t>
  </si>
  <si>
    <t>Lavagi Nagar</t>
  </si>
  <si>
    <t>0811500584088773</t>
  </si>
  <si>
    <t>Udaniyo ki Dhani</t>
  </si>
  <si>
    <t>0811500584088754</t>
  </si>
  <si>
    <t>RAMJAN KI GAFAN</t>
  </si>
  <si>
    <t>Roli</t>
  </si>
  <si>
    <t>0811500584088757</t>
  </si>
  <si>
    <t xml:space="preserve">Rawali Nadi </t>
  </si>
  <si>
    <t>0811500584088789</t>
  </si>
  <si>
    <t>Dholi Nadi</t>
  </si>
  <si>
    <t>0811500584088756</t>
  </si>
  <si>
    <t xml:space="preserve">Sindhasava Chouhan </t>
  </si>
  <si>
    <t>0811500584088760</t>
  </si>
  <si>
    <t>Judi</t>
  </si>
  <si>
    <t>0811500584088758</t>
  </si>
  <si>
    <t>Tabo ka Dhora</t>
  </si>
  <si>
    <t>0811500584088751</t>
  </si>
  <si>
    <t>Balau  sashn</t>
  </si>
  <si>
    <t>0811500584088750</t>
  </si>
  <si>
    <t>Rbaranada</t>
  </si>
  <si>
    <t>0811500584088749</t>
  </si>
  <si>
    <t>Kalawatsar</t>
  </si>
  <si>
    <t>0811500584088748</t>
  </si>
  <si>
    <t>RATASAR</t>
  </si>
  <si>
    <t>Sitali</t>
  </si>
  <si>
    <t>0811500584088737</t>
  </si>
  <si>
    <t>kapurdi</t>
  </si>
  <si>
    <t>0811500584088735</t>
  </si>
  <si>
    <t>Haliya</t>
  </si>
  <si>
    <t>0811500584088736</t>
  </si>
  <si>
    <t>Mool ki dhani</t>
  </si>
  <si>
    <t>0811500584088739</t>
  </si>
  <si>
    <t>charlaee khurd</t>
  </si>
  <si>
    <t>0811500584088738</t>
  </si>
  <si>
    <t>Rawli dhani</t>
  </si>
  <si>
    <t>0811500584088734</t>
  </si>
  <si>
    <t>Charno ka vas</t>
  </si>
  <si>
    <t>0811500584088733</t>
  </si>
  <si>
    <t>SANAU</t>
  </si>
  <si>
    <t>Savrda</t>
  </si>
  <si>
    <t>0811500584088681</t>
  </si>
  <si>
    <t>Bhuti</t>
  </si>
  <si>
    <t>0811500584088683</t>
  </si>
  <si>
    <t>Abugarah</t>
  </si>
  <si>
    <t>0811500584088680</t>
  </si>
  <si>
    <t>Sanwlor</t>
  </si>
  <si>
    <t>0811500584088660</t>
  </si>
  <si>
    <t>Padradi Khurd</t>
  </si>
  <si>
    <t>0811500584088663</t>
  </si>
  <si>
    <t>0811500584088658</t>
  </si>
  <si>
    <t>0811500584088661</t>
  </si>
  <si>
    <t>0811500584088662</t>
  </si>
  <si>
    <t>Sobhala Jetmalan</t>
  </si>
  <si>
    <t>0811500584088784</t>
  </si>
  <si>
    <t>04.09.23</t>
  </si>
  <si>
    <t>Ranjeetpura</t>
  </si>
  <si>
    <t>0811500584088785</t>
  </si>
  <si>
    <t>Roheera Nadi</t>
  </si>
  <si>
    <t>0811500584088781</t>
  </si>
  <si>
    <t>Lidiyala</t>
  </si>
  <si>
    <t>0811500584088783</t>
  </si>
  <si>
    <t>Beendoniyon Ki Dhani</t>
  </si>
  <si>
    <t>0811500584088782</t>
  </si>
  <si>
    <t>Sodiyar</t>
  </si>
  <si>
    <t>Lakhasar</t>
  </si>
  <si>
    <t xml:space="preserve">चारागाह विकास कार्य लाखासर </t>
  </si>
  <si>
    <t>Aeronwala</t>
  </si>
  <si>
    <t>TARATARAMATH</t>
  </si>
  <si>
    <t>Gomarakh dham</t>
  </si>
  <si>
    <t>0811500584088665</t>
  </si>
  <si>
    <t xml:space="preserve">चारागाह विकास गोमरख धाम </t>
  </si>
  <si>
    <t>Lango ki Dhani</t>
  </si>
  <si>
    <t>0811500584088667</t>
  </si>
  <si>
    <t>Muhado ki dhani</t>
  </si>
  <si>
    <t>0811500584088666</t>
  </si>
  <si>
    <t>Karnisar</t>
  </si>
  <si>
    <t>0811500584088679</t>
  </si>
  <si>
    <t>Maihtab ka bera</t>
  </si>
  <si>
    <t>0811500584088664</t>
  </si>
  <si>
    <t>UPARLA</t>
  </si>
  <si>
    <t>Uparala</t>
  </si>
  <si>
    <t>0811500584088653</t>
  </si>
  <si>
    <t>Manasar</t>
  </si>
  <si>
    <t>Chitroli</t>
  </si>
  <si>
    <t>0811500584088654</t>
  </si>
  <si>
    <t>DHANAU</t>
  </si>
  <si>
    <t>ALAMSAR</t>
  </si>
  <si>
    <t>Hazi Jamasar</t>
  </si>
  <si>
    <t>0811500584088866</t>
  </si>
  <si>
    <t>Alamsar</t>
  </si>
  <si>
    <t>चारागाह विकास कार्य आलमसर</t>
  </si>
  <si>
    <t>चारागाह विकास कार्य आलमसर1</t>
  </si>
  <si>
    <t>चारागाह विकास कार्य आलमसर 2</t>
  </si>
  <si>
    <t>0811500584088867</t>
  </si>
  <si>
    <t>Haji jamasar</t>
  </si>
  <si>
    <t>Akliya Dhora</t>
  </si>
  <si>
    <t>Miye ka tla</t>
  </si>
  <si>
    <t>Bhare ka Tla</t>
  </si>
  <si>
    <t>Ami Mohmmad shahki Basti</t>
  </si>
  <si>
    <t>Ami Mohammad Shahki Basti</t>
  </si>
  <si>
    <t>0811500584088842</t>
  </si>
  <si>
    <t>चारागाह बामनोर अमीरशाह बस्ती</t>
  </si>
  <si>
    <t>Amirgarh</t>
  </si>
  <si>
    <t>0811500584088846</t>
  </si>
  <si>
    <t>Aamirgdh</t>
  </si>
  <si>
    <t>Bhilo ki Basti</t>
  </si>
  <si>
    <t>Mithabera</t>
  </si>
  <si>
    <t>0811500584088840</t>
  </si>
  <si>
    <t>Mitha bera</t>
  </si>
  <si>
    <t>0811500584088839</t>
  </si>
  <si>
    <t>Aambedakar</t>
  </si>
  <si>
    <t>Rajgarh</t>
  </si>
  <si>
    <t>0811500584088836</t>
  </si>
  <si>
    <t>Rajgdh</t>
  </si>
  <si>
    <t>Thathar Kader</t>
  </si>
  <si>
    <t>0811500584088837</t>
  </si>
  <si>
    <t>Thathr ka Dar</t>
  </si>
  <si>
    <t>Bilalani</t>
  </si>
  <si>
    <t>0811500584088838</t>
  </si>
  <si>
    <t>BACHHRAU</t>
  </si>
  <si>
    <t>Bachhraoo</t>
  </si>
  <si>
    <t>0811500584088831</t>
  </si>
  <si>
    <t>Roogpura</t>
  </si>
  <si>
    <t>0811500584088832</t>
  </si>
  <si>
    <t>BAMNOR AMEERSHAH</t>
  </si>
  <si>
    <t>Bamnor Ameershah</t>
  </si>
  <si>
    <t>0811500584088841</t>
  </si>
  <si>
    <t>चारागाह विकास कार्य बामनोर</t>
  </si>
  <si>
    <t>Aarisrabad</t>
  </si>
  <si>
    <t>Saharanpur</t>
  </si>
  <si>
    <t>0811500584088843</t>
  </si>
  <si>
    <t>Saharnpur</t>
  </si>
  <si>
    <t>Bamnor Bhanwarshah</t>
  </si>
  <si>
    <t>0811500584088844</t>
  </si>
  <si>
    <t>Bamnor Bhwershah</t>
  </si>
  <si>
    <t>Banda Bera</t>
  </si>
  <si>
    <t>0811500584088847</t>
  </si>
  <si>
    <t>Banda bera</t>
  </si>
  <si>
    <t>RoopNager</t>
  </si>
  <si>
    <t>Pingalpura</t>
  </si>
  <si>
    <t>0811500584088845</t>
  </si>
  <si>
    <t>Pigalpura</t>
  </si>
  <si>
    <t>BHOONIYA</t>
  </si>
  <si>
    <t>Bhooniya</t>
  </si>
  <si>
    <t>0811500584088919</t>
  </si>
  <si>
    <t>Bhuniya</t>
  </si>
  <si>
    <t>Bheelon Ka Bas</t>
  </si>
  <si>
    <t>0811500584088887</t>
  </si>
  <si>
    <t>Lomrodon Ka Tala</t>
  </si>
  <si>
    <t>0811500584088924</t>
  </si>
  <si>
    <t>Lohmra ka Tla</t>
  </si>
  <si>
    <t>0811500584088920</t>
  </si>
  <si>
    <t>Adarsh Biju Nagar</t>
  </si>
  <si>
    <t>0811500584088921</t>
  </si>
  <si>
    <t>AardshNagar</t>
  </si>
  <si>
    <t>Kayam Ka Tala</t>
  </si>
  <si>
    <t>0811500584088922</t>
  </si>
  <si>
    <t>Kayam ka tla</t>
  </si>
  <si>
    <t>Lachchiya Bera</t>
  </si>
  <si>
    <t>0811500584088917</t>
  </si>
  <si>
    <t>Lachiya tla</t>
  </si>
  <si>
    <t>Bharon Ka Tala</t>
  </si>
  <si>
    <t>0811500584088918</t>
  </si>
  <si>
    <t>Bhado ka tla</t>
  </si>
  <si>
    <t>BINJASAR</t>
  </si>
  <si>
    <t>Harjiyaniyo ki Dhani</t>
  </si>
  <si>
    <t>Binjasar</t>
  </si>
  <si>
    <t>Meeru ka tala</t>
  </si>
  <si>
    <t xml:space="preserve">चारागाह विकास बिन्जासर पशिचम </t>
  </si>
  <si>
    <t xml:space="preserve">चारागाह विकास बिंजासर पूर्व </t>
  </si>
  <si>
    <t>0811500584088879</t>
  </si>
  <si>
    <t>चारागाह विकास बिजासर उत्तर</t>
  </si>
  <si>
    <t xml:space="preserve">चारागाह विकास वन विभाग </t>
  </si>
  <si>
    <t>चारागाह विकास कार्य बिजासर</t>
  </si>
  <si>
    <t>Bisasar</t>
  </si>
  <si>
    <t>चारागाह विकास कार्य बिसासर</t>
  </si>
  <si>
    <t>Najir ki dhani</t>
  </si>
  <si>
    <t>चारागाह विकास कार्य नजीर की ढाणी</t>
  </si>
  <si>
    <t>Chotyi Bisasar</t>
  </si>
  <si>
    <t>BISARNIYA</t>
  </si>
  <si>
    <t>Jakhron Ka Tala</t>
  </si>
  <si>
    <t>0811500584088913</t>
  </si>
  <si>
    <t>Birdon Ka Tala</t>
  </si>
  <si>
    <t>0811500584088861</t>
  </si>
  <si>
    <t>Bisaraniya</t>
  </si>
  <si>
    <t>0811500584088857</t>
  </si>
  <si>
    <t>0811500584088852</t>
  </si>
  <si>
    <t>BURAN KA TALA</t>
  </si>
  <si>
    <t>Buran Ka Tala</t>
  </si>
  <si>
    <t>0811500584088888</t>
  </si>
  <si>
    <t>Buhran ka tla</t>
  </si>
  <si>
    <t>DEENGARH</t>
  </si>
  <si>
    <t>Deengarh</t>
  </si>
  <si>
    <t>0811500584088871</t>
  </si>
  <si>
    <t>चारागाह विकास कार्य दीनगढ</t>
  </si>
  <si>
    <t>Gandhi Nagar</t>
  </si>
  <si>
    <t>0811500584088869</t>
  </si>
  <si>
    <t>Bhikhaneyonn Ki Dhani</t>
  </si>
  <si>
    <t>0811500584088870</t>
  </si>
  <si>
    <t>Tanka Station</t>
  </si>
  <si>
    <t>0811500584088868</t>
  </si>
  <si>
    <t>Khera</t>
  </si>
  <si>
    <t>0811500584088872</t>
  </si>
  <si>
    <t>Kheda</t>
  </si>
  <si>
    <t>Deluon Ka Tala</t>
  </si>
  <si>
    <t>0811500584088856</t>
  </si>
  <si>
    <t>Bhojawas</t>
  </si>
  <si>
    <t>0811500584088862</t>
  </si>
  <si>
    <t>Foosani Dalasar</t>
  </si>
  <si>
    <t>0811500584088863</t>
  </si>
  <si>
    <t>Hironion Ka Tala</t>
  </si>
  <si>
    <t>0811500584088855</t>
  </si>
  <si>
    <t>Dhanaoo</t>
  </si>
  <si>
    <t>0811500584088892</t>
  </si>
  <si>
    <t>चारागाह विकास कार्य धनाऊ</t>
  </si>
  <si>
    <t>Abdul Raheem Ka Tala</t>
  </si>
  <si>
    <t>0811500584088886</t>
  </si>
  <si>
    <t>Pawdon Ka Tala</t>
  </si>
  <si>
    <t>0811500584088899</t>
  </si>
  <si>
    <t>चारागाह विकास कार्य पावडो का तला</t>
  </si>
  <si>
    <t>Meethi Nadi</t>
  </si>
  <si>
    <t>0811500584088898</t>
  </si>
  <si>
    <t>चारागाह विकास कार्य मीठी नाड़ी</t>
  </si>
  <si>
    <t>Surte Ki Dhani</t>
  </si>
  <si>
    <t>0811500584088897</t>
  </si>
  <si>
    <t>Surte ki beri</t>
  </si>
  <si>
    <t>0811500584088896</t>
  </si>
  <si>
    <t>चारागाह विकास कार्य गोरो का तला</t>
  </si>
  <si>
    <t>EKLIYA DHORA</t>
  </si>
  <si>
    <t>Miyen Ka Tala</t>
  </si>
  <si>
    <t>0811500584088880</t>
  </si>
  <si>
    <t>Faglu ka tla</t>
  </si>
  <si>
    <t>Faglu ka Tla</t>
  </si>
  <si>
    <t>Aajasar</t>
  </si>
  <si>
    <t>Hakim Nager</t>
  </si>
  <si>
    <t>Rajiv Nagar</t>
  </si>
  <si>
    <t>Mando ki Beri</t>
  </si>
  <si>
    <t>Sasi beri</t>
  </si>
  <si>
    <t>GOHAR KA TALA</t>
  </si>
  <si>
    <t>Gohad ka Tala</t>
  </si>
  <si>
    <t>चारागाह विकास कार्य गोहड़ का तला</t>
  </si>
  <si>
    <t>aginshah ki dhani</t>
  </si>
  <si>
    <t xml:space="preserve"> seyd mo ali ka tala</t>
  </si>
  <si>
    <t>Gohar Ka Tala</t>
  </si>
  <si>
    <t>0811500584088883</t>
  </si>
  <si>
    <t>ISROL</t>
  </si>
  <si>
    <t>Isrol</t>
  </si>
  <si>
    <t>0811500584088695</t>
  </si>
  <si>
    <t>0811500584088690</t>
  </si>
  <si>
    <t>0811500584088689</t>
  </si>
  <si>
    <t>ITADA</t>
  </si>
  <si>
    <t>Itada</t>
  </si>
  <si>
    <t>0811500584088874</t>
  </si>
  <si>
    <t xml:space="preserve">चारागाह विकास कार्य इटादा </t>
  </si>
  <si>
    <t>0811500584088875</t>
  </si>
  <si>
    <t>Jam Ka Tala</t>
  </si>
  <si>
    <t>0811500584088876</t>
  </si>
  <si>
    <t>Itadiya</t>
  </si>
  <si>
    <t>चारागाह विकास कार्य ईटाडीया</t>
  </si>
  <si>
    <t>0811500584088873</t>
  </si>
  <si>
    <t>Etadiya</t>
  </si>
  <si>
    <t>Jalila</t>
  </si>
  <si>
    <t>Bhilo ka Tala</t>
  </si>
  <si>
    <t>चारागाह विकास कार्य भीलो का तला</t>
  </si>
  <si>
    <t xml:space="preserve">चारागाह विकास कार्य जालिपा </t>
  </si>
  <si>
    <t>Fitkariya</t>
  </si>
  <si>
    <t>Janiyon Ki Basti</t>
  </si>
  <si>
    <t>0811500584088905</t>
  </si>
  <si>
    <t>चारागाह विकास कार्य जानियो की बस्ती</t>
  </si>
  <si>
    <t>Sadram Ki Beri</t>
  </si>
  <si>
    <t>0811500584088906</t>
  </si>
  <si>
    <t>गोचर भूमि विकास कार्य सदराम की बेरी</t>
  </si>
  <si>
    <t>Harchandaniyon Ki Dhani</t>
  </si>
  <si>
    <t>0811500584088902</t>
  </si>
  <si>
    <t>Harchandaniyo ki Basti</t>
  </si>
  <si>
    <t>Kananiyon Ki Basti</t>
  </si>
  <si>
    <t>0811500584088903</t>
  </si>
  <si>
    <t>Jakhron Ki Dhani</t>
  </si>
  <si>
    <t>0811500584088904</t>
  </si>
  <si>
    <t>Jakhdo ki Dhani</t>
  </si>
  <si>
    <t>0811500584088851</t>
  </si>
  <si>
    <t>Jakhdo ka Tla</t>
  </si>
  <si>
    <t>Kharawala</t>
  </si>
  <si>
    <t>0811500584088816</t>
  </si>
  <si>
    <t>Harpuniyon Wala</t>
  </si>
  <si>
    <t>0811500584088821</t>
  </si>
  <si>
    <t>Nimbala</t>
  </si>
  <si>
    <t>0811500584088864</t>
  </si>
  <si>
    <t>Khempura</t>
  </si>
  <si>
    <t>0811500584088830</t>
  </si>
  <si>
    <t>Janiyawala</t>
  </si>
  <si>
    <t>0811500584088833</t>
  </si>
  <si>
    <t>Thoriyawala</t>
  </si>
  <si>
    <t>0811500584088834</t>
  </si>
  <si>
    <t>Beniwalsar</t>
  </si>
  <si>
    <t>0811500584088829</t>
  </si>
  <si>
    <t>KITNORIYA</t>
  </si>
  <si>
    <t>Kitnoriya</t>
  </si>
  <si>
    <t>0811500584088911</t>
  </si>
  <si>
    <t>डीचकम बाध निर्माण गोचर भूमि जाखड़ो का तला</t>
  </si>
  <si>
    <t>Kitanoriya</t>
  </si>
  <si>
    <t>चारागाह विकास कार्य कितनोरिया</t>
  </si>
  <si>
    <t>Khileriyon ki Basti</t>
  </si>
  <si>
    <t>चारागाह विकास कार्य खिलेरियो की बस्ती कितनोरिया</t>
  </si>
  <si>
    <t>Alkhu Fakir Ki Basti</t>
  </si>
  <si>
    <t>0811500584088909</t>
  </si>
  <si>
    <t>Aalkhufakir ki dhani</t>
  </si>
  <si>
    <t>Kaloo Ki Beri</t>
  </si>
  <si>
    <t>0811500584088927</t>
  </si>
  <si>
    <t>Katu ki beri</t>
  </si>
  <si>
    <t>Kitnor Nadi</t>
  </si>
  <si>
    <t>0811500584088910</t>
  </si>
  <si>
    <t>चारागाह विकास कार्य कितनोरिया नाडी</t>
  </si>
  <si>
    <t>Samon Ki Basti</t>
  </si>
  <si>
    <t>0811500584088912</t>
  </si>
  <si>
    <t>Samani ki Basti</t>
  </si>
  <si>
    <t>Khileriyon Ki Basti</t>
  </si>
  <si>
    <t>0811500584088926</t>
  </si>
  <si>
    <t>Krishan Ka Tala</t>
  </si>
  <si>
    <t>0811500584088940</t>
  </si>
  <si>
    <t>karshn ka Tla</t>
  </si>
  <si>
    <t>Vasiya Ka Tala</t>
  </si>
  <si>
    <t>0811500584088942</t>
  </si>
  <si>
    <t>Vashiye ka Tla</t>
  </si>
  <si>
    <t>Somrad</t>
  </si>
  <si>
    <t>0811500584088941</t>
  </si>
  <si>
    <t>Somradi</t>
  </si>
  <si>
    <t>Konara</t>
  </si>
  <si>
    <t>चारागाह विकास कार्य कोनरा</t>
  </si>
  <si>
    <t>Surender</t>
  </si>
  <si>
    <t xml:space="preserve">Ummed Nagar </t>
  </si>
  <si>
    <t xml:space="preserve">चारागाह विकास कार्य उम्मेद नगर </t>
  </si>
  <si>
    <t>Surpura</t>
  </si>
  <si>
    <t>Maluk ka tla</t>
  </si>
  <si>
    <t>LEELSAR</t>
  </si>
  <si>
    <t>Leelsar</t>
  </si>
  <si>
    <t>0811500584088825</t>
  </si>
  <si>
    <t>0811500584088819</t>
  </si>
  <si>
    <t>Godaron Ka Tala</t>
  </si>
  <si>
    <t>0811500584088826</t>
  </si>
  <si>
    <t>Sherpura</t>
  </si>
  <si>
    <t>0811500584088691</t>
  </si>
  <si>
    <t>MEETHE KA TALA</t>
  </si>
  <si>
    <t>Meethe Ka Tala</t>
  </si>
  <si>
    <t>0811500584088878</t>
  </si>
  <si>
    <t>चारागाह विकास कार्य मीठे का तला</t>
  </si>
  <si>
    <t>Ibre Ka Tala</t>
  </si>
  <si>
    <t>0811500584088877</t>
  </si>
  <si>
    <t>Mukne Ka Tala</t>
  </si>
  <si>
    <t>0811500584088694</t>
  </si>
  <si>
    <t>Sakriya Tala</t>
  </si>
  <si>
    <t>0811500584088835</t>
  </si>
  <si>
    <t>NAWATALA RATHORAN</t>
  </si>
  <si>
    <t>Nawatala Rathoran</t>
  </si>
  <si>
    <t>0811500584088848</t>
  </si>
  <si>
    <t>Navatala Rathoren</t>
  </si>
  <si>
    <t>Tardon Ka Tala</t>
  </si>
  <si>
    <t>0811500584088860</t>
  </si>
  <si>
    <t>Tardo ka Tla</t>
  </si>
  <si>
    <t>Sam</t>
  </si>
  <si>
    <t>0811500584088849</t>
  </si>
  <si>
    <t>NEHARO KI NADI</t>
  </si>
  <si>
    <t>Nehron Ki Nari</t>
  </si>
  <si>
    <t>0811500584088859</t>
  </si>
  <si>
    <t>Bhilon Ka Tala</t>
  </si>
  <si>
    <t>0811500584088858</t>
  </si>
  <si>
    <t>Hardanpura</t>
  </si>
  <si>
    <t>0811500584088850</t>
  </si>
  <si>
    <t>Dharampuriji Ka Khoonta</t>
  </si>
  <si>
    <t>0811500584088853</t>
  </si>
  <si>
    <t>Mandasar</t>
  </si>
  <si>
    <t>0811500584088854</t>
  </si>
  <si>
    <t>Padmani</t>
  </si>
  <si>
    <t>0811500584088820</t>
  </si>
  <si>
    <t>NETRAD</t>
  </si>
  <si>
    <t>Netrar</t>
  </si>
  <si>
    <t>0811500584088703</t>
  </si>
  <si>
    <t>Bhaduoy Ka Tala</t>
  </si>
  <si>
    <t>0811500584088815</t>
  </si>
  <si>
    <t>Azad Nagar</t>
  </si>
  <si>
    <t>0811500584088704</t>
  </si>
  <si>
    <t>Khairaj Ka Tala</t>
  </si>
  <si>
    <t>0811500584088812</t>
  </si>
  <si>
    <t>Adarsh Nagar</t>
  </si>
  <si>
    <t>0811500584088705</t>
  </si>
  <si>
    <t>PANWARIYA TALA</t>
  </si>
  <si>
    <t>0811500584088818</t>
  </si>
  <si>
    <t>0811500584088822</t>
  </si>
  <si>
    <t>0811500584088823</t>
  </si>
  <si>
    <t>0811500584088824</t>
  </si>
  <si>
    <t>Phagloo Ka Tala</t>
  </si>
  <si>
    <t>0811500584088923</t>
  </si>
  <si>
    <t>Chhachhi Beri</t>
  </si>
  <si>
    <t>0811500584088928</t>
  </si>
  <si>
    <t>Mandon Ki Beri</t>
  </si>
  <si>
    <t>0811500584088925</t>
  </si>
  <si>
    <t>Punjasar</t>
  </si>
  <si>
    <t>Aashan ka tla</t>
  </si>
  <si>
    <t>POKRASAR</t>
  </si>
  <si>
    <t>0811500584088700</t>
  </si>
  <si>
    <t>Chimnasar</t>
  </si>
  <si>
    <t>0811500584088817</t>
  </si>
  <si>
    <t>Dheerasar</t>
  </si>
  <si>
    <t>0811500584088701</t>
  </si>
  <si>
    <t>Puroniyon Ka Tala</t>
  </si>
  <si>
    <t>0811500584088696</t>
  </si>
  <si>
    <t>Rajro Ki Basti</t>
  </si>
  <si>
    <t>0811500584088908</t>
  </si>
  <si>
    <t>Banon Ki Dhani</t>
  </si>
  <si>
    <t>0811500584088699</t>
  </si>
  <si>
    <t>Bagoniyon Ki Dhani</t>
  </si>
  <si>
    <t>0811500584088697</t>
  </si>
  <si>
    <t>Girdhari Ka Tala</t>
  </si>
  <si>
    <t>0811500584088698</t>
  </si>
  <si>
    <t>RABASAR</t>
  </si>
  <si>
    <t>Rabasar</t>
  </si>
  <si>
    <t xml:space="preserve">चारागाह विकास रबासर </t>
  </si>
  <si>
    <t>चारागाह विकास कार्य रबासर</t>
  </si>
  <si>
    <t>Bhilawas</t>
  </si>
  <si>
    <t>Aadrim ka tala</t>
  </si>
  <si>
    <t>0811500584088889</t>
  </si>
  <si>
    <t>0811500584088814</t>
  </si>
  <si>
    <t>Sauwon Ka Tala</t>
  </si>
  <si>
    <t>0811500584088865</t>
  </si>
  <si>
    <t>0811500584088813</t>
  </si>
  <si>
    <t>SANWA</t>
  </si>
  <si>
    <t>Sanwa</t>
  </si>
  <si>
    <t>0811500584088901</t>
  </si>
  <si>
    <t xml:space="preserve">चारगाह विकास कार्य सांवा </t>
  </si>
  <si>
    <t>Sava</t>
  </si>
  <si>
    <t>Seeloron Ki Basti</t>
  </si>
  <si>
    <t>0811500584088900</t>
  </si>
  <si>
    <t>Siloro ki basti</t>
  </si>
  <si>
    <t>Sarnon Ki Nari</t>
  </si>
  <si>
    <t>0811500584088914</t>
  </si>
  <si>
    <t>Sarno ki Nadi</t>
  </si>
  <si>
    <t>Saraswati Nagar</t>
  </si>
  <si>
    <t>0811500584088915</t>
  </si>
  <si>
    <t>Sarswati Nagar</t>
  </si>
  <si>
    <t>Dhakon Ka Tala</t>
  </si>
  <si>
    <t>0811500584088916</t>
  </si>
  <si>
    <t>Dhako ka Tla</t>
  </si>
  <si>
    <t>SAROOPE KA TALA</t>
  </si>
  <si>
    <t>Saroope Ka Tala</t>
  </si>
  <si>
    <t>0811500584088881</t>
  </si>
  <si>
    <t>Sarupe ka tla</t>
  </si>
  <si>
    <t>Sayed Mozali Ka Tala</t>
  </si>
  <si>
    <t>0811500584088885</t>
  </si>
  <si>
    <t>Sayadtla</t>
  </si>
  <si>
    <t>Aginshah Ki Dhani</t>
  </si>
  <si>
    <t>0811500584088882</t>
  </si>
  <si>
    <t>Aagin shah ki dhani</t>
  </si>
  <si>
    <t>SHRIRAMWALA</t>
  </si>
  <si>
    <t>Shri Ramwala</t>
  </si>
  <si>
    <t>0811500584088890</t>
  </si>
  <si>
    <t>Kumbhoniyon Ka Tala</t>
  </si>
  <si>
    <t>0811500584088891</t>
  </si>
  <si>
    <t>चारागाह विकास कार्य कुम्भानियो का तला</t>
  </si>
  <si>
    <t>Mandirwala</t>
  </si>
  <si>
    <t>0811500584088893</t>
  </si>
  <si>
    <t>Manderwala</t>
  </si>
  <si>
    <t>Ojiya</t>
  </si>
  <si>
    <t>0811500584088895</t>
  </si>
  <si>
    <t>चारागाह विकास कार्य ओजिया</t>
  </si>
  <si>
    <t>Dhananiyo ka tla</t>
  </si>
  <si>
    <t xml:space="preserve">चारागाह विकास कार्य धनानियों का तला </t>
  </si>
  <si>
    <t>Khanu ka Tla</t>
  </si>
  <si>
    <t xml:space="preserve">चारागाह विकास कार्य खानु का तला </t>
  </si>
  <si>
    <t>Dhanoniyon Ka Tala</t>
  </si>
  <si>
    <t>0811500584088894</t>
  </si>
  <si>
    <t>Dhananiyo ka tala</t>
  </si>
  <si>
    <t>SODIYAR</t>
  </si>
  <si>
    <t>0811500584088693</t>
  </si>
  <si>
    <t>0811500584088828</t>
  </si>
  <si>
    <t>Bhookransar</t>
  </si>
  <si>
    <t>0811500584088827</t>
  </si>
  <si>
    <t>0811500584088692</t>
  </si>
  <si>
    <t>TALSAR</t>
  </si>
  <si>
    <t>Talsar</t>
  </si>
  <si>
    <t>0811500584088939</t>
  </si>
  <si>
    <t>Gangupura</t>
  </si>
  <si>
    <t>0811500584088884</t>
  </si>
  <si>
    <t>DHORIMANNA</t>
  </si>
  <si>
    <t>Alamsar Khurd</t>
  </si>
  <si>
    <t>0811500581087781</t>
  </si>
  <si>
    <t>28.02.2024</t>
  </si>
  <si>
    <t>Alamsariya</t>
  </si>
  <si>
    <t>0811500581087783</t>
  </si>
  <si>
    <t>Deosar</t>
  </si>
  <si>
    <t>0811500581087782</t>
  </si>
  <si>
    <t>Hemnagar</t>
  </si>
  <si>
    <t>Adarsh Jogasar</t>
  </si>
  <si>
    <t>0811500581087777</t>
  </si>
  <si>
    <t>Jambh Shakti Dham</t>
  </si>
  <si>
    <t>0811500581087774</t>
  </si>
  <si>
    <t>Kharthasar</t>
  </si>
  <si>
    <t>0811500581087778</t>
  </si>
  <si>
    <t>Andaniyon Ki Dhani</t>
  </si>
  <si>
    <t>0811500581087999</t>
  </si>
  <si>
    <t>Manki</t>
  </si>
  <si>
    <t>0811500581088001</t>
  </si>
  <si>
    <t>Pratapnagar</t>
  </si>
  <si>
    <t>0811500581088000</t>
  </si>
  <si>
    <t>Megwalon Ki Basti</t>
  </si>
  <si>
    <t>0811500581087762</t>
  </si>
  <si>
    <t>Ardarsh Lookhoo</t>
  </si>
  <si>
    <t>0811500581087792</t>
  </si>
  <si>
    <t>20.02.2024</t>
  </si>
  <si>
    <t>Gokalsar</t>
  </si>
  <si>
    <t>0811500581087763</t>
  </si>
  <si>
    <t>Bhilon Ki Basti</t>
  </si>
  <si>
    <t>0811500581087761</t>
  </si>
  <si>
    <t>Rawon Ki Beri</t>
  </si>
  <si>
    <t>0811500581087766</t>
  </si>
  <si>
    <t>ARNIYALI</t>
  </si>
  <si>
    <t>Arniyali</t>
  </si>
  <si>
    <t>0811500581088018</t>
  </si>
  <si>
    <t>Khotawas</t>
  </si>
  <si>
    <t>0811500581088017</t>
  </si>
  <si>
    <t>Bhagbhare Ki Beri</t>
  </si>
  <si>
    <t>0811500581087734</t>
  </si>
  <si>
    <t>Sheraniyon Ki Dhani</t>
  </si>
  <si>
    <t>0811500581087733</t>
  </si>
  <si>
    <t>Rebariyon Ki Beri</t>
  </si>
  <si>
    <t>0811500581087735</t>
  </si>
  <si>
    <t>BHALISAR</t>
  </si>
  <si>
    <t>Bhalisar</t>
  </si>
  <si>
    <t>0811500581087723</t>
  </si>
  <si>
    <t>Teje Ki Dhani</t>
  </si>
  <si>
    <t>0811500581087724</t>
  </si>
  <si>
    <t>Bhalikhal</t>
  </si>
  <si>
    <t>Bhali Khal</t>
  </si>
  <si>
    <t>0811500581087967</t>
  </si>
  <si>
    <t>20.08.2025</t>
  </si>
  <si>
    <t>Rughasar</t>
  </si>
  <si>
    <t>0811500581087968</t>
  </si>
  <si>
    <t>Bhilon Ka Nagar</t>
  </si>
  <si>
    <t>0811500581087963</t>
  </si>
  <si>
    <t>Thoriyon Ka Vas</t>
  </si>
  <si>
    <t>0811500581087966</t>
  </si>
  <si>
    <t>Vinayak Nagar</t>
  </si>
  <si>
    <t>0811500581087964</t>
  </si>
  <si>
    <t>0811500581087965</t>
  </si>
  <si>
    <t>Bhilon ki Dhani Kalan</t>
  </si>
  <si>
    <t>Bhilon Ki Dhani Kalan</t>
  </si>
  <si>
    <t>0811500581087973</t>
  </si>
  <si>
    <t>Lakhari Nadi</t>
  </si>
  <si>
    <t>0811500581087977</t>
  </si>
  <si>
    <t>Tajaniyon Ki Dhani</t>
  </si>
  <si>
    <t>0811500581087971</t>
  </si>
  <si>
    <t>Kundawa</t>
  </si>
  <si>
    <t>0811500581087974</t>
  </si>
  <si>
    <t>BHIMTHAL</t>
  </si>
  <si>
    <t>Bhimthal</t>
  </si>
  <si>
    <t>0811500581087983</t>
  </si>
  <si>
    <t>Pabubera</t>
  </si>
  <si>
    <t>0811500581088034</t>
  </si>
  <si>
    <t>Der</t>
  </si>
  <si>
    <t>0811500581087981</t>
  </si>
  <si>
    <t>0811500581087982</t>
  </si>
  <si>
    <t>22.12.2024</t>
  </si>
  <si>
    <t>Seelgan</t>
  </si>
  <si>
    <t>0811500581087980</t>
  </si>
  <si>
    <t>Bool</t>
  </si>
  <si>
    <t>0811500581087737</t>
  </si>
  <si>
    <t>16.02.2024</t>
  </si>
  <si>
    <t>Bharthe Ki Beri</t>
  </si>
  <si>
    <t>0811500581087738</t>
  </si>
  <si>
    <t>RamVas</t>
  </si>
  <si>
    <t>Bishnoiyo ka vas</t>
  </si>
  <si>
    <t>Daron Ki Beri</t>
  </si>
  <si>
    <t>0811500581087736</t>
  </si>
  <si>
    <t>BOOTH JETMAL</t>
  </si>
  <si>
    <t>Booth Jetmal</t>
  </si>
  <si>
    <t>0811500581087660</t>
  </si>
  <si>
    <t>0811500581087658</t>
  </si>
  <si>
    <t>Kaloni Megwalon Ki Dhani</t>
  </si>
  <si>
    <t>0811500581087659</t>
  </si>
  <si>
    <t>Beslaniyon Ka Tala</t>
  </si>
  <si>
    <t>0811500581087657</t>
  </si>
  <si>
    <t>0811500581087662</t>
  </si>
  <si>
    <t>BOR CHARNAN</t>
  </si>
  <si>
    <t>Borcharnan</t>
  </si>
  <si>
    <t>0811500581088021</t>
  </si>
  <si>
    <t>Aakli</t>
  </si>
  <si>
    <t>0811500581088016</t>
  </si>
  <si>
    <t>Aasupura</t>
  </si>
  <si>
    <t>0811500581088020</t>
  </si>
  <si>
    <t>Motvi Nagar</t>
  </si>
  <si>
    <t>0811500581088022</t>
  </si>
  <si>
    <t>0811500581087841</t>
  </si>
  <si>
    <t>CHAINPURA</t>
  </si>
  <si>
    <t>Chainpura</t>
  </si>
  <si>
    <t>0811500581087996</t>
  </si>
  <si>
    <t>Veermaniyon Ki Dhani</t>
  </si>
  <si>
    <t>0811500581087995</t>
  </si>
  <si>
    <t>Kakron Ki Dhani</t>
  </si>
  <si>
    <t>0811500581087997</t>
  </si>
  <si>
    <t>Radoo</t>
  </si>
  <si>
    <t>0811500581088019</t>
  </si>
  <si>
    <t>Daboi</t>
  </si>
  <si>
    <t>0811500581088013</t>
  </si>
  <si>
    <t>Jhakarra</t>
  </si>
  <si>
    <t>0811500581088008</t>
  </si>
  <si>
    <t>Panal Ki Beri</t>
  </si>
  <si>
    <t>0811500581088014</t>
  </si>
  <si>
    <t>0811500581088015</t>
  </si>
  <si>
    <t>Manglasar 1</t>
  </si>
  <si>
    <t>Shivji Ka Mandir</t>
  </si>
  <si>
    <t>0811500581088010</t>
  </si>
  <si>
    <t>Mahadeo Magra</t>
  </si>
  <si>
    <t>0811500581088012</t>
  </si>
  <si>
    <t>Pandav Nagar</t>
  </si>
  <si>
    <t>0811500581088011</t>
  </si>
  <si>
    <t>Dhorimanna (CT)</t>
  </si>
  <si>
    <t>Vishanu Dham</t>
  </si>
  <si>
    <t>71..436736</t>
  </si>
  <si>
    <t>0811500581088172</t>
  </si>
  <si>
    <t>DOODHU</t>
  </si>
  <si>
    <t>Doodhu</t>
  </si>
  <si>
    <t>0811500581087709</t>
  </si>
  <si>
    <t>Surte Ki Beri</t>
  </si>
  <si>
    <t>0811500581087712</t>
  </si>
  <si>
    <t>Bajrang Nagar</t>
  </si>
  <si>
    <t>0811500581087713</t>
  </si>
  <si>
    <t>Lunginadi</t>
  </si>
  <si>
    <t>0811500581087717</t>
  </si>
  <si>
    <t xml:space="preserve">चारागाह विकास कार्य लुंगी नाड़ी </t>
  </si>
  <si>
    <t>Rajeevnagar</t>
  </si>
  <si>
    <t>0811500581087718</t>
  </si>
  <si>
    <t>Sridevanagar</t>
  </si>
  <si>
    <t>Sunaron Ki Beri</t>
  </si>
  <si>
    <t>0811500581087721</t>
  </si>
  <si>
    <t>चारागाह विकास कार्य सुनारों की ढाणी</t>
  </si>
  <si>
    <t>0811500581087720</t>
  </si>
  <si>
    <t>Okaliya Tala</t>
  </si>
  <si>
    <t>0811500581087708</t>
  </si>
  <si>
    <t>Sardarpura</t>
  </si>
  <si>
    <t>0811500581087707</t>
  </si>
  <si>
    <t>Doodiya Kalan</t>
  </si>
  <si>
    <t>21.12.2023</t>
  </si>
  <si>
    <t>Meethiya Tala</t>
  </si>
  <si>
    <t>Musalmano Ki Dhani</t>
  </si>
  <si>
    <t>0811500581087652</t>
  </si>
  <si>
    <t>0811500581087651</t>
  </si>
  <si>
    <t>0811500581087653</t>
  </si>
  <si>
    <t>0811500581087650</t>
  </si>
  <si>
    <t>0811500581088005</t>
  </si>
  <si>
    <t>Godaro ki beri</t>
  </si>
  <si>
    <t>Aaleti</t>
  </si>
  <si>
    <t>0811500581088006</t>
  </si>
  <si>
    <t>0811500581088003</t>
  </si>
  <si>
    <t>Bhakharo ki dhani</t>
  </si>
  <si>
    <t>Siyago Ki Beri</t>
  </si>
  <si>
    <t>0811500581088007</t>
  </si>
  <si>
    <t>Purawa</t>
  </si>
  <si>
    <t>0811500581088004</t>
  </si>
  <si>
    <t>Jambhaji Ka Mandir</t>
  </si>
  <si>
    <t>Jambheji Ka Mandir</t>
  </si>
  <si>
    <t>0811500581087993</t>
  </si>
  <si>
    <t>Dhakon Ka Goliya</t>
  </si>
  <si>
    <t>0811500581087998</t>
  </si>
  <si>
    <t>Kabooli</t>
  </si>
  <si>
    <t>0811500581087994</t>
  </si>
  <si>
    <t>Maylon Ki Beri</t>
  </si>
  <si>
    <t>0811500581087739</t>
  </si>
  <si>
    <t>Joonakhera</t>
  </si>
  <si>
    <t>Joona Khera</t>
  </si>
  <si>
    <t>0811500581087969</t>
  </si>
  <si>
    <t>Sanawara Kalan</t>
  </si>
  <si>
    <t>0811500581088035</t>
  </si>
  <si>
    <t>Kharodi</t>
  </si>
  <si>
    <t>0811500581087970</t>
  </si>
  <si>
    <t>Katarla Khileriyan</t>
  </si>
  <si>
    <t>0811500581087988</t>
  </si>
  <si>
    <t>Narawaton Ka Goliya</t>
  </si>
  <si>
    <t>0811500581087991</t>
  </si>
  <si>
    <t>Adarsh Katarla</t>
  </si>
  <si>
    <t>0811500581087990</t>
  </si>
  <si>
    <t>Katarla</t>
  </si>
  <si>
    <t>0811500581087989</t>
  </si>
  <si>
    <t>Kharad</t>
  </si>
  <si>
    <t>0811500581087760</t>
  </si>
  <si>
    <t>Guneshaniyon Ki Dhani</t>
  </si>
  <si>
    <t>0811500581087759</t>
  </si>
  <si>
    <t>0811500581087975</t>
  </si>
  <si>
    <t>KHARI</t>
  </si>
  <si>
    <t>Khari</t>
  </si>
  <si>
    <t>0811500581087741</t>
  </si>
  <si>
    <t>Mansingh Ki Beri</t>
  </si>
  <si>
    <t>0811500581087740</t>
  </si>
  <si>
    <t>Bhaura</t>
  </si>
  <si>
    <t>0811500581087992</t>
  </si>
  <si>
    <t>Bhavnagar</t>
  </si>
  <si>
    <t>Naravto ka Goliya</t>
  </si>
  <si>
    <t>Khume Ki Beri</t>
  </si>
  <si>
    <t>Khoome Ki Beri</t>
  </si>
  <si>
    <t>0811500581087714</t>
  </si>
  <si>
    <t>Balasar</t>
  </si>
  <si>
    <t>0811500581087715</t>
  </si>
  <si>
    <t>Swamiyon Ki Beri</t>
  </si>
  <si>
    <t>0811500581087716</t>
  </si>
  <si>
    <t>Jasnath Pura</t>
  </si>
  <si>
    <t>0811500581087710</t>
  </si>
  <si>
    <t>Bano Ki Beri</t>
  </si>
  <si>
    <t>0811500581087711</t>
  </si>
  <si>
    <t>Eklavya Nagar</t>
  </si>
  <si>
    <t>0811500581087719</t>
  </si>
  <si>
    <t>Okatiya Tala</t>
  </si>
  <si>
    <t>0811500581087706</t>
  </si>
  <si>
    <t>Genaniyon Ka Tala</t>
  </si>
  <si>
    <t>0811500581087705</t>
  </si>
  <si>
    <t>KOJA</t>
  </si>
  <si>
    <t>Koja</t>
  </si>
  <si>
    <t>0811500581087752</t>
  </si>
  <si>
    <t>Dolaniyo ki dhani</t>
  </si>
  <si>
    <t>Dholiya bhata</t>
  </si>
  <si>
    <t>Siyagon Ka Was</t>
  </si>
  <si>
    <t>0811500581087751</t>
  </si>
  <si>
    <t>Koliyana</t>
  </si>
  <si>
    <t>0811500581087730</t>
  </si>
  <si>
    <t>22.02.2024</t>
  </si>
  <si>
    <t>Bhuraniyo ki dhani</t>
  </si>
  <si>
    <t>Janiyon Ki Beri</t>
  </si>
  <si>
    <t>0811500581087731</t>
  </si>
  <si>
    <t>0811500581087729</t>
  </si>
  <si>
    <t>Koshle Ki Dhani</t>
  </si>
  <si>
    <t>0811500581087784</t>
  </si>
  <si>
    <t>Virdhasar</t>
  </si>
  <si>
    <t>0811500581087788</t>
  </si>
  <si>
    <t>Lumbnathnagar</t>
  </si>
  <si>
    <t>0811500581087787</t>
  </si>
  <si>
    <t>Bhomiyan Ji Ka Than</t>
  </si>
  <si>
    <t>0811500581087785</t>
  </si>
  <si>
    <t>Rameshwarpura</t>
  </si>
  <si>
    <t>0811500581087786</t>
  </si>
  <si>
    <t>Kothala</t>
  </si>
  <si>
    <t>0811500581088031</t>
  </si>
  <si>
    <t>Niklang Nagar</t>
  </si>
  <si>
    <t>0811500581088026</t>
  </si>
  <si>
    <t>Aalam Nagar</t>
  </si>
  <si>
    <t>0811500581088024</t>
  </si>
  <si>
    <t>Bhadrai</t>
  </si>
  <si>
    <t>0811500581088025</t>
  </si>
  <si>
    <t>Meethi</t>
  </si>
  <si>
    <t>0811500581088027</t>
  </si>
  <si>
    <t>Rameshwar Nagari</t>
  </si>
  <si>
    <t>0811500581088030</t>
  </si>
  <si>
    <t>Phardodon Ki Dhani</t>
  </si>
  <si>
    <t>0811500581088028</t>
  </si>
  <si>
    <t>Moodhsar</t>
  </si>
  <si>
    <t>0811500581088032</t>
  </si>
  <si>
    <t>Naya Moodhsar</t>
  </si>
  <si>
    <t>0811500581088033</t>
  </si>
  <si>
    <t>Phardodon Ka Phanta</t>
  </si>
  <si>
    <t>0811500581088029</t>
  </si>
  <si>
    <t>Kumbharon Ki Beri</t>
  </si>
  <si>
    <t>0811500581087749</t>
  </si>
  <si>
    <t>18.02.2024</t>
  </si>
  <si>
    <t>Kanhaiya Nagar</t>
  </si>
  <si>
    <t>0811500581087748</t>
  </si>
  <si>
    <t>Khisado ki dhani</t>
  </si>
  <si>
    <t>Bolon Ka Der</t>
  </si>
  <si>
    <t>0811500581087750</t>
  </si>
  <si>
    <t>LOHARWA</t>
  </si>
  <si>
    <t>Loharwa</t>
  </si>
  <si>
    <t>0811500581087976</t>
  </si>
  <si>
    <t>Saiyon Ka Goliya</t>
  </si>
  <si>
    <t>0811500581087978</t>
  </si>
  <si>
    <t>Lookhon Ka Nada</t>
  </si>
  <si>
    <t>0811500581087979</t>
  </si>
  <si>
    <t>rahim Nagar</t>
  </si>
  <si>
    <t>Sauon Ka Goliya</t>
  </si>
  <si>
    <t>0811500581087972</t>
  </si>
  <si>
    <t>Lolo Ki Beri</t>
  </si>
  <si>
    <t>0811500581087747</t>
  </si>
  <si>
    <t>Sauwon Ki Beri</t>
  </si>
  <si>
    <t>0811500581087746</t>
  </si>
  <si>
    <t>Vigga ji Nagar</t>
  </si>
  <si>
    <t>Viuo Ki Dhani</t>
  </si>
  <si>
    <t>Jornathpura</t>
  </si>
  <si>
    <t>Mahadev nagar</t>
  </si>
  <si>
    <t>0811500581087745</t>
  </si>
  <si>
    <t>Kumaharo ki Dhani</t>
  </si>
  <si>
    <t>Chutraniyo ki kitraniyo ka vas</t>
  </si>
  <si>
    <t>Hirkan Ka dhan</t>
  </si>
  <si>
    <t>LOOKHU</t>
  </si>
  <si>
    <t>0811500581088002</t>
  </si>
  <si>
    <t>20.12.2023</t>
  </si>
  <si>
    <t>Misari Ki Beri</t>
  </si>
  <si>
    <t>0811500581087764</t>
  </si>
  <si>
    <t>Lookhu</t>
  </si>
  <si>
    <t>0811500581087765</t>
  </si>
  <si>
    <t>14.12.2023</t>
  </si>
  <si>
    <t>0811500581087767</t>
  </si>
  <si>
    <t>Maiyon Ka Tala</t>
  </si>
  <si>
    <t>0811500581087700</t>
  </si>
  <si>
    <t>Santosh Nagar</t>
  </si>
  <si>
    <t>0811500581087701</t>
  </si>
  <si>
    <t>Megwalo Ka Tala</t>
  </si>
  <si>
    <t>0811500581087699</t>
  </si>
  <si>
    <t>Pooniyon Ka Tala</t>
  </si>
  <si>
    <t>0811500581087661</t>
  </si>
  <si>
    <t>0811500581087779</t>
  </si>
  <si>
    <t>MANGTA</t>
  </si>
  <si>
    <t>Mangta</t>
  </si>
  <si>
    <t>0811500581087656</t>
  </si>
  <si>
    <t>Kirtani Megwalo Ka tala</t>
  </si>
  <si>
    <t xml:space="preserve">Chouhan Ki Dhani </t>
  </si>
  <si>
    <t>Khardiya</t>
  </si>
  <si>
    <t>0811500581087655</t>
  </si>
  <si>
    <t>MEETHRA KHURD</t>
  </si>
  <si>
    <t>Meethra Khurd</t>
  </si>
  <si>
    <t>0811500581087743</t>
  </si>
  <si>
    <t>Lakholai Nadi</t>
  </si>
  <si>
    <t>0811500581087742</t>
  </si>
  <si>
    <t>Bhookron Ka Tala</t>
  </si>
  <si>
    <t>0811500581087744</t>
  </si>
  <si>
    <t>Meghwalon Ka Tala</t>
  </si>
  <si>
    <t>0811500581087654</t>
  </si>
  <si>
    <t>MEHLU</t>
  </si>
  <si>
    <t>Mehloo</t>
  </si>
  <si>
    <t>0811500581087666</t>
  </si>
  <si>
    <t>Shiv Nagar</t>
  </si>
  <si>
    <t>0811500581087664</t>
  </si>
  <si>
    <t>Himmatnagar</t>
  </si>
  <si>
    <t>0811500581087665</t>
  </si>
  <si>
    <t>Doodasar</t>
  </si>
  <si>
    <t>0811500581087670</t>
  </si>
  <si>
    <t>0811500581087669</t>
  </si>
  <si>
    <t>0811500581087668</t>
  </si>
  <si>
    <t>Dharmpura</t>
  </si>
  <si>
    <t>0811500581087667</t>
  </si>
  <si>
    <t>0811500581087663</t>
  </si>
  <si>
    <t>0811500581087725</t>
  </si>
  <si>
    <t>Boodhe Ka Tala</t>
  </si>
  <si>
    <t>0811500581087722</t>
  </si>
  <si>
    <t>NEHDI NADI</t>
  </si>
  <si>
    <t>Nedi Nari</t>
  </si>
  <si>
    <t>0811500581087753</t>
  </si>
  <si>
    <t>Nedi Nadi</t>
  </si>
  <si>
    <t>Janiyon Ka Magra</t>
  </si>
  <si>
    <t>0811500581087755</t>
  </si>
  <si>
    <t>Gadera Khichdan</t>
  </si>
  <si>
    <t>0811500581087756</t>
  </si>
  <si>
    <t>Gadera</t>
  </si>
  <si>
    <t>0811500581087757</t>
  </si>
  <si>
    <t>Shiv Mandir</t>
  </si>
  <si>
    <t>0811500581087758</t>
  </si>
  <si>
    <t>Pananiyo Ki Dhani</t>
  </si>
  <si>
    <t>Lumbaniyo ki dhani</t>
  </si>
  <si>
    <t>Mehrani dhako ki dhani</t>
  </si>
  <si>
    <t>Ajaniyon Ki Dhani</t>
  </si>
  <si>
    <t>0811500581087754</t>
  </si>
  <si>
    <t>RANASAR KALLAN</t>
  </si>
  <si>
    <t>Ranasar Kalan</t>
  </si>
  <si>
    <t>0811500581087728</t>
  </si>
  <si>
    <t>10.12.2024</t>
  </si>
  <si>
    <t>Meghwalon Ki Dhani</t>
  </si>
  <si>
    <t>0811500581087732</t>
  </si>
  <si>
    <t>Raika Bag</t>
  </si>
  <si>
    <t>0811500581087727</t>
  </si>
  <si>
    <t>Jal Beri</t>
  </si>
  <si>
    <t>0811500581087726</t>
  </si>
  <si>
    <t>Rohila</t>
  </si>
  <si>
    <t>0811500581087772</t>
  </si>
  <si>
    <t>Pooniyon Ki Beri</t>
  </si>
  <si>
    <t>0811500581087768</t>
  </si>
  <si>
    <t>0811500581087769</t>
  </si>
  <si>
    <t>Khar Ki Beri</t>
  </si>
  <si>
    <t>0811500581087773</t>
  </si>
  <si>
    <t>Kavon Ki Beri</t>
  </si>
  <si>
    <t>0811500581087770</t>
  </si>
  <si>
    <t>0811500581087771</t>
  </si>
  <si>
    <t>SOBHALA JETMAL</t>
  </si>
  <si>
    <t>Shobhala Jetmal</t>
  </si>
  <si>
    <t>0811500581087697</t>
  </si>
  <si>
    <t>0811500581087703</t>
  </si>
  <si>
    <t>Heera Nagar</t>
  </si>
  <si>
    <t>0811500581087704</t>
  </si>
  <si>
    <t>चारागाह विकास कार्य हीरा नगर</t>
  </si>
  <si>
    <t>Shashi Nadi</t>
  </si>
  <si>
    <t>0811500581087702</t>
  </si>
  <si>
    <t>Siyolon Ki Dhani</t>
  </si>
  <si>
    <t>0811500581087696</t>
  </si>
  <si>
    <t>Siyolo ki dhani</t>
  </si>
  <si>
    <t>Vishnoiyon Ki Dhani</t>
  </si>
  <si>
    <t>0811500581087698</t>
  </si>
  <si>
    <t>vishnoeyo ki dhani</t>
  </si>
  <si>
    <t>SUDABERI</t>
  </si>
  <si>
    <t>Sudaberi</t>
  </si>
  <si>
    <t>0811500581087985</t>
  </si>
  <si>
    <t>Shankarpura</t>
  </si>
  <si>
    <t>0811500581087984</t>
  </si>
  <si>
    <t>Sudaberi Khurd</t>
  </si>
  <si>
    <t>0811500581087986</t>
  </si>
  <si>
    <t>Bhaduon Ki Beri</t>
  </si>
  <si>
    <t>0811500581087987</t>
  </si>
  <si>
    <t>Ramdan ki Dhani</t>
  </si>
  <si>
    <t>UDASAR</t>
  </si>
  <si>
    <t>Udasar</t>
  </si>
  <si>
    <t>0811500581087776</t>
  </si>
  <si>
    <t>10.02.2024</t>
  </si>
  <si>
    <t>Dudapur</t>
  </si>
  <si>
    <t>0811500581087780</t>
  </si>
  <si>
    <t>Ummednagar</t>
  </si>
  <si>
    <t>0811500581087775</t>
  </si>
  <si>
    <t>Bhilon Ki Dhani Chak No 1</t>
  </si>
  <si>
    <t>0811500581087789</t>
  </si>
  <si>
    <t>Ladhapura</t>
  </si>
  <si>
    <t>0811500581087791</t>
  </si>
  <si>
    <t>Kalapura</t>
  </si>
  <si>
    <t>0811500581087790</t>
  </si>
  <si>
    <t>Relon Ki Beri</t>
  </si>
  <si>
    <t>0811500581087695</t>
  </si>
  <si>
    <t>FAGLIYA</t>
  </si>
  <si>
    <t>Arata</t>
  </si>
  <si>
    <t>Fagaliya</t>
  </si>
  <si>
    <t>ARTI</t>
  </si>
  <si>
    <t>Arti</t>
  </si>
  <si>
    <t>Sinhaniya</t>
  </si>
  <si>
    <t>Arati</t>
  </si>
  <si>
    <t>0811500584089032</t>
  </si>
  <si>
    <t>0811500584089016</t>
  </si>
  <si>
    <t>BAKHASAR</t>
  </si>
  <si>
    <t>Bakhasar</t>
  </si>
  <si>
    <t>0811500584089061</t>
  </si>
  <si>
    <t>चारागाह विकास कार्य बाखासर</t>
  </si>
  <si>
    <t>0811500584089055</t>
  </si>
  <si>
    <t>Radawa</t>
  </si>
  <si>
    <t>Bandha</t>
  </si>
  <si>
    <t>चारागाह विकास कार्य खसरा न 517/238</t>
  </si>
  <si>
    <t>Pabudanpura</t>
  </si>
  <si>
    <t>0811500584089003</t>
  </si>
  <si>
    <t>Pabupura 1</t>
  </si>
  <si>
    <t>Jorapura</t>
  </si>
  <si>
    <t>0811500584089004</t>
  </si>
  <si>
    <t>Jorpura</t>
  </si>
  <si>
    <t>BAWARWALA</t>
  </si>
  <si>
    <t>Bawarwala</t>
  </si>
  <si>
    <t>0811500584089062</t>
  </si>
  <si>
    <t xml:space="preserve">चारागाह विकास कार्य बावरावाला </t>
  </si>
  <si>
    <t>BHALGAON</t>
  </si>
  <si>
    <t>Bhalgaon</t>
  </si>
  <si>
    <t>0811500584089060</t>
  </si>
  <si>
    <t>Chandasani</t>
  </si>
  <si>
    <t>0811500584089064</t>
  </si>
  <si>
    <t>Tareesara</t>
  </si>
  <si>
    <t>0811500584089063</t>
  </si>
  <si>
    <t>BHANWARIYA</t>
  </si>
  <si>
    <t>Bhanwariya</t>
  </si>
  <si>
    <t>0811500584089047</t>
  </si>
  <si>
    <t>Bhawariya</t>
  </si>
  <si>
    <t>Gangasariya</t>
  </si>
  <si>
    <t>चारागाह विकास कार्य गंगासरिया</t>
  </si>
  <si>
    <t>0811500584089048</t>
  </si>
  <si>
    <t>Borala</t>
  </si>
  <si>
    <t>चारागाह विकास कार्य बोरला</t>
  </si>
  <si>
    <t>चारागाह विकास कार्य बोरला 1</t>
  </si>
  <si>
    <t>चारागाह विकास कार्य बोरला 2</t>
  </si>
  <si>
    <t>चारागाह विकास कार्य बोरला 3</t>
  </si>
  <si>
    <t>BOLI</t>
  </si>
  <si>
    <t>Boli</t>
  </si>
  <si>
    <t>0811500584089019</t>
  </si>
  <si>
    <t>चारागाह विकास कार्य बोली</t>
  </si>
  <si>
    <t>Mantunda</t>
  </si>
  <si>
    <t>0811500584089020</t>
  </si>
  <si>
    <t>चारागाह विकास कार्य मतुडा</t>
  </si>
  <si>
    <t>Ekal</t>
  </si>
  <si>
    <t>0811500584089038</t>
  </si>
  <si>
    <t>0811500584089039</t>
  </si>
  <si>
    <t>Ramderiya West</t>
  </si>
  <si>
    <t>0811500584089037</t>
  </si>
  <si>
    <t>Badha</t>
  </si>
  <si>
    <t>0811500584089002</t>
  </si>
  <si>
    <t>Phagliya</t>
  </si>
  <si>
    <t>0811500584089017</t>
  </si>
  <si>
    <t>0811500584089029</t>
  </si>
  <si>
    <t>Sagarbao</t>
  </si>
  <si>
    <t>0811500584089018</t>
  </si>
  <si>
    <t>Sagarwal</t>
  </si>
  <si>
    <t>GANGASARA</t>
  </si>
  <si>
    <t>0811500584089000</t>
  </si>
  <si>
    <t>Bandhniya</t>
  </si>
  <si>
    <t>0811500584088999</t>
  </si>
  <si>
    <t>Badhaniya</t>
  </si>
  <si>
    <t>Vishnu Nagari</t>
  </si>
  <si>
    <t>Shri yade Nagar</t>
  </si>
  <si>
    <t>Gira</t>
  </si>
  <si>
    <t>0811500584089026</t>
  </si>
  <si>
    <t>Deedawa</t>
  </si>
  <si>
    <t>0811500584089025</t>
  </si>
  <si>
    <t>GODA</t>
  </si>
  <si>
    <t>Gora</t>
  </si>
  <si>
    <t>0811500584088992</t>
  </si>
  <si>
    <t>Gauda</t>
  </si>
  <si>
    <t>HATHLA</t>
  </si>
  <si>
    <t>Bachwal</t>
  </si>
  <si>
    <t>0811500584089059</t>
  </si>
  <si>
    <t>Hathala</t>
  </si>
  <si>
    <t>Hathla</t>
  </si>
  <si>
    <t>0811500584089040</t>
  </si>
  <si>
    <t>Chhota Hathala</t>
  </si>
  <si>
    <t>0811500584089042</t>
  </si>
  <si>
    <t>चारागाह विकास कार्य छोटा हाथला</t>
  </si>
  <si>
    <t>Beradi</t>
  </si>
  <si>
    <t xml:space="preserve">चारागाह विकास कार्य बेरडी </t>
  </si>
  <si>
    <t>Venrdi</t>
  </si>
  <si>
    <t>0811500584089041</t>
  </si>
  <si>
    <t>Meethri</t>
  </si>
  <si>
    <t>Mithadi</t>
  </si>
  <si>
    <t>Boradi</t>
  </si>
  <si>
    <t>Mogawa</t>
  </si>
  <si>
    <t>0811500584089033</t>
  </si>
  <si>
    <t>Nawapura</t>
  </si>
  <si>
    <t>Dasoriya</t>
  </si>
  <si>
    <t>0811500584089054</t>
  </si>
  <si>
    <t>चारागाह विकास कार्य दासोरिया</t>
  </si>
  <si>
    <t>Navapura</t>
  </si>
  <si>
    <t>चारागाह विकास कार्य नवापुरा</t>
  </si>
  <si>
    <t>Jagtamba Nagar</t>
  </si>
  <si>
    <t>Manpura</t>
  </si>
  <si>
    <t>0811500584089053</t>
  </si>
  <si>
    <t>Dhudasa</t>
  </si>
  <si>
    <t>0811500584089056</t>
  </si>
  <si>
    <t>OGALA</t>
  </si>
  <si>
    <t>Ogala</t>
  </si>
  <si>
    <t>0811500584088990</t>
  </si>
  <si>
    <t>चारागाह विकास कार्य ओगाला</t>
  </si>
  <si>
    <t>Kharader</t>
  </si>
  <si>
    <t>Khara Der</t>
  </si>
  <si>
    <t>Borla Jatan</t>
  </si>
  <si>
    <t>0811500584088991</t>
  </si>
  <si>
    <t>Borjatal</t>
  </si>
  <si>
    <t>चारागाह विकास कार्य खारा डेर</t>
  </si>
  <si>
    <t>0811500584088989</t>
  </si>
  <si>
    <t>Borjatai</t>
  </si>
  <si>
    <t>Pancharla</t>
  </si>
  <si>
    <t>0811500584089030</t>
  </si>
  <si>
    <t>Panchala</t>
  </si>
  <si>
    <t>Arta</t>
  </si>
  <si>
    <t>0811500584089031</t>
  </si>
  <si>
    <t>Pandarwali</t>
  </si>
  <si>
    <t>0811500584089051</t>
  </si>
  <si>
    <t>चारागाह विकास कार्य पांडरावली</t>
  </si>
  <si>
    <t>Bhandariya</t>
  </si>
  <si>
    <t>0811500584089052</t>
  </si>
  <si>
    <t>Bhandariyaa</t>
  </si>
  <si>
    <t>PANORIYA</t>
  </si>
  <si>
    <t>Panoriya</t>
  </si>
  <si>
    <t>0811500584089023</t>
  </si>
  <si>
    <t>Madawao</t>
  </si>
  <si>
    <t>0811500584089024</t>
  </si>
  <si>
    <t>Khavala</t>
  </si>
  <si>
    <t>0811500584089022</t>
  </si>
  <si>
    <t>Cheetradi</t>
  </si>
  <si>
    <t>0811500584089021</t>
  </si>
  <si>
    <t>SANWLASI</t>
  </si>
  <si>
    <t>Sanwlasi</t>
  </si>
  <si>
    <t>0811500584089028</t>
  </si>
  <si>
    <t xml:space="preserve">चारागाह विकास कार्य खारी </t>
  </si>
  <si>
    <t>चारागाह विकास कार्य खारी</t>
  </si>
  <si>
    <t>0811500584089027</t>
  </si>
  <si>
    <t>चारागाह विकास कार्य सावालासी</t>
  </si>
  <si>
    <t>SATA</t>
  </si>
  <si>
    <t>Sata</t>
  </si>
  <si>
    <t>0811500584089049</t>
  </si>
  <si>
    <t>डिचकम बेड निर्माण KGBV के पीछे साता</t>
  </si>
  <si>
    <t>डिचकम बेड निर्माण खसरा न. 119/113</t>
  </si>
  <si>
    <t>डीचकम बेड उतरी भाग साता</t>
  </si>
  <si>
    <t>डीचकम बेड पूर्वी भाग साता</t>
  </si>
  <si>
    <t>Suhagi</t>
  </si>
  <si>
    <t>0811500584089058</t>
  </si>
  <si>
    <t>Rangwali</t>
  </si>
  <si>
    <t>0811500584089057</t>
  </si>
  <si>
    <t>Ragawali</t>
  </si>
  <si>
    <t>TARLA</t>
  </si>
  <si>
    <t>Tarla</t>
  </si>
  <si>
    <t>0811500584089046</t>
  </si>
  <si>
    <t>Tarala</t>
  </si>
  <si>
    <t>चारागाह विकास कार्य अम्बावा 1</t>
  </si>
  <si>
    <t>Ambala</t>
  </si>
  <si>
    <t xml:space="preserve">चारागाह विकास कार्य अम्बावा </t>
  </si>
  <si>
    <t>चारागाह विकास कार्य अम्बावा दक्षिणी भाग</t>
  </si>
  <si>
    <t>चारागाह विकास कार्य अम्बावा उतरी भाग</t>
  </si>
  <si>
    <t>डिचकम बैंड निर्माण कार्य गोचर भूमि अम्बावा</t>
  </si>
  <si>
    <t xml:space="preserve">चारागाह विकास कार्य सोनारडी </t>
  </si>
  <si>
    <t>Sonaradi</t>
  </si>
  <si>
    <t>चारागाह विकास कार्य सोनारडी 1</t>
  </si>
  <si>
    <t>चारागाह विकास कार्य सोनारडी 2</t>
  </si>
  <si>
    <t>चारागाह विकास कार्य अम्बाला</t>
  </si>
  <si>
    <t>चारागाह विकास कार्य सोनारडी</t>
  </si>
  <si>
    <t>0811500584089044</t>
  </si>
  <si>
    <t>चारागाह विकास कार्य अम्बावा</t>
  </si>
  <si>
    <t>0811500584089045</t>
  </si>
  <si>
    <t>GADRA ROAD</t>
  </si>
  <si>
    <t>AASARI</t>
  </si>
  <si>
    <t>Aasari</t>
  </si>
  <si>
    <t>0811500577086672</t>
  </si>
  <si>
    <t>Aasadi</t>
  </si>
  <si>
    <t>Agasari</t>
  </si>
  <si>
    <t>0811500577086674</t>
  </si>
  <si>
    <t>Aagasadi</t>
  </si>
  <si>
    <t>Asari Sindhiyan</t>
  </si>
  <si>
    <t>0811500577086673</t>
  </si>
  <si>
    <t>Aasadi sindhiyan</t>
  </si>
  <si>
    <t>Acharaniyon Ki Dhani</t>
  </si>
  <si>
    <t>0811500577086676</t>
  </si>
  <si>
    <t>चारागाह विकास कार्य आचारानियो की ढाणी</t>
  </si>
  <si>
    <t>Solankiyon Ki Bastti</t>
  </si>
  <si>
    <t>0811500577086716</t>
  </si>
  <si>
    <t xml:space="preserve">चारागाह विकास कार्य सोलंकिया </t>
  </si>
  <si>
    <t>Unrod</t>
  </si>
  <si>
    <t>0811500577086671</t>
  </si>
  <si>
    <t>चारागाह विकास कार्य उनारोड</t>
  </si>
  <si>
    <t>BALEWA</t>
  </si>
  <si>
    <t>Balewa</t>
  </si>
  <si>
    <t>0811500577086730</t>
  </si>
  <si>
    <t>चारागाह विकास कार्य बालेबा ढाणी</t>
  </si>
  <si>
    <t>Charno Ki Dhani</t>
  </si>
  <si>
    <t>0811500577086729</t>
  </si>
  <si>
    <t>Charno ki dhani</t>
  </si>
  <si>
    <t>Dedariyar</t>
  </si>
  <si>
    <t>0811500577086738</t>
  </si>
  <si>
    <t>Deddiyar</t>
  </si>
  <si>
    <t>Bandasar</t>
  </si>
  <si>
    <t>0811500577086702</t>
  </si>
  <si>
    <t>Tirmohi</t>
  </si>
  <si>
    <t>0811500577086701</t>
  </si>
  <si>
    <t>Trimohi</t>
  </si>
  <si>
    <t>Onara</t>
  </si>
  <si>
    <t>0811500577086703</t>
  </si>
  <si>
    <t>Onada</t>
  </si>
  <si>
    <t>BANDHARA</t>
  </si>
  <si>
    <t>Bandhara</t>
  </si>
  <si>
    <t>0811500577086664</t>
  </si>
  <si>
    <t>चारागाह विकास कार्य बन्धडा</t>
  </si>
  <si>
    <t>Peeprli</t>
  </si>
  <si>
    <t>0811500577086661</t>
  </si>
  <si>
    <t>Piparli</t>
  </si>
  <si>
    <t>Pate Ka Par</t>
  </si>
  <si>
    <t>0811500577086663</t>
  </si>
  <si>
    <t>Pate ka par</t>
  </si>
  <si>
    <t>Bikoosi</t>
  </si>
  <si>
    <t>0811500577086665</t>
  </si>
  <si>
    <t xml:space="preserve">चारागाह विकास कार्य बिकुशी </t>
  </si>
  <si>
    <t>Kundal @ Gordhanili</t>
  </si>
  <si>
    <t>0811500577086666</t>
  </si>
  <si>
    <t>Kundal /Godhnli</t>
  </si>
  <si>
    <t>BEEJAWAL</t>
  </si>
  <si>
    <t>Beejawal</t>
  </si>
  <si>
    <t>0811500577086620</t>
  </si>
  <si>
    <t xml:space="preserve">चारागाह विकास कार्य बीजवाल </t>
  </si>
  <si>
    <t>Hafiya</t>
  </si>
  <si>
    <t>0811500577086613</t>
  </si>
  <si>
    <t>Samand Kapar</t>
  </si>
  <si>
    <t>0811500577086612</t>
  </si>
  <si>
    <t>Samand ka par</t>
  </si>
  <si>
    <t>Phangali</t>
  </si>
  <si>
    <t>0811500577086619</t>
  </si>
  <si>
    <t>CHETRODI</t>
  </si>
  <si>
    <t>Bahla</t>
  </si>
  <si>
    <t>0811500577086682</t>
  </si>
  <si>
    <t>चारागाह विकास कार्य बहाला</t>
  </si>
  <si>
    <t>Chetrori</t>
  </si>
  <si>
    <t>0811500577086681</t>
  </si>
  <si>
    <t>चारागाह विकास कार्य चेतरोडी</t>
  </si>
  <si>
    <t>Ugeri</t>
  </si>
  <si>
    <t>0811500577086680</t>
  </si>
  <si>
    <t>चारागाह विकास कार्य उगेरी</t>
  </si>
  <si>
    <t>Detani</t>
  </si>
  <si>
    <t>0811500577086704</t>
  </si>
  <si>
    <t>चारागाह विकास कार्य देतानी</t>
  </si>
  <si>
    <t>Doodhora</t>
  </si>
  <si>
    <t>Meeru Ani</t>
  </si>
  <si>
    <t>0811500577086721</t>
  </si>
  <si>
    <t>Meeruvani</t>
  </si>
  <si>
    <t>Dodhoda</t>
  </si>
  <si>
    <t>0811500577086722</t>
  </si>
  <si>
    <t>Tibniyar</t>
  </si>
  <si>
    <t>0811500577086741</t>
  </si>
  <si>
    <t>Drabha</t>
  </si>
  <si>
    <t>0811500577086611</t>
  </si>
  <si>
    <t xml:space="preserve">चारागाह विकास कार्य दरभा </t>
  </si>
  <si>
    <t>Sirguwala</t>
  </si>
  <si>
    <t>0811500577086657</t>
  </si>
  <si>
    <t>Sirguvala</t>
  </si>
  <si>
    <t>Shadad Ka Par Khurd</t>
  </si>
  <si>
    <t>0811500577086605</t>
  </si>
  <si>
    <t>चारागाह विकास कार्य शहदाद का पार</t>
  </si>
  <si>
    <t>Matharani (meghwal)</t>
  </si>
  <si>
    <t>0811500577086656</t>
  </si>
  <si>
    <t>Mathrani megvalo ki dhani</t>
  </si>
  <si>
    <t>Dhagari</t>
  </si>
  <si>
    <t>0811500577086610</t>
  </si>
  <si>
    <t>Dhgari</t>
  </si>
  <si>
    <t>Gadraroad</t>
  </si>
  <si>
    <t>0811500577086700</t>
  </si>
  <si>
    <t xml:space="preserve">चारागाह विकास कार्य गडरा रोड </t>
  </si>
  <si>
    <t>GIRAB</t>
  </si>
  <si>
    <t>0811500577086669</t>
  </si>
  <si>
    <t>Girab</t>
  </si>
  <si>
    <t>Chahariyali</t>
  </si>
  <si>
    <t>0811500577086675</t>
  </si>
  <si>
    <t>Chahdiyali</t>
  </si>
  <si>
    <t>0811500577086670</t>
  </si>
  <si>
    <t>चारागाह विकास कार्य गिराब</t>
  </si>
  <si>
    <t>HARSANI</t>
  </si>
  <si>
    <t>Harsani</t>
  </si>
  <si>
    <t>0811500577086715</t>
  </si>
  <si>
    <t>चारागाह विकास हरसानी</t>
  </si>
  <si>
    <t>JAISINDHAR GAON</t>
  </si>
  <si>
    <t>Jaisindhar Gaon</t>
  </si>
  <si>
    <t>0811500577086634</t>
  </si>
  <si>
    <t xml:space="preserve">चारागाह विकास कार्य भूरे की बस्ती </t>
  </si>
  <si>
    <t>Bhure Ki Basti</t>
  </si>
  <si>
    <t>0811500577086635</t>
  </si>
  <si>
    <t xml:space="preserve">चारागाह विकास कार्य जयसिंधर गाँव </t>
  </si>
  <si>
    <t>JAISINDHAR STATION</t>
  </si>
  <si>
    <t>Sona Sandha</t>
  </si>
  <si>
    <t>0811500577086632</t>
  </si>
  <si>
    <t>Sonasandha</t>
  </si>
  <si>
    <t>Kerkori</t>
  </si>
  <si>
    <t>0811500577086627</t>
  </si>
  <si>
    <t>Akali</t>
  </si>
  <si>
    <t>0811500577086626</t>
  </si>
  <si>
    <t>Aakali</t>
  </si>
  <si>
    <t>Bapunagar</t>
  </si>
  <si>
    <t>0811500577086623</t>
  </si>
  <si>
    <t>bapu Nagar</t>
  </si>
  <si>
    <t>Nopat</t>
  </si>
  <si>
    <t>0811500577086624</t>
  </si>
  <si>
    <t>Jaisindhar Station</t>
  </si>
  <si>
    <t>0811500577086622</t>
  </si>
  <si>
    <t>Jeshindar sateshn</t>
  </si>
  <si>
    <t>Khiyani</t>
  </si>
  <si>
    <t>0811500577086641</t>
  </si>
  <si>
    <t>JHANKALI</t>
  </si>
  <si>
    <t>Judiya</t>
  </si>
  <si>
    <t>0811500577086717</t>
  </si>
  <si>
    <t>Jhankali</t>
  </si>
  <si>
    <t>0811500577086719</t>
  </si>
  <si>
    <t>Karni Nagar</t>
  </si>
  <si>
    <t>0811500577086718</t>
  </si>
  <si>
    <t>Karani Nagar</t>
  </si>
  <si>
    <t>KHABDALA</t>
  </si>
  <si>
    <t>Khabdala</t>
  </si>
  <si>
    <t>0811500577086660</t>
  </si>
  <si>
    <t>Khbdala</t>
  </si>
  <si>
    <t>Nohdiyala</t>
  </si>
  <si>
    <t>0811500577086609</t>
  </si>
  <si>
    <t>Punjraj Ka Par</t>
  </si>
  <si>
    <t>0811500577086662</t>
  </si>
  <si>
    <t>Punjraj ka par</t>
  </si>
  <si>
    <t>Bachiya</t>
  </si>
  <si>
    <t>0811500577086608</t>
  </si>
  <si>
    <t>चारागाह विकास कार्य बचिया</t>
  </si>
  <si>
    <t>Khadeen</t>
  </si>
  <si>
    <t>Khareen</t>
  </si>
  <si>
    <t>0811500577086653</t>
  </si>
  <si>
    <t>Baniyali</t>
  </si>
  <si>
    <t>0811500577086644</t>
  </si>
  <si>
    <t>Dhingani Basti</t>
  </si>
  <si>
    <t>0811500577086685</t>
  </si>
  <si>
    <t>Dhigani basti</t>
  </si>
  <si>
    <t>Chauthiyali</t>
  </si>
  <si>
    <t>0811500577086645</t>
  </si>
  <si>
    <t>Chuthiyali</t>
  </si>
  <si>
    <t>Sela</t>
  </si>
  <si>
    <t>0811500577086651</t>
  </si>
  <si>
    <t>Saila</t>
  </si>
  <si>
    <t>Alabachaya Ki Dhani</t>
  </si>
  <si>
    <t>0811500577086652</t>
  </si>
  <si>
    <t>Alabachaya ki dhani</t>
  </si>
  <si>
    <t>KHALIFE KI BAORI</t>
  </si>
  <si>
    <t>Khalife Ki Baori @ Medusar</t>
  </si>
  <si>
    <t>0811500577086648</t>
  </si>
  <si>
    <t>चारागाह विकास कार्य खालिफे की बावड़ी</t>
  </si>
  <si>
    <t>31/11/2021</t>
  </si>
  <si>
    <t>Saidad Ki Beri</t>
  </si>
  <si>
    <t>0811500577086643</t>
  </si>
  <si>
    <t>Saedad ki beri</t>
  </si>
  <si>
    <t>Khacharkhari</t>
  </si>
  <si>
    <t>0811500577086647</t>
  </si>
  <si>
    <t>Khachar khdi</t>
  </si>
  <si>
    <t>Matharani Sound</t>
  </si>
  <si>
    <t>0811500577086646</t>
  </si>
  <si>
    <t xml:space="preserve">चारागाह विकास कार्य मथारानी सौद </t>
  </si>
  <si>
    <t>Paboosari</t>
  </si>
  <si>
    <t>0811500577086650</t>
  </si>
  <si>
    <t>pabusari</t>
  </si>
  <si>
    <t>Shahmeer Ka Par</t>
  </si>
  <si>
    <t>0811500577086649</t>
  </si>
  <si>
    <t>Sahmeer ka Par</t>
  </si>
  <si>
    <t>KHANIYANI</t>
  </si>
  <si>
    <t>Khaniyani</t>
  </si>
  <si>
    <t>0811500577086708</t>
  </si>
  <si>
    <t>चारागाह विकास कार्य खानियानी</t>
  </si>
  <si>
    <t>Kareem Ka Par</t>
  </si>
  <si>
    <t>0811500577086707</t>
  </si>
  <si>
    <t>चारागाह विकास कार्य करीम का पार</t>
  </si>
  <si>
    <t>Dhamdali</t>
  </si>
  <si>
    <t>0811500577086709</t>
  </si>
  <si>
    <t>चारागाह विकास कार्य धाम्डली</t>
  </si>
  <si>
    <t>Lalasar</t>
  </si>
  <si>
    <t>0811500577086692</t>
  </si>
  <si>
    <t>KHARCHI</t>
  </si>
  <si>
    <t>Kharchi</t>
  </si>
  <si>
    <t>0811500577086727</t>
  </si>
  <si>
    <t xml:space="preserve">चारागाह विकास कार्य खारची </t>
  </si>
  <si>
    <t>Moseri</t>
  </si>
  <si>
    <t>0811500577086728</t>
  </si>
  <si>
    <t>Gordiya</t>
  </si>
  <si>
    <t>0811500577086726</t>
  </si>
  <si>
    <t>Gorediya</t>
  </si>
  <si>
    <t>KHUDANI</t>
  </si>
  <si>
    <t>Khudani</t>
  </si>
  <si>
    <t>0811500577086711</t>
  </si>
  <si>
    <t>चारागाह विकास कार्य खुडानी</t>
  </si>
  <si>
    <t>Gapan Talai</t>
  </si>
  <si>
    <t>0811500577086710</t>
  </si>
  <si>
    <t>Gafan talae</t>
  </si>
  <si>
    <t>Kubriya</t>
  </si>
  <si>
    <t>0811500577086668</t>
  </si>
  <si>
    <t>Rohidala Rathodan</t>
  </si>
  <si>
    <t>0811500577086678</t>
  </si>
  <si>
    <t>Rohirala Rathoran</t>
  </si>
  <si>
    <t>Hafiya @ Sankhli</t>
  </si>
  <si>
    <t>0811500577086679</t>
  </si>
  <si>
    <t>Sankhli/Hafiya</t>
  </si>
  <si>
    <t>Sadhon Ki Basti</t>
  </si>
  <si>
    <t>0811500577086677</t>
  </si>
  <si>
    <t>Sadho ki basti</t>
  </si>
  <si>
    <t>Shastri Gaon</t>
  </si>
  <si>
    <t>0811500577086667</t>
  </si>
  <si>
    <t>चारागाह विकास कार्य शास्त्री ग्राम</t>
  </si>
  <si>
    <t>Magra</t>
  </si>
  <si>
    <t>0811500577086712</t>
  </si>
  <si>
    <t>Magara</t>
  </si>
  <si>
    <t>magara</t>
  </si>
  <si>
    <t>1538, 1539, 1549, 1550, 1554, 1792/1540</t>
  </si>
  <si>
    <t>Kumbharon Ki Dhani</t>
  </si>
  <si>
    <t>0811500577086713</t>
  </si>
  <si>
    <t>Kumharo ki dhani</t>
  </si>
  <si>
    <t>Turbi</t>
  </si>
  <si>
    <t>0811500577086714</t>
  </si>
  <si>
    <t>Turabi</t>
  </si>
  <si>
    <t>Malana</t>
  </si>
  <si>
    <t>0811500577086629</t>
  </si>
  <si>
    <t xml:space="preserve">चारागाह विकास कार्य मलाना </t>
  </si>
  <si>
    <t>Sutharo Ka Par</t>
  </si>
  <si>
    <t>0811500577086630</t>
  </si>
  <si>
    <t>Chhoti Khareen</t>
  </si>
  <si>
    <t>0811500577086633</t>
  </si>
  <si>
    <t>Choti khadeen</t>
  </si>
  <si>
    <t>Barsa</t>
  </si>
  <si>
    <t>0811500577086631</t>
  </si>
  <si>
    <t xml:space="preserve">चारागाह विकास कार्य बरसा </t>
  </si>
  <si>
    <t>Hameerani</t>
  </si>
  <si>
    <t>0811500577086628</t>
  </si>
  <si>
    <t>hamirani</t>
  </si>
  <si>
    <t>Pannela</t>
  </si>
  <si>
    <t>0811500577086695</t>
  </si>
  <si>
    <t>चारागाह विकास कार्य पनेला</t>
  </si>
  <si>
    <t>Amee Ka Par</t>
  </si>
  <si>
    <t>0811500577086698</t>
  </si>
  <si>
    <t>Aami ka par</t>
  </si>
  <si>
    <t>Makhan Ka Par</t>
  </si>
  <si>
    <t>0811500577086697</t>
  </si>
  <si>
    <t>makhan ka par</t>
  </si>
  <si>
    <t>Rehaliya</t>
  </si>
  <si>
    <t>0811500577086696</t>
  </si>
  <si>
    <t>Uttarba</t>
  </si>
  <si>
    <t>0811500577086694</t>
  </si>
  <si>
    <t>Utarba</t>
  </si>
  <si>
    <t>PHOGERA</t>
  </si>
  <si>
    <t>Phogera</t>
  </si>
  <si>
    <t>0811500577086740</t>
  </si>
  <si>
    <t>चारागाह विकास कार्य फोगेरा</t>
  </si>
  <si>
    <t>Phogera Aagor</t>
  </si>
  <si>
    <t>0811500577086739</t>
  </si>
  <si>
    <t>Fogera Aagor</t>
  </si>
  <si>
    <t>Poshma</t>
  </si>
  <si>
    <t>0811500577086720</t>
  </si>
  <si>
    <t>RANASAR</t>
  </si>
  <si>
    <t>Ranasar</t>
  </si>
  <si>
    <t>0811500577086705</t>
  </si>
  <si>
    <t>चारागाह विकास कार्य राणासर</t>
  </si>
  <si>
    <t>0811500577086706</t>
  </si>
  <si>
    <t>Ratreri kalan</t>
  </si>
  <si>
    <t>Ratreri Kalan</t>
  </si>
  <si>
    <t>0811500577086658</t>
  </si>
  <si>
    <t>Ratredi kala</t>
  </si>
  <si>
    <t>Jeene Ki Basti</t>
  </si>
  <si>
    <t>0811500577086654</t>
  </si>
  <si>
    <t>Jeene ki basti</t>
  </si>
  <si>
    <t>Ratreri Khurd</t>
  </si>
  <si>
    <t>0811500577086655</t>
  </si>
  <si>
    <t>Ratedi khurd</t>
  </si>
  <si>
    <t>Dhabhar</t>
  </si>
  <si>
    <t>0811500577086659</t>
  </si>
  <si>
    <t>dabhad</t>
  </si>
  <si>
    <t>RAVATSAR</t>
  </si>
  <si>
    <t>0811500577086691</t>
  </si>
  <si>
    <t>Bakhatpura</t>
  </si>
  <si>
    <t>0811500577086684</t>
  </si>
  <si>
    <t>Bkhatpura</t>
  </si>
  <si>
    <t>Goraliya</t>
  </si>
  <si>
    <t>0811500577086686</t>
  </si>
  <si>
    <t>Seloriya South</t>
  </si>
  <si>
    <t>0811500577086687</t>
  </si>
  <si>
    <t>Selodiya dakshin</t>
  </si>
  <si>
    <t>0811500577086690</t>
  </si>
  <si>
    <t>Salam Singh Ki Basti</t>
  </si>
  <si>
    <t>0811500577086689</t>
  </si>
  <si>
    <t>Salam singh ki basti</t>
  </si>
  <si>
    <t>Lambara</t>
  </si>
  <si>
    <t>0811500577086688</t>
  </si>
  <si>
    <t>Lambda</t>
  </si>
  <si>
    <t>REDANA</t>
  </si>
  <si>
    <t>Redana</t>
  </si>
  <si>
    <t>0811500577086737</t>
  </si>
  <si>
    <t>चारागाह विकास कार्य रेडाना</t>
  </si>
  <si>
    <t>Sadaniyon Bhilon Ki Basti</t>
  </si>
  <si>
    <t>0811500577086735</t>
  </si>
  <si>
    <t>Sadaniyo Bhilo ki Basti</t>
  </si>
  <si>
    <t>Devi Pura</t>
  </si>
  <si>
    <t>0811500577086734</t>
  </si>
  <si>
    <t xml:space="preserve">चारागाह विकास कार्य देवीपुरा रेडाना </t>
  </si>
  <si>
    <t>Neemblee</t>
  </si>
  <si>
    <t>0811500577086736</t>
  </si>
  <si>
    <t>चारागाह विकास कार्य निम्बली</t>
  </si>
  <si>
    <t>Manjholi</t>
  </si>
  <si>
    <t>0811500577086731</t>
  </si>
  <si>
    <t>Majholi</t>
  </si>
  <si>
    <t>Deoron Ki Basti</t>
  </si>
  <si>
    <t>0811500577086732</t>
  </si>
  <si>
    <t>Devdo ki Basti</t>
  </si>
  <si>
    <t>Uttri Der</t>
  </si>
  <si>
    <t>0811500577086733</t>
  </si>
  <si>
    <t>Uatri der</t>
  </si>
  <si>
    <t>rohidaala</t>
  </si>
  <si>
    <t>Rohidaala</t>
  </si>
  <si>
    <t>0811500577086618</t>
  </si>
  <si>
    <t>चारागाह विकास कार्य रोहिडाला</t>
  </si>
  <si>
    <t>Peethakar</t>
  </si>
  <si>
    <t>0811500577086625</t>
  </si>
  <si>
    <t>चारागाह विकास पीथाकर</t>
  </si>
  <si>
    <t>Munaaba</t>
  </si>
  <si>
    <t>0811500577086621</t>
  </si>
  <si>
    <t>चारागाह विकास कार्य मुनाबा</t>
  </si>
  <si>
    <t>Bhooni</t>
  </si>
  <si>
    <t>0811500577086642</t>
  </si>
  <si>
    <t>चारागाह विकास कार्य भुनी</t>
  </si>
  <si>
    <t>ROHIDI</t>
  </si>
  <si>
    <t>Rohiri</t>
  </si>
  <si>
    <t>0811500577086616</t>
  </si>
  <si>
    <t>चारागाह विकास कार्य रोहिड़ी</t>
  </si>
  <si>
    <t>Chandniya</t>
  </si>
  <si>
    <t>0811500577086614</t>
  </si>
  <si>
    <t>Moti Ki Beri</t>
  </si>
  <si>
    <t>0811500577086615</t>
  </si>
  <si>
    <t>चारागाह विकास कार्य मोती की बेरी</t>
  </si>
  <si>
    <t>Sagoraliya</t>
  </si>
  <si>
    <t>0811500577086617</t>
  </si>
  <si>
    <t>SHAHDAD KA PAR</t>
  </si>
  <si>
    <t>Shahdad Ka Par</t>
  </si>
  <si>
    <t>0811500577086639</t>
  </si>
  <si>
    <t>Sahdad ka par</t>
  </si>
  <si>
    <t>Ransingh Ki Dhani</t>
  </si>
  <si>
    <t>0811500577086636</t>
  </si>
  <si>
    <t>Ran singh ki dhani</t>
  </si>
  <si>
    <t>Badrani</t>
  </si>
  <si>
    <t>0811500577086637</t>
  </si>
  <si>
    <t>Kumbharo Ka Par</t>
  </si>
  <si>
    <t>0811500577086638</t>
  </si>
  <si>
    <t>Kumharo ka par</t>
  </si>
  <si>
    <t>Mathar Ka Par</t>
  </si>
  <si>
    <t>0811500577086640</t>
  </si>
  <si>
    <t>Mathar ka par</t>
  </si>
  <si>
    <t>Sargila</t>
  </si>
  <si>
    <t>0811500577086683</t>
  </si>
  <si>
    <t>SUNDRA</t>
  </si>
  <si>
    <t>Sundra</t>
  </si>
  <si>
    <t>0811500577086603</t>
  </si>
  <si>
    <t>चारागाह विकास कार्य सुंदरा</t>
  </si>
  <si>
    <t>0811500577086604</t>
  </si>
  <si>
    <t>चारागाह विकास कार्य पांचला.</t>
  </si>
  <si>
    <t>Boi</t>
  </si>
  <si>
    <t>0811500577086607</t>
  </si>
  <si>
    <t>Boee</t>
  </si>
  <si>
    <t>Moderdi</t>
  </si>
  <si>
    <t>0811500577086606</t>
  </si>
  <si>
    <t>Modardi</t>
  </si>
  <si>
    <t>TAMLOR</t>
  </si>
  <si>
    <t>Tamlor</t>
  </si>
  <si>
    <t>0811500577086699</t>
  </si>
  <si>
    <t>0811500577086693</t>
  </si>
  <si>
    <t>TANUMAN JI</t>
  </si>
  <si>
    <t>Tanumanji</t>
  </si>
  <si>
    <t>0811500577086724</t>
  </si>
  <si>
    <t>चारागाह विकास कार्य तानु मानजी</t>
  </si>
  <si>
    <t>Tanuraoji</t>
  </si>
  <si>
    <t>0811500577086725</t>
  </si>
  <si>
    <t>Tanuravji</t>
  </si>
  <si>
    <t>Jansingh Ki Beri</t>
  </si>
  <si>
    <t>0811500577086723</t>
  </si>
  <si>
    <t>jansingh ki beri</t>
  </si>
  <si>
    <t>GIRA</t>
  </si>
  <si>
    <t>CHEEBI</t>
  </si>
  <si>
    <t>Cheebi</t>
  </si>
  <si>
    <t>0811500578087118</t>
  </si>
  <si>
    <t>0811500578087099</t>
  </si>
  <si>
    <t>Malwa Goyalan</t>
  </si>
  <si>
    <t>0811500578087117</t>
  </si>
  <si>
    <t>Srawannadi</t>
  </si>
  <si>
    <t>0811500578087119</t>
  </si>
  <si>
    <t>Malwa Utrad</t>
  </si>
  <si>
    <t>0811500578087101</t>
  </si>
  <si>
    <t>0811500578087098</t>
  </si>
  <si>
    <t>Legonki Dhani</t>
  </si>
  <si>
    <t>0811500578087100</t>
  </si>
  <si>
    <t>Holani</t>
  </si>
  <si>
    <t>0811500578087102</t>
  </si>
  <si>
    <t>0811500578087103</t>
  </si>
  <si>
    <t>CHIDIYA</t>
  </si>
  <si>
    <t>Chiriya</t>
  </si>
  <si>
    <t>0811500578087131</t>
  </si>
  <si>
    <t>Kerala</t>
  </si>
  <si>
    <t>0811500578087126</t>
  </si>
  <si>
    <t>Lopali</t>
  </si>
  <si>
    <t>0811500578087132</t>
  </si>
  <si>
    <t>Chimoniyon Ki Dhani</t>
  </si>
  <si>
    <t>0811500578087066</t>
  </si>
  <si>
    <t>Jasoron Ki Beri</t>
  </si>
  <si>
    <t>0811500578087060</t>
  </si>
  <si>
    <t>0811500578087067</t>
  </si>
  <si>
    <t>0811500578087041</t>
  </si>
  <si>
    <t>Godaron Ki Basti</t>
  </si>
  <si>
    <t>0811500578087040</t>
  </si>
  <si>
    <t>Devpura urf Gogasar</t>
  </si>
  <si>
    <t>Devpura @ Gogasar</t>
  </si>
  <si>
    <t>0811500578087092</t>
  </si>
  <si>
    <t>Fateh Nagar</t>
  </si>
  <si>
    <t>0811500578087090</t>
  </si>
  <si>
    <t>Panawaspur</t>
  </si>
  <si>
    <t>0811500578087089</t>
  </si>
  <si>
    <t>0811500578087093</t>
  </si>
  <si>
    <t>0811500578087082</t>
  </si>
  <si>
    <t>Chak Utarni</t>
  </si>
  <si>
    <t>0811500578087080</t>
  </si>
  <si>
    <t>Gogasar</t>
  </si>
  <si>
    <t>0811500578087084</t>
  </si>
  <si>
    <t>Maldeta</t>
  </si>
  <si>
    <t>0811500578087079</t>
  </si>
  <si>
    <t>Sisodiyon Ka Pana</t>
  </si>
  <si>
    <t>0811500578087078</t>
  </si>
  <si>
    <t>HEERA KI DHANI</t>
  </si>
  <si>
    <t>Hira Ki Dhani</t>
  </si>
  <si>
    <t>0811500578086912</t>
  </si>
  <si>
    <t>Chak Neemba Ki Dhani</t>
  </si>
  <si>
    <t>0811500578086914</t>
  </si>
  <si>
    <t>Pancha Ki Dhani</t>
  </si>
  <si>
    <t>0811500578086913</t>
  </si>
  <si>
    <t>Hadaniyon Ki Dhani</t>
  </si>
  <si>
    <t>0811500578086910</t>
  </si>
  <si>
    <t>Sauon Ka Bas(Roopasar)</t>
  </si>
  <si>
    <t>0811500578086909</t>
  </si>
  <si>
    <t>0811500578086908</t>
  </si>
  <si>
    <t>Khothon Ki Dhani</t>
  </si>
  <si>
    <t>0811500578086911</t>
  </si>
  <si>
    <t>Jagaram Ki Dhani</t>
  </si>
  <si>
    <t>0811500578087074</t>
  </si>
  <si>
    <t>Jasnathpura</t>
  </si>
  <si>
    <t>0811500578087070</t>
  </si>
  <si>
    <t>Muknaniyon Ka Bera</t>
  </si>
  <si>
    <t>0811500578087069</t>
  </si>
  <si>
    <t>Peeroni Saiyon Ki Dhani</t>
  </si>
  <si>
    <t>0811500578087068</t>
  </si>
  <si>
    <t>Mahadeo Ka Mandir</t>
  </si>
  <si>
    <t>0811500578087061</t>
  </si>
  <si>
    <t>JAJAVA</t>
  </si>
  <si>
    <t>Jajawa</t>
  </si>
  <si>
    <t>0811500578087091</t>
  </si>
  <si>
    <t>Jajawa Iejee</t>
  </si>
  <si>
    <t>0811500578087088</t>
  </si>
  <si>
    <t>Jajawa Aaiji</t>
  </si>
  <si>
    <t>Aklabya Nagar</t>
  </si>
  <si>
    <t>0811500578087085</t>
  </si>
  <si>
    <t>Bhim Gaon</t>
  </si>
  <si>
    <t>0811500578087087</t>
  </si>
  <si>
    <t>0811500578087086</t>
  </si>
  <si>
    <t>JAKHARA</t>
  </si>
  <si>
    <t>Jakhara</t>
  </si>
  <si>
    <t>0811500578087042</t>
  </si>
  <si>
    <t>KANOR</t>
  </si>
  <si>
    <t>Kanor</t>
  </si>
  <si>
    <t>0811500578087016</t>
  </si>
  <si>
    <t>Cheelanadi</t>
  </si>
  <si>
    <t>0811500578087013</t>
  </si>
  <si>
    <t>Kharthoniyon Ka Tala</t>
  </si>
  <si>
    <t>0811500578087020</t>
  </si>
  <si>
    <t>GODARO Ki Dhani</t>
  </si>
  <si>
    <t>0811500578087015</t>
  </si>
  <si>
    <t>Karaliya Bera</t>
  </si>
  <si>
    <t>0811500578087059</t>
  </si>
  <si>
    <t>Simar Khiya</t>
  </si>
  <si>
    <t>0811500578087058</t>
  </si>
  <si>
    <t>KASHUMBLA BHATIYAN</t>
  </si>
  <si>
    <t>Kasoombala Bhatiyan</t>
  </si>
  <si>
    <t>0811500578086905</t>
  </si>
  <si>
    <t>Kasoom Bala Sardar Singh</t>
  </si>
  <si>
    <t>0811500578086921</t>
  </si>
  <si>
    <t>Kasoombala Harchand</t>
  </si>
  <si>
    <t>0811500578086920</t>
  </si>
  <si>
    <t>Kasoom Bala Charnan</t>
  </si>
  <si>
    <t>0811500578086903</t>
  </si>
  <si>
    <t>Kasoombala Phanta</t>
  </si>
  <si>
    <t>0811500578086906</t>
  </si>
  <si>
    <t>Sujoniyon Ki Dhani</t>
  </si>
  <si>
    <t>0811500578086904</t>
  </si>
  <si>
    <t>Kasoom Bala Mahechan</t>
  </si>
  <si>
    <t>0811500578086902</t>
  </si>
  <si>
    <t>Joraniyo Ki Dhani</t>
  </si>
  <si>
    <t>0811500578086907</t>
  </si>
  <si>
    <t>KHARADA BHARAT SINGH</t>
  </si>
  <si>
    <t>Kharda Bharat Singh</t>
  </si>
  <si>
    <t>0811500578087055</t>
  </si>
  <si>
    <t>Kharda Charnan</t>
  </si>
  <si>
    <t>0811500578087056</t>
  </si>
  <si>
    <t>Malasar</t>
  </si>
  <si>
    <t>0811500578087057</t>
  </si>
  <si>
    <t>0811500578087054</t>
  </si>
  <si>
    <t>KHARAPAR</t>
  </si>
  <si>
    <t>Kharapar</t>
  </si>
  <si>
    <t>0811500578087120</t>
  </si>
  <si>
    <t>Jhalamaliya</t>
  </si>
  <si>
    <t>0811500578087123</t>
  </si>
  <si>
    <t>Pabolai</t>
  </si>
  <si>
    <t>0811500578087121</t>
  </si>
  <si>
    <t>Panadeora</t>
  </si>
  <si>
    <t>0811500578087122</t>
  </si>
  <si>
    <t>Loreti</t>
  </si>
  <si>
    <t>0811500578087115</t>
  </si>
  <si>
    <t>Malwa Charnan</t>
  </si>
  <si>
    <t>0811500578087113</t>
  </si>
  <si>
    <t>Keraliya</t>
  </si>
  <si>
    <t>0811500578087114</t>
  </si>
  <si>
    <t>Rajberi Malwa</t>
  </si>
  <si>
    <t>0811500578087116</t>
  </si>
  <si>
    <t>Malwa Patawatan</t>
  </si>
  <si>
    <t>0811500578087112</t>
  </si>
  <si>
    <t>KHOKHSAR</t>
  </si>
  <si>
    <t>Khokhar</t>
  </si>
  <si>
    <t>0811500578087047</t>
  </si>
  <si>
    <t>Kankolgarh</t>
  </si>
  <si>
    <t>0811500578087051</t>
  </si>
  <si>
    <t>Chabawas</t>
  </si>
  <si>
    <t>0811500578087049</t>
  </si>
  <si>
    <t>Baghthal</t>
  </si>
  <si>
    <t>0811500578087050</t>
  </si>
  <si>
    <t>Dhandhupura</t>
  </si>
  <si>
    <t>0811500578087048</t>
  </si>
  <si>
    <t>KHOKHSAR PASCHIM</t>
  </si>
  <si>
    <t>Khokshar Paschim</t>
  </si>
  <si>
    <t>0811500578087044</t>
  </si>
  <si>
    <t>Mahingpura</t>
  </si>
  <si>
    <t>0811500578087046</t>
  </si>
  <si>
    <t>Khokshar Dakshin</t>
  </si>
  <si>
    <t>0811500578087053</t>
  </si>
  <si>
    <t>Berangpura</t>
  </si>
  <si>
    <t>0811500578087043</t>
  </si>
  <si>
    <t>Mukangarh</t>
  </si>
  <si>
    <t>0811500578087045</t>
  </si>
  <si>
    <t>KHOKHSAR PURV</t>
  </si>
  <si>
    <t>Khokhar Purv</t>
  </si>
  <si>
    <t>0811500578087052</t>
  </si>
  <si>
    <t>KUMPALIYA</t>
  </si>
  <si>
    <t>Kumpaliya</t>
  </si>
  <si>
    <t>0811500578087064</t>
  </si>
  <si>
    <t>Jhiponiyon Ki Dhani</t>
  </si>
  <si>
    <t>0811500578087062</t>
  </si>
  <si>
    <t>Jonguon Ki Dhani</t>
  </si>
  <si>
    <t>0811500578087065</t>
  </si>
  <si>
    <t>Doongra Nada</t>
  </si>
  <si>
    <t>0811500578087063</t>
  </si>
  <si>
    <t>LAPUNDARA BARHTHAN</t>
  </si>
  <si>
    <t>Lapundara Barthan</t>
  </si>
  <si>
    <t>0811500578087110</t>
  </si>
  <si>
    <t>Lapundara Malvechhan</t>
  </si>
  <si>
    <t>0811500578087106</t>
  </si>
  <si>
    <t>0811500578087111</t>
  </si>
  <si>
    <t>Dolinadi</t>
  </si>
  <si>
    <t>0811500578087109</t>
  </si>
  <si>
    <t>Anasar Borla</t>
  </si>
  <si>
    <t>0811500578087108</t>
  </si>
  <si>
    <t>Lapundara Tarli</t>
  </si>
  <si>
    <t>0811500578087105</t>
  </si>
  <si>
    <t>Ramdeo Nagar</t>
  </si>
  <si>
    <t>0811500578087107</t>
  </si>
  <si>
    <t>Darjiyon Ki Beri</t>
  </si>
  <si>
    <t>0811500578087104</t>
  </si>
  <si>
    <t>Madon Ki Dhani</t>
  </si>
  <si>
    <t>0811500578086922</t>
  </si>
  <si>
    <t>Phatoombiya Nadi</t>
  </si>
  <si>
    <t>0811500578086929</t>
  </si>
  <si>
    <t>Manpura Kharda</t>
  </si>
  <si>
    <t>0811500578087076</t>
  </si>
  <si>
    <t>Rampura Kharda</t>
  </si>
  <si>
    <t>0811500578087075</t>
  </si>
  <si>
    <t>0811500578087034</t>
  </si>
  <si>
    <t>0811500578087017</t>
  </si>
  <si>
    <t>Nagona Tala</t>
  </si>
  <si>
    <t>0811500578087014</t>
  </si>
  <si>
    <t>Mobtaniyon Ka Tala</t>
  </si>
  <si>
    <t>0811500578087018</t>
  </si>
  <si>
    <t>Indroniyon Ka Tala</t>
  </si>
  <si>
    <t>0811500578087019</t>
  </si>
  <si>
    <t>Neemba Ki Dhani</t>
  </si>
  <si>
    <t>0811500578087039</t>
  </si>
  <si>
    <t>0811500578087077</t>
  </si>
  <si>
    <t>0811500578087035</t>
  </si>
  <si>
    <t>PAREU</t>
  </si>
  <si>
    <t>Pareu</t>
  </si>
  <si>
    <t>0811500578087072</t>
  </si>
  <si>
    <t>0811500578087071</t>
  </si>
  <si>
    <t>Beniwalon Ki Dhani</t>
  </si>
  <si>
    <t>0811500578087073</t>
  </si>
  <si>
    <t>Patalinadi</t>
  </si>
  <si>
    <t>0811500578086926</t>
  </si>
  <si>
    <t>Saiyon Ki Dhani</t>
  </si>
  <si>
    <t>0811500578086928</t>
  </si>
  <si>
    <t>Dheeraniyon Ki Dhani</t>
  </si>
  <si>
    <t>0811500578086927</t>
  </si>
  <si>
    <t>Daloniyon Ki Dhani</t>
  </si>
  <si>
    <t>0811500578086925</t>
  </si>
  <si>
    <t>PUNIYO KA TALA</t>
  </si>
  <si>
    <t>0811500578087021</t>
  </si>
  <si>
    <t>Kuknon Ki Dhani</t>
  </si>
  <si>
    <t>0811500578087026</t>
  </si>
  <si>
    <t>0811500578087022</t>
  </si>
  <si>
    <t>Udramaniyon Ki Dhani</t>
  </si>
  <si>
    <t>0811500578087030</t>
  </si>
  <si>
    <t>Peethoniyon Ki Dhani</t>
  </si>
  <si>
    <t>0811500578087029</t>
  </si>
  <si>
    <t>0811500578087027</t>
  </si>
  <si>
    <t>Radiya Talar</t>
  </si>
  <si>
    <t>0811500578087130</t>
  </si>
  <si>
    <t>Chak Santara</t>
  </si>
  <si>
    <t>0811500578087094</t>
  </si>
  <si>
    <t>RATEU</t>
  </si>
  <si>
    <t>Rateu</t>
  </si>
  <si>
    <t>0811500578086924</t>
  </si>
  <si>
    <t>चारागाह विकास कार्य रतेऊ</t>
  </si>
  <si>
    <t>Herajoniyon Ki Dhani</t>
  </si>
  <si>
    <t>0811500578086923</t>
  </si>
  <si>
    <t>SANTRA</t>
  </si>
  <si>
    <t>Santara</t>
  </si>
  <si>
    <t>0811500578087127</t>
  </si>
  <si>
    <t>Jhoond Daksin</t>
  </si>
  <si>
    <t>0811500578087125</t>
  </si>
  <si>
    <t>Jhoond</t>
  </si>
  <si>
    <t>0811500578087124</t>
  </si>
  <si>
    <t>0811500578087133</t>
  </si>
  <si>
    <t>Mataji Ki Bhakhri</t>
  </si>
  <si>
    <t>0811500578087129</t>
  </si>
  <si>
    <t>Dholu</t>
  </si>
  <si>
    <t>0811500578087128</t>
  </si>
  <si>
    <t>SAWAU MOOLRAJ</t>
  </si>
  <si>
    <t>Sawau Moolraj</t>
  </si>
  <si>
    <t>0811500578086917</t>
  </si>
  <si>
    <t>0811500578086916</t>
  </si>
  <si>
    <t>Suntala</t>
  </si>
  <si>
    <t>0811500578087033</t>
  </si>
  <si>
    <t>Charnet</t>
  </si>
  <si>
    <t>0811500578086918</t>
  </si>
  <si>
    <t>0811500578086915</t>
  </si>
  <si>
    <t>Dhetalar</t>
  </si>
  <si>
    <t>0811500578086919</t>
  </si>
  <si>
    <t>SAWAU PADAMSINGH</t>
  </si>
  <si>
    <t>Sawau Padamsingh</t>
  </si>
  <si>
    <t>0811500578087025</t>
  </si>
  <si>
    <t>Amarji Ki Dhani</t>
  </si>
  <si>
    <t>0811500578087028</t>
  </si>
  <si>
    <t>Khumaniyon Ki Dhani</t>
  </si>
  <si>
    <t>0811500578087031</t>
  </si>
  <si>
    <t>Bhomoniyon Ki Dhani</t>
  </si>
  <si>
    <t>0811500578087032</t>
  </si>
  <si>
    <t>Beri Nadi</t>
  </si>
  <si>
    <t>0811500578087024</t>
  </si>
  <si>
    <t>Doongroniyon Ki Dhani</t>
  </si>
  <si>
    <t>0811500578087023</t>
  </si>
  <si>
    <t>SHAHAR</t>
  </si>
  <si>
    <t>Sahar</t>
  </si>
  <si>
    <t>0811500578086931</t>
  </si>
  <si>
    <t>Chauraliya</t>
  </si>
  <si>
    <t>0811500578086934</t>
  </si>
  <si>
    <t>Gogaji Ka Mandir</t>
  </si>
  <si>
    <t>0811500578086933</t>
  </si>
  <si>
    <t>Ugreniyon Ki Dhani</t>
  </si>
  <si>
    <t>0811500578086932</t>
  </si>
  <si>
    <t>Deeponiyon Ki Dhani</t>
  </si>
  <si>
    <t>0811500578086930</t>
  </si>
  <si>
    <t>Shyampura</t>
  </si>
  <si>
    <t>0811500578087083</t>
  </si>
  <si>
    <t>0811500578087081</t>
  </si>
  <si>
    <t>SOHADA</t>
  </si>
  <si>
    <t>Sohara</t>
  </si>
  <si>
    <t>0811500578087038</t>
  </si>
  <si>
    <t>0811500578087036</t>
  </si>
  <si>
    <t>Deluon Ki Dhani</t>
  </si>
  <si>
    <t>0811500578087037</t>
  </si>
  <si>
    <t>Utarani</t>
  </si>
  <si>
    <t>0811500578087095</t>
  </si>
  <si>
    <t>Pawoondari</t>
  </si>
  <si>
    <t>0811500578087096</t>
  </si>
  <si>
    <t>Sakari</t>
  </si>
  <si>
    <t>0811500578087097</t>
  </si>
  <si>
    <t>GUDHAMALANI</t>
  </si>
  <si>
    <t>AALPURA</t>
  </si>
  <si>
    <t>Aalpura</t>
  </si>
  <si>
    <t>0811500581088044</t>
  </si>
  <si>
    <t>Gudamalani</t>
  </si>
  <si>
    <t>Chak Gudha</t>
  </si>
  <si>
    <t>0811500581088043</t>
  </si>
  <si>
    <t>Jugtaniyon Ki Dhani</t>
  </si>
  <si>
    <t>0811500581087961</t>
  </si>
  <si>
    <t>0811500581087960</t>
  </si>
  <si>
    <t>ARTBAW</t>
  </si>
  <si>
    <t>Aratbaw</t>
  </si>
  <si>
    <t>0811500581088161</t>
  </si>
  <si>
    <t>Padardi Khurd</t>
  </si>
  <si>
    <t>0811500581088082</t>
  </si>
  <si>
    <t>Salu Ki Dhani</t>
  </si>
  <si>
    <t>0811500581088081</t>
  </si>
  <si>
    <t>Banto Ki Dhani</t>
  </si>
  <si>
    <t>0811500581088080</t>
  </si>
  <si>
    <t>Jaton Ki Dhani</t>
  </si>
  <si>
    <t>0811500581088079</t>
  </si>
  <si>
    <t>Naya Mahadeo Nagar</t>
  </si>
  <si>
    <t>0811500581088162</t>
  </si>
  <si>
    <t>BANTA</t>
  </si>
  <si>
    <t>Banta</t>
  </si>
  <si>
    <t>0811500581088076</t>
  </si>
  <si>
    <t>Banta Der</t>
  </si>
  <si>
    <t>0811500581088075</t>
  </si>
  <si>
    <t>Dheemri</t>
  </si>
  <si>
    <t>0811500581088084</t>
  </si>
  <si>
    <t>BARASAN</t>
  </si>
  <si>
    <t>Barasan</t>
  </si>
  <si>
    <t>0811500581088037</t>
  </si>
  <si>
    <t>Barasar</t>
  </si>
  <si>
    <t>Bhilon Ki Dhani</t>
  </si>
  <si>
    <t>0811500581088087</t>
  </si>
  <si>
    <t>Bhilo ki Dhani</t>
  </si>
  <si>
    <t>BERIGAON</t>
  </si>
  <si>
    <t>Nai Dabli</t>
  </si>
  <si>
    <t>0811500581088061</t>
  </si>
  <si>
    <t>Dabli</t>
  </si>
  <si>
    <t>0811500581088062</t>
  </si>
  <si>
    <t>चारागाह विकास कार्य डाबली</t>
  </si>
  <si>
    <t>Beri Gaon</t>
  </si>
  <si>
    <t xml:space="preserve">चारागाह विकास कार्य बेरी गाँव </t>
  </si>
  <si>
    <t>Dabli Khurd</t>
  </si>
  <si>
    <t>0811500581088063</t>
  </si>
  <si>
    <t>0811500581088069</t>
  </si>
  <si>
    <t>BHAKHARPURA</t>
  </si>
  <si>
    <t>0811500581088166</t>
  </si>
  <si>
    <t>Khangarpura</t>
  </si>
  <si>
    <t>0811500581088165</t>
  </si>
  <si>
    <t>Viramaniyo ki Dhani</t>
  </si>
  <si>
    <t>BHEDANA</t>
  </si>
  <si>
    <t>Bhedana</t>
  </si>
  <si>
    <t>0811500581088141</t>
  </si>
  <si>
    <t>चारागाह विकास कार्य भेडाना</t>
  </si>
  <si>
    <t>Mama Nadi</t>
  </si>
  <si>
    <t>0811500581088140</t>
  </si>
  <si>
    <t>0811500581088136</t>
  </si>
  <si>
    <t>Neela Nadi</t>
  </si>
  <si>
    <t>0811500581088142</t>
  </si>
  <si>
    <t>Dabad</t>
  </si>
  <si>
    <t>0811500581087962</t>
  </si>
  <si>
    <t>Rathoron Ki Dhani</t>
  </si>
  <si>
    <t>0811500581088040</t>
  </si>
  <si>
    <t>Udaniyon Ki Dhani</t>
  </si>
  <si>
    <t>0811500581088039</t>
  </si>
  <si>
    <t>Dedawas Jageer</t>
  </si>
  <si>
    <t>0811500581088150</t>
  </si>
  <si>
    <t xml:space="preserve">चारागाह विकास कार्य लूनवा जागीर </t>
  </si>
  <si>
    <t>Dedawas Charnan</t>
  </si>
  <si>
    <t>0811500581088151</t>
  </si>
  <si>
    <t>Dedawas Ka Goliya</t>
  </si>
  <si>
    <t>0811500581088149</t>
  </si>
  <si>
    <t>Devnagar</t>
  </si>
  <si>
    <t>Deonagar</t>
  </si>
  <si>
    <t>0811500581088138</t>
  </si>
  <si>
    <t>Laxmi Nagar</t>
  </si>
  <si>
    <t>0811500581088139</t>
  </si>
  <si>
    <t>Rajeswar Nagar</t>
  </si>
  <si>
    <t>0811500581088137</t>
  </si>
  <si>
    <t>Gadevi</t>
  </si>
  <si>
    <t>0811500581088074</t>
  </si>
  <si>
    <t xml:space="preserve">चारागाह विकास कार्य गादेवी </t>
  </si>
  <si>
    <t>Gadeshwari</t>
  </si>
  <si>
    <t>0811500581088073</t>
  </si>
  <si>
    <t>GANDHAW KALAN</t>
  </si>
  <si>
    <t>Gandhaw Kalan</t>
  </si>
  <si>
    <t>0811500581088066</t>
  </si>
  <si>
    <t>Gandhav Kala</t>
  </si>
  <si>
    <t>Gandhaw Khurd</t>
  </si>
  <si>
    <t>0811500581088064</t>
  </si>
  <si>
    <t>Gadhav khurd</t>
  </si>
  <si>
    <t>0811500581088065</t>
  </si>
  <si>
    <t>Gudhamalani</t>
  </si>
  <si>
    <t>0811500581088042</t>
  </si>
  <si>
    <t>Seeloo</t>
  </si>
  <si>
    <t>0811500581088085</t>
  </si>
  <si>
    <t>Seelo</t>
  </si>
  <si>
    <t>Kandhi Ki Dhani</t>
  </si>
  <si>
    <t>0811500581088041</t>
  </si>
  <si>
    <t>Kandhi ki Dhani</t>
  </si>
  <si>
    <t>JEEWANIYO KO DHANI</t>
  </si>
  <si>
    <t>Jeewaniyon Ki Dhani</t>
  </si>
  <si>
    <t>0811500581088038</t>
  </si>
  <si>
    <t xml:space="preserve">Borali </t>
  </si>
  <si>
    <t>Borli</t>
  </si>
  <si>
    <t>0811500581088086</t>
  </si>
  <si>
    <t xml:space="preserve">Godaro ki Basti </t>
  </si>
  <si>
    <t>0811500581088036</t>
  </si>
  <si>
    <t>KHADAALI</t>
  </si>
  <si>
    <t>Khadali</t>
  </si>
  <si>
    <t>0811500581087803</t>
  </si>
  <si>
    <t>चारागाह विकास कार्य खाडाली</t>
  </si>
  <si>
    <t>Deval Nagar</t>
  </si>
  <si>
    <t>0811500581087802</t>
  </si>
  <si>
    <t xml:space="preserve">Deval Nagar </t>
  </si>
  <si>
    <t>Goliya Garwa</t>
  </si>
  <si>
    <t>0811500581087804</t>
  </si>
  <si>
    <t>Goliya Garava</t>
  </si>
  <si>
    <t>Nai Khadali</t>
  </si>
  <si>
    <t>0811500581087801</t>
  </si>
  <si>
    <t>Kharwa</t>
  </si>
  <si>
    <t>0811500581088167</t>
  </si>
  <si>
    <t xml:space="preserve">चारागाह विकास एवं व्रक्षारोपण मय तारबंदी कार्यgss पास </t>
  </si>
  <si>
    <t>चारागाह विकास कार्य खारवा</t>
  </si>
  <si>
    <t>चारागाह विकास कार्य मघा की ढाणी</t>
  </si>
  <si>
    <t>Mage Ki Dhani</t>
  </si>
  <si>
    <t>रामदेव जी के मंदिर के पास चारागाह विकास कार्य खारवा</t>
  </si>
  <si>
    <t>Bhawniyon Ki Dhani</t>
  </si>
  <si>
    <t>0811500581088168</t>
  </si>
  <si>
    <t>Magha Ki Dhani</t>
  </si>
  <si>
    <t>0811500581088169</t>
  </si>
  <si>
    <t>Hajaniyon Ki Dhani</t>
  </si>
  <si>
    <t>0811500581088157</t>
  </si>
  <si>
    <t>LUNWA JAGEER</t>
  </si>
  <si>
    <t>Loonwa Jageer</t>
  </si>
  <si>
    <t>0811500581088147</t>
  </si>
  <si>
    <t>Bholagar Nagar</t>
  </si>
  <si>
    <t>Loonwa Charnan</t>
  </si>
  <si>
    <t>0811500581088148</t>
  </si>
  <si>
    <t>MOKHAWA KHURD</t>
  </si>
  <si>
    <t>Mokhawa Khurd</t>
  </si>
  <si>
    <t>0811500581088088</t>
  </si>
  <si>
    <t>Mokhawa</t>
  </si>
  <si>
    <t>Mokhawa 1</t>
  </si>
  <si>
    <t>0811500581087959</t>
  </si>
  <si>
    <t>NAGAR</t>
  </si>
  <si>
    <t>Nagar</t>
  </si>
  <si>
    <t>0811500581087956</t>
  </si>
  <si>
    <t>Dhandhalawas</t>
  </si>
  <si>
    <t>0811500581087957</t>
  </si>
  <si>
    <t>Dhandhlawas</t>
  </si>
  <si>
    <t>0811500581087949</t>
  </si>
  <si>
    <t>Naya Nager</t>
  </si>
  <si>
    <t>Naya Nagar</t>
  </si>
  <si>
    <t>0811500581087958</t>
  </si>
  <si>
    <t>Goramaniyon Ki Dhani</t>
  </si>
  <si>
    <t>0811500581087950</t>
  </si>
  <si>
    <t>Daulapura</t>
  </si>
  <si>
    <t>0811500581087951</t>
  </si>
  <si>
    <t>Daulpura</t>
  </si>
  <si>
    <t>Desantri Nari</t>
  </si>
  <si>
    <t>0811500581088089</t>
  </si>
  <si>
    <t>NEHARO KA VAS</t>
  </si>
  <si>
    <t>Nehron Ka Was</t>
  </si>
  <si>
    <t>0811500581087952</t>
  </si>
  <si>
    <t>Neharo ka Was</t>
  </si>
  <si>
    <t>0811500581088090</t>
  </si>
  <si>
    <t>0811500581087953</t>
  </si>
  <si>
    <t>Rawali Nadi</t>
  </si>
  <si>
    <t>0811500581087955</t>
  </si>
  <si>
    <t>Ratnasar</t>
  </si>
  <si>
    <t>0811500581087954</t>
  </si>
  <si>
    <t>Deodon Ki Dhani</t>
  </si>
  <si>
    <t>0811500581087948</t>
  </si>
  <si>
    <t>Paliyali</t>
  </si>
  <si>
    <t>0811500581088068</t>
  </si>
  <si>
    <t>Dangariya</t>
  </si>
  <si>
    <t>0811500581088067</t>
  </si>
  <si>
    <t>चारागाह विकास कार्य पालीयाली</t>
  </si>
  <si>
    <t>PEEPRALI</t>
  </si>
  <si>
    <t>Peeprali</t>
  </si>
  <si>
    <t>0811500581088052</t>
  </si>
  <si>
    <t>चारागाह विकास कार्य पीपराली</t>
  </si>
  <si>
    <t>Machron Ki Dhani</t>
  </si>
  <si>
    <t>0811500581088049</t>
  </si>
  <si>
    <t>Baldeo Nagar</t>
  </si>
  <si>
    <t>0811500581088048</t>
  </si>
  <si>
    <t>Punja Beri</t>
  </si>
  <si>
    <t>0811500581088045</t>
  </si>
  <si>
    <t>Pujaberi</t>
  </si>
  <si>
    <t>Heraj Ka Gol</t>
  </si>
  <si>
    <t>0811500581088047</t>
  </si>
  <si>
    <t>Gundelpura</t>
  </si>
  <si>
    <t>0811500581088053</t>
  </si>
  <si>
    <t>Mudelpura</t>
  </si>
  <si>
    <t>Bhambhuon Ka Bas</t>
  </si>
  <si>
    <t>0811500581088046</t>
  </si>
  <si>
    <t>Ramji Ka Gol</t>
  </si>
  <si>
    <t>0811500581088059</t>
  </si>
  <si>
    <t>Panawali</t>
  </si>
  <si>
    <t>0811500581088060</t>
  </si>
  <si>
    <t>0811500581088009</t>
  </si>
  <si>
    <t>Tejiyaws</t>
  </si>
  <si>
    <t>0811500581088070</t>
  </si>
  <si>
    <t>Ramji Ka Gol Phanta</t>
  </si>
  <si>
    <t>Ramji Ka Golphanta</t>
  </si>
  <si>
    <t>0811500581088057</t>
  </si>
  <si>
    <t>Adarsh Rameshwar Nagar</t>
  </si>
  <si>
    <t>0811500581088058</t>
  </si>
  <si>
    <t>Adrash Rameshavar Nagar</t>
  </si>
  <si>
    <t>Beraron Ka Pana</t>
  </si>
  <si>
    <t>0811500581088051</t>
  </si>
  <si>
    <t>Aayeeji Nagar</t>
  </si>
  <si>
    <t>0811500581088050</t>
  </si>
  <si>
    <t>RATANPURA</t>
  </si>
  <si>
    <t>0811500581088153</t>
  </si>
  <si>
    <t>Kooda</t>
  </si>
  <si>
    <t>0811500581088156</t>
  </si>
  <si>
    <t>Maghani Maghwalon Ki Dhani</t>
  </si>
  <si>
    <t>0811500581088154</t>
  </si>
  <si>
    <t>0811500581088155</t>
  </si>
  <si>
    <t>Jaswant Nagar</t>
  </si>
  <si>
    <t>0811500581088152</t>
  </si>
  <si>
    <t>Jasawant Nagar</t>
  </si>
  <si>
    <t>0811500581088072</t>
  </si>
  <si>
    <t>Sanawara Khurd</t>
  </si>
  <si>
    <t>0811500581088071</t>
  </si>
  <si>
    <t>चारागाह विकास कार्य सनावाडा खुर्द</t>
  </si>
  <si>
    <t>Sagraniyon Ki Beri</t>
  </si>
  <si>
    <t>0811500581088056</t>
  </si>
  <si>
    <t>Siyalon Ka Der</t>
  </si>
  <si>
    <t>0811500581088055</t>
  </si>
  <si>
    <t>Bheemgarh</t>
  </si>
  <si>
    <t>0811500581088054</t>
  </si>
  <si>
    <t>Sindhaswa Chauhanan</t>
  </si>
  <si>
    <t>0811500581088170</t>
  </si>
  <si>
    <t>Baroodi</t>
  </si>
  <si>
    <t>0811500581088171</t>
  </si>
  <si>
    <t>SINDHASWA HARNIYAN</t>
  </si>
  <si>
    <t>Sidhasawa Harniyan</t>
  </si>
  <si>
    <t>0811500581088158</t>
  </si>
  <si>
    <t>चारागाह विकास कार्य सिंधा सवा हरनियां</t>
  </si>
  <si>
    <t>चारागाह विकास कार्य सिंधा सवा हरनियां 1</t>
  </si>
  <si>
    <t>Padardi Kalan</t>
  </si>
  <si>
    <t>0811500581088078</t>
  </si>
  <si>
    <t>Padarali Kala</t>
  </si>
  <si>
    <t>Padardi</t>
  </si>
  <si>
    <t>0811500581088077</t>
  </si>
  <si>
    <t>Padarali</t>
  </si>
  <si>
    <t>Loombawas</t>
  </si>
  <si>
    <t>0811500581088083</t>
  </si>
  <si>
    <t>Joodi</t>
  </si>
  <si>
    <t>0811500581088164</t>
  </si>
  <si>
    <t>0811500581088163</t>
  </si>
  <si>
    <t>Tabo Ka Dhora</t>
  </si>
  <si>
    <t>0811500581088159</t>
  </si>
  <si>
    <t>0811500581088160</t>
  </si>
  <si>
    <t>KALYANPUR</t>
  </si>
  <si>
    <t>ARABA CHOHAN</t>
  </si>
  <si>
    <t>Araba Chohan</t>
  </si>
  <si>
    <t>0811500579087495</t>
  </si>
  <si>
    <t>चारागाह विकास कार्य रामानाडा ओरण अराबा चौहान</t>
  </si>
  <si>
    <t>Nimbakhera</t>
  </si>
  <si>
    <t>0811500579087505</t>
  </si>
  <si>
    <t>Araba Nagnecha</t>
  </si>
  <si>
    <t>0811500579087507</t>
  </si>
  <si>
    <t>Aaraba nagnechiya</t>
  </si>
  <si>
    <t>Araba Udo</t>
  </si>
  <si>
    <t>0811500579087506</t>
  </si>
  <si>
    <t>Aaraba udo</t>
  </si>
  <si>
    <t>0811500579087496</t>
  </si>
  <si>
    <t>Bhagoniyo ki dhani</t>
  </si>
  <si>
    <t>Araba Dudawatan</t>
  </si>
  <si>
    <t>0811500579087510</t>
  </si>
  <si>
    <t xml:space="preserve">चारागाह विकास कार्य रोडवा खुर्द अरबा पुरोहितान </t>
  </si>
  <si>
    <t>Araba Purohitan</t>
  </si>
  <si>
    <t>Aaraba Dudawat</t>
  </si>
  <si>
    <t>0811500579087508</t>
  </si>
  <si>
    <t>BALAU JATI</t>
  </si>
  <si>
    <t>0811500579087469</t>
  </si>
  <si>
    <t>0811500579087464</t>
  </si>
  <si>
    <t>Kalawa Nada</t>
  </si>
  <si>
    <t>0811500579087467</t>
  </si>
  <si>
    <t>Kalabanada</t>
  </si>
  <si>
    <t>Balau Sansan</t>
  </si>
  <si>
    <t>0811500579087466</t>
  </si>
  <si>
    <t>Balaniya</t>
  </si>
  <si>
    <t>0811500579087468</t>
  </si>
  <si>
    <t>CHACHARLAI KALLA</t>
  </si>
  <si>
    <t>Charlai Kala</t>
  </si>
  <si>
    <t>0811500579087502</t>
  </si>
  <si>
    <t>Chacharlai kala</t>
  </si>
  <si>
    <t>Charlai Khurd</t>
  </si>
  <si>
    <t>0811500579087452</t>
  </si>
  <si>
    <t>0811500579087453</t>
  </si>
  <si>
    <t>Dhatrwalo ki dhani</t>
  </si>
  <si>
    <t>DEORIYA</t>
  </si>
  <si>
    <t>Deoriya</t>
  </si>
  <si>
    <t>0811500579087498</t>
  </si>
  <si>
    <t>Devriya</t>
  </si>
  <si>
    <t>Bankiyawas Khurd</t>
  </si>
  <si>
    <t>0811500579087497</t>
  </si>
  <si>
    <t>चारागाह विकास कार्य रोडवा खुर्द बंकियावास खुर्द</t>
  </si>
  <si>
    <t>DHANI SHANKHALA</t>
  </si>
  <si>
    <t>Sankhlon Ki Dhani</t>
  </si>
  <si>
    <t>0811500579087515</t>
  </si>
  <si>
    <t>Dhani Sankhla</t>
  </si>
  <si>
    <t>Rawali Dhani</t>
  </si>
  <si>
    <t>0811500579087518</t>
  </si>
  <si>
    <t>Vandaron Ki Dhani</t>
  </si>
  <si>
    <t>0811500579087519</t>
  </si>
  <si>
    <t>Vandaro ki dhani</t>
  </si>
  <si>
    <t>Padiyaron Ki Dhani</t>
  </si>
  <si>
    <t>0811500579087514</t>
  </si>
  <si>
    <t>Raniya Desipura</t>
  </si>
  <si>
    <t>0811500579087520</t>
  </si>
  <si>
    <t>Raniya desipura</t>
  </si>
  <si>
    <t>DOLI KALLA</t>
  </si>
  <si>
    <t>Doli Kalan</t>
  </si>
  <si>
    <t>0811500579087491</t>
  </si>
  <si>
    <t>Doli kala</t>
  </si>
  <si>
    <t>Doli Khurd</t>
  </si>
  <si>
    <t>Doli khurd</t>
  </si>
  <si>
    <t>Sahib Nagar</t>
  </si>
  <si>
    <t>0811500579087493</t>
  </si>
  <si>
    <t>Doli Rajgura</t>
  </si>
  <si>
    <t>0811500579087509</t>
  </si>
  <si>
    <t>Doli Rajguru</t>
  </si>
  <si>
    <t>GANGAWAS</t>
  </si>
  <si>
    <t>0811500579087479</t>
  </si>
  <si>
    <t>चारागाह विकास कार्य गंगावास</t>
  </si>
  <si>
    <t>GHAROI CHARNAN</t>
  </si>
  <si>
    <t>Gharoi Charnan</t>
  </si>
  <si>
    <t>0811500579087449</t>
  </si>
  <si>
    <t>Alechari</t>
  </si>
  <si>
    <t>0811500579087513</t>
  </si>
  <si>
    <t>Demon Ki Dhani</t>
  </si>
  <si>
    <t>0811500579087448</t>
  </si>
  <si>
    <t>Dharmsar</t>
  </si>
  <si>
    <t>0811500579087511</t>
  </si>
  <si>
    <t>Gharoi Soda</t>
  </si>
  <si>
    <t>0811500579087450</t>
  </si>
  <si>
    <t>Baglop</t>
  </si>
  <si>
    <t>0811500579087512</t>
  </si>
  <si>
    <t>Badoo Ka Bara</t>
  </si>
  <si>
    <t>0811500579087447</t>
  </si>
  <si>
    <t>GODAWAS</t>
  </si>
  <si>
    <t>Godawas Kalan</t>
  </si>
  <si>
    <t>0811500579087490</t>
  </si>
  <si>
    <t>Godawas Khurd</t>
  </si>
  <si>
    <t>0811500579087489</t>
  </si>
  <si>
    <t>Shivnagri</t>
  </si>
  <si>
    <t>0811500579087487</t>
  </si>
  <si>
    <t>GWALNADA</t>
  </si>
  <si>
    <t>Gwalnada</t>
  </si>
  <si>
    <t>0811500579087492</t>
  </si>
  <si>
    <t>Gawalanada</t>
  </si>
  <si>
    <t>Haliyan</t>
  </si>
  <si>
    <t>0811500579087488</t>
  </si>
  <si>
    <t>Opji Ki Dhani</t>
  </si>
  <si>
    <t>0811500579087484</t>
  </si>
  <si>
    <t>Jasti</t>
  </si>
  <si>
    <t>0811500579087474</t>
  </si>
  <si>
    <t>jasati</t>
  </si>
  <si>
    <t>Baniyon Ki Dhani</t>
  </si>
  <si>
    <t>0811500579087478</t>
  </si>
  <si>
    <t>baniyo ki dhani</t>
  </si>
  <si>
    <t>Kalyanpur</t>
  </si>
  <si>
    <t>0811500579087451</t>
  </si>
  <si>
    <t xml:space="preserve">चारागाह विकास कार्य कल्याणपुर </t>
  </si>
  <si>
    <t>Seetli</t>
  </si>
  <si>
    <t>0811500579087503</t>
  </si>
  <si>
    <t>KANKRALA</t>
  </si>
  <si>
    <t>Kankrala</t>
  </si>
  <si>
    <t>0811500579087444</t>
  </si>
  <si>
    <t>0811500579087440</t>
  </si>
  <si>
    <t>Virdhaniyon Ki Dhani</t>
  </si>
  <si>
    <t>0811500579087441</t>
  </si>
  <si>
    <t>Morda</t>
  </si>
  <si>
    <t>0811500579087443</t>
  </si>
  <si>
    <t>Kheepali Khera</t>
  </si>
  <si>
    <t>0811500579087482</t>
  </si>
  <si>
    <t>Khipali kheda</t>
  </si>
  <si>
    <t>Chandrai</t>
  </si>
  <si>
    <t>0811500579087481</t>
  </si>
  <si>
    <t>Chanraee</t>
  </si>
  <si>
    <t>Kapoorari</t>
  </si>
  <si>
    <t>0811500579087480</t>
  </si>
  <si>
    <t>KORNA</t>
  </si>
  <si>
    <t>Korna</t>
  </si>
  <si>
    <t>0811500579087477</t>
  </si>
  <si>
    <t xml:space="preserve">चारागाह विकास कार्य कोरना Phase 2 </t>
  </si>
  <si>
    <t>Palapura</t>
  </si>
  <si>
    <t>0811500579087476</t>
  </si>
  <si>
    <t>PalaPura</t>
  </si>
  <si>
    <t>KURI</t>
  </si>
  <si>
    <t>Kuri</t>
  </si>
  <si>
    <t>0811500579087429</t>
  </si>
  <si>
    <t>चारागाह विकास कार्य कुड़ी</t>
  </si>
  <si>
    <t>Himtani Bhabhuon Ki Dhani</t>
  </si>
  <si>
    <t>0811500579087346</t>
  </si>
  <si>
    <t>Himtani bhabhuon ki dhani</t>
  </si>
  <si>
    <t>MANDLI</t>
  </si>
  <si>
    <t>Mandli</t>
  </si>
  <si>
    <t>0811500579087457</t>
  </si>
  <si>
    <t xml:space="preserve">चारागाह विकास कार्य मंडली </t>
  </si>
  <si>
    <t>Veelon Ki Dhani</t>
  </si>
  <si>
    <t>0811500579087456</t>
  </si>
  <si>
    <t>MOOL KI DHANI</t>
  </si>
  <si>
    <t>Mool Ki Dhani</t>
  </si>
  <si>
    <t>0811500579087483</t>
  </si>
  <si>
    <t>Paraliya Sansan</t>
  </si>
  <si>
    <t>0811500579087485</t>
  </si>
  <si>
    <t>Paraliya sashan</t>
  </si>
  <si>
    <t>Paraliya Ghamt</t>
  </si>
  <si>
    <t>0811500579087486</t>
  </si>
  <si>
    <t>Paraliya dhamr</t>
  </si>
  <si>
    <t>0811500579087499</t>
  </si>
  <si>
    <t xml:space="preserve">चारागाह विकास कार्य रोडवा नागाना </t>
  </si>
  <si>
    <t>Bankiyawas Kalan</t>
  </si>
  <si>
    <t>0811500579087504</t>
  </si>
  <si>
    <t>bankiya waskala</t>
  </si>
  <si>
    <t>Thoriyon Ki Dhani</t>
  </si>
  <si>
    <t>0811500579087501</t>
  </si>
  <si>
    <t>Thoriyo ki dhani</t>
  </si>
  <si>
    <t>Ramdeopura</t>
  </si>
  <si>
    <t>0811500579087500</t>
  </si>
  <si>
    <t>NEWRI</t>
  </si>
  <si>
    <t>Newri</t>
  </si>
  <si>
    <t>0811500579087454</t>
  </si>
  <si>
    <t>Nevari</t>
  </si>
  <si>
    <t>Nevri Dhani</t>
  </si>
  <si>
    <t>0811500579087455</t>
  </si>
  <si>
    <t>nevri dhana</t>
  </si>
  <si>
    <t>Patau Khurd</t>
  </si>
  <si>
    <t>0811500579087428</t>
  </si>
  <si>
    <t xml:space="preserve">चारागाह विकास कार्य पटाऊ कला </t>
  </si>
  <si>
    <t>Patau Kalan</t>
  </si>
  <si>
    <t>0811500579087427</t>
  </si>
  <si>
    <t>REWADA MAIYA</t>
  </si>
  <si>
    <t>Rewara Maiya</t>
  </si>
  <si>
    <t>0811500579087354</t>
  </si>
  <si>
    <t>Rewara Jetmalan</t>
  </si>
  <si>
    <t>0811500579087426</t>
  </si>
  <si>
    <t>Rewara Sandaycha</t>
  </si>
  <si>
    <t>0811500579087350</t>
  </si>
  <si>
    <t>Rewara Barthan</t>
  </si>
  <si>
    <t>0811500579087351</t>
  </si>
  <si>
    <t>Kanawas</t>
  </si>
  <si>
    <t>0811500579087352</t>
  </si>
  <si>
    <t>Rewara Nayapura</t>
  </si>
  <si>
    <t>0811500579087353</t>
  </si>
  <si>
    <t>RORWA KALAN</t>
  </si>
  <si>
    <t>Rorwa Kalan</t>
  </si>
  <si>
    <t>0811500579087471</t>
  </si>
  <si>
    <t>0811500579087473</t>
  </si>
  <si>
    <t>Mansar</t>
  </si>
  <si>
    <t>0811500579087475</t>
  </si>
  <si>
    <t>0811500579087470</t>
  </si>
  <si>
    <t>SARWARI</t>
  </si>
  <si>
    <t>Sarwari</t>
  </si>
  <si>
    <t>0811500579087425</t>
  </si>
  <si>
    <t>Sarvari</t>
  </si>
  <si>
    <t>Gharsika Bara</t>
  </si>
  <si>
    <t>0811500579087446</t>
  </si>
  <si>
    <t>Ghadshi ka bada</t>
  </si>
  <si>
    <t>0811500579087516</t>
  </si>
  <si>
    <t>Loharo Ki Dhani</t>
  </si>
  <si>
    <t>0811500579087517</t>
  </si>
  <si>
    <t>Pindaran</t>
  </si>
  <si>
    <t>0811500579087445</t>
  </si>
  <si>
    <t>THOB</t>
  </si>
  <si>
    <t>Thob</t>
  </si>
  <si>
    <t>0811500579087415</t>
  </si>
  <si>
    <t>Rajeshwar Nagar</t>
  </si>
  <si>
    <t>0811500579087417</t>
  </si>
  <si>
    <t>Rajesaver Nagar</t>
  </si>
  <si>
    <t>0811500579087416</t>
  </si>
  <si>
    <t>0811500579087414</t>
  </si>
  <si>
    <t>THUMBLI</t>
  </si>
  <si>
    <t>Thoombli</t>
  </si>
  <si>
    <t>0811500579087463</t>
  </si>
  <si>
    <t xml:space="preserve">चारागाह विकास कार्य थुम्बली </t>
  </si>
  <si>
    <t>Bagnawas</t>
  </si>
  <si>
    <t>0811500579087460</t>
  </si>
  <si>
    <t>Baganawas</t>
  </si>
  <si>
    <t>Tebaniya</t>
  </si>
  <si>
    <t>0811500579087459</t>
  </si>
  <si>
    <t>चारागाह विकास कार्य तिबनिया</t>
  </si>
  <si>
    <t>Rorwa Khurd</t>
  </si>
  <si>
    <t>0811500579087472</t>
  </si>
  <si>
    <t>चारागाह विकास कार्य रोडवा खुर्द</t>
  </si>
  <si>
    <t>Tirsingri Sodha</t>
  </si>
  <si>
    <t>0811500579087423</t>
  </si>
  <si>
    <t xml:space="preserve">चारागाह विकास कार्य तिरसिंगडी चौहान </t>
  </si>
  <si>
    <t>Tisingri Chauhanan</t>
  </si>
  <si>
    <t>0811500579087424</t>
  </si>
  <si>
    <t>Tirshigdi sodha</t>
  </si>
  <si>
    <t>UMARLAI</t>
  </si>
  <si>
    <t>Umarlai Khalsa</t>
  </si>
  <si>
    <t>0811500579087430</t>
  </si>
  <si>
    <t>Umarlai Jageer</t>
  </si>
  <si>
    <t>0811500579087442</t>
  </si>
  <si>
    <t>PANYLA KLA</t>
  </si>
  <si>
    <t>Amaliyala</t>
  </si>
  <si>
    <t>Amliyala</t>
  </si>
  <si>
    <t>0811500581088143</t>
  </si>
  <si>
    <t>Aamliyala</t>
  </si>
  <si>
    <t>Payla kala</t>
  </si>
  <si>
    <t>Goliya Kalan</t>
  </si>
  <si>
    <t>0811500581088146</t>
  </si>
  <si>
    <t>Goliya kala</t>
  </si>
  <si>
    <t>Songaron Ki Dhani</t>
  </si>
  <si>
    <t>0811500581088091</t>
  </si>
  <si>
    <t>Songroki dhani</t>
  </si>
  <si>
    <t>Anand Nagar</t>
  </si>
  <si>
    <t>0811500581088145</t>
  </si>
  <si>
    <t>Aannd nagar</t>
  </si>
  <si>
    <t>0811500581088144</t>
  </si>
  <si>
    <t>Juna kheda</t>
  </si>
  <si>
    <t>DARGUDA</t>
  </si>
  <si>
    <t>Thavon Ki Dhani</t>
  </si>
  <si>
    <t>0811500581088122</t>
  </si>
  <si>
    <t>Dargura</t>
  </si>
  <si>
    <t>0811500581088118</t>
  </si>
  <si>
    <t>ED - SINDHARI</t>
  </si>
  <si>
    <t>Ed Sindhari</t>
  </si>
  <si>
    <t>0811500581087924</t>
  </si>
  <si>
    <t>Vishnu Mandir Ka Bas</t>
  </si>
  <si>
    <t>0811500581087928</t>
  </si>
  <si>
    <t>Dabhad Bhatiyan</t>
  </si>
  <si>
    <t>0811500581087927</t>
  </si>
  <si>
    <t>Ed Amarsingh</t>
  </si>
  <si>
    <t>0811500581087923</t>
  </si>
  <si>
    <t>ED MANJI</t>
  </si>
  <si>
    <t>Ed Manji</t>
  </si>
  <si>
    <t>0811500581087926</t>
  </si>
  <si>
    <t>Vanakon Ka Bera</t>
  </si>
  <si>
    <t>0811500581087929</t>
  </si>
  <si>
    <t>Kardali Nadi</t>
  </si>
  <si>
    <t>0811500581087925</t>
  </si>
  <si>
    <t>KADANARI</t>
  </si>
  <si>
    <t>Kadanari</t>
  </si>
  <si>
    <t>0811500581088125</t>
  </si>
  <si>
    <t>Kadanadi</t>
  </si>
  <si>
    <t>Kooklon Ki Dhnai</t>
  </si>
  <si>
    <t>0811500581088123</t>
  </si>
  <si>
    <t>Kuklo ki dhani</t>
  </si>
  <si>
    <t>Kerala Pana</t>
  </si>
  <si>
    <t>0811500581088119</t>
  </si>
  <si>
    <t>Keralapana</t>
  </si>
  <si>
    <t>Bhanasar Dhatarwalon Ki Dhani</t>
  </si>
  <si>
    <t>0811500581088124</t>
  </si>
  <si>
    <t>Bhana sar</t>
  </si>
  <si>
    <t>Lakha Beri</t>
  </si>
  <si>
    <t>0811500581088121</t>
  </si>
  <si>
    <t>Lakhaberi</t>
  </si>
  <si>
    <t>Mandawala</t>
  </si>
  <si>
    <t>0811500581088120</t>
  </si>
  <si>
    <t>Mndavla</t>
  </si>
  <si>
    <t>KAGON KI DHANI</t>
  </si>
  <si>
    <t>Kagon Ki Dhani</t>
  </si>
  <si>
    <t>0811500581088111</t>
  </si>
  <si>
    <t>Tankon Ki Dhani</t>
  </si>
  <si>
    <t>0811500581088110</t>
  </si>
  <si>
    <t>Neeriya Nada</t>
  </si>
  <si>
    <t>0811500581088109</t>
  </si>
  <si>
    <t>KHUDALA</t>
  </si>
  <si>
    <t>Khudala</t>
  </si>
  <si>
    <t>0811500581088097</t>
  </si>
  <si>
    <t>चारागाह विकास कार्य खुडाला</t>
  </si>
  <si>
    <t>Jali Khera</t>
  </si>
  <si>
    <t>0811500581088095</t>
  </si>
  <si>
    <t>Shamo Ki Dhani</t>
  </si>
  <si>
    <t>0811500581088096</t>
  </si>
  <si>
    <t>KOSHLOO</t>
  </si>
  <si>
    <t>Koshloo</t>
  </si>
  <si>
    <t>0811500581087932</t>
  </si>
  <si>
    <t>Koshlu</t>
  </si>
  <si>
    <t>Kehroni Sarnon Ki Dhani</t>
  </si>
  <si>
    <t>0811500581087931</t>
  </si>
  <si>
    <t>Kehrani sarano ka tla</t>
  </si>
  <si>
    <t>Jemlani Sarnon Ka Tala</t>
  </si>
  <si>
    <t>0811500581087930</t>
  </si>
  <si>
    <t>Jaimlani sarano ki dhani</t>
  </si>
  <si>
    <t>LOLAWA</t>
  </si>
  <si>
    <t>Lolawa</t>
  </si>
  <si>
    <t>0811500581088133</t>
  </si>
  <si>
    <t>Lolava</t>
  </si>
  <si>
    <t>Toonkiya</t>
  </si>
  <si>
    <t>0811500581088135</t>
  </si>
  <si>
    <t>Tukiya</t>
  </si>
  <si>
    <t>Goliya Jeewraj</t>
  </si>
  <si>
    <t>0811500581088129</t>
  </si>
  <si>
    <t>Goliya jivraj</t>
  </si>
  <si>
    <t>LOONA KALAN</t>
  </si>
  <si>
    <t>Loona Kalan</t>
  </si>
  <si>
    <t>0811500581088117</t>
  </si>
  <si>
    <t>Dangawa</t>
  </si>
  <si>
    <t>0811500581088116</t>
  </si>
  <si>
    <t>Motisara</t>
  </si>
  <si>
    <t>0811500581088115</t>
  </si>
  <si>
    <t>Moti sara</t>
  </si>
  <si>
    <t>Bhalkhari</t>
  </si>
  <si>
    <t>0811500581087921</t>
  </si>
  <si>
    <t>Bhalkhadi</t>
  </si>
  <si>
    <t>NAI UNDARI</t>
  </si>
  <si>
    <t>Nai Undari</t>
  </si>
  <si>
    <t>0811500581088094</t>
  </si>
  <si>
    <t xml:space="preserve">चारागाह विकास कार्य नई उन्दरी </t>
  </si>
  <si>
    <t>Modawas</t>
  </si>
  <si>
    <t>0811500581088092</t>
  </si>
  <si>
    <t>Jaipal Megwalon Ka Was</t>
  </si>
  <si>
    <t>0811500581088093</t>
  </si>
  <si>
    <t>NEHRO KI DHANI</t>
  </si>
  <si>
    <t>Nehron Ki Dhani</t>
  </si>
  <si>
    <t>0811500581087942</t>
  </si>
  <si>
    <t>Neharo ki dhani</t>
  </si>
  <si>
    <t>Sarnon Ka Sara</t>
  </si>
  <si>
    <t>0811500581087941</t>
  </si>
  <si>
    <t>Sarano ka sara</t>
  </si>
  <si>
    <t>0811500581087940</t>
  </si>
  <si>
    <t>Megvalo ki dhani</t>
  </si>
  <si>
    <t>Sarnon Ki Dhani</t>
  </si>
  <si>
    <t>0811500581087939</t>
  </si>
  <si>
    <t>Sarano ki dhani</t>
  </si>
  <si>
    <t>PAYLA KALAN</t>
  </si>
  <si>
    <t>Panyla Kalan</t>
  </si>
  <si>
    <t>0811500581088112</t>
  </si>
  <si>
    <t>PAYLA KHURD</t>
  </si>
  <si>
    <t>Panyla Khurd</t>
  </si>
  <si>
    <t>0811500581088113</t>
  </si>
  <si>
    <t>चारागाह विकास कार्य पायला खुर्द</t>
  </si>
  <si>
    <t>0811500581087919</t>
  </si>
  <si>
    <t>RAMDEORA</t>
  </si>
  <si>
    <t>Ramdeora</t>
  </si>
  <si>
    <t>0811500581088114</t>
  </si>
  <si>
    <t>0811500581087922</t>
  </si>
  <si>
    <t>SARA</t>
  </si>
  <si>
    <t>Sara</t>
  </si>
  <si>
    <t>0811500581088100</t>
  </si>
  <si>
    <t xml:space="preserve">चारागाह विकास कार्य सडा </t>
  </si>
  <si>
    <t>Bhatala @ Kharwa</t>
  </si>
  <si>
    <t>0811500581088098</t>
  </si>
  <si>
    <t>Bhatala</t>
  </si>
  <si>
    <t>Jodheswar Nagar</t>
  </si>
  <si>
    <t>0811500581088099</t>
  </si>
  <si>
    <t>Jodheshvar Nagar</t>
  </si>
  <si>
    <t>Indirasar</t>
  </si>
  <si>
    <t>0811500581088101</t>
  </si>
  <si>
    <t>Indrasar Nagar</t>
  </si>
  <si>
    <t>Hari Nagar</t>
  </si>
  <si>
    <t>0811500581088103</t>
  </si>
  <si>
    <t>SARA JHOOND</t>
  </si>
  <si>
    <t>Sara Jhoond</t>
  </si>
  <si>
    <t>0811500581088105</t>
  </si>
  <si>
    <t>Ramkishan Nagar</t>
  </si>
  <si>
    <t>0811500581088102</t>
  </si>
  <si>
    <t>Parmeshwar Nagar</t>
  </si>
  <si>
    <t>0811500581088106</t>
  </si>
  <si>
    <t>Bhunkron Ki Dhani</t>
  </si>
  <si>
    <t>0811500581088104</t>
  </si>
  <si>
    <t>Narayanpur</t>
  </si>
  <si>
    <t>0811500581088107</t>
  </si>
  <si>
    <t>Kheenyasar</t>
  </si>
  <si>
    <t>0811500581088108</t>
  </si>
  <si>
    <t>SARADHANJI</t>
  </si>
  <si>
    <t>Sara Dhanji</t>
  </si>
  <si>
    <t>0811500581088126</t>
  </si>
  <si>
    <t>Hardalsar</t>
  </si>
  <si>
    <t>0811500581088128</t>
  </si>
  <si>
    <t>Prabhu Nagar</t>
  </si>
  <si>
    <t>0811500581088127</t>
  </si>
  <si>
    <t>TALBANIYO KI DHANI</t>
  </si>
  <si>
    <t>Talbaniyon Ki Dhani</t>
  </si>
  <si>
    <t>0811500581088134</t>
  </si>
  <si>
    <t>Phuleri</t>
  </si>
  <si>
    <t>0811500581088131</t>
  </si>
  <si>
    <t>Aurangabad</t>
  </si>
  <si>
    <t>0811500581088130</t>
  </si>
  <si>
    <t>Dhobali</t>
  </si>
  <si>
    <t>0811500581088132</t>
  </si>
  <si>
    <t>RAMSAR</t>
  </si>
  <si>
    <t>ABHE KA PAR</t>
  </si>
  <si>
    <t>Abhe Ka Par</t>
  </si>
  <si>
    <t>0811500583088605</t>
  </si>
  <si>
    <t xml:space="preserve">चारागाह विकास कार्य अभे का पार </t>
  </si>
  <si>
    <t>Purpuriya</t>
  </si>
  <si>
    <t>0811500583088608</t>
  </si>
  <si>
    <t>Ganganiyon Ka Par</t>
  </si>
  <si>
    <t>0811500583088609</t>
  </si>
  <si>
    <t>Jaleela</t>
  </si>
  <si>
    <t>0811500583088581</t>
  </si>
  <si>
    <t>0811500583088604</t>
  </si>
  <si>
    <t>Sodhai</t>
  </si>
  <si>
    <t>0811500583088602</t>
  </si>
  <si>
    <t>Neelsar</t>
  </si>
  <si>
    <t>0811500583088588</t>
  </si>
  <si>
    <t>BABUGULERIYA</t>
  </si>
  <si>
    <t>Babuguleriya</t>
  </si>
  <si>
    <t>0811500583088477</t>
  </si>
  <si>
    <t>Ramsaragor</t>
  </si>
  <si>
    <t>0811500583088515</t>
  </si>
  <si>
    <t>Nopatiya</t>
  </si>
  <si>
    <t>0811500583088479</t>
  </si>
  <si>
    <t>Banwa</t>
  </si>
  <si>
    <t>0811500583088480</t>
  </si>
  <si>
    <t>Basra</t>
  </si>
  <si>
    <t>0811500583088493</t>
  </si>
  <si>
    <t>चारगाह विकास कार्य बसरा</t>
  </si>
  <si>
    <t>Shaheed Pahar Singh Nagar</t>
  </si>
  <si>
    <t>0811500583088494</t>
  </si>
  <si>
    <t>Jaydoo</t>
  </si>
  <si>
    <t>0811500583088490</t>
  </si>
  <si>
    <t>चारागाह विकास कार्य जायडू</t>
  </si>
  <si>
    <t>0811500583088491</t>
  </si>
  <si>
    <t>0811500583088483</t>
  </si>
  <si>
    <t>Hale Potaron Ki Basti</t>
  </si>
  <si>
    <t>0811500583088492</t>
  </si>
  <si>
    <t>BHACHBHAR</t>
  </si>
  <si>
    <t>Bhachbhar</t>
  </si>
  <si>
    <t>0811500583088513</t>
  </si>
  <si>
    <t xml:space="preserve">चारागाह विकास कार्य भाचभर </t>
  </si>
  <si>
    <t>Lasuwa</t>
  </si>
  <si>
    <t>0811500583088520</t>
  </si>
  <si>
    <t>चारागाह विकास कार्य लासुआ</t>
  </si>
  <si>
    <t>Leel Nagar</t>
  </si>
  <si>
    <t>0811500583088512</t>
  </si>
  <si>
    <t>Wagta Ki Beri</t>
  </si>
  <si>
    <t>0811500583088510</t>
  </si>
  <si>
    <t>Bagte ki beri</t>
  </si>
  <si>
    <t>BHEENDE KA PAR</t>
  </si>
  <si>
    <t>Bheende Ka Par</t>
  </si>
  <si>
    <t>0811500583088622</t>
  </si>
  <si>
    <t>Bheelon Ki Dhani</t>
  </si>
  <si>
    <t>0811500583088621</t>
  </si>
  <si>
    <t>Jadam Ka Par</t>
  </si>
  <si>
    <t>0811500583088617</t>
  </si>
  <si>
    <t>Sabu Ka Par</t>
  </si>
  <si>
    <t>0811500583088619</t>
  </si>
  <si>
    <t>Bukar</t>
  </si>
  <si>
    <t>0811500583088618</t>
  </si>
  <si>
    <t>BOOTHIYA</t>
  </si>
  <si>
    <t>Boothiya</t>
  </si>
  <si>
    <t>0811500583088596</t>
  </si>
  <si>
    <t>चारागाह विकास कार्य बुठिया</t>
  </si>
  <si>
    <t>Jheloon</t>
  </si>
  <si>
    <t>0811500583088469</t>
  </si>
  <si>
    <t>चारागाह विकास कार्य जेलुल</t>
  </si>
  <si>
    <t>Ajbani</t>
  </si>
  <si>
    <t>0811500583088470</t>
  </si>
  <si>
    <t>चारागाह विकास कार्य अजबानी</t>
  </si>
  <si>
    <t>CHADAR MADRUP</t>
  </si>
  <si>
    <t>Chadar Mandroop</t>
  </si>
  <si>
    <t>0811500583088570</t>
  </si>
  <si>
    <t xml:space="preserve">चारागाह विकास कार्य चादार मदरूप </t>
  </si>
  <si>
    <t>Chadar Dakhnad</t>
  </si>
  <si>
    <t>0811500583088559</t>
  </si>
  <si>
    <t>Chadar Bankalsar</t>
  </si>
  <si>
    <t>0811500583088560</t>
  </si>
  <si>
    <t>Salariya Kanlariya</t>
  </si>
  <si>
    <t>0811500583088571</t>
  </si>
  <si>
    <t>चारागाह विकास कार्य सालारिया कलारिया</t>
  </si>
  <si>
    <t>Shere Ka Tala</t>
  </si>
  <si>
    <t>0811500583088572</t>
  </si>
  <si>
    <t>Ramdeo Ka Mandir</t>
  </si>
  <si>
    <t>0811500583088569</t>
  </si>
  <si>
    <t>CHADI</t>
  </si>
  <si>
    <t>Chadi</t>
  </si>
  <si>
    <t>0811500583088562</t>
  </si>
  <si>
    <t>चारागाह विकास कार्य चाड़ी</t>
  </si>
  <si>
    <t>Gidaliyon Ka Tala</t>
  </si>
  <si>
    <t>0811500583088553</t>
  </si>
  <si>
    <t>चारागाह विकास कार्य गिडालिया</t>
  </si>
  <si>
    <t>Subhash Nagar</t>
  </si>
  <si>
    <t>0811500583088552</t>
  </si>
  <si>
    <t>चारागाह विकास कार्य सुभाष नगर</t>
  </si>
  <si>
    <t>Rodi Nadi</t>
  </si>
  <si>
    <t>0811500583088561</t>
  </si>
  <si>
    <t>0811500583088551</t>
  </si>
  <si>
    <t>Amol Khoniyon Ki Dhani</t>
  </si>
  <si>
    <t>0811500583088563</t>
  </si>
  <si>
    <t>0811500583088550</t>
  </si>
  <si>
    <t>Charwa Takhata Bad</t>
  </si>
  <si>
    <t>0811500583088593</t>
  </si>
  <si>
    <t>Viradka Par</t>
  </si>
  <si>
    <t>0811500583088610</t>
  </si>
  <si>
    <t>Dewaniyon Ka Par</t>
  </si>
  <si>
    <t>0811500583088601</t>
  </si>
  <si>
    <t>Jummafakir Ki Basti</t>
  </si>
  <si>
    <t>0811500583088597</t>
  </si>
  <si>
    <t>Bangli</t>
  </si>
  <si>
    <t>0811500583088595</t>
  </si>
  <si>
    <t>Alarakhpura</t>
  </si>
  <si>
    <t>0811500583088594</t>
  </si>
  <si>
    <t>DERASAR</t>
  </si>
  <si>
    <t>Derasar</t>
  </si>
  <si>
    <t>0811500583088500</t>
  </si>
  <si>
    <t xml:space="preserve">चारागाह विकास कार्य देरासर </t>
  </si>
  <si>
    <t>Hothoyoniyon Ki Basti</t>
  </si>
  <si>
    <t>0811500583088503</t>
  </si>
  <si>
    <t>Hothimaniyo ki basti</t>
  </si>
  <si>
    <t>Kachhboniyo Ki Basti</t>
  </si>
  <si>
    <t>0811500583088502</t>
  </si>
  <si>
    <t>Kachbaniyo ki basti</t>
  </si>
  <si>
    <t>Mithuvaniyo Ki Basti</t>
  </si>
  <si>
    <t>0811500583088498</t>
  </si>
  <si>
    <t>चारागाह विकास कार्य Mithaniyon ki Basti</t>
  </si>
  <si>
    <t>Vishlon Ki Basti</t>
  </si>
  <si>
    <t>0811500583088499</t>
  </si>
  <si>
    <t>Bishlo ki basti</t>
  </si>
  <si>
    <t>Ramdiyon Ki Basti</t>
  </si>
  <si>
    <t>0811500583088501</t>
  </si>
  <si>
    <t>Ramdiyo ki Basti</t>
  </si>
  <si>
    <t>GAGRIYA</t>
  </si>
  <si>
    <t>Gagriya</t>
  </si>
  <si>
    <t>0811500583088584</t>
  </si>
  <si>
    <t>चारागाह विकास कार्य गागरिया</t>
  </si>
  <si>
    <t>Charwa @ Jharwa</t>
  </si>
  <si>
    <t>0811500583088600</t>
  </si>
  <si>
    <t>Jaitaniyon Ka Par</t>
  </si>
  <si>
    <t>0811500583088587</t>
  </si>
  <si>
    <t>Jetaniyo ka par</t>
  </si>
  <si>
    <t>Baloo Ka Par</t>
  </si>
  <si>
    <t>0811500583088586</t>
  </si>
  <si>
    <t>balu ka par</t>
  </si>
  <si>
    <t>Ajbe Ka Par</t>
  </si>
  <si>
    <t>0811500583088603</t>
  </si>
  <si>
    <t>Mandroop Ka Par</t>
  </si>
  <si>
    <t>0811500583088592</t>
  </si>
  <si>
    <t>Alarakh Ka Par</t>
  </si>
  <si>
    <t>0811500583088591</t>
  </si>
  <si>
    <t>Gagariya Station</t>
  </si>
  <si>
    <t>0811500583088589</t>
  </si>
  <si>
    <t>Kantaliya Ka Par</t>
  </si>
  <si>
    <t>0811500583088476</t>
  </si>
  <si>
    <t>GANGALA</t>
  </si>
  <si>
    <t>Gangala</t>
  </si>
  <si>
    <t>0811500583088544</t>
  </si>
  <si>
    <t>चारागाह विकास कार्य गंगाला</t>
  </si>
  <si>
    <t>Nihalaniyon Ka Tobha</t>
  </si>
  <si>
    <t>0811500583088541</t>
  </si>
  <si>
    <t>Mananiyon Ki Basti</t>
  </si>
  <si>
    <t>0811500583088540</t>
  </si>
  <si>
    <t>चारागाह विकास कार्य  मानानियो की बस्ती गंगाला</t>
  </si>
  <si>
    <t>Aazadnagar</t>
  </si>
  <si>
    <t>0811500583088542</t>
  </si>
  <si>
    <t>Hafatnagar</t>
  </si>
  <si>
    <t>0811500583088543</t>
  </si>
  <si>
    <t>Sodha Basti</t>
  </si>
  <si>
    <t>0811500583088508</t>
  </si>
  <si>
    <t>GARDIYA</t>
  </si>
  <si>
    <t>Gardiya</t>
  </si>
  <si>
    <t>0811500583088632</t>
  </si>
  <si>
    <t>0811500583088634</t>
  </si>
  <si>
    <t>Selau</t>
  </si>
  <si>
    <t>0811500583088633</t>
  </si>
  <si>
    <t>Janeki Beri</t>
  </si>
  <si>
    <t>0811500583088631</t>
  </si>
  <si>
    <t>HATHMA</t>
  </si>
  <si>
    <t>Hathma</t>
  </si>
  <si>
    <t>0811500583088506</t>
  </si>
  <si>
    <t xml:space="preserve">चारागाह विकास कार्य हाथमा </t>
  </si>
  <si>
    <t>Iloliya</t>
  </si>
  <si>
    <t>0811500583088505</t>
  </si>
  <si>
    <t>Bano Ka Tala</t>
  </si>
  <si>
    <t>0811500583088504</t>
  </si>
  <si>
    <t>Ajabpura</t>
  </si>
  <si>
    <t>0811500583088507</t>
  </si>
  <si>
    <t>INDROHI</t>
  </si>
  <si>
    <t>Indrohi</t>
  </si>
  <si>
    <t>0811500583088484</t>
  </si>
  <si>
    <t>चारागाह विकास कार्य इन्द्रोही</t>
  </si>
  <si>
    <t>Bhadaroo</t>
  </si>
  <si>
    <t>0811500583088511</t>
  </si>
  <si>
    <t>चारागाह विकास कार्य भदरू</t>
  </si>
  <si>
    <t>Kanpura</t>
  </si>
  <si>
    <t>0811500583088489</t>
  </si>
  <si>
    <t>0811500583088548</t>
  </si>
  <si>
    <t>0811500583088549</t>
  </si>
  <si>
    <t>Indrawas</t>
  </si>
  <si>
    <t>0811500583088545</t>
  </si>
  <si>
    <t>0811500583088546</t>
  </si>
  <si>
    <t>Farsani Jakhron Ki Dhani</t>
  </si>
  <si>
    <t>0811500583088547</t>
  </si>
  <si>
    <t>Joona Labhoo Ka Tala</t>
  </si>
  <si>
    <t>0811500583088525</t>
  </si>
  <si>
    <t>KANTAL KA PAR</t>
  </si>
  <si>
    <t>Kantal Ka Par</t>
  </si>
  <si>
    <t>0811500583088474</t>
  </si>
  <si>
    <t>Sujawal Ka Par</t>
  </si>
  <si>
    <t>0811500583088585</t>
  </si>
  <si>
    <t>Virmiyar</t>
  </si>
  <si>
    <t>0811500583088473</t>
  </si>
  <si>
    <t>Paboosariya</t>
  </si>
  <si>
    <t>0811500583088478</t>
  </si>
  <si>
    <t>KHADEEN</t>
  </si>
  <si>
    <t>0811500583088527</t>
  </si>
  <si>
    <t>0811500583088538</t>
  </si>
  <si>
    <t>0811500583088539</t>
  </si>
  <si>
    <t>Devraj Nagar</t>
  </si>
  <si>
    <t>0811500583088531</t>
  </si>
  <si>
    <t>Ramaniyon Ka Tala</t>
  </si>
  <si>
    <t>0811500583088526</t>
  </si>
  <si>
    <t>Ramdeoriya Tala</t>
  </si>
  <si>
    <t>0811500583088530</t>
  </si>
  <si>
    <t>Genani Kadwasaron Ki Dhani</t>
  </si>
  <si>
    <t>0811500583088528</t>
  </si>
  <si>
    <t>0811500583088529</t>
  </si>
  <si>
    <t>0811500583088509</t>
  </si>
  <si>
    <t>KHARA RATHORAN</t>
  </si>
  <si>
    <t>Khara Rathoran</t>
  </si>
  <si>
    <t>0811500583088533</t>
  </si>
  <si>
    <t>चारागाह कार्य खारा राठौड़ान</t>
  </si>
  <si>
    <t>Vishnoiyon Ka Tala</t>
  </si>
  <si>
    <t>0811500583088537</t>
  </si>
  <si>
    <t>Mithariya Tala</t>
  </si>
  <si>
    <t>0811500583088535</t>
  </si>
  <si>
    <t>Kotriya Tala</t>
  </si>
  <si>
    <t>0811500583088536</t>
  </si>
  <si>
    <t xml:space="preserve">चारागाह विकास कार्य कोटडिया </t>
  </si>
  <si>
    <t>Pemaneyon Ka Tala</t>
  </si>
  <si>
    <t>0811500583088534</t>
  </si>
  <si>
    <t xml:space="preserve">चारागाह विकास कार्य पेमानियो का टला </t>
  </si>
  <si>
    <t>Ganganiyon Ki Dhani</t>
  </si>
  <si>
    <t>0811500583088532</t>
  </si>
  <si>
    <t>KHARIYA RATHORAN</t>
  </si>
  <si>
    <t>Khariya Rathoran</t>
  </si>
  <si>
    <t>0811500583088557</t>
  </si>
  <si>
    <t>चारागाह विकास कार्य खारिया राठौडान</t>
  </si>
  <si>
    <t>Chimanpura</t>
  </si>
  <si>
    <t>0811500583088556</t>
  </si>
  <si>
    <t>चारागाह विकास कार्य चिमनपुरा</t>
  </si>
  <si>
    <t>Nohadiyo Ki Basti</t>
  </si>
  <si>
    <t>0811500583088555</t>
  </si>
  <si>
    <t>चारागाह विकास कार्य नोहडियो की बस्ती</t>
  </si>
  <si>
    <t>0811500583088558</t>
  </si>
  <si>
    <t>चारागाह विकास कार्य  पुनिया का तला नोहडियो की बस्ती</t>
  </si>
  <si>
    <t>Sankalaniyo Ki Basti</t>
  </si>
  <si>
    <t>0811500583088554</t>
  </si>
  <si>
    <t xml:space="preserve">चारागाह विकास कार्य संकलानियो की बस्ती </t>
  </si>
  <si>
    <t>Mekaran Wala</t>
  </si>
  <si>
    <t>0811500583088629</t>
  </si>
  <si>
    <t>Kelan Ka Par</t>
  </si>
  <si>
    <t>0811500583088626</t>
  </si>
  <si>
    <t>Nageka Par</t>
  </si>
  <si>
    <t>0811500583088627</t>
  </si>
  <si>
    <t>Sobhdar Ki Basti</t>
  </si>
  <si>
    <t>0811500583088628</t>
  </si>
  <si>
    <t>Mandroop Ka Tala</t>
  </si>
  <si>
    <t>0811500583088630</t>
  </si>
  <si>
    <t>Bukri</t>
  </si>
  <si>
    <t>0811500583088620</t>
  </si>
  <si>
    <t>PADHARIYA</t>
  </si>
  <si>
    <t>Padhariya</t>
  </si>
  <si>
    <t>0811500583088613</t>
  </si>
  <si>
    <t>Chandaniyon Ka Par</t>
  </si>
  <si>
    <t>0811500583088612</t>
  </si>
  <si>
    <t>Bindu Sinhani</t>
  </si>
  <si>
    <t>0811500583088611</t>
  </si>
  <si>
    <t>Peere Ka Par</t>
  </si>
  <si>
    <t>0811500583088599</t>
  </si>
  <si>
    <t>Haji Pirana Ki Dhani</t>
  </si>
  <si>
    <t>0811500583088598</t>
  </si>
  <si>
    <t>PANDHI KA PAR</t>
  </si>
  <si>
    <t>Pandhikapar</t>
  </si>
  <si>
    <t>0811500583088575</t>
  </si>
  <si>
    <t>Rawat Ka Tala</t>
  </si>
  <si>
    <t>0811500583088576</t>
  </si>
  <si>
    <t>Paboodan Singh Ki Dhani</t>
  </si>
  <si>
    <t>0811500583088573</t>
  </si>
  <si>
    <t>Mathinani Ki Basti</t>
  </si>
  <si>
    <t>0811500583088580</t>
  </si>
  <si>
    <t>Husen Ki Dhani</t>
  </si>
  <si>
    <t>0811500583088582</t>
  </si>
  <si>
    <t>Dabe Ka Par</t>
  </si>
  <si>
    <t>0811500583088583</t>
  </si>
  <si>
    <t>Ramsar</t>
  </si>
  <si>
    <t>0811500583088516</t>
  </si>
  <si>
    <t>चारागाह विकास कार्य  रामसर</t>
  </si>
  <si>
    <t>चारागाह भूमि विकास कार्य देवी के मंदिर के पास</t>
  </si>
  <si>
    <t>चारागाह विकास कार्य खसरा न. 368/198</t>
  </si>
  <si>
    <t>रामसर पार विकास कार्य</t>
  </si>
  <si>
    <t>चारागाह विकास कार्य खसरा न. 286</t>
  </si>
  <si>
    <t>चारागाह विकास कार्य खसरा न. 363/115</t>
  </si>
  <si>
    <t>गोचर विकास कार्य खसरा न. 198</t>
  </si>
  <si>
    <t>गोचर विकास कार्य खसरा न. 113</t>
  </si>
  <si>
    <t>गोचर विकास कार्य खसरा न. 115</t>
  </si>
  <si>
    <t>चारागाह विकास कार्य देवी मंदिर के पास</t>
  </si>
  <si>
    <t>चारागाह विकास कार्य खसरा नंबर 618/13</t>
  </si>
  <si>
    <t>चारागाह विकास कार्य खसरा नंबर 624/334</t>
  </si>
  <si>
    <t>चारागाह विकास कार्य खसरा नंबर 373/204</t>
  </si>
  <si>
    <t>गोचर भूमी विकास कार्य खसरा न. 204</t>
  </si>
  <si>
    <t>Sigar Palo Ki Dhani</t>
  </si>
  <si>
    <t>0811500583088517</t>
  </si>
  <si>
    <t>Singrpalo ki dhani</t>
  </si>
  <si>
    <t>SAJJAN KA PAR</t>
  </si>
  <si>
    <t>Sajjan Ka Par</t>
  </si>
  <si>
    <t>0811500583088624</t>
  </si>
  <si>
    <t xml:space="preserve">चारागाह विकास कार्य सज्जन का पार </t>
  </si>
  <si>
    <t>Samoton Ka Par Ger Aabad</t>
  </si>
  <si>
    <t>0811500583088635</t>
  </si>
  <si>
    <t>Kumharon Ka Teeba</t>
  </si>
  <si>
    <t>0811500583088636</t>
  </si>
  <si>
    <t xml:space="preserve">चारागाह विकास कार्य कुम्हारों का टीबा </t>
  </si>
  <si>
    <t>Rathoron Ka Tala</t>
  </si>
  <si>
    <t>0811500583088637</t>
  </si>
  <si>
    <t>Mohammad Ka Par</t>
  </si>
  <si>
    <t>0811500583088625</t>
  </si>
  <si>
    <t>Mohad ka par</t>
  </si>
  <si>
    <t>Ladhe Ka Par</t>
  </si>
  <si>
    <t>0811500583088623</t>
  </si>
  <si>
    <t>Lakriyali</t>
  </si>
  <si>
    <t>0811500583088616</t>
  </si>
  <si>
    <t>Talab Ka Par</t>
  </si>
  <si>
    <t>0811500583088615</t>
  </si>
  <si>
    <t>Bane Ki Basti</t>
  </si>
  <si>
    <t>0811500583088614</t>
  </si>
  <si>
    <t>SETRAU</t>
  </si>
  <si>
    <t>Setrau</t>
  </si>
  <si>
    <t>0811500583088565</t>
  </si>
  <si>
    <t xml:space="preserve">चारागाह विकास कार्य सेतराऊ </t>
  </si>
  <si>
    <t>Maghasarder</t>
  </si>
  <si>
    <t>0811500583088564</t>
  </si>
  <si>
    <t>Madhasar der</t>
  </si>
  <si>
    <t>Veeraniyon Ki Dhani</t>
  </si>
  <si>
    <t>0811500583088566</t>
  </si>
  <si>
    <t>Veeroniyo ki dhani</t>
  </si>
  <si>
    <t>Bhomani Siyago Ki Dhani</t>
  </si>
  <si>
    <t>0811500583088568</t>
  </si>
  <si>
    <t>Bhomani siyago ki dhani</t>
  </si>
  <si>
    <t>Jagmal Ka Tala</t>
  </si>
  <si>
    <t>0811500583088567</t>
  </si>
  <si>
    <t>jagmal ka tla</t>
  </si>
  <si>
    <t>Khariya Kita</t>
  </si>
  <si>
    <t>0811500583088574</t>
  </si>
  <si>
    <t>चारागाह विकास कार्य खारिया किता</t>
  </si>
  <si>
    <t>Khariya Kalan</t>
  </si>
  <si>
    <t>0811500583088518</t>
  </si>
  <si>
    <t>Khariya kala</t>
  </si>
  <si>
    <t>Bhanpura</t>
  </si>
  <si>
    <t>0811500583088519</t>
  </si>
  <si>
    <t>SIHANI</t>
  </si>
  <si>
    <t>Sihani</t>
  </si>
  <si>
    <t>0811500583088486</t>
  </si>
  <si>
    <t>Siyani</t>
  </si>
  <si>
    <t>Anta</t>
  </si>
  <si>
    <t>0811500583088487</t>
  </si>
  <si>
    <t>चारागाह विकास कार्य आंटा</t>
  </si>
  <si>
    <t>Bamaniyawas</t>
  </si>
  <si>
    <t>0811500583088485</t>
  </si>
  <si>
    <t>Baniyawas</t>
  </si>
  <si>
    <t>Bhanwarlai</t>
  </si>
  <si>
    <t>0811500583088497</t>
  </si>
  <si>
    <t>चारागाह विकास भवरलाई</t>
  </si>
  <si>
    <t>Khejdiyali Nari</t>
  </si>
  <si>
    <t>0811500583088488</t>
  </si>
  <si>
    <t>Khejdiyali nadi</t>
  </si>
  <si>
    <t>Chauthiya</t>
  </si>
  <si>
    <t>0811500583088496</t>
  </si>
  <si>
    <t>Chothiya</t>
  </si>
  <si>
    <t>Labrau</t>
  </si>
  <si>
    <t>0811500583088495</t>
  </si>
  <si>
    <t>Siyai</t>
  </si>
  <si>
    <t>0811500583088475</t>
  </si>
  <si>
    <t>Bheelon Ka Par</t>
  </si>
  <si>
    <t>0811500583088590</t>
  </si>
  <si>
    <t>Sangrani</t>
  </si>
  <si>
    <t>0811500583088471</t>
  </si>
  <si>
    <t>चारागाह विकास कार्य संगरानी</t>
  </si>
  <si>
    <t>Naisiyae</t>
  </si>
  <si>
    <t>0811500583088472</t>
  </si>
  <si>
    <t>SURALI</t>
  </si>
  <si>
    <t>Surali</t>
  </si>
  <si>
    <t>0811500583088579</t>
  </si>
  <si>
    <t>Hindiya</t>
  </si>
  <si>
    <t>0811500583088577</t>
  </si>
  <si>
    <t xml:space="preserve">चारागाह विकास कार्य हिन्दिया </t>
  </si>
  <si>
    <t>Ubhre Ka Par</t>
  </si>
  <si>
    <t>0811500583088607</t>
  </si>
  <si>
    <t>Manakki Dhani</t>
  </si>
  <si>
    <t>0811500583088578</t>
  </si>
  <si>
    <t>Kindeeya Chaniyon Ki Dhani</t>
  </si>
  <si>
    <t>0811500583088606</t>
  </si>
  <si>
    <t>Kandiya Chaniyani ki Dhani</t>
  </si>
  <si>
    <t>Suwara</t>
  </si>
  <si>
    <t>0811500583088514</t>
  </si>
  <si>
    <t>Khiyala</t>
  </si>
  <si>
    <t>0811500583088482</t>
  </si>
  <si>
    <t>0811500583088481</t>
  </si>
  <si>
    <t>TAMLIYAR</t>
  </si>
  <si>
    <t>Tamliyar</t>
  </si>
  <si>
    <t>0811500583088521</t>
  </si>
  <si>
    <t xml:space="preserve">चारागाह विकास कार्य तामलियार </t>
  </si>
  <si>
    <t>Guruon Ka Goliya</t>
  </si>
  <si>
    <t>0811500583088523</t>
  </si>
  <si>
    <t>Hafidaniyon Ka Tala</t>
  </si>
  <si>
    <t>0811500583088522</t>
  </si>
  <si>
    <t>Haji Khan Ka Tala</t>
  </si>
  <si>
    <t>0811500583088524</t>
  </si>
  <si>
    <t>SAMDARI</t>
  </si>
  <si>
    <t>AJEET</t>
  </si>
  <si>
    <t>Doodon Ka Bara(Ajeet)</t>
  </si>
  <si>
    <t>0811500580087563</t>
  </si>
  <si>
    <t>Aajit</t>
  </si>
  <si>
    <t>Samdari</t>
  </si>
  <si>
    <t>Charanon Ka Bara</t>
  </si>
  <si>
    <t>0811500580087564</t>
  </si>
  <si>
    <t>Ambon Ka Bara</t>
  </si>
  <si>
    <t>0811500580087627</t>
  </si>
  <si>
    <t>Aambo ka vada</t>
  </si>
  <si>
    <t>BAAMSEEN</t>
  </si>
  <si>
    <t>Bamaseen</t>
  </si>
  <si>
    <t>0811500580087570</t>
  </si>
  <si>
    <t xml:space="preserve">चारागाह विकास कार्य बामसीन </t>
  </si>
  <si>
    <t>Sooili</t>
  </si>
  <si>
    <t>0811500580087569</t>
  </si>
  <si>
    <t xml:space="preserve">चारागाह विकास कार्य सूइली </t>
  </si>
  <si>
    <t>Deoliyali</t>
  </si>
  <si>
    <t>0811500580087551</t>
  </si>
  <si>
    <t>चारागाह विकास कार्य देओलियाली</t>
  </si>
  <si>
    <t>bhalaron ka bara</t>
  </si>
  <si>
    <t>Bhalaron Ka Bara</t>
  </si>
  <si>
    <t>0811500580087555</t>
  </si>
  <si>
    <t>Bhlro ka Bara</t>
  </si>
  <si>
    <t xml:space="preserve">चारागाह विकास कार्य भानावास </t>
  </si>
  <si>
    <t>Bhanawas</t>
  </si>
  <si>
    <t>0811500580087554</t>
  </si>
  <si>
    <t>Hotarda</t>
  </si>
  <si>
    <t>0811500580087556</t>
  </si>
  <si>
    <t>Hotrda</t>
  </si>
  <si>
    <t>Devra</t>
  </si>
  <si>
    <t>Deora</t>
  </si>
  <si>
    <t>0811500580087574</t>
  </si>
  <si>
    <t>Durgapura</t>
  </si>
  <si>
    <t>0811500580087575</t>
  </si>
  <si>
    <t>DHINDAS</t>
  </si>
  <si>
    <t>Dheedhas</t>
  </si>
  <si>
    <t>0811500580087634</t>
  </si>
  <si>
    <t>Dhidhas</t>
  </si>
  <si>
    <t>Samooja</t>
  </si>
  <si>
    <t>0811500580087633</t>
  </si>
  <si>
    <t>Samuja</t>
  </si>
  <si>
    <t>JETHANTARI</t>
  </si>
  <si>
    <t>Jethantari</t>
  </si>
  <si>
    <t>0811500580087545</t>
  </si>
  <si>
    <t xml:space="preserve">चारागाह विकास कार्य जेठन्तरी </t>
  </si>
  <si>
    <t xml:space="preserve">चारागाह विकास कार्य जेठन्तरी 2 </t>
  </si>
  <si>
    <t>Ladunagar</t>
  </si>
  <si>
    <t>0811500580087544</t>
  </si>
  <si>
    <t xml:space="preserve">चारागाह विकास कार्य लादू नगर </t>
  </si>
  <si>
    <t>Jethantari Halt</t>
  </si>
  <si>
    <t>0811500580087546</t>
  </si>
  <si>
    <t xml:space="preserve">चारागाह विकास कार्य जेठन्तरी होल्ट </t>
  </si>
  <si>
    <t>Kamon Ka Bara</t>
  </si>
  <si>
    <t>0811500580087626</t>
  </si>
  <si>
    <t>KARMAWAS</t>
  </si>
  <si>
    <t>Tirgati</t>
  </si>
  <si>
    <t>0811500580087567</t>
  </si>
  <si>
    <t xml:space="preserve">चारागाह विकास कार्य तिरंगडी </t>
  </si>
  <si>
    <t>Karmawas</t>
  </si>
  <si>
    <t>0811500580087568</t>
  </si>
  <si>
    <t xml:space="preserve">चारागाह विकास कार्य करमावास </t>
  </si>
  <si>
    <t>Burd (Boorad)</t>
  </si>
  <si>
    <t>0811500580087566</t>
  </si>
  <si>
    <t>चारागाह विकास कार्य बुरड</t>
  </si>
  <si>
    <t>KHANDAP</t>
  </si>
  <si>
    <t>Khandap</t>
  </si>
  <si>
    <t>0811500580087647</t>
  </si>
  <si>
    <t>Jalampura</t>
  </si>
  <si>
    <t>0811500580087648</t>
  </si>
  <si>
    <t>jalampura</t>
  </si>
  <si>
    <t>0811500580087557</t>
  </si>
  <si>
    <t>Khjdiyali</t>
  </si>
  <si>
    <t>Paton Ka Bara</t>
  </si>
  <si>
    <t>0811500580087562</t>
  </si>
  <si>
    <t>Pato ka bada</t>
  </si>
  <si>
    <t>Girad Ka Dhana</t>
  </si>
  <si>
    <t>0811500580087559</t>
  </si>
  <si>
    <t>Girji ka Dana</t>
  </si>
  <si>
    <t>Tejsingh Ki Dhani</t>
  </si>
  <si>
    <t>0811500580087558</t>
  </si>
  <si>
    <t>Tajsingh ki dhani</t>
  </si>
  <si>
    <t>KOTARI</t>
  </si>
  <si>
    <t>Kotri</t>
  </si>
  <si>
    <t>0811500580087565</t>
  </si>
  <si>
    <t>चारागाह विकास कार्य कोटडी</t>
  </si>
  <si>
    <t>चारागाह विकास कार्य कोटडी ३</t>
  </si>
  <si>
    <t>Laleeya</t>
  </si>
  <si>
    <t>0811500580087628</t>
  </si>
  <si>
    <t>चारागाह विकास कार्य ललिया</t>
  </si>
  <si>
    <t>Math Kharantiya</t>
  </si>
  <si>
    <t>0811500580087630</t>
  </si>
  <si>
    <t>चारागाह विकास कार्य खरटिया</t>
  </si>
  <si>
    <t>Kharantiya</t>
  </si>
  <si>
    <t>0811500580087629</t>
  </si>
  <si>
    <t>LALANA</t>
  </si>
  <si>
    <t>Lalana</t>
  </si>
  <si>
    <t>0811500580087543</t>
  </si>
  <si>
    <t>चारागाह विकास कार्य लालना</t>
  </si>
  <si>
    <t>0811500580087573</t>
  </si>
  <si>
    <t>चारागाह विकास कार्य भीलो की ढाणी</t>
  </si>
  <si>
    <t>Kumpawas</t>
  </si>
  <si>
    <t>0811500580087542</t>
  </si>
  <si>
    <t>चारागाह विकास कार्य कुम्पावास</t>
  </si>
  <si>
    <t>Mangla</t>
  </si>
  <si>
    <t>0811500580087572</t>
  </si>
  <si>
    <t>चारागाह विकास कार्य मंगला</t>
  </si>
  <si>
    <t>Teekampura</t>
  </si>
  <si>
    <t>0811500580087571</t>
  </si>
  <si>
    <t xml:space="preserve">चारागाह विकास कार्य तिकम्पुरा </t>
  </si>
  <si>
    <t>MAJAL</t>
  </si>
  <si>
    <t>Majal</t>
  </si>
  <si>
    <t>0811500580087635</t>
  </si>
  <si>
    <t>चारागाह विकास कार्य मजल</t>
  </si>
  <si>
    <t>Phoolan</t>
  </si>
  <si>
    <t>0811500580087621</t>
  </si>
  <si>
    <t>Fulan</t>
  </si>
  <si>
    <t>RAKHI</t>
  </si>
  <si>
    <t>Rakhi</t>
  </si>
  <si>
    <t>0811500580087642</t>
  </si>
  <si>
    <t xml:space="preserve">चारागाह विकास कार्य राखी </t>
  </si>
  <si>
    <t>Baloo</t>
  </si>
  <si>
    <t>0811500580087619</t>
  </si>
  <si>
    <t>चारागाह विकास कार्य बालू</t>
  </si>
  <si>
    <t>Khera Sujer</t>
  </si>
  <si>
    <t>0811500580087622</t>
  </si>
  <si>
    <t>RAMPURA</t>
  </si>
  <si>
    <t>0811500580087632</t>
  </si>
  <si>
    <t>Godon Ka Bara</t>
  </si>
  <si>
    <t>0811500580087631</t>
  </si>
  <si>
    <t>Mahesh Nagar</t>
  </si>
  <si>
    <t>0811500580087561</t>
  </si>
  <si>
    <t>Chirdiya</t>
  </si>
  <si>
    <t>0811500580087560</t>
  </si>
  <si>
    <t>RANI DESIPURA</t>
  </si>
  <si>
    <t>Rani Deshipura</t>
  </si>
  <si>
    <t>0811500580087553</t>
  </si>
  <si>
    <t>चारागाह विकास कार्य रानीदेशिपुरा</t>
  </si>
  <si>
    <t>Mokhandi</t>
  </si>
  <si>
    <t>0811500580087552</t>
  </si>
  <si>
    <t>चारागाह विकास कार्य मोखाराडी</t>
  </si>
  <si>
    <t>Ratri</t>
  </si>
  <si>
    <t>0811500580087638</t>
  </si>
  <si>
    <t>चारागाह विकास कार्य रतारडी</t>
  </si>
  <si>
    <t>SAMADARI</t>
  </si>
  <si>
    <t>0811500580087549</t>
  </si>
  <si>
    <t xml:space="preserve">चारागाह विकास कार्य समदडी </t>
  </si>
  <si>
    <t>samdari station</t>
  </si>
  <si>
    <t>Samdari Station</t>
  </si>
  <si>
    <t>0811500580087550</t>
  </si>
  <si>
    <t>चारागाह विकास कार्य समदडी स्टेशन</t>
  </si>
  <si>
    <t>SANWARDA</t>
  </si>
  <si>
    <t>Sanwarda</t>
  </si>
  <si>
    <t>0811500580087624</t>
  </si>
  <si>
    <t>Bhooti</t>
  </si>
  <si>
    <t>0811500580087623</t>
  </si>
  <si>
    <t>SARWADI</t>
  </si>
  <si>
    <t>Sarwari Charnan</t>
  </si>
  <si>
    <t>0811500580087649</t>
  </si>
  <si>
    <t>चारागाह विकास कार्य सरवडी</t>
  </si>
  <si>
    <t>Goliya Chaudhariyan</t>
  </si>
  <si>
    <t>0811500580087640</t>
  </si>
  <si>
    <t xml:space="preserve">चारागाह विकास कार्य गोलिया चोधारियाँ </t>
  </si>
  <si>
    <t>SEWALI</t>
  </si>
  <si>
    <t>Sewali</t>
  </si>
  <si>
    <t>0811500580087625</t>
  </si>
  <si>
    <t>Sawali</t>
  </si>
  <si>
    <t>Cheeyali</t>
  </si>
  <si>
    <t>0811500580087641</t>
  </si>
  <si>
    <t>Arthandi</t>
  </si>
  <si>
    <t>0811500580087639</t>
  </si>
  <si>
    <t>Arthndi</t>
  </si>
  <si>
    <t>SILORE</t>
  </si>
  <si>
    <t>Silor</t>
  </si>
  <si>
    <t>0811500580087547</t>
  </si>
  <si>
    <t xml:space="preserve">चारागाह विकास कार्य सिलोर </t>
  </si>
  <si>
    <t>0811500580087548</t>
  </si>
  <si>
    <t xml:space="preserve">चारागाह विकास कार्य पाबूपुरा </t>
  </si>
  <si>
    <t>Thakar Khera</t>
  </si>
  <si>
    <t>0811500580087637</t>
  </si>
  <si>
    <t>चारागाह विकास कार्य ठाकर खेडा</t>
  </si>
  <si>
    <t>Dev Nagar</t>
  </si>
  <si>
    <t>0811500580087636</t>
  </si>
  <si>
    <t>चारागाह विकास कार्य देवपुरा</t>
  </si>
  <si>
    <t>SEDWA</t>
  </si>
  <si>
    <t>Aakal</t>
  </si>
  <si>
    <t>0811500584088988</t>
  </si>
  <si>
    <t>Adarsh Kekad</t>
  </si>
  <si>
    <t>0811500584088972</t>
  </si>
  <si>
    <t>Adrash Kekad</t>
  </si>
  <si>
    <t>Miyazal Ki Beri</t>
  </si>
  <si>
    <t>0811500584088994</t>
  </si>
  <si>
    <t>Mangana Nadi</t>
  </si>
  <si>
    <t>Dob Ki Beri</t>
  </si>
  <si>
    <t>0811500584088971</t>
  </si>
  <si>
    <t>Dobb ki Beri</t>
  </si>
  <si>
    <t>Aloo Ka Tala</t>
  </si>
  <si>
    <t>0811500584089005</t>
  </si>
  <si>
    <t>Peeru Ka Tala</t>
  </si>
  <si>
    <t>0811500584089006</t>
  </si>
  <si>
    <t>0811500584088959</t>
  </si>
  <si>
    <t>Bamadlader</t>
  </si>
  <si>
    <t>Bamarlader</t>
  </si>
  <si>
    <t>0811500584088955</t>
  </si>
  <si>
    <t>Krishanpura</t>
  </si>
  <si>
    <t>0811500584088956</t>
  </si>
  <si>
    <t>Karshn pura</t>
  </si>
  <si>
    <t>BAMARLA</t>
  </si>
  <si>
    <t>Bamarla</t>
  </si>
  <si>
    <t>0811500584088975</t>
  </si>
  <si>
    <t>Peepli Beri</t>
  </si>
  <si>
    <t>0811500584088985</t>
  </si>
  <si>
    <t>Baneniyon Ki Dhani</t>
  </si>
  <si>
    <t>0811500584088986</t>
  </si>
  <si>
    <t>BHANWAR</t>
  </si>
  <si>
    <t>Bhanwar</t>
  </si>
  <si>
    <t>0811500584089007</t>
  </si>
  <si>
    <t>Bhawar</t>
  </si>
  <si>
    <t>BHERUDI</t>
  </si>
  <si>
    <t>Kottilani</t>
  </si>
  <si>
    <t>0811500584088979</t>
  </si>
  <si>
    <t>Bheruri</t>
  </si>
  <si>
    <t>0811500584088978</t>
  </si>
  <si>
    <t>Gangapur</t>
  </si>
  <si>
    <t>0811500584088977</t>
  </si>
  <si>
    <t>Bachhla</t>
  </si>
  <si>
    <t>0811500584088976</t>
  </si>
  <si>
    <t>BISASAR</t>
  </si>
  <si>
    <t>Beesasar</t>
  </si>
  <si>
    <t>0811500584088947</t>
  </si>
  <si>
    <t>Naseer Ki Dhani</t>
  </si>
  <si>
    <t>0811500584088946</t>
  </si>
  <si>
    <t>CHICHADASAR</t>
  </si>
  <si>
    <t>Chicharasar</t>
  </si>
  <si>
    <t>0811500584088961</t>
  </si>
  <si>
    <t>Chichadasar</t>
  </si>
  <si>
    <t>Samawali</t>
  </si>
  <si>
    <t>0811500584088960</t>
  </si>
  <si>
    <t>GULE KI BERI</t>
  </si>
  <si>
    <t>Rajado ki Basti</t>
  </si>
  <si>
    <t>Thananiyon Ki Basti</t>
  </si>
  <si>
    <t>0811500584088907</t>
  </si>
  <si>
    <t>Thaniniyo ki Basti</t>
  </si>
  <si>
    <t>HARPALIYA</t>
  </si>
  <si>
    <t>Harpaliya</t>
  </si>
  <si>
    <t>0811500584088954</t>
  </si>
  <si>
    <t xml:space="preserve">चारागाह विकास कार्य हरपालिया </t>
  </si>
  <si>
    <t>0811500584088943</t>
  </si>
  <si>
    <t>BHilo Ka tala</t>
  </si>
  <si>
    <t>0811500584088944</t>
  </si>
  <si>
    <t>0811500584088938</t>
  </si>
  <si>
    <t>JANPALIYA</t>
  </si>
  <si>
    <t>Janpaliya</t>
  </si>
  <si>
    <t>0811500584088945</t>
  </si>
  <si>
    <t>चारागाह विकास कार्य जानपालिया</t>
  </si>
  <si>
    <t>Deepla</t>
  </si>
  <si>
    <t>0811500584088949</t>
  </si>
  <si>
    <t>Saraiyon Ka Tala</t>
  </si>
  <si>
    <t>0811500584088948</t>
  </si>
  <si>
    <t>Saraiyo</t>
  </si>
  <si>
    <t>Jaton Ka Bera</t>
  </si>
  <si>
    <t>0811500584088950</t>
  </si>
  <si>
    <t xml:space="preserve">चारागाह विकास कार्य जाटो का बेरा </t>
  </si>
  <si>
    <t>JHARPA</t>
  </si>
  <si>
    <t>Jharpa</t>
  </si>
  <si>
    <t>0811500584089014</t>
  </si>
  <si>
    <t>चारागाह विकास कार्य Huddo ki Dhani</t>
  </si>
  <si>
    <t>डिचकम बण्‍ड निर्माण धुडावा</t>
  </si>
  <si>
    <t>डिचकम बैण्ड निर्माण कार्य झड्पा</t>
  </si>
  <si>
    <t>डिचकम बैण्ड कार्य पूर्वी भाग झड्पा</t>
  </si>
  <si>
    <t>Dhurawa</t>
  </si>
  <si>
    <t>0811500584089013</t>
  </si>
  <si>
    <t>KARTIYA</t>
  </si>
  <si>
    <t>Kartiya</t>
  </si>
  <si>
    <t>0811500584088997</t>
  </si>
  <si>
    <t>Hanumanpur</t>
  </si>
  <si>
    <t>0811500584088998</t>
  </si>
  <si>
    <t>Dholkiya</t>
  </si>
  <si>
    <t>0811500584088993</t>
  </si>
  <si>
    <t>Devpura Kartiya</t>
  </si>
  <si>
    <t>0811500584088996</t>
  </si>
  <si>
    <t>Pabuberi</t>
  </si>
  <si>
    <t>0811500584088995</t>
  </si>
  <si>
    <t>Pabu Beri</t>
  </si>
  <si>
    <t>KEKAD</t>
  </si>
  <si>
    <t>Kekar</t>
  </si>
  <si>
    <t>0811500584088970</t>
  </si>
  <si>
    <t>चारागाह विकास कार्य केकड़</t>
  </si>
  <si>
    <t>Jhangiya</t>
  </si>
  <si>
    <t>0811500584088973</t>
  </si>
  <si>
    <t>Chaukhapura</t>
  </si>
  <si>
    <t>0811500584088968</t>
  </si>
  <si>
    <t>Chokhapura</t>
  </si>
  <si>
    <t>0811500584088969</t>
  </si>
  <si>
    <t>Maneli ki Beri</t>
  </si>
  <si>
    <t>Kundanpura</t>
  </si>
  <si>
    <t>0811500584088930</t>
  </si>
  <si>
    <t>0811500584088932</t>
  </si>
  <si>
    <t>Manjhi Ka Tala</t>
  </si>
  <si>
    <t>0811500584088931</t>
  </si>
  <si>
    <t>LAKRASAR</t>
  </si>
  <si>
    <t>Lakrasar</t>
  </si>
  <si>
    <t>0811500584089015</t>
  </si>
  <si>
    <t>Lakadasar</t>
  </si>
  <si>
    <t>Kankarala</t>
  </si>
  <si>
    <t>0811500584089035</t>
  </si>
  <si>
    <t>0811500584089034</t>
  </si>
  <si>
    <t xml:space="preserve">Moolani </t>
  </si>
  <si>
    <t>NAWATALA BAKHASAR</t>
  </si>
  <si>
    <t>Nawatala Bakhasar</t>
  </si>
  <si>
    <t>0811500584089011</t>
  </si>
  <si>
    <t>Rate Ka Tala</t>
  </si>
  <si>
    <t>0811500584089036</t>
  </si>
  <si>
    <t>Sujon Ka Niwan</t>
  </si>
  <si>
    <t>0811500584089010</t>
  </si>
  <si>
    <t>Pandhi Ka Niwan</t>
  </si>
  <si>
    <t>0811500584089009</t>
  </si>
  <si>
    <t>चारागाह विकास कार्य पांधी का निवाण</t>
  </si>
  <si>
    <t>Fakiron Ka Niwan</t>
  </si>
  <si>
    <t>0811500584089008</t>
  </si>
  <si>
    <t>Farido Ka Niwan</t>
  </si>
  <si>
    <t>POONJASAR</t>
  </si>
  <si>
    <t>Poonjasar</t>
  </si>
  <si>
    <t>0811500584088937</t>
  </si>
  <si>
    <t>Ahsan Ka Tala</t>
  </si>
  <si>
    <t>0811500584088936</t>
  </si>
  <si>
    <t>0811500584088967</t>
  </si>
  <si>
    <t>0811500584088966</t>
  </si>
  <si>
    <t>SALARIYA</t>
  </si>
  <si>
    <t>Salariya</t>
  </si>
  <si>
    <t>0811500584088933</t>
  </si>
  <si>
    <t>चारागाह विकास कार्य सालारिया</t>
  </si>
  <si>
    <t>डिचकम् बेड खसरा नंबर कार्य 590/303</t>
  </si>
  <si>
    <t>डिचकम बेंड निर्माण कार्य खसरा न.403/47</t>
  </si>
  <si>
    <t>डिचकम बैंड निर्माण खसरा नंबर 307</t>
  </si>
  <si>
    <t>गोचर भूमि डिचकम विकास कार्य खसरा न 110</t>
  </si>
  <si>
    <t>गोचर भूमि डिचकम विकास कार्य खसरा न 339/118</t>
  </si>
  <si>
    <t>SARLA</t>
  </si>
  <si>
    <t>Sarla</t>
  </si>
  <si>
    <t>0811500584088952</t>
  </si>
  <si>
    <t>चारागाह विकास कार्य सरला</t>
  </si>
  <si>
    <t>चारागाह विकास कार्य  चाबरवालो की ढाणी</t>
  </si>
  <si>
    <t>Prabhat Nagar</t>
  </si>
  <si>
    <t>0811500584088951</t>
  </si>
  <si>
    <t xml:space="preserve">चारागाह विकास कार्य प्रहार नगर </t>
  </si>
  <si>
    <t>Husain Ka Tala</t>
  </si>
  <si>
    <t>0811500584088953</t>
  </si>
  <si>
    <t>चारागाह विकास कार्य हुसेन का तला</t>
  </si>
  <si>
    <t>Serwa</t>
  </si>
  <si>
    <t>0811500584088957</t>
  </si>
  <si>
    <t>Alisaron Ki Basti</t>
  </si>
  <si>
    <t>0811500584088958</t>
  </si>
  <si>
    <t>Sherpur</t>
  </si>
  <si>
    <t>0811500584088987</t>
  </si>
  <si>
    <t>Miyo ki Der</t>
  </si>
  <si>
    <t>Champa Beri</t>
  </si>
  <si>
    <t>0811500584088984</t>
  </si>
  <si>
    <t>Chmapa Beri</t>
  </si>
  <si>
    <t>Siyolon Ka Der</t>
  </si>
  <si>
    <t>0811500584088974</t>
  </si>
  <si>
    <t>SHOBHALA DARSAN</t>
  </si>
  <si>
    <t>Shobhala Darsan</t>
  </si>
  <si>
    <t>0811500584088929</t>
  </si>
  <si>
    <t>Shobhala Darshan</t>
  </si>
  <si>
    <t>Sinhar</t>
  </si>
  <si>
    <t>0811500584088934</t>
  </si>
  <si>
    <t>Singhar</t>
  </si>
  <si>
    <t>Dhemba</t>
  </si>
  <si>
    <t>0811500584088935</t>
  </si>
  <si>
    <t>Somaradi</t>
  </si>
  <si>
    <t>0811500584088981</t>
  </si>
  <si>
    <t>चारागाह विकास कार्य सोमारड़ी</t>
  </si>
  <si>
    <t>Baotalai</t>
  </si>
  <si>
    <t>0811500584088980</t>
  </si>
  <si>
    <t>Bavatalai</t>
  </si>
  <si>
    <t>Bhawanipura</t>
  </si>
  <si>
    <t>0811500584088982</t>
  </si>
  <si>
    <t>Chalkana</t>
  </si>
  <si>
    <t>0811500584088983</t>
  </si>
  <si>
    <t>Chalakana</t>
  </si>
  <si>
    <t>SONARI</t>
  </si>
  <si>
    <t>Sonri</t>
  </si>
  <si>
    <t>0811500584088964</t>
  </si>
  <si>
    <t>Sonadi</t>
  </si>
  <si>
    <t>Samrathal Dhora</t>
  </si>
  <si>
    <t>0811500584088962</t>
  </si>
  <si>
    <t>Bhiye Ki Beri</t>
  </si>
  <si>
    <t>0811500584088965</t>
  </si>
  <si>
    <t>Bhime Ki Beri</t>
  </si>
  <si>
    <t>Adarsh Sonri</t>
  </si>
  <si>
    <t>0811500584088963</t>
  </si>
  <si>
    <t>Adrash Sonadi</t>
  </si>
  <si>
    <t>SHEO</t>
  </si>
  <si>
    <t>AAKLI</t>
  </si>
  <si>
    <t>Karanipura</t>
  </si>
  <si>
    <t>0811500577086780</t>
  </si>
  <si>
    <t>चारागाह विकास कार्य आकली</t>
  </si>
  <si>
    <t>Khejarali</t>
  </si>
  <si>
    <t>0811500577086781</t>
  </si>
  <si>
    <t>Thoombali</t>
  </si>
  <si>
    <t>0811500577086782</t>
  </si>
  <si>
    <t>चारागाह विकास कार्य थूम्‍बली आकली</t>
  </si>
  <si>
    <t>Giral</t>
  </si>
  <si>
    <t>0811500577086783</t>
  </si>
  <si>
    <t>ARANG</t>
  </si>
  <si>
    <t>Arang</t>
  </si>
  <si>
    <t>0811500577086857</t>
  </si>
  <si>
    <t>Nagona</t>
  </si>
  <si>
    <t>0811500577086867</t>
  </si>
  <si>
    <t>Khetsar (Mangalsar)</t>
  </si>
  <si>
    <t>0811500577086861</t>
  </si>
  <si>
    <t>Ratkuriya</t>
  </si>
  <si>
    <t>0811500577086856</t>
  </si>
  <si>
    <t>0811500577086859</t>
  </si>
  <si>
    <t>Dewalpura</t>
  </si>
  <si>
    <t>0811500577086858</t>
  </si>
  <si>
    <t>BALAI</t>
  </si>
  <si>
    <t>Balai</t>
  </si>
  <si>
    <t>0811500577086815</t>
  </si>
  <si>
    <t>Jodh singh ka gav</t>
  </si>
  <si>
    <t>Lalso Ki Dhani</t>
  </si>
  <si>
    <t>0811500577086817</t>
  </si>
  <si>
    <t>Fatehnara</t>
  </si>
  <si>
    <t>0811500577086818</t>
  </si>
  <si>
    <t>Mallinath Nagar</t>
  </si>
  <si>
    <t>Sawaisingh Ki Basti</t>
  </si>
  <si>
    <t>0811500577086814</t>
  </si>
  <si>
    <t>BALASAR</t>
  </si>
  <si>
    <t>0811500577086751</t>
  </si>
  <si>
    <t>Balasar 1</t>
  </si>
  <si>
    <t>Mogini Gaon</t>
  </si>
  <si>
    <t>0811500577086748</t>
  </si>
  <si>
    <t>Rooganada</t>
  </si>
  <si>
    <t>0811500577086749</t>
  </si>
  <si>
    <t>Suwala</t>
  </si>
  <si>
    <t>0811500577086750</t>
  </si>
  <si>
    <t>Leekari</t>
  </si>
  <si>
    <t>0811500577086752</t>
  </si>
  <si>
    <t>Bariyada</t>
  </si>
  <si>
    <t>Bariyara</t>
  </si>
  <si>
    <t>0811500577086839</t>
  </si>
  <si>
    <t>Fatehpura</t>
  </si>
  <si>
    <t>0811500577086841</t>
  </si>
  <si>
    <t>Bohrasar</t>
  </si>
  <si>
    <t>0811500577086838</t>
  </si>
  <si>
    <t>Utal</t>
  </si>
  <si>
    <t>0811500577086840</t>
  </si>
  <si>
    <t>BHINYAR</t>
  </si>
  <si>
    <t>Bhiyad</t>
  </si>
  <si>
    <t>0811500577086827</t>
  </si>
  <si>
    <t>Ratnuon Ki Dhani</t>
  </si>
  <si>
    <t>0811500577086829</t>
  </si>
  <si>
    <t>Kotriyon Ki Dhani</t>
  </si>
  <si>
    <t>0811500577086828</t>
  </si>
  <si>
    <t>BISOO KALLAN</t>
  </si>
  <si>
    <t>Bisoo Kalan</t>
  </si>
  <si>
    <t>0811500577086809</t>
  </si>
  <si>
    <t>चारागाह विकास कार्य बीसुखुर्द</t>
  </si>
  <si>
    <t>Punjraj Ki Dhani</t>
  </si>
  <si>
    <t>0811500577086810</t>
  </si>
  <si>
    <t>Bachanio Ki Dhani</t>
  </si>
  <si>
    <t>0811500577086813</t>
  </si>
  <si>
    <t>0811500577086812</t>
  </si>
  <si>
    <t>Bisoo Khurd</t>
  </si>
  <si>
    <t>0811500577086811</t>
  </si>
  <si>
    <t>khintliyo ki dhani</t>
  </si>
  <si>
    <t>Arjun Nagar</t>
  </si>
  <si>
    <t>Pushd</t>
  </si>
  <si>
    <t>0811500577086830</t>
  </si>
  <si>
    <t>Budhatala</t>
  </si>
  <si>
    <t>0811500577086824</t>
  </si>
  <si>
    <t>Budhatla</t>
  </si>
  <si>
    <t>Alsaniyon Ki Dhani</t>
  </si>
  <si>
    <t>0811500577086826</t>
  </si>
  <si>
    <t>Alsaniyo ki dhani</t>
  </si>
  <si>
    <t>0811500577086825</t>
  </si>
  <si>
    <t>Mogerai</t>
  </si>
  <si>
    <t>0811500577086849</t>
  </si>
  <si>
    <t>Mogeraee</t>
  </si>
  <si>
    <t>CHOCHRA</t>
  </si>
  <si>
    <t>Chochra</t>
  </si>
  <si>
    <t>0811500577086862</t>
  </si>
  <si>
    <t>Dholiya</t>
  </si>
  <si>
    <t>0811500577086866</t>
  </si>
  <si>
    <t>Aawarsar</t>
  </si>
  <si>
    <t>0811500577086865</t>
  </si>
  <si>
    <t>0811500577086864</t>
  </si>
  <si>
    <t>Pabusar</t>
  </si>
  <si>
    <t>0811500577086863</t>
  </si>
  <si>
    <t>Shekhe Ka Gaon</t>
  </si>
  <si>
    <t>0811500577086855</t>
  </si>
  <si>
    <t>Olecha</t>
  </si>
  <si>
    <t>0811500577086854</t>
  </si>
  <si>
    <t>Dhanani Meghwalon Ki Dhani</t>
  </si>
  <si>
    <t>0811500577086877</t>
  </si>
  <si>
    <t>Karanghd</t>
  </si>
  <si>
    <t>Fateh singh pura</t>
  </si>
  <si>
    <t>0811500577086875</t>
  </si>
  <si>
    <t>DHARVI KALAN</t>
  </si>
  <si>
    <t>Dharwi Kalan</t>
  </si>
  <si>
    <t>0811500577086851</t>
  </si>
  <si>
    <t>Dharvi kala</t>
  </si>
  <si>
    <t>Chhutghd</t>
  </si>
  <si>
    <t>Muharon Ki Dhani</t>
  </si>
  <si>
    <t>0811500577086847</t>
  </si>
  <si>
    <t>Karanisar</t>
  </si>
  <si>
    <t>0811500577086846</t>
  </si>
  <si>
    <t>Om Nagar</t>
  </si>
  <si>
    <t>0811500577086850</t>
  </si>
  <si>
    <t>Langon Ki Dhani</t>
  </si>
  <si>
    <t>0811500577086852</t>
  </si>
  <si>
    <t>Ranakdeo</t>
  </si>
  <si>
    <t>0811500577086853</t>
  </si>
  <si>
    <t>Rankdev Nagar</t>
  </si>
  <si>
    <t>DHARWI KHURD</t>
  </si>
  <si>
    <t>Dharwi Khurd</t>
  </si>
  <si>
    <t>0811500577086844</t>
  </si>
  <si>
    <t>Sitaramki Dhani</t>
  </si>
  <si>
    <t>0811500577086831</t>
  </si>
  <si>
    <t>Saroop Nagar</t>
  </si>
  <si>
    <t>0811500577086843</t>
  </si>
  <si>
    <t>0811500577086848</t>
  </si>
  <si>
    <t>Sawaipura</t>
  </si>
  <si>
    <t>0811500577086845</t>
  </si>
  <si>
    <t>Netron Ki Dhani</t>
  </si>
  <si>
    <t>0811500577086842</t>
  </si>
  <si>
    <t>GUNGA</t>
  </si>
  <si>
    <t>Goonga</t>
  </si>
  <si>
    <t>0811500577086807</t>
  </si>
  <si>
    <t>चारागाह विकास कार्य गूंगा</t>
  </si>
  <si>
    <t>Chak Goonga</t>
  </si>
  <si>
    <t>0811500577086808</t>
  </si>
  <si>
    <t>Chak Gunga</t>
  </si>
  <si>
    <t>Harwa</t>
  </si>
  <si>
    <t>0811500577086763</t>
  </si>
  <si>
    <t>Harwecha</t>
  </si>
  <si>
    <t>0811500577086766</t>
  </si>
  <si>
    <t>hadvecha</t>
  </si>
  <si>
    <t>Bhairoopura</t>
  </si>
  <si>
    <t>0811500577086764</t>
  </si>
  <si>
    <t>Bhairupura</t>
  </si>
  <si>
    <t>Chak Harwa</t>
  </si>
  <si>
    <t>0811500577086765</t>
  </si>
  <si>
    <t>Manihari</t>
  </si>
  <si>
    <t>0811500577086833</t>
  </si>
  <si>
    <t>Lunai nadi khudai karya manihari</t>
  </si>
  <si>
    <t>manihari</t>
  </si>
  <si>
    <t>Podharoapan karya ma Saktiya mandir ke pass</t>
  </si>
  <si>
    <t>HATHISINGH KA GAON</t>
  </si>
  <si>
    <t>Hathisingh Ka Gaon</t>
  </si>
  <si>
    <t>0811500577086805</t>
  </si>
  <si>
    <t>Taijrava</t>
  </si>
  <si>
    <t>Derajpura</t>
  </si>
  <si>
    <t>Vali Mohmmd ki dhani</t>
  </si>
  <si>
    <t>Matuja</t>
  </si>
  <si>
    <t>0811500577086773</t>
  </si>
  <si>
    <t>Rawat Ka Gaon</t>
  </si>
  <si>
    <t>0811500577086772</t>
  </si>
  <si>
    <t>Chak Bhanska</t>
  </si>
  <si>
    <t>0811500577086767</t>
  </si>
  <si>
    <t>Mege Ka Gaon</t>
  </si>
  <si>
    <t>0811500577086768</t>
  </si>
  <si>
    <t>JHANPHALEE KALLAN</t>
  </si>
  <si>
    <t>Jhanphli Kalan</t>
  </si>
  <si>
    <t>0811500577086770</t>
  </si>
  <si>
    <t>Jhanphli Khurd</t>
  </si>
  <si>
    <t>0811500577086771</t>
  </si>
  <si>
    <t>Pabu nagar</t>
  </si>
  <si>
    <t>Nagnasar</t>
  </si>
  <si>
    <t>0811500577086769</t>
  </si>
  <si>
    <t>Chak Negarda</t>
  </si>
  <si>
    <t>0811500577086762</t>
  </si>
  <si>
    <t>JONEJO KI BASTI</t>
  </si>
  <si>
    <t>Junejon Ki Basti</t>
  </si>
  <si>
    <t>0811500577086776</t>
  </si>
  <si>
    <t>Junejo Ki Basti</t>
  </si>
  <si>
    <t>26.02.2024</t>
  </si>
  <si>
    <t>Jhari</t>
  </si>
  <si>
    <t>0811500577086778</t>
  </si>
  <si>
    <t>0811500577086779</t>
  </si>
  <si>
    <t>Sargeelapar</t>
  </si>
  <si>
    <t>0811500577086775</t>
  </si>
  <si>
    <t>Sargeela par</t>
  </si>
  <si>
    <t>Joranada</t>
  </si>
  <si>
    <t>0811500577086795</t>
  </si>
  <si>
    <t>Boolo Ki Dhani</t>
  </si>
  <si>
    <t>0811500577086791</t>
  </si>
  <si>
    <t>Hakim Ki Dhani</t>
  </si>
  <si>
    <t>0811500577086793</t>
  </si>
  <si>
    <t>Hakim Ki Basti</t>
  </si>
  <si>
    <t>Pithora Nagar</t>
  </si>
  <si>
    <t>0811500577086794</t>
  </si>
  <si>
    <t>Kesarpura</t>
  </si>
  <si>
    <t>0811500577086816</t>
  </si>
  <si>
    <t>KANASAR</t>
  </si>
  <si>
    <t>Kanasar</t>
  </si>
  <si>
    <t>0811500577086870</t>
  </si>
  <si>
    <t>चारागाह विकास कार्य कानासर</t>
  </si>
  <si>
    <t>Medbandhi karya oran bhumi kanasar</t>
  </si>
  <si>
    <t>KASHMIR</t>
  </si>
  <si>
    <t>Kashmir</t>
  </si>
  <si>
    <t>0811500577086881</t>
  </si>
  <si>
    <t>Sobha  sar</t>
  </si>
  <si>
    <t>AjavaNagar</t>
  </si>
  <si>
    <t>Godasar</t>
  </si>
  <si>
    <t>Ed Ki Basti</t>
  </si>
  <si>
    <t>0811500577086883</t>
  </si>
  <si>
    <t>Gorsiyon Ki Tala</t>
  </si>
  <si>
    <t>0811500577086879</t>
  </si>
  <si>
    <t>Kayam Ki Basti</t>
  </si>
  <si>
    <t>0811500577086894</t>
  </si>
  <si>
    <t>26.2.-2024</t>
  </si>
  <si>
    <t>Naya Nagarda</t>
  </si>
  <si>
    <t>0811500577086896</t>
  </si>
  <si>
    <t>Neemlanara</t>
  </si>
  <si>
    <t>0811500577086898</t>
  </si>
  <si>
    <t>KOTRA</t>
  </si>
  <si>
    <t>Kotra</t>
  </si>
  <si>
    <t>0811500577086798</t>
  </si>
  <si>
    <t>Adarsh Basti</t>
  </si>
  <si>
    <t>0811500577086777</t>
  </si>
  <si>
    <t>0811500577086801</t>
  </si>
  <si>
    <t>0811500577086774</t>
  </si>
  <si>
    <t>0811500577086802</t>
  </si>
  <si>
    <t>Laxmipura</t>
  </si>
  <si>
    <t>0811500577086744</t>
  </si>
  <si>
    <t>Mandaliya</t>
  </si>
  <si>
    <t>0811500577086742</t>
  </si>
  <si>
    <t>Bhimda</t>
  </si>
  <si>
    <t>0811500577086743</t>
  </si>
  <si>
    <t>MOKHAB KALLAN</t>
  </si>
  <si>
    <t>Mokhab Kalan</t>
  </si>
  <si>
    <t>0811500577086886</t>
  </si>
  <si>
    <t>Batara</t>
  </si>
  <si>
    <t>0811500577086899</t>
  </si>
  <si>
    <t>Pabu Mali</t>
  </si>
  <si>
    <t>0811500577086888</t>
  </si>
  <si>
    <t>Mokhab Khurd</t>
  </si>
  <si>
    <t>0811500577086892</t>
  </si>
  <si>
    <t>0811500577086890</t>
  </si>
  <si>
    <t>Chak Mokhab</t>
  </si>
  <si>
    <t>0811500577086889</t>
  </si>
  <si>
    <t>Tajrava svagiya</t>
  </si>
  <si>
    <t>Kohariyon Ki Basti</t>
  </si>
  <si>
    <t>0811500577086891</t>
  </si>
  <si>
    <t>0811500577086887</t>
  </si>
  <si>
    <t>MUNGERIYA</t>
  </si>
  <si>
    <t>Mungeriya</t>
  </si>
  <si>
    <t>0811500577086746</t>
  </si>
  <si>
    <t>Rasa ka Tala</t>
  </si>
  <si>
    <t>0811500577086745</t>
  </si>
  <si>
    <t>0811500577086747</t>
  </si>
  <si>
    <t>NAGARDA</t>
  </si>
  <si>
    <t>Nagarda</t>
  </si>
  <si>
    <t>0811500577086897</t>
  </si>
  <si>
    <t>चारागाह विकास कार्य पंचायत के पास नागादडा</t>
  </si>
  <si>
    <t>Gulbaniyo ki dhani</t>
  </si>
  <si>
    <t>Dalanara</t>
  </si>
  <si>
    <t>0811500577086788</t>
  </si>
  <si>
    <t>Virdhasingh Ki Dhani</t>
  </si>
  <si>
    <t>0811500577086789</t>
  </si>
  <si>
    <t>Sajeetara</t>
  </si>
  <si>
    <t>0811500577086790</t>
  </si>
  <si>
    <t>NEEMBLA</t>
  </si>
  <si>
    <t>Bhagwananiyon Ki Dhani</t>
  </si>
  <si>
    <t>0811500577086786</t>
  </si>
  <si>
    <t>0811500577086785</t>
  </si>
  <si>
    <t>Hemanara</t>
  </si>
  <si>
    <t>0811500577086787</t>
  </si>
  <si>
    <t>Agoriya</t>
  </si>
  <si>
    <t>0811500577086784</t>
  </si>
  <si>
    <t>Negrada</t>
  </si>
  <si>
    <t>0811500577086760</t>
  </si>
  <si>
    <t>Bhanwarisar</t>
  </si>
  <si>
    <t>0811500577086761</t>
  </si>
  <si>
    <t>Kalijal</t>
  </si>
  <si>
    <t>0811500577086759</t>
  </si>
  <si>
    <t>POSHAL</t>
  </si>
  <si>
    <t>0811500577086900</t>
  </si>
  <si>
    <t>Arjun Ka Tala</t>
  </si>
  <si>
    <t>0811500577086901</t>
  </si>
  <si>
    <t>Madha Ka Tala</t>
  </si>
  <si>
    <t>0811500577086895</t>
  </si>
  <si>
    <t>Motinara</t>
  </si>
  <si>
    <t>0811500577086893</t>
  </si>
  <si>
    <t>RAJBERA</t>
  </si>
  <si>
    <t>Rajbera</t>
  </si>
  <si>
    <t>0811500577086874</t>
  </si>
  <si>
    <t>26.01.24</t>
  </si>
  <si>
    <t>Dheerji Ki Dhani</t>
  </si>
  <si>
    <t>0811500577086873</t>
  </si>
  <si>
    <t>RAJDAL</t>
  </si>
  <si>
    <t>Rajdal</t>
  </si>
  <si>
    <t>0811500577086834</t>
  </si>
  <si>
    <t>Junejon Ki Dhani</t>
  </si>
  <si>
    <t>0811500577086832</t>
  </si>
  <si>
    <t>Deoka</t>
  </si>
  <si>
    <t>0811500577086835</t>
  </si>
  <si>
    <t>Mati Ka Gol</t>
  </si>
  <si>
    <t>0811500577086836</t>
  </si>
  <si>
    <t>Khudal</t>
  </si>
  <si>
    <t>0811500577086837</t>
  </si>
  <si>
    <t>0811500577086885</t>
  </si>
  <si>
    <t>Oonchawara</t>
  </si>
  <si>
    <t>0811500577086880</t>
  </si>
  <si>
    <t>Jiyaniyon Ki Basti</t>
  </si>
  <si>
    <t>0811500577086882</t>
  </si>
  <si>
    <t>Chibra Magra</t>
  </si>
  <si>
    <t>0811500577086884</t>
  </si>
  <si>
    <t>Suraliya</t>
  </si>
  <si>
    <t>Chibda magra</t>
  </si>
  <si>
    <t>Gughrvalo ki dhani</t>
  </si>
  <si>
    <t>Raneji Ki Basti</t>
  </si>
  <si>
    <t>0811500577086800</t>
  </si>
  <si>
    <t>Rane ji Ki Basti</t>
  </si>
  <si>
    <t>Mehron Ki Dhani</t>
  </si>
  <si>
    <t>0811500577086803</t>
  </si>
  <si>
    <t>Meharo ki Dhani</t>
  </si>
  <si>
    <t>Talon Ka Par</t>
  </si>
  <si>
    <t>0811500577086804</t>
  </si>
  <si>
    <t>Talo ka par</t>
  </si>
  <si>
    <t>Taloon Ka Gaon</t>
  </si>
  <si>
    <t>0811500577086799</t>
  </si>
  <si>
    <t>Talo Ka gav</t>
  </si>
  <si>
    <t>Jase Ka Gaon</t>
  </si>
  <si>
    <t>0811500577086806</t>
  </si>
  <si>
    <t>0811500577086823</t>
  </si>
  <si>
    <t>Sambhusar</t>
  </si>
  <si>
    <t>0811500577086819</t>
  </si>
  <si>
    <t>Mataji Ki Bhankhari</t>
  </si>
  <si>
    <t>0811500577086821</t>
  </si>
  <si>
    <t>Amar Singh Ki Dhani</t>
  </si>
  <si>
    <t>0811500577086822</t>
  </si>
  <si>
    <t>Roopa Sariya</t>
  </si>
  <si>
    <t>0811500577086820</t>
  </si>
  <si>
    <t>Sheo</t>
  </si>
  <si>
    <t>0811500577086797</t>
  </si>
  <si>
    <t>Neembasar</t>
  </si>
  <si>
    <t>0811500577086792</t>
  </si>
  <si>
    <t>Ambawari</t>
  </si>
  <si>
    <t>0811500577086796</t>
  </si>
  <si>
    <t>Shivaji Nagar</t>
  </si>
  <si>
    <t>0811500577086868</t>
  </si>
  <si>
    <t>02.10.2023</t>
  </si>
  <si>
    <t>Kanasar Golai</t>
  </si>
  <si>
    <t>0811500577086869</t>
  </si>
  <si>
    <t>0811500577086860</t>
  </si>
  <si>
    <t>SWAMI KA GAON</t>
  </si>
  <si>
    <t>Swami Ka Gaon</t>
  </si>
  <si>
    <t>0811500577086756</t>
  </si>
  <si>
    <t>Kane Ka Gaon</t>
  </si>
  <si>
    <t>0811500577086753</t>
  </si>
  <si>
    <t>Sujanio Ka Dhani</t>
  </si>
  <si>
    <t>0811500577086754</t>
  </si>
  <si>
    <t>Barsinga</t>
  </si>
  <si>
    <t>0811500577086755</t>
  </si>
  <si>
    <t>Aantra</t>
  </si>
  <si>
    <t>0811500577086757</t>
  </si>
  <si>
    <t>Matuon Ki Dhani</t>
  </si>
  <si>
    <t>0811500577086758</t>
  </si>
  <si>
    <t>jamal Ki Dhani</t>
  </si>
  <si>
    <t>UNDOO</t>
  </si>
  <si>
    <t>Undoo</t>
  </si>
  <si>
    <t>0811500577086876</t>
  </si>
  <si>
    <t>Sahid kheta nagar</t>
  </si>
  <si>
    <t>Veer taja ji Nagar</t>
  </si>
  <si>
    <t>0811500577086872</t>
  </si>
  <si>
    <t>mudhno ki Dhani</t>
  </si>
  <si>
    <t>Jatawas</t>
  </si>
  <si>
    <t>hardabu nagar</t>
  </si>
  <si>
    <t>Padu Nagar</t>
  </si>
  <si>
    <t>Ammbedkar Nagar</t>
  </si>
  <si>
    <t>Bagawas</t>
  </si>
  <si>
    <t>Prahladpura</t>
  </si>
  <si>
    <t>0811500577086871</t>
  </si>
  <si>
    <t>Pahlad Nagar</t>
  </si>
  <si>
    <t>SIWANA</t>
  </si>
  <si>
    <t>Annpurna Nagar</t>
  </si>
  <si>
    <t>0811500580087528</t>
  </si>
  <si>
    <t>Arjiyana</t>
  </si>
  <si>
    <t>0811500580087579</t>
  </si>
  <si>
    <t>Siwana</t>
  </si>
  <si>
    <t>Loodrara</t>
  </si>
  <si>
    <t>0811500580087618</t>
  </si>
  <si>
    <t>Ludrada</t>
  </si>
  <si>
    <t>beranari</t>
  </si>
  <si>
    <t>Beranari</t>
  </si>
  <si>
    <t>0811500580087590</t>
  </si>
  <si>
    <t xml:space="preserve">वृक्षारोपण एवं खाई कार्य फैन्सिंग कार्य झूंझारो का थान औरण </t>
  </si>
  <si>
    <t>Relon Ki Dhani</t>
  </si>
  <si>
    <t>0811500580087603</t>
  </si>
  <si>
    <t>चारागाह विकास कार्य रेलों की ढाणी</t>
  </si>
  <si>
    <t>BHAGWA</t>
  </si>
  <si>
    <t>Bhagwa</t>
  </si>
  <si>
    <t>0811500580087610</t>
  </si>
  <si>
    <t>चारागाह विकास कार्य भागवा</t>
  </si>
  <si>
    <t>Gogamand</t>
  </si>
  <si>
    <t>Telwara</t>
  </si>
  <si>
    <t>0811500580087609</t>
  </si>
  <si>
    <t>चारागाह विकास कार्य  तेलवाडा</t>
  </si>
  <si>
    <t>Bhagwa          Raghunathpura</t>
  </si>
  <si>
    <t>Bhagwa       Raghunathpura</t>
  </si>
  <si>
    <t>Bhagava R</t>
  </si>
  <si>
    <t>Bhagwa Raghunathpura</t>
  </si>
  <si>
    <t>Kumharo Ki Dhani</t>
  </si>
  <si>
    <t>0811500580087613</t>
  </si>
  <si>
    <t>चारागाह विकास कुम्हारों की ढाणी</t>
  </si>
  <si>
    <t>Darbala</t>
  </si>
  <si>
    <t>0811500580087612</t>
  </si>
  <si>
    <t>चारागाह विकास कार्य धरबला</t>
  </si>
  <si>
    <t>Bheemgoda</t>
  </si>
  <si>
    <t>Bheegoda</t>
  </si>
  <si>
    <t>0811500580087536</t>
  </si>
  <si>
    <t>चारागाह विकास कार्य भीमगुडा</t>
  </si>
  <si>
    <t>Ramdeonagar</t>
  </si>
  <si>
    <t>0811500580087537</t>
  </si>
  <si>
    <t>चारागाह विकास कार्य रामदेव नगर</t>
  </si>
  <si>
    <t>DEWANDI</t>
  </si>
  <si>
    <t>Dewandi</t>
  </si>
  <si>
    <t>0811500580087580</t>
  </si>
  <si>
    <t>Dantala</t>
  </si>
  <si>
    <t>0811500580087578</t>
  </si>
  <si>
    <t>Bijaliya</t>
  </si>
  <si>
    <t>0811500580087620</t>
  </si>
  <si>
    <t>DHARNA</t>
  </si>
  <si>
    <t>Dharna</t>
  </si>
  <si>
    <t>0811500580087592</t>
  </si>
  <si>
    <t>चारागाह विकास कार्य  धारणा</t>
  </si>
  <si>
    <t>Tanda Bera</t>
  </si>
  <si>
    <t>0811500580087591</t>
  </si>
  <si>
    <t>Relo ki Saray</t>
  </si>
  <si>
    <t>Dev Pura</t>
  </si>
  <si>
    <t>0811500580087593</t>
  </si>
  <si>
    <t>DHEERA</t>
  </si>
  <si>
    <t>Dheera</t>
  </si>
  <si>
    <t>0811500580087611</t>
  </si>
  <si>
    <t>GOLIYA</t>
  </si>
  <si>
    <t>Goliya</t>
  </si>
  <si>
    <t>0811500580087584</t>
  </si>
  <si>
    <t>चारागाह विकास  कार्य गोलिया</t>
  </si>
  <si>
    <t>Goongrot</t>
  </si>
  <si>
    <t>0811500580087587</t>
  </si>
  <si>
    <t>चारागाह विकास कार्य गुंगरोट</t>
  </si>
  <si>
    <t>Umsar</t>
  </si>
  <si>
    <t>0811500580087586</t>
  </si>
  <si>
    <t>चारागाह विकास कार्य उमासर</t>
  </si>
  <si>
    <t>Peeploon</t>
  </si>
  <si>
    <t>0811500580087585</t>
  </si>
  <si>
    <t>चारागाह विकास कार्य पीपलोन</t>
  </si>
  <si>
    <t>GURA</t>
  </si>
  <si>
    <t>Gura</t>
  </si>
  <si>
    <t>0811500580087531</t>
  </si>
  <si>
    <t>Thanmata Hinglaj</t>
  </si>
  <si>
    <t>0811500580087532</t>
  </si>
  <si>
    <t>INDRANA</t>
  </si>
  <si>
    <t>Indrana</t>
  </si>
  <si>
    <t>0811500580087524</t>
  </si>
  <si>
    <t>चारगाह विकास कार्य इन्द्राना</t>
  </si>
  <si>
    <t>Kalyansingh Ki Dhani</t>
  </si>
  <si>
    <t>0811500580087525</t>
  </si>
  <si>
    <t>चारागाह विकास कार्य कल्याण सिंह की ढाणी</t>
  </si>
  <si>
    <t>Itwaya</t>
  </si>
  <si>
    <t>0811500580087597</t>
  </si>
  <si>
    <t>चारागाह विकास कार्य इटवाया</t>
  </si>
  <si>
    <t>Man pura</t>
  </si>
  <si>
    <t>KANKHI</t>
  </si>
  <si>
    <t>Kankhi</t>
  </si>
  <si>
    <t>0811500580087601</t>
  </si>
  <si>
    <t>चारागाह विकास कार्य परिहारो की ढाणी.</t>
  </si>
  <si>
    <t>Pariharon Ki Dhani</t>
  </si>
  <si>
    <t>0811500580087602</t>
  </si>
  <si>
    <t>Rawatnagar</t>
  </si>
  <si>
    <t>0811500580087600</t>
  </si>
  <si>
    <t>चारागाह विकास कार्य रावत नगर</t>
  </si>
  <si>
    <t>Khakharlai</t>
  </si>
  <si>
    <t>0811500580087539</t>
  </si>
  <si>
    <t>व़क्षारोपण मय चारागाह विकास कार्य खं.नं.98</t>
  </si>
  <si>
    <t>वृक्षारोपण मय चारागाह विकास कार्य ख.न. 11</t>
  </si>
  <si>
    <t>चारागाह विकास मय खाई फैंसिंग कार्य ख.न. 221</t>
  </si>
  <si>
    <t>Bhati Khera</t>
  </si>
  <si>
    <t>0811500580087577</t>
  </si>
  <si>
    <t>चारागाह विकास कार्य भाटी खेडा</t>
  </si>
  <si>
    <t>Nai Khakharlai</t>
  </si>
  <si>
    <t>0811500580087540</t>
  </si>
  <si>
    <t>KUNDAL</t>
  </si>
  <si>
    <t>Kundal</t>
  </si>
  <si>
    <t>0811500580087589</t>
  </si>
  <si>
    <t>चारागाह विकास कार्य कुण्डल</t>
  </si>
  <si>
    <t>Lohiyanagarh</t>
  </si>
  <si>
    <t>चारागाह विकास कार्य लोहियानागढ़</t>
  </si>
  <si>
    <t>Sariyadevi Nagar</t>
  </si>
  <si>
    <t>0811500580087588</t>
  </si>
  <si>
    <t>Sariya Devi Nagar</t>
  </si>
  <si>
    <t>KUSEEP</t>
  </si>
  <si>
    <t>Kuseep</t>
  </si>
  <si>
    <t>0811500580087538</t>
  </si>
  <si>
    <t>Kuship</t>
  </si>
  <si>
    <t>25.70 57 43</t>
  </si>
  <si>
    <t>Khera Khindawara</t>
  </si>
  <si>
    <t>0811500580087541</t>
  </si>
  <si>
    <t>Khindwada</t>
  </si>
  <si>
    <t>MAHILAWAS</t>
  </si>
  <si>
    <t>Maylawas</t>
  </si>
  <si>
    <t>0811500580087616</t>
  </si>
  <si>
    <t>चारागाह विकास कार्य महिलावास</t>
  </si>
  <si>
    <t>चारागाह विकास कार्य रा.प्रा वि मालियो का बेरा के सामने</t>
  </si>
  <si>
    <t>Mangi</t>
  </si>
  <si>
    <t>0811500580087608</t>
  </si>
  <si>
    <t>चारागाह विकास कार्य मांगी</t>
  </si>
  <si>
    <t>Jinpur</t>
  </si>
  <si>
    <t>0811500580087607</t>
  </si>
  <si>
    <t>चारागाह विकास कार्य जीनपुर</t>
  </si>
  <si>
    <t>Sundha Nagar</t>
  </si>
  <si>
    <t>MAWARI</t>
  </si>
  <si>
    <t>Mawri</t>
  </si>
  <si>
    <t>0811500580087582</t>
  </si>
  <si>
    <t>Nimbeshwar</t>
  </si>
  <si>
    <t>0811500580087583</t>
  </si>
  <si>
    <t>Khetasar</t>
  </si>
  <si>
    <t>0811500580087581</t>
  </si>
  <si>
    <t>MELI</t>
  </si>
  <si>
    <t>Meli</t>
  </si>
  <si>
    <t>0811500580087576</t>
  </si>
  <si>
    <t>चारागाह विकास कार्य मेली 1</t>
  </si>
  <si>
    <t>चारागाह विकास कार्य मेली 2</t>
  </si>
  <si>
    <t>चारागाह विकास कार्य मेली 3</t>
  </si>
  <si>
    <t>MITHORA</t>
  </si>
  <si>
    <t>Chandan Nagar</t>
  </si>
  <si>
    <t>0811500580087595</t>
  </si>
  <si>
    <t>Mithora</t>
  </si>
  <si>
    <t>चारागाह विकास कार्य मिठोड़ा खसरा नंबर 505</t>
  </si>
  <si>
    <t>Undel Nagar</t>
  </si>
  <si>
    <t>0811500580087594</t>
  </si>
  <si>
    <t>चारागाह विकास कार्य उण्डेल नगर</t>
  </si>
  <si>
    <t>MOKALSAR</t>
  </si>
  <si>
    <t>Mokalsar</t>
  </si>
  <si>
    <t>0811500580087617</t>
  </si>
  <si>
    <t>चारागाह विकास कार्य मोकलसर</t>
  </si>
  <si>
    <t>moothali</t>
  </si>
  <si>
    <t>Moothali</t>
  </si>
  <si>
    <t>0811500580087522</t>
  </si>
  <si>
    <t xml:space="preserve">चारागाह विकास कार्य मुठली </t>
  </si>
  <si>
    <t>0811500580087521</t>
  </si>
  <si>
    <t>चारागाह विकास कार्य नागनेशी मंदिर के पास पादरड़ी खुर्द</t>
  </si>
  <si>
    <t>MOTISARA</t>
  </si>
  <si>
    <t>0811500580087644</t>
  </si>
  <si>
    <t>Rojiyon Ki Dhani</t>
  </si>
  <si>
    <t>0811500580087645</t>
  </si>
  <si>
    <t>चारागाह विकास कार्य रोजिया की ढाणी</t>
  </si>
  <si>
    <t>Joonakhera Motisara</t>
  </si>
  <si>
    <t>0811500580087643</t>
  </si>
  <si>
    <t>Juna Kheda</t>
  </si>
  <si>
    <t>0811500580087646</t>
  </si>
  <si>
    <t>चारागाह विकास कार्य डाबली M</t>
  </si>
  <si>
    <t>Shreeram Nagar</t>
  </si>
  <si>
    <t>nal</t>
  </si>
  <si>
    <t>Nal</t>
  </si>
  <si>
    <t>0811500580087530</t>
  </si>
  <si>
    <t>चारागाह विकास कार्य नाल</t>
  </si>
  <si>
    <t>padardi kalan</t>
  </si>
  <si>
    <t>0811500580087534</t>
  </si>
  <si>
    <t>चारागाह विकास कार्य पादरडीकला</t>
  </si>
  <si>
    <t>Harmalpura</t>
  </si>
  <si>
    <t>0811500580087535</t>
  </si>
  <si>
    <t>चारागाह विकास कार्य हरमलपूरा</t>
  </si>
  <si>
    <t>PADROO</t>
  </si>
  <si>
    <t>Padroo</t>
  </si>
  <si>
    <t>0811500580087596</t>
  </si>
  <si>
    <t>Parvat Nagar</t>
  </si>
  <si>
    <t>चारगाह विकास कार्य खसरा नम्बर 2007 /881</t>
  </si>
  <si>
    <t>चारागाह विकास कार्य खं.नं. 777 केरली</t>
  </si>
  <si>
    <t>चारागाह विकास कार्य खं.नं. 423 मोदिया</t>
  </si>
  <si>
    <t>paun</t>
  </si>
  <si>
    <t>Paun</t>
  </si>
  <si>
    <t>0811500580087599</t>
  </si>
  <si>
    <t>चारागाह विकास कार्य पाऊं</t>
  </si>
  <si>
    <t>Vavnagar</t>
  </si>
  <si>
    <t>0811500580087598</t>
  </si>
  <si>
    <t>Vav Nagar</t>
  </si>
  <si>
    <t>RAMANIYA</t>
  </si>
  <si>
    <t>Ramniya</t>
  </si>
  <si>
    <t>0811500580087615</t>
  </si>
  <si>
    <t>Bherugarah</t>
  </si>
  <si>
    <t>Sohanpura</t>
  </si>
  <si>
    <t>SELA</t>
  </si>
  <si>
    <t>0811500580087605</t>
  </si>
  <si>
    <t>Mubari</t>
  </si>
  <si>
    <t>0811500580087604</t>
  </si>
  <si>
    <t>0811500580087606</t>
  </si>
  <si>
    <t>SIner</t>
  </si>
  <si>
    <t>Jetmal Nagar</t>
  </si>
  <si>
    <t>Gulabpura</t>
  </si>
  <si>
    <t>Siner</t>
  </si>
  <si>
    <t>0811500580087527</t>
  </si>
  <si>
    <t>चारागाह विकास कार्य सिणेर</t>
  </si>
  <si>
    <t>Baliyana</t>
  </si>
  <si>
    <t>SINER</t>
  </si>
  <si>
    <t>चारागाह विकास कार्य सिनेर</t>
  </si>
  <si>
    <t>Valiyana</t>
  </si>
  <si>
    <t>0811500580087526</t>
  </si>
  <si>
    <t>valiyana</t>
  </si>
  <si>
    <t>0811500580087533</t>
  </si>
  <si>
    <t>चारागाह विकास कार्य सिवाना</t>
  </si>
  <si>
    <t>THAPAN</t>
  </si>
  <si>
    <t>Thapan</t>
  </si>
  <si>
    <t>0811500580087523</t>
  </si>
  <si>
    <t xml:space="preserve">गोदन नाडी ओरण में चारागाह विकास कार्य </t>
  </si>
  <si>
    <t>चारागाह विकास कार्य नागणेची मन्दिर के पीछे </t>
  </si>
  <si>
    <t>Patodi</t>
  </si>
  <si>
    <t>BAGAWAS</t>
  </si>
  <si>
    <t>0811500579087408</t>
  </si>
  <si>
    <t>BANIYAWAS</t>
  </si>
  <si>
    <t>0811500579087461</t>
  </si>
  <si>
    <t>Meghawas</t>
  </si>
  <si>
    <t>0811500579087458</t>
  </si>
  <si>
    <t>BARNAWA JAGEER</t>
  </si>
  <si>
    <t>Barnawa Jageer</t>
  </si>
  <si>
    <t>0811500579087402</t>
  </si>
  <si>
    <t>Maulasar</t>
  </si>
  <si>
    <t>0811500579087399</t>
  </si>
  <si>
    <t>Kabeer Nagar</t>
  </si>
  <si>
    <t>0811500579087397</t>
  </si>
  <si>
    <t>Barnawa Charnan</t>
  </si>
  <si>
    <t>0811500579087396</t>
  </si>
  <si>
    <t>BHAGWANPURA</t>
  </si>
  <si>
    <t>Bhagvanpura</t>
  </si>
  <si>
    <t>0811500579087379</t>
  </si>
  <si>
    <t>0811500579087378</t>
  </si>
  <si>
    <t>Sultan Nagar</t>
  </si>
  <si>
    <t>0811500579087380</t>
  </si>
  <si>
    <t>BHAKARSAR</t>
  </si>
  <si>
    <t>Bhakharsar</t>
  </si>
  <si>
    <t>0811500579087362</t>
  </si>
  <si>
    <t>Ikadani</t>
  </si>
  <si>
    <t>0811500579087356</t>
  </si>
  <si>
    <t>Aadampura</t>
  </si>
  <si>
    <t>0811500579087357</t>
  </si>
  <si>
    <t>Koduka</t>
  </si>
  <si>
    <t>0811500579087358</t>
  </si>
  <si>
    <t>CHILANADI</t>
  </si>
  <si>
    <t>Chilanadi</t>
  </si>
  <si>
    <t>0811500579087376</t>
  </si>
  <si>
    <t>Aieenath Nagar</t>
  </si>
  <si>
    <t>0811500579087373</t>
  </si>
  <si>
    <t>Hadmatnagar</t>
  </si>
  <si>
    <t>0811500579087377</t>
  </si>
  <si>
    <t>Daukiyon Ka Tala</t>
  </si>
  <si>
    <t>0811500579087295</t>
  </si>
  <si>
    <t>Rawli Dhani</t>
  </si>
  <si>
    <t>0811500579087294</t>
  </si>
  <si>
    <t>Meraj Ki Beri</t>
  </si>
  <si>
    <t>0811500579087292</t>
  </si>
  <si>
    <t>Chausira Patiyal</t>
  </si>
  <si>
    <t>0811500579087291</t>
  </si>
  <si>
    <t>Sarnon Ki Beri</t>
  </si>
  <si>
    <t>0811500579087293</t>
  </si>
  <si>
    <t>DHURGAPURA</t>
  </si>
  <si>
    <t>0811500579087407</t>
  </si>
  <si>
    <t>Madpura</t>
  </si>
  <si>
    <t>0811500579087405</t>
  </si>
  <si>
    <t>Chogapura</t>
  </si>
  <si>
    <t>0811500579087406</t>
  </si>
  <si>
    <t>0811500579087395</t>
  </si>
  <si>
    <t>Jawahar Pura</t>
  </si>
  <si>
    <t>0811500579087390</t>
  </si>
  <si>
    <t>Nehru Nagar</t>
  </si>
  <si>
    <t>0811500579087391</t>
  </si>
  <si>
    <t>KALEWA</t>
  </si>
  <si>
    <t>Kalewa</t>
  </si>
  <si>
    <t>0811500579087298</t>
  </si>
  <si>
    <t>Wagtaniyon Ki Dhani</t>
  </si>
  <si>
    <t>0811500579087296</t>
  </si>
  <si>
    <t>0811500579087297</t>
  </si>
  <si>
    <t>Kanwarli Suraj Bera</t>
  </si>
  <si>
    <t>Kanwarli</t>
  </si>
  <si>
    <t>0811500579087300</t>
  </si>
  <si>
    <t>Gudnagar</t>
  </si>
  <si>
    <t>0811500579087374</t>
  </si>
  <si>
    <t>Suraj Bera</t>
  </si>
  <si>
    <t>0811500579087375</t>
  </si>
  <si>
    <t>0811500579087382</t>
  </si>
  <si>
    <t>Nematpura</t>
  </si>
  <si>
    <t>0811500579087381</t>
  </si>
  <si>
    <t>Indira Nagar</t>
  </si>
  <si>
    <t>0811500579087394</t>
  </si>
  <si>
    <t>KHANORA</t>
  </si>
  <si>
    <t>Khanora</t>
  </si>
  <si>
    <t>0811500579087368</t>
  </si>
  <si>
    <t>Khidupura</t>
  </si>
  <si>
    <t>0811500579087369</t>
  </si>
  <si>
    <t>Bhom Sagar</t>
  </si>
  <si>
    <t>0811500579087398</t>
  </si>
  <si>
    <t>Khardi</t>
  </si>
  <si>
    <t>0811500579087367</t>
  </si>
  <si>
    <t>Chiriyara</t>
  </si>
  <si>
    <t>0811500579087366</t>
  </si>
  <si>
    <t>Kharinadi</t>
  </si>
  <si>
    <t>Kharanada</t>
  </si>
  <si>
    <t>0811500579087465</t>
  </si>
  <si>
    <t>Sajiyali Padamsingh(Kanthwara)</t>
  </si>
  <si>
    <t>0811500579087278</t>
  </si>
  <si>
    <t>Kyar Charnan</t>
  </si>
  <si>
    <t>0811500579087299</t>
  </si>
  <si>
    <t>0811500579087284</t>
  </si>
  <si>
    <t>Sajiyali Roopji(Kanthwara)</t>
  </si>
  <si>
    <t>0811500579087289</t>
  </si>
  <si>
    <t>Lakhaniyon Ki Dhani</t>
  </si>
  <si>
    <t>0811500579087389</t>
  </si>
  <si>
    <t>Bhagatlai</t>
  </si>
  <si>
    <t>0811500579087385</t>
  </si>
  <si>
    <t>Mohanpura</t>
  </si>
  <si>
    <t>0811500579087421</t>
  </si>
  <si>
    <t>Dhoondhali</t>
  </si>
  <si>
    <t>0811500579087422</t>
  </si>
  <si>
    <t>Ekarli</t>
  </si>
  <si>
    <t>0811500579087418</t>
  </si>
  <si>
    <t>Chak Charnan</t>
  </si>
  <si>
    <t>0811500579087420</t>
  </si>
  <si>
    <t>Nerli</t>
  </si>
  <si>
    <t>0811500579087419</t>
  </si>
  <si>
    <t>Mukanpura</t>
  </si>
  <si>
    <t>0811500579087411</t>
  </si>
  <si>
    <t>Kelankot</t>
  </si>
  <si>
    <t>0811500579087413</t>
  </si>
  <si>
    <t>Sathuni Charnan</t>
  </si>
  <si>
    <t>0811500579087410</t>
  </si>
  <si>
    <t>Sathuni Purohitan</t>
  </si>
  <si>
    <t>0811500579087412</t>
  </si>
  <si>
    <t>NAVATALA</t>
  </si>
  <si>
    <t>Nawatala</t>
  </si>
  <si>
    <t>0811500579087384</t>
  </si>
  <si>
    <t>0811500579087383</t>
  </si>
  <si>
    <t>NAWODA BERA</t>
  </si>
  <si>
    <t>Nawora Bera</t>
  </si>
  <si>
    <t>0811500579087392</t>
  </si>
  <si>
    <t>0811500579087393</t>
  </si>
  <si>
    <t>Nayapura</t>
  </si>
  <si>
    <t>0811500579087404</t>
  </si>
  <si>
    <t>Moji Khan Ki Dhani</t>
  </si>
  <si>
    <t>0811500579087400</t>
  </si>
  <si>
    <t>Sadulpura</t>
  </si>
  <si>
    <t>0811500579087401</t>
  </si>
  <si>
    <t>Nayagaon</t>
  </si>
  <si>
    <t>0811500579087403</t>
  </si>
  <si>
    <t>OKATIYA BERA</t>
  </si>
  <si>
    <t>Okatiya Bera</t>
  </si>
  <si>
    <t>0811500579087388</t>
  </si>
  <si>
    <t>0811500579087386</t>
  </si>
  <si>
    <t>Kalathal</t>
  </si>
  <si>
    <t>0811500579087387</t>
  </si>
  <si>
    <t>Patasar</t>
  </si>
  <si>
    <t>0811500579087462</t>
  </si>
  <si>
    <t>PATODI</t>
  </si>
  <si>
    <t>0811500579087364</t>
  </si>
  <si>
    <t>AarambhaGoliya</t>
  </si>
  <si>
    <t>0811500579087363</t>
  </si>
  <si>
    <t>REENCHHOLI</t>
  </si>
  <si>
    <t>Reenchholi</t>
  </si>
  <si>
    <t>0811500579087359</t>
  </si>
  <si>
    <t>Goliya Vida</t>
  </si>
  <si>
    <t>0811500579087302</t>
  </si>
  <si>
    <t>0811500579087360</t>
  </si>
  <si>
    <t>Bagiya Charnan</t>
  </si>
  <si>
    <t>0811500579087301</t>
  </si>
  <si>
    <t>Mediwasan</t>
  </si>
  <si>
    <t>0811500579087361</t>
  </si>
  <si>
    <t>SAJIYALI PADAM SINGH</t>
  </si>
  <si>
    <t>Sajiyali Padamsingh-I</t>
  </si>
  <si>
    <t>0811500579087282</t>
  </si>
  <si>
    <t>Sajiyali Moolraj(Kyar)</t>
  </si>
  <si>
    <t>0811500579087279</t>
  </si>
  <si>
    <t>0811500579087285</t>
  </si>
  <si>
    <t>SAJIYALI ROOPJI RAJABERI</t>
  </si>
  <si>
    <t>Sajiyali Roopji(Rajaberi)</t>
  </si>
  <si>
    <t>0811500579087277</t>
  </si>
  <si>
    <t>Sonkaro Ki Beri</t>
  </si>
  <si>
    <t>0811500579087286</t>
  </si>
  <si>
    <t>Lumbaniya Ki Dhani</t>
  </si>
  <si>
    <t>0811500579087287</t>
  </si>
  <si>
    <t>Sajiyali Moolraj-Ii</t>
  </si>
  <si>
    <t>0811500579087288</t>
  </si>
  <si>
    <t>0811500579087290</t>
  </si>
  <si>
    <t>SAMBHRA</t>
  </si>
  <si>
    <t>Sambhra</t>
  </si>
  <si>
    <t>0811500579087276</t>
  </si>
  <si>
    <t>Bedarlai</t>
  </si>
  <si>
    <t>0811500579087308</t>
  </si>
  <si>
    <t>0811500579087303</t>
  </si>
  <si>
    <t>SANGRANADI</t>
  </si>
  <si>
    <t>Sangra Nadi</t>
  </si>
  <si>
    <t>0811500579087371</t>
  </si>
  <si>
    <t>Gundawari</t>
  </si>
  <si>
    <t>0811500579087365</t>
  </si>
  <si>
    <t>Mekaniyon Ki Dhani</t>
  </si>
  <si>
    <t>0811500579087372</t>
  </si>
  <si>
    <t>Jamatnagar</t>
  </si>
  <si>
    <t>0811500579087370</t>
  </si>
  <si>
    <t>SIMARKHIYA</t>
  </si>
  <si>
    <t>Simarkhiya</t>
  </si>
  <si>
    <t>0811500579087409</t>
  </si>
  <si>
    <t>744yes</t>
  </si>
  <si>
    <t>SINDHARI</t>
  </si>
  <si>
    <t>Ariniyali Mahechan</t>
  </si>
  <si>
    <t>0811500581087917</t>
  </si>
  <si>
    <t>Galanadi</t>
  </si>
  <si>
    <t>0811500581087918</t>
  </si>
  <si>
    <t>0811500581087916</t>
  </si>
  <si>
    <t>BAMANI</t>
  </si>
  <si>
    <t>Bamni</t>
  </si>
  <si>
    <t>0811500581087903</t>
  </si>
  <si>
    <t>Dhandh</t>
  </si>
  <si>
    <t>0811500581087904</t>
  </si>
  <si>
    <t>BANDANADA</t>
  </si>
  <si>
    <t>Sajara</t>
  </si>
  <si>
    <t>0811500581087915</t>
  </si>
  <si>
    <t>Bandanada</t>
  </si>
  <si>
    <t>0811500581087901</t>
  </si>
  <si>
    <t>Bhata</t>
  </si>
  <si>
    <t>0811500581087911</t>
  </si>
  <si>
    <t>BHOOKA BHAGATSINGH</t>
  </si>
  <si>
    <t>Derpana</t>
  </si>
  <si>
    <t>0811500581087895</t>
  </si>
  <si>
    <t>Bhooka Bhagatsingh</t>
  </si>
  <si>
    <t>0811500581087894</t>
  </si>
  <si>
    <t>Ghanchida</t>
  </si>
  <si>
    <t>0811500581087891</t>
  </si>
  <si>
    <t>BILASAR</t>
  </si>
  <si>
    <t>Gosai Nagar</t>
  </si>
  <si>
    <t>0811500581087858</t>
  </si>
  <si>
    <t>0811500581087859</t>
  </si>
  <si>
    <t>Dhanne Ki Dhani</t>
  </si>
  <si>
    <t>0811500581087860</t>
  </si>
  <si>
    <t>Bilasar</t>
  </si>
  <si>
    <t>0811500581087864</t>
  </si>
  <si>
    <t>CHADO KI DHANI</t>
  </si>
  <si>
    <t>Chandon Ki Dhani</t>
  </si>
  <si>
    <t>0811500581087914</t>
  </si>
  <si>
    <t>DAKHAN</t>
  </si>
  <si>
    <t>Dakhan</t>
  </si>
  <si>
    <t>0811500581087905</t>
  </si>
  <si>
    <t>DANDALI</t>
  </si>
  <si>
    <t>Gangli</t>
  </si>
  <si>
    <t>0811500581087875</t>
  </si>
  <si>
    <t>Dandali</t>
  </si>
  <si>
    <t>0811500581087882</t>
  </si>
  <si>
    <t>Girli Kitpal</t>
  </si>
  <si>
    <t>0811500581087881</t>
  </si>
  <si>
    <t>DHANWA</t>
  </si>
  <si>
    <t>Dhanwa</t>
  </si>
  <si>
    <t>0811500581087909</t>
  </si>
  <si>
    <t>Goliya Maheechan</t>
  </si>
  <si>
    <t>0811500581087908</t>
  </si>
  <si>
    <t>DHOORIYA MOTISINGH</t>
  </si>
  <si>
    <t>Dhooriya Motisingh</t>
  </si>
  <si>
    <t>0811500581087912</t>
  </si>
  <si>
    <t>GODARON KA SARA</t>
  </si>
  <si>
    <t>Godaron Ka Sara</t>
  </si>
  <si>
    <t>0811500578087240</t>
  </si>
  <si>
    <t>Sanpa Phanta Bhomji</t>
  </si>
  <si>
    <t>0811500578087241</t>
  </si>
  <si>
    <t>Bhatiyon Ki Der</t>
  </si>
  <si>
    <t>0811500578087239</t>
  </si>
  <si>
    <t>HODOO</t>
  </si>
  <si>
    <t>Hodoo</t>
  </si>
  <si>
    <t>0811500581087851</t>
  </si>
  <si>
    <t>Pananiyon Ka Tala</t>
  </si>
  <si>
    <t>0811500581087847</t>
  </si>
  <si>
    <t>Kerliwas</t>
  </si>
  <si>
    <t>0811500581087852</t>
  </si>
  <si>
    <t>0811500581087853</t>
  </si>
  <si>
    <t>JUNA MEETHA KHEDA</t>
  </si>
  <si>
    <t>Joona Meetha Kheera</t>
  </si>
  <si>
    <t>0811500581087910</t>
  </si>
  <si>
    <t>Bhaogiriji Ka Meetha</t>
  </si>
  <si>
    <t>0811500581087913</t>
  </si>
  <si>
    <t>KAMTHAI</t>
  </si>
  <si>
    <t>Kamthai</t>
  </si>
  <si>
    <t>0811500581087863</t>
  </si>
  <si>
    <t>Peeprala</t>
  </si>
  <si>
    <t>0811500581087872</t>
  </si>
  <si>
    <t>Nai Kamthai</t>
  </si>
  <si>
    <t>0811500581087862</t>
  </si>
  <si>
    <t>Evadi Bhimji</t>
  </si>
  <si>
    <t>0811500581087871</t>
  </si>
  <si>
    <t>Mahadevpura</t>
  </si>
  <si>
    <t>0811500581087870</t>
  </si>
  <si>
    <t>Evadi Chauseera</t>
  </si>
  <si>
    <t>0811500581087874</t>
  </si>
  <si>
    <t>KARNA</t>
  </si>
  <si>
    <t>Karna</t>
  </si>
  <si>
    <t>0811500581087887</t>
  </si>
  <si>
    <t>Pabu Bhakhri</t>
  </si>
  <si>
    <t>0811500581087886</t>
  </si>
  <si>
    <t>Girli Charnan</t>
  </si>
  <si>
    <t>0811500581087883</t>
  </si>
  <si>
    <t>Bhana Magra</t>
  </si>
  <si>
    <t>0811500581087885</t>
  </si>
  <si>
    <t>Aamjar</t>
  </si>
  <si>
    <t>0811500581087884</t>
  </si>
  <si>
    <t>KHARA MAHECHAN</t>
  </si>
  <si>
    <t>Khara Mahechan</t>
  </si>
  <si>
    <t>0811500581087902</t>
  </si>
  <si>
    <t>KHARANTIYA</t>
  </si>
  <si>
    <t>Kharntiya</t>
  </si>
  <si>
    <t>0811500578087216</t>
  </si>
  <si>
    <t>Naya Kharntiya</t>
  </si>
  <si>
    <t>0811500578087215</t>
  </si>
  <si>
    <t>Dhola Der</t>
  </si>
  <si>
    <t>0811500578087214</t>
  </si>
  <si>
    <t>Trishooliya</t>
  </si>
  <si>
    <t>0811500578087236</t>
  </si>
  <si>
    <t>Lohidi</t>
  </si>
  <si>
    <t>0811500581087892</t>
  </si>
  <si>
    <t>Kathanada</t>
  </si>
  <si>
    <t>Shahnagar</t>
  </si>
  <si>
    <t>0811500581087893</t>
  </si>
  <si>
    <t>Lookhon Ki Dhani</t>
  </si>
  <si>
    <t>0811500581087855</t>
  </si>
  <si>
    <t>Dhooriyawas</t>
  </si>
  <si>
    <t>0811500581087848</t>
  </si>
  <si>
    <t>MANAWAS</t>
  </si>
  <si>
    <t>Manawas</t>
  </si>
  <si>
    <t>0811500581087889</t>
  </si>
  <si>
    <t>Bhooka Thansingh</t>
  </si>
  <si>
    <t>0811500581087890</t>
  </si>
  <si>
    <t>Champa Bhakhri</t>
  </si>
  <si>
    <t>0811500581087888</t>
  </si>
  <si>
    <t>Nakora</t>
  </si>
  <si>
    <t>0811500581087897</t>
  </si>
  <si>
    <t>Gehunwali Nadi</t>
  </si>
  <si>
    <t>0811500581087900</t>
  </si>
  <si>
    <t>Lohira</t>
  </si>
  <si>
    <t>0811500581087896</t>
  </si>
  <si>
    <t>SAMDARON KA TALA</t>
  </si>
  <si>
    <t>Samdaron Ka Tala</t>
  </si>
  <si>
    <t>0811500581087854</t>
  </si>
  <si>
    <t>Meethiyawas</t>
  </si>
  <si>
    <t>0811500581087849</t>
  </si>
  <si>
    <t>Potliyon Ki Dhani</t>
  </si>
  <si>
    <t>0811500581087856</t>
  </si>
  <si>
    <t>SANPA MANJI</t>
  </si>
  <si>
    <t>Sanpa Manji</t>
  </si>
  <si>
    <t>0811500578087238</t>
  </si>
  <si>
    <t>0811500578087237</t>
  </si>
  <si>
    <t>Sajan Ki Dhani</t>
  </si>
  <si>
    <t>0811500578087235</t>
  </si>
  <si>
    <t>Sarno Ka Tala</t>
  </si>
  <si>
    <t>0811500581087850</t>
  </si>
  <si>
    <t>Jeroo Paniyon Ka Tala</t>
  </si>
  <si>
    <t>0811500581087857</t>
  </si>
  <si>
    <t>SEOREN KI DHANI</t>
  </si>
  <si>
    <t>Seoron Ki Dhnai</t>
  </si>
  <si>
    <t>0811500581087876</t>
  </si>
  <si>
    <t>Evadi Manji</t>
  </si>
  <si>
    <t>0811500581087873</t>
  </si>
  <si>
    <t>Sareli Ki Dhani</t>
  </si>
  <si>
    <t>0811500581087877</t>
  </si>
  <si>
    <t>0811500581087878</t>
  </si>
  <si>
    <t>Jharokha</t>
  </si>
  <si>
    <t>0811500581087880</t>
  </si>
  <si>
    <t>Baori Khurd</t>
  </si>
  <si>
    <t>0811500581087879</t>
  </si>
  <si>
    <t>Sindhari Charnan</t>
  </si>
  <si>
    <t>Sindari Charnan</t>
  </si>
  <si>
    <t>0811500581087899</t>
  </si>
  <si>
    <t>Gadesara</t>
  </si>
  <si>
    <t>0811500581087920</t>
  </si>
  <si>
    <t>Sindhari Chuaseera</t>
  </si>
  <si>
    <t>Sindari Chaseera</t>
  </si>
  <si>
    <t>0811500581087898</t>
  </si>
  <si>
    <t>Sindari @ Ber</t>
  </si>
  <si>
    <t>0811500581087861</t>
  </si>
  <si>
    <t>TAKOOBERI</t>
  </si>
  <si>
    <t>Takooberi</t>
  </si>
  <si>
    <t>0811500581087865</t>
  </si>
  <si>
    <t>Shakti Nagar</t>
  </si>
  <si>
    <t>0811500581087866</t>
  </si>
  <si>
    <t>Shiv Nagar Takoo</t>
  </si>
  <si>
    <t>0811500581087867</t>
  </si>
  <si>
    <t>Nai Raneri</t>
  </si>
  <si>
    <t>0811500581087869</t>
  </si>
  <si>
    <t>Raneri</t>
  </si>
  <si>
    <t>0811500581087868</t>
  </si>
  <si>
    <t>UCHIYA</t>
  </si>
  <si>
    <t>Uchiya</t>
  </si>
  <si>
    <t>0811500581087906</t>
  </si>
  <si>
    <t>Chodhariyon Ki Dhani</t>
  </si>
  <si>
    <t>0811500581087907</t>
  </si>
  <si>
    <t>o.3802</t>
  </si>
  <si>
    <t>0,6472</t>
  </si>
  <si>
    <t>o</t>
  </si>
  <si>
    <t>Yes</t>
  </si>
  <si>
    <t>P1/L1</t>
  </si>
  <si>
    <t>P1/L2</t>
  </si>
  <si>
    <t>P2/L2</t>
  </si>
  <si>
    <t>P3/L3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</si>
</sst>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[$-409]dd\-mmm\-yyyy"/>
    <numFmt numFmtId="166" formatCode="dd\-mmm\-yyyy"/>
  </numFmts>
  <fonts count="4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000000"/>
      <name val="Tahoma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Tahom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Tahoma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Times New Roman"/>
      <family val="1"/>
    </font>
    <font>
      <sz val="11"/>
      <color rgb="FF000000"/>
      <name val="Verdana"/>
      <family val="2"/>
    </font>
    <font>
      <sz val="10"/>
      <name val="Calibri"/>
      <family val="2"/>
      <scheme val="minor"/>
    </font>
    <font>
      <sz val="9"/>
      <color rgb="FF212529"/>
      <name val="Segoe UI"/>
      <family val="2"/>
    </font>
    <font>
      <sz val="8"/>
      <color theme="1"/>
      <name val="Verdana"/>
      <family val="2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0"/>
      <color rgb="FF000000"/>
      <name val="Verdana"/>
      <family val="2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sz val="8"/>
      <color rgb="FF000000"/>
      <name val="Verdana"/>
      <family val="2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212529"/>
      <name val="Calibri"/>
      <family val="2"/>
    </font>
    <font>
      <sz val="9"/>
      <color rgb="FF000000"/>
      <name val="Verdana"/>
      <family val="2"/>
    </font>
    <font>
      <sz val="9"/>
      <color rgb="FF000000"/>
      <name val="Times New Roman"/>
      <family val="1"/>
    </font>
    <font>
      <sz val="11"/>
      <color theme="1"/>
      <name val="Tahoma"/>
      <family val="2"/>
    </font>
    <font>
      <sz val="10"/>
      <color rgb="FF000000"/>
      <name val="Times New Roman"/>
      <family val="1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color indexed="72"/>
      <name val="Arial"/>
      <family val="2"/>
    </font>
    <font>
      <sz val="10"/>
      <color rgb="FF000000"/>
      <name val="Helvetica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164" fontId="3" fillId="0" borderId="0" applyFont="0" applyFill="0" applyBorder="0" applyAlignment="0" applyProtection="0"/>
    <xf numFmtId="0" fontId="3" fillId="0" borderId="0"/>
  </cellStyleXfs>
  <cellXfs count="266">
    <xf numFmtId="0" fontId="0" fillId="0" borderId="0" xfId="0"/>
    <xf numFmtId="0" fontId="12" fillId="2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top"/>
    </xf>
    <xf numFmtId="0" fontId="12" fillId="2" borderId="1" xfId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12" fillId="2" borderId="1" xfId="0" applyNumberFormat="1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/>
    </xf>
    <xf numFmtId="14" fontId="12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15" fillId="2" borderId="1" xfId="3" applyNumberFormat="1" applyFont="1" applyFill="1" applyBorder="1" applyAlignment="1">
      <alignment horizontal="center"/>
    </xf>
    <xf numFmtId="0" fontId="15" fillId="2" borderId="1" xfId="3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2" borderId="1" xfId="2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14" fontId="6" fillId="2" borderId="1" xfId="1" applyNumberForma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14" fontId="3" fillId="2" borderId="1" xfId="3" applyNumberFormat="1" applyFill="1" applyBorder="1" applyAlignment="1">
      <alignment horizontal="center"/>
    </xf>
    <xf numFmtId="14" fontId="20" fillId="2" borderId="1" xfId="3" applyNumberFormat="1" applyFont="1" applyFill="1" applyBorder="1" applyAlignment="1">
      <alignment horizontal="center"/>
    </xf>
    <xf numFmtId="14" fontId="3" fillId="2" borderId="1" xfId="3" applyNumberForma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/>
    </xf>
    <xf numFmtId="14" fontId="2" fillId="2" borderId="1" xfId="3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top"/>
    </xf>
    <xf numFmtId="14" fontId="12" fillId="2" borderId="1" xfId="3" applyNumberFormat="1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1" fillId="2" borderId="1" xfId="2" applyFont="1" applyFill="1" applyBorder="1" applyAlignment="1">
      <alignment horizontal="center" wrapText="1"/>
    </xf>
    <xf numFmtId="0" fontId="11" fillId="2" borderId="1" xfId="2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top"/>
    </xf>
    <xf numFmtId="1" fontId="3" fillId="2" borderId="1" xfId="3" applyNumberFormat="1" applyFill="1" applyBorder="1" applyAlignment="1">
      <alignment horizontal="center"/>
    </xf>
    <xf numFmtId="0" fontId="11" fillId="2" borderId="1" xfId="2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center" vertical="top"/>
    </xf>
    <xf numFmtId="1" fontId="3" fillId="2" borderId="1" xfId="3" applyNumberFormat="1" applyFill="1" applyBorder="1" applyAlignment="1">
      <alignment horizontal="center" vertical="top"/>
    </xf>
    <xf numFmtId="0" fontId="25" fillId="2" borderId="1" xfId="0" applyFont="1" applyFill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top"/>
    </xf>
    <xf numFmtId="1" fontId="20" fillId="2" borderId="1" xfId="3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top"/>
    </xf>
    <xf numFmtId="1" fontId="0" fillId="2" borderId="1" xfId="0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3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2" borderId="1" xfId="3" applyFont="1" applyFill="1" applyBorder="1" applyAlignment="1">
      <alignment horizontal="center" vertical="top"/>
    </xf>
    <xf numFmtId="1" fontId="20" fillId="2" borderId="1" xfId="0" applyNumberFormat="1" applyFont="1" applyFill="1" applyBorder="1" applyAlignment="1">
      <alignment horizontal="center"/>
    </xf>
    <xf numFmtId="1" fontId="8" fillId="2" borderId="1" xfId="3" applyNumberFormat="1" applyFont="1" applyFill="1" applyBorder="1" applyAlignment="1">
      <alignment horizontal="center" vertical="top"/>
    </xf>
    <xf numFmtId="0" fontId="31" fillId="2" borderId="1" xfId="0" applyFont="1" applyFill="1" applyBorder="1" applyAlignment="1">
      <alignment horizontal="center"/>
    </xf>
    <xf numFmtId="1" fontId="8" fillId="2" borderId="1" xfId="3" applyNumberFormat="1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 vertical="top"/>
    </xf>
    <xf numFmtId="0" fontId="33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top" wrapText="1"/>
    </xf>
    <xf numFmtId="1" fontId="3" fillId="2" borderId="1" xfId="3" applyNumberFormat="1" applyFont="1" applyFill="1" applyBorder="1" applyAlignment="1">
      <alignment horizontal="center" vertical="top"/>
    </xf>
    <xf numFmtId="0" fontId="3" fillId="2" borderId="1" xfId="3" applyFill="1" applyBorder="1" applyAlignment="1">
      <alignment horizontal="center" vertical="top"/>
    </xf>
    <xf numFmtId="0" fontId="25" fillId="2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14" fontId="15" fillId="2" borderId="1" xfId="0" applyNumberFormat="1" applyFont="1" applyFill="1" applyBorder="1" applyAlignment="1">
      <alignment horizontal="center"/>
    </xf>
    <xf numFmtId="0" fontId="17" fillId="2" borderId="1" xfId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4" fontId="9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wrapText="1"/>
    </xf>
    <xf numFmtId="0" fontId="11" fillId="2" borderId="1" xfId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top"/>
    </xf>
    <xf numFmtId="0" fontId="21" fillId="2" borderId="1" xfId="2" applyFont="1" applyFill="1" applyBorder="1" applyAlignment="1">
      <alignment horizontal="center" vertical="top" wrapText="1"/>
    </xf>
    <xf numFmtId="14" fontId="20" fillId="2" borderId="1" xfId="0" applyNumberFormat="1" applyFont="1" applyFill="1" applyBorder="1" applyAlignment="1">
      <alignment horizontal="center" vertical="top"/>
    </xf>
    <xf numFmtId="0" fontId="21" fillId="2" borderId="1" xfId="2" applyFont="1" applyFill="1" applyBorder="1" applyAlignment="1">
      <alignment horizontal="center" vertical="top"/>
    </xf>
    <xf numFmtId="0" fontId="23" fillId="2" borderId="1" xfId="2" applyFont="1" applyFill="1" applyBorder="1" applyAlignment="1">
      <alignment horizontal="center" vertical="top"/>
    </xf>
    <xf numFmtId="1" fontId="20" fillId="2" borderId="1" xfId="0" applyNumberFormat="1" applyFont="1" applyFill="1" applyBorder="1" applyAlignment="1">
      <alignment horizontal="center" vertical="top"/>
    </xf>
    <xf numFmtId="0" fontId="20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center" wrapText="1"/>
    </xf>
    <xf numFmtId="0" fontId="24" fillId="2" borderId="1" xfId="3" applyFont="1" applyFill="1" applyBorder="1" applyAlignment="1">
      <alignment horizontal="center" vertical="top" wrapText="1"/>
    </xf>
    <xf numFmtId="14" fontId="12" fillId="2" borderId="1" xfId="2" applyNumberFormat="1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/>
    </xf>
    <xf numFmtId="0" fontId="22" fillId="2" borderId="1" xfId="2" applyFont="1" applyFill="1" applyBorder="1" applyAlignment="1">
      <alignment horizontal="center" wrapText="1"/>
    </xf>
    <xf numFmtId="0" fontId="22" fillId="2" borderId="1" xfId="2" applyFont="1" applyFill="1" applyBorder="1" applyAlignment="1">
      <alignment horizontal="center" vertical="center"/>
    </xf>
    <xf numFmtId="0" fontId="22" fillId="2" borderId="1" xfId="2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top"/>
    </xf>
    <xf numFmtId="14" fontId="12" fillId="2" borderId="1" xfId="2" applyNumberFormat="1" applyFont="1" applyFill="1" applyBorder="1" applyAlignment="1">
      <alignment horizontal="center" vertical="top"/>
    </xf>
    <xf numFmtId="0" fontId="11" fillId="2" borderId="1" xfId="3" applyFont="1" applyFill="1" applyBorder="1" applyAlignment="1">
      <alignment horizontal="center"/>
    </xf>
    <xf numFmtId="14" fontId="28" fillId="2" borderId="1" xfId="0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 wrapText="1"/>
    </xf>
    <xf numFmtId="0" fontId="14" fillId="2" borderId="1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wrapText="1"/>
    </xf>
    <xf numFmtId="14" fontId="20" fillId="2" borderId="1" xfId="0" applyNumberFormat="1" applyFont="1" applyFill="1" applyBorder="1" applyAlignment="1">
      <alignment horizontal="center"/>
    </xf>
    <xf numFmtId="0" fontId="21" fillId="2" borderId="1" xfId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2" borderId="1" xfId="1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 wrapText="1"/>
    </xf>
    <xf numFmtId="0" fontId="14" fillId="2" borderId="1" xfId="1" applyFont="1" applyFill="1" applyBorder="1" applyAlignment="1">
      <alignment horizontal="center" vertical="top" wrapText="1"/>
    </xf>
    <xf numFmtId="14" fontId="15" fillId="2" borderId="1" xfId="0" applyNumberFormat="1" applyFont="1" applyFill="1" applyBorder="1" applyAlignment="1">
      <alignment horizontal="center" vertical="top"/>
    </xf>
    <xf numFmtId="0" fontId="14" fillId="2" borderId="1" xfId="1" applyFont="1" applyFill="1" applyBorder="1" applyAlignment="1">
      <alignment horizontal="center" vertical="top"/>
    </xf>
    <xf numFmtId="0" fontId="17" fillId="2" borderId="1" xfId="1" applyFont="1" applyFill="1" applyBorder="1" applyAlignment="1">
      <alignment horizontal="center" vertical="top"/>
    </xf>
    <xf numFmtId="0" fontId="14" fillId="2" borderId="1" xfId="3" applyFont="1" applyFill="1" applyBorder="1" applyAlignment="1">
      <alignment horizontal="center" vertical="top"/>
    </xf>
    <xf numFmtId="14" fontId="15" fillId="2" borderId="1" xfId="3" applyNumberFormat="1" applyFont="1" applyFill="1" applyBorder="1" applyAlignment="1">
      <alignment horizontal="center" vertical="top"/>
    </xf>
    <xf numFmtId="0" fontId="14" fillId="2" borderId="1" xfId="2" applyFont="1" applyFill="1" applyBorder="1" applyAlignment="1">
      <alignment horizontal="center" vertical="top"/>
    </xf>
    <xf numFmtId="0" fontId="17" fillId="2" borderId="1" xfId="2" applyFont="1" applyFill="1" applyBorder="1" applyAlignment="1">
      <alignment horizontal="center" vertical="top"/>
    </xf>
    <xf numFmtId="0" fontId="7" fillId="2" borderId="1" xfId="2" applyFont="1" applyFill="1" applyBorder="1" applyAlignment="1">
      <alignment horizontal="center" vertical="top" wrapText="1"/>
    </xf>
    <xf numFmtId="14" fontId="8" fillId="2" borderId="1" xfId="3" applyNumberFormat="1" applyFont="1" applyFill="1" applyBorder="1" applyAlignment="1">
      <alignment horizontal="center" vertical="top"/>
    </xf>
    <xf numFmtId="0" fontId="7" fillId="2" borderId="1" xfId="2" applyFont="1" applyFill="1" applyBorder="1" applyAlignment="1">
      <alignment horizontal="center" vertical="top"/>
    </xf>
    <xf numFmtId="0" fontId="10" fillId="2" borderId="1" xfId="2" applyFont="1" applyFill="1" applyBorder="1" applyAlignment="1">
      <alignment horizontal="center" vertical="top"/>
    </xf>
    <xf numFmtId="0" fontId="21" fillId="2" borderId="1" xfId="0" applyFont="1" applyFill="1" applyBorder="1" applyAlignment="1">
      <alignment horizontal="center"/>
    </xf>
    <xf numFmtId="14" fontId="22" fillId="2" borderId="1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wrapText="1"/>
    </xf>
    <xf numFmtId="0" fontId="21" fillId="2" borderId="1" xfId="2" applyFont="1" applyFill="1" applyBorder="1" applyAlignment="1">
      <alignment horizontal="center" vertical="center"/>
    </xf>
    <xf numFmtId="0" fontId="23" fillId="2" borderId="1" xfId="2" applyFont="1" applyFill="1" applyBorder="1" applyAlignment="1">
      <alignment horizontal="center"/>
    </xf>
    <xf numFmtId="0" fontId="20" fillId="2" borderId="1" xfId="3" applyFont="1" applyFill="1" applyBorder="1" applyAlignment="1">
      <alignment horizontal="center"/>
    </xf>
    <xf numFmtId="0" fontId="21" fillId="2" borderId="1" xfId="2" applyFont="1" applyFill="1" applyBorder="1" applyAlignment="1">
      <alignment horizontal="center"/>
    </xf>
    <xf numFmtId="0" fontId="16" fillId="2" borderId="1" xfId="1" applyFont="1" applyFill="1" applyBorder="1" applyAlignment="1">
      <alignment horizontal="center"/>
    </xf>
    <xf numFmtId="0" fontId="16" fillId="2" borderId="1" xfId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wrapText="1"/>
    </xf>
    <xf numFmtId="14" fontId="8" fillId="2" borderId="1" xfId="3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top" wrapText="1"/>
    </xf>
    <xf numFmtId="14" fontId="8" fillId="2" borderId="1" xfId="0" applyNumberFormat="1" applyFont="1" applyFill="1" applyBorder="1" applyAlignment="1">
      <alignment horizontal="center" vertical="top"/>
    </xf>
    <xf numFmtId="0" fontId="7" fillId="2" borderId="1" xfId="1" applyFont="1" applyFill="1" applyBorder="1" applyAlignment="1">
      <alignment horizontal="center" vertical="top"/>
    </xf>
    <xf numFmtId="0" fontId="10" fillId="2" borderId="1" xfId="1" applyFont="1" applyFill="1" applyBorder="1" applyAlignment="1">
      <alignment horizontal="center" vertical="top"/>
    </xf>
    <xf numFmtId="0" fontId="7" fillId="2" borderId="1" xfId="3" applyFont="1" applyFill="1" applyBorder="1" applyAlignment="1">
      <alignment horizontal="center"/>
    </xf>
    <xf numFmtId="14" fontId="9" fillId="2" borderId="1" xfId="3" applyNumberFormat="1" applyFont="1" applyFill="1" applyBorder="1" applyAlignment="1">
      <alignment horizontal="center"/>
    </xf>
    <xf numFmtId="0" fontId="14" fillId="2" borderId="1" xfId="2" applyFont="1" applyFill="1" applyBorder="1" applyAlignment="1">
      <alignment horizontal="center" wrapText="1"/>
    </xf>
    <xf numFmtId="0" fontId="14" fillId="2" borderId="1" xfId="2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/>
    </xf>
    <xf numFmtId="14" fontId="33" fillId="2" borderId="1" xfId="0" applyNumberFormat="1" applyFont="1" applyFill="1" applyBorder="1" applyAlignment="1">
      <alignment horizontal="center"/>
    </xf>
    <xf numFmtId="14" fontId="9" fillId="2" borderId="1" xfId="2" applyNumberFormat="1" applyFont="1" applyFill="1" applyBorder="1" applyAlignment="1">
      <alignment horizontal="center"/>
    </xf>
    <xf numFmtId="1" fontId="15" fillId="2" borderId="1" xfId="3" applyNumberFormat="1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4" fontId="36" fillId="2" borderId="1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14" fontId="11" fillId="2" borderId="1" xfId="1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0" fillId="2" borderId="1" xfId="3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top"/>
    </xf>
    <xf numFmtId="14" fontId="22" fillId="2" borderId="1" xfId="0" applyNumberFormat="1" applyFont="1" applyFill="1" applyBorder="1" applyAlignment="1">
      <alignment horizontal="center" vertical="top"/>
    </xf>
    <xf numFmtId="0" fontId="21" fillId="2" borderId="1" xfId="0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horizontal="center" vertical="top"/>
    </xf>
    <xf numFmtId="0" fontId="24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14" fontId="22" fillId="2" borderId="1" xfId="2" applyNumberFormat="1" applyFont="1" applyFill="1" applyBorder="1" applyAlignment="1">
      <alignment horizontal="center" vertical="top"/>
    </xf>
    <xf numFmtId="14" fontId="22" fillId="2" borderId="1" xfId="2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 vertical="top"/>
    </xf>
    <xf numFmtId="14" fontId="20" fillId="2" borderId="1" xfId="0" applyNumberFormat="1" applyFont="1" applyFill="1" applyBorder="1" applyAlignment="1">
      <alignment horizontal="center" vertical="center"/>
    </xf>
    <xf numFmtId="14" fontId="6" fillId="2" borderId="1" xfId="2" applyNumberForma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top"/>
    </xf>
    <xf numFmtId="14" fontId="3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27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14" fontId="38" fillId="2" borderId="1" xfId="0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top" wrapText="1"/>
    </xf>
    <xf numFmtId="0" fontId="11" fillId="2" borderId="1" xfId="1" applyFont="1" applyFill="1" applyBorder="1" applyAlignment="1">
      <alignment horizontal="center" vertical="top"/>
    </xf>
    <xf numFmtId="0" fontId="13" fillId="2" borderId="1" xfId="1" applyFont="1" applyFill="1" applyBorder="1" applyAlignment="1">
      <alignment horizontal="center" vertical="top"/>
    </xf>
    <xf numFmtId="0" fontId="18" fillId="2" borderId="1" xfId="3" applyFont="1" applyFill="1" applyBorder="1" applyAlignment="1">
      <alignment horizontal="center" vertical="center" wrapText="1"/>
    </xf>
    <xf numFmtId="0" fontId="11" fillId="2" borderId="1" xfId="3" applyFont="1" applyFill="1" applyBorder="1" applyAlignment="1">
      <alignment horizontal="center" vertical="top"/>
    </xf>
    <xf numFmtId="14" fontId="12" fillId="2" borderId="1" xfId="1" applyNumberFormat="1" applyFont="1" applyFill="1" applyBorder="1" applyAlignment="1">
      <alignment horizontal="center" vertical="top"/>
    </xf>
    <xf numFmtId="1" fontId="0" fillId="2" borderId="1" xfId="0" applyNumberFormat="1" applyFill="1" applyBorder="1" applyAlignment="1">
      <alignment horizontal="center" wrapText="1"/>
    </xf>
    <xf numFmtId="0" fontId="39" fillId="2" borderId="1" xfId="0" applyFont="1" applyFill="1" applyBorder="1" applyAlignment="1">
      <alignment horizontal="center" vertical="top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top" wrapText="1"/>
    </xf>
    <xf numFmtId="0" fontId="40" fillId="2" borderId="1" xfId="0" applyFont="1" applyFill="1" applyBorder="1" applyAlignment="1">
      <alignment horizontal="center" vertical="top" wrapText="1"/>
    </xf>
    <xf numFmtId="0" fontId="42" fillId="2" borderId="1" xfId="3" applyFont="1" applyFill="1" applyBorder="1" applyAlignment="1">
      <alignment horizontal="center"/>
    </xf>
    <xf numFmtId="14" fontId="26" fillId="2" borderId="1" xfId="0" applyNumberFormat="1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 vertical="center" wrapText="1"/>
    </xf>
    <xf numFmtId="14" fontId="44" fillId="2" borderId="1" xfId="0" applyNumberFormat="1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 wrapText="1"/>
    </xf>
    <xf numFmtId="14" fontId="9" fillId="2" borderId="1" xfId="0" applyNumberFormat="1" applyFont="1" applyFill="1" applyBorder="1" applyAlignment="1">
      <alignment horizontal="center" wrapText="1"/>
    </xf>
    <xf numFmtId="14" fontId="15" fillId="2" borderId="1" xfId="0" applyNumberFormat="1" applyFont="1" applyFill="1" applyBorder="1" applyAlignment="1">
      <alignment horizontal="center" vertical="center"/>
    </xf>
    <xf numFmtId="2" fontId="12" fillId="2" borderId="1" xfId="1" applyNumberFormat="1" applyFont="1" applyFill="1" applyBorder="1" applyAlignment="1">
      <alignment horizontal="center"/>
    </xf>
    <xf numFmtId="0" fontId="9" fillId="2" borderId="1" xfId="1" applyNumberFormat="1" applyFont="1" applyFill="1" applyBorder="1" applyAlignment="1">
      <alignment horizontal="center"/>
    </xf>
    <xf numFmtId="0" fontId="12" fillId="2" borderId="1" xfId="1" applyNumberFormat="1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5" fillId="2" borderId="1" xfId="3" applyFont="1" applyFill="1" applyBorder="1" applyAlignment="1">
      <alignment horizontal="center" vertical="center"/>
    </xf>
    <xf numFmtId="0" fontId="3" fillId="2" borderId="1" xfId="3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 wrapText="1"/>
    </xf>
    <xf numFmtId="0" fontId="10" fillId="2" borderId="1" xfId="1" applyNumberFormat="1" applyFont="1" applyFill="1" applyBorder="1" applyAlignment="1">
      <alignment horizontal="center"/>
    </xf>
    <xf numFmtId="0" fontId="6" fillId="2" borderId="1" xfId="1" applyFill="1" applyBorder="1" applyAlignment="1">
      <alignment horizontal="center"/>
    </xf>
    <xf numFmtId="0" fontId="11" fillId="2" borderId="1" xfId="3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wrapText="1"/>
    </xf>
    <xf numFmtId="0" fontId="8" fillId="2" borderId="1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5" fontId="47" fillId="2" borderId="1" xfId="0" applyNumberFormat="1" applyFont="1" applyFill="1" applyBorder="1" applyAlignment="1">
      <alignment horizontal="center" wrapText="1"/>
    </xf>
    <xf numFmtId="166" fontId="46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8" fillId="2" borderId="1" xfId="0" applyNumberFormat="1" applyFont="1" applyFill="1" applyBorder="1" applyAlignment="1">
      <alignment wrapText="1"/>
    </xf>
    <xf numFmtId="0" fontId="48" fillId="2" borderId="1" xfId="0" applyNumberFormat="1" applyFont="1" applyFill="1" applyBorder="1" applyAlignment="1">
      <alignment horizontal="center" wrapText="1"/>
    </xf>
    <xf numFmtId="0" fontId="48" fillId="0" borderId="1" xfId="0" applyNumberFormat="1" applyFont="1" applyBorder="1"/>
  </cellXfs>
  <cellStyles count="6">
    <cellStyle name="Comma 2" xfId="4"/>
    <cellStyle name="Normal" xfId="0" builtinId="0"/>
    <cellStyle name="Normal 2 2" xfId="1"/>
    <cellStyle name="Normal 2 2 2" xfId="2"/>
    <cellStyle name="Normal 3" xfId="3"/>
    <cellStyle name="Normal 5" xfId="5"/>
  </cellStyles>
  <dxfs count="9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5216"/>
  <sheetViews>
    <sheetView tabSelected="1" topLeftCell="N1" workbookViewId="0">
      <selection activeCell="S10" sqref="S10"/>
    </sheetView>
  </sheetViews>
  <sheetFormatPr defaultRowHeight="15" x14ac:dyDescent="0.25"/>
  <cols>
    <col min="1" max="1" width="11" style="11" customWidth="1"/>
    <col min="2" max="2" width="13.42578125" style="11" customWidth="1"/>
    <col min="3" max="3" width="17" style="11" customWidth="1"/>
    <col min="4" max="5" width="22.140625" style="11" customWidth="1"/>
    <col min="6" max="6" width="17.28515625" style="11" customWidth="1"/>
    <col min="7" max="7" width="12.5703125" style="11" customWidth="1"/>
    <col min="8" max="8" width="12.28515625" style="11" customWidth="1"/>
    <col min="9" max="9" width="10.85546875" style="11" customWidth="1"/>
    <col min="10" max="10" width="9.140625" style="11" customWidth="1"/>
    <col min="11" max="12" width="14.5703125" style="11" customWidth="1"/>
    <col min="13" max="14" width="15.5703125" style="11" customWidth="1"/>
    <col min="15" max="15" width="14.7109375" style="11" customWidth="1"/>
    <col min="16" max="16" width="15.42578125" style="11" customWidth="1"/>
    <col min="17" max="17" width="23.5703125" style="11" customWidth="1"/>
    <col min="18" max="18" width="15" style="11" customWidth="1"/>
    <col min="19" max="19" width="17.7109375" style="11" customWidth="1"/>
    <col min="20" max="25" width="19.7109375" style="11" customWidth="1"/>
    <col min="26" max="26" width="14.28515625" style="11" customWidth="1"/>
    <col min="27" max="27" width="19.28515625" style="11" customWidth="1"/>
    <col min="28" max="28" width="17" style="11" customWidth="1"/>
    <col min="29" max="29" width="28.28515625" style="11" customWidth="1"/>
    <col min="30" max="30" width="9.140625" style="11"/>
    <col min="31" max="31" width="13.85546875" style="11" customWidth="1"/>
    <col min="32" max="16384" width="9.140625" style="11"/>
  </cols>
  <sheetData>
    <row r="1" spans="1:31" x14ac:dyDescent="0.25">
      <c r="A1" s="262"/>
      <c r="Q1" s="263" t="s">
        <v>6376</v>
      </c>
      <c r="R1" s="263" t="s">
        <v>6376</v>
      </c>
      <c r="S1" s="263" t="s">
        <v>6377</v>
      </c>
      <c r="T1" s="264" t="s">
        <v>6378</v>
      </c>
      <c r="U1" s="263" t="s">
        <v>6378</v>
      </c>
      <c r="V1" s="263" t="s">
        <v>6378</v>
      </c>
      <c r="W1" s="263" t="s">
        <v>6378</v>
      </c>
      <c r="X1" s="263" t="s">
        <v>6378</v>
      </c>
      <c r="Y1" s="263" t="s">
        <v>6378</v>
      </c>
      <c r="Z1" s="265" t="s">
        <v>6379</v>
      </c>
      <c r="AA1" s="265" t="s">
        <v>6379</v>
      </c>
      <c r="AB1" s="265" t="s">
        <v>6379</v>
      </c>
      <c r="AC1" s="265" t="s">
        <v>6379</v>
      </c>
      <c r="AD1" s="265" t="s">
        <v>6379</v>
      </c>
      <c r="AE1" s="265" t="s">
        <v>6379</v>
      </c>
    </row>
    <row r="2" spans="1:31" s="250" customFormat="1" ht="82.5" customHeight="1" x14ac:dyDescent="0.25">
      <c r="A2" s="259" t="s">
        <v>0</v>
      </c>
      <c r="B2" s="258" t="s">
        <v>1</v>
      </c>
      <c r="C2" s="258" t="s">
        <v>2</v>
      </c>
      <c r="D2" s="258" t="s">
        <v>3</v>
      </c>
      <c r="E2" s="258" t="s">
        <v>4</v>
      </c>
      <c r="F2" s="247" t="s">
        <v>5</v>
      </c>
      <c r="G2" s="247" t="s">
        <v>6</v>
      </c>
      <c r="H2" s="247" t="s">
        <v>7</v>
      </c>
      <c r="I2" s="247" t="s">
        <v>8</v>
      </c>
      <c r="J2" s="247" t="s">
        <v>9</v>
      </c>
      <c r="K2" s="258" t="s">
        <v>10</v>
      </c>
      <c r="L2" s="258"/>
      <c r="M2" s="258" t="s">
        <v>11</v>
      </c>
      <c r="N2" s="258"/>
      <c r="O2" s="248" t="s">
        <v>13</v>
      </c>
      <c r="P2" s="247" t="s">
        <v>12</v>
      </c>
      <c r="Q2" s="253" t="s">
        <v>14</v>
      </c>
      <c r="R2" s="253" t="s">
        <v>15</v>
      </c>
      <c r="S2" s="253" t="s">
        <v>16</v>
      </c>
      <c r="T2" s="254" t="s">
        <v>17</v>
      </c>
      <c r="U2" s="253" t="s">
        <v>18</v>
      </c>
      <c r="V2" s="254" t="s">
        <v>19</v>
      </c>
      <c r="W2" s="248" t="s">
        <v>20</v>
      </c>
      <c r="X2" s="248" t="s">
        <v>21</v>
      </c>
      <c r="Y2" s="249" t="s">
        <v>22</v>
      </c>
      <c r="Z2" s="249" t="s">
        <v>23</v>
      </c>
      <c r="AA2" s="249" t="s">
        <v>24</v>
      </c>
      <c r="AB2" s="249" t="s">
        <v>25</v>
      </c>
      <c r="AC2" s="249" t="s">
        <v>26</v>
      </c>
      <c r="AD2" s="257" t="s">
        <v>27</v>
      </c>
      <c r="AE2" s="257"/>
    </row>
    <row r="3" spans="1:31" s="250" customFormat="1" ht="30" customHeight="1" x14ac:dyDescent="0.25">
      <c r="A3" s="260"/>
      <c r="B3" s="258"/>
      <c r="C3" s="258"/>
      <c r="D3" s="258"/>
      <c r="E3" s="258"/>
      <c r="F3" s="248" t="s">
        <v>28</v>
      </c>
      <c r="G3" s="248" t="s">
        <v>29</v>
      </c>
      <c r="H3" s="248" t="s">
        <v>29</v>
      </c>
      <c r="I3" s="248" t="s">
        <v>29</v>
      </c>
      <c r="J3" s="248" t="s">
        <v>29</v>
      </c>
      <c r="K3" s="247" t="s">
        <v>29</v>
      </c>
      <c r="L3" s="248" t="s">
        <v>30</v>
      </c>
      <c r="M3" s="247" t="s">
        <v>29</v>
      </c>
      <c r="N3" s="248" t="s">
        <v>30</v>
      </c>
      <c r="O3" s="248" t="s">
        <v>28</v>
      </c>
      <c r="P3" s="248" t="s">
        <v>28</v>
      </c>
      <c r="Q3" s="253" t="s">
        <v>31</v>
      </c>
      <c r="R3" s="253" t="s">
        <v>32</v>
      </c>
      <c r="S3" s="253" t="s">
        <v>28</v>
      </c>
      <c r="T3" s="254" t="s">
        <v>28</v>
      </c>
      <c r="U3" s="253" t="s">
        <v>28</v>
      </c>
      <c r="V3" s="253" t="s">
        <v>31</v>
      </c>
      <c r="W3" s="249" t="s">
        <v>31</v>
      </c>
      <c r="X3" s="249" t="s">
        <v>31</v>
      </c>
      <c r="Y3" s="249" t="s">
        <v>28</v>
      </c>
      <c r="Z3" s="249" t="s">
        <v>31</v>
      </c>
      <c r="AA3" s="249" t="s">
        <v>31</v>
      </c>
      <c r="AB3" s="249" t="s">
        <v>28</v>
      </c>
      <c r="AC3" s="248" t="s">
        <v>33</v>
      </c>
      <c r="AD3" s="249" t="s">
        <v>34</v>
      </c>
      <c r="AE3" s="249" t="s">
        <v>35</v>
      </c>
    </row>
    <row r="4" spans="1:31" x14ac:dyDescent="0.25">
      <c r="A4" s="38" t="s">
        <v>36</v>
      </c>
      <c r="B4" s="38" t="s">
        <v>37</v>
      </c>
      <c r="C4" s="38" t="s">
        <v>38</v>
      </c>
      <c r="D4" s="38" t="s">
        <v>39</v>
      </c>
      <c r="E4" s="38" t="s">
        <v>40</v>
      </c>
      <c r="F4" s="38">
        <v>488.27</v>
      </c>
      <c r="G4" s="38">
        <v>488.27</v>
      </c>
      <c r="H4" s="38">
        <f>I4+J4</f>
        <v>906</v>
      </c>
      <c r="I4" s="38">
        <v>597</v>
      </c>
      <c r="J4" s="38">
        <v>309</v>
      </c>
      <c r="K4" s="38">
        <v>288</v>
      </c>
      <c r="L4" s="50">
        <f>K4/H4*100</f>
        <v>31.788079470198678</v>
      </c>
      <c r="M4" s="38">
        <v>0</v>
      </c>
      <c r="N4" s="50">
        <f>M4/H4*100</f>
        <v>0</v>
      </c>
      <c r="O4" s="38">
        <v>0</v>
      </c>
      <c r="P4" s="38">
        <v>22.66</v>
      </c>
      <c r="Q4" s="36" t="s">
        <v>43</v>
      </c>
      <c r="R4" s="14">
        <v>44536</v>
      </c>
      <c r="S4" s="36"/>
      <c r="T4" s="36">
        <v>4</v>
      </c>
      <c r="U4" s="36"/>
      <c r="V4" s="36"/>
      <c r="W4" s="36"/>
      <c r="X4" s="36"/>
      <c r="Y4" s="36"/>
      <c r="Z4" s="85"/>
      <c r="AB4" s="85"/>
      <c r="AC4" s="66" t="s">
        <v>39</v>
      </c>
      <c r="AD4" s="36"/>
      <c r="AE4" s="36"/>
    </row>
    <row r="5" spans="1:31" x14ac:dyDescent="0.25">
      <c r="A5" s="38" t="s">
        <v>36</v>
      </c>
      <c r="B5" s="38" t="s">
        <v>37</v>
      </c>
      <c r="C5" s="38" t="s">
        <v>38</v>
      </c>
      <c r="D5" s="38" t="s">
        <v>45</v>
      </c>
      <c r="E5" s="38" t="s">
        <v>46</v>
      </c>
      <c r="F5" s="38">
        <v>442.5</v>
      </c>
      <c r="G5" s="38">
        <v>442.5</v>
      </c>
      <c r="H5" s="38">
        <f t="shared" ref="H5:H68" si="0">I5+J5</f>
        <v>620</v>
      </c>
      <c r="I5" s="38">
        <v>415</v>
      </c>
      <c r="J5" s="38">
        <v>205</v>
      </c>
      <c r="K5" s="38">
        <v>210</v>
      </c>
      <c r="L5" s="50">
        <f>K5/H5*100</f>
        <v>33.87096774193548</v>
      </c>
      <c r="M5" s="38">
        <v>34</v>
      </c>
      <c r="N5" s="50">
        <f>M5/H5*100</f>
        <v>5.4838709677419359</v>
      </c>
      <c r="O5" s="38">
        <v>0</v>
      </c>
      <c r="P5" s="38">
        <v>0</v>
      </c>
      <c r="Q5" s="36" t="s">
        <v>43</v>
      </c>
      <c r="R5" s="14">
        <v>44536</v>
      </c>
      <c r="S5" s="36"/>
      <c r="T5" s="36">
        <v>0</v>
      </c>
      <c r="U5" s="36"/>
      <c r="V5" s="36"/>
      <c r="W5" s="36"/>
      <c r="X5" s="36"/>
      <c r="Y5" s="36"/>
      <c r="Z5" s="85"/>
      <c r="AB5" s="85"/>
      <c r="AC5" s="66" t="s">
        <v>45</v>
      </c>
      <c r="AD5" s="36">
        <v>0</v>
      </c>
      <c r="AE5" s="36"/>
    </row>
    <row r="6" spans="1:31" x14ac:dyDescent="0.25">
      <c r="A6" s="38" t="s">
        <v>36</v>
      </c>
      <c r="B6" s="38" t="s">
        <v>37</v>
      </c>
      <c r="C6" s="38" t="s">
        <v>38</v>
      </c>
      <c r="D6" s="38" t="s">
        <v>47</v>
      </c>
      <c r="E6" s="38" t="s">
        <v>48</v>
      </c>
      <c r="F6" s="38">
        <v>544.53</v>
      </c>
      <c r="G6" s="38">
        <v>544.53</v>
      </c>
      <c r="H6" s="38">
        <f t="shared" si="0"/>
        <v>845</v>
      </c>
      <c r="I6" s="38">
        <v>557</v>
      </c>
      <c r="J6" s="38">
        <v>288</v>
      </c>
      <c r="K6" s="38">
        <v>269</v>
      </c>
      <c r="L6" s="50">
        <f t="shared" ref="L6:L69" si="1">K6/H6*100</f>
        <v>31.834319526627219</v>
      </c>
      <c r="M6" s="38">
        <v>0</v>
      </c>
      <c r="N6" s="50">
        <f t="shared" ref="N6:N69" si="2">M6/H6*100</f>
        <v>0</v>
      </c>
      <c r="O6" s="38">
        <v>0</v>
      </c>
      <c r="P6" s="38">
        <v>13.69</v>
      </c>
      <c r="Q6" s="36" t="s">
        <v>43</v>
      </c>
      <c r="R6" s="14">
        <v>44536</v>
      </c>
      <c r="S6" s="36"/>
      <c r="T6" s="36">
        <v>1</v>
      </c>
      <c r="U6" s="36"/>
      <c r="V6" s="36"/>
      <c r="W6" s="36"/>
      <c r="X6" s="36"/>
      <c r="Y6" s="36"/>
      <c r="Z6" s="85"/>
      <c r="AB6" s="85"/>
      <c r="AC6" s="66" t="s">
        <v>47</v>
      </c>
      <c r="AD6" s="36"/>
      <c r="AE6" s="36"/>
    </row>
    <row r="7" spans="1:31" x14ac:dyDescent="0.25">
      <c r="A7" s="38" t="s">
        <v>36</v>
      </c>
      <c r="B7" s="38" t="s">
        <v>37</v>
      </c>
      <c r="C7" s="38" t="s">
        <v>38</v>
      </c>
      <c r="D7" s="38" t="s">
        <v>49</v>
      </c>
      <c r="E7" s="38" t="s">
        <v>50</v>
      </c>
      <c r="F7" s="38">
        <v>843.81</v>
      </c>
      <c r="G7" s="38">
        <v>843.81</v>
      </c>
      <c r="H7" s="38">
        <f t="shared" si="0"/>
        <v>1212</v>
      </c>
      <c r="I7" s="38">
        <v>805</v>
      </c>
      <c r="J7" s="38">
        <v>407</v>
      </c>
      <c r="K7" s="38">
        <v>398</v>
      </c>
      <c r="L7" s="50">
        <f t="shared" si="1"/>
        <v>32.838283828382835</v>
      </c>
      <c r="M7" s="38">
        <v>0</v>
      </c>
      <c r="N7" s="50">
        <f t="shared" si="2"/>
        <v>0</v>
      </c>
      <c r="O7" s="38">
        <v>0</v>
      </c>
      <c r="P7" s="38">
        <v>45.34</v>
      </c>
      <c r="Q7" s="36" t="s">
        <v>43</v>
      </c>
      <c r="R7" s="14">
        <v>44536</v>
      </c>
      <c r="S7" s="36"/>
      <c r="T7" s="36">
        <v>7</v>
      </c>
      <c r="U7" s="36"/>
      <c r="V7" s="36"/>
      <c r="W7" s="36"/>
      <c r="X7" s="36"/>
      <c r="Y7" s="36"/>
      <c r="Z7" s="85"/>
      <c r="AB7" s="85"/>
      <c r="AC7" s="66" t="s">
        <v>49</v>
      </c>
      <c r="AD7" s="36"/>
      <c r="AE7" s="36"/>
    </row>
    <row r="8" spans="1:31" x14ac:dyDescent="0.25">
      <c r="A8" s="38" t="s">
        <v>36</v>
      </c>
      <c r="B8" s="38" t="s">
        <v>37</v>
      </c>
      <c r="C8" s="38" t="s">
        <v>38</v>
      </c>
      <c r="D8" s="38" t="s">
        <v>51</v>
      </c>
      <c r="E8" s="38" t="s">
        <v>52</v>
      </c>
      <c r="F8" s="38">
        <v>341.65</v>
      </c>
      <c r="G8" s="38">
        <v>341.65</v>
      </c>
      <c r="H8" s="38">
        <f t="shared" si="0"/>
        <v>546</v>
      </c>
      <c r="I8" s="38">
        <v>362</v>
      </c>
      <c r="J8" s="38">
        <v>184</v>
      </c>
      <c r="K8" s="38">
        <v>178</v>
      </c>
      <c r="L8" s="50">
        <f t="shared" si="1"/>
        <v>32.600732600732599</v>
      </c>
      <c r="M8" s="38">
        <v>4</v>
      </c>
      <c r="N8" s="50">
        <f t="shared" si="2"/>
        <v>0.73260073260073255</v>
      </c>
      <c r="O8" s="38">
        <v>0</v>
      </c>
      <c r="P8" s="38">
        <v>0</v>
      </c>
      <c r="Q8" s="36" t="s">
        <v>43</v>
      </c>
      <c r="R8" s="14">
        <v>44536</v>
      </c>
      <c r="S8" s="36"/>
      <c r="T8" s="36">
        <v>0</v>
      </c>
      <c r="U8" s="36"/>
      <c r="V8" s="36"/>
      <c r="W8" s="36"/>
      <c r="X8" s="36"/>
      <c r="Y8" s="36"/>
      <c r="Z8" s="85"/>
      <c r="AB8" s="85"/>
      <c r="AC8" s="66" t="s">
        <v>51</v>
      </c>
      <c r="AD8" s="36">
        <v>0</v>
      </c>
      <c r="AE8" s="36"/>
    </row>
    <row r="9" spans="1:31" x14ac:dyDescent="0.25">
      <c r="A9" s="38" t="s">
        <v>36</v>
      </c>
      <c r="B9" s="38" t="s">
        <v>37</v>
      </c>
      <c r="C9" s="38" t="s">
        <v>53</v>
      </c>
      <c r="D9" s="38" t="s">
        <v>53</v>
      </c>
      <c r="H9" s="38">
        <f t="shared" si="0"/>
        <v>0</v>
      </c>
      <c r="L9" s="50"/>
      <c r="N9" s="50"/>
      <c r="O9" s="38"/>
      <c r="P9" s="38"/>
      <c r="Q9" s="36" t="s">
        <v>43</v>
      </c>
      <c r="R9" s="14">
        <v>44579</v>
      </c>
      <c r="S9" s="36"/>
      <c r="T9" s="36">
        <v>0</v>
      </c>
      <c r="U9" s="36"/>
      <c r="V9" s="36"/>
      <c r="W9" s="36"/>
      <c r="X9" s="36"/>
      <c r="Y9" s="36"/>
      <c r="Z9" s="85"/>
      <c r="AB9" s="85"/>
      <c r="AC9" s="66" t="s">
        <v>54</v>
      </c>
      <c r="AD9" s="36">
        <v>0</v>
      </c>
      <c r="AE9" s="36"/>
    </row>
    <row r="10" spans="1:31" x14ac:dyDescent="0.25">
      <c r="A10" s="38" t="s">
        <v>36</v>
      </c>
      <c r="B10" s="38" t="s">
        <v>37</v>
      </c>
      <c r="C10" s="38" t="s">
        <v>53</v>
      </c>
      <c r="D10" s="33" t="s">
        <v>55</v>
      </c>
      <c r="H10" s="38">
        <f t="shared" si="0"/>
        <v>0</v>
      </c>
      <c r="L10" s="50"/>
      <c r="N10" s="50"/>
      <c r="O10" s="38"/>
      <c r="P10" s="38"/>
      <c r="Q10" s="36" t="s">
        <v>43</v>
      </c>
      <c r="R10" s="14">
        <v>44579</v>
      </c>
      <c r="S10" s="36"/>
      <c r="T10" s="251">
        <v>15</v>
      </c>
      <c r="U10" s="86"/>
      <c r="V10" s="86"/>
      <c r="W10" s="86"/>
      <c r="X10" s="86"/>
      <c r="Y10" s="86"/>
      <c r="Z10" s="87"/>
      <c r="AB10" s="85">
        <v>15</v>
      </c>
      <c r="AC10" s="66" t="s">
        <v>56</v>
      </c>
      <c r="AD10" s="36">
        <v>25.445687</v>
      </c>
      <c r="AE10" s="36">
        <v>71.708839999999995</v>
      </c>
    </row>
    <row r="11" spans="1:31" x14ac:dyDescent="0.25">
      <c r="A11" s="38" t="s">
        <v>36</v>
      </c>
      <c r="B11" s="38" t="s">
        <v>37</v>
      </c>
      <c r="C11" s="38" t="s">
        <v>53</v>
      </c>
      <c r="D11" s="38" t="s">
        <v>54</v>
      </c>
      <c r="E11" s="38" t="s">
        <v>58</v>
      </c>
      <c r="F11" s="38">
        <v>578.20000000000005</v>
      </c>
      <c r="G11" s="38">
        <v>578.20000000000005</v>
      </c>
      <c r="H11" s="38">
        <f t="shared" si="0"/>
        <v>888</v>
      </c>
      <c r="I11" s="38">
        <v>580</v>
      </c>
      <c r="J11" s="38">
        <v>308</v>
      </c>
      <c r="K11" s="38">
        <v>272</v>
      </c>
      <c r="L11" s="50">
        <f t="shared" si="1"/>
        <v>30.630630630630627</v>
      </c>
      <c r="M11" s="38">
        <v>0</v>
      </c>
      <c r="N11" s="50">
        <f t="shared" si="2"/>
        <v>0</v>
      </c>
      <c r="O11" s="38">
        <v>0</v>
      </c>
      <c r="P11" s="38">
        <v>0</v>
      </c>
      <c r="Q11" s="36" t="s">
        <v>43</v>
      </c>
      <c r="R11" s="14">
        <v>44579</v>
      </c>
      <c r="S11" s="36"/>
      <c r="T11" s="36">
        <v>0</v>
      </c>
      <c r="U11" s="36"/>
      <c r="V11" s="36"/>
      <c r="W11" s="36"/>
      <c r="X11" s="36"/>
      <c r="Y11" s="36"/>
      <c r="Z11" s="85"/>
      <c r="AB11" s="85"/>
      <c r="AC11" s="66" t="s">
        <v>59</v>
      </c>
      <c r="AD11" s="36">
        <v>0</v>
      </c>
      <c r="AE11" s="36"/>
    </row>
    <row r="12" spans="1:31" x14ac:dyDescent="0.25">
      <c r="A12" s="38" t="s">
        <v>36</v>
      </c>
      <c r="B12" s="38" t="s">
        <v>37</v>
      </c>
      <c r="C12" s="38" t="s">
        <v>53</v>
      </c>
      <c r="D12" s="38" t="s">
        <v>59</v>
      </c>
      <c r="E12" s="38" t="s">
        <v>60</v>
      </c>
      <c r="F12" s="38">
        <v>842.4</v>
      </c>
      <c r="G12" s="38">
        <v>842.4</v>
      </c>
      <c r="H12" s="38">
        <f t="shared" si="0"/>
        <v>1155</v>
      </c>
      <c r="I12" s="38">
        <v>772</v>
      </c>
      <c r="J12" s="38">
        <v>383</v>
      </c>
      <c r="K12" s="38">
        <v>389</v>
      </c>
      <c r="L12" s="50">
        <f t="shared" si="1"/>
        <v>33.679653679653683</v>
      </c>
      <c r="M12" s="38">
        <v>13</v>
      </c>
      <c r="N12" s="50">
        <f t="shared" si="2"/>
        <v>1.1255411255411256</v>
      </c>
      <c r="O12" s="38">
        <v>0</v>
      </c>
      <c r="P12" s="38">
        <v>0</v>
      </c>
      <c r="Q12" s="36" t="s">
        <v>43</v>
      </c>
      <c r="R12" s="14">
        <v>44579</v>
      </c>
      <c r="S12" s="36"/>
      <c r="T12" s="36">
        <v>0</v>
      </c>
      <c r="U12" s="36"/>
      <c r="V12" s="36"/>
      <c r="W12" s="36"/>
      <c r="X12" s="36"/>
      <c r="Y12" s="36"/>
      <c r="Z12" s="85"/>
      <c r="AB12" s="85"/>
      <c r="AC12" s="66" t="s">
        <v>61</v>
      </c>
      <c r="AD12" s="36">
        <v>0</v>
      </c>
      <c r="AE12" s="36"/>
    </row>
    <row r="13" spans="1:31" x14ac:dyDescent="0.25">
      <c r="A13" s="38" t="s">
        <v>36</v>
      </c>
      <c r="B13" s="38" t="s">
        <v>37</v>
      </c>
      <c r="C13" s="38" t="s">
        <v>53</v>
      </c>
      <c r="D13" s="38" t="s">
        <v>61</v>
      </c>
      <c r="E13" s="38" t="s">
        <v>62</v>
      </c>
      <c r="F13" s="38">
        <v>546.55999999999995</v>
      </c>
      <c r="G13" s="38">
        <v>546.55999999999995</v>
      </c>
      <c r="H13" s="38">
        <f t="shared" si="0"/>
        <v>1102</v>
      </c>
      <c r="I13" s="38">
        <v>718</v>
      </c>
      <c r="J13" s="38">
        <v>384</v>
      </c>
      <c r="K13" s="38">
        <v>334</v>
      </c>
      <c r="L13" s="50">
        <f t="shared" si="1"/>
        <v>30.308529945553541</v>
      </c>
      <c r="M13" s="38">
        <v>41</v>
      </c>
      <c r="N13" s="50">
        <f t="shared" si="2"/>
        <v>3.7205081669691471</v>
      </c>
      <c r="O13" s="38">
        <v>0</v>
      </c>
      <c r="P13" s="38">
        <v>0</v>
      </c>
      <c r="Q13" s="36" t="s">
        <v>43</v>
      </c>
      <c r="R13" s="14">
        <v>44579</v>
      </c>
      <c r="S13" s="36"/>
      <c r="T13" s="36">
        <v>1.2944</v>
      </c>
      <c r="U13" s="36"/>
      <c r="V13" s="36"/>
      <c r="W13" s="36"/>
      <c r="X13" s="36"/>
      <c r="Y13" s="36"/>
      <c r="Z13" s="85"/>
      <c r="AB13" s="85"/>
      <c r="AC13" s="66" t="s">
        <v>53</v>
      </c>
      <c r="AD13" s="36"/>
      <c r="AE13" s="36"/>
    </row>
    <row r="14" spans="1:31" x14ac:dyDescent="0.25">
      <c r="A14" s="38" t="s">
        <v>36</v>
      </c>
      <c r="B14" s="38" t="s">
        <v>37</v>
      </c>
      <c r="C14" s="38" t="s">
        <v>63</v>
      </c>
      <c r="D14" s="38" t="s">
        <v>41</v>
      </c>
      <c r="E14" s="38" t="s">
        <v>64</v>
      </c>
      <c r="F14" s="38">
        <v>695.56</v>
      </c>
      <c r="G14" s="38">
        <v>695.56</v>
      </c>
      <c r="H14" s="38">
        <f t="shared" si="0"/>
        <v>2187</v>
      </c>
      <c r="I14" s="38">
        <v>1456</v>
      </c>
      <c r="J14" s="38">
        <v>731</v>
      </c>
      <c r="K14" s="38">
        <v>725</v>
      </c>
      <c r="L14" s="50">
        <f t="shared" si="1"/>
        <v>33.150434385002285</v>
      </c>
      <c r="M14" s="38">
        <v>142</v>
      </c>
      <c r="N14" s="50">
        <f t="shared" si="2"/>
        <v>6.4929126657521721</v>
      </c>
      <c r="O14" s="38">
        <v>0</v>
      </c>
      <c r="P14" s="38">
        <v>6.13</v>
      </c>
    </row>
    <row r="15" spans="1:31" x14ac:dyDescent="0.25">
      <c r="A15" s="38" t="s">
        <v>36</v>
      </c>
      <c r="B15" s="38" t="s">
        <v>37</v>
      </c>
      <c r="C15" s="38" t="s">
        <v>63</v>
      </c>
      <c r="D15" s="38" t="s">
        <v>65</v>
      </c>
      <c r="E15" s="38" t="s">
        <v>66</v>
      </c>
      <c r="F15" s="38">
        <v>278.49</v>
      </c>
      <c r="G15" s="38">
        <v>278.49</v>
      </c>
      <c r="H15" s="38">
        <f t="shared" si="0"/>
        <v>559</v>
      </c>
      <c r="I15" s="38">
        <v>366</v>
      </c>
      <c r="J15" s="38">
        <v>193</v>
      </c>
      <c r="K15" s="38">
        <v>173</v>
      </c>
      <c r="L15" s="50">
        <f t="shared" si="1"/>
        <v>30.948121645796061</v>
      </c>
      <c r="M15" s="38">
        <v>55</v>
      </c>
      <c r="N15" s="50">
        <f t="shared" si="2"/>
        <v>9.8389982110912353</v>
      </c>
      <c r="O15" s="38">
        <v>0</v>
      </c>
      <c r="P15" s="38">
        <v>23.33</v>
      </c>
    </row>
    <row r="16" spans="1:31" x14ac:dyDescent="0.25">
      <c r="A16" s="38" t="s">
        <v>36</v>
      </c>
      <c r="B16" s="38" t="s">
        <v>37</v>
      </c>
      <c r="C16" s="38" t="s">
        <v>63</v>
      </c>
      <c r="D16" s="38" t="s">
        <v>67</v>
      </c>
      <c r="E16" s="38" t="s">
        <v>68</v>
      </c>
      <c r="F16" s="38">
        <v>325.33</v>
      </c>
      <c r="G16" s="38">
        <v>325.33</v>
      </c>
      <c r="H16" s="38">
        <f t="shared" si="0"/>
        <v>455</v>
      </c>
      <c r="I16" s="38">
        <v>302</v>
      </c>
      <c r="J16" s="38">
        <v>153</v>
      </c>
      <c r="K16" s="38">
        <v>149</v>
      </c>
      <c r="L16" s="50">
        <f t="shared" si="1"/>
        <v>32.747252747252745</v>
      </c>
      <c r="M16" s="38">
        <v>0</v>
      </c>
      <c r="N16" s="50">
        <f t="shared" si="2"/>
        <v>0</v>
      </c>
      <c r="O16" s="38">
        <v>0</v>
      </c>
      <c r="P16" s="38">
        <v>0</v>
      </c>
    </row>
    <row r="17" spans="1:31" x14ac:dyDescent="0.25">
      <c r="A17" s="38" t="s">
        <v>36</v>
      </c>
      <c r="B17" s="38" t="s">
        <v>37</v>
      </c>
      <c r="C17" s="38" t="s">
        <v>63</v>
      </c>
      <c r="D17" s="38" t="s">
        <v>69</v>
      </c>
      <c r="E17" s="38" t="s">
        <v>70</v>
      </c>
      <c r="F17" s="38">
        <v>208.04</v>
      </c>
      <c r="G17" s="38">
        <v>208.04</v>
      </c>
      <c r="H17" s="38">
        <f t="shared" si="0"/>
        <v>528</v>
      </c>
      <c r="I17" s="38">
        <v>353</v>
      </c>
      <c r="J17" s="38">
        <v>175</v>
      </c>
      <c r="K17" s="38">
        <v>178</v>
      </c>
      <c r="L17" s="50">
        <f t="shared" si="1"/>
        <v>33.712121212121211</v>
      </c>
      <c r="M17" s="38">
        <v>178</v>
      </c>
      <c r="N17" s="50">
        <f t="shared" si="2"/>
        <v>33.712121212121211</v>
      </c>
      <c r="O17" s="38">
        <v>0</v>
      </c>
      <c r="P17" s="38">
        <v>0</v>
      </c>
    </row>
    <row r="18" spans="1:31" x14ac:dyDescent="0.25">
      <c r="A18" s="38" t="s">
        <v>36</v>
      </c>
      <c r="B18" s="38" t="s">
        <v>37</v>
      </c>
      <c r="C18" s="38" t="s">
        <v>63</v>
      </c>
      <c r="D18" s="38" t="s">
        <v>71</v>
      </c>
      <c r="E18" s="38" t="s">
        <v>72</v>
      </c>
      <c r="F18" s="38">
        <v>292.18</v>
      </c>
      <c r="G18" s="38">
        <v>292.18</v>
      </c>
      <c r="H18" s="38">
        <f t="shared" si="0"/>
        <v>363</v>
      </c>
      <c r="I18" s="38">
        <v>236</v>
      </c>
      <c r="J18" s="38">
        <v>127</v>
      </c>
      <c r="K18" s="38">
        <v>109</v>
      </c>
      <c r="L18" s="50">
        <f t="shared" si="1"/>
        <v>30.02754820936639</v>
      </c>
      <c r="M18" s="38">
        <v>47</v>
      </c>
      <c r="N18" s="50">
        <f t="shared" si="2"/>
        <v>12.947658402203857</v>
      </c>
      <c r="O18" s="38">
        <v>0</v>
      </c>
      <c r="P18" s="38">
        <v>0</v>
      </c>
    </row>
    <row r="19" spans="1:31" x14ac:dyDescent="0.25">
      <c r="A19" s="38" t="s">
        <v>36</v>
      </c>
      <c r="B19" s="38" t="s">
        <v>37</v>
      </c>
      <c r="C19" s="38" t="s">
        <v>63</v>
      </c>
      <c r="D19" s="38" t="s">
        <v>73</v>
      </c>
      <c r="E19" s="38" t="s">
        <v>74</v>
      </c>
      <c r="F19" s="38">
        <v>275.91000000000003</v>
      </c>
      <c r="G19" s="38">
        <v>275.91000000000003</v>
      </c>
      <c r="H19" s="38">
        <f t="shared" si="0"/>
        <v>763</v>
      </c>
      <c r="I19" s="38">
        <v>499</v>
      </c>
      <c r="J19" s="38">
        <v>264</v>
      </c>
      <c r="K19" s="38">
        <v>235</v>
      </c>
      <c r="L19" s="50">
        <f t="shared" si="1"/>
        <v>30.799475753604195</v>
      </c>
      <c r="M19" s="38">
        <v>0</v>
      </c>
      <c r="N19" s="50">
        <f t="shared" si="2"/>
        <v>0</v>
      </c>
      <c r="O19" s="38">
        <v>0</v>
      </c>
      <c r="P19" s="38">
        <v>0</v>
      </c>
    </row>
    <row r="20" spans="1:31" x14ac:dyDescent="0.25">
      <c r="A20" s="38" t="s">
        <v>36</v>
      </c>
      <c r="B20" s="38" t="s">
        <v>37</v>
      </c>
      <c r="C20" s="38" t="s">
        <v>75</v>
      </c>
      <c r="D20" s="38" t="s">
        <v>76</v>
      </c>
      <c r="E20" s="38" t="s">
        <v>77</v>
      </c>
      <c r="F20" s="38">
        <v>1248.6400000000001</v>
      </c>
      <c r="G20" s="38">
        <v>1248.6400000000001</v>
      </c>
      <c r="H20" s="38">
        <f t="shared" si="0"/>
        <v>2088</v>
      </c>
      <c r="I20" s="38">
        <v>1375</v>
      </c>
      <c r="J20" s="38">
        <v>713</v>
      </c>
      <c r="K20" s="38">
        <v>662</v>
      </c>
      <c r="L20" s="50">
        <f t="shared" si="1"/>
        <v>31.70498084291188</v>
      </c>
      <c r="M20" s="38">
        <v>393</v>
      </c>
      <c r="N20" s="50">
        <f t="shared" si="2"/>
        <v>18.821839080459771</v>
      </c>
      <c r="O20" s="38">
        <v>0</v>
      </c>
      <c r="P20" s="38">
        <v>0</v>
      </c>
      <c r="Q20" s="36" t="s">
        <v>43</v>
      </c>
      <c r="R20" s="14">
        <v>44579</v>
      </c>
      <c r="S20" s="36"/>
      <c r="T20" s="36">
        <v>2.15</v>
      </c>
      <c r="U20" s="36"/>
      <c r="V20" s="36"/>
      <c r="W20" s="36"/>
      <c r="X20" s="36"/>
      <c r="Y20" s="36"/>
      <c r="Z20" s="85"/>
      <c r="AB20" s="85"/>
      <c r="AC20" s="15" t="s">
        <v>78</v>
      </c>
      <c r="AD20" s="36"/>
      <c r="AE20" s="36"/>
    </row>
    <row r="21" spans="1:31" x14ac:dyDescent="0.25">
      <c r="A21" s="38" t="s">
        <v>36</v>
      </c>
      <c r="B21" s="38" t="s">
        <v>37</v>
      </c>
      <c r="C21" s="38" t="s">
        <v>75</v>
      </c>
      <c r="D21" s="38" t="s">
        <v>79</v>
      </c>
      <c r="E21" s="38" t="s">
        <v>80</v>
      </c>
      <c r="F21" s="38">
        <v>1114.3800000000001</v>
      </c>
      <c r="G21" s="38">
        <v>1114.3800000000001</v>
      </c>
      <c r="H21" s="38">
        <f t="shared" si="0"/>
        <v>1109</v>
      </c>
      <c r="I21" s="38">
        <v>725</v>
      </c>
      <c r="J21" s="38">
        <v>384</v>
      </c>
      <c r="K21" s="38">
        <v>341</v>
      </c>
      <c r="L21" s="50">
        <f t="shared" si="1"/>
        <v>30.748422001803426</v>
      </c>
      <c r="M21" s="38">
        <v>0</v>
      </c>
      <c r="N21" s="50">
        <f t="shared" si="2"/>
        <v>0</v>
      </c>
      <c r="O21" s="38">
        <v>0</v>
      </c>
      <c r="P21" s="38">
        <v>0</v>
      </c>
      <c r="Q21" s="36" t="s">
        <v>43</v>
      </c>
      <c r="R21" s="14">
        <v>44579</v>
      </c>
      <c r="S21" s="36"/>
      <c r="T21" s="36">
        <v>0</v>
      </c>
      <c r="U21" s="36"/>
      <c r="V21" s="36"/>
      <c r="W21" s="36"/>
      <c r="X21" s="36"/>
      <c r="Y21" s="36"/>
      <c r="Z21" s="85"/>
      <c r="AB21" s="85"/>
      <c r="AC21" s="15" t="s">
        <v>81</v>
      </c>
      <c r="AD21" s="36">
        <v>0</v>
      </c>
      <c r="AE21" s="36"/>
    </row>
    <row r="22" spans="1:31" x14ac:dyDescent="0.25">
      <c r="A22" s="38" t="s">
        <v>36</v>
      </c>
      <c r="B22" s="38" t="s">
        <v>37</v>
      </c>
      <c r="C22" s="38" t="s">
        <v>75</v>
      </c>
      <c r="D22" s="38" t="s">
        <v>82</v>
      </c>
      <c r="E22" s="38" t="s">
        <v>83</v>
      </c>
      <c r="F22" s="38">
        <v>1030.1500000000001</v>
      </c>
      <c r="G22" s="38">
        <v>1030.1500000000001</v>
      </c>
      <c r="H22" s="38">
        <f t="shared" si="0"/>
        <v>973</v>
      </c>
      <c r="I22" s="38">
        <v>638</v>
      </c>
      <c r="J22" s="38">
        <v>335</v>
      </c>
      <c r="K22" s="38">
        <v>303</v>
      </c>
      <c r="L22" s="50">
        <f t="shared" si="1"/>
        <v>31.140801644398771</v>
      </c>
      <c r="M22" s="38">
        <v>37</v>
      </c>
      <c r="N22" s="50">
        <f>M22/H22*100</f>
        <v>3.8026721479958892</v>
      </c>
      <c r="O22" s="38">
        <v>0</v>
      </c>
      <c r="P22" s="38">
        <v>0</v>
      </c>
      <c r="Q22" s="36" t="s">
        <v>43</v>
      </c>
      <c r="R22" s="14">
        <v>44579</v>
      </c>
      <c r="S22" s="36"/>
      <c r="T22" s="36">
        <v>0</v>
      </c>
      <c r="U22" s="36"/>
      <c r="V22" s="36"/>
      <c r="W22" s="36"/>
      <c r="X22" s="36"/>
      <c r="Y22" s="36"/>
      <c r="Z22" s="85"/>
      <c r="AB22" s="85"/>
      <c r="AC22" s="15" t="s">
        <v>84</v>
      </c>
      <c r="AD22" s="36">
        <v>0</v>
      </c>
      <c r="AE22" s="36"/>
    </row>
    <row r="23" spans="1:31" x14ac:dyDescent="0.25">
      <c r="A23" s="38" t="s">
        <v>36</v>
      </c>
      <c r="B23" s="38" t="s">
        <v>37</v>
      </c>
      <c r="C23" s="38" t="s">
        <v>75</v>
      </c>
      <c r="D23" s="261" t="s">
        <v>85</v>
      </c>
      <c r="E23" s="38"/>
      <c r="F23" s="38"/>
      <c r="G23" s="38"/>
      <c r="H23" s="38">
        <f t="shared" si="0"/>
        <v>0</v>
      </c>
      <c r="I23" s="38"/>
      <c r="J23" s="38"/>
      <c r="K23" s="38"/>
      <c r="L23" s="50"/>
      <c r="M23" s="38"/>
      <c r="N23" s="50"/>
      <c r="O23" s="38"/>
      <c r="P23" s="38"/>
      <c r="Q23" s="36" t="s">
        <v>43</v>
      </c>
      <c r="R23" s="14">
        <v>44579</v>
      </c>
      <c r="S23" s="36"/>
      <c r="T23" s="36">
        <v>0</v>
      </c>
      <c r="U23" s="36"/>
      <c r="V23" s="36"/>
      <c r="W23" s="36"/>
      <c r="X23" s="36"/>
      <c r="Y23" s="36"/>
      <c r="Z23" s="85"/>
      <c r="AB23" s="85"/>
      <c r="AC23" s="15" t="s">
        <v>85</v>
      </c>
      <c r="AD23" s="36">
        <v>0</v>
      </c>
      <c r="AE23" s="36"/>
    </row>
    <row r="24" spans="1:31" x14ac:dyDescent="0.25">
      <c r="A24" s="38" t="s">
        <v>36</v>
      </c>
      <c r="B24" s="38" t="s">
        <v>37</v>
      </c>
      <c r="C24" s="38" t="s">
        <v>75</v>
      </c>
      <c r="D24" s="261" t="s">
        <v>84</v>
      </c>
      <c r="E24" s="38"/>
      <c r="F24" s="38"/>
      <c r="G24" s="38"/>
      <c r="H24" s="38">
        <f t="shared" si="0"/>
        <v>0</v>
      </c>
      <c r="I24" s="38"/>
      <c r="J24" s="38"/>
      <c r="K24" s="38"/>
      <c r="L24" s="50"/>
      <c r="M24" s="38"/>
      <c r="N24" s="50"/>
      <c r="O24" s="38"/>
      <c r="P24" s="38"/>
      <c r="Q24" s="36" t="s">
        <v>43</v>
      </c>
      <c r="R24" s="14">
        <v>44579</v>
      </c>
      <c r="S24" s="36"/>
      <c r="T24" s="36">
        <v>0</v>
      </c>
      <c r="U24" s="36"/>
      <c r="V24" s="36"/>
      <c r="W24" s="36"/>
      <c r="X24" s="36"/>
      <c r="Y24" s="36"/>
      <c r="Z24" s="85"/>
      <c r="AB24" s="85"/>
      <c r="AC24" s="15" t="s">
        <v>84</v>
      </c>
      <c r="AD24" s="36">
        <v>0</v>
      </c>
      <c r="AE24" s="36"/>
    </row>
    <row r="25" spans="1:31" x14ac:dyDescent="0.25">
      <c r="A25" s="38" t="s">
        <v>36</v>
      </c>
      <c r="B25" s="38" t="s">
        <v>37</v>
      </c>
      <c r="C25" s="38" t="s">
        <v>75</v>
      </c>
      <c r="D25" s="261" t="s">
        <v>86</v>
      </c>
      <c r="E25" s="38"/>
      <c r="F25" s="38"/>
      <c r="G25" s="38"/>
      <c r="H25" s="38">
        <f t="shared" si="0"/>
        <v>0</v>
      </c>
      <c r="I25" s="38"/>
      <c r="J25" s="38"/>
      <c r="K25" s="38"/>
      <c r="L25" s="50"/>
      <c r="M25" s="38"/>
      <c r="N25" s="50"/>
      <c r="O25" s="38"/>
      <c r="P25" s="38"/>
      <c r="Q25" s="36" t="s">
        <v>43</v>
      </c>
      <c r="R25" s="14">
        <v>44579</v>
      </c>
      <c r="S25" s="36"/>
      <c r="T25" s="36">
        <v>0</v>
      </c>
      <c r="U25" s="36"/>
      <c r="V25" s="36"/>
      <c r="W25" s="36"/>
      <c r="X25" s="36"/>
      <c r="Y25" s="36"/>
      <c r="Z25" s="85"/>
      <c r="AB25" s="85"/>
      <c r="AC25" s="15" t="s">
        <v>86</v>
      </c>
      <c r="AD25" s="36">
        <v>0</v>
      </c>
      <c r="AE25" s="36"/>
    </row>
    <row r="26" spans="1:31" x14ac:dyDescent="0.25">
      <c r="A26" s="38" t="s">
        <v>36</v>
      </c>
      <c r="B26" s="38" t="s">
        <v>37</v>
      </c>
      <c r="C26" s="38" t="s">
        <v>75</v>
      </c>
      <c r="D26" s="38" t="s">
        <v>87</v>
      </c>
      <c r="E26" s="38" t="s">
        <v>88</v>
      </c>
      <c r="F26" s="38">
        <v>875.96</v>
      </c>
      <c r="G26" s="38">
        <v>875.96</v>
      </c>
      <c r="H26" s="38">
        <f t="shared" si="0"/>
        <v>1192</v>
      </c>
      <c r="I26" s="38">
        <v>787</v>
      </c>
      <c r="J26" s="38">
        <v>405</v>
      </c>
      <c r="K26" s="38">
        <v>382</v>
      </c>
      <c r="L26" s="50">
        <f t="shared" si="1"/>
        <v>32.04697986577181</v>
      </c>
      <c r="M26" s="38">
        <v>25</v>
      </c>
      <c r="N26" s="50">
        <f t="shared" si="2"/>
        <v>2.0973154362416109</v>
      </c>
      <c r="O26" s="38">
        <v>0</v>
      </c>
      <c r="P26" s="38">
        <v>0</v>
      </c>
      <c r="Q26" s="36" t="s">
        <v>43</v>
      </c>
      <c r="R26" s="14">
        <v>44579</v>
      </c>
      <c r="S26" s="36"/>
      <c r="T26" s="36">
        <v>0</v>
      </c>
      <c r="U26" s="36"/>
      <c r="V26" s="36"/>
      <c r="W26" s="36"/>
      <c r="X26" s="36"/>
      <c r="Y26" s="36"/>
      <c r="Z26" s="85"/>
      <c r="AB26" s="85"/>
      <c r="AC26" s="15" t="s">
        <v>89</v>
      </c>
      <c r="AD26" s="36">
        <v>0</v>
      </c>
      <c r="AE26" s="36"/>
    </row>
    <row r="27" spans="1:31" x14ac:dyDescent="0.25">
      <c r="A27" s="38" t="s">
        <v>36</v>
      </c>
      <c r="B27" s="38" t="s">
        <v>37</v>
      </c>
      <c r="C27" s="38" t="s">
        <v>90</v>
      </c>
      <c r="D27" s="38" t="s">
        <v>91</v>
      </c>
      <c r="E27" s="38" t="s">
        <v>92</v>
      </c>
      <c r="F27" s="38">
        <v>96.66</v>
      </c>
      <c r="G27" s="38">
        <v>96.66</v>
      </c>
      <c r="H27" s="38">
        <f t="shared" si="0"/>
        <v>214</v>
      </c>
      <c r="I27" s="38">
        <v>137</v>
      </c>
      <c r="J27" s="38">
        <v>77</v>
      </c>
      <c r="K27" s="38">
        <v>60</v>
      </c>
      <c r="L27" s="50">
        <f t="shared" si="1"/>
        <v>28.037383177570092</v>
      </c>
      <c r="M27" s="38">
        <v>0</v>
      </c>
      <c r="N27" s="50">
        <f t="shared" si="2"/>
        <v>0</v>
      </c>
      <c r="O27" s="38">
        <v>0</v>
      </c>
      <c r="P27" s="38">
        <v>0</v>
      </c>
    </row>
    <row r="28" spans="1:31" x14ac:dyDescent="0.25">
      <c r="A28" s="38" t="s">
        <v>36</v>
      </c>
      <c r="B28" s="38" t="s">
        <v>37</v>
      </c>
      <c r="C28" s="38" t="s">
        <v>90</v>
      </c>
      <c r="D28" s="38" t="s">
        <v>93</v>
      </c>
      <c r="E28" s="38" t="s">
        <v>94</v>
      </c>
      <c r="F28" s="38">
        <v>572.71</v>
      </c>
      <c r="G28" s="38">
        <v>572.71</v>
      </c>
      <c r="H28" s="38">
        <f t="shared" si="0"/>
        <v>692</v>
      </c>
      <c r="I28" s="38">
        <v>447</v>
      </c>
      <c r="J28" s="38">
        <v>245</v>
      </c>
      <c r="K28" s="38">
        <v>202</v>
      </c>
      <c r="L28" s="50">
        <f t="shared" si="1"/>
        <v>29.190751445086704</v>
      </c>
      <c r="M28" s="38">
        <v>71</v>
      </c>
      <c r="N28" s="50">
        <f t="shared" si="2"/>
        <v>10.260115606936417</v>
      </c>
      <c r="O28" s="38">
        <v>0</v>
      </c>
      <c r="P28" s="38">
        <v>0</v>
      </c>
    </row>
    <row r="29" spans="1:31" x14ac:dyDescent="0.25">
      <c r="A29" s="38" t="s">
        <v>36</v>
      </c>
      <c r="B29" s="38" t="s">
        <v>37</v>
      </c>
      <c r="C29" s="38" t="s">
        <v>90</v>
      </c>
      <c r="D29" s="38" t="s">
        <v>95</v>
      </c>
      <c r="E29" s="38" t="s">
        <v>96</v>
      </c>
      <c r="F29" s="38">
        <v>261.95</v>
      </c>
      <c r="G29" s="38">
        <v>261.95</v>
      </c>
      <c r="H29" s="38">
        <f t="shared" si="0"/>
        <v>549</v>
      </c>
      <c r="I29" s="38">
        <v>361</v>
      </c>
      <c r="J29" s="38">
        <v>188</v>
      </c>
      <c r="K29" s="38">
        <v>173</v>
      </c>
      <c r="L29" s="50">
        <f t="shared" si="1"/>
        <v>31.51183970856102</v>
      </c>
      <c r="M29" s="38">
        <v>118</v>
      </c>
      <c r="N29" s="50">
        <f t="shared" si="2"/>
        <v>21.493624772313296</v>
      </c>
      <c r="O29" s="38">
        <v>0</v>
      </c>
      <c r="P29" s="38">
        <v>0</v>
      </c>
    </row>
    <row r="30" spans="1:31" x14ac:dyDescent="0.25">
      <c r="A30" s="38" t="s">
        <v>36</v>
      </c>
      <c r="B30" s="38" t="s">
        <v>37</v>
      </c>
      <c r="C30" s="38" t="s">
        <v>90</v>
      </c>
      <c r="D30" s="38" t="s">
        <v>97</v>
      </c>
      <c r="E30" s="38" t="s">
        <v>98</v>
      </c>
      <c r="F30" s="38">
        <v>271.91000000000003</v>
      </c>
      <c r="G30" s="38">
        <v>271.91000000000003</v>
      </c>
      <c r="H30" s="38">
        <f t="shared" si="0"/>
        <v>1030</v>
      </c>
      <c r="I30" s="38">
        <v>672</v>
      </c>
      <c r="J30" s="38">
        <v>358</v>
      </c>
      <c r="K30" s="38">
        <v>314</v>
      </c>
      <c r="L30" s="50">
        <f t="shared" si="1"/>
        <v>30.485436893203882</v>
      </c>
      <c r="M30" s="38">
        <v>85</v>
      </c>
      <c r="N30" s="50">
        <f t="shared" si="2"/>
        <v>8.2524271844660202</v>
      </c>
      <c r="O30" s="38">
        <v>0</v>
      </c>
      <c r="P30" s="38">
        <v>0</v>
      </c>
    </row>
    <row r="31" spans="1:31" x14ac:dyDescent="0.25">
      <c r="A31" s="38" t="s">
        <v>36</v>
      </c>
      <c r="B31" s="38" t="s">
        <v>37</v>
      </c>
      <c r="C31" s="38" t="s">
        <v>90</v>
      </c>
      <c r="D31" s="38" t="s">
        <v>99</v>
      </c>
      <c r="E31" s="38" t="s">
        <v>100</v>
      </c>
      <c r="F31" s="38">
        <v>265.95999999999998</v>
      </c>
      <c r="G31" s="38">
        <v>265.95999999999998</v>
      </c>
      <c r="H31" s="38">
        <f t="shared" si="0"/>
        <v>720</v>
      </c>
      <c r="I31" s="38">
        <v>466</v>
      </c>
      <c r="J31" s="38">
        <v>254</v>
      </c>
      <c r="K31" s="38">
        <v>212</v>
      </c>
      <c r="L31" s="50">
        <f t="shared" si="1"/>
        <v>29.444444444444446</v>
      </c>
      <c r="M31" s="38">
        <v>0</v>
      </c>
      <c r="N31" s="50">
        <f t="shared" si="2"/>
        <v>0</v>
      </c>
      <c r="O31" s="38">
        <v>0</v>
      </c>
      <c r="P31" s="38">
        <v>0</v>
      </c>
    </row>
    <row r="32" spans="1:31" x14ac:dyDescent="0.25">
      <c r="A32" s="38" t="s">
        <v>36</v>
      </c>
      <c r="B32" s="38" t="s">
        <v>37</v>
      </c>
      <c r="C32" s="38" t="s">
        <v>90</v>
      </c>
      <c r="D32" s="38" t="s">
        <v>101</v>
      </c>
      <c r="E32" s="38" t="s">
        <v>102</v>
      </c>
      <c r="F32" s="38">
        <v>343.64</v>
      </c>
      <c r="G32" s="38">
        <v>343.64</v>
      </c>
      <c r="H32" s="38">
        <f t="shared" si="0"/>
        <v>401</v>
      </c>
      <c r="I32" s="38">
        <v>263</v>
      </c>
      <c r="J32" s="38">
        <v>138</v>
      </c>
      <c r="K32" s="38">
        <v>125</v>
      </c>
      <c r="L32" s="50">
        <f t="shared" si="1"/>
        <v>31.172069825436409</v>
      </c>
      <c r="M32" s="38">
        <v>0</v>
      </c>
      <c r="N32" s="50">
        <f t="shared" si="2"/>
        <v>0</v>
      </c>
      <c r="O32" s="38">
        <v>0</v>
      </c>
      <c r="P32" s="38">
        <v>0</v>
      </c>
    </row>
    <row r="33" spans="1:31" x14ac:dyDescent="0.25">
      <c r="A33" s="38" t="s">
        <v>36</v>
      </c>
      <c r="B33" s="38" t="s">
        <v>37</v>
      </c>
      <c r="C33" s="38" t="s">
        <v>90</v>
      </c>
      <c r="D33" s="38" t="s">
        <v>103</v>
      </c>
      <c r="E33" s="38" t="s">
        <v>104</v>
      </c>
      <c r="F33" s="38">
        <v>524.73</v>
      </c>
      <c r="G33" s="38">
        <v>524.73</v>
      </c>
      <c r="H33" s="38">
        <f t="shared" si="0"/>
        <v>784</v>
      </c>
      <c r="I33" s="38">
        <v>514</v>
      </c>
      <c r="J33" s="38">
        <v>270</v>
      </c>
      <c r="K33" s="38">
        <v>244</v>
      </c>
      <c r="L33" s="50">
        <f t="shared" si="1"/>
        <v>31.122448979591837</v>
      </c>
      <c r="M33" s="38">
        <v>0</v>
      </c>
      <c r="N33" s="50">
        <f t="shared" si="2"/>
        <v>0</v>
      </c>
      <c r="O33" s="38">
        <v>0</v>
      </c>
      <c r="P33" s="38">
        <v>0</v>
      </c>
    </row>
    <row r="34" spans="1:31" x14ac:dyDescent="0.25">
      <c r="A34" s="38" t="s">
        <v>36</v>
      </c>
      <c r="B34" s="38" t="s">
        <v>37</v>
      </c>
      <c r="C34" s="38" t="s">
        <v>105</v>
      </c>
      <c r="D34" s="38" t="s">
        <v>106</v>
      </c>
      <c r="E34" s="38" t="s">
        <v>107</v>
      </c>
      <c r="F34" s="38">
        <v>1471.96</v>
      </c>
      <c r="G34" s="38">
        <v>1471.96</v>
      </c>
      <c r="H34" s="38">
        <f t="shared" si="0"/>
        <v>2999</v>
      </c>
      <c r="I34" s="38">
        <v>1951</v>
      </c>
      <c r="J34" s="38">
        <v>1048</v>
      </c>
      <c r="K34" s="38">
        <v>903</v>
      </c>
      <c r="L34" s="50">
        <f t="shared" si="1"/>
        <v>30.110036678892964</v>
      </c>
      <c r="M34" s="38">
        <v>333</v>
      </c>
      <c r="N34" s="50">
        <f t="shared" si="2"/>
        <v>11.103701233744582</v>
      </c>
      <c r="O34" s="38">
        <v>0</v>
      </c>
      <c r="P34" s="38">
        <v>102.12</v>
      </c>
      <c r="Q34" s="34" t="s">
        <v>43</v>
      </c>
      <c r="R34" s="88">
        <v>44523</v>
      </c>
      <c r="S34" s="34"/>
      <c r="T34" s="34">
        <v>102</v>
      </c>
      <c r="U34" s="34"/>
      <c r="V34" s="34"/>
      <c r="W34" s="34"/>
      <c r="X34" s="34"/>
      <c r="Y34" s="34"/>
      <c r="Z34" s="89"/>
      <c r="AB34" s="89"/>
      <c r="AC34" s="34" t="s">
        <v>108</v>
      </c>
      <c r="AD34" s="34">
        <v>71.582716000000005</v>
      </c>
      <c r="AE34" s="34">
        <v>25.346392000000002</v>
      </c>
    </row>
    <row r="35" spans="1:31" x14ac:dyDescent="0.25">
      <c r="A35" s="38" t="s">
        <v>36</v>
      </c>
      <c r="B35" s="38" t="s">
        <v>37</v>
      </c>
      <c r="C35" s="38" t="s">
        <v>105</v>
      </c>
      <c r="D35" s="38" t="s">
        <v>109</v>
      </c>
      <c r="E35" s="38" t="s">
        <v>110</v>
      </c>
      <c r="F35" s="38">
        <v>789.3</v>
      </c>
      <c r="G35" s="38">
        <v>789.3</v>
      </c>
      <c r="H35" s="38">
        <f t="shared" si="0"/>
        <v>1131</v>
      </c>
      <c r="I35" s="38">
        <v>745</v>
      </c>
      <c r="J35" s="38">
        <v>386</v>
      </c>
      <c r="K35" s="38">
        <v>359</v>
      </c>
      <c r="L35" s="50">
        <f t="shared" si="1"/>
        <v>31.741821396993814</v>
      </c>
      <c r="M35" s="38">
        <v>1</v>
      </c>
      <c r="N35" s="50">
        <f t="shared" si="2"/>
        <v>8.8417329796640132E-2</v>
      </c>
      <c r="O35" s="38">
        <v>0</v>
      </c>
      <c r="P35" s="38">
        <v>0</v>
      </c>
      <c r="Q35" s="90" t="s">
        <v>43</v>
      </c>
      <c r="R35" s="91">
        <v>44520</v>
      </c>
      <c r="S35" s="90"/>
      <c r="T35" s="90">
        <v>0</v>
      </c>
      <c r="U35" s="90"/>
      <c r="V35" s="90"/>
      <c r="W35" s="90"/>
      <c r="X35" s="90"/>
      <c r="Y35" s="90"/>
      <c r="Z35" s="92"/>
      <c r="AB35" s="92"/>
      <c r="AC35" s="71" t="s">
        <v>111</v>
      </c>
      <c r="AD35" s="90">
        <v>0</v>
      </c>
      <c r="AE35" s="90"/>
    </row>
    <row r="36" spans="1:31" x14ac:dyDescent="0.25">
      <c r="A36" s="38" t="s">
        <v>36</v>
      </c>
      <c r="B36" s="38" t="s">
        <v>37</v>
      </c>
      <c r="C36" s="38" t="s">
        <v>105</v>
      </c>
      <c r="D36" s="38" t="s">
        <v>112</v>
      </c>
      <c r="E36" s="38" t="s">
        <v>113</v>
      </c>
      <c r="F36" s="38">
        <v>584.22</v>
      </c>
      <c r="G36" s="38">
        <v>584.22</v>
      </c>
      <c r="H36" s="38">
        <f t="shared" si="0"/>
        <v>863</v>
      </c>
      <c r="I36" s="38">
        <v>564</v>
      </c>
      <c r="J36" s="38">
        <v>299</v>
      </c>
      <c r="K36" s="38">
        <v>265</v>
      </c>
      <c r="L36" s="50">
        <f t="shared" si="1"/>
        <v>30.706836616454229</v>
      </c>
      <c r="M36" s="38">
        <v>0</v>
      </c>
      <c r="N36" s="50">
        <f t="shared" si="2"/>
        <v>0</v>
      </c>
      <c r="O36" s="38">
        <v>0</v>
      </c>
      <c r="P36" s="38">
        <v>113.77</v>
      </c>
      <c r="Q36" s="36" t="s">
        <v>43</v>
      </c>
      <c r="R36" s="14">
        <v>44523</v>
      </c>
      <c r="S36" s="36"/>
      <c r="T36" s="36">
        <v>114</v>
      </c>
      <c r="U36" s="36"/>
      <c r="V36" s="36"/>
      <c r="W36" s="36"/>
      <c r="X36" s="36"/>
      <c r="Y36" s="36"/>
      <c r="Z36" s="85"/>
      <c r="AB36" s="85"/>
      <c r="AC36" s="15" t="s">
        <v>114</v>
      </c>
      <c r="AD36" s="36"/>
      <c r="AE36" s="36"/>
    </row>
    <row r="37" spans="1:31" x14ac:dyDescent="0.25">
      <c r="A37" s="38" t="s">
        <v>36</v>
      </c>
      <c r="B37" s="38" t="s">
        <v>37</v>
      </c>
      <c r="C37" s="38" t="s">
        <v>105</v>
      </c>
      <c r="D37" s="38" t="s">
        <v>115</v>
      </c>
      <c r="E37" s="38" t="s">
        <v>116</v>
      </c>
      <c r="F37" s="38">
        <v>458.9</v>
      </c>
      <c r="G37" s="38">
        <v>458.9</v>
      </c>
      <c r="H37" s="38">
        <f t="shared" si="0"/>
        <v>1111</v>
      </c>
      <c r="I37" s="38">
        <v>729</v>
      </c>
      <c r="J37" s="38">
        <v>382</v>
      </c>
      <c r="K37" s="38">
        <v>347</v>
      </c>
      <c r="L37" s="50">
        <f t="shared" si="1"/>
        <v>31.233123312331234</v>
      </c>
      <c r="M37" s="38">
        <v>5</v>
      </c>
      <c r="N37" s="50">
        <f t="shared" si="2"/>
        <v>0.45004500450045004</v>
      </c>
      <c r="O37" s="38">
        <v>0</v>
      </c>
      <c r="P37" s="38">
        <v>27.62</v>
      </c>
      <c r="Q37" s="35" t="s">
        <v>43</v>
      </c>
      <c r="R37" s="93">
        <v>44523</v>
      </c>
      <c r="S37" s="35"/>
      <c r="T37" s="35">
        <v>28</v>
      </c>
      <c r="U37" s="35"/>
      <c r="V37" s="35"/>
      <c r="W37" s="35"/>
      <c r="X37" s="35"/>
      <c r="Y37" s="35"/>
      <c r="Z37" s="94"/>
      <c r="AB37" s="94"/>
      <c r="AC37" s="35" t="s">
        <v>117</v>
      </c>
      <c r="AD37" s="35">
        <v>71.600607999999994</v>
      </c>
      <c r="AE37" s="35">
        <v>25.370623999999999</v>
      </c>
    </row>
    <row r="38" spans="1:31" x14ac:dyDescent="0.25">
      <c r="A38" s="38" t="s">
        <v>36</v>
      </c>
      <c r="B38" s="38" t="s">
        <v>37</v>
      </c>
      <c r="C38" s="38" t="s">
        <v>105</v>
      </c>
      <c r="D38" s="38" t="s">
        <v>118</v>
      </c>
      <c r="E38" s="38" t="s">
        <v>119</v>
      </c>
      <c r="F38" s="38">
        <v>1153.95</v>
      </c>
      <c r="G38" s="38">
        <v>1153.95</v>
      </c>
      <c r="H38" s="38">
        <f t="shared" si="0"/>
        <v>1214</v>
      </c>
      <c r="I38" s="38">
        <v>794</v>
      </c>
      <c r="J38" s="38">
        <v>420</v>
      </c>
      <c r="K38" s="38">
        <v>374</v>
      </c>
      <c r="L38" s="50">
        <f t="shared" si="1"/>
        <v>30.807248764415156</v>
      </c>
      <c r="M38" s="38">
        <v>14</v>
      </c>
      <c r="N38" s="50">
        <f t="shared" si="2"/>
        <v>1.1532125205930808</v>
      </c>
      <c r="O38" s="38">
        <v>0</v>
      </c>
      <c r="P38" s="38">
        <v>5.65</v>
      </c>
      <c r="Q38" s="36" t="s">
        <v>43</v>
      </c>
      <c r="R38" s="14">
        <v>44523</v>
      </c>
      <c r="S38" s="36"/>
      <c r="T38" s="36">
        <v>6</v>
      </c>
      <c r="U38" s="36"/>
      <c r="V38" s="36"/>
      <c r="W38" s="36"/>
      <c r="X38" s="36"/>
      <c r="Y38" s="36"/>
      <c r="Z38" s="85"/>
      <c r="AB38" s="85"/>
      <c r="AC38" s="15" t="s">
        <v>120</v>
      </c>
      <c r="AD38" s="36"/>
      <c r="AE38" s="36"/>
    </row>
    <row r="39" spans="1:31" x14ac:dyDescent="0.25">
      <c r="A39" s="38" t="s">
        <v>36</v>
      </c>
      <c r="B39" s="38" t="s">
        <v>37</v>
      </c>
      <c r="C39" s="38" t="s">
        <v>105</v>
      </c>
      <c r="D39" s="74" t="s">
        <v>106</v>
      </c>
      <c r="E39" s="38"/>
      <c r="F39" s="38"/>
      <c r="G39" s="38"/>
      <c r="H39" s="38">
        <f t="shared" si="0"/>
        <v>0</v>
      </c>
      <c r="I39" s="38"/>
      <c r="J39" s="38"/>
      <c r="K39" s="38"/>
      <c r="L39" s="50"/>
      <c r="M39" s="38"/>
      <c r="N39" s="50"/>
      <c r="O39" s="38"/>
      <c r="P39" s="38"/>
      <c r="Q39" s="35" t="s">
        <v>43</v>
      </c>
      <c r="R39" s="93">
        <v>44523</v>
      </c>
      <c r="S39" s="35"/>
      <c r="T39" s="35">
        <v>102</v>
      </c>
      <c r="U39" s="35"/>
      <c r="V39" s="35"/>
      <c r="W39" s="35"/>
      <c r="X39" s="35"/>
      <c r="Y39" s="35"/>
      <c r="Z39" s="94"/>
      <c r="AB39" s="94"/>
      <c r="AC39" s="35" t="s">
        <v>108</v>
      </c>
      <c r="AD39" s="35">
        <v>71.582716000000005</v>
      </c>
      <c r="AE39" s="35">
        <v>25.346392000000002</v>
      </c>
    </row>
    <row r="40" spans="1:31" x14ac:dyDescent="0.25">
      <c r="A40" s="38" t="s">
        <v>36</v>
      </c>
      <c r="B40" s="38" t="s">
        <v>37</v>
      </c>
      <c r="C40" s="38" t="s">
        <v>105</v>
      </c>
      <c r="D40" s="74" t="s">
        <v>115</v>
      </c>
      <c r="E40" s="38"/>
      <c r="F40" s="38"/>
      <c r="G40" s="38"/>
      <c r="H40" s="38">
        <f t="shared" si="0"/>
        <v>0</v>
      </c>
      <c r="I40" s="38"/>
      <c r="J40" s="38"/>
      <c r="K40" s="38"/>
      <c r="L40" s="50"/>
      <c r="M40" s="38"/>
      <c r="N40" s="50"/>
      <c r="O40" s="38"/>
      <c r="P40" s="38"/>
      <c r="Q40" s="35" t="s">
        <v>43</v>
      </c>
      <c r="R40" s="93">
        <v>44523</v>
      </c>
      <c r="S40" s="35"/>
      <c r="T40" s="35">
        <v>28</v>
      </c>
      <c r="U40" s="35"/>
      <c r="V40" s="35"/>
      <c r="W40" s="35"/>
      <c r="X40" s="35"/>
      <c r="Y40" s="35"/>
      <c r="Z40" s="94"/>
      <c r="AB40" s="94"/>
      <c r="AC40" s="35" t="s">
        <v>117</v>
      </c>
      <c r="AD40" s="35">
        <v>71.600607999999994</v>
      </c>
      <c r="AE40" s="35">
        <v>25.370623999999999</v>
      </c>
    </row>
    <row r="41" spans="1:31" x14ac:dyDescent="0.25">
      <c r="A41" s="38" t="s">
        <v>36</v>
      </c>
      <c r="B41" s="38" t="s">
        <v>37</v>
      </c>
      <c r="C41" s="38" t="s">
        <v>105</v>
      </c>
      <c r="D41" s="38" t="s">
        <v>121</v>
      </c>
      <c r="E41" s="38" t="s">
        <v>122</v>
      </c>
      <c r="F41" s="38">
        <v>619.64</v>
      </c>
      <c r="G41" s="38">
        <v>619.64</v>
      </c>
      <c r="H41" s="38">
        <f t="shared" si="0"/>
        <v>906</v>
      </c>
      <c r="I41" s="38">
        <v>601</v>
      </c>
      <c r="J41" s="38">
        <v>305</v>
      </c>
      <c r="K41" s="38">
        <v>296</v>
      </c>
      <c r="L41" s="50">
        <f t="shared" si="1"/>
        <v>32.671081677704194</v>
      </c>
      <c r="M41" s="38">
        <v>7</v>
      </c>
      <c r="N41" s="50">
        <f t="shared" si="2"/>
        <v>0.77262693156732898</v>
      </c>
      <c r="O41" s="38">
        <v>0</v>
      </c>
      <c r="P41" s="38">
        <v>28.23</v>
      </c>
      <c r="Q41" s="36" t="s">
        <v>43</v>
      </c>
      <c r="R41" s="14">
        <v>44523</v>
      </c>
      <c r="S41" s="36"/>
      <c r="T41" s="36">
        <v>28</v>
      </c>
      <c r="U41" s="36"/>
      <c r="V41" s="36"/>
      <c r="W41" s="36"/>
      <c r="X41" s="36"/>
      <c r="Y41" s="36"/>
      <c r="Z41" s="85"/>
      <c r="AB41" s="85"/>
      <c r="AC41" s="15" t="s">
        <v>123</v>
      </c>
      <c r="AD41" s="36"/>
      <c r="AE41" s="36"/>
    </row>
    <row r="42" spans="1:31" x14ac:dyDescent="0.25">
      <c r="A42" s="38" t="s">
        <v>36</v>
      </c>
      <c r="B42" s="38" t="s">
        <v>37</v>
      </c>
      <c r="C42" s="38" t="s">
        <v>124</v>
      </c>
      <c r="D42" s="38" t="s">
        <v>124</v>
      </c>
      <c r="H42" s="38">
        <f t="shared" si="0"/>
        <v>0</v>
      </c>
      <c r="L42" s="50"/>
      <c r="N42" s="50"/>
      <c r="O42" s="38"/>
      <c r="P42" s="38"/>
      <c r="Q42" s="36" t="s">
        <v>43</v>
      </c>
      <c r="R42" s="14">
        <v>44494</v>
      </c>
      <c r="S42" s="36"/>
      <c r="T42" s="36">
        <v>0</v>
      </c>
      <c r="U42" s="36"/>
      <c r="V42" s="36"/>
      <c r="W42" s="36"/>
      <c r="X42" s="36"/>
      <c r="Y42" s="36"/>
      <c r="Z42" s="85"/>
      <c r="AB42" s="85"/>
      <c r="AC42" s="15" t="s">
        <v>125</v>
      </c>
      <c r="AD42" s="36">
        <v>0</v>
      </c>
      <c r="AE42" s="36"/>
    </row>
    <row r="43" spans="1:31" x14ac:dyDescent="0.25">
      <c r="A43" s="38" t="s">
        <v>36</v>
      </c>
      <c r="B43" s="38" t="s">
        <v>37</v>
      </c>
      <c r="C43" s="38" t="s">
        <v>124</v>
      </c>
      <c r="D43" s="15" t="s">
        <v>126</v>
      </c>
      <c r="H43" s="38">
        <f t="shared" si="0"/>
        <v>0</v>
      </c>
      <c r="L43" s="50"/>
      <c r="N43" s="50"/>
      <c r="O43" s="38"/>
      <c r="P43" s="38"/>
      <c r="Q43" s="36" t="s">
        <v>43</v>
      </c>
      <c r="R43" s="14">
        <v>44494</v>
      </c>
      <c r="S43" s="36"/>
      <c r="T43" s="36">
        <v>0</v>
      </c>
      <c r="U43" s="36"/>
      <c r="V43" s="36"/>
      <c r="W43" s="36"/>
      <c r="X43" s="36"/>
      <c r="Y43" s="36"/>
      <c r="Z43" s="85"/>
      <c r="AB43" s="85"/>
      <c r="AC43" s="15" t="s">
        <v>126</v>
      </c>
      <c r="AD43" s="36">
        <v>0</v>
      </c>
      <c r="AE43" s="36"/>
    </row>
    <row r="44" spans="1:31" x14ac:dyDescent="0.25">
      <c r="A44" s="38" t="s">
        <v>36</v>
      </c>
      <c r="B44" s="38" t="s">
        <v>37</v>
      </c>
      <c r="C44" s="38" t="s">
        <v>124</v>
      </c>
      <c r="D44" s="15" t="s">
        <v>127</v>
      </c>
      <c r="H44" s="38">
        <f t="shared" si="0"/>
        <v>0</v>
      </c>
      <c r="L44" s="50"/>
      <c r="N44" s="50"/>
      <c r="O44" s="38"/>
      <c r="P44" s="38"/>
      <c r="Q44" s="36" t="s">
        <v>43</v>
      </c>
      <c r="R44" s="14">
        <v>44494</v>
      </c>
      <c r="S44" s="36"/>
      <c r="T44" s="36">
        <v>0</v>
      </c>
      <c r="U44" s="36"/>
      <c r="V44" s="36"/>
      <c r="W44" s="36"/>
      <c r="X44" s="36"/>
      <c r="Y44" s="36"/>
      <c r="Z44" s="85"/>
      <c r="AB44" s="85"/>
      <c r="AC44" s="15" t="s">
        <v>127</v>
      </c>
      <c r="AD44" s="36">
        <v>0</v>
      </c>
      <c r="AE44" s="36"/>
    </row>
    <row r="45" spans="1:31" x14ac:dyDescent="0.25">
      <c r="A45" s="38" t="s">
        <v>36</v>
      </c>
      <c r="B45" s="38" t="s">
        <v>37</v>
      </c>
      <c r="C45" s="38" t="s">
        <v>124</v>
      </c>
      <c r="D45" s="38" t="s">
        <v>128</v>
      </c>
      <c r="E45" s="38" t="s">
        <v>129</v>
      </c>
      <c r="F45" s="38">
        <v>1749.82</v>
      </c>
      <c r="G45" s="38">
        <v>1749.82</v>
      </c>
      <c r="H45" s="38">
        <f t="shared" si="0"/>
        <v>2684</v>
      </c>
      <c r="I45" s="38">
        <v>1749</v>
      </c>
      <c r="J45" s="38">
        <v>935</v>
      </c>
      <c r="K45" s="38">
        <v>814</v>
      </c>
      <c r="L45" s="50">
        <f t="shared" si="1"/>
        <v>30.327868852459016</v>
      </c>
      <c r="M45" s="38">
        <v>54</v>
      </c>
      <c r="N45" s="50">
        <f t="shared" si="2"/>
        <v>2.0119225037257822</v>
      </c>
      <c r="O45" s="38">
        <v>10.73</v>
      </c>
      <c r="P45" s="38">
        <v>46.96</v>
      </c>
      <c r="Q45" s="36" t="s">
        <v>43</v>
      </c>
      <c r="R45" s="14">
        <v>44494</v>
      </c>
      <c r="S45" s="36"/>
      <c r="T45" s="36">
        <v>47</v>
      </c>
      <c r="U45" s="36"/>
      <c r="V45" s="36"/>
      <c r="W45" s="36"/>
      <c r="X45" s="36"/>
      <c r="Y45" s="36"/>
      <c r="Z45" s="85"/>
      <c r="AB45" s="85"/>
      <c r="AC45" s="15" t="s">
        <v>130</v>
      </c>
      <c r="AD45" s="36"/>
      <c r="AE45" s="36"/>
    </row>
    <row r="46" spans="1:31" x14ac:dyDescent="0.25">
      <c r="A46" s="38" t="s">
        <v>36</v>
      </c>
      <c r="B46" s="38" t="s">
        <v>37</v>
      </c>
      <c r="C46" s="38" t="s">
        <v>131</v>
      </c>
      <c r="D46" s="38" t="s">
        <v>132</v>
      </c>
      <c r="E46" s="38" t="s">
        <v>133</v>
      </c>
      <c r="F46" s="38">
        <v>677.24</v>
      </c>
      <c r="G46" s="38">
        <v>677.24</v>
      </c>
      <c r="H46" s="38">
        <f t="shared" si="0"/>
        <v>1197</v>
      </c>
      <c r="I46" s="38">
        <v>775</v>
      </c>
      <c r="J46" s="38">
        <v>422</v>
      </c>
      <c r="K46" s="38">
        <v>353</v>
      </c>
      <c r="L46" s="50">
        <f t="shared" si="1"/>
        <v>29.490392648287383</v>
      </c>
      <c r="M46" s="38">
        <v>21</v>
      </c>
      <c r="N46" s="50">
        <f t="shared" si="2"/>
        <v>1.7543859649122806</v>
      </c>
      <c r="O46" s="38">
        <v>0</v>
      </c>
      <c r="P46" s="38">
        <v>0</v>
      </c>
    </row>
    <row r="47" spans="1:31" x14ac:dyDescent="0.25">
      <c r="A47" s="38" t="s">
        <v>36</v>
      </c>
      <c r="B47" s="38" t="s">
        <v>37</v>
      </c>
      <c r="C47" s="38" t="s">
        <v>131</v>
      </c>
      <c r="D47" s="38" t="s">
        <v>134</v>
      </c>
      <c r="E47" s="38" t="s">
        <v>135</v>
      </c>
      <c r="F47" s="38">
        <v>200.27</v>
      </c>
      <c r="G47" s="38">
        <v>200.27</v>
      </c>
      <c r="H47" s="38">
        <f t="shared" si="0"/>
        <v>393</v>
      </c>
      <c r="I47" s="38">
        <v>258</v>
      </c>
      <c r="J47" s="38">
        <v>135</v>
      </c>
      <c r="K47" s="38">
        <v>123</v>
      </c>
      <c r="L47" s="50">
        <f t="shared" si="1"/>
        <v>31.297709923664126</v>
      </c>
      <c r="M47" s="38">
        <v>0</v>
      </c>
      <c r="N47" s="50">
        <f t="shared" si="2"/>
        <v>0</v>
      </c>
      <c r="O47" s="38">
        <v>0</v>
      </c>
      <c r="P47" s="38">
        <v>0</v>
      </c>
    </row>
    <row r="48" spans="1:31" x14ac:dyDescent="0.25">
      <c r="A48" s="38" t="s">
        <v>36</v>
      </c>
      <c r="B48" s="38" t="s">
        <v>37</v>
      </c>
      <c r="C48" s="38" t="s">
        <v>131</v>
      </c>
      <c r="D48" s="38" t="s">
        <v>136</v>
      </c>
      <c r="E48" s="38" t="s">
        <v>137</v>
      </c>
      <c r="F48" s="38">
        <v>154.32</v>
      </c>
      <c r="G48" s="38">
        <v>154.32</v>
      </c>
      <c r="H48" s="38">
        <f t="shared" si="0"/>
        <v>450</v>
      </c>
      <c r="I48" s="38">
        <v>286</v>
      </c>
      <c r="J48" s="38">
        <v>164</v>
      </c>
      <c r="K48" s="38">
        <v>122</v>
      </c>
      <c r="L48" s="50">
        <f t="shared" si="1"/>
        <v>27.111111111111114</v>
      </c>
      <c r="M48" s="38">
        <v>3</v>
      </c>
      <c r="N48" s="50">
        <f t="shared" si="2"/>
        <v>0.66666666666666674</v>
      </c>
      <c r="O48" s="38">
        <v>0</v>
      </c>
      <c r="P48" s="38">
        <v>0</v>
      </c>
    </row>
    <row r="49" spans="1:31" x14ac:dyDescent="0.25">
      <c r="A49" s="38" t="s">
        <v>36</v>
      </c>
      <c r="B49" s="38" t="s">
        <v>37</v>
      </c>
      <c r="C49" s="38" t="s">
        <v>131</v>
      </c>
      <c r="D49" s="38" t="s">
        <v>138</v>
      </c>
      <c r="E49" s="38" t="s">
        <v>139</v>
      </c>
      <c r="F49" s="38">
        <v>536.04</v>
      </c>
      <c r="G49" s="38">
        <v>536.04</v>
      </c>
      <c r="H49" s="38">
        <f t="shared" si="0"/>
        <v>662</v>
      </c>
      <c r="I49" s="38">
        <v>433</v>
      </c>
      <c r="J49" s="38">
        <v>229</v>
      </c>
      <c r="K49" s="38">
        <v>204</v>
      </c>
      <c r="L49" s="50">
        <f t="shared" si="1"/>
        <v>30.815709969788518</v>
      </c>
      <c r="M49" s="38">
        <v>52</v>
      </c>
      <c r="N49" s="50">
        <f t="shared" si="2"/>
        <v>7.8549848942598182</v>
      </c>
      <c r="O49" s="38">
        <v>0</v>
      </c>
      <c r="P49" s="38">
        <v>66.34</v>
      </c>
    </row>
    <row r="50" spans="1:31" x14ac:dyDescent="0.25">
      <c r="A50" s="38" t="s">
        <v>36</v>
      </c>
      <c r="B50" s="38" t="s">
        <v>37</v>
      </c>
      <c r="C50" s="38" t="s">
        <v>131</v>
      </c>
      <c r="D50" s="38" t="s">
        <v>140</v>
      </c>
      <c r="E50" s="38" t="s">
        <v>141</v>
      </c>
      <c r="F50" s="38">
        <v>489.29</v>
      </c>
      <c r="G50" s="38">
        <v>489.29</v>
      </c>
      <c r="H50" s="38">
        <f t="shared" si="0"/>
        <v>717</v>
      </c>
      <c r="I50" s="38">
        <v>467</v>
      </c>
      <c r="J50" s="38">
        <v>250</v>
      </c>
      <c r="K50" s="38">
        <v>217</v>
      </c>
      <c r="L50" s="50">
        <f t="shared" si="1"/>
        <v>30.264993026499305</v>
      </c>
      <c r="M50" s="38">
        <v>23</v>
      </c>
      <c r="N50" s="50">
        <f t="shared" si="2"/>
        <v>3.2078103207810322</v>
      </c>
      <c r="O50" s="38">
        <v>0</v>
      </c>
      <c r="P50" s="38">
        <v>55.7</v>
      </c>
    </row>
    <row r="51" spans="1:31" x14ac:dyDescent="0.25">
      <c r="A51" s="38" t="s">
        <v>36</v>
      </c>
      <c r="B51" s="38" t="s">
        <v>37</v>
      </c>
      <c r="C51" s="38" t="s">
        <v>142</v>
      </c>
      <c r="D51" s="75" t="s">
        <v>143</v>
      </c>
      <c r="E51" s="38"/>
      <c r="F51" s="38"/>
      <c r="G51" s="38"/>
      <c r="H51" s="38">
        <f t="shared" si="0"/>
        <v>0</v>
      </c>
      <c r="I51" s="38"/>
      <c r="J51" s="38"/>
      <c r="K51" s="38"/>
      <c r="L51" s="50"/>
      <c r="M51" s="38"/>
      <c r="N51" s="50"/>
      <c r="O51" s="38"/>
      <c r="P51" s="38"/>
      <c r="Q51" s="36" t="s">
        <v>43</v>
      </c>
      <c r="R51" s="95">
        <v>44466</v>
      </c>
      <c r="S51" s="36"/>
      <c r="T51" s="36">
        <v>36</v>
      </c>
      <c r="U51" s="36"/>
      <c r="V51" s="36"/>
      <c r="W51" s="36"/>
      <c r="X51" s="36"/>
      <c r="Y51" s="36"/>
      <c r="Z51" s="85"/>
      <c r="AB51" s="85"/>
      <c r="AC51" s="36" t="s">
        <v>144</v>
      </c>
      <c r="AD51" s="36">
        <v>71.699742000000001</v>
      </c>
      <c r="AE51" s="36">
        <v>25.715214</v>
      </c>
    </row>
    <row r="52" spans="1:31" x14ac:dyDescent="0.25">
      <c r="A52" s="38" t="s">
        <v>36</v>
      </c>
      <c r="B52" s="38" t="s">
        <v>37</v>
      </c>
      <c r="C52" s="38" t="s">
        <v>142</v>
      </c>
      <c r="D52" s="38" t="s">
        <v>146</v>
      </c>
      <c r="E52" s="38" t="s">
        <v>147</v>
      </c>
      <c r="F52" s="38">
        <v>1790.79</v>
      </c>
      <c r="G52" s="38">
        <v>1790.79</v>
      </c>
      <c r="H52" s="38">
        <f t="shared" si="0"/>
        <v>2398</v>
      </c>
      <c r="I52" s="38">
        <v>1580</v>
      </c>
      <c r="J52" s="38">
        <v>818</v>
      </c>
      <c r="K52" s="38">
        <v>762</v>
      </c>
      <c r="L52" s="50">
        <f t="shared" si="1"/>
        <v>31.776480400333611</v>
      </c>
      <c r="M52" s="38">
        <v>108</v>
      </c>
      <c r="N52" s="50">
        <f t="shared" si="2"/>
        <v>4.5037531276063385</v>
      </c>
      <c r="O52" s="38">
        <v>0</v>
      </c>
      <c r="P52" s="38">
        <v>197.76</v>
      </c>
      <c r="Q52" s="36" t="s">
        <v>43</v>
      </c>
      <c r="R52" s="14">
        <v>44466</v>
      </c>
      <c r="S52" s="36"/>
      <c r="T52" s="36">
        <v>1</v>
      </c>
      <c r="U52" s="36"/>
      <c r="V52" s="36"/>
      <c r="W52" s="36"/>
      <c r="X52" s="36"/>
      <c r="Y52" s="36"/>
      <c r="Z52" s="85"/>
      <c r="AB52" s="85"/>
      <c r="AC52" s="15" t="s">
        <v>145</v>
      </c>
      <c r="AD52" s="36"/>
      <c r="AE52" s="36"/>
    </row>
    <row r="53" spans="1:31" x14ac:dyDescent="0.25">
      <c r="A53" s="38" t="s">
        <v>36</v>
      </c>
      <c r="B53" s="38" t="s">
        <v>37</v>
      </c>
      <c r="C53" s="38" t="s">
        <v>142</v>
      </c>
      <c r="D53" s="38" t="s">
        <v>148</v>
      </c>
      <c r="E53" s="38" t="s">
        <v>149</v>
      </c>
      <c r="F53" s="38">
        <v>1006.56</v>
      </c>
      <c r="G53" s="38">
        <v>1006.56</v>
      </c>
      <c r="H53" s="38">
        <f t="shared" si="0"/>
        <v>1673</v>
      </c>
      <c r="I53" s="38">
        <v>1099</v>
      </c>
      <c r="J53" s="38">
        <v>574</v>
      </c>
      <c r="K53" s="38">
        <v>525</v>
      </c>
      <c r="L53" s="50">
        <f t="shared" si="1"/>
        <v>31.380753138075313</v>
      </c>
      <c r="M53" s="38">
        <v>1</v>
      </c>
      <c r="N53" s="50">
        <f t="shared" si="2"/>
        <v>5.9772863120143446E-2</v>
      </c>
      <c r="O53" s="38">
        <v>0</v>
      </c>
      <c r="P53" s="38">
        <v>36.020000000000003</v>
      </c>
      <c r="Q53" s="36" t="s">
        <v>43</v>
      </c>
      <c r="R53" s="14">
        <v>44466</v>
      </c>
      <c r="S53" s="36"/>
      <c r="T53" s="36">
        <v>0.27</v>
      </c>
      <c r="U53" s="36"/>
      <c r="V53" s="36"/>
      <c r="W53" s="36"/>
      <c r="X53" s="36"/>
      <c r="Y53" s="36"/>
      <c r="Z53" s="85"/>
      <c r="AB53" s="85"/>
      <c r="AC53" s="15" t="s">
        <v>150</v>
      </c>
      <c r="AD53" s="36"/>
      <c r="AE53" s="36"/>
    </row>
    <row r="54" spans="1:31" x14ac:dyDescent="0.25">
      <c r="A54" s="38" t="s">
        <v>36</v>
      </c>
      <c r="B54" s="38" t="s">
        <v>37</v>
      </c>
      <c r="C54" s="38" t="s">
        <v>151</v>
      </c>
      <c r="D54" s="38" t="s">
        <v>151</v>
      </c>
      <c r="E54" s="38" t="s">
        <v>152</v>
      </c>
      <c r="F54" s="38">
        <v>1048.8</v>
      </c>
      <c r="G54" s="38">
        <v>1048.8</v>
      </c>
      <c r="H54" s="38">
        <f t="shared" si="0"/>
        <v>2072</v>
      </c>
      <c r="I54" s="38">
        <v>1363</v>
      </c>
      <c r="J54" s="38">
        <v>709</v>
      </c>
      <c r="K54" s="38">
        <v>654</v>
      </c>
      <c r="L54" s="50">
        <f t="shared" si="1"/>
        <v>31.56370656370656</v>
      </c>
      <c r="M54" s="38">
        <v>0</v>
      </c>
      <c r="N54" s="50">
        <f t="shared" si="2"/>
        <v>0</v>
      </c>
      <c r="O54" s="38">
        <v>0</v>
      </c>
      <c r="P54" s="38">
        <v>0</v>
      </c>
      <c r="Q54" s="36" t="s">
        <v>43</v>
      </c>
      <c r="R54" s="14">
        <v>44467</v>
      </c>
      <c r="S54" s="36"/>
      <c r="T54" s="36">
        <v>0</v>
      </c>
      <c r="U54" s="36"/>
      <c r="V54" s="36"/>
      <c r="W54" s="36"/>
      <c r="X54" s="36"/>
      <c r="Y54" s="36"/>
      <c r="Z54" s="85"/>
      <c r="AB54" s="85"/>
      <c r="AC54" s="15" t="s">
        <v>153</v>
      </c>
      <c r="AD54" s="36">
        <v>0</v>
      </c>
      <c r="AE54" s="36"/>
    </row>
    <row r="55" spans="1:31" x14ac:dyDescent="0.25">
      <c r="A55" s="38" t="s">
        <v>36</v>
      </c>
      <c r="B55" s="38" t="s">
        <v>37</v>
      </c>
      <c r="C55" s="38" t="s">
        <v>151</v>
      </c>
      <c r="D55" s="38" t="s">
        <v>154</v>
      </c>
      <c r="E55" s="38" t="s">
        <v>155</v>
      </c>
      <c r="F55" s="38">
        <v>1134.73</v>
      </c>
      <c r="G55" s="38">
        <v>1134.73</v>
      </c>
      <c r="H55" s="38">
        <f t="shared" si="0"/>
        <v>1855</v>
      </c>
      <c r="I55" s="38">
        <v>1230</v>
      </c>
      <c r="J55" s="38">
        <v>625</v>
      </c>
      <c r="K55" s="38">
        <v>605</v>
      </c>
      <c r="L55" s="50">
        <f t="shared" si="1"/>
        <v>32.614555256064691</v>
      </c>
      <c r="M55" s="38">
        <v>44</v>
      </c>
      <c r="N55" s="50">
        <f t="shared" si="2"/>
        <v>2.371967654986523</v>
      </c>
      <c r="O55" s="38">
        <v>0</v>
      </c>
      <c r="P55" s="38">
        <v>38.130000000000003</v>
      </c>
      <c r="Q55" s="36" t="s">
        <v>43</v>
      </c>
      <c r="R55" s="14">
        <v>44467</v>
      </c>
      <c r="S55" s="36"/>
      <c r="T55" s="36">
        <v>38.129399999999997</v>
      </c>
      <c r="U55" s="36"/>
      <c r="V55" s="36"/>
      <c r="W55" s="36"/>
      <c r="X55" s="36"/>
      <c r="Y55" s="36"/>
      <c r="Z55" s="85"/>
      <c r="AB55" s="85"/>
      <c r="AC55" s="15" t="s">
        <v>156</v>
      </c>
      <c r="AD55" s="36"/>
      <c r="AE55" s="36"/>
    </row>
    <row r="56" spans="1:31" x14ac:dyDescent="0.25">
      <c r="A56" s="38" t="s">
        <v>36</v>
      </c>
      <c r="B56" s="38" t="s">
        <v>37</v>
      </c>
      <c r="C56" s="38" t="s">
        <v>157</v>
      </c>
      <c r="D56" s="38" t="s">
        <v>158</v>
      </c>
      <c r="E56" s="38" t="s">
        <v>159</v>
      </c>
      <c r="F56" s="38">
        <v>481</v>
      </c>
      <c r="G56" s="38">
        <v>481</v>
      </c>
      <c r="H56" s="38">
        <f t="shared" si="0"/>
        <v>1035</v>
      </c>
      <c r="I56" s="38">
        <v>678</v>
      </c>
      <c r="J56" s="38">
        <v>357</v>
      </c>
      <c r="K56" s="38">
        <v>321</v>
      </c>
      <c r="L56" s="50">
        <f t="shared" si="1"/>
        <v>31.014492753623191</v>
      </c>
      <c r="M56" s="38">
        <v>21</v>
      </c>
      <c r="N56" s="50">
        <f t="shared" si="2"/>
        <v>2.0289855072463765</v>
      </c>
      <c r="O56" s="38">
        <v>0</v>
      </c>
      <c r="P56" s="38">
        <v>133.69999999999999</v>
      </c>
      <c r="Q56" s="96" t="s">
        <v>160</v>
      </c>
      <c r="R56" s="14">
        <v>44468</v>
      </c>
      <c r="S56" s="97"/>
      <c r="T56" s="96">
        <v>103</v>
      </c>
      <c r="U56" s="96"/>
      <c r="V56" s="96"/>
      <c r="W56" s="96"/>
      <c r="X56" s="96"/>
      <c r="Y56" s="96"/>
      <c r="Z56" s="85"/>
      <c r="AB56" s="85"/>
      <c r="AC56" s="15" t="s">
        <v>158</v>
      </c>
      <c r="AD56" s="36"/>
      <c r="AE56" s="97"/>
    </row>
    <row r="57" spans="1:31" x14ac:dyDescent="0.25">
      <c r="A57" s="38" t="s">
        <v>36</v>
      </c>
      <c r="B57" s="38" t="s">
        <v>37</v>
      </c>
      <c r="C57" s="38" t="s">
        <v>157</v>
      </c>
      <c r="D57" s="38" t="s">
        <v>161</v>
      </c>
      <c r="E57" s="38" t="s">
        <v>162</v>
      </c>
      <c r="F57" s="38">
        <v>272</v>
      </c>
      <c r="G57" s="38">
        <v>272</v>
      </c>
      <c r="H57" s="38">
        <f t="shared" si="0"/>
        <v>406</v>
      </c>
      <c r="I57" s="38">
        <v>273</v>
      </c>
      <c r="J57" s="38">
        <v>133</v>
      </c>
      <c r="K57" s="38">
        <v>140</v>
      </c>
      <c r="L57" s="50">
        <f t="shared" si="1"/>
        <v>34.482758620689658</v>
      </c>
      <c r="M57" s="38">
        <v>0</v>
      </c>
      <c r="N57" s="50">
        <f t="shared" si="2"/>
        <v>0</v>
      </c>
      <c r="O57" s="38">
        <v>0</v>
      </c>
      <c r="P57" s="38">
        <v>69.569999999999993</v>
      </c>
      <c r="Q57" s="96" t="s">
        <v>160</v>
      </c>
      <c r="R57" s="14">
        <v>44468</v>
      </c>
      <c r="S57" s="97"/>
      <c r="T57" s="96">
        <v>0</v>
      </c>
      <c r="U57" s="96"/>
      <c r="V57" s="96"/>
      <c r="W57" s="96"/>
      <c r="X57" s="96"/>
      <c r="Y57" s="96"/>
      <c r="Z57" s="85"/>
      <c r="AB57" s="85"/>
      <c r="AC57" s="15" t="s">
        <v>163</v>
      </c>
      <c r="AD57" s="36"/>
      <c r="AE57" s="97"/>
    </row>
    <row r="58" spans="1:31" x14ac:dyDescent="0.25">
      <c r="A58" s="38" t="s">
        <v>36</v>
      </c>
      <c r="B58" s="38" t="s">
        <v>37</v>
      </c>
      <c r="C58" s="38" t="s">
        <v>157</v>
      </c>
      <c r="D58" s="38" t="s">
        <v>164</v>
      </c>
      <c r="E58" s="38" t="s">
        <v>165</v>
      </c>
      <c r="F58" s="38">
        <v>455</v>
      </c>
      <c r="G58" s="38">
        <v>455</v>
      </c>
      <c r="H58" s="38">
        <f t="shared" si="0"/>
        <v>630</v>
      </c>
      <c r="I58" s="38">
        <v>419</v>
      </c>
      <c r="J58" s="38">
        <v>211</v>
      </c>
      <c r="K58" s="38">
        <v>208</v>
      </c>
      <c r="L58" s="50">
        <f t="shared" si="1"/>
        <v>33.015873015873012</v>
      </c>
      <c r="M58" s="38">
        <v>13</v>
      </c>
      <c r="N58" s="50">
        <f t="shared" si="2"/>
        <v>2.0634920634920633</v>
      </c>
      <c r="O58" s="38">
        <v>0</v>
      </c>
      <c r="P58" s="38">
        <v>78.3</v>
      </c>
      <c r="Q58" s="96" t="s">
        <v>160</v>
      </c>
      <c r="R58" s="14">
        <v>44468</v>
      </c>
      <c r="S58" s="97"/>
      <c r="T58" s="96">
        <v>0</v>
      </c>
      <c r="U58" s="96"/>
      <c r="V58" s="96"/>
      <c r="W58" s="96"/>
      <c r="X58" s="96"/>
      <c r="Y58" s="96"/>
      <c r="Z58" s="85"/>
      <c r="AB58" s="85"/>
      <c r="AC58" s="15" t="s">
        <v>166</v>
      </c>
      <c r="AD58" s="36"/>
      <c r="AE58" s="97"/>
    </row>
    <row r="59" spans="1:31" x14ac:dyDescent="0.25">
      <c r="A59" s="38" t="s">
        <v>36</v>
      </c>
      <c r="B59" s="38" t="s">
        <v>37</v>
      </c>
      <c r="C59" s="38" t="s">
        <v>157</v>
      </c>
      <c r="D59" s="38" t="s">
        <v>167</v>
      </c>
      <c r="E59" s="38" t="s">
        <v>168</v>
      </c>
      <c r="F59" s="38">
        <v>246</v>
      </c>
      <c r="G59" s="38">
        <v>246</v>
      </c>
      <c r="H59" s="38">
        <f t="shared" si="0"/>
        <v>268</v>
      </c>
      <c r="I59" s="38">
        <v>177</v>
      </c>
      <c r="J59" s="38">
        <v>91</v>
      </c>
      <c r="K59" s="38">
        <v>86</v>
      </c>
      <c r="L59" s="50">
        <f t="shared" si="1"/>
        <v>32.089552238805972</v>
      </c>
      <c r="M59" s="38">
        <v>0</v>
      </c>
      <c r="N59" s="50">
        <f t="shared" si="2"/>
        <v>0</v>
      </c>
      <c r="O59" s="38">
        <v>0</v>
      </c>
      <c r="P59" s="38">
        <v>0</v>
      </c>
      <c r="Q59" s="36" t="s">
        <v>43</v>
      </c>
      <c r="R59" s="95">
        <v>44468</v>
      </c>
      <c r="S59" s="36"/>
      <c r="T59" s="36">
        <v>16.18</v>
      </c>
      <c r="U59" s="36"/>
      <c r="V59" s="36"/>
      <c r="W59" s="36"/>
      <c r="X59" s="36"/>
      <c r="Y59" s="36"/>
      <c r="Z59" s="87"/>
      <c r="AB59" s="85">
        <v>16</v>
      </c>
      <c r="AC59" s="36" t="s">
        <v>169</v>
      </c>
      <c r="AD59" s="36">
        <v>71.535690000000002</v>
      </c>
      <c r="AE59" s="36">
        <v>25.373715000000001</v>
      </c>
    </row>
    <row r="60" spans="1:31" x14ac:dyDescent="0.25">
      <c r="A60" s="38" t="s">
        <v>36</v>
      </c>
      <c r="B60" s="38" t="s">
        <v>37</v>
      </c>
      <c r="C60" s="38" t="s">
        <v>157</v>
      </c>
      <c r="D60" s="38" t="s">
        <v>170</v>
      </c>
      <c r="E60" s="38" t="s">
        <v>171</v>
      </c>
      <c r="F60" s="38">
        <v>629</v>
      </c>
      <c r="G60" s="38">
        <v>629</v>
      </c>
      <c r="H60" s="38">
        <f t="shared" si="0"/>
        <v>1213</v>
      </c>
      <c r="I60" s="38">
        <v>800</v>
      </c>
      <c r="J60" s="38">
        <v>413</v>
      </c>
      <c r="K60" s="38">
        <v>387</v>
      </c>
      <c r="L60" s="50">
        <f t="shared" si="1"/>
        <v>31.904369332234129</v>
      </c>
      <c r="M60" s="38">
        <v>18</v>
      </c>
      <c r="N60" s="50">
        <f t="shared" si="2"/>
        <v>1.4839241549876341</v>
      </c>
      <c r="O60" s="38">
        <v>0</v>
      </c>
      <c r="P60" s="38">
        <v>93.4</v>
      </c>
      <c r="Q60" s="96" t="s">
        <v>160</v>
      </c>
      <c r="R60" s="14">
        <v>44468</v>
      </c>
      <c r="S60" s="97"/>
      <c r="T60" s="96">
        <v>92.14</v>
      </c>
      <c r="U60" s="96"/>
      <c r="V60" s="96"/>
      <c r="W60" s="96"/>
      <c r="X60" s="96"/>
      <c r="Y60" s="96"/>
      <c r="Z60" s="85"/>
      <c r="AB60" s="85"/>
      <c r="AC60" s="15" t="s">
        <v>172</v>
      </c>
      <c r="AD60" s="36"/>
      <c r="AE60" s="97"/>
    </row>
    <row r="61" spans="1:31" x14ac:dyDescent="0.25">
      <c r="A61" s="38" t="s">
        <v>36</v>
      </c>
      <c r="B61" s="38" t="s">
        <v>37</v>
      </c>
      <c r="C61" s="38" t="s">
        <v>157</v>
      </c>
      <c r="D61" s="38" t="s">
        <v>173</v>
      </c>
      <c r="E61" s="38" t="s">
        <v>174</v>
      </c>
      <c r="F61" s="38">
        <v>572</v>
      </c>
      <c r="G61" s="38">
        <v>572</v>
      </c>
      <c r="H61" s="38">
        <f t="shared" si="0"/>
        <v>1283</v>
      </c>
      <c r="I61" s="38">
        <v>842</v>
      </c>
      <c r="J61" s="38">
        <v>441</v>
      </c>
      <c r="K61" s="38">
        <v>401</v>
      </c>
      <c r="L61" s="50">
        <f t="shared" si="1"/>
        <v>31.254871395167577</v>
      </c>
      <c r="M61" s="38">
        <v>84</v>
      </c>
      <c r="N61" s="50">
        <f t="shared" si="2"/>
        <v>6.5471551052221351</v>
      </c>
      <c r="O61" s="38">
        <v>0</v>
      </c>
      <c r="P61" s="38">
        <v>0</v>
      </c>
      <c r="Q61" s="96" t="s">
        <v>160</v>
      </c>
      <c r="R61" s="14">
        <v>44468</v>
      </c>
      <c r="S61" s="97"/>
      <c r="T61" s="96">
        <v>0</v>
      </c>
      <c r="U61" s="96"/>
      <c r="V61" s="96"/>
      <c r="W61" s="96"/>
      <c r="X61" s="96"/>
      <c r="Y61" s="96"/>
      <c r="Z61" s="85"/>
      <c r="AB61" s="85"/>
      <c r="AC61" s="15" t="s">
        <v>175</v>
      </c>
      <c r="AD61" s="36"/>
      <c r="AE61" s="97"/>
    </row>
    <row r="62" spans="1:31" x14ac:dyDescent="0.25">
      <c r="A62" s="38" t="s">
        <v>36</v>
      </c>
      <c r="B62" s="38" t="s">
        <v>37</v>
      </c>
      <c r="C62" s="38" t="s">
        <v>176</v>
      </c>
      <c r="D62" s="38" t="s">
        <v>176</v>
      </c>
      <c r="E62" s="38" t="s">
        <v>177</v>
      </c>
      <c r="F62" s="38">
        <v>571.92999999999995</v>
      </c>
      <c r="G62" s="38">
        <v>571.92999999999995</v>
      </c>
      <c r="H62" s="38">
        <f t="shared" si="0"/>
        <v>728</v>
      </c>
      <c r="I62" s="38">
        <v>478</v>
      </c>
      <c r="J62" s="38">
        <v>250</v>
      </c>
      <c r="K62" s="38">
        <v>228</v>
      </c>
      <c r="L62" s="50">
        <f t="shared" si="1"/>
        <v>31.318681318681318</v>
      </c>
      <c r="M62" s="38">
        <v>0</v>
      </c>
      <c r="N62" s="50">
        <f t="shared" si="2"/>
        <v>0</v>
      </c>
      <c r="O62" s="38">
        <v>0</v>
      </c>
      <c r="P62" s="38">
        <v>0</v>
      </c>
    </row>
    <row r="63" spans="1:31" x14ac:dyDescent="0.25">
      <c r="A63" s="38" t="s">
        <v>36</v>
      </c>
      <c r="B63" s="38" t="s">
        <v>37</v>
      </c>
      <c r="C63" s="38" t="s">
        <v>176</v>
      </c>
      <c r="D63" s="38" t="s">
        <v>178</v>
      </c>
      <c r="E63" s="38" t="s">
        <v>179</v>
      </c>
      <c r="F63" s="38">
        <v>341.04</v>
      </c>
      <c r="G63" s="38">
        <v>341.04</v>
      </c>
      <c r="H63" s="38">
        <f t="shared" si="0"/>
        <v>820</v>
      </c>
      <c r="I63" s="38">
        <v>536</v>
      </c>
      <c r="J63" s="38">
        <v>284</v>
      </c>
      <c r="K63" s="38">
        <v>252</v>
      </c>
      <c r="L63" s="50">
        <f t="shared" si="1"/>
        <v>30.73170731707317</v>
      </c>
      <c r="M63" s="38">
        <v>23</v>
      </c>
      <c r="N63" s="50">
        <f t="shared" si="2"/>
        <v>2.8048780487804881</v>
      </c>
      <c r="O63" s="38">
        <v>0</v>
      </c>
      <c r="P63" s="38">
        <v>22.26</v>
      </c>
      <c r="Q63" s="36" t="s">
        <v>43</v>
      </c>
      <c r="R63" s="14">
        <v>44510</v>
      </c>
      <c r="S63" s="36"/>
      <c r="T63" s="36">
        <v>78</v>
      </c>
      <c r="U63" s="36"/>
      <c r="V63" s="36"/>
      <c r="W63" s="36"/>
      <c r="X63" s="36"/>
      <c r="Y63" s="36"/>
      <c r="Z63" s="85"/>
      <c r="AB63" s="85"/>
      <c r="AC63" s="15" t="s">
        <v>180</v>
      </c>
      <c r="AD63" s="36">
        <v>25.478527</v>
      </c>
      <c r="AE63" s="36">
        <v>71.738439999999997</v>
      </c>
    </row>
    <row r="64" spans="1:31" x14ac:dyDescent="0.25">
      <c r="A64" s="38" t="s">
        <v>36</v>
      </c>
      <c r="B64" s="38" t="s">
        <v>37</v>
      </c>
      <c r="C64" s="38" t="s">
        <v>176</v>
      </c>
      <c r="D64" s="38" t="s">
        <v>181</v>
      </c>
      <c r="E64" s="38" t="s">
        <v>182</v>
      </c>
      <c r="F64" s="38">
        <v>493.39</v>
      </c>
      <c r="G64" s="38">
        <v>493.39</v>
      </c>
      <c r="H64" s="38">
        <f t="shared" si="0"/>
        <v>470</v>
      </c>
      <c r="I64" s="38">
        <v>307</v>
      </c>
      <c r="J64" s="38">
        <v>163</v>
      </c>
      <c r="K64" s="38">
        <v>144</v>
      </c>
      <c r="L64" s="50">
        <f t="shared" si="1"/>
        <v>30.638297872340424</v>
      </c>
      <c r="M64" s="38">
        <v>20</v>
      </c>
      <c r="N64" s="50">
        <f t="shared" si="2"/>
        <v>4.2553191489361701</v>
      </c>
      <c r="O64" s="38">
        <v>0</v>
      </c>
      <c r="P64" s="38">
        <v>78.739999999999995</v>
      </c>
    </row>
    <row r="65" spans="1:31" x14ac:dyDescent="0.25">
      <c r="A65" s="38" t="s">
        <v>36</v>
      </c>
      <c r="B65" s="38" t="s">
        <v>37</v>
      </c>
      <c r="C65" s="38" t="s">
        <v>176</v>
      </c>
      <c r="D65" s="38" t="s">
        <v>183</v>
      </c>
      <c r="E65" s="38" t="s">
        <v>184</v>
      </c>
      <c r="F65" s="38">
        <v>517.61</v>
      </c>
      <c r="G65" s="38">
        <v>517.61</v>
      </c>
      <c r="H65" s="38">
        <f t="shared" si="0"/>
        <v>965</v>
      </c>
      <c r="I65" s="38">
        <v>637</v>
      </c>
      <c r="J65" s="38">
        <v>328</v>
      </c>
      <c r="K65" s="38">
        <v>309</v>
      </c>
      <c r="L65" s="50">
        <f t="shared" si="1"/>
        <v>32.020725388601036</v>
      </c>
      <c r="M65" s="38">
        <v>0</v>
      </c>
      <c r="N65" s="50">
        <f t="shared" si="2"/>
        <v>0</v>
      </c>
      <c r="O65" s="38">
        <v>0</v>
      </c>
      <c r="P65" s="38">
        <v>16.809999999999999</v>
      </c>
      <c r="Q65" s="36" t="s">
        <v>43</v>
      </c>
      <c r="R65" s="14">
        <v>44510</v>
      </c>
      <c r="S65" s="36"/>
      <c r="T65" s="36">
        <v>17</v>
      </c>
      <c r="U65" s="36"/>
      <c r="V65" s="36"/>
      <c r="W65" s="36"/>
      <c r="X65" s="36"/>
      <c r="Y65" s="36"/>
      <c r="Z65" s="85"/>
      <c r="AB65" s="85"/>
      <c r="AC65" s="15" t="s">
        <v>185</v>
      </c>
      <c r="AD65" s="36">
        <v>25.404997000000002</v>
      </c>
      <c r="AE65" s="36">
        <v>71.697180000000003</v>
      </c>
    </row>
    <row r="66" spans="1:31" x14ac:dyDescent="0.25">
      <c r="A66" s="38" t="s">
        <v>36</v>
      </c>
      <c r="B66" s="38" t="s">
        <v>37</v>
      </c>
      <c r="C66" s="38" t="s">
        <v>176</v>
      </c>
      <c r="D66" s="38" t="s">
        <v>186</v>
      </c>
      <c r="E66" s="38" t="s">
        <v>187</v>
      </c>
      <c r="F66" s="38">
        <v>570.99</v>
      </c>
      <c r="G66" s="38">
        <v>570.99</v>
      </c>
      <c r="H66" s="38">
        <f t="shared" si="0"/>
        <v>434</v>
      </c>
      <c r="I66" s="38">
        <v>280</v>
      </c>
      <c r="J66" s="38">
        <v>154</v>
      </c>
      <c r="K66" s="38">
        <v>126</v>
      </c>
      <c r="L66" s="50">
        <f t="shared" si="1"/>
        <v>29.032258064516132</v>
      </c>
      <c r="M66" s="38">
        <v>0</v>
      </c>
      <c r="N66" s="50">
        <f t="shared" si="2"/>
        <v>0</v>
      </c>
      <c r="O66" s="38">
        <v>0</v>
      </c>
      <c r="P66" s="38">
        <v>327.9</v>
      </c>
      <c r="Q66" s="36" t="s">
        <v>43</v>
      </c>
      <c r="R66" s="14">
        <v>44510</v>
      </c>
      <c r="S66" s="36"/>
      <c r="T66" s="36">
        <v>272</v>
      </c>
      <c r="U66" s="36"/>
      <c r="V66" s="36"/>
      <c r="W66" s="36"/>
      <c r="X66" s="36"/>
      <c r="Y66" s="36"/>
      <c r="Z66" s="85"/>
      <c r="AB66" s="85"/>
      <c r="AC66" s="15" t="s">
        <v>188</v>
      </c>
      <c r="AD66" s="36">
        <v>25.439983999999999</v>
      </c>
      <c r="AE66" s="36">
        <v>71.735498000000007</v>
      </c>
    </row>
    <row r="67" spans="1:31" x14ac:dyDescent="0.25">
      <c r="A67" s="38" t="s">
        <v>36</v>
      </c>
      <c r="B67" s="38" t="s">
        <v>37</v>
      </c>
      <c r="C67" s="38" t="s">
        <v>176</v>
      </c>
      <c r="D67" s="261" t="s">
        <v>185</v>
      </c>
      <c r="E67" s="38"/>
      <c r="F67" s="38"/>
      <c r="G67" s="38"/>
      <c r="H67" s="38">
        <f t="shared" si="0"/>
        <v>0</v>
      </c>
      <c r="I67" s="38"/>
      <c r="J67" s="38"/>
      <c r="K67" s="38"/>
      <c r="L67" s="50"/>
      <c r="M67" s="38"/>
      <c r="N67" s="50"/>
      <c r="O67" s="38"/>
      <c r="P67" s="38"/>
      <c r="Q67" s="36" t="s">
        <v>43</v>
      </c>
      <c r="R67" s="36"/>
      <c r="S67" s="36"/>
      <c r="T67" s="251">
        <v>17</v>
      </c>
      <c r="U67" s="86"/>
      <c r="V67" s="86"/>
      <c r="W67" s="86"/>
      <c r="X67" s="86"/>
      <c r="Y67" s="86"/>
      <c r="Z67" s="87"/>
      <c r="AB67" s="85">
        <v>5</v>
      </c>
      <c r="AC67" s="15" t="s">
        <v>185</v>
      </c>
      <c r="AD67" s="36">
        <v>25.404997000000002</v>
      </c>
      <c r="AE67" s="36">
        <v>71.697180000000003</v>
      </c>
    </row>
    <row r="68" spans="1:31" x14ac:dyDescent="0.25">
      <c r="A68" s="38" t="s">
        <v>36</v>
      </c>
      <c r="B68" s="38" t="s">
        <v>37</v>
      </c>
      <c r="C68" s="38" t="s">
        <v>176</v>
      </c>
      <c r="D68" s="261" t="s">
        <v>189</v>
      </c>
      <c r="E68" s="38"/>
      <c r="F68" s="38"/>
      <c r="G68" s="38"/>
      <c r="H68" s="38">
        <f t="shared" si="0"/>
        <v>0</v>
      </c>
      <c r="I68" s="38"/>
      <c r="J68" s="38"/>
      <c r="K68" s="38"/>
      <c r="L68" s="50"/>
      <c r="M68" s="38"/>
      <c r="N68" s="50"/>
      <c r="O68" s="38"/>
      <c r="P68" s="38"/>
      <c r="Q68" s="36" t="s">
        <v>43</v>
      </c>
      <c r="R68" s="36"/>
      <c r="S68" s="36"/>
      <c r="T68" s="251">
        <v>74</v>
      </c>
      <c r="U68" s="86"/>
      <c r="V68" s="86"/>
      <c r="W68" s="86"/>
      <c r="X68" s="86"/>
      <c r="Y68" s="86"/>
      <c r="Z68" s="87"/>
      <c r="AB68" s="85">
        <v>25</v>
      </c>
      <c r="AC68" s="15" t="s">
        <v>189</v>
      </c>
      <c r="AD68" s="36">
        <v>25.437785000000002</v>
      </c>
      <c r="AE68" s="36">
        <v>71.715412999999998</v>
      </c>
    </row>
    <row r="69" spans="1:31" x14ac:dyDescent="0.25">
      <c r="A69" s="38" t="s">
        <v>36</v>
      </c>
      <c r="B69" s="38" t="s">
        <v>37</v>
      </c>
      <c r="C69" s="38" t="s">
        <v>176</v>
      </c>
      <c r="D69" s="38" t="s">
        <v>190</v>
      </c>
      <c r="E69" s="38" t="s">
        <v>191</v>
      </c>
      <c r="F69" s="38">
        <v>313.88</v>
      </c>
      <c r="G69" s="38">
        <v>313.88</v>
      </c>
      <c r="H69" s="38">
        <f t="shared" ref="H69:H132" si="3">I69+J69</f>
        <v>419</v>
      </c>
      <c r="I69" s="38">
        <v>274</v>
      </c>
      <c r="J69" s="38">
        <v>145</v>
      </c>
      <c r="K69" s="38">
        <v>129</v>
      </c>
      <c r="L69" s="50">
        <f t="shared" si="1"/>
        <v>30.787589498806682</v>
      </c>
      <c r="M69" s="38">
        <v>23</v>
      </c>
      <c r="N69" s="50">
        <f t="shared" si="2"/>
        <v>5.4892601431980905</v>
      </c>
      <c r="O69" s="38">
        <v>0</v>
      </c>
      <c r="P69" s="38">
        <v>20.03</v>
      </c>
      <c r="Q69" s="36" t="s">
        <v>43</v>
      </c>
      <c r="R69" s="14">
        <v>44510</v>
      </c>
      <c r="S69" s="36"/>
      <c r="T69" s="36">
        <v>74</v>
      </c>
      <c r="U69" s="36"/>
      <c r="V69" s="36"/>
      <c r="W69" s="36"/>
      <c r="X69" s="36"/>
      <c r="Y69" s="36"/>
      <c r="Z69" s="85"/>
      <c r="AB69" s="85"/>
      <c r="AC69" s="15" t="s">
        <v>189</v>
      </c>
      <c r="AD69" s="36">
        <v>25.437785000000002</v>
      </c>
      <c r="AE69" s="36">
        <v>71.715412999999998</v>
      </c>
    </row>
    <row r="70" spans="1:31" x14ac:dyDescent="0.25">
      <c r="A70" s="38" t="s">
        <v>36</v>
      </c>
      <c r="B70" s="38" t="s">
        <v>37</v>
      </c>
      <c r="C70" s="38" t="s">
        <v>192</v>
      </c>
      <c r="D70" s="38" t="s">
        <v>193</v>
      </c>
      <c r="E70" s="38" t="s">
        <v>194</v>
      </c>
      <c r="F70" s="38">
        <v>1304.8499999999999</v>
      </c>
      <c r="G70" s="38">
        <v>1304.8499999999999</v>
      </c>
      <c r="H70" s="38">
        <f t="shared" si="3"/>
        <v>1404</v>
      </c>
      <c r="I70" s="38">
        <v>930</v>
      </c>
      <c r="J70" s="38">
        <v>474</v>
      </c>
      <c r="K70" s="38">
        <v>456</v>
      </c>
      <c r="L70" s="50">
        <f t="shared" ref="L70:L133" si="4">K70/H70*100</f>
        <v>32.478632478632477</v>
      </c>
      <c r="M70" s="38">
        <v>34</v>
      </c>
      <c r="N70" s="50">
        <f t="shared" ref="N70:N133" si="5">M70/H70*100</f>
        <v>2.4216524216524213</v>
      </c>
      <c r="O70" s="38">
        <v>0</v>
      </c>
      <c r="P70" s="38">
        <v>51.27</v>
      </c>
      <c r="Q70" s="36" t="s">
        <v>43</v>
      </c>
      <c r="R70" s="14">
        <v>44503</v>
      </c>
      <c r="S70" s="36"/>
      <c r="T70" s="36">
        <v>51</v>
      </c>
      <c r="U70" s="36"/>
      <c r="V70" s="36"/>
      <c r="W70" s="36"/>
      <c r="X70" s="36"/>
      <c r="Y70" s="36"/>
      <c r="Z70" s="85"/>
      <c r="AB70" s="85"/>
      <c r="AC70" s="33" t="s">
        <v>193</v>
      </c>
      <c r="AD70" s="36"/>
      <c r="AE70" s="36"/>
    </row>
    <row r="71" spans="1:31" x14ac:dyDescent="0.25">
      <c r="A71" s="38" t="s">
        <v>36</v>
      </c>
      <c r="B71" s="38" t="s">
        <v>37</v>
      </c>
      <c r="C71" s="38" t="s">
        <v>192</v>
      </c>
      <c r="D71" s="38" t="s">
        <v>195</v>
      </c>
      <c r="E71" s="38" t="s">
        <v>196</v>
      </c>
      <c r="F71" s="38">
        <v>340.36</v>
      </c>
      <c r="G71" s="38">
        <v>340.36</v>
      </c>
      <c r="H71" s="38">
        <f t="shared" si="3"/>
        <v>662</v>
      </c>
      <c r="I71" s="38">
        <v>437</v>
      </c>
      <c r="J71" s="38">
        <v>225</v>
      </c>
      <c r="K71" s="38">
        <v>212</v>
      </c>
      <c r="L71" s="50">
        <f t="shared" si="4"/>
        <v>32.024169184290031</v>
      </c>
      <c r="M71" s="38">
        <v>123</v>
      </c>
      <c r="N71" s="50">
        <f t="shared" si="5"/>
        <v>18.580060422960727</v>
      </c>
      <c r="O71" s="38">
        <v>0</v>
      </c>
      <c r="P71" s="38">
        <v>0</v>
      </c>
    </row>
    <row r="72" spans="1:31" x14ac:dyDescent="0.25">
      <c r="A72" s="38" t="s">
        <v>36</v>
      </c>
      <c r="B72" s="38" t="s">
        <v>37</v>
      </c>
      <c r="C72" s="38" t="s">
        <v>192</v>
      </c>
      <c r="D72" s="38" t="s">
        <v>197</v>
      </c>
      <c r="E72" s="38" t="s">
        <v>198</v>
      </c>
      <c r="F72" s="38">
        <v>451.63</v>
      </c>
      <c r="G72" s="38">
        <v>451.63</v>
      </c>
      <c r="H72" s="38">
        <f t="shared" si="3"/>
        <v>484</v>
      </c>
      <c r="I72" s="38">
        <v>315</v>
      </c>
      <c r="J72" s="38">
        <v>169</v>
      </c>
      <c r="K72" s="38">
        <v>146</v>
      </c>
      <c r="L72" s="50">
        <f t="shared" si="4"/>
        <v>30.165289256198346</v>
      </c>
      <c r="M72" s="38">
        <v>19</v>
      </c>
      <c r="N72" s="50">
        <f t="shared" si="5"/>
        <v>3.9256198347107438</v>
      </c>
      <c r="O72" s="38">
        <v>0</v>
      </c>
      <c r="P72" s="38">
        <v>0</v>
      </c>
      <c r="Q72" s="36" t="s">
        <v>43</v>
      </c>
      <c r="R72" s="14">
        <v>44503</v>
      </c>
      <c r="S72" s="36"/>
      <c r="T72" s="36">
        <v>0</v>
      </c>
      <c r="U72" s="36"/>
      <c r="V72" s="36"/>
      <c r="W72" s="36"/>
      <c r="X72" s="36"/>
      <c r="Y72" s="36"/>
      <c r="Z72" s="85"/>
      <c r="AB72" s="85"/>
      <c r="AC72" s="33" t="s">
        <v>197</v>
      </c>
      <c r="AD72" s="36">
        <v>0</v>
      </c>
      <c r="AE72" s="36"/>
    </row>
    <row r="73" spans="1:31" x14ac:dyDescent="0.25">
      <c r="A73" s="38" t="s">
        <v>36</v>
      </c>
      <c r="B73" s="38" t="s">
        <v>37</v>
      </c>
      <c r="C73" s="38" t="s">
        <v>192</v>
      </c>
      <c r="D73" s="38" t="s">
        <v>199</v>
      </c>
      <c r="E73" s="38" t="s">
        <v>200</v>
      </c>
      <c r="F73" s="38">
        <v>379.48</v>
      </c>
      <c r="G73" s="38">
        <v>379.48</v>
      </c>
      <c r="H73" s="38">
        <f t="shared" si="3"/>
        <v>457</v>
      </c>
      <c r="I73" s="38">
        <v>307</v>
      </c>
      <c r="J73" s="38">
        <v>150</v>
      </c>
      <c r="K73" s="38">
        <v>157</v>
      </c>
      <c r="L73" s="50">
        <f t="shared" si="4"/>
        <v>34.354485776805248</v>
      </c>
      <c r="M73" s="38">
        <v>0</v>
      </c>
      <c r="N73" s="50">
        <f t="shared" si="5"/>
        <v>0</v>
      </c>
      <c r="O73" s="38">
        <v>0</v>
      </c>
      <c r="P73" s="38">
        <v>97.73</v>
      </c>
      <c r="Q73" s="36" t="s">
        <v>43</v>
      </c>
      <c r="R73" s="14">
        <v>44503</v>
      </c>
      <c r="S73" s="36"/>
      <c r="T73" s="36">
        <v>97.68</v>
      </c>
      <c r="U73" s="36"/>
      <c r="V73" s="36"/>
      <c r="W73" s="36"/>
      <c r="X73" s="36"/>
      <c r="Y73" s="36"/>
      <c r="Z73" s="85"/>
      <c r="AB73" s="85"/>
      <c r="AC73" s="33" t="s">
        <v>199</v>
      </c>
      <c r="AD73" s="36"/>
      <c r="AE73" s="36"/>
    </row>
    <row r="74" spans="1:31" x14ac:dyDescent="0.25">
      <c r="A74" s="38" t="s">
        <v>36</v>
      </c>
      <c r="B74" s="38" t="s">
        <v>37</v>
      </c>
      <c r="C74" s="38" t="s">
        <v>192</v>
      </c>
      <c r="D74" s="38" t="s">
        <v>201</v>
      </c>
      <c r="E74" s="38" t="s">
        <v>202</v>
      </c>
      <c r="F74" s="38">
        <v>750.51</v>
      </c>
      <c r="G74" s="38">
        <v>750.51</v>
      </c>
      <c r="H74" s="38">
        <f t="shared" si="3"/>
        <v>1289</v>
      </c>
      <c r="I74" s="38">
        <v>848</v>
      </c>
      <c r="J74" s="38">
        <v>441</v>
      </c>
      <c r="K74" s="38">
        <v>407</v>
      </c>
      <c r="L74" s="50">
        <f t="shared" si="4"/>
        <v>31.574864235841737</v>
      </c>
      <c r="M74" s="38">
        <v>26</v>
      </c>
      <c r="N74" s="50">
        <f t="shared" si="5"/>
        <v>2.0170674941815361</v>
      </c>
      <c r="O74" s="38">
        <v>63.49</v>
      </c>
      <c r="P74" s="38">
        <v>52.48</v>
      </c>
      <c r="Q74" s="90" t="s">
        <v>43</v>
      </c>
      <c r="R74" s="91">
        <v>44503</v>
      </c>
      <c r="S74" s="90"/>
      <c r="T74" s="90">
        <v>98</v>
      </c>
      <c r="U74" s="90"/>
      <c r="V74" s="90"/>
      <c r="W74" s="90"/>
      <c r="X74" s="90"/>
      <c r="Y74" s="90"/>
      <c r="Z74" s="92"/>
      <c r="AB74" s="92"/>
      <c r="AC74" s="37" t="s">
        <v>201</v>
      </c>
      <c r="AD74" s="90"/>
      <c r="AE74" s="90"/>
    </row>
    <row r="75" spans="1:31" x14ac:dyDescent="0.25">
      <c r="A75" s="38" t="s">
        <v>36</v>
      </c>
      <c r="B75" s="38" t="s">
        <v>37</v>
      </c>
      <c r="C75" s="38" t="s">
        <v>192</v>
      </c>
      <c r="D75" s="38" t="s">
        <v>203</v>
      </c>
      <c r="E75" s="38" t="s">
        <v>204</v>
      </c>
      <c r="F75" s="38">
        <v>581.64</v>
      </c>
      <c r="G75" s="38">
        <v>581.64</v>
      </c>
      <c r="H75" s="38">
        <f t="shared" si="3"/>
        <v>777</v>
      </c>
      <c r="I75" s="38">
        <v>507</v>
      </c>
      <c r="J75" s="38">
        <v>270</v>
      </c>
      <c r="K75" s="38">
        <v>237</v>
      </c>
      <c r="L75" s="50">
        <f t="shared" si="4"/>
        <v>30.501930501930502</v>
      </c>
      <c r="M75" s="38">
        <v>17</v>
      </c>
      <c r="N75" s="50">
        <f t="shared" si="5"/>
        <v>2.1879021879021878</v>
      </c>
      <c r="O75" s="38">
        <v>0</v>
      </c>
      <c r="P75" s="38">
        <v>0</v>
      </c>
      <c r="Q75" s="36" t="s">
        <v>43</v>
      </c>
      <c r="R75" s="14">
        <v>44503</v>
      </c>
      <c r="S75" s="36"/>
      <c r="T75" s="36">
        <v>52</v>
      </c>
      <c r="U75" s="36"/>
      <c r="V75" s="36"/>
      <c r="W75" s="36"/>
      <c r="X75" s="36"/>
      <c r="Y75" s="36"/>
      <c r="Z75" s="85"/>
      <c r="AB75" s="85"/>
      <c r="AC75" s="33" t="s">
        <v>203</v>
      </c>
      <c r="AD75" s="36"/>
      <c r="AE75" s="36"/>
    </row>
    <row r="76" spans="1:31" x14ac:dyDescent="0.25">
      <c r="A76" s="38" t="s">
        <v>36</v>
      </c>
      <c r="B76" s="38" t="s">
        <v>37</v>
      </c>
      <c r="C76" s="38" t="s">
        <v>205</v>
      </c>
      <c r="D76" s="38" t="s">
        <v>206</v>
      </c>
      <c r="E76" s="38" t="s">
        <v>207</v>
      </c>
      <c r="F76" s="38">
        <v>1273.55</v>
      </c>
      <c r="G76" s="38">
        <v>1273.55</v>
      </c>
      <c r="H76" s="38">
        <f t="shared" si="3"/>
        <v>2109</v>
      </c>
      <c r="I76" s="38">
        <v>1405</v>
      </c>
      <c r="J76" s="38">
        <v>704</v>
      </c>
      <c r="K76" s="38">
        <v>701</v>
      </c>
      <c r="L76" s="50">
        <f t="shared" si="4"/>
        <v>33.238501659554295</v>
      </c>
      <c r="M76" s="38">
        <v>22</v>
      </c>
      <c r="N76" s="50">
        <f t="shared" si="5"/>
        <v>1.0431484115694643</v>
      </c>
      <c r="O76" s="38">
        <v>0</v>
      </c>
      <c r="P76" s="38">
        <v>125.29</v>
      </c>
      <c r="Q76" s="36" t="s">
        <v>43</v>
      </c>
      <c r="R76" s="14">
        <v>44511</v>
      </c>
      <c r="S76" s="36"/>
      <c r="T76" s="36">
        <v>0</v>
      </c>
      <c r="U76" s="36"/>
      <c r="V76" s="36"/>
      <c r="W76" s="36"/>
      <c r="X76" s="36"/>
      <c r="Y76" s="36"/>
      <c r="Z76" s="85"/>
      <c r="AB76" s="85"/>
      <c r="AC76" s="15" t="s">
        <v>208</v>
      </c>
      <c r="AD76" s="36">
        <v>0</v>
      </c>
      <c r="AE76" s="36"/>
    </row>
    <row r="77" spans="1:31" x14ac:dyDescent="0.25">
      <c r="A77" s="38" t="s">
        <v>36</v>
      </c>
      <c r="B77" s="38" t="s">
        <v>37</v>
      </c>
      <c r="C77" s="38" t="s">
        <v>205</v>
      </c>
      <c r="D77" s="38" t="s">
        <v>206</v>
      </c>
      <c r="E77" s="38"/>
      <c r="F77" s="38"/>
      <c r="G77" s="38"/>
      <c r="H77" s="38">
        <f t="shared" si="3"/>
        <v>0</v>
      </c>
      <c r="I77" s="38"/>
      <c r="J77" s="38"/>
      <c r="K77" s="38"/>
      <c r="L77" s="50"/>
      <c r="M77" s="38"/>
      <c r="N77" s="50"/>
      <c r="O77" s="38"/>
      <c r="P77" s="38"/>
      <c r="Q77" s="36"/>
      <c r="R77" s="95"/>
      <c r="S77" s="36"/>
      <c r="T77" s="36">
        <v>121</v>
      </c>
      <c r="U77" s="36"/>
      <c r="V77" s="36"/>
      <c r="W77" s="36"/>
      <c r="X77" s="36"/>
      <c r="Y77" s="36"/>
      <c r="Z77" s="87"/>
      <c r="AB77" s="85">
        <v>25</v>
      </c>
      <c r="AC77" s="36" t="s">
        <v>209</v>
      </c>
      <c r="AD77" s="36">
        <v>71.557991999999999</v>
      </c>
      <c r="AE77" s="36">
        <v>25.471132999999998</v>
      </c>
    </row>
    <row r="78" spans="1:31" x14ac:dyDescent="0.25">
      <c r="A78" s="38" t="s">
        <v>36</v>
      </c>
      <c r="B78" s="38" t="s">
        <v>37</v>
      </c>
      <c r="C78" s="38" t="s">
        <v>205</v>
      </c>
      <c r="D78" s="38" t="s">
        <v>210</v>
      </c>
      <c r="E78" s="38" t="s">
        <v>211</v>
      </c>
      <c r="F78" s="38">
        <v>936.85</v>
      </c>
      <c r="G78" s="38">
        <v>936.85</v>
      </c>
      <c r="H78" s="38">
        <f t="shared" si="3"/>
        <v>1301</v>
      </c>
      <c r="I78" s="38">
        <v>863</v>
      </c>
      <c r="J78" s="38">
        <v>438</v>
      </c>
      <c r="K78" s="38">
        <v>425</v>
      </c>
      <c r="L78" s="50">
        <f t="shared" si="4"/>
        <v>32.66717909300538</v>
      </c>
      <c r="M78" s="38">
        <v>0</v>
      </c>
      <c r="N78" s="50">
        <f t="shared" si="5"/>
        <v>0</v>
      </c>
      <c r="O78" s="38">
        <v>0</v>
      </c>
      <c r="P78" s="38">
        <v>0</v>
      </c>
      <c r="Q78" s="36" t="s">
        <v>43</v>
      </c>
      <c r="R78" s="14">
        <v>44511</v>
      </c>
      <c r="S78" s="36"/>
      <c r="T78" s="36">
        <v>125</v>
      </c>
      <c r="U78" s="36"/>
      <c r="V78" s="36"/>
      <c r="W78" s="36"/>
      <c r="X78" s="36"/>
      <c r="Y78" s="36"/>
      <c r="Z78" s="85"/>
      <c r="AB78" s="85"/>
      <c r="AC78" s="15" t="s">
        <v>206</v>
      </c>
      <c r="AD78" s="36"/>
      <c r="AE78" s="36"/>
    </row>
    <row r="79" spans="1:31" x14ac:dyDescent="0.25">
      <c r="A79" s="38" t="s">
        <v>36</v>
      </c>
      <c r="B79" s="38" t="s">
        <v>37</v>
      </c>
      <c r="C79" s="38" t="s">
        <v>205</v>
      </c>
      <c r="D79" s="38" t="s">
        <v>212</v>
      </c>
      <c r="E79" s="38" t="s">
        <v>213</v>
      </c>
      <c r="F79" s="38">
        <v>1031.5</v>
      </c>
      <c r="G79" s="38">
        <v>1031.5</v>
      </c>
      <c r="H79" s="38">
        <f t="shared" si="3"/>
        <v>1862</v>
      </c>
      <c r="I79" s="38">
        <v>1230</v>
      </c>
      <c r="J79" s="38">
        <v>632</v>
      </c>
      <c r="K79" s="38">
        <v>598</v>
      </c>
      <c r="L79" s="50">
        <f t="shared" si="4"/>
        <v>32.116004296455422</v>
      </c>
      <c r="M79" s="38">
        <v>153</v>
      </c>
      <c r="N79" s="50">
        <f t="shared" si="5"/>
        <v>8.2169709989258859</v>
      </c>
      <c r="O79" s="38">
        <v>0</v>
      </c>
      <c r="P79" s="38">
        <v>0.88</v>
      </c>
      <c r="Q79" s="36" t="s">
        <v>43</v>
      </c>
      <c r="R79" s="14">
        <v>44511</v>
      </c>
      <c r="S79" s="36"/>
      <c r="T79" s="36">
        <v>1</v>
      </c>
      <c r="U79" s="36"/>
      <c r="V79" s="36"/>
      <c r="W79" s="36"/>
      <c r="X79" s="36"/>
      <c r="Y79" s="36"/>
      <c r="Z79" s="85"/>
      <c r="AB79" s="85"/>
      <c r="AC79" s="15" t="s">
        <v>214</v>
      </c>
      <c r="AD79" s="36"/>
      <c r="AE79" s="36"/>
    </row>
    <row r="80" spans="1:31" x14ac:dyDescent="0.25">
      <c r="A80" s="38" t="s">
        <v>36</v>
      </c>
      <c r="B80" s="38" t="s">
        <v>37</v>
      </c>
      <c r="C80" s="38" t="s">
        <v>215</v>
      </c>
      <c r="D80" s="38" t="s">
        <v>216</v>
      </c>
      <c r="E80" s="38" t="s">
        <v>217</v>
      </c>
      <c r="F80" s="38">
        <v>1308.05</v>
      </c>
      <c r="G80" s="38">
        <v>1308.05</v>
      </c>
      <c r="H80" s="38">
        <f t="shared" si="3"/>
        <v>1927</v>
      </c>
      <c r="I80" s="38">
        <v>1262</v>
      </c>
      <c r="J80" s="38">
        <v>665</v>
      </c>
      <c r="K80" s="38">
        <v>597</v>
      </c>
      <c r="L80" s="50">
        <f t="shared" si="4"/>
        <v>30.980799169693825</v>
      </c>
      <c r="M80" s="38">
        <v>66</v>
      </c>
      <c r="N80" s="50">
        <f t="shared" si="5"/>
        <v>3.4250129735339905</v>
      </c>
      <c r="O80" s="38">
        <v>0</v>
      </c>
      <c r="P80" s="38">
        <v>38.229999999999997</v>
      </c>
      <c r="Q80" s="36" t="s">
        <v>43</v>
      </c>
      <c r="R80" s="14">
        <v>44516</v>
      </c>
      <c r="S80" s="36"/>
      <c r="T80" s="36">
        <v>38</v>
      </c>
      <c r="U80" s="36"/>
      <c r="V80" s="36"/>
      <c r="W80" s="36"/>
      <c r="X80" s="36"/>
      <c r="Y80" s="36"/>
      <c r="Z80" s="85"/>
      <c r="AB80" s="85"/>
      <c r="AC80" s="15" t="s">
        <v>218</v>
      </c>
      <c r="AD80" s="36"/>
      <c r="AE80" s="36"/>
    </row>
    <row r="81" spans="1:31" x14ac:dyDescent="0.25">
      <c r="A81" s="38" t="s">
        <v>36</v>
      </c>
      <c r="B81" s="38" t="s">
        <v>37</v>
      </c>
      <c r="C81" s="38" t="s">
        <v>215</v>
      </c>
      <c r="D81" s="38" t="s">
        <v>216</v>
      </c>
      <c r="E81" s="38"/>
      <c r="F81" s="38"/>
      <c r="G81" s="38"/>
      <c r="H81" s="38">
        <f t="shared" si="3"/>
        <v>0</v>
      </c>
      <c r="I81" s="38"/>
      <c r="J81" s="38"/>
      <c r="K81" s="38"/>
      <c r="L81" s="50"/>
      <c r="M81" s="38"/>
      <c r="N81" s="50"/>
      <c r="O81" s="38"/>
      <c r="P81" s="38"/>
      <c r="Q81" s="98" t="s">
        <v>160</v>
      </c>
      <c r="R81" s="10">
        <v>44516</v>
      </c>
      <c r="S81" s="99"/>
      <c r="T81" s="98">
        <v>0</v>
      </c>
      <c r="U81" s="98"/>
      <c r="V81" s="98"/>
      <c r="W81" s="98"/>
      <c r="X81" s="98"/>
      <c r="Y81" s="98"/>
      <c r="Z81" s="20"/>
      <c r="AB81" s="20">
        <v>38</v>
      </c>
      <c r="AC81" s="11" t="s">
        <v>218</v>
      </c>
      <c r="AD81" s="61">
        <v>25.350313</v>
      </c>
      <c r="AE81" s="99">
        <v>71.696331000000001</v>
      </c>
    </row>
    <row r="82" spans="1:31" x14ac:dyDescent="0.25">
      <c r="A82" s="38" t="s">
        <v>36</v>
      </c>
      <c r="B82" s="38" t="s">
        <v>37</v>
      </c>
      <c r="C82" s="38" t="s">
        <v>215</v>
      </c>
      <c r="D82" s="38" t="s">
        <v>219</v>
      </c>
      <c r="E82" s="38" t="s">
        <v>220</v>
      </c>
      <c r="F82" s="38">
        <v>987.97</v>
      </c>
      <c r="G82" s="38">
        <v>987.97</v>
      </c>
      <c r="H82" s="38">
        <f t="shared" si="3"/>
        <v>2270</v>
      </c>
      <c r="I82" s="38">
        <v>1501</v>
      </c>
      <c r="J82" s="38">
        <v>769</v>
      </c>
      <c r="K82" s="38">
        <v>732</v>
      </c>
      <c r="L82" s="50">
        <f t="shared" si="4"/>
        <v>32.246696035242287</v>
      </c>
      <c r="M82" s="38">
        <v>252</v>
      </c>
      <c r="N82" s="50">
        <f t="shared" si="5"/>
        <v>11.101321585903083</v>
      </c>
      <c r="O82" s="38">
        <v>0</v>
      </c>
      <c r="P82" s="38">
        <v>0</v>
      </c>
      <c r="Q82" s="36" t="s">
        <v>43</v>
      </c>
      <c r="R82" s="14">
        <v>44516</v>
      </c>
      <c r="S82" s="36"/>
      <c r="T82" s="36">
        <v>0</v>
      </c>
      <c r="U82" s="36"/>
      <c r="V82" s="36"/>
      <c r="W82" s="36"/>
      <c r="X82" s="36"/>
      <c r="Y82" s="36"/>
      <c r="Z82" s="85"/>
      <c r="AB82" s="85"/>
      <c r="AC82" s="15" t="s">
        <v>221</v>
      </c>
      <c r="AD82" s="36">
        <v>0</v>
      </c>
      <c r="AE82" s="36"/>
    </row>
    <row r="83" spans="1:31" x14ac:dyDescent="0.25">
      <c r="A83" s="38" t="s">
        <v>36</v>
      </c>
      <c r="B83" s="38" t="s">
        <v>37</v>
      </c>
      <c r="C83" s="38" t="s">
        <v>215</v>
      </c>
      <c r="D83" s="38" t="s">
        <v>222</v>
      </c>
      <c r="E83" s="38" t="s">
        <v>223</v>
      </c>
      <c r="F83" s="38">
        <v>230.8</v>
      </c>
      <c r="G83" s="38">
        <v>230.8</v>
      </c>
      <c r="H83" s="38">
        <f t="shared" si="3"/>
        <v>429</v>
      </c>
      <c r="I83" s="38">
        <v>284</v>
      </c>
      <c r="J83" s="38">
        <v>145</v>
      </c>
      <c r="K83" s="38">
        <v>139</v>
      </c>
      <c r="L83" s="50">
        <f t="shared" si="4"/>
        <v>32.400932400932405</v>
      </c>
      <c r="M83" s="38">
        <v>13</v>
      </c>
      <c r="N83" s="50">
        <f t="shared" si="5"/>
        <v>3.0303030303030303</v>
      </c>
      <c r="O83" s="38">
        <v>0</v>
      </c>
      <c r="P83" s="38">
        <v>4.8</v>
      </c>
      <c r="Q83" s="36" t="s">
        <v>43</v>
      </c>
      <c r="R83" s="14">
        <v>44516</v>
      </c>
      <c r="S83" s="36"/>
      <c r="T83" s="36">
        <v>5</v>
      </c>
      <c r="U83" s="36"/>
      <c r="V83" s="36"/>
      <c r="W83" s="36"/>
      <c r="X83" s="36"/>
      <c r="Y83" s="36"/>
      <c r="Z83" s="85"/>
      <c r="AB83" s="85"/>
      <c r="AC83" s="15" t="s">
        <v>224</v>
      </c>
      <c r="AD83" s="36"/>
      <c r="AE83" s="36"/>
    </row>
    <row r="84" spans="1:31" x14ac:dyDescent="0.25">
      <c r="A84" s="38" t="s">
        <v>36</v>
      </c>
      <c r="B84" s="38" t="s">
        <v>37</v>
      </c>
      <c r="C84" s="38" t="s">
        <v>225</v>
      </c>
      <c r="D84" s="38" t="s">
        <v>225</v>
      </c>
      <c r="E84" s="38" t="s">
        <v>226</v>
      </c>
      <c r="F84" s="38">
        <v>707</v>
      </c>
      <c r="G84" s="38">
        <v>707</v>
      </c>
      <c r="H84" s="38">
        <f t="shared" si="3"/>
        <v>1564</v>
      </c>
      <c r="I84" s="38">
        <v>1013</v>
      </c>
      <c r="J84" s="38">
        <v>551</v>
      </c>
      <c r="K84" s="38">
        <v>462</v>
      </c>
      <c r="L84" s="50">
        <f t="shared" si="4"/>
        <v>29.539641943734011</v>
      </c>
      <c r="M84" s="38">
        <v>29</v>
      </c>
      <c r="N84" s="50">
        <f t="shared" si="5"/>
        <v>1.8542199488491049</v>
      </c>
      <c r="O84" s="38">
        <v>0</v>
      </c>
      <c r="P84" s="38">
        <v>0</v>
      </c>
    </row>
    <row r="85" spans="1:31" x14ac:dyDescent="0.25">
      <c r="A85" s="38" t="s">
        <v>36</v>
      </c>
      <c r="B85" s="38" t="s">
        <v>37</v>
      </c>
      <c r="C85" s="38" t="s">
        <v>225</v>
      </c>
      <c r="D85" s="38" t="s">
        <v>227</v>
      </c>
      <c r="E85" s="38" t="s">
        <v>228</v>
      </c>
      <c r="F85" s="38">
        <v>216</v>
      </c>
      <c r="G85" s="38">
        <v>216</v>
      </c>
      <c r="H85" s="38">
        <f t="shared" si="3"/>
        <v>417</v>
      </c>
      <c r="I85" s="38">
        <v>279</v>
      </c>
      <c r="J85" s="38">
        <v>138</v>
      </c>
      <c r="K85" s="38">
        <v>141</v>
      </c>
      <c r="L85" s="50">
        <f t="shared" si="4"/>
        <v>33.812949640287769</v>
      </c>
      <c r="M85" s="38">
        <v>0</v>
      </c>
      <c r="N85" s="50">
        <f t="shared" si="5"/>
        <v>0</v>
      </c>
      <c r="O85" s="38">
        <v>0</v>
      </c>
      <c r="P85" s="38">
        <v>0</v>
      </c>
    </row>
    <row r="86" spans="1:31" x14ac:dyDescent="0.25">
      <c r="A86" s="38" t="s">
        <v>36</v>
      </c>
      <c r="B86" s="38" t="s">
        <v>37</v>
      </c>
      <c r="C86" s="38" t="s">
        <v>225</v>
      </c>
      <c r="D86" s="38" t="s">
        <v>229</v>
      </c>
      <c r="E86" s="38" t="s">
        <v>230</v>
      </c>
      <c r="F86" s="38">
        <v>287</v>
      </c>
      <c r="G86" s="38">
        <v>287</v>
      </c>
      <c r="H86" s="38">
        <f t="shared" si="3"/>
        <v>603</v>
      </c>
      <c r="I86" s="38">
        <v>396</v>
      </c>
      <c r="J86" s="38">
        <v>207</v>
      </c>
      <c r="K86" s="38">
        <v>189</v>
      </c>
      <c r="L86" s="50">
        <f t="shared" si="4"/>
        <v>31.343283582089555</v>
      </c>
      <c r="M86" s="38">
        <v>0</v>
      </c>
      <c r="N86" s="50">
        <f t="shared" si="5"/>
        <v>0</v>
      </c>
      <c r="O86" s="38">
        <v>0</v>
      </c>
      <c r="P86" s="38">
        <v>55</v>
      </c>
    </row>
    <row r="87" spans="1:31" x14ac:dyDescent="0.25">
      <c r="A87" s="38" t="s">
        <v>36</v>
      </c>
      <c r="B87" s="38" t="s">
        <v>37</v>
      </c>
      <c r="C87" s="38" t="s">
        <v>225</v>
      </c>
      <c r="D87" s="38" t="s">
        <v>231</v>
      </c>
      <c r="E87" s="38" t="s">
        <v>232</v>
      </c>
      <c r="F87" s="38">
        <v>448</v>
      </c>
      <c r="G87" s="38">
        <v>448</v>
      </c>
      <c r="H87" s="38">
        <f t="shared" si="3"/>
        <v>283</v>
      </c>
      <c r="I87" s="38">
        <v>186</v>
      </c>
      <c r="J87" s="38">
        <v>97</v>
      </c>
      <c r="K87" s="38">
        <v>89</v>
      </c>
      <c r="L87" s="50">
        <f t="shared" si="4"/>
        <v>31.448763250883395</v>
      </c>
      <c r="M87" s="38">
        <v>0</v>
      </c>
      <c r="N87" s="50">
        <f t="shared" si="5"/>
        <v>0</v>
      </c>
      <c r="O87" s="38">
        <v>0</v>
      </c>
      <c r="P87" s="38">
        <v>188</v>
      </c>
    </row>
    <row r="88" spans="1:31" x14ac:dyDescent="0.25">
      <c r="A88" s="38" t="s">
        <v>36</v>
      </c>
      <c r="B88" s="38" t="s">
        <v>37</v>
      </c>
      <c r="C88" s="38" t="s">
        <v>225</v>
      </c>
      <c r="D88" s="38" t="s">
        <v>233</v>
      </c>
      <c r="E88" s="38" t="s">
        <v>234</v>
      </c>
      <c r="F88" s="38">
        <v>525</v>
      </c>
      <c r="G88" s="38">
        <v>525</v>
      </c>
      <c r="H88" s="38">
        <f t="shared" si="3"/>
        <v>1238</v>
      </c>
      <c r="I88" s="38">
        <v>809</v>
      </c>
      <c r="J88" s="38">
        <v>429</v>
      </c>
      <c r="K88" s="38">
        <v>380</v>
      </c>
      <c r="L88" s="50">
        <f t="shared" si="4"/>
        <v>30.694668820678512</v>
      </c>
      <c r="M88" s="38">
        <v>68</v>
      </c>
      <c r="N88" s="50">
        <f t="shared" si="5"/>
        <v>5.4927302100161546</v>
      </c>
      <c r="O88" s="38">
        <v>0</v>
      </c>
      <c r="P88" s="38">
        <v>0</v>
      </c>
    </row>
    <row r="89" spans="1:31" x14ac:dyDescent="0.25">
      <c r="A89" s="38" t="s">
        <v>36</v>
      </c>
      <c r="B89" s="33" t="s">
        <v>37</v>
      </c>
      <c r="C89" s="33" t="s">
        <v>235</v>
      </c>
      <c r="D89" s="33" t="s">
        <v>236</v>
      </c>
      <c r="E89" s="33" t="s">
        <v>237</v>
      </c>
      <c r="F89" s="33">
        <v>804.35</v>
      </c>
      <c r="G89" s="33">
        <v>804.35</v>
      </c>
      <c r="H89" s="38">
        <f t="shared" si="3"/>
        <v>1624</v>
      </c>
      <c r="I89" s="33">
        <v>1065</v>
      </c>
      <c r="J89" s="33">
        <v>559</v>
      </c>
      <c r="K89" s="33">
        <v>506</v>
      </c>
      <c r="L89" s="50">
        <f t="shared" si="4"/>
        <v>31.157635467980292</v>
      </c>
      <c r="M89" s="33">
        <v>77</v>
      </c>
      <c r="N89" s="50">
        <f t="shared" si="5"/>
        <v>4.7413793103448274</v>
      </c>
      <c r="O89" s="33">
        <v>0</v>
      </c>
      <c r="P89" s="33">
        <v>99.76</v>
      </c>
      <c r="Q89" s="35" t="s">
        <v>43</v>
      </c>
      <c r="R89" s="100">
        <v>44528</v>
      </c>
      <c r="S89" s="35"/>
      <c r="T89" s="35">
        <v>100</v>
      </c>
      <c r="U89" s="35"/>
      <c r="V89" s="35"/>
      <c r="W89" s="35"/>
      <c r="X89" s="35"/>
      <c r="Y89" s="35"/>
      <c r="Z89" s="87"/>
      <c r="AB89" s="87"/>
      <c r="AC89" s="35" t="s">
        <v>238</v>
      </c>
      <c r="AD89" s="35">
        <v>25.539194999999999</v>
      </c>
      <c r="AE89" s="35">
        <v>71.719329999999999</v>
      </c>
    </row>
    <row r="90" spans="1:31" x14ac:dyDescent="0.25">
      <c r="A90" s="38" t="s">
        <v>36</v>
      </c>
      <c r="B90" s="33" t="s">
        <v>37</v>
      </c>
      <c r="C90" s="33" t="s">
        <v>235</v>
      </c>
      <c r="D90" s="33" t="s">
        <v>239</v>
      </c>
      <c r="E90" s="33" t="s">
        <v>240</v>
      </c>
      <c r="F90" s="33">
        <v>387.09</v>
      </c>
      <c r="G90" s="33">
        <v>387.09</v>
      </c>
      <c r="H90" s="38">
        <f t="shared" si="3"/>
        <v>669</v>
      </c>
      <c r="I90" s="33">
        <v>452</v>
      </c>
      <c r="J90" s="33">
        <v>217</v>
      </c>
      <c r="K90" s="33">
        <v>235</v>
      </c>
      <c r="L90" s="50">
        <f t="shared" si="4"/>
        <v>35.127055306427501</v>
      </c>
      <c r="M90" s="33">
        <v>4</v>
      </c>
      <c r="N90" s="50">
        <f t="shared" si="5"/>
        <v>0.59790732436472349</v>
      </c>
      <c r="O90" s="33">
        <v>0</v>
      </c>
      <c r="P90" s="33">
        <v>0</v>
      </c>
      <c r="Q90" s="36" t="s">
        <v>43</v>
      </c>
      <c r="R90" s="14">
        <v>44518</v>
      </c>
      <c r="S90" s="36"/>
      <c r="T90" s="36">
        <v>0</v>
      </c>
      <c r="U90" s="36"/>
      <c r="V90" s="36"/>
      <c r="W90" s="36"/>
      <c r="X90" s="36"/>
      <c r="Y90" s="36"/>
      <c r="Z90" s="85"/>
      <c r="AB90" s="85"/>
      <c r="AC90" s="15" t="s">
        <v>241</v>
      </c>
      <c r="AD90" s="36">
        <v>0</v>
      </c>
      <c r="AE90" s="36"/>
    </row>
    <row r="91" spans="1:31" x14ac:dyDescent="0.25">
      <c r="A91" s="38" t="s">
        <v>36</v>
      </c>
      <c r="B91" s="33" t="s">
        <v>37</v>
      </c>
      <c r="C91" s="33" t="s">
        <v>235</v>
      </c>
      <c r="D91" s="33" t="s">
        <v>243</v>
      </c>
      <c r="E91" s="33" t="s">
        <v>244</v>
      </c>
      <c r="F91" s="33">
        <v>572.9</v>
      </c>
      <c r="G91" s="33">
        <v>572.9</v>
      </c>
      <c r="H91" s="38">
        <f t="shared" si="3"/>
        <v>1005</v>
      </c>
      <c r="I91" s="33">
        <v>661</v>
      </c>
      <c r="J91" s="33">
        <v>344</v>
      </c>
      <c r="K91" s="33">
        <v>317</v>
      </c>
      <c r="L91" s="50">
        <f t="shared" si="4"/>
        <v>31.542288557213933</v>
      </c>
      <c r="M91" s="33">
        <v>77</v>
      </c>
      <c r="N91" s="50">
        <f t="shared" si="5"/>
        <v>7.6616915422885565</v>
      </c>
      <c r="O91" s="33">
        <v>0</v>
      </c>
      <c r="P91" s="33">
        <v>36.909999999999997</v>
      </c>
      <c r="Q91" s="35" t="s">
        <v>43</v>
      </c>
      <c r="R91" s="100">
        <v>44528</v>
      </c>
      <c r="S91" s="35"/>
      <c r="T91" s="35">
        <v>17</v>
      </c>
      <c r="U91" s="35"/>
      <c r="V91" s="35"/>
      <c r="W91" s="35"/>
      <c r="X91" s="35"/>
      <c r="Y91" s="35"/>
      <c r="Z91" s="87"/>
      <c r="AB91" s="87">
        <v>15</v>
      </c>
      <c r="AC91" s="35" t="s">
        <v>245</v>
      </c>
      <c r="AD91" s="35">
        <v>25.528963999999998</v>
      </c>
      <c r="AE91" s="35">
        <v>71.715647000000004</v>
      </c>
    </row>
    <row r="92" spans="1:31" x14ac:dyDescent="0.25">
      <c r="A92" s="38" t="s">
        <v>36</v>
      </c>
      <c r="B92" s="33" t="s">
        <v>37</v>
      </c>
      <c r="C92" s="33" t="s">
        <v>235</v>
      </c>
      <c r="D92" s="33" t="s">
        <v>246</v>
      </c>
      <c r="E92" s="33" t="s">
        <v>247</v>
      </c>
      <c r="F92" s="33">
        <v>706.87</v>
      </c>
      <c r="G92" s="33">
        <v>706.87</v>
      </c>
      <c r="H92" s="38">
        <f t="shared" si="3"/>
        <v>1106</v>
      </c>
      <c r="I92" s="33">
        <v>722</v>
      </c>
      <c r="J92" s="33">
        <v>384</v>
      </c>
      <c r="K92" s="33">
        <v>338</v>
      </c>
      <c r="L92" s="50">
        <f t="shared" si="4"/>
        <v>30.560578661844485</v>
      </c>
      <c r="M92" s="33">
        <v>68</v>
      </c>
      <c r="N92" s="50">
        <f t="shared" si="5"/>
        <v>6.1482820976491857</v>
      </c>
      <c r="O92" s="33">
        <v>0</v>
      </c>
      <c r="P92" s="33">
        <v>0</v>
      </c>
      <c r="Q92" s="36" t="s">
        <v>43</v>
      </c>
      <c r="R92" s="14">
        <v>44518</v>
      </c>
      <c r="S92" s="36"/>
      <c r="T92" s="36">
        <v>0</v>
      </c>
      <c r="U92" s="36"/>
      <c r="V92" s="36"/>
      <c r="W92" s="36"/>
      <c r="X92" s="36"/>
      <c r="Y92" s="36"/>
      <c r="Z92" s="85"/>
      <c r="AB92" s="85"/>
      <c r="AC92" s="15" t="s">
        <v>248</v>
      </c>
      <c r="AD92" s="36">
        <v>0</v>
      </c>
      <c r="AE92" s="36"/>
    </row>
    <row r="93" spans="1:31" x14ac:dyDescent="0.25">
      <c r="A93" s="38" t="s">
        <v>36</v>
      </c>
      <c r="B93" s="33" t="s">
        <v>37</v>
      </c>
      <c r="C93" s="33" t="s">
        <v>235</v>
      </c>
      <c r="D93" s="33" t="s">
        <v>249</v>
      </c>
      <c r="E93" s="33" t="s">
        <v>250</v>
      </c>
      <c r="F93" s="33">
        <v>444.76</v>
      </c>
      <c r="G93" s="33">
        <v>444.76</v>
      </c>
      <c r="H93" s="38">
        <f t="shared" si="3"/>
        <v>916</v>
      </c>
      <c r="I93" s="33">
        <v>596</v>
      </c>
      <c r="J93" s="33">
        <v>320</v>
      </c>
      <c r="K93" s="33">
        <v>276</v>
      </c>
      <c r="L93" s="50">
        <f t="shared" si="4"/>
        <v>30.131004366812224</v>
      </c>
      <c r="M93" s="33">
        <v>11</v>
      </c>
      <c r="N93" s="50">
        <f t="shared" si="5"/>
        <v>1.2008733624454149</v>
      </c>
      <c r="O93" s="33">
        <v>0</v>
      </c>
      <c r="P93" s="33">
        <v>32.799999999999997</v>
      </c>
      <c r="Q93" s="36" t="s">
        <v>43</v>
      </c>
      <c r="R93" s="14">
        <v>44518</v>
      </c>
      <c r="S93" s="36"/>
      <c r="T93" s="36">
        <v>33</v>
      </c>
      <c r="U93" s="36"/>
      <c r="V93" s="36"/>
      <c r="W93" s="36"/>
      <c r="X93" s="36"/>
      <c r="Y93" s="36"/>
      <c r="Z93" s="85"/>
      <c r="AB93" s="85"/>
      <c r="AC93" s="15" t="s">
        <v>251</v>
      </c>
      <c r="AD93" s="36">
        <v>25.557618999999999</v>
      </c>
      <c r="AE93" s="36">
        <v>71.701701</v>
      </c>
    </row>
    <row r="94" spans="1:31" x14ac:dyDescent="0.25">
      <c r="A94" s="38" t="s">
        <v>36</v>
      </c>
      <c r="B94" s="33" t="s">
        <v>37</v>
      </c>
      <c r="C94" s="75" t="s">
        <v>242</v>
      </c>
      <c r="D94" s="15" t="s">
        <v>252</v>
      </c>
      <c r="E94" s="33"/>
      <c r="F94" s="33"/>
      <c r="G94" s="33"/>
      <c r="H94" s="38">
        <f t="shared" si="3"/>
        <v>0</v>
      </c>
      <c r="I94" s="33"/>
      <c r="J94" s="33"/>
      <c r="K94" s="33"/>
      <c r="L94" s="50"/>
      <c r="M94" s="33"/>
      <c r="N94" s="50"/>
      <c r="O94" s="33"/>
      <c r="P94" s="33"/>
      <c r="Q94" s="36" t="s">
        <v>43</v>
      </c>
      <c r="R94" s="95">
        <v>44518</v>
      </c>
      <c r="S94" s="36"/>
      <c r="T94" s="36">
        <v>36.5</v>
      </c>
      <c r="U94" s="36"/>
      <c r="V94" s="36"/>
      <c r="W94" s="36"/>
      <c r="X94" s="36"/>
      <c r="Y94" s="36"/>
      <c r="Z94" s="87"/>
      <c r="AB94" s="85">
        <v>15</v>
      </c>
      <c r="AC94" s="36" t="s">
        <v>253</v>
      </c>
      <c r="AD94" s="36">
        <v>71.705236999999997</v>
      </c>
      <c r="AE94" s="36">
        <v>25.508423000000001</v>
      </c>
    </row>
    <row r="95" spans="1:31" x14ac:dyDescent="0.25">
      <c r="A95" s="38" t="s">
        <v>36</v>
      </c>
      <c r="B95" s="33" t="s">
        <v>37</v>
      </c>
      <c r="C95" s="15" t="s">
        <v>242</v>
      </c>
      <c r="D95" s="15" t="s">
        <v>251</v>
      </c>
      <c r="E95" s="33"/>
      <c r="F95" s="33"/>
      <c r="G95" s="33"/>
      <c r="H95" s="38">
        <f t="shared" si="3"/>
        <v>0</v>
      </c>
      <c r="I95" s="33"/>
      <c r="J95" s="33"/>
      <c r="K95" s="33"/>
      <c r="L95" s="50"/>
      <c r="M95" s="33"/>
      <c r="N95" s="50"/>
      <c r="O95" s="33"/>
      <c r="P95" s="33"/>
      <c r="Q95" s="36" t="s">
        <v>43</v>
      </c>
      <c r="R95" s="14">
        <v>44518</v>
      </c>
      <c r="S95" s="36"/>
      <c r="T95" s="36">
        <v>33</v>
      </c>
      <c r="U95" s="36"/>
      <c r="V95" s="36"/>
      <c r="W95" s="36"/>
      <c r="X95" s="36"/>
      <c r="Y95" s="36"/>
      <c r="Z95" s="85"/>
      <c r="AC95" s="15" t="s">
        <v>251</v>
      </c>
      <c r="AD95" s="36">
        <v>25.557618999999999</v>
      </c>
      <c r="AE95" s="36">
        <v>71.701701</v>
      </c>
    </row>
    <row r="96" spans="1:31" x14ac:dyDescent="0.25">
      <c r="A96" s="38" t="s">
        <v>36</v>
      </c>
      <c r="B96" s="33" t="s">
        <v>37</v>
      </c>
      <c r="C96" s="15" t="s">
        <v>242</v>
      </c>
      <c r="D96" s="15" t="s">
        <v>252</v>
      </c>
      <c r="E96" s="33"/>
      <c r="F96" s="33"/>
      <c r="G96" s="33"/>
      <c r="H96" s="38">
        <f t="shared" si="3"/>
        <v>0</v>
      </c>
      <c r="I96" s="33"/>
      <c r="J96" s="33"/>
      <c r="K96" s="33"/>
      <c r="L96" s="50"/>
      <c r="M96" s="33"/>
      <c r="N96" s="50"/>
      <c r="O96" s="33"/>
      <c r="P96" s="33"/>
      <c r="Q96" s="36" t="s">
        <v>43</v>
      </c>
      <c r="R96" s="14">
        <v>44518</v>
      </c>
      <c r="S96" s="36"/>
      <c r="T96" s="36">
        <v>36.47</v>
      </c>
      <c r="U96" s="36"/>
      <c r="V96" s="36"/>
      <c r="W96" s="36"/>
      <c r="X96" s="36"/>
      <c r="Y96" s="36"/>
      <c r="Z96" s="85"/>
      <c r="AC96" s="15" t="s">
        <v>252</v>
      </c>
      <c r="AD96" s="36"/>
      <c r="AE96" s="36"/>
    </row>
    <row r="97" spans="1:31" x14ac:dyDescent="0.25">
      <c r="A97" s="38" t="s">
        <v>36</v>
      </c>
      <c r="B97" s="33" t="s">
        <v>37</v>
      </c>
      <c r="C97" s="33" t="s">
        <v>235</v>
      </c>
      <c r="D97" s="33" t="s">
        <v>254</v>
      </c>
      <c r="E97" s="33" t="s">
        <v>255</v>
      </c>
      <c r="F97" s="33">
        <v>519</v>
      </c>
      <c r="G97" s="33">
        <v>519</v>
      </c>
      <c r="H97" s="38">
        <f t="shared" si="3"/>
        <v>674</v>
      </c>
      <c r="I97" s="33">
        <v>440</v>
      </c>
      <c r="J97" s="33">
        <v>234</v>
      </c>
      <c r="K97" s="33">
        <v>206</v>
      </c>
      <c r="L97" s="50">
        <f t="shared" si="4"/>
        <v>30.563798219584569</v>
      </c>
      <c r="M97" s="33">
        <v>12</v>
      </c>
      <c r="N97" s="50">
        <f t="shared" si="5"/>
        <v>1.7804154302670623</v>
      </c>
      <c r="O97" s="33">
        <v>0</v>
      </c>
      <c r="P97" s="33">
        <v>0</v>
      </c>
      <c r="Q97" s="36" t="s">
        <v>43</v>
      </c>
      <c r="R97" s="14">
        <v>44518</v>
      </c>
      <c r="S97" s="36"/>
      <c r="T97" s="36">
        <v>0</v>
      </c>
      <c r="U97" s="36"/>
      <c r="V97" s="36"/>
      <c r="W97" s="36"/>
      <c r="X97" s="36"/>
      <c r="Y97" s="36"/>
      <c r="Z97" s="85"/>
      <c r="AC97" s="15" t="s">
        <v>256</v>
      </c>
      <c r="AD97" s="36">
        <v>0</v>
      </c>
      <c r="AE97" s="36"/>
    </row>
    <row r="98" spans="1:31" x14ac:dyDescent="0.25">
      <c r="A98" s="38" t="s">
        <v>36</v>
      </c>
      <c r="B98" s="38" t="s">
        <v>37</v>
      </c>
      <c r="C98" s="38" t="s">
        <v>257</v>
      </c>
      <c r="D98" s="38" t="s">
        <v>258</v>
      </c>
      <c r="E98" s="38" t="s">
        <v>259</v>
      </c>
      <c r="F98" s="38">
        <v>790.07</v>
      </c>
      <c r="G98" s="38">
        <v>790.07</v>
      </c>
      <c r="H98" s="38">
        <f t="shared" si="3"/>
        <v>1885</v>
      </c>
      <c r="I98" s="38">
        <v>1240</v>
      </c>
      <c r="J98" s="38">
        <v>645</v>
      </c>
      <c r="K98" s="38">
        <v>595</v>
      </c>
      <c r="L98" s="50">
        <f t="shared" si="4"/>
        <v>31.564986737400531</v>
      </c>
      <c r="M98" s="38">
        <v>96</v>
      </c>
      <c r="N98" s="50">
        <f t="shared" si="5"/>
        <v>5.0928381962864719</v>
      </c>
      <c r="O98" s="38">
        <v>0</v>
      </c>
      <c r="P98" s="38">
        <v>5</v>
      </c>
      <c r="Q98" s="36" t="s">
        <v>43</v>
      </c>
      <c r="R98" s="14">
        <v>44517</v>
      </c>
      <c r="S98" s="36"/>
      <c r="T98" s="36">
        <v>5</v>
      </c>
      <c r="U98" s="36"/>
      <c r="V98" s="36"/>
      <c r="W98" s="36"/>
      <c r="X98" s="36"/>
      <c r="Y98" s="36"/>
      <c r="Z98" s="85"/>
      <c r="AC98" s="15" t="s">
        <v>260</v>
      </c>
      <c r="AD98" s="36"/>
      <c r="AE98" s="36"/>
    </row>
    <row r="99" spans="1:31" x14ac:dyDescent="0.25">
      <c r="A99" s="38" t="s">
        <v>36</v>
      </c>
      <c r="B99" s="38" t="s">
        <v>37</v>
      </c>
      <c r="C99" s="38" t="s">
        <v>257</v>
      </c>
      <c r="D99" s="38" t="s">
        <v>261</v>
      </c>
      <c r="E99" s="38" t="s">
        <v>262</v>
      </c>
      <c r="F99" s="38">
        <v>958.94</v>
      </c>
      <c r="G99" s="38">
        <v>958.94</v>
      </c>
      <c r="H99" s="38">
        <f t="shared" si="3"/>
        <v>2071</v>
      </c>
      <c r="I99" s="38">
        <v>1356</v>
      </c>
      <c r="J99" s="38">
        <v>715</v>
      </c>
      <c r="K99" s="38">
        <v>641</v>
      </c>
      <c r="L99" s="50">
        <f t="shared" si="4"/>
        <v>30.951231289232258</v>
      </c>
      <c r="M99" s="38">
        <v>427</v>
      </c>
      <c r="N99" s="50">
        <f t="shared" si="5"/>
        <v>20.618058908739741</v>
      </c>
      <c r="O99" s="38">
        <v>0</v>
      </c>
      <c r="P99" s="38">
        <v>0</v>
      </c>
      <c r="Q99" s="36" t="s">
        <v>43</v>
      </c>
      <c r="R99" s="14">
        <v>44517</v>
      </c>
      <c r="S99" s="36"/>
      <c r="T99" s="36">
        <v>0</v>
      </c>
      <c r="U99" s="36"/>
      <c r="V99" s="36"/>
      <c r="W99" s="36"/>
      <c r="X99" s="36"/>
      <c r="Y99" s="36"/>
      <c r="Z99" s="85"/>
      <c r="AC99" s="15" t="s">
        <v>263</v>
      </c>
      <c r="AD99" s="36">
        <v>0</v>
      </c>
      <c r="AE99" s="36"/>
    </row>
    <row r="100" spans="1:31" x14ac:dyDescent="0.25">
      <c r="A100" s="38" t="s">
        <v>36</v>
      </c>
      <c r="B100" s="38" t="s">
        <v>37</v>
      </c>
      <c r="C100" s="38" t="s">
        <v>257</v>
      </c>
      <c r="D100" s="38" t="s">
        <v>264</v>
      </c>
      <c r="E100" s="38" t="s">
        <v>265</v>
      </c>
      <c r="F100" s="38">
        <v>1049.42</v>
      </c>
      <c r="G100" s="38">
        <v>1049.42</v>
      </c>
      <c r="H100" s="38">
        <f t="shared" si="3"/>
        <v>1428</v>
      </c>
      <c r="I100" s="38">
        <v>940</v>
      </c>
      <c r="J100" s="38">
        <v>488</v>
      </c>
      <c r="K100" s="38">
        <v>452</v>
      </c>
      <c r="L100" s="50">
        <f t="shared" si="4"/>
        <v>31.652661064425768</v>
      </c>
      <c r="M100" s="38">
        <v>30</v>
      </c>
      <c r="N100" s="50">
        <f t="shared" si="5"/>
        <v>2.1008403361344539</v>
      </c>
      <c r="O100" s="38">
        <v>0</v>
      </c>
      <c r="P100" s="38">
        <v>0</v>
      </c>
      <c r="Q100" s="36" t="s">
        <v>43</v>
      </c>
      <c r="R100" s="14">
        <v>44517</v>
      </c>
      <c r="S100" s="36"/>
      <c r="T100" s="36">
        <v>0</v>
      </c>
      <c r="U100" s="36"/>
      <c r="V100" s="36"/>
      <c r="W100" s="36"/>
      <c r="X100" s="36"/>
      <c r="Y100" s="36"/>
      <c r="Z100" s="85"/>
      <c r="AC100" s="15" t="s">
        <v>266</v>
      </c>
      <c r="AD100" s="36">
        <v>0</v>
      </c>
      <c r="AE100" s="36"/>
    </row>
    <row r="101" spans="1:31" x14ac:dyDescent="0.25">
      <c r="A101" s="38" t="s">
        <v>36</v>
      </c>
      <c r="B101" s="38" t="s">
        <v>37</v>
      </c>
      <c r="C101" s="38" t="s">
        <v>257</v>
      </c>
      <c r="D101" s="38" t="s">
        <v>267</v>
      </c>
      <c r="E101" s="38" t="s">
        <v>268</v>
      </c>
      <c r="F101" s="38">
        <v>568.66999999999996</v>
      </c>
      <c r="G101" s="38">
        <v>568.66999999999996</v>
      </c>
      <c r="H101" s="38">
        <f t="shared" si="3"/>
        <v>771</v>
      </c>
      <c r="I101" s="38">
        <v>505</v>
      </c>
      <c r="J101" s="38">
        <v>266</v>
      </c>
      <c r="K101" s="38">
        <v>239</v>
      </c>
      <c r="L101" s="50">
        <f t="shared" si="4"/>
        <v>30.998702983138781</v>
      </c>
      <c r="M101" s="38">
        <v>0</v>
      </c>
      <c r="N101" s="50">
        <f t="shared" si="5"/>
        <v>0</v>
      </c>
      <c r="O101" s="38">
        <v>0</v>
      </c>
      <c r="P101" s="38">
        <v>14</v>
      </c>
      <c r="Q101" s="36" t="s">
        <v>43</v>
      </c>
      <c r="R101" s="14">
        <v>44517</v>
      </c>
      <c r="S101" s="36"/>
      <c r="T101" s="36">
        <v>14</v>
      </c>
      <c r="U101" s="36"/>
      <c r="V101" s="36"/>
      <c r="W101" s="36"/>
      <c r="X101" s="36"/>
      <c r="Y101" s="36"/>
      <c r="Z101" s="85"/>
      <c r="AC101" s="15" t="s">
        <v>269</v>
      </c>
      <c r="AD101" s="36"/>
      <c r="AE101" s="36"/>
    </row>
    <row r="102" spans="1:31" x14ac:dyDescent="0.25">
      <c r="A102" s="38" t="s">
        <v>36</v>
      </c>
      <c r="B102" s="38" t="s">
        <v>37</v>
      </c>
      <c r="C102" s="38" t="s">
        <v>270</v>
      </c>
      <c r="D102" s="38" t="s">
        <v>271</v>
      </c>
      <c r="E102" s="38" t="s">
        <v>272</v>
      </c>
      <c r="F102" s="38">
        <v>2367.61</v>
      </c>
      <c r="G102" s="38">
        <v>2367.61</v>
      </c>
      <c r="H102" s="38">
        <f t="shared" si="3"/>
        <v>3372</v>
      </c>
      <c r="I102" s="38">
        <v>2206</v>
      </c>
      <c r="J102" s="38">
        <v>1166</v>
      </c>
      <c r="K102" s="38">
        <v>1040</v>
      </c>
      <c r="L102" s="50">
        <f t="shared" si="4"/>
        <v>30.84223013048636</v>
      </c>
      <c r="M102" s="38">
        <v>101</v>
      </c>
      <c r="N102" s="50">
        <f t="shared" si="5"/>
        <v>2.9952550415183867</v>
      </c>
      <c r="O102" s="38">
        <v>0</v>
      </c>
      <c r="P102" s="38">
        <v>0</v>
      </c>
      <c r="AB102" s="5">
        <v>18</v>
      </c>
    </row>
    <row r="103" spans="1:31" x14ac:dyDescent="0.25">
      <c r="A103" s="38" t="s">
        <v>36</v>
      </c>
      <c r="B103" s="38" t="s">
        <v>37</v>
      </c>
      <c r="C103" s="38" t="s">
        <v>270</v>
      </c>
      <c r="D103" s="38" t="s">
        <v>273</v>
      </c>
      <c r="E103" s="38" t="s">
        <v>274</v>
      </c>
      <c r="F103" s="38">
        <v>331.04</v>
      </c>
      <c r="G103" s="38">
        <v>331.04</v>
      </c>
      <c r="H103" s="38">
        <f t="shared" si="3"/>
        <v>995</v>
      </c>
      <c r="I103" s="38">
        <v>669</v>
      </c>
      <c r="J103" s="38">
        <v>326</v>
      </c>
      <c r="K103" s="38">
        <v>343</v>
      </c>
      <c r="L103" s="50">
        <f t="shared" si="4"/>
        <v>34.472361809045225</v>
      </c>
      <c r="M103" s="38">
        <v>119</v>
      </c>
      <c r="N103" s="50">
        <f t="shared" si="5"/>
        <v>11.959798994974873</v>
      </c>
      <c r="O103" s="38">
        <v>0</v>
      </c>
      <c r="P103" s="38">
        <v>36.979999999999997</v>
      </c>
      <c r="AB103" s="3"/>
    </row>
    <row r="104" spans="1:31" x14ac:dyDescent="0.25">
      <c r="A104" s="38" t="s">
        <v>36</v>
      </c>
      <c r="B104" s="38" t="s">
        <v>37</v>
      </c>
      <c r="C104" s="38" t="s">
        <v>275</v>
      </c>
      <c r="D104" s="38" t="s">
        <v>276</v>
      </c>
      <c r="E104" s="38" t="s">
        <v>277</v>
      </c>
      <c r="F104" s="38">
        <v>972.42</v>
      </c>
      <c r="G104" s="38">
        <v>972.42</v>
      </c>
      <c r="H104" s="38">
        <f t="shared" si="3"/>
        <v>1730</v>
      </c>
      <c r="I104" s="38">
        <v>1120</v>
      </c>
      <c r="J104" s="38">
        <v>610</v>
      </c>
      <c r="K104" s="38">
        <v>510</v>
      </c>
      <c r="L104" s="50">
        <f t="shared" si="4"/>
        <v>29.47976878612717</v>
      </c>
      <c r="M104" s="38">
        <v>113</v>
      </c>
      <c r="N104" s="50">
        <f t="shared" si="5"/>
        <v>6.5317919075144504</v>
      </c>
      <c r="O104" s="38">
        <v>0</v>
      </c>
      <c r="P104" s="38">
        <v>10.88</v>
      </c>
      <c r="Q104" s="61" t="s">
        <v>43</v>
      </c>
      <c r="R104" s="7">
        <v>44579</v>
      </c>
      <c r="S104" s="61"/>
      <c r="T104" s="61">
        <v>10.71</v>
      </c>
      <c r="U104" s="61"/>
      <c r="V104" s="61"/>
      <c r="W104" s="61"/>
      <c r="X104" s="61"/>
      <c r="Y104" s="61"/>
      <c r="Z104" s="20"/>
      <c r="AB104" s="3"/>
      <c r="AC104" s="38" t="s">
        <v>276</v>
      </c>
      <c r="AD104" s="61"/>
      <c r="AE104" s="61"/>
    </row>
    <row r="105" spans="1:31" x14ac:dyDescent="0.25">
      <c r="A105" s="38" t="s">
        <v>36</v>
      </c>
      <c r="B105" s="38" t="s">
        <v>37</v>
      </c>
      <c r="C105" s="38" t="s">
        <v>275</v>
      </c>
      <c r="D105" s="38" t="s">
        <v>278</v>
      </c>
      <c r="E105" s="38" t="s">
        <v>279</v>
      </c>
      <c r="F105" s="38">
        <v>957.11</v>
      </c>
      <c r="G105" s="38">
        <v>957.11</v>
      </c>
      <c r="H105" s="38">
        <f t="shared" si="3"/>
        <v>1265</v>
      </c>
      <c r="I105" s="38">
        <v>840</v>
      </c>
      <c r="J105" s="38">
        <v>425</v>
      </c>
      <c r="K105" s="38">
        <v>415</v>
      </c>
      <c r="L105" s="50">
        <f t="shared" si="4"/>
        <v>32.806324110671937</v>
      </c>
      <c r="M105" s="38">
        <v>20</v>
      </c>
      <c r="N105" s="50">
        <f t="shared" si="5"/>
        <v>1.5810276679841897</v>
      </c>
      <c r="O105" s="38">
        <v>0</v>
      </c>
      <c r="P105" s="38">
        <v>0</v>
      </c>
      <c r="Q105" s="36" t="s">
        <v>43</v>
      </c>
      <c r="R105" s="14">
        <v>44579</v>
      </c>
      <c r="S105" s="36"/>
      <c r="T105" s="36">
        <v>0.40450000000000003</v>
      </c>
      <c r="U105" s="36"/>
      <c r="V105" s="36"/>
      <c r="W105" s="36"/>
      <c r="X105" s="36"/>
      <c r="Y105" s="36"/>
      <c r="Z105" s="85"/>
      <c r="AB105" s="3"/>
      <c r="AC105" s="33" t="s">
        <v>278</v>
      </c>
      <c r="AD105" s="36"/>
      <c r="AE105" s="36"/>
    </row>
    <row r="106" spans="1:31" x14ac:dyDescent="0.25">
      <c r="A106" s="38" t="s">
        <v>36</v>
      </c>
      <c r="B106" s="38" t="s">
        <v>37</v>
      </c>
      <c r="C106" s="38" t="s">
        <v>275</v>
      </c>
      <c r="D106" s="38" t="s">
        <v>280</v>
      </c>
      <c r="E106" s="38" t="s">
        <v>281</v>
      </c>
      <c r="F106" s="38">
        <v>961.18</v>
      </c>
      <c r="G106" s="38">
        <v>961.18</v>
      </c>
      <c r="H106" s="38">
        <f t="shared" si="3"/>
        <v>1202</v>
      </c>
      <c r="I106" s="38">
        <v>796</v>
      </c>
      <c r="J106" s="38">
        <v>406</v>
      </c>
      <c r="K106" s="38">
        <v>390</v>
      </c>
      <c r="L106" s="50">
        <f t="shared" si="4"/>
        <v>32.445923460898499</v>
      </c>
      <c r="M106" s="38">
        <v>10</v>
      </c>
      <c r="N106" s="50">
        <f t="shared" si="5"/>
        <v>0.83194675540765384</v>
      </c>
      <c r="O106" s="38">
        <v>0</v>
      </c>
      <c r="P106" s="38">
        <v>108.82</v>
      </c>
      <c r="Q106" s="36" t="s">
        <v>43</v>
      </c>
      <c r="R106" s="14">
        <v>44579</v>
      </c>
      <c r="S106" s="36"/>
      <c r="T106" s="36">
        <v>108.1795</v>
      </c>
      <c r="U106" s="36"/>
      <c r="V106" s="36"/>
      <c r="W106" s="36"/>
      <c r="X106" s="36"/>
      <c r="Y106" s="36"/>
      <c r="Z106" s="85"/>
      <c r="AB106" s="3"/>
      <c r="AC106" s="33" t="s">
        <v>280</v>
      </c>
      <c r="AD106" s="36"/>
      <c r="AE106" s="36"/>
    </row>
    <row r="107" spans="1:31" x14ac:dyDescent="0.25">
      <c r="A107" s="38" t="s">
        <v>36</v>
      </c>
      <c r="G107" s="101">
        <f t="shared" ref="G107:P107" si="6">SUM(G4:G106)</f>
        <v>56791.410000000018</v>
      </c>
      <c r="H107" s="38">
        <f t="shared" si="3"/>
        <v>92666</v>
      </c>
      <c r="I107" s="101">
        <f t="shared" si="6"/>
        <v>60908</v>
      </c>
      <c r="J107" s="101">
        <f t="shared" si="6"/>
        <v>31758</v>
      </c>
      <c r="K107" s="101">
        <f t="shared" si="6"/>
        <v>29150</v>
      </c>
      <c r="L107" s="50">
        <f t="shared" si="4"/>
        <v>31.457060842164331</v>
      </c>
      <c r="M107" s="101">
        <f t="shared" si="6"/>
        <v>4098</v>
      </c>
      <c r="N107" s="50">
        <f t="shared" si="5"/>
        <v>4.4223339736257099</v>
      </c>
      <c r="O107" s="101">
        <f t="shared" si="6"/>
        <v>74.22</v>
      </c>
      <c r="P107" s="101">
        <f t="shared" si="6"/>
        <v>2628.9900000000002</v>
      </c>
      <c r="AB107" s="2"/>
    </row>
    <row r="108" spans="1:31" x14ac:dyDescent="0.25">
      <c r="A108" s="38" t="s">
        <v>36</v>
      </c>
      <c r="B108" s="38" t="s">
        <v>36</v>
      </c>
      <c r="C108" s="38" t="s">
        <v>282</v>
      </c>
      <c r="D108" s="38" t="s">
        <v>282</v>
      </c>
      <c r="E108" s="38" t="s">
        <v>283</v>
      </c>
      <c r="F108" s="38">
        <v>1188</v>
      </c>
      <c r="G108" s="38">
        <v>1188</v>
      </c>
      <c r="H108" s="38">
        <f t="shared" si="3"/>
        <v>1945</v>
      </c>
      <c r="I108" s="38">
        <v>1269</v>
      </c>
      <c r="J108" s="38">
        <v>676</v>
      </c>
      <c r="K108" s="38">
        <v>593</v>
      </c>
      <c r="L108" s="50">
        <f t="shared" si="4"/>
        <v>30.488431876606686</v>
      </c>
      <c r="M108" s="38">
        <v>206</v>
      </c>
      <c r="N108" s="50">
        <f t="shared" si="5"/>
        <v>10.591259640102828</v>
      </c>
      <c r="O108" s="38">
        <v>0</v>
      </c>
      <c r="P108" s="38">
        <v>0</v>
      </c>
      <c r="Q108" s="61" t="s">
        <v>43</v>
      </c>
      <c r="R108" s="7">
        <v>45201</v>
      </c>
      <c r="S108" s="40"/>
      <c r="T108" s="39">
        <v>0.16189999999999999</v>
      </c>
      <c r="U108" s="39"/>
      <c r="V108" s="39"/>
      <c r="W108" s="39"/>
      <c r="X108" s="39"/>
      <c r="Y108" s="39"/>
      <c r="Z108" s="3"/>
      <c r="AB108" s="3"/>
      <c r="AC108" s="38" t="s">
        <v>282</v>
      </c>
      <c r="AD108" s="2"/>
      <c r="AE108" s="40"/>
    </row>
    <row r="109" spans="1:31" x14ac:dyDescent="0.25">
      <c r="A109" s="38" t="s">
        <v>36</v>
      </c>
      <c r="B109" s="38" t="s">
        <v>36</v>
      </c>
      <c r="C109" s="38" t="s">
        <v>282</v>
      </c>
      <c r="D109" s="38" t="s">
        <v>284</v>
      </c>
      <c r="E109" s="38" t="s">
        <v>285</v>
      </c>
      <c r="F109" s="38">
        <v>1172</v>
      </c>
      <c r="G109" s="38">
        <v>1172</v>
      </c>
      <c r="H109" s="38">
        <f t="shared" si="3"/>
        <v>1492</v>
      </c>
      <c r="I109" s="38">
        <v>992</v>
      </c>
      <c r="J109" s="38">
        <v>500</v>
      </c>
      <c r="K109" s="38">
        <v>492</v>
      </c>
      <c r="L109" s="50">
        <f t="shared" si="4"/>
        <v>32.975871313672926</v>
      </c>
      <c r="M109" s="38">
        <v>101</v>
      </c>
      <c r="N109" s="50">
        <f t="shared" si="5"/>
        <v>6.7694369973190351</v>
      </c>
      <c r="O109" s="38">
        <v>0</v>
      </c>
      <c r="P109" s="38">
        <v>37</v>
      </c>
      <c r="Q109" s="61" t="s">
        <v>43</v>
      </c>
      <c r="R109" s="7">
        <v>45201</v>
      </c>
      <c r="S109" s="40"/>
      <c r="T109" s="39">
        <v>37.22</v>
      </c>
      <c r="U109" s="39"/>
      <c r="V109" s="39"/>
      <c r="W109" s="39"/>
      <c r="X109" s="39"/>
      <c r="Y109" s="39"/>
      <c r="Z109" s="3"/>
      <c r="AB109" s="3"/>
      <c r="AC109" s="38" t="s">
        <v>284</v>
      </c>
      <c r="AD109" s="2"/>
      <c r="AE109" s="40"/>
    </row>
    <row r="110" spans="1:31" x14ac:dyDescent="0.25">
      <c r="A110" s="38" t="s">
        <v>36</v>
      </c>
      <c r="B110" s="38" t="s">
        <v>36</v>
      </c>
      <c r="C110" s="38" t="s">
        <v>282</v>
      </c>
      <c r="D110" s="38" t="s">
        <v>286</v>
      </c>
      <c r="E110" s="38"/>
      <c r="F110" s="38"/>
      <c r="G110" s="38"/>
      <c r="H110" s="38">
        <f t="shared" si="3"/>
        <v>0</v>
      </c>
      <c r="I110" s="38"/>
      <c r="J110" s="38"/>
      <c r="K110" s="38"/>
      <c r="L110" s="50"/>
      <c r="M110" s="38"/>
      <c r="N110" s="50"/>
      <c r="O110" s="38"/>
      <c r="P110" s="38"/>
      <c r="Q110" s="61" t="s">
        <v>43</v>
      </c>
      <c r="R110" s="7">
        <v>45201</v>
      </c>
      <c r="S110" s="40"/>
      <c r="T110" s="39">
        <v>10</v>
      </c>
      <c r="U110" s="39"/>
      <c r="V110" s="39"/>
      <c r="W110" s="39"/>
      <c r="X110" s="39"/>
      <c r="Y110" s="39"/>
      <c r="Z110" s="3"/>
      <c r="AB110" s="3"/>
      <c r="AC110" s="38" t="s">
        <v>286</v>
      </c>
      <c r="AD110" s="2"/>
      <c r="AE110" s="40"/>
    </row>
    <row r="111" spans="1:31" x14ac:dyDescent="0.25">
      <c r="A111" s="38" t="s">
        <v>36</v>
      </c>
      <c r="B111" s="38" t="s">
        <v>36</v>
      </c>
      <c r="C111" s="38" t="s">
        <v>282</v>
      </c>
      <c r="D111" s="38" t="s">
        <v>287</v>
      </c>
      <c r="E111" s="38"/>
      <c r="F111" s="38"/>
      <c r="G111" s="38"/>
      <c r="H111" s="38">
        <f t="shared" si="3"/>
        <v>0</v>
      </c>
      <c r="I111" s="38"/>
      <c r="J111" s="38"/>
      <c r="K111" s="38"/>
      <c r="L111" s="50"/>
      <c r="M111" s="38"/>
      <c r="N111" s="50"/>
      <c r="O111" s="38"/>
      <c r="P111" s="38"/>
      <c r="Q111" s="61" t="s">
        <v>43</v>
      </c>
      <c r="R111" s="7">
        <v>45201</v>
      </c>
      <c r="S111" s="40"/>
      <c r="T111" s="39">
        <v>0</v>
      </c>
      <c r="U111" s="39"/>
      <c r="V111" s="39"/>
      <c r="W111" s="39"/>
      <c r="X111" s="39"/>
      <c r="Y111" s="39"/>
      <c r="Z111" s="3"/>
      <c r="AB111" s="3"/>
      <c r="AC111" s="38" t="s">
        <v>287</v>
      </c>
      <c r="AD111" s="2"/>
      <c r="AE111" s="40"/>
    </row>
    <row r="112" spans="1:31" x14ac:dyDescent="0.25">
      <c r="A112" s="38" t="s">
        <v>36</v>
      </c>
      <c r="B112" s="41" t="s">
        <v>36</v>
      </c>
      <c r="C112" s="41" t="s">
        <v>288</v>
      </c>
      <c r="D112" s="41" t="s">
        <v>289</v>
      </c>
      <c r="E112" s="41" t="s">
        <v>290</v>
      </c>
      <c r="F112" s="41">
        <v>847.87</v>
      </c>
      <c r="G112" s="41">
        <v>847.87</v>
      </c>
      <c r="H112" s="38">
        <f t="shared" si="3"/>
        <v>1964</v>
      </c>
      <c r="I112" s="41">
        <v>1296</v>
      </c>
      <c r="J112" s="41">
        <v>668</v>
      </c>
      <c r="K112" s="41">
        <v>628</v>
      </c>
      <c r="L112" s="50">
        <f t="shared" si="4"/>
        <v>31.975560081466398</v>
      </c>
      <c r="M112" s="41">
        <v>385</v>
      </c>
      <c r="N112" s="50">
        <f t="shared" si="5"/>
        <v>19.602851323828922</v>
      </c>
      <c r="O112" s="41">
        <v>0</v>
      </c>
      <c r="P112" s="41">
        <v>17.059999999999999</v>
      </c>
      <c r="Q112" s="61" t="s">
        <v>43</v>
      </c>
      <c r="R112" s="24">
        <v>45201</v>
      </c>
      <c r="S112" s="44"/>
      <c r="T112" s="43">
        <v>17.166699999999999</v>
      </c>
      <c r="U112" s="43"/>
      <c r="V112" s="43"/>
      <c r="W112" s="43"/>
      <c r="X112" s="43"/>
      <c r="Y112" s="43"/>
      <c r="Z112" s="5"/>
      <c r="AB112" s="5">
        <v>17</v>
      </c>
      <c r="AC112" s="41" t="s">
        <v>289</v>
      </c>
      <c r="AD112" s="44">
        <v>25.676875299999999</v>
      </c>
      <c r="AE112" s="44">
        <v>71.325183800000005</v>
      </c>
    </row>
    <row r="113" spans="1:31" x14ac:dyDescent="0.25">
      <c r="A113" s="38" t="s">
        <v>36</v>
      </c>
      <c r="B113" s="38" t="s">
        <v>36</v>
      </c>
      <c r="C113" s="38" t="s">
        <v>288</v>
      </c>
      <c r="D113" s="38" t="s">
        <v>291</v>
      </c>
      <c r="E113" s="38" t="s">
        <v>292</v>
      </c>
      <c r="F113" s="38">
        <v>664.02</v>
      </c>
      <c r="G113" s="38">
        <v>664.02</v>
      </c>
      <c r="H113" s="38">
        <f t="shared" si="3"/>
        <v>848</v>
      </c>
      <c r="I113" s="38">
        <v>549</v>
      </c>
      <c r="J113" s="38">
        <v>299</v>
      </c>
      <c r="K113" s="38">
        <v>250</v>
      </c>
      <c r="L113" s="50">
        <f t="shared" si="4"/>
        <v>29.481132075471699</v>
      </c>
      <c r="M113" s="38">
        <v>139</v>
      </c>
      <c r="N113" s="50">
        <f t="shared" si="5"/>
        <v>16.391509433962266</v>
      </c>
      <c r="O113" s="38">
        <v>0</v>
      </c>
      <c r="P113" s="38">
        <v>0</v>
      </c>
    </row>
    <row r="114" spans="1:31" x14ac:dyDescent="0.25">
      <c r="A114" s="38" t="s">
        <v>36</v>
      </c>
      <c r="B114" s="38" t="s">
        <v>36</v>
      </c>
      <c r="C114" s="38" t="s">
        <v>288</v>
      </c>
      <c r="D114" s="38" t="s">
        <v>293</v>
      </c>
      <c r="E114" s="38" t="s">
        <v>294</v>
      </c>
      <c r="F114" s="38">
        <v>392.05</v>
      </c>
      <c r="G114" s="38">
        <v>392.05</v>
      </c>
      <c r="H114" s="38">
        <f t="shared" si="3"/>
        <v>1115</v>
      </c>
      <c r="I114" s="38">
        <v>730</v>
      </c>
      <c r="J114" s="38">
        <v>385</v>
      </c>
      <c r="K114" s="38">
        <v>345</v>
      </c>
      <c r="L114" s="50">
        <f t="shared" si="4"/>
        <v>30.941704035874441</v>
      </c>
      <c r="M114" s="38">
        <v>193</v>
      </c>
      <c r="N114" s="50">
        <f t="shared" si="5"/>
        <v>17.309417040358742</v>
      </c>
      <c r="O114" s="38">
        <v>0</v>
      </c>
      <c r="P114" s="38">
        <v>0</v>
      </c>
    </row>
    <row r="115" spans="1:31" x14ac:dyDescent="0.25">
      <c r="A115" s="38" t="s">
        <v>36</v>
      </c>
      <c r="B115" s="38" t="s">
        <v>36</v>
      </c>
      <c r="C115" s="38" t="s">
        <v>288</v>
      </c>
      <c r="D115" s="38" t="s">
        <v>295</v>
      </c>
      <c r="E115" s="38" t="s">
        <v>296</v>
      </c>
      <c r="F115" s="38">
        <v>843.58</v>
      </c>
      <c r="G115" s="38">
        <v>843.58</v>
      </c>
      <c r="H115" s="38">
        <f t="shared" si="3"/>
        <v>666</v>
      </c>
      <c r="I115" s="38">
        <v>433</v>
      </c>
      <c r="J115" s="38">
        <v>233</v>
      </c>
      <c r="K115" s="38">
        <v>200</v>
      </c>
      <c r="L115" s="50">
        <f t="shared" si="4"/>
        <v>30.03003003003003</v>
      </c>
      <c r="M115" s="38">
        <v>129</v>
      </c>
      <c r="N115" s="50">
        <f t="shared" si="5"/>
        <v>19.36936936936937</v>
      </c>
      <c r="O115" s="38">
        <v>0</v>
      </c>
      <c r="P115" s="38">
        <v>40.020000000000003</v>
      </c>
      <c r="Q115" s="61" t="s">
        <v>43</v>
      </c>
      <c r="R115" s="7">
        <v>45201</v>
      </c>
      <c r="S115" s="40"/>
      <c r="T115" s="39">
        <v>40.177199999999999</v>
      </c>
      <c r="U115" s="39"/>
      <c r="V115" s="39"/>
      <c r="W115" s="39"/>
      <c r="X115" s="39"/>
      <c r="Y115" s="39"/>
      <c r="Z115" s="3"/>
      <c r="AB115" s="3"/>
      <c r="AC115" s="38" t="s">
        <v>295</v>
      </c>
      <c r="AD115" s="2"/>
      <c r="AE115" s="40"/>
    </row>
    <row r="116" spans="1:31" x14ac:dyDescent="0.25">
      <c r="A116" s="38" t="s">
        <v>36</v>
      </c>
      <c r="B116" s="38" t="s">
        <v>36</v>
      </c>
      <c r="C116" s="38" t="s">
        <v>288</v>
      </c>
      <c r="D116" s="38" t="s">
        <v>297</v>
      </c>
      <c r="E116" s="38" t="s">
        <v>298</v>
      </c>
      <c r="F116" s="38">
        <v>658.37</v>
      </c>
      <c r="G116" s="38">
        <v>658.37</v>
      </c>
      <c r="H116" s="38">
        <f t="shared" si="3"/>
        <v>917</v>
      </c>
      <c r="I116" s="38">
        <v>592</v>
      </c>
      <c r="J116" s="38">
        <v>325</v>
      </c>
      <c r="K116" s="38">
        <v>267</v>
      </c>
      <c r="L116" s="50">
        <f t="shared" si="4"/>
        <v>29.116684841875685</v>
      </c>
      <c r="M116" s="38">
        <v>172</v>
      </c>
      <c r="N116" s="50">
        <f t="shared" si="5"/>
        <v>18.756815703380589</v>
      </c>
      <c r="O116" s="38">
        <v>0</v>
      </c>
      <c r="P116" s="38">
        <v>23.05</v>
      </c>
      <c r="Q116" s="61" t="s">
        <v>43</v>
      </c>
      <c r="R116" s="7">
        <v>45201</v>
      </c>
      <c r="S116" s="40"/>
      <c r="T116" s="39">
        <v>23.2987</v>
      </c>
      <c r="U116" s="39"/>
      <c r="V116" s="39"/>
      <c r="W116" s="39"/>
      <c r="X116" s="39"/>
      <c r="Y116" s="39"/>
      <c r="Z116" s="3"/>
      <c r="AB116" s="3"/>
      <c r="AC116" s="38" t="s">
        <v>297</v>
      </c>
      <c r="AD116" s="2"/>
      <c r="AE116" s="40"/>
    </row>
    <row r="117" spans="1:31" x14ac:dyDescent="0.25">
      <c r="A117" s="38" t="s">
        <v>36</v>
      </c>
      <c r="B117" s="38" t="s">
        <v>36</v>
      </c>
      <c r="C117" s="38" t="s">
        <v>299</v>
      </c>
      <c r="D117" s="38" t="s">
        <v>300</v>
      </c>
      <c r="E117" s="38" t="s">
        <v>301</v>
      </c>
      <c r="F117" s="38">
        <v>1101.3699999999999</v>
      </c>
      <c r="G117" s="38">
        <v>1101.3699999999999</v>
      </c>
      <c r="H117" s="38">
        <f t="shared" si="3"/>
        <v>1896</v>
      </c>
      <c r="I117" s="38">
        <v>1225</v>
      </c>
      <c r="J117" s="38">
        <v>671</v>
      </c>
      <c r="K117" s="38">
        <v>554</v>
      </c>
      <c r="L117" s="50">
        <f t="shared" si="4"/>
        <v>29.219409282700422</v>
      </c>
      <c r="M117" s="38">
        <v>84</v>
      </c>
      <c r="N117" s="50">
        <f t="shared" si="5"/>
        <v>4.4303797468354427</v>
      </c>
      <c r="O117" s="38">
        <v>0</v>
      </c>
      <c r="P117" s="38">
        <v>0</v>
      </c>
      <c r="Q117" s="61" t="s">
        <v>43</v>
      </c>
      <c r="R117" s="7">
        <v>45285</v>
      </c>
      <c r="S117" s="40"/>
      <c r="T117" s="39">
        <v>36</v>
      </c>
      <c r="U117" s="39"/>
      <c r="V117" s="39"/>
      <c r="W117" s="39"/>
      <c r="X117" s="39"/>
      <c r="Y117" s="39"/>
      <c r="Z117" s="3"/>
      <c r="AB117" s="3"/>
      <c r="AC117" s="38" t="s">
        <v>300</v>
      </c>
      <c r="AD117" s="2"/>
      <c r="AE117" s="40"/>
    </row>
    <row r="118" spans="1:31" x14ac:dyDescent="0.25">
      <c r="A118" s="38" t="s">
        <v>36</v>
      </c>
      <c r="B118" s="38" t="s">
        <v>36</v>
      </c>
      <c r="C118" s="38" t="s">
        <v>299</v>
      </c>
      <c r="D118" s="38" t="s">
        <v>302</v>
      </c>
      <c r="E118" s="38" t="s">
        <v>303</v>
      </c>
      <c r="F118" s="38">
        <v>722.19</v>
      </c>
      <c r="G118" s="38">
        <v>722.19</v>
      </c>
      <c r="H118" s="38">
        <f t="shared" si="3"/>
        <v>675</v>
      </c>
      <c r="I118" s="38">
        <v>448</v>
      </c>
      <c r="J118" s="38">
        <v>227</v>
      </c>
      <c r="K118" s="38">
        <v>221</v>
      </c>
      <c r="L118" s="50">
        <f t="shared" si="4"/>
        <v>32.74074074074074</v>
      </c>
      <c r="M118" s="38">
        <v>0</v>
      </c>
      <c r="N118" s="50">
        <f t="shared" si="5"/>
        <v>0</v>
      </c>
      <c r="O118" s="38">
        <v>0</v>
      </c>
      <c r="P118" s="38">
        <v>0</v>
      </c>
      <c r="Q118" s="61" t="s">
        <v>43</v>
      </c>
      <c r="R118" s="7">
        <v>45285</v>
      </c>
      <c r="S118" s="40"/>
      <c r="T118" s="39">
        <v>0</v>
      </c>
      <c r="U118" s="39"/>
      <c r="V118" s="39"/>
      <c r="W118" s="39"/>
      <c r="X118" s="39"/>
      <c r="Y118" s="39"/>
      <c r="Z118" s="3"/>
      <c r="AB118" s="3"/>
      <c r="AC118" s="38" t="s">
        <v>302</v>
      </c>
      <c r="AD118" s="2"/>
      <c r="AE118" s="40"/>
    </row>
    <row r="119" spans="1:31" x14ac:dyDescent="0.25">
      <c r="A119" s="38" t="s">
        <v>36</v>
      </c>
      <c r="B119" s="38" t="s">
        <v>36</v>
      </c>
      <c r="C119" s="38" t="s">
        <v>299</v>
      </c>
      <c r="D119" s="38" t="s">
        <v>304</v>
      </c>
      <c r="E119" s="38"/>
      <c r="F119" s="38"/>
      <c r="G119" s="38"/>
      <c r="H119" s="38">
        <f t="shared" si="3"/>
        <v>0</v>
      </c>
      <c r="I119" s="38"/>
      <c r="J119" s="38"/>
      <c r="K119" s="38"/>
      <c r="L119" s="50"/>
      <c r="M119" s="38"/>
      <c r="N119" s="50"/>
      <c r="O119" s="38"/>
      <c r="P119" s="38"/>
      <c r="Q119" s="61" t="s">
        <v>43</v>
      </c>
      <c r="R119" s="7">
        <v>45285</v>
      </c>
      <c r="S119" s="40"/>
      <c r="T119" s="39">
        <v>0</v>
      </c>
      <c r="U119" s="39"/>
      <c r="V119" s="39"/>
      <c r="W119" s="39"/>
      <c r="X119" s="39"/>
      <c r="Y119" s="39"/>
      <c r="Z119" s="3"/>
      <c r="AB119" s="3"/>
      <c r="AC119" s="38" t="s">
        <v>304</v>
      </c>
      <c r="AD119" s="2"/>
      <c r="AE119" s="40"/>
    </row>
    <row r="120" spans="1:31" x14ac:dyDescent="0.25">
      <c r="A120" s="38" t="s">
        <v>36</v>
      </c>
      <c r="B120" s="38" t="s">
        <v>36</v>
      </c>
      <c r="C120" s="38" t="s">
        <v>299</v>
      </c>
      <c r="D120" s="38" t="s">
        <v>305</v>
      </c>
      <c r="E120" s="38"/>
      <c r="F120" s="38"/>
      <c r="G120" s="38"/>
      <c r="H120" s="38">
        <f t="shared" si="3"/>
        <v>0</v>
      </c>
      <c r="I120" s="38"/>
      <c r="J120" s="38"/>
      <c r="K120" s="38"/>
      <c r="L120" s="50"/>
      <c r="M120" s="38"/>
      <c r="N120" s="50"/>
      <c r="O120" s="38"/>
      <c r="P120" s="38"/>
      <c r="Q120" s="61" t="s">
        <v>43</v>
      </c>
      <c r="R120" s="7">
        <v>45285</v>
      </c>
      <c r="S120" s="40"/>
      <c r="T120" s="39">
        <v>11.1</v>
      </c>
      <c r="U120" s="39"/>
      <c r="V120" s="39"/>
      <c r="W120" s="39"/>
      <c r="X120" s="39"/>
      <c r="Y120" s="39"/>
      <c r="Z120" s="3"/>
      <c r="AB120" s="3"/>
      <c r="AC120" s="38" t="s">
        <v>305</v>
      </c>
      <c r="AD120" s="2"/>
      <c r="AE120" s="40"/>
    </row>
    <row r="121" spans="1:31" x14ac:dyDescent="0.25">
      <c r="A121" s="38" t="s">
        <v>36</v>
      </c>
      <c r="B121" s="38" t="s">
        <v>36</v>
      </c>
      <c r="C121" s="38" t="s">
        <v>299</v>
      </c>
      <c r="D121" s="38" t="s">
        <v>306</v>
      </c>
      <c r="E121" s="38"/>
      <c r="F121" s="38"/>
      <c r="G121" s="38"/>
      <c r="H121" s="38">
        <f t="shared" si="3"/>
        <v>0</v>
      </c>
      <c r="I121" s="38"/>
      <c r="J121" s="38"/>
      <c r="K121" s="38"/>
      <c r="L121" s="50"/>
      <c r="M121" s="38"/>
      <c r="N121" s="50"/>
      <c r="O121" s="38"/>
      <c r="P121" s="38"/>
      <c r="Q121" s="61" t="s">
        <v>43</v>
      </c>
      <c r="R121" s="7">
        <v>45285</v>
      </c>
      <c r="S121" s="40"/>
      <c r="T121" s="39">
        <v>0</v>
      </c>
      <c r="U121" s="39"/>
      <c r="V121" s="39"/>
      <c r="W121" s="39"/>
      <c r="X121" s="39"/>
      <c r="Y121" s="39"/>
      <c r="Z121" s="3"/>
      <c r="AB121" s="3"/>
      <c r="AC121" s="38" t="s">
        <v>306</v>
      </c>
      <c r="AD121" s="2"/>
      <c r="AE121" s="40"/>
    </row>
    <row r="122" spans="1:31" x14ac:dyDescent="0.25">
      <c r="A122" s="38" t="s">
        <v>36</v>
      </c>
      <c r="B122" s="38" t="s">
        <v>36</v>
      </c>
      <c r="C122" s="38" t="s">
        <v>299</v>
      </c>
      <c r="D122" s="38" t="s">
        <v>307</v>
      </c>
      <c r="E122" s="38"/>
      <c r="F122" s="38"/>
      <c r="G122" s="38"/>
      <c r="H122" s="38">
        <f t="shared" si="3"/>
        <v>0</v>
      </c>
      <c r="I122" s="38"/>
      <c r="J122" s="38"/>
      <c r="K122" s="38"/>
      <c r="L122" s="50"/>
      <c r="M122" s="38"/>
      <c r="N122" s="50"/>
      <c r="O122" s="38"/>
      <c r="P122" s="38"/>
      <c r="Q122" s="61" t="s">
        <v>43</v>
      </c>
      <c r="R122" s="7">
        <v>45285</v>
      </c>
      <c r="S122" s="40"/>
      <c r="T122" s="39">
        <v>0</v>
      </c>
      <c r="U122" s="39"/>
      <c r="V122" s="39"/>
      <c r="W122" s="39"/>
      <c r="X122" s="39"/>
      <c r="Y122" s="39"/>
      <c r="Z122" s="3"/>
      <c r="AB122" s="3"/>
      <c r="AC122" s="38" t="s">
        <v>307</v>
      </c>
      <c r="AD122" s="2"/>
      <c r="AE122" s="40"/>
    </row>
    <row r="123" spans="1:31" x14ac:dyDescent="0.25">
      <c r="A123" s="38" t="s">
        <v>36</v>
      </c>
      <c r="B123" s="38" t="s">
        <v>36</v>
      </c>
      <c r="C123" s="38" t="s">
        <v>299</v>
      </c>
      <c r="D123" s="38" t="s">
        <v>308</v>
      </c>
      <c r="E123" s="38"/>
      <c r="F123" s="38"/>
      <c r="G123" s="38"/>
      <c r="H123" s="38">
        <f t="shared" si="3"/>
        <v>0</v>
      </c>
      <c r="I123" s="38"/>
      <c r="J123" s="38"/>
      <c r="K123" s="38"/>
      <c r="L123" s="50"/>
      <c r="M123" s="38"/>
      <c r="N123" s="50"/>
      <c r="O123" s="38"/>
      <c r="P123" s="38"/>
      <c r="Q123" s="61" t="s">
        <v>43</v>
      </c>
      <c r="R123" s="7">
        <v>45285</v>
      </c>
      <c r="S123" s="40"/>
      <c r="T123" s="39">
        <v>0</v>
      </c>
      <c r="U123" s="39"/>
      <c r="V123" s="39"/>
      <c r="W123" s="39"/>
      <c r="X123" s="39"/>
      <c r="Y123" s="39"/>
      <c r="Z123" s="3"/>
      <c r="AB123" s="3"/>
      <c r="AC123" s="38" t="s">
        <v>308</v>
      </c>
      <c r="AD123" s="2"/>
      <c r="AE123" s="40"/>
    </row>
    <row r="124" spans="1:31" x14ac:dyDescent="0.25">
      <c r="A124" s="38" t="s">
        <v>36</v>
      </c>
      <c r="B124" s="38" t="s">
        <v>36</v>
      </c>
      <c r="C124" s="38" t="s">
        <v>299</v>
      </c>
      <c r="D124" s="38" t="s">
        <v>309</v>
      </c>
      <c r="E124" s="38" t="s">
        <v>310</v>
      </c>
      <c r="F124" s="38">
        <v>606.71</v>
      </c>
      <c r="G124" s="38">
        <v>606.71</v>
      </c>
      <c r="H124" s="38">
        <f t="shared" si="3"/>
        <v>1390</v>
      </c>
      <c r="I124" s="38">
        <v>907</v>
      </c>
      <c r="J124" s="38">
        <v>483</v>
      </c>
      <c r="K124" s="38">
        <v>424</v>
      </c>
      <c r="L124" s="50">
        <f t="shared" si="4"/>
        <v>30.503597122302157</v>
      </c>
      <c r="M124" s="38">
        <v>0</v>
      </c>
      <c r="N124" s="50">
        <f t="shared" si="5"/>
        <v>0</v>
      </c>
      <c r="O124" s="38">
        <v>0</v>
      </c>
      <c r="P124" s="38">
        <v>0</v>
      </c>
      <c r="Q124" s="61" t="s">
        <v>43</v>
      </c>
      <c r="R124" s="7">
        <v>45285</v>
      </c>
      <c r="S124" s="40"/>
      <c r="T124" s="39">
        <v>0</v>
      </c>
      <c r="U124" s="39"/>
      <c r="V124" s="39"/>
      <c r="W124" s="39"/>
      <c r="X124" s="39"/>
      <c r="Y124" s="39"/>
      <c r="Z124" s="3"/>
      <c r="AB124" s="3"/>
      <c r="AC124" s="38" t="s">
        <v>309</v>
      </c>
      <c r="AD124" s="2"/>
      <c r="AE124" s="40"/>
    </row>
    <row r="125" spans="1:31" ht="18.75" x14ac:dyDescent="0.25">
      <c r="A125" s="38" t="s">
        <v>36</v>
      </c>
      <c r="B125" s="41" t="s">
        <v>36</v>
      </c>
      <c r="C125" s="41" t="s">
        <v>311</v>
      </c>
      <c r="D125" s="41" t="s">
        <v>312</v>
      </c>
      <c r="E125" s="41" t="s">
        <v>313</v>
      </c>
      <c r="F125" s="41">
        <v>1942</v>
      </c>
      <c r="G125" s="41">
        <v>1942</v>
      </c>
      <c r="H125" s="38">
        <f t="shared" si="3"/>
        <v>3538</v>
      </c>
      <c r="I125" s="41">
        <v>2288</v>
      </c>
      <c r="J125" s="41">
        <v>1250</v>
      </c>
      <c r="K125" s="41">
        <v>1038</v>
      </c>
      <c r="L125" s="50">
        <f t="shared" si="4"/>
        <v>29.338609383832676</v>
      </c>
      <c r="M125" s="41">
        <v>135</v>
      </c>
      <c r="N125" s="50">
        <f t="shared" si="5"/>
        <v>3.8157150932730359</v>
      </c>
      <c r="O125" s="41">
        <v>0</v>
      </c>
      <c r="P125" s="41">
        <v>0</v>
      </c>
      <c r="Q125" s="61" t="s">
        <v>43</v>
      </c>
      <c r="R125" s="24">
        <v>45567</v>
      </c>
      <c r="S125" s="44"/>
      <c r="T125" s="43">
        <v>32</v>
      </c>
      <c r="U125" s="43"/>
      <c r="V125" s="43"/>
      <c r="W125" s="43"/>
      <c r="X125" s="43"/>
      <c r="Y125" s="43"/>
      <c r="Z125" s="5"/>
      <c r="AB125" s="5">
        <v>20</v>
      </c>
      <c r="AC125" s="41" t="s">
        <v>312</v>
      </c>
      <c r="AD125" s="102">
        <v>25.605240999999999</v>
      </c>
      <c r="AE125" s="44">
        <v>71.271175999999997</v>
      </c>
    </row>
    <row r="126" spans="1:31" x14ac:dyDescent="0.25">
      <c r="A126" s="38" t="s">
        <v>36</v>
      </c>
      <c r="B126" s="41" t="s">
        <v>36</v>
      </c>
      <c r="C126" s="41" t="s">
        <v>311</v>
      </c>
      <c r="D126" s="41" t="s">
        <v>312</v>
      </c>
      <c r="E126" s="41" t="s">
        <v>313</v>
      </c>
      <c r="F126" s="41">
        <v>1942</v>
      </c>
      <c r="G126" s="41">
        <v>1942</v>
      </c>
      <c r="H126" s="38">
        <f t="shared" si="3"/>
        <v>3538</v>
      </c>
      <c r="I126" s="41">
        <v>2288</v>
      </c>
      <c r="J126" s="41">
        <v>1250</v>
      </c>
      <c r="K126" s="41">
        <v>1038</v>
      </c>
      <c r="L126" s="50">
        <f t="shared" si="4"/>
        <v>29.338609383832676</v>
      </c>
      <c r="M126" s="41">
        <v>135</v>
      </c>
      <c r="N126" s="50">
        <f t="shared" si="5"/>
        <v>3.8157150932730359</v>
      </c>
      <c r="O126" s="41">
        <v>0</v>
      </c>
      <c r="P126" s="41">
        <v>0</v>
      </c>
      <c r="Q126" s="103"/>
      <c r="R126" s="104">
        <v>45567</v>
      </c>
      <c r="S126" s="105"/>
      <c r="T126" s="103"/>
      <c r="U126" s="103"/>
      <c r="V126" s="103"/>
      <c r="W126" s="103"/>
      <c r="X126" s="103"/>
      <c r="Y126" s="103"/>
      <c r="Z126" s="106"/>
      <c r="AB126" s="106">
        <v>18</v>
      </c>
      <c r="AC126" s="107" t="s">
        <v>312</v>
      </c>
      <c r="AD126" s="108">
        <v>25.641051000000001</v>
      </c>
      <c r="AE126" s="105">
        <v>71.279382999999996</v>
      </c>
    </row>
    <row r="127" spans="1:31" x14ac:dyDescent="0.25">
      <c r="A127" s="38" t="s">
        <v>36</v>
      </c>
      <c r="B127" s="38" t="s">
        <v>36</v>
      </c>
      <c r="C127" s="38" t="s">
        <v>311</v>
      </c>
      <c r="D127" s="38" t="s">
        <v>314</v>
      </c>
      <c r="E127" s="38" t="s">
        <v>315</v>
      </c>
      <c r="F127" s="38">
        <v>1662</v>
      </c>
      <c r="G127" s="38">
        <v>1662</v>
      </c>
      <c r="H127" s="38">
        <f t="shared" si="3"/>
        <v>2574</v>
      </c>
      <c r="I127" s="38">
        <v>1692</v>
      </c>
      <c r="J127" s="38">
        <v>882</v>
      </c>
      <c r="K127" s="38">
        <v>810</v>
      </c>
      <c r="L127" s="50">
        <f t="shared" si="4"/>
        <v>31.46853146853147</v>
      </c>
      <c r="M127" s="38">
        <v>56</v>
      </c>
      <c r="N127" s="50">
        <f t="shared" si="5"/>
        <v>2.1756021756021755</v>
      </c>
      <c r="O127" s="38">
        <v>141</v>
      </c>
      <c r="P127" s="38">
        <v>52</v>
      </c>
      <c r="Q127" s="61" t="s">
        <v>43</v>
      </c>
      <c r="R127" s="7">
        <v>45567</v>
      </c>
      <c r="S127" s="40"/>
      <c r="T127" s="39">
        <v>25</v>
      </c>
      <c r="U127" s="39"/>
      <c r="V127" s="39"/>
      <c r="W127" s="39"/>
      <c r="X127" s="39"/>
      <c r="Y127" s="39"/>
      <c r="Z127" s="3"/>
      <c r="AB127" s="3"/>
      <c r="AC127" s="38" t="s">
        <v>314</v>
      </c>
      <c r="AE127" s="40"/>
    </row>
    <row r="128" spans="1:31" x14ac:dyDescent="0.25">
      <c r="A128" s="38" t="s">
        <v>36</v>
      </c>
      <c r="B128" s="41" t="s">
        <v>36</v>
      </c>
      <c r="C128" s="41" t="s">
        <v>311</v>
      </c>
      <c r="D128" s="41" t="s">
        <v>314</v>
      </c>
      <c r="E128" s="41" t="s">
        <v>315</v>
      </c>
      <c r="F128" s="41">
        <v>1662</v>
      </c>
      <c r="G128" s="41">
        <v>1662</v>
      </c>
      <c r="H128" s="38">
        <f t="shared" si="3"/>
        <v>2574</v>
      </c>
      <c r="I128" s="41">
        <v>1692</v>
      </c>
      <c r="J128" s="41">
        <v>882</v>
      </c>
      <c r="K128" s="41">
        <v>810</v>
      </c>
      <c r="L128" s="50">
        <f t="shared" si="4"/>
        <v>31.46853146853147</v>
      </c>
      <c r="M128" s="41">
        <v>56</v>
      </c>
      <c r="N128" s="50">
        <f t="shared" si="5"/>
        <v>2.1756021756021755</v>
      </c>
      <c r="O128" s="41">
        <v>141</v>
      </c>
      <c r="P128" s="41">
        <v>52</v>
      </c>
      <c r="Q128" s="43"/>
      <c r="R128" s="24">
        <v>45567</v>
      </c>
      <c r="S128" s="44"/>
      <c r="T128" s="43"/>
      <c r="U128" s="43"/>
      <c r="V128" s="43"/>
      <c r="W128" s="43"/>
      <c r="X128" s="43"/>
      <c r="Y128" s="43"/>
      <c r="Z128" s="5"/>
      <c r="AB128" s="5">
        <v>25</v>
      </c>
      <c r="AC128" s="41" t="s">
        <v>314</v>
      </c>
      <c r="AD128" s="18">
        <v>25.623106</v>
      </c>
      <c r="AE128" s="44">
        <v>71.309652999999997</v>
      </c>
    </row>
    <row r="129" spans="1:31" x14ac:dyDescent="0.25">
      <c r="A129" s="38" t="s">
        <v>36</v>
      </c>
      <c r="B129" s="38" t="s">
        <v>36</v>
      </c>
      <c r="C129" s="38" t="s">
        <v>311</v>
      </c>
      <c r="D129" s="38" t="s">
        <v>316</v>
      </c>
      <c r="E129" s="38"/>
      <c r="F129" s="38"/>
      <c r="G129" s="38"/>
      <c r="H129" s="38">
        <f t="shared" si="3"/>
        <v>0</v>
      </c>
      <c r="I129" s="38"/>
      <c r="J129" s="38"/>
      <c r="K129" s="38"/>
      <c r="L129" s="50"/>
      <c r="M129" s="38"/>
      <c r="N129" s="50"/>
      <c r="O129" s="38"/>
      <c r="P129" s="38"/>
      <c r="Q129" s="61" t="s">
        <v>43</v>
      </c>
      <c r="R129" s="7">
        <v>45567</v>
      </c>
      <c r="S129" s="40"/>
      <c r="T129" s="39">
        <v>21</v>
      </c>
      <c r="U129" s="39"/>
      <c r="V129" s="39"/>
      <c r="W129" s="39"/>
      <c r="X129" s="39"/>
      <c r="Y129" s="39"/>
      <c r="Z129" s="3"/>
      <c r="AB129" s="3"/>
      <c r="AC129" s="38" t="s">
        <v>316</v>
      </c>
      <c r="AE129" s="40"/>
    </row>
    <row r="130" spans="1:31" x14ac:dyDescent="0.25">
      <c r="A130" s="38" t="s">
        <v>36</v>
      </c>
      <c r="B130" s="38" t="s">
        <v>36</v>
      </c>
      <c r="C130" s="38" t="s">
        <v>311</v>
      </c>
      <c r="D130" s="38" t="s">
        <v>317</v>
      </c>
      <c r="E130" s="38"/>
      <c r="F130" s="38"/>
      <c r="G130" s="38"/>
      <c r="H130" s="38">
        <f t="shared" si="3"/>
        <v>0</v>
      </c>
      <c r="I130" s="38"/>
      <c r="J130" s="38"/>
      <c r="K130" s="38"/>
      <c r="L130" s="50"/>
      <c r="M130" s="38"/>
      <c r="N130" s="50"/>
      <c r="O130" s="38"/>
      <c r="P130" s="38"/>
      <c r="Q130" s="61" t="s">
        <v>43</v>
      </c>
      <c r="R130" s="7">
        <v>45567</v>
      </c>
      <c r="S130" s="40"/>
      <c r="T130" s="39">
        <v>3.45</v>
      </c>
      <c r="U130" s="39"/>
      <c r="V130" s="39"/>
      <c r="W130" s="39"/>
      <c r="X130" s="39"/>
      <c r="Y130" s="39"/>
      <c r="Z130" s="3"/>
      <c r="AB130" s="3"/>
      <c r="AC130" s="38" t="s">
        <v>317</v>
      </c>
      <c r="AE130" s="40"/>
    </row>
    <row r="131" spans="1:31" x14ac:dyDescent="0.25">
      <c r="A131" s="38" t="s">
        <v>36</v>
      </c>
      <c r="B131" s="38" t="s">
        <v>36</v>
      </c>
      <c r="C131" s="38" t="s">
        <v>311</v>
      </c>
      <c r="D131" s="38" t="s">
        <v>318</v>
      </c>
      <c r="E131" s="38"/>
      <c r="F131" s="38"/>
      <c r="G131" s="38"/>
      <c r="H131" s="38">
        <f t="shared" si="3"/>
        <v>0</v>
      </c>
      <c r="I131" s="38"/>
      <c r="J131" s="38"/>
      <c r="K131" s="38"/>
      <c r="L131" s="50"/>
      <c r="M131" s="38"/>
      <c r="N131" s="50"/>
      <c r="O131" s="38"/>
      <c r="P131" s="38"/>
      <c r="Q131" s="61" t="s">
        <v>43</v>
      </c>
      <c r="R131" s="7">
        <v>45567</v>
      </c>
      <c r="S131" s="40"/>
      <c r="T131" s="39">
        <v>3.0756000000000001</v>
      </c>
      <c r="U131" s="39"/>
      <c r="V131" s="39"/>
      <c r="W131" s="39"/>
      <c r="X131" s="39"/>
      <c r="Y131" s="39"/>
      <c r="Z131" s="3"/>
      <c r="AB131" s="3"/>
      <c r="AC131" s="38" t="s">
        <v>318</v>
      </c>
      <c r="AE131" s="40"/>
    </row>
    <row r="132" spans="1:31" x14ac:dyDescent="0.25">
      <c r="A132" s="38" t="s">
        <v>36</v>
      </c>
      <c r="B132" s="38" t="s">
        <v>36</v>
      </c>
      <c r="C132" s="38" t="s">
        <v>319</v>
      </c>
      <c r="D132" s="38" t="s">
        <v>320</v>
      </c>
      <c r="E132" s="38" t="s">
        <v>321</v>
      </c>
      <c r="F132" s="38">
        <v>396.07</v>
      </c>
      <c r="G132" s="38">
        <v>396.07</v>
      </c>
      <c r="H132" s="38">
        <f t="shared" si="3"/>
        <v>726</v>
      </c>
      <c r="I132" s="38">
        <v>468</v>
      </c>
      <c r="J132" s="38">
        <v>258</v>
      </c>
      <c r="K132" s="38">
        <v>210</v>
      </c>
      <c r="L132" s="50">
        <f t="shared" si="4"/>
        <v>28.925619834710741</v>
      </c>
      <c r="M132" s="38">
        <v>137</v>
      </c>
      <c r="N132" s="50">
        <f t="shared" si="5"/>
        <v>18.87052341597796</v>
      </c>
      <c r="O132" s="38">
        <v>0</v>
      </c>
      <c r="P132" s="38">
        <v>11.31</v>
      </c>
      <c r="Q132" s="61" t="s">
        <v>43</v>
      </c>
      <c r="R132" s="7">
        <v>45567</v>
      </c>
      <c r="S132" s="40"/>
      <c r="T132" s="39">
        <v>0.1133</v>
      </c>
      <c r="U132" s="39"/>
      <c r="V132" s="39"/>
      <c r="W132" s="39"/>
      <c r="X132" s="39"/>
      <c r="Y132" s="39"/>
      <c r="Z132" s="3"/>
      <c r="AB132" s="3"/>
      <c r="AC132" s="38" t="s">
        <v>320</v>
      </c>
      <c r="AE132" s="40"/>
    </row>
    <row r="133" spans="1:31" x14ac:dyDescent="0.25">
      <c r="A133" s="38" t="s">
        <v>36</v>
      </c>
      <c r="B133" s="38" t="s">
        <v>36</v>
      </c>
      <c r="C133" s="38" t="s">
        <v>319</v>
      </c>
      <c r="D133" s="38" t="s">
        <v>322</v>
      </c>
      <c r="E133" s="38" t="s">
        <v>323</v>
      </c>
      <c r="F133" s="38">
        <v>470.24</v>
      </c>
      <c r="G133" s="38">
        <v>470.24</v>
      </c>
      <c r="H133" s="38">
        <f t="shared" ref="H133:H196" si="7">I133+J133</f>
        <v>448</v>
      </c>
      <c r="I133" s="38">
        <v>299</v>
      </c>
      <c r="J133" s="38">
        <v>149</v>
      </c>
      <c r="K133" s="38">
        <v>150</v>
      </c>
      <c r="L133" s="50">
        <f t="shared" si="4"/>
        <v>33.482142857142854</v>
      </c>
      <c r="M133" s="38">
        <v>6</v>
      </c>
      <c r="N133" s="50">
        <f t="shared" si="5"/>
        <v>1.3392857142857142</v>
      </c>
      <c r="O133" s="38">
        <v>0</v>
      </c>
      <c r="P133" s="38">
        <v>0</v>
      </c>
      <c r="Q133" s="61" t="s">
        <v>43</v>
      </c>
      <c r="R133" s="7">
        <v>45567</v>
      </c>
      <c r="S133" s="40"/>
      <c r="T133" s="39">
        <v>0.34560000000000002</v>
      </c>
      <c r="U133" s="39"/>
      <c r="V133" s="39"/>
      <c r="W133" s="39"/>
      <c r="X133" s="39"/>
      <c r="Y133" s="39"/>
      <c r="Z133" s="3"/>
      <c r="AB133" s="3"/>
      <c r="AC133" s="38" t="s">
        <v>322</v>
      </c>
      <c r="AE133" s="40"/>
    </row>
    <row r="134" spans="1:31" x14ac:dyDescent="0.25">
      <c r="A134" s="38" t="s">
        <v>36</v>
      </c>
      <c r="B134" s="38" t="s">
        <v>36</v>
      </c>
      <c r="C134" s="38" t="s">
        <v>319</v>
      </c>
      <c r="D134" s="38" t="s">
        <v>324</v>
      </c>
      <c r="E134" s="38" t="s">
        <v>325</v>
      </c>
      <c r="F134" s="38">
        <v>862.93</v>
      </c>
      <c r="G134" s="38">
        <v>862.93</v>
      </c>
      <c r="H134" s="38">
        <f t="shared" si="7"/>
        <v>610</v>
      </c>
      <c r="I134" s="38">
        <v>391</v>
      </c>
      <c r="J134" s="38">
        <v>219</v>
      </c>
      <c r="K134" s="38">
        <v>172</v>
      </c>
      <c r="L134" s="50">
        <f t="shared" ref="L134:L197" si="8">K134/H134*100</f>
        <v>28.196721311475407</v>
      </c>
      <c r="M134" s="38">
        <v>71</v>
      </c>
      <c r="N134" s="50">
        <f t="shared" ref="N134:N197" si="9">M134/H134*100</f>
        <v>11.639344262295081</v>
      </c>
      <c r="O134" s="38">
        <v>0</v>
      </c>
      <c r="P134" s="38">
        <v>23.98</v>
      </c>
      <c r="Q134" s="61" t="s">
        <v>43</v>
      </c>
      <c r="R134" s="7">
        <v>45567</v>
      </c>
      <c r="S134" s="40"/>
      <c r="T134" s="39">
        <v>2.4847999999999999</v>
      </c>
      <c r="U134" s="39"/>
      <c r="V134" s="39"/>
      <c r="W134" s="39"/>
      <c r="X134" s="39"/>
      <c r="Y134" s="39"/>
      <c r="Z134" s="3"/>
      <c r="AB134" s="3"/>
      <c r="AC134" s="38" t="s">
        <v>324</v>
      </c>
      <c r="AE134" s="40"/>
    </row>
    <row r="135" spans="1:31" x14ac:dyDescent="0.25">
      <c r="A135" s="38" t="s">
        <v>36</v>
      </c>
      <c r="B135" s="38" t="s">
        <v>36</v>
      </c>
      <c r="C135" s="38" t="s">
        <v>319</v>
      </c>
      <c r="D135" s="38" t="s">
        <v>326</v>
      </c>
      <c r="E135" s="38" t="s">
        <v>327</v>
      </c>
      <c r="F135" s="38">
        <v>632.74</v>
      </c>
      <c r="G135" s="38">
        <v>632.74</v>
      </c>
      <c r="H135" s="38">
        <f t="shared" si="7"/>
        <v>1051</v>
      </c>
      <c r="I135" s="38">
        <v>686</v>
      </c>
      <c r="J135" s="38">
        <v>365</v>
      </c>
      <c r="K135" s="38">
        <v>321</v>
      </c>
      <c r="L135" s="50">
        <f t="shared" si="8"/>
        <v>30.542340627973356</v>
      </c>
      <c r="M135" s="38">
        <v>122</v>
      </c>
      <c r="N135" s="50">
        <f t="shared" si="9"/>
        <v>11.607992388201712</v>
      </c>
      <c r="O135" s="38">
        <v>0</v>
      </c>
      <c r="P135" s="38">
        <v>0</v>
      </c>
      <c r="Q135" s="61" t="s">
        <v>43</v>
      </c>
      <c r="R135" s="7">
        <v>45567</v>
      </c>
      <c r="S135" s="40"/>
      <c r="T135" s="39">
        <v>7.2800000000000004E-2</v>
      </c>
      <c r="U135" s="39"/>
      <c r="V135" s="39"/>
      <c r="W135" s="39"/>
      <c r="X135" s="39"/>
      <c r="Y135" s="39"/>
      <c r="Z135" s="3"/>
      <c r="AB135" s="3"/>
      <c r="AC135" s="38" t="s">
        <v>326</v>
      </c>
      <c r="AE135" s="40"/>
    </row>
    <row r="136" spans="1:31" x14ac:dyDescent="0.25">
      <c r="A136" s="38" t="s">
        <v>36</v>
      </c>
      <c r="B136" s="41" t="s">
        <v>36</v>
      </c>
      <c r="C136" s="41" t="s">
        <v>328</v>
      </c>
      <c r="D136" s="41" t="s">
        <v>329</v>
      </c>
      <c r="E136" s="41" t="s">
        <v>330</v>
      </c>
      <c r="F136" s="41">
        <v>1694</v>
      </c>
      <c r="G136" s="41">
        <v>1694</v>
      </c>
      <c r="H136" s="38">
        <f t="shared" si="7"/>
        <v>6534</v>
      </c>
      <c r="I136" s="41">
        <v>4247</v>
      </c>
      <c r="J136" s="41">
        <v>2287</v>
      </c>
      <c r="K136" s="41">
        <v>1960</v>
      </c>
      <c r="L136" s="50">
        <f t="shared" si="8"/>
        <v>29.99693908784818</v>
      </c>
      <c r="M136" s="41">
        <v>523</v>
      </c>
      <c r="N136" s="50">
        <f t="shared" si="9"/>
        <v>8.004285277012551</v>
      </c>
      <c r="O136" s="41">
        <v>0</v>
      </c>
      <c r="P136" s="41">
        <v>85</v>
      </c>
      <c r="Q136" s="61" t="s">
        <v>43</v>
      </c>
      <c r="R136" s="24">
        <v>45683</v>
      </c>
      <c r="S136" s="44"/>
      <c r="T136" s="43">
        <v>34.57</v>
      </c>
      <c r="U136" s="43"/>
      <c r="V136" s="43"/>
      <c r="W136" s="43"/>
      <c r="X136" s="43"/>
      <c r="Y136" s="43"/>
      <c r="Z136" s="5"/>
      <c r="AB136" s="5">
        <v>27</v>
      </c>
      <c r="AC136" s="41" t="s">
        <v>329</v>
      </c>
      <c r="AD136" s="18">
        <v>25.7106937</v>
      </c>
      <c r="AE136" s="44">
        <v>71.434183000000004</v>
      </c>
    </row>
    <row r="137" spans="1:31" x14ac:dyDescent="0.25">
      <c r="A137" s="38" t="s">
        <v>36</v>
      </c>
      <c r="B137" s="38" t="s">
        <v>36</v>
      </c>
      <c r="C137" s="38" t="s">
        <v>328</v>
      </c>
      <c r="D137" s="38" t="s">
        <v>331</v>
      </c>
      <c r="E137" s="38" t="s">
        <v>332</v>
      </c>
      <c r="F137" s="38">
        <v>452</v>
      </c>
      <c r="G137" s="38">
        <v>452</v>
      </c>
      <c r="H137" s="38">
        <f t="shared" si="7"/>
        <v>439</v>
      </c>
      <c r="I137" s="38">
        <v>285</v>
      </c>
      <c r="J137" s="38">
        <v>154</v>
      </c>
      <c r="K137" s="38">
        <v>131</v>
      </c>
      <c r="L137" s="50">
        <f t="shared" si="8"/>
        <v>29.840546697038722</v>
      </c>
      <c r="M137" s="38">
        <v>56</v>
      </c>
      <c r="N137" s="50">
        <f t="shared" si="9"/>
        <v>12.756264236902052</v>
      </c>
      <c r="O137" s="38">
        <v>0</v>
      </c>
      <c r="P137" s="38">
        <v>24</v>
      </c>
      <c r="Q137" s="61" t="s">
        <v>43</v>
      </c>
      <c r="R137" s="7">
        <v>45683</v>
      </c>
      <c r="S137" s="40"/>
      <c r="T137" s="39">
        <v>84.63</v>
      </c>
      <c r="U137" s="39"/>
      <c r="V137" s="39"/>
      <c r="W137" s="39"/>
      <c r="X137" s="39"/>
      <c r="Y137" s="39"/>
      <c r="Z137" s="3"/>
      <c r="AB137" s="3"/>
      <c r="AC137" s="38" t="s">
        <v>331</v>
      </c>
      <c r="AE137" s="40"/>
    </row>
    <row r="138" spans="1:31" x14ac:dyDescent="0.25">
      <c r="A138" s="38" t="s">
        <v>36</v>
      </c>
      <c r="B138" s="38" t="s">
        <v>36</v>
      </c>
      <c r="C138" s="38" t="s">
        <v>333</v>
      </c>
      <c r="D138" s="38" t="s">
        <v>333</v>
      </c>
      <c r="E138" s="38" t="s">
        <v>334</v>
      </c>
      <c r="F138" s="38">
        <v>1287</v>
      </c>
      <c r="G138" s="38">
        <v>1287</v>
      </c>
      <c r="H138" s="38">
        <f t="shared" si="7"/>
        <v>2474</v>
      </c>
      <c r="I138" s="38">
        <v>1606</v>
      </c>
      <c r="J138" s="38">
        <v>868</v>
      </c>
      <c r="K138" s="38">
        <v>738</v>
      </c>
      <c r="L138" s="50">
        <f t="shared" si="8"/>
        <v>29.830234438156833</v>
      </c>
      <c r="M138" s="38">
        <v>198</v>
      </c>
      <c r="N138" s="50">
        <f t="shared" si="9"/>
        <v>8.0032336297493938</v>
      </c>
      <c r="O138" s="38">
        <v>0</v>
      </c>
      <c r="P138" s="38">
        <v>176</v>
      </c>
      <c r="Q138" s="61" t="s">
        <v>43</v>
      </c>
      <c r="R138" s="7">
        <v>45683</v>
      </c>
      <c r="S138" s="40"/>
      <c r="T138" s="39">
        <v>31.702999999999999</v>
      </c>
      <c r="U138" s="39"/>
      <c r="V138" s="39"/>
      <c r="W138" s="39"/>
      <c r="X138" s="39"/>
      <c r="Y138" s="39"/>
      <c r="Z138" s="3"/>
      <c r="AB138" s="3"/>
      <c r="AC138" s="38" t="s">
        <v>333</v>
      </c>
      <c r="AE138" s="40"/>
    </row>
    <row r="139" spans="1:31" x14ac:dyDescent="0.25">
      <c r="A139" s="38" t="s">
        <v>36</v>
      </c>
      <c r="B139" s="38" t="s">
        <v>36</v>
      </c>
      <c r="C139" s="38" t="s">
        <v>333</v>
      </c>
      <c r="D139" s="38" t="s">
        <v>335</v>
      </c>
      <c r="E139" s="38" t="s">
        <v>336</v>
      </c>
      <c r="F139" s="38">
        <v>1061.97</v>
      </c>
      <c r="G139" s="38">
        <v>1061.97</v>
      </c>
      <c r="H139" s="38">
        <f t="shared" si="7"/>
        <v>1418</v>
      </c>
      <c r="I139" s="38">
        <v>932</v>
      </c>
      <c r="J139" s="38">
        <v>486</v>
      </c>
      <c r="K139" s="38">
        <v>446</v>
      </c>
      <c r="L139" s="50">
        <f t="shared" si="8"/>
        <v>31.452750352609311</v>
      </c>
      <c r="M139" s="38">
        <v>14</v>
      </c>
      <c r="N139" s="50">
        <f t="shared" si="9"/>
        <v>0.98730606488011285</v>
      </c>
      <c r="O139" s="38">
        <v>0</v>
      </c>
      <c r="P139" s="38">
        <v>0</v>
      </c>
      <c r="Q139" s="61" t="s">
        <v>43</v>
      </c>
      <c r="R139" s="7">
        <v>45683</v>
      </c>
      <c r="S139" s="40"/>
      <c r="T139" s="39">
        <v>14.4069</v>
      </c>
      <c r="U139" s="39"/>
      <c r="V139" s="39"/>
      <c r="W139" s="39"/>
      <c r="X139" s="39"/>
      <c r="Y139" s="39"/>
      <c r="Z139" s="3"/>
      <c r="AB139" s="3"/>
      <c r="AC139" s="38" t="s">
        <v>335</v>
      </c>
      <c r="AE139" s="40"/>
    </row>
    <row r="140" spans="1:31" x14ac:dyDescent="0.25">
      <c r="A140" s="38" t="s">
        <v>36</v>
      </c>
      <c r="B140" s="38" t="s">
        <v>36</v>
      </c>
      <c r="C140" s="38" t="s">
        <v>333</v>
      </c>
      <c r="D140" s="38" t="s">
        <v>337</v>
      </c>
      <c r="E140" s="38"/>
      <c r="F140" s="38"/>
      <c r="G140" s="38"/>
      <c r="H140" s="38">
        <f t="shared" si="7"/>
        <v>0</v>
      </c>
      <c r="I140" s="38"/>
      <c r="J140" s="38"/>
      <c r="K140" s="38"/>
      <c r="L140" s="50"/>
      <c r="M140" s="38"/>
      <c r="N140" s="50"/>
      <c r="O140" s="38"/>
      <c r="P140" s="38"/>
      <c r="Q140" s="61" t="s">
        <v>43</v>
      </c>
      <c r="R140" s="7">
        <v>45683</v>
      </c>
      <c r="S140" s="40"/>
      <c r="T140" s="39">
        <v>120.24809999999999</v>
      </c>
      <c r="U140" s="39"/>
      <c r="V140" s="39"/>
      <c r="W140" s="39"/>
      <c r="X140" s="39"/>
      <c r="Y140" s="39"/>
      <c r="Z140" s="3"/>
      <c r="AB140" s="3"/>
      <c r="AC140" s="38" t="s">
        <v>337</v>
      </c>
      <c r="AE140" s="40"/>
    </row>
    <row r="141" spans="1:31" x14ac:dyDescent="0.25">
      <c r="A141" s="38" t="s">
        <v>36</v>
      </c>
      <c r="B141" s="38" t="s">
        <v>36</v>
      </c>
      <c r="C141" s="38" t="s">
        <v>338</v>
      </c>
      <c r="D141" s="38" t="s">
        <v>339</v>
      </c>
      <c r="E141" s="38" t="s">
        <v>340</v>
      </c>
      <c r="F141" s="38">
        <v>3342</v>
      </c>
      <c r="G141" s="38">
        <v>3342</v>
      </c>
      <c r="H141" s="38">
        <f t="shared" si="7"/>
        <v>24938</v>
      </c>
      <c r="I141" s="38">
        <v>16287</v>
      </c>
      <c r="J141" s="38">
        <v>8651</v>
      </c>
      <c r="K141" s="38">
        <v>7636</v>
      </c>
      <c r="L141" s="50">
        <f t="shared" si="8"/>
        <v>30.619937444863261</v>
      </c>
      <c r="M141" s="38">
        <v>846</v>
      </c>
      <c r="N141" s="50">
        <f t="shared" si="9"/>
        <v>3.392413184698051</v>
      </c>
      <c r="O141" s="38">
        <v>0</v>
      </c>
      <c r="P141" s="38">
        <v>0</v>
      </c>
    </row>
    <row r="142" spans="1:31" x14ac:dyDescent="0.25">
      <c r="A142" s="38" t="s">
        <v>36</v>
      </c>
      <c r="B142" s="38" t="s">
        <v>36</v>
      </c>
      <c r="C142" s="38" t="s">
        <v>341</v>
      </c>
      <c r="D142" s="38" t="s">
        <v>342</v>
      </c>
      <c r="E142" s="38" t="s">
        <v>343</v>
      </c>
      <c r="F142" s="38">
        <v>471</v>
      </c>
      <c r="G142" s="38">
        <v>471</v>
      </c>
      <c r="H142" s="38">
        <f t="shared" si="7"/>
        <v>1467</v>
      </c>
      <c r="I142" s="38">
        <v>968</v>
      </c>
      <c r="J142" s="38">
        <v>499</v>
      </c>
      <c r="K142" s="38">
        <v>469</v>
      </c>
      <c r="L142" s="50">
        <f t="shared" si="8"/>
        <v>31.970006816632583</v>
      </c>
      <c r="M142" s="38">
        <v>226</v>
      </c>
      <c r="N142" s="50">
        <f t="shared" si="9"/>
        <v>15.405589638718473</v>
      </c>
      <c r="O142" s="38">
        <v>0</v>
      </c>
      <c r="P142" s="38">
        <v>12</v>
      </c>
      <c r="Q142" s="34" t="s">
        <v>43</v>
      </c>
      <c r="R142" s="7">
        <v>45713</v>
      </c>
      <c r="S142" s="40"/>
      <c r="T142" s="39">
        <v>9.1700999999999997</v>
      </c>
      <c r="U142" s="39"/>
      <c r="V142" s="39"/>
      <c r="W142" s="39"/>
      <c r="X142" s="39"/>
      <c r="Y142" s="39"/>
      <c r="Z142" s="3"/>
      <c r="AB142" s="3"/>
      <c r="AC142" s="38" t="s">
        <v>342</v>
      </c>
      <c r="AE142" s="40"/>
    </row>
    <row r="143" spans="1:31" x14ac:dyDescent="0.25">
      <c r="A143" s="38" t="s">
        <v>36</v>
      </c>
      <c r="B143" s="38" t="s">
        <v>36</v>
      </c>
      <c r="C143" s="38" t="s">
        <v>341</v>
      </c>
      <c r="D143" s="38" t="s">
        <v>344</v>
      </c>
      <c r="E143" s="38" t="s">
        <v>345</v>
      </c>
      <c r="F143" s="38">
        <v>679</v>
      </c>
      <c r="G143" s="38">
        <v>679</v>
      </c>
      <c r="H143" s="38">
        <f t="shared" si="7"/>
        <v>752</v>
      </c>
      <c r="I143" s="38">
        <v>488</v>
      </c>
      <c r="J143" s="38">
        <v>264</v>
      </c>
      <c r="K143" s="38">
        <v>224</v>
      </c>
      <c r="L143" s="50">
        <f t="shared" si="8"/>
        <v>29.787234042553191</v>
      </c>
      <c r="M143" s="38">
        <v>86</v>
      </c>
      <c r="N143" s="50">
        <f t="shared" si="9"/>
        <v>11.436170212765957</v>
      </c>
      <c r="O143" s="38">
        <v>0</v>
      </c>
      <c r="P143" s="38">
        <v>28</v>
      </c>
      <c r="Q143" s="34" t="s">
        <v>43</v>
      </c>
      <c r="R143" s="7">
        <v>45713</v>
      </c>
      <c r="S143" s="40"/>
      <c r="T143" s="39">
        <v>29.954799999999999</v>
      </c>
      <c r="U143" s="39"/>
      <c r="V143" s="39"/>
      <c r="W143" s="39"/>
      <c r="X143" s="39"/>
      <c r="Y143" s="39"/>
      <c r="Z143" s="3"/>
      <c r="AB143" s="3"/>
      <c r="AC143" s="38" t="s">
        <v>344</v>
      </c>
      <c r="AE143" s="40"/>
    </row>
    <row r="144" spans="1:31" x14ac:dyDescent="0.25">
      <c r="A144" s="38" t="s">
        <v>36</v>
      </c>
      <c r="B144" s="38" t="s">
        <v>36</v>
      </c>
      <c r="C144" s="38" t="s">
        <v>341</v>
      </c>
      <c r="D144" s="38" t="s">
        <v>346</v>
      </c>
      <c r="E144" s="38" t="s">
        <v>347</v>
      </c>
      <c r="F144" s="38">
        <v>1067</v>
      </c>
      <c r="G144" s="38">
        <v>1067</v>
      </c>
      <c r="H144" s="38">
        <f t="shared" si="7"/>
        <v>1253</v>
      </c>
      <c r="I144" s="38">
        <v>822</v>
      </c>
      <c r="J144" s="38">
        <v>431</v>
      </c>
      <c r="K144" s="38">
        <v>391</v>
      </c>
      <c r="L144" s="50">
        <f t="shared" si="8"/>
        <v>31.205107741420591</v>
      </c>
      <c r="M144" s="38">
        <v>0</v>
      </c>
      <c r="N144" s="50">
        <f t="shared" si="9"/>
        <v>0</v>
      </c>
      <c r="O144" s="38">
        <v>0</v>
      </c>
      <c r="P144" s="38">
        <v>10</v>
      </c>
      <c r="Q144" s="34" t="s">
        <v>43</v>
      </c>
      <c r="R144" s="7">
        <v>45713</v>
      </c>
      <c r="S144" s="40"/>
      <c r="T144" s="39">
        <v>21.3674</v>
      </c>
      <c r="U144" s="39"/>
      <c r="V144" s="39"/>
      <c r="W144" s="39"/>
      <c r="X144" s="39"/>
      <c r="Y144" s="39"/>
      <c r="Z144" s="3"/>
      <c r="AB144" s="3"/>
      <c r="AC144" s="38" t="s">
        <v>346</v>
      </c>
      <c r="AE144" s="40"/>
    </row>
    <row r="145" spans="1:31" x14ac:dyDescent="0.25">
      <c r="A145" s="38" t="s">
        <v>36</v>
      </c>
      <c r="B145" s="38" t="s">
        <v>36</v>
      </c>
      <c r="C145" s="38" t="s">
        <v>341</v>
      </c>
      <c r="D145" s="38" t="s">
        <v>348</v>
      </c>
      <c r="E145" s="38" t="s">
        <v>349</v>
      </c>
      <c r="F145" s="38">
        <v>1192</v>
      </c>
      <c r="G145" s="38">
        <v>1192</v>
      </c>
      <c r="H145" s="38">
        <f t="shared" si="7"/>
        <v>1000</v>
      </c>
      <c r="I145" s="38">
        <v>664</v>
      </c>
      <c r="J145" s="38">
        <v>336</v>
      </c>
      <c r="K145" s="38">
        <v>328</v>
      </c>
      <c r="L145" s="50">
        <f t="shared" si="8"/>
        <v>32.800000000000004</v>
      </c>
      <c r="M145" s="38">
        <v>0</v>
      </c>
      <c r="N145" s="50">
        <f t="shared" si="9"/>
        <v>0</v>
      </c>
      <c r="O145" s="38">
        <v>0</v>
      </c>
      <c r="P145" s="38">
        <v>18</v>
      </c>
      <c r="Q145" s="34" t="s">
        <v>43</v>
      </c>
      <c r="R145" s="7">
        <v>45713</v>
      </c>
      <c r="S145" s="40"/>
      <c r="T145" s="39">
        <v>17.725300000000001</v>
      </c>
      <c r="U145" s="39"/>
      <c r="V145" s="39"/>
      <c r="W145" s="39"/>
      <c r="X145" s="39"/>
      <c r="Y145" s="39"/>
      <c r="Z145" s="3"/>
      <c r="AB145" s="3"/>
      <c r="AC145" s="38" t="s">
        <v>348</v>
      </c>
      <c r="AE145" s="40"/>
    </row>
    <row r="146" spans="1:31" x14ac:dyDescent="0.25">
      <c r="A146" s="38" t="s">
        <v>36</v>
      </c>
      <c r="B146" s="38" t="s">
        <v>36</v>
      </c>
      <c r="C146" s="38" t="s">
        <v>350</v>
      </c>
      <c r="D146" s="38" t="s">
        <v>351</v>
      </c>
      <c r="E146" s="38" t="s">
        <v>352</v>
      </c>
      <c r="F146" s="38">
        <v>2943</v>
      </c>
      <c r="G146" s="38">
        <v>2943</v>
      </c>
      <c r="H146" s="38">
        <f t="shared" si="7"/>
        <v>2970</v>
      </c>
      <c r="I146" s="38">
        <v>1949</v>
      </c>
      <c r="J146" s="38">
        <v>1021</v>
      </c>
      <c r="K146" s="38">
        <v>928</v>
      </c>
      <c r="L146" s="50">
        <f t="shared" si="8"/>
        <v>31.245791245791242</v>
      </c>
      <c r="M146" s="38">
        <v>56</v>
      </c>
      <c r="N146" s="50">
        <f t="shared" si="9"/>
        <v>1.8855218855218854</v>
      </c>
      <c r="O146" s="38">
        <v>0</v>
      </c>
      <c r="P146" s="38">
        <v>210</v>
      </c>
      <c r="Q146" s="34" t="s">
        <v>43</v>
      </c>
      <c r="R146" s="22">
        <v>45366</v>
      </c>
      <c r="S146" s="40"/>
      <c r="T146" s="39">
        <v>41.323099999999997</v>
      </c>
      <c r="U146" s="39"/>
      <c r="V146" s="39"/>
      <c r="W146" s="39"/>
      <c r="X146" s="39"/>
      <c r="Y146" s="39"/>
      <c r="Z146" s="3"/>
      <c r="AB146" s="3"/>
      <c r="AC146" s="38" t="s">
        <v>351</v>
      </c>
      <c r="AD146" s="2"/>
      <c r="AE146" s="40"/>
    </row>
    <row r="147" spans="1:31" x14ac:dyDescent="0.25">
      <c r="A147" s="38" t="s">
        <v>36</v>
      </c>
      <c r="B147" s="38" t="s">
        <v>36</v>
      </c>
      <c r="C147" s="38" t="s">
        <v>350</v>
      </c>
      <c r="D147" s="38" t="s">
        <v>353</v>
      </c>
      <c r="E147" s="38" t="s">
        <v>354</v>
      </c>
      <c r="F147" s="38">
        <v>845</v>
      </c>
      <c r="G147" s="38">
        <v>845</v>
      </c>
      <c r="H147" s="38">
        <f t="shared" si="7"/>
        <v>560</v>
      </c>
      <c r="I147" s="38">
        <v>359</v>
      </c>
      <c r="J147" s="38">
        <v>201</v>
      </c>
      <c r="K147" s="38">
        <v>158</v>
      </c>
      <c r="L147" s="50">
        <f t="shared" si="8"/>
        <v>28.214285714285715</v>
      </c>
      <c r="M147" s="38">
        <v>0</v>
      </c>
      <c r="N147" s="50">
        <f t="shared" si="9"/>
        <v>0</v>
      </c>
      <c r="O147" s="38">
        <v>0</v>
      </c>
      <c r="P147" s="38">
        <v>0</v>
      </c>
      <c r="Q147" s="34" t="s">
        <v>43</v>
      </c>
      <c r="R147" s="7">
        <v>45366</v>
      </c>
      <c r="S147" s="99"/>
      <c r="T147" s="98">
        <v>0.1893</v>
      </c>
      <c r="U147" s="98"/>
      <c r="V147" s="98"/>
      <c r="W147" s="98"/>
      <c r="X147" s="98"/>
      <c r="Y147" s="98"/>
      <c r="Z147" s="20"/>
      <c r="AB147" s="61"/>
      <c r="AC147" s="38" t="s">
        <v>353</v>
      </c>
      <c r="AD147" s="61"/>
      <c r="AE147" s="99"/>
    </row>
    <row r="148" spans="1:31" x14ac:dyDescent="0.25">
      <c r="A148" s="38" t="s">
        <v>36</v>
      </c>
      <c r="B148" s="38" t="s">
        <v>36</v>
      </c>
      <c r="C148" s="38" t="s">
        <v>350</v>
      </c>
      <c r="D148" s="38" t="s">
        <v>355</v>
      </c>
      <c r="E148" s="38" t="s">
        <v>356</v>
      </c>
      <c r="F148" s="38">
        <v>736</v>
      </c>
      <c r="G148" s="38">
        <v>736</v>
      </c>
      <c r="H148" s="38">
        <f t="shared" si="7"/>
        <v>1213</v>
      </c>
      <c r="I148" s="38">
        <v>782</v>
      </c>
      <c r="J148" s="38">
        <v>431</v>
      </c>
      <c r="K148" s="38">
        <v>351</v>
      </c>
      <c r="L148" s="50">
        <f t="shared" si="8"/>
        <v>28.936521022258859</v>
      </c>
      <c r="M148" s="38">
        <v>0</v>
      </c>
      <c r="N148" s="50">
        <f t="shared" si="9"/>
        <v>0</v>
      </c>
      <c r="O148" s="38">
        <v>0</v>
      </c>
      <c r="P148" s="38">
        <v>0</v>
      </c>
      <c r="Q148" s="34" t="s">
        <v>43</v>
      </c>
      <c r="R148" s="22">
        <v>45366</v>
      </c>
      <c r="S148" s="40"/>
      <c r="T148" s="39">
        <v>2.1711999999999998</v>
      </c>
      <c r="U148" s="39"/>
      <c r="V148" s="39"/>
      <c r="W148" s="39"/>
      <c r="X148" s="39"/>
      <c r="Y148" s="39"/>
      <c r="Z148" s="3"/>
      <c r="AB148" s="3"/>
      <c r="AC148" s="38" t="s">
        <v>355</v>
      </c>
      <c r="AD148" s="2"/>
      <c r="AE148" s="40"/>
    </row>
    <row r="149" spans="1:31" x14ac:dyDescent="0.25">
      <c r="A149" s="38" t="s">
        <v>36</v>
      </c>
      <c r="B149" s="41" t="s">
        <v>36</v>
      </c>
      <c r="C149" s="41" t="s">
        <v>350</v>
      </c>
      <c r="D149" s="41" t="s">
        <v>357</v>
      </c>
      <c r="E149" s="41" t="s">
        <v>358</v>
      </c>
      <c r="F149" s="41">
        <v>518</v>
      </c>
      <c r="G149" s="41">
        <v>518</v>
      </c>
      <c r="H149" s="38">
        <f t="shared" si="7"/>
        <v>128</v>
      </c>
      <c r="I149" s="41">
        <v>85</v>
      </c>
      <c r="J149" s="41">
        <v>43</v>
      </c>
      <c r="K149" s="41">
        <v>42</v>
      </c>
      <c r="L149" s="50">
        <f t="shared" si="8"/>
        <v>32.8125</v>
      </c>
      <c r="M149" s="41">
        <v>0</v>
      </c>
      <c r="N149" s="50">
        <f t="shared" si="9"/>
        <v>0</v>
      </c>
      <c r="O149" s="41">
        <v>0</v>
      </c>
      <c r="P149" s="41">
        <v>32</v>
      </c>
      <c r="Q149" s="34" t="s">
        <v>43</v>
      </c>
      <c r="R149" s="23">
        <v>45366</v>
      </c>
      <c r="S149" s="44"/>
      <c r="T149" s="43">
        <v>40</v>
      </c>
      <c r="U149" s="43"/>
      <c r="V149" s="43"/>
      <c r="W149" s="43"/>
      <c r="X149" s="43"/>
      <c r="Y149" s="43"/>
      <c r="Z149" s="5"/>
      <c r="AB149" s="5">
        <v>40</v>
      </c>
      <c r="AC149" s="41" t="s">
        <v>357</v>
      </c>
      <c r="AD149" s="44">
        <v>25.806593400000001</v>
      </c>
      <c r="AE149" s="44">
        <v>71.199583599999997</v>
      </c>
    </row>
    <row r="150" spans="1:31" x14ac:dyDescent="0.25">
      <c r="A150" s="38" t="s">
        <v>36</v>
      </c>
      <c r="B150" s="38" t="s">
        <v>36</v>
      </c>
      <c r="C150" s="38" t="s">
        <v>350</v>
      </c>
      <c r="D150" s="38" t="s">
        <v>359</v>
      </c>
      <c r="E150" s="38" t="s">
        <v>360</v>
      </c>
      <c r="F150" s="38">
        <v>412</v>
      </c>
      <c r="G150" s="38">
        <v>412</v>
      </c>
      <c r="H150" s="38">
        <f t="shared" si="7"/>
        <v>485</v>
      </c>
      <c r="I150" s="38">
        <v>308</v>
      </c>
      <c r="J150" s="38">
        <v>177</v>
      </c>
      <c r="K150" s="38">
        <v>131</v>
      </c>
      <c r="L150" s="50">
        <f t="shared" si="8"/>
        <v>27.010309278350515</v>
      </c>
      <c r="M150" s="38">
        <v>36</v>
      </c>
      <c r="N150" s="50">
        <f t="shared" si="9"/>
        <v>7.4226804123711343</v>
      </c>
      <c r="O150" s="38">
        <v>0</v>
      </c>
      <c r="P150" s="38">
        <v>20</v>
      </c>
      <c r="Q150" s="34" t="s">
        <v>43</v>
      </c>
      <c r="R150" s="7">
        <v>45366</v>
      </c>
      <c r="S150" s="99"/>
      <c r="T150" s="98">
        <v>0</v>
      </c>
      <c r="U150" s="98"/>
      <c r="V150" s="98"/>
      <c r="W150" s="98"/>
      <c r="X150" s="98"/>
      <c r="Y150" s="98"/>
      <c r="Z150" s="20"/>
      <c r="AB150" s="61"/>
      <c r="AC150" s="38" t="s">
        <v>359</v>
      </c>
      <c r="AD150" s="61"/>
      <c r="AE150" s="99"/>
    </row>
    <row r="151" spans="1:31" x14ac:dyDescent="0.25">
      <c r="A151" s="38" t="s">
        <v>36</v>
      </c>
      <c r="B151" s="38" t="s">
        <v>36</v>
      </c>
      <c r="C151" s="38" t="s">
        <v>350</v>
      </c>
      <c r="D151" s="38" t="s">
        <v>361</v>
      </c>
      <c r="E151" s="38" t="s">
        <v>362</v>
      </c>
      <c r="F151" s="38">
        <v>390</v>
      </c>
      <c r="G151" s="38">
        <v>390</v>
      </c>
      <c r="H151" s="38">
        <f t="shared" si="7"/>
        <v>1398</v>
      </c>
      <c r="I151" s="38">
        <v>919</v>
      </c>
      <c r="J151" s="38">
        <v>479</v>
      </c>
      <c r="K151" s="38">
        <v>440</v>
      </c>
      <c r="L151" s="50">
        <f t="shared" si="8"/>
        <v>31.473533619456369</v>
      </c>
      <c r="M151" s="38">
        <v>0</v>
      </c>
      <c r="N151" s="50">
        <f t="shared" si="9"/>
        <v>0</v>
      </c>
      <c r="O151" s="38">
        <v>0</v>
      </c>
      <c r="P151" s="38">
        <v>8</v>
      </c>
      <c r="Q151" s="34" t="s">
        <v>43</v>
      </c>
      <c r="R151" s="22">
        <v>45366</v>
      </c>
      <c r="S151" s="40"/>
      <c r="T151" s="39">
        <v>7.7763999999999998</v>
      </c>
      <c r="U151" s="39"/>
      <c r="V151" s="39"/>
      <c r="W151" s="39"/>
      <c r="X151" s="39"/>
      <c r="Y151" s="39"/>
      <c r="Z151" s="3"/>
      <c r="AB151" s="3"/>
      <c r="AC151" s="38" t="s">
        <v>361</v>
      </c>
      <c r="AD151" s="2"/>
      <c r="AE151" s="40"/>
    </row>
    <row r="152" spans="1:31" x14ac:dyDescent="0.25">
      <c r="A152" s="38" t="s">
        <v>36</v>
      </c>
      <c r="B152" s="38" t="s">
        <v>36</v>
      </c>
      <c r="C152" s="38" t="s">
        <v>350</v>
      </c>
      <c r="D152" s="38" t="s">
        <v>363</v>
      </c>
      <c r="E152" s="38" t="s">
        <v>364</v>
      </c>
      <c r="F152" s="38">
        <v>611</v>
      </c>
      <c r="G152" s="38">
        <v>611</v>
      </c>
      <c r="H152" s="38">
        <f t="shared" si="7"/>
        <v>1207</v>
      </c>
      <c r="I152" s="38">
        <v>800</v>
      </c>
      <c r="J152" s="38">
        <v>407</v>
      </c>
      <c r="K152" s="38">
        <v>393</v>
      </c>
      <c r="L152" s="50">
        <f t="shared" si="8"/>
        <v>32.560066280033141</v>
      </c>
      <c r="M152" s="38">
        <v>0</v>
      </c>
      <c r="N152" s="50">
        <f t="shared" si="9"/>
        <v>0</v>
      </c>
      <c r="O152" s="38">
        <v>0</v>
      </c>
      <c r="P152" s="38">
        <v>0</v>
      </c>
      <c r="Q152" s="34" t="s">
        <v>43</v>
      </c>
      <c r="R152" s="7">
        <v>45366</v>
      </c>
      <c r="S152" s="99"/>
      <c r="T152" s="98">
        <v>0</v>
      </c>
      <c r="U152" s="98"/>
      <c r="V152" s="98"/>
      <c r="W152" s="98"/>
      <c r="X152" s="98"/>
      <c r="Y152" s="98"/>
      <c r="Z152" s="20"/>
      <c r="AB152" s="61"/>
      <c r="AC152" s="38" t="s">
        <v>363</v>
      </c>
      <c r="AD152" s="61"/>
      <c r="AE152" s="99"/>
    </row>
    <row r="153" spans="1:31" x14ac:dyDescent="0.25">
      <c r="A153" s="38" t="s">
        <v>36</v>
      </c>
      <c r="B153" s="38" t="s">
        <v>36</v>
      </c>
      <c r="C153" s="38" t="s">
        <v>350</v>
      </c>
      <c r="D153" s="38" t="s">
        <v>365</v>
      </c>
      <c r="E153" s="38"/>
      <c r="F153" s="38"/>
      <c r="G153" s="38"/>
      <c r="H153" s="38">
        <f t="shared" si="7"/>
        <v>0</v>
      </c>
      <c r="I153" s="38"/>
      <c r="J153" s="38"/>
      <c r="K153" s="38"/>
      <c r="L153" s="50"/>
      <c r="M153" s="38"/>
      <c r="N153" s="50"/>
      <c r="O153" s="38"/>
      <c r="P153" s="38"/>
      <c r="Q153" s="34" t="s">
        <v>43</v>
      </c>
      <c r="R153" s="22">
        <v>45366</v>
      </c>
      <c r="S153" s="40"/>
      <c r="T153" s="39">
        <v>58.281100000000002</v>
      </c>
      <c r="U153" s="39"/>
      <c r="V153" s="39"/>
      <c r="W153" s="39"/>
      <c r="X153" s="39"/>
      <c r="Y153" s="39"/>
      <c r="Z153" s="3"/>
      <c r="AB153" s="3"/>
      <c r="AC153" s="38" t="s">
        <v>365</v>
      </c>
      <c r="AD153" s="2"/>
      <c r="AE153" s="40"/>
    </row>
    <row r="154" spans="1:31" x14ac:dyDescent="0.25">
      <c r="A154" s="38" t="s">
        <v>36</v>
      </c>
      <c r="B154" s="38" t="s">
        <v>36</v>
      </c>
      <c r="C154" s="38" t="s">
        <v>350</v>
      </c>
      <c r="D154" s="38" t="s">
        <v>366</v>
      </c>
      <c r="E154" s="38"/>
      <c r="F154" s="38"/>
      <c r="G154" s="38"/>
      <c r="H154" s="38">
        <f t="shared" si="7"/>
        <v>0</v>
      </c>
      <c r="I154" s="38"/>
      <c r="J154" s="38"/>
      <c r="K154" s="38"/>
      <c r="L154" s="50"/>
      <c r="M154" s="38"/>
      <c r="N154" s="50"/>
      <c r="O154" s="38"/>
      <c r="P154" s="38"/>
      <c r="Q154" s="34" t="s">
        <v>43</v>
      </c>
      <c r="R154" s="22">
        <v>45366</v>
      </c>
      <c r="S154" s="40"/>
      <c r="T154" s="39">
        <v>108.3244</v>
      </c>
      <c r="U154" s="39"/>
      <c r="V154" s="39"/>
      <c r="W154" s="39"/>
      <c r="X154" s="39"/>
      <c r="Y154" s="39"/>
      <c r="Z154" s="3"/>
      <c r="AB154" s="3"/>
      <c r="AC154" s="38" t="s">
        <v>366</v>
      </c>
      <c r="AD154" s="2"/>
      <c r="AE154" s="40"/>
    </row>
    <row r="155" spans="1:31" x14ac:dyDescent="0.25">
      <c r="A155" s="38" t="s">
        <v>36</v>
      </c>
      <c r="B155" s="38" t="s">
        <v>36</v>
      </c>
      <c r="C155" s="38" t="s">
        <v>367</v>
      </c>
      <c r="D155" s="38" t="s">
        <v>368</v>
      </c>
      <c r="E155" s="38" t="s">
        <v>369</v>
      </c>
      <c r="F155" s="38">
        <v>1116.8</v>
      </c>
      <c r="G155" s="38">
        <v>1116.8</v>
      </c>
      <c r="H155" s="38">
        <f t="shared" si="7"/>
        <v>799</v>
      </c>
      <c r="I155" s="38">
        <v>510</v>
      </c>
      <c r="J155" s="38">
        <v>289</v>
      </c>
      <c r="K155" s="38">
        <v>221</v>
      </c>
      <c r="L155" s="50">
        <f t="shared" si="8"/>
        <v>27.659574468085108</v>
      </c>
      <c r="M155" s="38">
        <v>0</v>
      </c>
      <c r="N155" s="50">
        <f t="shared" si="9"/>
        <v>0</v>
      </c>
      <c r="O155" s="38">
        <v>0</v>
      </c>
      <c r="P155" s="38">
        <v>470.1</v>
      </c>
      <c r="Q155" s="34" t="s">
        <v>43</v>
      </c>
      <c r="R155" s="9">
        <v>44571</v>
      </c>
      <c r="S155" s="34"/>
      <c r="T155" s="34">
        <v>470</v>
      </c>
      <c r="U155" s="34"/>
      <c r="V155" s="34"/>
      <c r="W155" s="34"/>
      <c r="X155" s="34"/>
      <c r="Y155" s="34"/>
      <c r="Z155" s="109"/>
      <c r="AB155" s="109"/>
      <c r="AC155" s="34" t="s">
        <v>370</v>
      </c>
      <c r="AD155" s="34">
        <v>25.858521</v>
      </c>
      <c r="AE155" s="34">
        <v>71.333456999999996</v>
      </c>
    </row>
    <row r="156" spans="1:31" x14ac:dyDescent="0.25">
      <c r="A156" s="38" t="s">
        <v>36</v>
      </c>
      <c r="B156" s="38" t="s">
        <v>36</v>
      </c>
      <c r="C156" s="38" t="s">
        <v>367</v>
      </c>
      <c r="D156" s="38" t="s">
        <v>371</v>
      </c>
      <c r="E156" s="38" t="s">
        <v>372</v>
      </c>
      <c r="F156" s="38">
        <v>987.83</v>
      </c>
      <c r="G156" s="38">
        <v>987.83</v>
      </c>
      <c r="H156" s="38">
        <f t="shared" si="7"/>
        <v>1387</v>
      </c>
      <c r="I156" s="38">
        <v>909</v>
      </c>
      <c r="J156" s="38">
        <v>478</v>
      </c>
      <c r="K156" s="38">
        <v>431</v>
      </c>
      <c r="L156" s="50">
        <f t="shared" si="8"/>
        <v>31.074260994953136</v>
      </c>
      <c r="M156" s="38">
        <v>136</v>
      </c>
      <c r="N156" s="50">
        <f t="shared" si="9"/>
        <v>9.8053352559480889</v>
      </c>
      <c r="O156" s="38">
        <v>0</v>
      </c>
      <c r="P156" s="38">
        <v>0</v>
      </c>
    </row>
    <row r="157" spans="1:31" x14ac:dyDescent="0.25">
      <c r="A157" s="38" t="s">
        <v>36</v>
      </c>
      <c r="B157" s="38" t="s">
        <v>36</v>
      </c>
      <c r="C157" s="38" t="s">
        <v>367</v>
      </c>
      <c r="D157" s="38" t="s">
        <v>373</v>
      </c>
      <c r="E157" s="38" t="s">
        <v>374</v>
      </c>
      <c r="F157" s="38">
        <v>1054.93</v>
      </c>
      <c r="G157" s="38">
        <v>1054.93</v>
      </c>
      <c r="H157" s="38">
        <f t="shared" si="7"/>
        <v>880</v>
      </c>
      <c r="I157" s="38">
        <v>579</v>
      </c>
      <c r="J157" s="38">
        <v>301</v>
      </c>
      <c r="K157" s="38">
        <v>278</v>
      </c>
      <c r="L157" s="50">
        <f t="shared" si="8"/>
        <v>31.590909090909093</v>
      </c>
      <c r="M157" s="38">
        <v>0</v>
      </c>
      <c r="N157" s="50">
        <f t="shared" si="9"/>
        <v>0</v>
      </c>
      <c r="O157" s="38">
        <v>0</v>
      </c>
      <c r="P157" s="38">
        <v>0</v>
      </c>
    </row>
    <row r="158" spans="1:31" x14ac:dyDescent="0.25">
      <c r="A158" s="38" t="s">
        <v>36</v>
      </c>
      <c r="B158" s="38" t="s">
        <v>36</v>
      </c>
      <c r="C158" s="38" t="s">
        <v>367</v>
      </c>
      <c r="D158" s="38" t="s">
        <v>375</v>
      </c>
      <c r="E158" s="38" t="s">
        <v>376</v>
      </c>
      <c r="F158" s="38">
        <v>907.75</v>
      </c>
      <c r="G158" s="38">
        <v>907.75</v>
      </c>
      <c r="H158" s="38">
        <f t="shared" si="7"/>
        <v>872</v>
      </c>
      <c r="I158" s="38">
        <v>573</v>
      </c>
      <c r="J158" s="38">
        <v>299</v>
      </c>
      <c r="K158" s="38">
        <v>274</v>
      </c>
      <c r="L158" s="50">
        <f t="shared" si="8"/>
        <v>31.422018348623855</v>
      </c>
      <c r="M158" s="38">
        <v>0</v>
      </c>
      <c r="N158" s="50">
        <f t="shared" si="9"/>
        <v>0</v>
      </c>
      <c r="O158" s="38">
        <v>0</v>
      </c>
      <c r="P158" s="38">
        <v>21.08</v>
      </c>
    </row>
    <row r="159" spans="1:31" x14ac:dyDescent="0.25">
      <c r="A159" s="38" t="s">
        <v>36</v>
      </c>
      <c r="B159" s="38" t="s">
        <v>36</v>
      </c>
      <c r="C159" s="38" t="s">
        <v>377</v>
      </c>
      <c r="D159" s="38" t="s">
        <v>377</v>
      </c>
      <c r="E159" s="38" t="s">
        <v>378</v>
      </c>
      <c r="F159" s="38">
        <v>2693.11</v>
      </c>
      <c r="G159" s="38">
        <v>2693.11</v>
      </c>
      <c r="H159" s="38">
        <f t="shared" si="7"/>
        <v>3376</v>
      </c>
      <c r="I159" s="38">
        <v>2198</v>
      </c>
      <c r="J159" s="38">
        <v>1178</v>
      </c>
      <c r="K159" s="38">
        <v>1020</v>
      </c>
      <c r="L159" s="50">
        <f t="shared" si="8"/>
        <v>30.213270142180093</v>
      </c>
      <c r="M159" s="38">
        <v>445</v>
      </c>
      <c r="N159" s="50">
        <f t="shared" si="9"/>
        <v>13.181279620853081</v>
      </c>
      <c r="O159" s="38">
        <v>0</v>
      </c>
      <c r="P159" s="38">
        <v>224.05</v>
      </c>
      <c r="Q159" s="34" t="s">
        <v>43</v>
      </c>
      <c r="R159" s="7">
        <v>45454</v>
      </c>
      <c r="S159" s="40"/>
      <c r="T159" s="39">
        <v>156.33000000000001</v>
      </c>
      <c r="U159" s="39"/>
      <c r="V159" s="39"/>
      <c r="W159" s="39"/>
      <c r="X159" s="39"/>
      <c r="Y159" s="39"/>
      <c r="Z159" s="3"/>
      <c r="AB159" s="3"/>
      <c r="AC159" s="38" t="s">
        <v>377</v>
      </c>
      <c r="AE159" s="40"/>
    </row>
    <row r="160" spans="1:31" x14ac:dyDescent="0.25">
      <c r="A160" s="38" t="s">
        <v>36</v>
      </c>
      <c r="B160" s="38" t="s">
        <v>36</v>
      </c>
      <c r="C160" s="38" t="s">
        <v>379</v>
      </c>
      <c r="D160" s="38" t="s">
        <v>379</v>
      </c>
      <c r="E160" s="38" t="s">
        <v>380</v>
      </c>
      <c r="F160" s="38">
        <v>898</v>
      </c>
      <c r="G160" s="38">
        <v>898</v>
      </c>
      <c r="H160" s="38">
        <f t="shared" si="7"/>
        <v>2025</v>
      </c>
      <c r="I160" s="38">
        <v>1324</v>
      </c>
      <c r="J160" s="38">
        <v>701</v>
      </c>
      <c r="K160" s="38">
        <v>623</v>
      </c>
      <c r="L160" s="50">
        <f t="shared" si="8"/>
        <v>30.765432098765434</v>
      </c>
      <c r="M160" s="38">
        <v>0</v>
      </c>
      <c r="N160" s="50">
        <f t="shared" si="9"/>
        <v>0</v>
      </c>
      <c r="O160" s="38">
        <v>0</v>
      </c>
      <c r="P160" s="38">
        <v>0</v>
      </c>
      <c r="Q160" s="34" t="s">
        <v>43</v>
      </c>
      <c r="R160" s="7">
        <v>45828</v>
      </c>
      <c r="S160" s="40"/>
      <c r="T160" s="39">
        <v>0.40550000000000003</v>
      </c>
      <c r="U160" s="39"/>
      <c r="V160" s="39"/>
      <c r="W160" s="39"/>
      <c r="X160" s="39"/>
      <c r="Y160" s="39"/>
      <c r="Z160" s="3"/>
      <c r="AB160" s="3"/>
      <c r="AC160" s="38" t="s">
        <v>379</v>
      </c>
      <c r="AD160" s="2"/>
      <c r="AE160" s="40"/>
    </row>
    <row r="161" spans="1:31" x14ac:dyDescent="0.25">
      <c r="A161" s="38" t="s">
        <v>36</v>
      </c>
      <c r="B161" s="38" t="s">
        <v>36</v>
      </c>
      <c r="C161" s="38" t="s">
        <v>379</v>
      </c>
      <c r="D161" s="38" t="s">
        <v>381</v>
      </c>
      <c r="E161" s="38" t="s">
        <v>382</v>
      </c>
      <c r="F161" s="38">
        <v>409</v>
      </c>
      <c r="G161" s="38">
        <v>409</v>
      </c>
      <c r="H161" s="38">
        <f t="shared" si="7"/>
        <v>509</v>
      </c>
      <c r="I161" s="38">
        <v>334</v>
      </c>
      <c r="J161" s="38">
        <v>175</v>
      </c>
      <c r="K161" s="38">
        <v>159</v>
      </c>
      <c r="L161" s="50">
        <f t="shared" si="8"/>
        <v>31.237721021611005</v>
      </c>
      <c r="M161" s="38">
        <v>0</v>
      </c>
      <c r="N161" s="50">
        <f t="shared" si="9"/>
        <v>0</v>
      </c>
      <c r="O161" s="38">
        <v>0</v>
      </c>
      <c r="P161" s="38">
        <v>0</v>
      </c>
      <c r="Q161" s="34" t="s">
        <v>43</v>
      </c>
      <c r="R161" s="7">
        <v>45828</v>
      </c>
      <c r="S161" s="40"/>
      <c r="T161" s="39">
        <v>0.94699999999999995</v>
      </c>
      <c r="U161" s="39"/>
      <c r="V161" s="39"/>
      <c r="W161" s="39"/>
      <c r="X161" s="39"/>
      <c r="Y161" s="39"/>
      <c r="Z161" s="3"/>
      <c r="AB161" s="3"/>
      <c r="AC161" s="38" t="s">
        <v>381</v>
      </c>
      <c r="AD161" s="2"/>
      <c r="AE161" s="40"/>
    </row>
    <row r="162" spans="1:31" x14ac:dyDescent="0.25">
      <c r="A162" s="38" t="s">
        <v>36</v>
      </c>
      <c r="B162" s="38" t="s">
        <v>36</v>
      </c>
      <c r="C162" s="38" t="s">
        <v>379</v>
      </c>
      <c r="D162" s="38" t="s">
        <v>383</v>
      </c>
      <c r="E162" s="38" t="s">
        <v>384</v>
      </c>
      <c r="F162" s="38">
        <v>676</v>
      </c>
      <c r="G162" s="38">
        <v>676</v>
      </c>
      <c r="H162" s="38">
        <f t="shared" si="7"/>
        <v>1021</v>
      </c>
      <c r="I162" s="38">
        <v>653</v>
      </c>
      <c r="J162" s="38">
        <v>368</v>
      </c>
      <c r="K162" s="38">
        <v>285</v>
      </c>
      <c r="L162" s="50">
        <f t="shared" si="8"/>
        <v>27.913809990205678</v>
      </c>
      <c r="M162" s="38">
        <v>0</v>
      </c>
      <c r="N162" s="50">
        <f t="shared" si="9"/>
        <v>0</v>
      </c>
      <c r="O162" s="38">
        <v>0</v>
      </c>
      <c r="P162" s="38">
        <v>0</v>
      </c>
      <c r="Q162" s="34" t="s">
        <v>43</v>
      </c>
      <c r="R162" s="7">
        <v>45828</v>
      </c>
      <c r="S162" s="40"/>
      <c r="T162" s="39">
        <v>0.16189999999999999</v>
      </c>
      <c r="U162" s="39"/>
      <c r="V162" s="39"/>
      <c r="W162" s="39"/>
      <c r="X162" s="39"/>
      <c r="Y162" s="39"/>
      <c r="Z162" s="3"/>
      <c r="AB162" s="3"/>
      <c r="AC162" s="38" t="s">
        <v>383</v>
      </c>
      <c r="AD162" s="2"/>
      <c r="AE162" s="40"/>
    </row>
    <row r="163" spans="1:31" x14ac:dyDescent="0.25">
      <c r="A163" s="38" t="s">
        <v>36</v>
      </c>
      <c r="B163" s="38" t="s">
        <v>36</v>
      </c>
      <c r="C163" s="38" t="s">
        <v>379</v>
      </c>
      <c r="D163" s="38" t="s">
        <v>385</v>
      </c>
      <c r="E163" s="38" t="s">
        <v>386</v>
      </c>
      <c r="F163" s="38">
        <v>644</v>
      </c>
      <c r="G163" s="38">
        <v>644</v>
      </c>
      <c r="H163" s="38">
        <f t="shared" si="7"/>
        <v>941</v>
      </c>
      <c r="I163" s="38">
        <v>615</v>
      </c>
      <c r="J163" s="38">
        <v>326</v>
      </c>
      <c r="K163" s="38">
        <v>289</v>
      </c>
      <c r="L163" s="50">
        <f t="shared" si="8"/>
        <v>30.712008501594052</v>
      </c>
      <c r="M163" s="38">
        <v>23</v>
      </c>
      <c r="N163" s="50">
        <f t="shared" si="9"/>
        <v>2.4442082890541976</v>
      </c>
      <c r="O163" s="38">
        <v>0</v>
      </c>
      <c r="P163" s="38">
        <v>0</v>
      </c>
      <c r="Q163" s="34" t="s">
        <v>43</v>
      </c>
      <c r="R163" s="7">
        <v>45828</v>
      </c>
      <c r="S163" s="40"/>
      <c r="T163" s="39">
        <v>5.8436000000000003</v>
      </c>
      <c r="U163" s="39"/>
      <c r="V163" s="39"/>
      <c r="W163" s="39"/>
      <c r="X163" s="39"/>
      <c r="Y163" s="39"/>
      <c r="Z163" s="3"/>
      <c r="AB163" s="3"/>
      <c r="AC163" s="38" t="s">
        <v>385</v>
      </c>
      <c r="AD163" s="2"/>
      <c r="AE163" s="40"/>
    </row>
    <row r="164" spans="1:31" x14ac:dyDescent="0.25">
      <c r="A164" s="38" t="s">
        <v>36</v>
      </c>
      <c r="B164" s="38" t="s">
        <v>36</v>
      </c>
      <c r="C164" s="38" t="s">
        <v>387</v>
      </c>
      <c r="D164" s="38" t="s">
        <v>388</v>
      </c>
      <c r="E164" s="38" t="s">
        <v>389</v>
      </c>
      <c r="F164" s="38">
        <v>1996.42</v>
      </c>
      <c r="G164" s="38">
        <v>1996.42</v>
      </c>
      <c r="H164" s="38">
        <f t="shared" si="7"/>
        <v>1179</v>
      </c>
      <c r="I164" s="38">
        <v>770</v>
      </c>
      <c r="J164" s="38">
        <v>409</v>
      </c>
      <c r="K164" s="38">
        <v>361</v>
      </c>
      <c r="L164" s="50">
        <f t="shared" si="8"/>
        <v>30.619168787107721</v>
      </c>
      <c r="M164" s="38">
        <v>74</v>
      </c>
      <c r="N164" s="50">
        <f t="shared" si="9"/>
        <v>6.2765055131467351</v>
      </c>
      <c r="O164" s="38">
        <v>0</v>
      </c>
      <c r="P164" s="38">
        <v>286.14999999999998</v>
      </c>
      <c r="Q164" s="34" t="s">
        <v>43</v>
      </c>
      <c r="R164" s="70" t="s">
        <v>390</v>
      </c>
      <c r="S164" s="40"/>
      <c r="T164" s="39">
        <v>285.01609999999999</v>
      </c>
      <c r="U164" s="39"/>
      <c r="V164" s="39"/>
      <c r="W164" s="39"/>
      <c r="X164" s="39"/>
      <c r="Y164" s="39"/>
      <c r="Z164" s="3"/>
      <c r="AB164" s="3"/>
      <c r="AC164" s="42" t="s">
        <v>388</v>
      </c>
      <c r="AD164" s="2"/>
      <c r="AE164" s="40"/>
    </row>
    <row r="165" spans="1:31" x14ac:dyDescent="0.25">
      <c r="A165" s="38" t="s">
        <v>36</v>
      </c>
      <c r="B165" s="38" t="s">
        <v>36</v>
      </c>
      <c r="C165" s="38" t="s">
        <v>387</v>
      </c>
      <c r="D165" s="38" t="s">
        <v>391</v>
      </c>
      <c r="E165" s="38" t="s">
        <v>392</v>
      </c>
      <c r="F165" s="38">
        <v>1157</v>
      </c>
      <c r="G165" s="38">
        <v>1157</v>
      </c>
      <c r="H165" s="38">
        <f t="shared" si="7"/>
        <v>848</v>
      </c>
      <c r="I165" s="38">
        <v>563</v>
      </c>
      <c r="J165" s="38">
        <v>285</v>
      </c>
      <c r="K165" s="38">
        <v>278</v>
      </c>
      <c r="L165" s="50">
        <f t="shared" si="8"/>
        <v>32.783018867924532</v>
      </c>
      <c r="M165" s="38">
        <v>28</v>
      </c>
      <c r="N165" s="50">
        <f t="shared" si="9"/>
        <v>3.3018867924528301</v>
      </c>
      <c r="O165" s="38">
        <v>0</v>
      </c>
      <c r="P165" s="38">
        <v>388</v>
      </c>
      <c r="Q165" s="34" t="s">
        <v>43</v>
      </c>
      <c r="R165" s="60" t="s">
        <v>390</v>
      </c>
      <c r="S165" s="40"/>
      <c r="T165" s="39">
        <v>387.39609999999999</v>
      </c>
      <c r="U165" s="39"/>
      <c r="V165" s="39"/>
      <c r="W165" s="39"/>
      <c r="X165" s="39"/>
      <c r="Y165" s="39"/>
      <c r="Z165" s="3"/>
      <c r="AB165" s="3"/>
      <c r="AC165" s="42" t="s">
        <v>391</v>
      </c>
      <c r="AD165" s="2"/>
      <c r="AE165" s="40"/>
    </row>
    <row r="166" spans="1:31" x14ac:dyDescent="0.25">
      <c r="A166" s="38" t="s">
        <v>36</v>
      </c>
      <c r="B166" s="38" t="s">
        <v>36</v>
      </c>
      <c r="C166" s="38" t="s">
        <v>387</v>
      </c>
      <c r="D166" s="38" t="s">
        <v>393</v>
      </c>
      <c r="E166" s="38" t="s">
        <v>394</v>
      </c>
      <c r="F166" s="38">
        <v>2394.35</v>
      </c>
      <c r="G166" s="38">
        <v>2394.35</v>
      </c>
      <c r="H166" s="38">
        <f t="shared" si="7"/>
        <v>932</v>
      </c>
      <c r="I166" s="38">
        <v>604</v>
      </c>
      <c r="J166" s="38">
        <v>328</v>
      </c>
      <c r="K166" s="38">
        <v>276</v>
      </c>
      <c r="L166" s="50">
        <f t="shared" si="8"/>
        <v>29.613733905579398</v>
      </c>
      <c r="M166" s="38">
        <v>38</v>
      </c>
      <c r="N166" s="50">
        <f t="shared" si="9"/>
        <v>4.0772532188841204</v>
      </c>
      <c r="O166" s="38">
        <v>0</v>
      </c>
      <c r="P166" s="38">
        <v>1096.8</v>
      </c>
      <c r="Q166" s="34" t="s">
        <v>43</v>
      </c>
      <c r="R166" s="60" t="s">
        <v>390</v>
      </c>
      <c r="S166" s="40"/>
      <c r="T166" s="39">
        <v>1089.32</v>
      </c>
      <c r="U166" s="39"/>
      <c r="V166" s="39"/>
      <c r="W166" s="39"/>
      <c r="X166" s="39"/>
      <c r="Y166" s="39"/>
      <c r="Z166" s="3"/>
      <c r="AB166" s="3"/>
      <c r="AC166" s="42" t="s">
        <v>393</v>
      </c>
      <c r="AD166" s="2"/>
      <c r="AE166" s="40"/>
    </row>
    <row r="167" spans="1:31" x14ac:dyDescent="0.25">
      <c r="A167" s="38" t="s">
        <v>36</v>
      </c>
      <c r="B167" s="41" t="s">
        <v>36</v>
      </c>
      <c r="C167" s="41" t="s">
        <v>387</v>
      </c>
      <c r="D167" s="41" t="s">
        <v>395</v>
      </c>
      <c r="E167" s="41" t="s">
        <v>396</v>
      </c>
      <c r="F167" s="41">
        <v>2571.5</v>
      </c>
      <c r="G167" s="41">
        <v>2571.5</v>
      </c>
      <c r="H167" s="38">
        <f t="shared" si="7"/>
        <v>1604</v>
      </c>
      <c r="I167" s="41">
        <v>1062</v>
      </c>
      <c r="J167" s="41">
        <v>542</v>
      </c>
      <c r="K167" s="41">
        <v>520</v>
      </c>
      <c r="L167" s="50">
        <f t="shared" si="8"/>
        <v>32.418952618453865</v>
      </c>
      <c r="M167" s="41">
        <v>126</v>
      </c>
      <c r="N167" s="50">
        <f t="shared" si="9"/>
        <v>7.8553615960099759</v>
      </c>
      <c r="O167" s="41">
        <v>0</v>
      </c>
      <c r="P167" s="41">
        <v>361.78</v>
      </c>
      <c r="Q167" s="34" t="s">
        <v>43</v>
      </c>
      <c r="R167" s="82" t="s">
        <v>390</v>
      </c>
      <c r="S167" s="44"/>
      <c r="T167" s="43">
        <v>362.69119999999998</v>
      </c>
      <c r="U167" s="43"/>
      <c r="V167" s="43"/>
      <c r="W167" s="43"/>
      <c r="X167" s="43"/>
      <c r="Y167" s="43"/>
      <c r="Z167" s="5"/>
      <c r="AB167" s="5">
        <v>55</v>
      </c>
      <c r="AC167" s="110" t="s">
        <v>397</v>
      </c>
      <c r="AD167" s="44">
        <v>25.028758</v>
      </c>
      <c r="AE167" s="44">
        <v>71.159546000000006</v>
      </c>
    </row>
    <row r="168" spans="1:31" x14ac:dyDescent="0.25">
      <c r="A168" s="38" t="s">
        <v>36</v>
      </c>
      <c r="B168" s="38" t="s">
        <v>36</v>
      </c>
      <c r="C168" s="38" t="s">
        <v>387</v>
      </c>
      <c r="D168" s="38" t="s">
        <v>398</v>
      </c>
      <c r="E168" s="38" t="s">
        <v>399</v>
      </c>
      <c r="F168" s="38">
        <v>1627.2</v>
      </c>
      <c r="G168" s="38">
        <v>1627.2</v>
      </c>
      <c r="H168" s="38">
        <f t="shared" si="7"/>
        <v>946</v>
      </c>
      <c r="I168" s="38">
        <v>611</v>
      </c>
      <c r="J168" s="38">
        <v>335</v>
      </c>
      <c r="K168" s="38">
        <v>276</v>
      </c>
      <c r="L168" s="50">
        <f t="shared" si="8"/>
        <v>29.175475687103592</v>
      </c>
      <c r="M168" s="38">
        <v>0</v>
      </c>
      <c r="N168" s="50">
        <f t="shared" si="9"/>
        <v>0</v>
      </c>
      <c r="O168" s="38">
        <v>0</v>
      </c>
      <c r="P168" s="38">
        <v>50.24</v>
      </c>
      <c r="Q168" s="34" t="s">
        <v>43</v>
      </c>
      <c r="R168" s="60" t="s">
        <v>390</v>
      </c>
      <c r="S168" s="40"/>
      <c r="T168" s="39">
        <v>50.49</v>
      </c>
      <c r="U168" s="39"/>
      <c r="V168" s="39"/>
      <c r="W168" s="39"/>
      <c r="X168" s="39"/>
      <c r="Y168" s="39"/>
      <c r="Z168" s="3"/>
      <c r="AB168" s="3"/>
      <c r="AC168" s="42" t="s">
        <v>398</v>
      </c>
      <c r="AD168" s="2"/>
      <c r="AE168" s="40"/>
    </row>
    <row r="169" spans="1:31" x14ac:dyDescent="0.25">
      <c r="A169" s="38" t="s">
        <v>36</v>
      </c>
      <c r="B169" s="38" t="s">
        <v>36</v>
      </c>
      <c r="C169" s="38" t="s">
        <v>387</v>
      </c>
      <c r="D169" s="38" t="s">
        <v>400</v>
      </c>
      <c r="E169" s="38" t="s">
        <v>401</v>
      </c>
      <c r="F169" s="38">
        <v>1491.59</v>
      </c>
      <c r="G169" s="38">
        <v>1491.59</v>
      </c>
      <c r="H169" s="38">
        <f t="shared" si="7"/>
        <v>1379</v>
      </c>
      <c r="I169" s="38">
        <v>909</v>
      </c>
      <c r="J169" s="38">
        <v>470</v>
      </c>
      <c r="K169" s="38">
        <v>439</v>
      </c>
      <c r="L169" s="50">
        <f t="shared" si="8"/>
        <v>31.834662799129802</v>
      </c>
      <c r="M169" s="38">
        <v>19</v>
      </c>
      <c r="N169" s="50">
        <f t="shared" si="9"/>
        <v>1.3778100072516315</v>
      </c>
      <c r="O169" s="38">
        <v>0</v>
      </c>
      <c r="P169" s="38">
        <v>0</v>
      </c>
      <c r="Q169" s="34" t="s">
        <v>43</v>
      </c>
      <c r="R169" s="60" t="s">
        <v>390</v>
      </c>
      <c r="S169" s="40"/>
      <c r="T169" s="39">
        <v>0</v>
      </c>
      <c r="U169" s="39"/>
      <c r="V169" s="39"/>
      <c r="W169" s="39"/>
      <c r="X169" s="39"/>
      <c r="Y169" s="39"/>
      <c r="Z169" s="3"/>
      <c r="AB169" s="3"/>
      <c r="AC169" s="42" t="s">
        <v>400</v>
      </c>
      <c r="AD169" s="2"/>
      <c r="AE169" s="40"/>
    </row>
    <row r="170" spans="1:31" x14ac:dyDescent="0.25">
      <c r="A170" s="38" t="s">
        <v>36</v>
      </c>
      <c r="B170" s="38" t="s">
        <v>36</v>
      </c>
      <c r="C170" s="38" t="s">
        <v>387</v>
      </c>
      <c r="D170" s="38" t="s">
        <v>402</v>
      </c>
      <c r="E170" s="38" t="s">
        <v>403</v>
      </c>
      <c r="F170" s="38">
        <v>311.91000000000003</v>
      </c>
      <c r="G170" s="38">
        <v>311.91000000000003</v>
      </c>
      <c r="H170" s="38">
        <f t="shared" si="7"/>
        <v>172</v>
      </c>
      <c r="I170" s="38">
        <v>110</v>
      </c>
      <c r="J170" s="38">
        <v>62</v>
      </c>
      <c r="K170" s="38">
        <v>48</v>
      </c>
      <c r="L170" s="50">
        <f t="shared" si="8"/>
        <v>27.906976744186046</v>
      </c>
      <c r="M170" s="38">
        <v>0</v>
      </c>
      <c r="N170" s="50">
        <f t="shared" si="9"/>
        <v>0</v>
      </c>
      <c r="O170" s="38">
        <v>0</v>
      </c>
      <c r="P170" s="38">
        <v>0</v>
      </c>
      <c r="Q170" s="34" t="s">
        <v>43</v>
      </c>
      <c r="R170" s="60" t="s">
        <v>390</v>
      </c>
      <c r="S170" s="40"/>
      <c r="T170" s="39">
        <v>0</v>
      </c>
      <c r="U170" s="39"/>
      <c r="V170" s="39"/>
      <c r="W170" s="39"/>
      <c r="X170" s="39"/>
      <c r="Y170" s="39"/>
      <c r="Z170" s="3"/>
      <c r="AB170" s="3"/>
      <c r="AC170" s="42" t="s">
        <v>402</v>
      </c>
      <c r="AD170" s="2"/>
      <c r="AE170" s="40"/>
    </row>
    <row r="171" spans="1:31" x14ac:dyDescent="0.25">
      <c r="A171" s="38" t="s">
        <v>36</v>
      </c>
      <c r="B171" s="38" t="s">
        <v>36</v>
      </c>
      <c r="C171" s="38" t="s">
        <v>404</v>
      </c>
      <c r="D171" s="38" t="s">
        <v>405</v>
      </c>
      <c r="E171" s="38" t="s">
        <v>406</v>
      </c>
      <c r="F171" s="38">
        <v>361</v>
      </c>
      <c r="G171" s="38">
        <v>361</v>
      </c>
      <c r="H171" s="38">
        <f t="shared" si="7"/>
        <v>747</v>
      </c>
      <c r="I171" s="38">
        <v>480</v>
      </c>
      <c r="J171" s="38">
        <v>267</v>
      </c>
      <c r="K171" s="38">
        <v>213</v>
      </c>
      <c r="L171" s="50">
        <f t="shared" si="8"/>
        <v>28.514056224899598</v>
      </c>
      <c r="M171" s="38">
        <v>0</v>
      </c>
      <c r="N171" s="50">
        <f t="shared" si="9"/>
        <v>0</v>
      </c>
      <c r="O171" s="38">
        <v>0</v>
      </c>
      <c r="P171" s="38">
        <v>4</v>
      </c>
      <c r="Q171" s="39" t="s">
        <v>44</v>
      </c>
      <c r="R171" s="111">
        <v>45713</v>
      </c>
      <c r="S171" s="40"/>
      <c r="T171" s="39">
        <v>1.2221</v>
      </c>
      <c r="U171" s="39"/>
      <c r="V171" s="39"/>
      <c r="W171" s="39"/>
      <c r="X171" s="39"/>
      <c r="Y171" s="39"/>
      <c r="Z171" s="3"/>
      <c r="AB171" s="3"/>
      <c r="AC171" s="38" t="s">
        <v>405</v>
      </c>
      <c r="AD171" s="2"/>
      <c r="AE171" s="40"/>
    </row>
    <row r="172" spans="1:31" x14ac:dyDescent="0.25">
      <c r="A172" s="38" t="s">
        <v>36</v>
      </c>
      <c r="B172" s="38" t="s">
        <v>36</v>
      </c>
      <c r="C172" s="38" t="s">
        <v>404</v>
      </c>
      <c r="D172" s="38" t="s">
        <v>407</v>
      </c>
      <c r="E172" s="38" t="s">
        <v>408</v>
      </c>
      <c r="F172" s="38">
        <v>662</v>
      </c>
      <c r="G172" s="38">
        <v>662</v>
      </c>
      <c r="H172" s="38">
        <f t="shared" si="7"/>
        <v>1146</v>
      </c>
      <c r="I172" s="38">
        <v>753</v>
      </c>
      <c r="J172" s="38">
        <v>393</v>
      </c>
      <c r="K172" s="38">
        <v>360</v>
      </c>
      <c r="L172" s="50">
        <f t="shared" si="8"/>
        <v>31.413612565445025</v>
      </c>
      <c r="M172" s="38">
        <v>0</v>
      </c>
      <c r="N172" s="50">
        <f t="shared" si="9"/>
        <v>0</v>
      </c>
      <c r="O172" s="38">
        <v>0</v>
      </c>
      <c r="P172" s="38">
        <v>0</v>
      </c>
      <c r="Q172" s="39" t="s">
        <v>44</v>
      </c>
      <c r="R172" s="111">
        <v>45713</v>
      </c>
      <c r="S172" s="40"/>
      <c r="T172" s="39">
        <v>3.3</v>
      </c>
      <c r="U172" s="39"/>
      <c r="V172" s="39"/>
      <c r="W172" s="39"/>
      <c r="X172" s="39"/>
      <c r="Y172" s="39"/>
      <c r="Z172" s="3"/>
      <c r="AB172" s="3"/>
      <c r="AC172" s="38" t="s">
        <v>409</v>
      </c>
      <c r="AD172" s="2"/>
      <c r="AE172" s="40"/>
    </row>
    <row r="173" spans="1:31" x14ac:dyDescent="0.25">
      <c r="A173" s="38" t="s">
        <v>36</v>
      </c>
      <c r="B173" s="38" t="s">
        <v>36</v>
      </c>
      <c r="C173" s="38" t="s">
        <v>404</v>
      </c>
      <c r="D173" s="38" t="s">
        <v>410</v>
      </c>
      <c r="E173" s="38" t="s">
        <v>411</v>
      </c>
      <c r="F173" s="38">
        <v>837</v>
      </c>
      <c r="G173" s="38">
        <v>837</v>
      </c>
      <c r="H173" s="38">
        <f t="shared" si="7"/>
        <v>1325</v>
      </c>
      <c r="I173" s="38">
        <v>898</v>
      </c>
      <c r="J173" s="38">
        <v>427</v>
      </c>
      <c r="K173" s="38">
        <v>471</v>
      </c>
      <c r="L173" s="50">
        <f t="shared" si="8"/>
        <v>35.547169811320757</v>
      </c>
      <c r="M173" s="38">
        <v>50</v>
      </c>
      <c r="N173" s="50">
        <f t="shared" si="9"/>
        <v>3.7735849056603774</v>
      </c>
      <c r="O173" s="38">
        <v>0</v>
      </c>
      <c r="P173" s="38">
        <v>0</v>
      </c>
    </row>
    <row r="174" spans="1:31" x14ac:dyDescent="0.25">
      <c r="A174" s="38" t="s">
        <v>36</v>
      </c>
      <c r="B174" s="38" t="s">
        <v>36</v>
      </c>
      <c r="C174" s="38" t="s">
        <v>404</v>
      </c>
      <c r="D174" s="38" t="s">
        <v>412</v>
      </c>
      <c r="E174" s="38" t="s">
        <v>413</v>
      </c>
      <c r="F174" s="38">
        <v>963</v>
      </c>
      <c r="G174" s="38">
        <v>963</v>
      </c>
      <c r="H174" s="38">
        <f t="shared" si="7"/>
        <v>1161</v>
      </c>
      <c r="I174" s="38">
        <v>760</v>
      </c>
      <c r="J174" s="38">
        <v>401</v>
      </c>
      <c r="K174" s="38">
        <v>359</v>
      </c>
      <c r="L174" s="50">
        <f t="shared" si="8"/>
        <v>30.921619293712315</v>
      </c>
      <c r="M174" s="38">
        <v>25</v>
      </c>
      <c r="N174" s="50">
        <f t="shared" si="9"/>
        <v>2.1533161068044793</v>
      </c>
      <c r="O174" s="38">
        <v>0</v>
      </c>
      <c r="P174" s="38">
        <v>0</v>
      </c>
    </row>
    <row r="175" spans="1:31" x14ac:dyDescent="0.25">
      <c r="A175" s="38" t="s">
        <v>36</v>
      </c>
      <c r="B175" s="38" t="s">
        <v>36</v>
      </c>
      <c r="C175" s="38" t="s">
        <v>404</v>
      </c>
      <c r="D175" s="38" t="s">
        <v>414</v>
      </c>
      <c r="E175" s="38" t="s">
        <v>415</v>
      </c>
      <c r="F175" s="38">
        <v>664</v>
      </c>
      <c r="G175" s="38">
        <v>664</v>
      </c>
      <c r="H175" s="38">
        <f t="shared" si="7"/>
        <v>721</v>
      </c>
      <c r="I175" s="38">
        <v>479</v>
      </c>
      <c r="J175" s="38">
        <v>242</v>
      </c>
      <c r="K175" s="38">
        <v>237</v>
      </c>
      <c r="L175" s="50">
        <f t="shared" si="8"/>
        <v>32.871012482662969</v>
      </c>
      <c r="M175" s="38">
        <v>34</v>
      </c>
      <c r="N175" s="50">
        <f t="shared" si="9"/>
        <v>4.7156726768377251</v>
      </c>
      <c r="O175" s="38">
        <v>0</v>
      </c>
      <c r="P175" s="38">
        <v>42</v>
      </c>
      <c r="Q175" s="39" t="s">
        <v>44</v>
      </c>
      <c r="R175" s="111">
        <v>45713</v>
      </c>
      <c r="S175" s="40"/>
      <c r="T175" s="39">
        <v>42.292999999999999</v>
      </c>
      <c r="U175" s="39"/>
      <c r="V175" s="39"/>
      <c r="W175" s="39"/>
      <c r="X175" s="39"/>
      <c r="Y175" s="39"/>
      <c r="Z175" s="3"/>
      <c r="AB175" s="3"/>
      <c r="AC175" s="38" t="s">
        <v>414</v>
      </c>
      <c r="AD175" s="2"/>
      <c r="AE175" s="40"/>
    </row>
    <row r="176" spans="1:31" x14ac:dyDescent="0.25">
      <c r="A176" s="38" t="s">
        <v>36</v>
      </c>
      <c r="B176" s="38" t="s">
        <v>36</v>
      </c>
      <c r="C176" s="38" t="s">
        <v>404</v>
      </c>
      <c r="D176" s="38" t="s">
        <v>416</v>
      </c>
      <c r="E176" s="38" t="s">
        <v>417</v>
      </c>
      <c r="F176" s="38">
        <v>832</v>
      </c>
      <c r="G176" s="38">
        <v>832</v>
      </c>
      <c r="H176" s="38">
        <f t="shared" si="7"/>
        <v>976</v>
      </c>
      <c r="I176" s="38">
        <v>636</v>
      </c>
      <c r="J176" s="38">
        <v>340</v>
      </c>
      <c r="K176" s="38">
        <v>296</v>
      </c>
      <c r="L176" s="50">
        <f t="shared" si="8"/>
        <v>30.327868852459016</v>
      </c>
      <c r="M176" s="38">
        <v>0</v>
      </c>
      <c r="N176" s="50">
        <f t="shared" si="9"/>
        <v>0</v>
      </c>
      <c r="O176" s="38">
        <v>0</v>
      </c>
      <c r="P176" s="38">
        <v>55</v>
      </c>
      <c r="Q176" s="39" t="s">
        <v>44</v>
      </c>
      <c r="R176" s="111">
        <v>45713</v>
      </c>
      <c r="S176" s="40"/>
      <c r="T176" s="39">
        <v>49.994700000000002</v>
      </c>
      <c r="U176" s="39"/>
      <c r="V176" s="39"/>
      <c r="W176" s="39"/>
      <c r="X176" s="39"/>
      <c r="Y176" s="39"/>
      <c r="Z176" s="3"/>
      <c r="AB176" s="3"/>
      <c r="AC176" s="38" t="s">
        <v>416</v>
      </c>
      <c r="AD176" s="2"/>
      <c r="AE176" s="40"/>
    </row>
    <row r="177" spans="1:31" x14ac:dyDescent="0.25">
      <c r="A177" s="38" t="s">
        <v>36</v>
      </c>
      <c r="B177" s="38" t="s">
        <v>36</v>
      </c>
      <c r="C177" s="38" t="s">
        <v>404</v>
      </c>
      <c r="D177" s="38" t="s">
        <v>418</v>
      </c>
      <c r="E177" s="38" t="s">
        <v>419</v>
      </c>
      <c r="F177" s="38">
        <v>327</v>
      </c>
      <c r="G177" s="38">
        <v>327</v>
      </c>
      <c r="H177" s="38">
        <f t="shared" si="7"/>
        <v>655</v>
      </c>
      <c r="I177" s="38">
        <v>426</v>
      </c>
      <c r="J177" s="38">
        <v>229</v>
      </c>
      <c r="K177" s="38">
        <v>197</v>
      </c>
      <c r="L177" s="50">
        <f t="shared" si="8"/>
        <v>30.076335877862597</v>
      </c>
      <c r="M177" s="38">
        <v>64</v>
      </c>
      <c r="N177" s="50">
        <f t="shared" si="9"/>
        <v>9.770992366412214</v>
      </c>
      <c r="O177" s="38">
        <v>0</v>
      </c>
      <c r="P177" s="38">
        <v>26</v>
      </c>
      <c r="Q177" s="39" t="s">
        <v>44</v>
      </c>
      <c r="R177" s="111">
        <v>45713</v>
      </c>
      <c r="S177" s="40"/>
      <c r="T177" s="39">
        <v>25.810700000000001</v>
      </c>
      <c r="U177" s="39"/>
      <c r="V177" s="39"/>
      <c r="W177" s="39"/>
      <c r="X177" s="39"/>
      <c r="Y177" s="39"/>
      <c r="Z177" s="3"/>
      <c r="AB177" s="3"/>
      <c r="AC177" s="38" t="s">
        <v>418</v>
      </c>
      <c r="AD177" s="2"/>
      <c r="AE177" s="40"/>
    </row>
    <row r="178" spans="1:31" x14ac:dyDescent="0.25">
      <c r="A178" s="38" t="s">
        <v>36</v>
      </c>
      <c r="B178" s="38" t="s">
        <v>36</v>
      </c>
      <c r="C178" s="38" t="s">
        <v>420</v>
      </c>
      <c r="D178" s="38" t="s">
        <v>420</v>
      </c>
      <c r="E178" s="38" t="s">
        <v>421</v>
      </c>
      <c r="F178" s="38">
        <v>2212.9299999999998</v>
      </c>
      <c r="G178" s="38">
        <v>2212.9299999999998</v>
      </c>
      <c r="H178" s="38">
        <f t="shared" si="7"/>
        <v>2405</v>
      </c>
      <c r="I178" s="38">
        <v>1572</v>
      </c>
      <c r="J178" s="38">
        <v>833</v>
      </c>
      <c r="K178" s="38">
        <v>739</v>
      </c>
      <c r="L178" s="50">
        <f t="shared" si="8"/>
        <v>30.72765072765073</v>
      </c>
      <c r="M178" s="38">
        <v>137</v>
      </c>
      <c r="N178" s="50">
        <f t="shared" si="9"/>
        <v>5.6964656964656966</v>
      </c>
      <c r="O178" s="38">
        <v>0</v>
      </c>
      <c r="P178" s="38">
        <v>147.61000000000001</v>
      </c>
      <c r="Q178" s="39" t="s">
        <v>44</v>
      </c>
      <c r="R178" s="7">
        <v>45713</v>
      </c>
      <c r="S178" s="40"/>
      <c r="T178" s="39">
        <v>5.1798999999999999</v>
      </c>
      <c r="U178" s="39"/>
      <c r="V178" s="39"/>
      <c r="W178" s="39"/>
      <c r="X178" s="39"/>
      <c r="Y178" s="39"/>
      <c r="Z178" s="3"/>
      <c r="AB178" s="3"/>
      <c r="AC178" s="38" t="s">
        <v>420</v>
      </c>
      <c r="AD178" s="2"/>
      <c r="AE178" s="40"/>
    </row>
    <row r="179" spans="1:31" x14ac:dyDescent="0.25">
      <c r="A179" s="38" t="s">
        <v>36</v>
      </c>
      <c r="B179" s="38" t="s">
        <v>36</v>
      </c>
      <c r="C179" s="38" t="s">
        <v>420</v>
      </c>
      <c r="D179" s="38" t="s">
        <v>422</v>
      </c>
      <c r="E179" s="38" t="s">
        <v>423</v>
      </c>
      <c r="F179" s="38">
        <v>1771.18</v>
      </c>
      <c r="G179" s="38">
        <v>1771.18</v>
      </c>
      <c r="H179" s="38">
        <f t="shared" si="7"/>
        <v>2030</v>
      </c>
      <c r="I179" s="38">
        <v>1324</v>
      </c>
      <c r="J179" s="38">
        <v>706</v>
      </c>
      <c r="K179" s="38">
        <v>618</v>
      </c>
      <c r="L179" s="50">
        <f t="shared" si="8"/>
        <v>30.443349753694584</v>
      </c>
      <c r="M179" s="38">
        <v>37</v>
      </c>
      <c r="N179" s="50">
        <f t="shared" si="9"/>
        <v>1.8226600985221675</v>
      </c>
      <c r="O179" s="38">
        <v>0</v>
      </c>
      <c r="P179" s="38">
        <v>0</v>
      </c>
      <c r="Q179" s="39" t="s">
        <v>44</v>
      </c>
      <c r="R179" s="7">
        <v>45713</v>
      </c>
      <c r="S179" s="40"/>
      <c r="T179" s="39">
        <v>0.51800000000000002</v>
      </c>
      <c r="U179" s="39"/>
      <c r="V179" s="39"/>
      <c r="W179" s="39"/>
      <c r="X179" s="39"/>
      <c r="Y179" s="39"/>
      <c r="Z179" s="3"/>
      <c r="AB179" s="3"/>
      <c r="AC179" s="38" t="s">
        <v>422</v>
      </c>
      <c r="AD179" s="2"/>
      <c r="AE179" s="40"/>
    </row>
    <row r="180" spans="1:31" x14ac:dyDescent="0.25">
      <c r="A180" s="38" t="s">
        <v>36</v>
      </c>
      <c r="B180" s="38" t="s">
        <v>36</v>
      </c>
      <c r="C180" s="38" t="s">
        <v>424</v>
      </c>
      <c r="D180" s="38" t="s">
        <v>424</v>
      </c>
      <c r="E180" s="38" t="s">
        <v>425</v>
      </c>
      <c r="F180" s="38">
        <v>1795</v>
      </c>
      <c r="G180" s="38">
        <v>1795</v>
      </c>
      <c r="H180" s="38">
        <f t="shared" si="7"/>
        <v>2177</v>
      </c>
      <c r="I180" s="38">
        <v>1440</v>
      </c>
      <c r="J180" s="38">
        <v>737</v>
      </c>
      <c r="K180" s="38">
        <v>703</v>
      </c>
      <c r="L180" s="50">
        <f t="shared" si="8"/>
        <v>32.292145153881492</v>
      </c>
      <c r="M180" s="38">
        <v>147</v>
      </c>
      <c r="N180" s="50">
        <f t="shared" si="9"/>
        <v>6.7524115755627019</v>
      </c>
      <c r="O180" s="38">
        <v>0</v>
      </c>
      <c r="P180" s="38">
        <v>19</v>
      </c>
      <c r="Q180" s="39" t="s">
        <v>44</v>
      </c>
      <c r="R180" s="7">
        <v>45561</v>
      </c>
      <c r="S180" s="40"/>
      <c r="T180" s="39">
        <v>45.098199999999999</v>
      </c>
      <c r="U180" s="39"/>
      <c r="V180" s="39"/>
      <c r="W180" s="39"/>
      <c r="X180" s="39"/>
      <c r="Y180" s="39"/>
      <c r="Z180" s="3"/>
      <c r="AB180" s="3"/>
      <c r="AC180" s="38" t="s">
        <v>424</v>
      </c>
      <c r="AD180" s="2"/>
      <c r="AE180" s="40"/>
    </row>
    <row r="181" spans="1:31" x14ac:dyDescent="0.25">
      <c r="A181" s="38" t="s">
        <v>36</v>
      </c>
      <c r="B181" s="38" t="s">
        <v>36</v>
      </c>
      <c r="C181" s="38" t="s">
        <v>424</v>
      </c>
      <c r="D181" s="38" t="s">
        <v>426</v>
      </c>
      <c r="E181" s="38" t="s">
        <v>427</v>
      </c>
      <c r="F181" s="38">
        <v>682</v>
      </c>
      <c r="G181" s="38">
        <v>682</v>
      </c>
      <c r="H181" s="38">
        <f t="shared" si="7"/>
        <v>415</v>
      </c>
      <c r="I181" s="38">
        <v>268</v>
      </c>
      <c r="J181" s="38">
        <v>147</v>
      </c>
      <c r="K181" s="38">
        <v>121</v>
      </c>
      <c r="L181" s="50">
        <f t="shared" si="8"/>
        <v>29.156626506024097</v>
      </c>
      <c r="M181" s="38">
        <v>0</v>
      </c>
      <c r="N181" s="50">
        <f t="shared" si="9"/>
        <v>0</v>
      </c>
      <c r="O181" s="38">
        <v>0</v>
      </c>
      <c r="P181" s="38">
        <v>0</v>
      </c>
      <c r="Q181" s="39" t="s">
        <v>44</v>
      </c>
      <c r="R181" s="7">
        <v>45561</v>
      </c>
      <c r="S181" s="40"/>
      <c r="T181" s="39">
        <v>156.4838</v>
      </c>
      <c r="U181" s="39"/>
      <c r="V181" s="39"/>
      <c r="W181" s="39"/>
      <c r="X181" s="39"/>
      <c r="Y181" s="39"/>
      <c r="Z181" s="3"/>
      <c r="AB181" s="3"/>
      <c r="AC181" s="38" t="s">
        <v>426</v>
      </c>
      <c r="AD181" s="2"/>
      <c r="AE181" s="40"/>
    </row>
    <row r="182" spans="1:31" x14ac:dyDescent="0.25">
      <c r="A182" s="38" t="s">
        <v>36</v>
      </c>
      <c r="B182" s="38" t="s">
        <v>36</v>
      </c>
      <c r="C182" s="38" t="s">
        <v>424</v>
      </c>
      <c r="D182" s="38" t="s">
        <v>428</v>
      </c>
      <c r="E182" s="38" t="s">
        <v>429</v>
      </c>
      <c r="F182" s="38">
        <v>767.48</v>
      </c>
      <c r="G182" s="38">
        <v>767.48</v>
      </c>
      <c r="H182" s="38">
        <f t="shared" si="7"/>
        <v>536</v>
      </c>
      <c r="I182" s="38">
        <v>345</v>
      </c>
      <c r="J182" s="38">
        <v>191</v>
      </c>
      <c r="K182" s="38">
        <v>154</v>
      </c>
      <c r="L182" s="50">
        <f t="shared" si="8"/>
        <v>28.731343283582088</v>
      </c>
      <c r="M182" s="38">
        <v>0</v>
      </c>
      <c r="N182" s="50">
        <f t="shared" si="9"/>
        <v>0</v>
      </c>
      <c r="O182" s="38">
        <v>0</v>
      </c>
      <c r="P182" s="38">
        <v>0</v>
      </c>
      <c r="Q182" s="39" t="s">
        <v>44</v>
      </c>
      <c r="R182" s="7">
        <v>45561</v>
      </c>
      <c r="S182" s="40"/>
      <c r="T182" s="39">
        <v>68.302499999999995</v>
      </c>
      <c r="U182" s="39"/>
      <c r="V182" s="39"/>
      <c r="W182" s="39"/>
      <c r="X182" s="39"/>
      <c r="Y182" s="39"/>
      <c r="Z182" s="3"/>
      <c r="AB182" s="3"/>
      <c r="AC182" s="38" t="s">
        <v>428</v>
      </c>
      <c r="AD182" s="2"/>
      <c r="AE182" s="40"/>
    </row>
    <row r="183" spans="1:31" x14ac:dyDescent="0.25">
      <c r="A183" s="38" t="s">
        <v>36</v>
      </c>
      <c r="B183" s="38" t="s">
        <v>36</v>
      </c>
      <c r="C183" s="38" t="s">
        <v>424</v>
      </c>
      <c r="D183" s="38" t="s">
        <v>430</v>
      </c>
      <c r="E183" s="38" t="s">
        <v>431</v>
      </c>
      <c r="F183" s="38">
        <v>971</v>
      </c>
      <c r="G183" s="38">
        <v>971</v>
      </c>
      <c r="H183" s="38">
        <f t="shared" si="7"/>
        <v>1336</v>
      </c>
      <c r="I183" s="38">
        <v>862</v>
      </c>
      <c r="J183" s="38">
        <v>474</v>
      </c>
      <c r="K183" s="38">
        <v>388</v>
      </c>
      <c r="L183" s="50">
        <f t="shared" si="8"/>
        <v>29.041916167664674</v>
      </c>
      <c r="M183" s="38">
        <v>0</v>
      </c>
      <c r="N183" s="50">
        <f t="shared" si="9"/>
        <v>0</v>
      </c>
      <c r="O183" s="38">
        <v>0</v>
      </c>
      <c r="P183" s="38">
        <v>50</v>
      </c>
      <c r="Q183" s="39" t="s">
        <v>44</v>
      </c>
      <c r="R183" s="7">
        <v>45561</v>
      </c>
      <c r="S183" s="40"/>
      <c r="T183" s="39">
        <v>155.78700000000001</v>
      </c>
      <c r="U183" s="39"/>
      <c r="V183" s="39"/>
      <c r="W183" s="39"/>
      <c r="X183" s="39"/>
      <c r="Y183" s="39"/>
      <c r="Z183" s="3"/>
      <c r="AB183" s="3"/>
      <c r="AC183" s="38" t="s">
        <v>430</v>
      </c>
      <c r="AD183" s="2"/>
      <c r="AE183" s="40"/>
    </row>
    <row r="184" spans="1:31" x14ac:dyDescent="0.25">
      <c r="A184" s="38" t="s">
        <v>36</v>
      </c>
      <c r="B184" s="38" t="s">
        <v>36</v>
      </c>
      <c r="C184" s="38" t="s">
        <v>424</v>
      </c>
      <c r="D184" s="38" t="s">
        <v>432</v>
      </c>
      <c r="E184" s="38"/>
      <c r="F184" s="38"/>
      <c r="G184" s="38"/>
      <c r="H184" s="38">
        <f t="shared" si="7"/>
        <v>0</v>
      </c>
      <c r="I184" s="38"/>
      <c r="J184" s="38"/>
      <c r="K184" s="38"/>
      <c r="L184" s="50"/>
      <c r="M184" s="38"/>
      <c r="N184" s="50"/>
      <c r="O184" s="38"/>
      <c r="P184" s="38"/>
      <c r="Q184" s="39" t="s">
        <v>44</v>
      </c>
      <c r="R184" s="7">
        <v>45561</v>
      </c>
      <c r="S184" s="40"/>
      <c r="T184" s="39">
        <v>51.313299999999998</v>
      </c>
      <c r="U184" s="39"/>
      <c r="V184" s="39"/>
      <c r="W184" s="39"/>
      <c r="X184" s="39"/>
      <c r="Y184" s="39"/>
      <c r="Z184" s="3"/>
      <c r="AB184" s="3"/>
      <c r="AC184" s="38" t="s">
        <v>432</v>
      </c>
      <c r="AD184" s="2"/>
      <c r="AE184" s="40"/>
    </row>
    <row r="185" spans="1:31" x14ac:dyDescent="0.25">
      <c r="A185" s="38" t="s">
        <v>36</v>
      </c>
      <c r="B185" s="38" t="s">
        <v>36</v>
      </c>
      <c r="C185" s="38" t="s">
        <v>424</v>
      </c>
      <c r="D185" s="38" t="s">
        <v>433</v>
      </c>
      <c r="E185" s="38"/>
      <c r="F185" s="38"/>
      <c r="G185" s="38"/>
      <c r="H185" s="38">
        <f t="shared" si="7"/>
        <v>0</v>
      </c>
      <c r="I185" s="38"/>
      <c r="J185" s="38"/>
      <c r="K185" s="38"/>
      <c r="L185" s="50"/>
      <c r="M185" s="38"/>
      <c r="N185" s="50"/>
      <c r="O185" s="38"/>
      <c r="P185" s="38"/>
      <c r="Q185" s="39" t="s">
        <v>44</v>
      </c>
      <c r="R185" s="7">
        <v>45561</v>
      </c>
      <c r="S185" s="40"/>
      <c r="T185" s="39">
        <v>97.763800000000003</v>
      </c>
      <c r="U185" s="39"/>
      <c r="V185" s="39"/>
      <c r="W185" s="39"/>
      <c r="X185" s="39"/>
      <c r="Y185" s="39"/>
      <c r="Z185" s="3"/>
      <c r="AB185" s="3"/>
      <c r="AC185" s="38" t="s">
        <v>433</v>
      </c>
      <c r="AD185" s="2"/>
      <c r="AE185" s="40"/>
    </row>
    <row r="186" spans="1:31" x14ac:dyDescent="0.25">
      <c r="A186" s="38" t="s">
        <v>36</v>
      </c>
      <c r="B186" s="38" t="s">
        <v>36</v>
      </c>
      <c r="C186" s="38" t="s">
        <v>434</v>
      </c>
      <c r="D186" s="38" t="s">
        <v>435</v>
      </c>
      <c r="E186" s="38" t="s">
        <v>436</v>
      </c>
      <c r="F186" s="38">
        <v>1214.0899999999999</v>
      </c>
      <c r="G186" s="38">
        <v>1214.0899999999999</v>
      </c>
      <c r="H186" s="38">
        <f t="shared" si="7"/>
        <v>1289</v>
      </c>
      <c r="I186" s="38">
        <v>848</v>
      </c>
      <c r="J186" s="38">
        <v>441</v>
      </c>
      <c r="K186" s="38">
        <v>407</v>
      </c>
      <c r="L186" s="50">
        <f t="shared" si="8"/>
        <v>31.574864235841737</v>
      </c>
      <c r="M186" s="38">
        <v>220</v>
      </c>
      <c r="N186" s="50">
        <f t="shared" si="9"/>
        <v>17.067494181536073</v>
      </c>
      <c r="O186" s="38">
        <v>0</v>
      </c>
      <c r="P186" s="38">
        <v>0</v>
      </c>
    </row>
    <row r="187" spans="1:31" x14ac:dyDescent="0.25">
      <c r="A187" s="38" t="s">
        <v>36</v>
      </c>
      <c r="B187" s="38" t="s">
        <v>36</v>
      </c>
      <c r="C187" s="38" t="s">
        <v>434</v>
      </c>
      <c r="D187" s="38" t="s">
        <v>437</v>
      </c>
      <c r="E187" s="38" t="s">
        <v>438</v>
      </c>
      <c r="F187" s="38">
        <v>821.83</v>
      </c>
      <c r="G187" s="38">
        <v>821.83</v>
      </c>
      <c r="H187" s="38">
        <f t="shared" si="7"/>
        <v>1981</v>
      </c>
      <c r="I187" s="38">
        <v>1308</v>
      </c>
      <c r="J187" s="38">
        <v>673</v>
      </c>
      <c r="K187" s="38">
        <v>635</v>
      </c>
      <c r="L187" s="50">
        <f t="shared" si="8"/>
        <v>32.054517920242304</v>
      </c>
      <c r="M187" s="38">
        <v>89</v>
      </c>
      <c r="N187" s="50">
        <f t="shared" si="9"/>
        <v>4.4926804644119134</v>
      </c>
      <c r="O187" s="38">
        <v>0</v>
      </c>
      <c r="P187" s="38">
        <v>15.97</v>
      </c>
    </row>
    <row r="188" spans="1:31" x14ac:dyDescent="0.25">
      <c r="A188" s="38" t="s">
        <v>36</v>
      </c>
      <c r="B188" s="38" t="s">
        <v>36</v>
      </c>
      <c r="C188" s="38" t="s">
        <v>434</v>
      </c>
      <c r="D188" s="38" t="s">
        <v>439</v>
      </c>
      <c r="E188" s="38" t="s">
        <v>440</v>
      </c>
      <c r="F188" s="38">
        <v>253.55</v>
      </c>
      <c r="G188" s="38">
        <v>253.55</v>
      </c>
      <c r="H188" s="38">
        <f t="shared" si="7"/>
        <v>580</v>
      </c>
      <c r="I188" s="38">
        <v>374</v>
      </c>
      <c r="J188" s="38">
        <v>206</v>
      </c>
      <c r="K188" s="38">
        <v>168</v>
      </c>
      <c r="L188" s="50">
        <f t="shared" si="8"/>
        <v>28.965517241379313</v>
      </c>
      <c r="M188" s="38">
        <v>144</v>
      </c>
      <c r="N188" s="50">
        <f t="shared" si="9"/>
        <v>24.827586206896552</v>
      </c>
      <c r="O188" s="38">
        <v>0</v>
      </c>
      <c r="P188" s="38">
        <v>24.9</v>
      </c>
    </row>
    <row r="189" spans="1:31" x14ac:dyDescent="0.25">
      <c r="A189" s="38" t="s">
        <v>36</v>
      </c>
      <c r="B189" s="38" t="s">
        <v>36</v>
      </c>
      <c r="C189" s="38" t="s">
        <v>441</v>
      </c>
      <c r="D189" s="38" t="s">
        <v>442</v>
      </c>
      <c r="E189" s="38" t="s">
        <v>443</v>
      </c>
      <c r="F189" s="38">
        <v>1157</v>
      </c>
      <c r="G189" s="38">
        <v>1157</v>
      </c>
      <c r="H189" s="38">
        <f t="shared" si="7"/>
        <v>2061</v>
      </c>
      <c r="I189" s="38">
        <v>1348</v>
      </c>
      <c r="J189" s="38">
        <v>713</v>
      </c>
      <c r="K189" s="38">
        <v>635</v>
      </c>
      <c r="L189" s="50">
        <f t="shared" si="8"/>
        <v>30.810286268801551</v>
      </c>
      <c r="M189" s="38">
        <v>35</v>
      </c>
      <c r="N189" s="50">
        <f t="shared" si="9"/>
        <v>1.6982047549733137</v>
      </c>
      <c r="O189" s="38">
        <v>0</v>
      </c>
      <c r="P189" s="38">
        <v>0</v>
      </c>
      <c r="Q189" s="39" t="s">
        <v>44</v>
      </c>
      <c r="R189" s="7">
        <v>45567</v>
      </c>
      <c r="S189" s="40"/>
      <c r="T189" s="39">
        <v>29.1129</v>
      </c>
      <c r="U189" s="39"/>
      <c r="V189" s="39"/>
      <c r="W189" s="39"/>
      <c r="X189" s="39"/>
      <c r="Y189" s="39"/>
      <c r="Z189" s="3"/>
      <c r="AB189" s="3"/>
      <c r="AC189" s="38" t="s">
        <v>442</v>
      </c>
      <c r="AD189" s="2"/>
      <c r="AE189" s="40"/>
    </row>
    <row r="190" spans="1:31" x14ac:dyDescent="0.25">
      <c r="A190" s="38" t="s">
        <v>36</v>
      </c>
      <c r="B190" s="38" t="s">
        <v>36</v>
      </c>
      <c r="C190" s="38" t="s">
        <v>441</v>
      </c>
      <c r="D190" s="38" t="s">
        <v>444</v>
      </c>
      <c r="E190" s="38" t="s">
        <v>445</v>
      </c>
      <c r="F190" s="38">
        <v>1310</v>
      </c>
      <c r="G190" s="38">
        <v>1310</v>
      </c>
      <c r="H190" s="38">
        <f t="shared" si="7"/>
        <v>2093</v>
      </c>
      <c r="I190" s="38">
        <v>1372</v>
      </c>
      <c r="J190" s="38">
        <v>721</v>
      </c>
      <c r="K190" s="38">
        <v>651</v>
      </c>
      <c r="L190" s="50">
        <f t="shared" si="8"/>
        <v>31.103678929765888</v>
      </c>
      <c r="M190" s="38">
        <v>0</v>
      </c>
      <c r="N190" s="50">
        <f t="shared" si="9"/>
        <v>0</v>
      </c>
      <c r="O190" s="38">
        <v>0</v>
      </c>
      <c r="P190" s="38">
        <v>0</v>
      </c>
      <c r="Q190" s="39" t="s">
        <v>44</v>
      </c>
      <c r="R190" s="7">
        <v>45567</v>
      </c>
      <c r="S190" s="40"/>
      <c r="T190" s="39">
        <v>4.6943999999999999</v>
      </c>
      <c r="U190" s="39"/>
      <c r="V190" s="39"/>
      <c r="W190" s="39"/>
      <c r="X190" s="39"/>
      <c r="Y190" s="39"/>
      <c r="Z190" s="3"/>
      <c r="AB190" s="3"/>
      <c r="AC190" s="38" t="s">
        <v>444</v>
      </c>
      <c r="AD190" s="2"/>
      <c r="AE190" s="40"/>
    </row>
    <row r="191" spans="1:31" x14ac:dyDescent="0.25">
      <c r="A191" s="38" t="s">
        <v>36</v>
      </c>
      <c r="B191" s="41" t="s">
        <v>36</v>
      </c>
      <c r="C191" s="41" t="s">
        <v>446</v>
      </c>
      <c r="D191" s="41" t="s">
        <v>447</v>
      </c>
      <c r="E191" s="41" t="s">
        <v>448</v>
      </c>
      <c r="F191" s="41">
        <v>1419</v>
      </c>
      <c r="G191" s="41">
        <v>1419</v>
      </c>
      <c r="H191" s="38">
        <f t="shared" si="7"/>
        <v>1400</v>
      </c>
      <c r="I191" s="41">
        <v>935</v>
      </c>
      <c r="J191" s="41">
        <v>465</v>
      </c>
      <c r="K191" s="41">
        <v>470</v>
      </c>
      <c r="L191" s="50">
        <f t="shared" si="8"/>
        <v>33.571428571428569</v>
      </c>
      <c r="M191" s="41">
        <v>74</v>
      </c>
      <c r="N191" s="50">
        <f t="shared" si="9"/>
        <v>5.2857142857142856</v>
      </c>
      <c r="O191" s="41">
        <v>0</v>
      </c>
      <c r="P191" s="41">
        <v>5</v>
      </c>
      <c r="Q191" s="43" t="s">
        <v>44</v>
      </c>
      <c r="R191" s="24">
        <v>45567</v>
      </c>
      <c r="S191" s="44"/>
      <c r="T191" s="43">
        <v>5</v>
      </c>
      <c r="U191" s="43"/>
      <c r="V191" s="43"/>
      <c r="W191" s="43"/>
      <c r="X191" s="43"/>
      <c r="Y191" s="43"/>
      <c r="Z191" s="5"/>
      <c r="AB191" s="5">
        <v>5</v>
      </c>
      <c r="AC191" s="41" t="s">
        <v>447</v>
      </c>
      <c r="AD191" s="44">
        <v>25.479588</v>
      </c>
      <c r="AE191" s="44">
        <v>71.378144000000006</v>
      </c>
    </row>
    <row r="192" spans="1:31" x14ac:dyDescent="0.25">
      <c r="A192" s="38" t="s">
        <v>36</v>
      </c>
      <c r="B192" s="38" t="s">
        <v>36</v>
      </c>
      <c r="C192" s="38" t="s">
        <v>446</v>
      </c>
      <c r="D192" s="38" t="s">
        <v>59</v>
      </c>
      <c r="E192" s="38" t="s">
        <v>449</v>
      </c>
      <c r="F192" s="38">
        <v>825</v>
      </c>
      <c r="G192" s="38">
        <v>825</v>
      </c>
      <c r="H192" s="38">
        <f t="shared" si="7"/>
        <v>1553</v>
      </c>
      <c r="I192" s="38">
        <v>1019</v>
      </c>
      <c r="J192" s="38">
        <v>534</v>
      </c>
      <c r="K192" s="38">
        <v>485</v>
      </c>
      <c r="L192" s="50">
        <f t="shared" si="8"/>
        <v>31.229877656149391</v>
      </c>
      <c r="M192" s="38">
        <v>0</v>
      </c>
      <c r="N192" s="50">
        <f t="shared" si="9"/>
        <v>0</v>
      </c>
      <c r="O192" s="38">
        <v>0</v>
      </c>
      <c r="P192" s="38">
        <v>2</v>
      </c>
      <c r="Q192" s="39" t="s">
        <v>44</v>
      </c>
      <c r="R192" s="7">
        <v>45567</v>
      </c>
      <c r="S192" s="40"/>
      <c r="T192" s="39">
        <v>1</v>
      </c>
      <c r="U192" s="39"/>
      <c r="V192" s="39"/>
      <c r="W192" s="39"/>
      <c r="X192" s="39"/>
      <c r="Y192" s="39"/>
      <c r="Z192" s="3"/>
      <c r="AB192" s="3"/>
      <c r="AC192" s="38" t="s">
        <v>59</v>
      </c>
      <c r="AD192" s="2"/>
      <c r="AE192" s="40"/>
    </row>
    <row r="193" spans="1:31" x14ac:dyDescent="0.25">
      <c r="A193" s="38" t="s">
        <v>36</v>
      </c>
      <c r="B193" s="38" t="s">
        <v>36</v>
      </c>
      <c r="C193" s="38" t="s">
        <v>446</v>
      </c>
      <c r="D193" s="38" t="s">
        <v>450</v>
      </c>
      <c r="E193" s="38" t="s">
        <v>451</v>
      </c>
      <c r="F193" s="38">
        <v>286</v>
      </c>
      <c r="G193" s="38">
        <v>286</v>
      </c>
      <c r="H193" s="38">
        <f t="shared" si="7"/>
        <v>528</v>
      </c>
      <c r="I193" s="38">
        <v>349</v>
      </c>
      <c r="J193" s="38">
        <v>179</v>
      </c>
      <c r="K193" s="38">
        <v>170</v>
      </c>
      <c r="L193" s="50">
        <f t="shared" si="8"/>
        <v>32.196969696969695</v>
      </c>
      <c r="M193" s="38">
        <v>0</v>
      </c>
      <c r="N193" s="50">
        <f t="shared" si="9"/>
        <v>0</v>
      </c>
      <c r="O193" s="38">
        <v>0</v>
      </c>
      <c r="P193" s="38">
        <v>0</v>
      </c>
      <c r="Q193" s="39" t="s">
        <v>44</v>
      </c>
      <c r="R193" s="7">
        <v>45567</v>
      </c>
      <c r="S193" s="40"/>
      <c r="T193" s="39">
        <v>0</v>
      </c>
      <c r="U193" s="39"/>
      <c r="V193" s="39"/>
      <c r="W193" s="39"/>
      <c r="X193" s="39"/>
      <c r="Y193" s="39"/>
      <c r="Z193" s="3"/>
      <c r="AB193" s="3"/>
      <c r="AC193" s="38" t="s">
        <v>450</v>
      </c>
      <c r="AD193" s="2"/>
      <c r="AE193" s="40"/>
    </row>
    <row r="194" spans="1:31" x14ac:dyDescent="0.25">
      <c r="A194" s="38" t="s">
        <v>36</v>
      </c>
      <c r="B194" s="38" t="s">
        <v>36</v>
      </c>
      <c r="C194" s="38" t="s">
        <v>446</v>
      </c>
      <c r="D194" s="38" t="s">
        <v>65</v>
      </c>
      <c r="E194" s="38" t="s">
        <v>452</v>
      </c>
      <c r="F194" s="38">
        <v>249</v>
      </c>
      <c r="G194" s="38">
        <v>249</v>
      </c>
      <c r="H194" s="38">
        <f t="shared" si="7"/>
        <v>409</v>
      </c>
      <c r="I194" s="38">
        <v>265</v>
      </c>
      <c r="J194" s="38">
        <v>144</v>
      </c>
      <c r="K194" s="38">
        <v>121</v>
      </c>
      <c r="L194" s="50">
        <f t="shared" si="8"/>
        <v>29.584352078239608</v>
      </c>
      <c r="M194" s="38">
        <v>0</v>
      </c>
      <c r="N194" s="50">
        <f t="shared" si="9"/>
        <v>0</v>
      </c>
      <c r="O194" s="38">
        <v>0</v>
      </c>
      <c r="P194" s="38">
        <v>0</v>
      </c>
      <c r="Q194" s="39" t="s">
        <v>44</v>
      </c>
      <c r="R194" s="7">
        <v>45567</v>
      </c>
      <c r="S194" s="40"/>
      <c r="T194" s="39">
        <v>0</v>
      </c>
      <c r="U194" s="39"/>
      <c r="V194" s="39"/>
      <c r="W194" s="39"/>
      <c r="X194" s="39"/>
      <c r="Y194" s="39"/>
      <c r="Z194" s="3"/>
      <c r="AB194" s="3"/>
      <c r="AC194" s="38" t="s">
        <v>65</v>
      </c>
      <c r="AD194" s="2"/>
      <c r="AE194" s="40"/>
    </row>
    <row r="195" spans="1:31" x14ac:dyDescent="0.25">
      <c r="A195" s="38" t="s">
        <v>36</v>
      </c>
      <c r="B195" s="38" t="s">
        <v>36</v>
      </c>
      <c r="C195" s="38" t="s">
        <v>446</v>
      </c>
      <c r="D195" s="38" t="s">
        <v>453</v>
      </c>
      <c r="E195" s="38" t="s">
        <v>454</v>
      </c>
      <c r="F195" s="38">
        <v>944</v>
      </c>
      <c r="G195" s="38">
        <v>944</v>
      </c>
      <c r="H195" s="38">
        <f t="shared" si="7"/>
        <v>1481</v>
      </c>
      <c r="I195" s="38">
        <v>972</v>
      </c>
      <c r="J195" s="38">
        <v>509</v>
      </c>
      <c r="K195" s="38">
        <v>463</v>
      </c>
      <c r="L195" s="50">
        <f t="shared" si="8"/>
        <v>31.262660364618501</v>
      </c>
      <c r="M195" s="38">
        <v>32</v>
      </c>
      <c r="N195" s="50">
        <f t="shared" si="9"/>
        <v>2.160702228224173</v>
      </c>
      <c r="O195" s="38">
        <v>0</v>
      </c>
      <c r="P195" s="38">
        <v>0</v>
      </c>
      <c r="Q195" s="39" t="s">
        <v>44</v>
      </c>
      <c r="R195" s="7">
        <v>45567</v>
      </c>
      <c r="S195" s="40"/>
      <c r="T195" s="39">
        <v>1.8372999999999999</v>
      </c>
      <c r="U195" s="39"/>
      <c r="V195" s="39"/>
      <c r="W195" s="39"/>
      <c r="X195" s="39"/>
      <c r="Y195" s="39"/>
      <c r="Z195" s="3"/>
      <c r="AB195" s="3"/>
      <c r="AC195" s="38" t="s">
        <v>453</v>
      </c>
      <c r="AD195" s="2"/>
      <c r="AE195" s="40"/>
    </row>
    <row r="196" spans="1:31" x14ac:dyDescent="0.25">
      <c r="A196" s="38" t="s">
        <v>36</v>
      </c>
      <c r="B196" s="38" t="s">
        <v>36</v>
      </c>
      <c r="C196" s="38" t="s">
        <v>446</v>
      </c>
      <c r="D196" s="38" t="s">
        <v>455</v>
      </c>
      <c r="E196" s="38" t="s">
        <v>456</v>
      </c>
      <c r="F196" s="38">
        <v>608</v>
      </c>
      <c r="G196" s="38">
        <v>608</v>
      </c>
      <c r="H196" s="38">
        <f t="shared" si="7"/>
        <v>698</v>
      </c>
      <c r="I196" s="38">
        <v>457</v>
      </c>
      <c r="J196" s="38">
        <v>241</v>
      </c>
      <c r="K196" s="38">
        <v>216</v>
      </c>
      <c r="L196" s="50">
        <f t="shared" si="8"/>
        <v>30.945558739255013</v>
      </c>
      <c r="M196" s="38">
        <v>0</v>
      </c>
      <c r="N196" s="50">
        <f t="shared" si="9"/>
        <v>0</v>
      </c>
      <c r="O196" s="38">
        <v>0</v>
      </c>
      <c r="P196" s="38">
        <v>0</v>
      </c>
      <c r="Q196" s="39" t="s">
        <v>44</v>
      </c>
      <c r="R196" s="7">
        <v>45567</v>
      </c>
      <c r="S196" s="40"/>
      <c r="T196" s="39">
        <v>0</v>
      </c>
      <c r="U196" s="39"/>
      <c r="V196" s="39"/>
      <c r="W196" s="39"/>
      <c r="X196" s="39"/>
      <c r="Y196" s="39"/>
      <c r="Z196" s="3"/>
      <c r="AB196" s="3"/>
      <c r="AC196" s="38" t="s">
        <v>455</v>
      </c>
      <c r="AD196" s="2"/>
      <c r="AE196" s="40"/>
    </row>
    <row r="197" spans="1:31" x14ac:dyDescent="0.25">
      <c r="A197" s="38" t="s">
        <v>36</v>
      </c>
      <c r="B197" s="38" t="s">
        <v>36</v>
      </c>
      <c r="C197" s="38" t="s">
        <v>446</v>
      </c>
      <c r="D197" s="38" t="s">
        <v>457</v>
      </c>
      <c r="E197" s="38" t="s">
        <v>458</v>
      </c>
      <c r="F197" s="38">
        <v>1129</v>
      </c>
      <c r="G197" s="38">
        <v>1129</v>
      </c>
      <c r="H197" s="38">
        <f t="shared" ref="H197:H260" si="10">I197+J197</f>
        <v>1480</v>
      </c>
      <c r="I197" s="38">
        <v>975</v>
      </c>
      <c r="J197" s="38">
        <v>505</v>
      </c>
      <c r="K197" s="38">
        <v>470</v>
      </c>
      <c r="L197" s="50">
        <f t="shared" si="8"/>
        <v>31.756756756756754</v>
      </c>
      <c r="M197" s="38">
        <v>15</v>
      </c>
      <c r="N197" s="50">
        <f t="shared" si="9"/>
        <v>1.0135135135135136</v>
      </c>
      <c r="O197" s="38">
        <v>0</v>
      </c>
      <c r="P197" s="38">
        <v>0</v>
      </c>
      <c r="Q197" s="39" t="s">
        <v>44</v>
      </c>
      <c r="R197" s="7">
        <v>45567</v>
      </c>
      <c r="S197" s="40"/>
      <c r="T197" s="39">
        <v>0.16189999999999999</v>
      </c>
      <c r="U197" s="39"/>
      <c r="V197" s="39"/>
      <c r="W197" s="39"/>
      <c r="X197" s="39"/>
      <c r="Y197" s="39"/>
      <c r="Z197" s="3"/>
      <c r="AB197" s="3"/>
      <c r="AC197" s="38" t="s">
        <v>457</v>
      </c>
      <c r="AD197" s="2"/>
      <c r="AE197" s="40"/>
    </row>
    <row r="198" spans="1:31" x14ac:dyDescent="0.25">
      <c r="A198" s="38" t="s">
        <v>36</v>
      </c>
      <c r="B198" s="38" t="s">
        <v>36</v>
      </c>
      <c r="C198" s="38" t="s">
        <v>459</v>
      </c>
      <c r="D198" s="38" t="s">
        <v>460</v>
      </c>
      <c r="E198" s="38" t="s">
        <v>461</v>
      </c>
      <c r="F198" s="38">
        <v>921.84</v>
      </c>
      <c r="G198" s="38">
        <v>921.84</v>
      </c>
      <c r="H198" s="38">
        <f t="shared" si="10"/>
        <v>1617</v>
      </c>
      <c r="I198" s="38">
        <v>932</v>
      </c>
      <c r="J198" s="38">
        <v>685</v>
      </c>
      <c r="K198" s="38">
        <v>247</v>
      </c>
      <c r="L198" s="50">
        <f t="shared" ref="L198:L256" si="11">K198/H198*100</f>
        <v>15.275200989486704</v>
      </c>
      <c r="M198" s="38">
        <v>26</v>
      </c>
      <c r="N198" s="50">
        <f t="shared" ref="N198:N256" si="12">M198/H198*100</f>
        <v>1.6079158936301792</v>
      </c>
      <c r="O198" s="38">
        <v>0</v>
      </c>
      <c r="P198" s="38">
        <v>0</v>
      </c>
    </row>
    <row r="199" spans="1:31" x14ac:dyDescent="0.25">
      <c r="A199" s="38" t="s">
        <v>36</v>
      </c>
      <c r="B199" s="38" t="s">
        <v>36</v>
      </c>
      <c r="C199" s="38" t="s">
        <v>459</v>
      </c>
      <c r="D199" s="38" t="s">
        <v>462</v>
      </c>
      <c r="E199" s="38" t="s">
        <v>463</v>
      </c>
      <c r="F199" s="38">
        <v>299.87</v>
      </c>
      <c r="G199" s="38">
        <v>299.87</v>
      </c>
      <c r="H199" s="38">
        <f t="shared" si="10"/>
        <v>419</v>
      </c>
      <c r="I199" s="38">
        <v>275</v>
      </c>
      <c r="J199" s="38">
        <v>144</v>
      </c>
      <c r="K199" s="38">
        <v>131</v>
      </c>
      <c r="L199" s="50">
        <f t="shared" si="11"/>
        <v>31.264916467780431</v>
      </c>
      <c r="M199" s="38">
        <v>0</v>
      </c>
      <c r="N199" s="50">
        <f t="shared" si="12"/>
        <v>0</v>
      </c>
      <c r="O199" s="38">
        <v>0</v>
      </c>
      <c r="P199" s="38">
        <v>0</v>
      </c>
    </row>
    <row r="200" spans="1:31" x14ac:dyDescent="0.25">
      <c r="A200" s="38" t="s">
        <v>36</v>
      </c>
      <c r="B200" s="38" t="s">
        <v>36</v>
      </c>
      <c r="C200" s="38" t="s">
        <v>459</v>
      </c>
      <c r="D200" s="38" t="s">
        <v>464</v>
      </c>
      <c r="E200" s="38" t="s">
        <v>465</v>
      </c>
      <c r="F200" s="38">
        <v>3008.28</v>
      </c>
      <c r="G200" s="38">
        <v>3008.28</v>
      </c>
      <c r="H200" s="38">
        <f t="shared" si="10"/>
        <v>4417</v>
      </c>
      <c r="I200" s="38">
        <v>2900</v>
      </c>
      <c r="J200" s="38">
        <v>1517</v>
      </c>
      <c r="K200" s="38">
        <v>1383</v>
      </c>
      <c r="L200" s="50">
        <f t="shared" si="11"/>
        <v>31.31084446456871</v>
      </c>
      <c r="M200" s="38">
        <v>567</v>
      </c>
      <c r="N200" s="50">
        <f t="shared" si="12"/>
        <v>12.836767036450079</v>
      </c>
      <c r="O200" s="38">
        <v>0</v>
      </c>
      <c r="P200" s="38">
        <v>41.15</v>
      </c>
    </row>
    <row r="201" spans="1:31" x14ac:dyDescent="0.25">
      <c r="A201" s="38" t="s">
        <v>36</v>
      </c>
      <c r="B201" s="38" t="s">
        <v>36</v>
      </c>
      <c r="C201" s="38" t="s">
        <v>459</v>
      </c>
      <c r="D201" s="38" t="s">
        <v>466</v>
      </c>
      <c r="E201" s="38" t="s">
        <v>467</v>
      </c>
      <c r="F201" s="38">
        <v>291.3</v>
      </c>
      <c r="G201" s="38">
        <v>291.3</v>
      </c>
      <c r="H201" s="38">
        <f t="shared" si="10"/>
        <v>210</v>
      </c>
      <c r="I201" s="38">
        <v>136</v>
      </c>
      <c r="J201" s="38">
        <v>74</v>
      </c>
      <c r="K201" s="38">
        <v>62</v>
      </c>
      <c r="L201" s="50">
        <f t="shared" si="11"/>
        <v>29.523809523809526</v>
      </c>
      <c r="M201" s="38">
        <v>0</v>
      </c>
      <c r="N201" s="50">
        <f t="shared" si="12"/>
        <v>0</v>
      </c>
      <c r="O201" s="38">
        <v>0</v>
      </c>
      <c r="P201" s="38">
        <v>0</v>
      </c>
    </row>
    <row r="202" spans="1:31" x14ac:dyDescent="0.25">
      <c r="A202" s="38" t="s">
        <v>36</v>
      </c>
      <c r="B202" s="38" t="s">
        <v>36</v>
      </c>
      <c r="C202" s="38" t="s">
        <v>459</v>
      </c>
      <c r="D202" s="38" t="s">
        <v>468</v>
      </c>
      <c r="E202" s="38" t="s">
        <v>469</v>
      </c>
      <c r="F202" s="38">
        <v>1609.07</v>
      </c>
      <c r="G202" s="38">
        <v>1609.07</v>
      </c>
      <c r="H202" s="38">
        <f t="shared" si="10"/>
        <v>2349</v>
      </c>
      <c r="I202" s="38">
        <v>1469</v>
      </c>
      <c r="J202" s="38">
        <v>880</v>
      </c>
      <c r="K202" s="38">
        <v>589</v>
      </c>
      <c r="L202" s="50">
        <f t="shared" si="11"/>
        <v>25.074499787143466</v>
      </c>
      <c r="M202" s="38">
        <v>11</v>
      </c>
      <c r="N202" s="50">
        <f t="shared" si="12"/>
        <v>0.4682843763303533</v>
      </c>
      <c r="O202" s="38">
        <v>0</v>
      </c>
      <c r="P202" s="38">
        <v>0</v>
      </c>
    </row>
    <row r="203" spans="1:31" x14ac:dyDescent="0.25">
      <c r="A203" s="38" t="s">
        <v>36</v>
      </c>
      <c r="B203" s="38" t="s">
        <v>36</v>
      </c>
      <c r="C203" s="38" t="s">
        <v>459</v>
      </c>
      <c r="D203" s="38" t="s">
        <v>470</v>
      </c>
      <c r="E203" s="38" t="s">
        <v>471</v>
      </c>
      <c r="F203" s="38">
        <v>638.14</v>
      </c>
      <c r="G203" s="38">
        <v>638.14</v>
      </c>
      <c r="H203" s="38">
        <f t="shared" si="10"/>
        <v>367</v>
      </c>
      <c r="I203" s="38">
        <v>236</v>
      </c>
      <c r="J203" s="38">
        <v>131</v>
      </c>
      <c r="K203" s="38">
        <v>105</v>
      </c>
      <c r="L203" s="50">
        <f t="shared" si="11"/>
        <v>28.610354223433244</v>
      </c>
      <c r="M203" s="38">
        <v>59</v>
      </c>
      <c r="N203" s="50">
        <f t="shared" si="12"/>
        <v>16.076294277929154</v>
      </c>
      <c r="O203" s="38">
        <v>0</v>
      </c>
      <c r="P203" s="38">
        <v>0</v>
      </c>
    </row>
    <row r="204" spans="1:31" x14ac:dyDescent="0.25">
      <c r="A204" s="38" t="s">
        <v>36</v>
      </c>
      <c r="B204" s="38" t="s">
        <v>36</v>
      </c>
      <c r="C204" s="38" t="s">
        <v>459</v>
      </c>
      <c r="D204" s="38" t="s">
        <v>472</v>
      </c>
      <c r="E204" s="38" t="s">
        <v>473</v>
      </c>
      <c r="F204" s="38">
        <v>490.85</v>
      </c>
      <c r="G204" s="38">
        <v>490.85</v>
      </c>
      <c r="H204" s="38">
        <f t="shared" si="10"/>
        <v>282</v>
      </c>
      <c r="I204" s="38">
        <v>182</v>
      </c>
      <c r="J204" s="38">
        <v>100</v>
      </c>
      <c r="K204" s="38">
        <v>82</v>
      </c>
      <c r="L204" s="50">
        <f t="shared" si="11"/>
        <v>29.078014184397162</v>
      </c>
      <c r="M204" s="38">
        <v>57</v>
      </c>
      <c r="N204" s="50">
        <f t="shared" si="12"/>
        <v>20.212765957446805</v>
      </c>
      <c r="O204" s="38">
        <v>0</v>
      </c>
      <c r="P204" s="38">
        <v>0</v>
      </c>
    </row>
    <row r="205" spans="1:31" x14ac:dyDescent="0.25">
      <c r="A205" s="38" t="s">
        <v>36</v>
      </c>
      <c r="B205" s="38" t="s">
        <v>36</v>
      </c>
      <c r="C205" s="38" t="s">
        <v>459</v>
      </c>
      <c r="D205" s="38" t="s">
        <v>474</v>
      </c>
      <c r="E205" s="38" t="s">
        <v>475</v>
      </c>
      <c r="F205" s="38">
        <v>1429.94</v>
      </c>
      <c r="G205" s="38">
        <v>1429.94</v>
      </c>
      <c r="H205" s="38">
        <f t="shared" si="10"/>
        <v>1834</v>
      </c>
      <c r="I205" s="38">
        <v>1199</v>
      </c>
      <c r="J205" s="38">
        <v>635</v>
      </c>
      <c r="K205" s="38">
        <v>564</v>
      </c>
      <c r="L205" s="50">
        <f t="shared" si="11"/>
        <v>30.75245365321701</v>
      </c>
      <c r="M205" s="38">
        <v>14</v>
      </c>
      <c r="N205" s="50">
        <f t="shared" si="12"/>
        <v>0.76335877862595414</v>
      </c>
      <c r="O205" s="38">
        <v>0</v>
      </c>
      <c r="P205" s="38">
        <v>0</v>
      </c>
    </row>
    <row r="206" spans="1:31" x14ac:dyDescent="0.25">
      <c r="A206" s="38" t="s">
        <v>36</v>
      </c>
      <c r="B206" s="41" t="s">
        <v>36</v>
      </c>
      <c r="C206" s="41" t="s">
        <v>476</v>
      </c>
      <c r="D206" s="41" t="s">
        <v>477</v>
      </c>
      <c r="E206" s="41" t="s">
        <v>478</v>
      </c>
      <c r="F206" s="41">
        <v>3322</v>
      </c>
      <c r="G206" s="41">
        <v>3322</v>
      </c>
      <c r="H206" s="38">
        <f t="shared" si="10"/>
        <v>1990</v>
      </c>
      <c r="I206" s="41">
        <v>1299</v>
      </c>
      <c r="J206" s="41">
        <v>691</v>
      </c>
      <c r="K206" s="41">
        <v>608</v>
      </c>
      <c r="L206" s="50">
        <f t="shared" si="11"/>
        <v>30.552763819095478</v>
      </c>
      <c r="M206" s="41">
        <v>34</v>
      </c>
      <c r="N206" s="50">
        <f t="shared" si="12"/>
        <v>1.7085427135678393</v>
      </c>
      <c r="O206" s="41">
        <v>0</v>
      </c>
      <c r="P206" s="41">
        <v>18</v>
      </c>
      <c r="Q206" s="43" t="s">
        <v>44</v>
      </c>
      <c r="R206" s="24">
        <v>45932</v>
      </c>
      <c r="S206" s="44"/>
      <c r="T206" s="43">
        <v>70.107600000000005</v>
      </c>
      <c r="U206" s="43"/>
      <c r="V206" s="43"/>
      <c r="W206" s="43"/>
      <c r="X206" s="43"/>
      <c r="Y206" s="43"/>
      <c r="Z206" s="5"/>
      <c r="AB206" s="5">
        <v>18</v>
      </c>
      <c r="AC206" s="41" t="s">
        <v>477</v>
      </c>
      <c r="AD206" s="44">
        <v>25.685402</v>
      </c>
      <c r="AE206" s="44">
        <v>71.285331999999997</v>
      </c>
    </row>
    <row r="207" spans="1:31" x14ac:dyDescent="0.25">
      <c r="A207" s="38" t="s">
        <v>36</v>
      </c>
      <c r="B207" s="38" t="s">
        <v>36</v>
      </c>
      <c r="C207" s="38" t="s">
        <v>476</v>
      </c>
      <c r="D207" s="38" t="s">
        <v>479</v>
      </c>
      <c r="E207" s="38" t="s">
        <v>480</v>
      </c>
      <c r="F207" s="38">
        <v>953</v>
      </c>
      <c r="G207" s="38">
        <v>953</v>
      </c>
      <c r="H207" s="38">
        <f t="shared" si="10"/>
        <v>344</v>
      </c>
      <c r="I207" s="38">
        <v>216</v>
      </c>
      <c r="J207" s="38">
        <v>128</v>
      </c>
      <c r="K207" s="38">
        <v>88</v>
      </c>
      <c r="L207" s="50">
        <f t="shared" si="11"/>
        <v>25.581395348837212</v>
      </c>
      <c r="M207" s="38">
        <v>0</v>
      </c>
      <c r="N207" s="50">
        <f t="shared" si="12"/>
        <v>0</v>
      </c>
      <c r="O207" s="38">
        <v>0</v>
      </c>
      <c r="P207" s="38">
        <v>0</v>
      </c>
      <c r="Q207" s="39" t="s">
        <v>44</v>
      </c>
      <c r="R207" s="7">
        <v>45932</v>
      </c>
      <c r="S207" s="40"/>
      <c r="T207" s="39">
        <v>0</v>
      </c>
      <c r="U207" s="39"/>
      <c r="V207" s="39"/>
      <c r="W207" s="39"/>
      <c r="X207" s="39"/>
      <c r="Y207" s="39"/>
      <c r="Z207" s="3"/>
      <c r="AB207" s="3"/>
      <c r="AC207" s="38" t="s">
        <v>479</v>
      </c>
      <c r="AD207" s="2"/>
      <c r="AE207" s="40"/>
    </row>
    <row r="208" spans="1:31" x14ac:dyDescent="0.25">
      <c r="A208" s="38" t="s">
        <v>36</v>
      </c>
      <c r="B208" s="38" t="s">
        <v>36</v>
      </c>
      <c r="C208" s="38" t="s">
        <v>476</v>
      </c>
      <c r="D208" s="38" t="s">
        <v>481</v>
      </c>
      <c r="E208" s="38" t="s">
        <v>482</v>
      </c>
      <c r="F208" s="38">
        <v>991</v>
      </c>
      <c r="G208" s="38">
        <v>991</v>
      </c>
      <c r="H208" s="38">
        <f t="shared" si="10"/>
        <v>521</v>
      </c>
      <c r="I208" s="38">
        <v>337</v>
      </c>
      <c r="J208" s="38">
        <v>184</v>
      </c>
      <c r="K208" s="38">
        <v>153</v>
      </c>
      <c r="L208" s="50">
        <f t="shared" si="11"/>
        <v>29.366602687140116</v>
      </c>
      <c r="M208" s="38">
        <v>1</v>
      </c>
      <c r="N208" s="50">
        <f t="shared" si="12"/>
        <v>0.19193857965451055</v>
      </c>
      <c r="O208" s="38">
        <v>0</v>
      </c>
      <c r="P208" s="38">
        <v>0</v>
      </c>
      <c r="Q208" s="39" t="s">
        <v>44</v>
      </c>
      <c r="R208" s="7">
        <v>45932</v>
      </c>
      <c r="S208" s="40"/>
      <c r="T208" s="39">
        <v>0</v>
      </c>
      <c r="U208" s="39"/>
      <c r="V208" s="39"/>
      <c r="W208" s="39"/>
      <c r="X208" s="39"/>
      <c r="Y208" s="39"/>
      <c r="Z208" s="3"/>
      <c r="AB208" s="3"/>
      <c r="AC208" s="38" t="s">
        <v>481</v>
      </c>
      <c r="AD208" s="2"/>
      <c r="AE208" s="40"/>
    </row>
    <row r="209" spans="1:31" x14ac:dyDescent="0.25">
      <c r="A209" s="38" t="s">
        <v>36</v>
      </c>
      <c r="B209" s="38" t="s">
        <v>36</v>
      </c>
      <c r="C209" s="38" t="s">
        <v>476</v>
      </c>
      <c r="D209" s="38" t="s">
        <v>483</v>
      </c>
      <c r="E209" s="38" t="s">
        <v>484</v>
      </c>
      <c r="F209" s="38">
        <v>1009</v>
      </c>
      <c r="G209" s="38">
        <v>1009</v>
      </c>
      <c r="H209" s="38">
        <f t="shared" si="10"/>
        <v>775</v>
      </c>
      <c r="I209" s="38">
        <v>507</v>
      </c>
      <c r="J209" s="38">
        <v>268</v>
      </c>
      <c r="K209" s="38">
        <v>239</v>
      </c>
      <c r="L209" s="50">
        <f t="shared" si="11"/>
        <v>30.838709677419356</v>
      </c>
      <c r="M209" s="38">
        <v>0</v>
      </c>
      <c r="N209" s="50">
        <f t="shared" si="12"/>
        <v>0</v>
      </c>
      <c r="O209" s="38">
        <v>0</v>
      </c>
      <c r="P209" s="38">
        <v>0</v>
      </c>
      <c r="Q209" s="39" t="s">
        <v>44</v>
      </c>
      <c r="R209" s="7">
        <v>45932</v>
      </c>
      <c r="S209" s="40"/>
      <c r="T209" s="39">
        <v>11.744</v>
      </c>
      <c r="U209" s="39"/>
      <c r="V209" s="39"/>
      <c r="W209" s="39"/>
      <c r="X209" s="39"/>
      <c r="Y209" s="39"/>
      <c r="Z209" s="3"/>
      <c r="AB209" s="3"/>
      <c r="AC209" s="38" t="s">
        <v>483</v>
      </c>
      <c r="AD209" s="2"/>
      <c r="AE209" s="40"/>
    </row>
    <row r="210" spans="1:31" x14ac:dyDescent="0.25">
      <c r="A210" s="38" t="s">
        <v>36</v>
      </c>
      <c r="B210" s="38" t="s">
        <v>36</v>
      </c>
      <c r="C210" s="38" t="s">
        <v>476</v>
      </c>
      <c r="D210" s="38" t="s">
        <v>485</v>
      </c>
      <c r="E210" s="38" t="s">
        <v>486</v>
      </c>
      <c r="F210" s="38">
        <v>1177</v>
      </c>
      <c r="G210" s="38">
        <v>1177</v>
      </c>
      <c r="H210" s="38">
        <f t="shared" si="10"/>
        <v>2149</v>
      </c>
      <c r="I210" s="38">
        <v>1408</v>
      </c>
      <c r="J210" s="38">
        <v>741</v>
      </c>
      <c r="K210" s="38">
        <v>667</v>
      </c>
      <c r="L210" s="50">
        <f t="shared" si="11"/>
        <v>31.037691949744069</v>
      </c>
      <c r="M210" s="38">
        <v>20</v>
      </c>
      <c r="N210" s="50">
        <f t="shared" si="12"/>
        <v>0.93066542577943234</v>
      </c>
      <c r="O210" s="38">
        <v>0</v>
      </c>
      <c r="P210" s="38">
        <v>0</v>
      </c>
      <c r="Q210" s="39" t="s">
        <v>44</v>
      </c>
      <c r="R210" s="7">
        <v>45932</v>
      </c>
      <c r="S210" s="40"/>
      <c r="T210" s="39">
        <v>0</v>
      </c>
      <c r="U210" s="39"/>
      <c r="V210" s="39"/>
      <c r="W210" s="39"/>
      <c r="X210" s="39"/>
      <c r="Y210" s="39"/>
      <c r="Z210" s="3"/>
      <c r="AB210" s="3"/>
      <c r="AC210" s="38" t="s">
        <v>485</v>
      </c>
      <c r="AD210" s="2"/>
      <c r="AE210" s="40"/>
    </row>
    <row r="211" spans="1:31" x14ac:dyDescent="0.25">
      <c r="A211" s="38" t="s">
        <v>36</v>
      </c>
      <c r="B211" s="38" t="s">
        <v>36</v>
      </c>
      <c r="C211" s="38" t="s">
        <v>487</v>
      </c>
      <c r="D211" s="38" t="s">
        <v>488</v>
      </c>
      <c r="E211" s="38" t="s">
        <v>489</v>
      </c>
      <c r="F211" s="38">
        <v>854</v>
      </c>
      <c r="G211" s="38">
        <v>854</v>
      </c>
      <c r="H211" s="38">
        <f t="shared" si="10"/>
        <v>1699</v>
      </c>
      <c r="I211" s="38">
        <v>1118</v>
      </c>
      <c r="J211" s="38">
        <v>581</v>
      </c>
      <c r="K211" s="38">
        <v>537</v>
      </c>
      <c r="L211" s="50">
        <f t="shared" si="11"/>
        <v>31.606827545615069</v>
      </c>
      <c r="M211" s="38">
        <v>21</v>
      </c>
      <c r="N211" s="50">
        <f t="shared" si="12"/>
        <v>1.2360211889346673</v>
      </c>
      <c r="O211" s="38">
        <v>0</v>
      </c>
      <c r="P211" s="38">
        <v>23</v>
      </c>
      <c r="Q211" s="39" t="s">
        <v>44</v>
      </c>
      <c r="R211" s="7">
        <v>44585</v>
      </c>
      <c r="S211" s="40"/>
      <c r="T211" s="39">
        <v>143.75</v>
      </c>
      <c r="U211" s="39"/>
      <c r="V211" s="39"/>
      <c r="W211" s="39"/>
      <c r="X211" s="39"/>
      <c r="Y211" s="39"/>
      <c r="Z211" s="3"/>
      <c r="AB211" s="2"/>
      <c r="AC211" s="38" t="s">
        <v>488</v>
      </c>
      <c r="AD211" s="2"/>
      <c r="AE211" s="40"/>
    </row>
    <row r="212" spans="1:31" x14ac:dyDescent="0.25">
      <c r="A212" s="38" t="s">
        <v>36</v>
      </c>
      <c r="B212" s="38" t="s">
        <v>36</v>
      </c>
      <c r="C212" s="38" t="s">
        <v>487</v>
      </c>
      <c r="D212" s="38" t="s">
        <v>490</v>
      </c>
      <c r="E212" s="38" t="s">
        <v>491</v>
      </c>
      <c r="F212" s="38">
        <v>896</v>
      </c>
      <c r="G212" s="38">
        <v>896</v>
      </c>
      <c r="H212" s="38">
        <f t="shared" si="10"/>
        <v>1825</v>
      </c>
      <c r="I212" s="38">
        <v>1190</v>
      </c>
      <c r="J212" s="38">
        <v>635</v>
      </c>
      <c r="K212" s="38">
        <v>555</v>
      </c>
      <c r="L212" s="50">
        <f t="shared" si="11"/>
        <v>30.410958904109592</v>
      </c>
      <c r="M212" s="38">
        <v>187</v>
      </c>
      <c r="N212" s="50">
        <f t="shared" si="12"/>
        <v>10.246575342465754</v>
      </c>
      <c r="O212" s="38">
        <v>0</v>
      </c>
      <c r="P212" s="38">
        <v>9</v>
      </c>
      <c r="Q212" s="39" t="s">
        <v>44</v>
      </c>
      <c r="R212" s="7">
        <v>44585</v>
      </c>
      <c r="S212" s="40"/>
      <c r="T212" s="39">
        <v>56.25</v>
      </c>
      <c r="U212" s="39"/>
      <c r="V212" s="39"/>
      <c r="W212" s="39"/>
      <c r="X212" s="39"/>
      <c r="Y212" s="39"/>
      <c r="Z212" s="3"/>
      <c r="AB212" s="2"/>
      <c r="AC212" s="38" t="s">
        <v>490</v>
      </c>
      <c r="AD212" s="2"/>
      <c r="AE212" s="40"/>
    </row>
    <row r="213" spans="1:31" x14ac:dyDescent="0.25">
      <c r="A213" s="38" t="s">
        <v>36</v>
      </c>
      <c r="B213" s="38" t="s">
        <v>36</v>
      </c>
      <c r="C213" s="38" t="s">
        <v>487</v>
      </c>
      <c r="D213" s="38" t="s">
        <v>195</v>
      </c>
      <c r="E213" s="38" t="s">
        <v>492</v>
      </c>
      <c r="F213" s="38">
        <v>509</v>
      </c>
      <c r="G213" s="38">
        <v>509</v>
      </c>
      <c r="H213" s="38">
        <f t="shared" si="10"/>
        <v>627</v>
      </c>
      <c r="I213" s="38">
        <v>422</v>
      </c>
      <c r="J213" s="38">
        <v>205</v>
      </c>
      <c r="K213" s="38">
        <v>217</v>
      </c>
      <c r="L213" s="50">
        <f t="shared" si="11"/>
        <v>34.609250398724086</v>
      </c>
      <c r="M213" s="38">
        <v>98</v>
      </c>
      <c r="N213" s="50">
        <f t="shared" si="12"/>
        <v>15.629984051036683</v>
      </c>
      <c r="O213" s="38">
        <v>0</v>
      </c>
      <c r="P213" s="38">
        <v>0</v>
      </c>
      <c r="Q213" s="39" t="s">
        <v>44</v>
      </c>
      <c r="R213" s="7">
        <v>44585</v>
      </c>
      <c r="S213" s="40"/>
      <c r="T213" s="39">
        <v>0.77700000000000002</v>
      </c>
      <c r="U213" s="39"/>
      <c r="V213" s="39"/>
      <c r="W213" s="39"/>
      <c r="X213" s="39"/>
      <c r="Y213" s="39"/>
      <c r="Z213" s="3"/>
      <c r="AB213" s="2"/>
      <c r="AC213" s="38" t="s">
        <v>195</v>
      </c>
      <c r="AD213" s="2"/>
      <c r="AE213" s="40"/>
    </row>
    <row r="214" spans="1:31" x14ac:dyDescent="0.25">
      <c r="A214" s="38" t="s">
        <v>36</v>
      </c>
      <c r="B214" s="38" t="s">
        <v>36</v>
      </c>
      <c r="C214" s="38" t="s">
        <v>487</v>
      </c>
      <c r="D214" s="38" t="s">
        <v>493</v>
      </c>
      <c r="E214" s="38" t="s">
        <v>494</v>
      </c>
      <c r="F214" s="38">
        <v>534</v>
      </c>
      <c r="G214" s="38">
        <v>534</v>
      </c>
      <c r="H214" s="38">
        <f t="shared" si="10"/>
        <v>929</v>
      </c>
      <c r="I214" s="38">
        <v>602</v>
      </c>
      <c r="J214" s="38">
        <v>327</v>
      </c>
      <c r="K214" s="38">
        <v>275</v>
      </c>
      <c r="L214" s="50">
        <f t="shared" si="11"/>
        <v>29.60172228202368</v>
      </c>
      <c r="M214" s="38">
        <v>0</v>
      </c>
      <c r="N214" s="50">
        <f t="shared" si="12"/>
        <v>0</v>
      </c>
      <c r="O214" s="38">
        <v>0</v>
      </c>
      <c r="P214" s="38">
        <v>8</v>
      </c>
      <c r="Q214" s="39" t="s">
        <v>44</v>
      </c>
      <c r="R214" s="7">
        <v>44585</v>
      </c>
      <c r="S214" s="40"/>
      <c r="T214" s="39">
        <v>50</v>
      </c>
      <c r="U214" s="39"/>
      <c r="V214" s="39"/>
      <c r="W214" s="39"/>
      <c r="X214" s="39"/>
      <c r="Y214" s="39"/>
      <c r="Z214" s="3"/>
      <c r="AB214" s="2"/>
      <c r="AC214" s="38" t="s">
        <v>493</v>
      </c>
      <c r="AD214" s="2"/>
      <c r="AE214" s="40"/>
    </row>
    <row r="215" spans="1:31" x14ac:dyDescent="0.25">
      <c r="A215" s="38" t="s">
        <v>36</v>
      </c>
      <c r="B215" s="38" t="s">
        <v>36</v>
      </c>
      <c r="C215" s="38" t="s">
        <v>487</v>
      </c>
      <c r="D215" s="38" t="s">
        <v>495</v>
      </c>
      <c r="E215" s="38" t="s">
        <v>496</v>
      </c>
      <c r="F215" s="38">
        <v>637</v>
      </c>
      <c r="G215" s="38">
        <v>637</v>
      </c>
      <c r="H215" s="38">
        <f t="shared" si="10"/>
        <v>671</v>
      </c>
      <c r="I215" s="38">
        <v>441</v>
      </c>
      <c r="J215" s="38">
        <v>230</v>
      </c>
      <c r="K215" s="38">
        <v>211</v>
      </c>
      <c r="L215" s="50">
        <f t="shared" si="11"/>
        <v>31.445603576751118</v>
      </c>
      <c r="M215" s="38">
        <v>0</v>
      </c>
      <c r="N215" s="50">
        <f t="shared" si="12"/>
        <v>0</v>
      </c>
      <c r="O215" s="38">
        <v>0</v>
      </c>
      <c r="P215" s="38">
        <v>9</v>
      </c>
      <c r="Q215" s="39" t="s">
        <v>44</v>
      </c>
      <c r="R215" s="7">
        <v>44585</v>
      </c>
      <c r="S215" s="40"/>
      <c r="T215" s="39">
        <v>56.25</v>
      </c>
      <c r="U215" s="39"/>
      <c r="V215" s="39"/>
      <c r="W215" s="39"/>
      <c r="X215" s="39"/>
      <c r="Y215" s="39"/>
      <c r="Z215" s="3"/>
      <c r="AB215" s="2"/>
      <c r="AC215" s="38" t="s">
        <v>495</v>
      </c>
      <c r="AD215" s="2"/>
      <c r="AE215" s="40"/>
    </row>
    <row r="216" spans="1:31" x14ac:dyDescent="0.25">
      <c r="A216" s="38" t="s">
        <v>36</v>
      </c>
      <c r="B216" s="38" t="s">
        <v>36</v>
      </c>
      <c r="C216" s="38" t="s">
        <v>487</v>
      </c>
      <c r="D216" s="38" t="s">
        <v>497</v>
      </c>
      <c r="E216" s="38" t="s">
        <v>498</v>
      </c>
      <c r="F216" s="38">
        <v>518</v>
      </c>
      <c r="G216" s="38">
        <v>518</v>
      </c>
      <c r="H216" s="38">
        <f t="shared" si="10"/>
        <v>725</v>
      </c>
      <c r="I216" s="38">
        <v>475</v>
      </c>
      <c r="J216" s="38">
        <v>250</v>
      </c>
      <c r="K216" s="38">
        <v>225</v>
      </c>
      <c r="L216" s="50">
        <f t="shared" si="11"/>
        <v>31.03448275862069</v>
      </c>
      <c r="M216" s="38">
        <v>0</v>
      </c>
      <c r="N216" s="50">
        <f t="shared" si="12"/>
        <v>0</v>
      </c>
      <c r="O216" s="38">
        <v>0</v>
      </c>
      <c r="P216" s="38">
        <v>9</v>
      </c>
      <c r="Q216" s="39" t="s">
        <v>44</v>
      </c>
      <c r="R216" s="7">
        <v>44585</v>
      </c>
      <c r="S216" s="40"/>
      <c r="T216" s="39">
        <v>56.25</v>
      </c>
      <c r="U216" s="39"/>
      <c r="V216" s="39"/>
      <c r="W216" s="39"/>
      <c r="X216" s="39"/>
      <c r="Y216" s="39"/>
      <c r="Z216" s="3"/>
      <c r="AB216" s="2"/>
      <c r="AC216" s="38" t="s">
        <v>497</v>
      </c>
      <c r="AD216" s="2"/>
      <c r="AE216" s="40"/>
    </row>
    <row r="217" spans="1:31" x14ac:dyDescent="0.25">
      <c r="A217" s="38" t="s">
        <v>36</v>
      </c>
      <c r="B217" s="38" t="s">
        <v>36</v>
      </c>
      <c r="C217" s="38" t="s">
        <v>499</v>
      </c>
      <c r="D217" s="38" t="s">
        <v>499</v>
      </c>
      <c r="E217" s="38" t="s">
        <v>500</v>
      </c>
      <c r="F217" s="38">
        <v>1034</v>
      </c>
      <c r="G217" s="38">
        <v>1034</v>
      </c>
      <c r="H217" s="38">
        <f t="shared" si="10"/>
        <v>1369</v>
      </c>
      <c r="I217" s="38">
        <v>893</v>
      </c>
      <c r="J217" s="38">
        <v>476</v>
      </c>
      <c r="K217" s="38">
        <v>417</v>
      </c>
      <c r="L217" s="50">
        <f t="shared" si="11"/>
        <v>30.460189919649377</v>
      </c>
      <c r="M217" s="38">
        <v>149</v>
      </c>
      <c r="N217" s="50">
        <f t="shared" si="12"/>
        <v>10.883856829802776</v>
      </c>
      <c r="O217" s="38">
        <v>0</v>
      </c>
      <c r="P217" s="38">
        <v>39</v>
      </c>
      <c r="Q217" s="39" t="s">
        <v>44</v>
      </c>
      <c r="R217" s="7">
        <v>45454</v>
      </c>
      <c r="S217" s="40"/>
      <c r="T217" s="39">
        <v>89.322000000000003</v>
      </c>
      <c r="U217" s="39"/>
      <c r="V217" s="39"/>
      <c r="W217" s="39"/>
      <c r="X217" s="39"/>
      <c r="Y217" s="39"/>
      <c r="Z217" s="3"/>
      <c r="AB217" s="2"/>
      <c r="AC217" s="38" t="s">
        <v>499</v>
      </c>
      <c r="AD217" s="2"/>
      <c r="AE217" s="40"/>
    </row>
    <row r="218" spans="1:31" x14ac:dyDescent="0.25">
      <c r="A218" s="38" t="s">
        <v>36</v>
      </c>
      <c r="B218" s="41" t="s">
        <v>36</v>
      </c>
      <c r="C218" s="41" t="s">
        <v>499</v>
      </c>
      <c r="D218" s="41" t="s">
        <v>501</v>
      </c>
      <c r="E218" s="41" t="s">
        <v>502</v>
      </c>
      <c r="F218" s="41">
        <v>2636</v>
      </c>
      <c r="G218" s="41">
        <v>2636</v>
      </c>
      <c r="H218" s="38">
        <f t="shared" si="10"/>
        <v>1258</v>
      </c>
      <c r="I218" s="41">
        <v>803</v>
      </c>
      <c r="J218" s="41">
        <v>455</v>
      </c>
      <c r="K218" s="41">
        <v>348</v>
      </c>
      <c r="L218" s="50">
        <f t="shared" si="11"/>
        <v>27.662957074721778</v>
      </c>
      <c r="M218" s="41">
        <v>95</v>
      </c>
      <c r="N218" s="50">
        <f t="shared" si="12"/>
        <v>7.5516693163751993</v>
      </c>
      <c r="O218" s="41">
        <v>0</v>
      </c>
      <c r="P218" s="41">
        <v>27</v>
      </c>
      <c r="Q218" s="43" t="s">
        <v>44</v>
      </c>
      <c r="R218" s="24">
        <v>45454</v>
      </c>
      <c r="S218" s="44"/>
      <c r="T218" s="43">
        <v>29.809100000000001</v>
      </c>
      <c r="U218" s="43"/>
      <c r="V218" s="43"/>
      <c r="W218" s="43"/>
      <c r="X218" s="43"/>
      <c r="Y218" s="43"/>
      <c r="Z218" s="5"/>
      <c r="AB218" s="44">
        <v>29</v>
      </c>
      <c r="AC218" s="41" t="s">
        <v>501</v>
      </c>
      <c r="AD218" s="44">
        <v>25.893345400000001</v>
      </c>
      <c r="AE218" s="44">
        <v>71.108572300000006</v>
      </c>
    </row>
    <row r="219" spans="1:31" x14ac:dyDescent="0.25">
      <c r="A219" s="38" t="s">
        <v>36</v>
      </c>
      <c r="B219" s="38" t="s">
        <v>36</v>
      </c>
      <c r="C219" s="38" t="s">
        <v>499</v>
      </c>
      <c r="D219" s="38" t="s">
        <v>503</v>
      </c>
      <c r="E219" s="38" t="s">
        <v>504</v>
      </c>
      <c r="F219" s="38">
        <v>2538</v>
      </c>
      <c r="G219" s="38">
        <v>2538</v>
      </c>
      <c r="H219" s="38">
        <f t="shared" si="10"/>
        <v>2011</v>
      </c>
      <c r="I219" s="38">
        <v>1300</v>
      </c>
      <c r="J219" s="38">
        <v>711</v>
      </c>
      <c r="K219" s="38">
        <v>589</v>
      </c>
      <c r="L219" s="50">
        <f t="shared" si="11"/>
        <v>29.288910989557433</v>
      </c>
      <c r="M219" s="38">
        <v>1</v>
      </c>
      <c r="N219" s="50">
        <f t="shared" si="12"/>
        <v>4.9726504226752857E-2</v>
      </c>
      <c r="O219" s="38">
        <v>0</v>
      </c>
      <c r="P219" s="38">
        <v>77</v>
      </c>
      <c r="Q219" s="39" t="s">
        <v>44</v>
      </c>
      <c r="R219" s="7">
        <v>45454</v>
      </c>
      <c r="S219" s="40"/>
      <c r="T219" s="39">
        <v>90.341800000000006</v>
      </c>
      <c r="U219" s="39"/>
      <c r="V219" s="39"/>
      <c r="W219" s="39"/>
      <c r="X219" s="39"/>
      <c r="Y219" s="39"/>
      <c r="Z219" s="3"/>
      <c r="AB219" s="2"/>
      <c r="AC219" s="38" t="s">
        <v>503</v>
      </c>
      <c r="AD219" s="2"/>
      <c r="AE219" s="40"/>
    </row>
    <row r="220" spans="1:31" x14ac:dyDescent="0.25">
      <c r="A220" s="38" t="s">
        <v>36</v>
      </c>
      <c r="B220" s="41" t="s">
        <v>36</v>
      </c>
      <c r="C220" s="41" t="s">
        <v>505</v>
      </c>
      <c r="D220" s="41" t="s">
        <v>505</v>
      </c>
      <c r="E220" s="41" t="s">
        <v>506</v>
      </c>
      <c r="F220" s="41">
        <v>1099.55</v>
      </c>
      <c r="G220" s="41">
        <v>1099.55</v>
      </c>
      <c r="H220" s="38">
        <f t="shared" si="10"/>
        <v>2605</v>
      </c>
      <c r="I220" s="41">
        <v>1708</v>
      </c>
      <c r="J220" s="41">
        <v>897</v>
      </c>
      <c r="K220" s="41">
        <v>811</v>
      </c>
      <c r="L220" s="50">
        <f t="shared" si="11"/>
        <v>31.13243761996161</v>
      </c>
      <c r="M220" s="41">
        <v>18</v>
      </c>
      <c r="N220" s="50">
        <f t="shared" si="12"/>
        <v>0.69097888675623798</v>
      </c>
      <c r="O220" s="41">
        <v>3.88</v>
      </c>
      <c r="P220" s="41">
        <v>0</v>
      </c>
      <c r="Q220" s="43" t="s">
        <v>44</v>
      </c>
      <c r="R220" s="24">
        <v>45299</v>
      </c>
      <c r="S220" s="44"/>
      <c r="T220" s="43">
        <v>49.962400000000002</v>
      </c>
      <c r="U220" s="43"/>
      <c r="V220" s="43"/>
      <c r="W220" s="43"/>
      <c r="X220" s="43"/>
      <c r="Y220" s="43"/>
      <c r="Z220" s="5"/>
      <c r="AB220" s="5">
        <v>30</v>
      </c>
      <c r="AC220" s="41" t="s">
        <v>505</v>
      </c>
      <c r="AD220" s="44">
        <v>25.711334000000001</v>
      </c>
      <c r="AE220" s="44">
        <v>71.336832000000001</v>
      </c>
    </row>
    <row r="221" spans="1:31" x14ac:dyDescent="0.25">
      <c r="A221" s="38" t="s">
        <v>36</v>
      </c>
      <c r="B221" s="38" t="s">
        <v>36</v>
      </c>
      <c r="C221" s="38" t="s">
        <v>505</v>
      </c>
      <c r="D221" s="38" t="s">
        <v>507</v>
      </c>
      <c r="E221" s="38" t="s">
        <v>508</v>
      </c>
      <c r="F221" s="38">
        <v>831.58</v>
      </c>
      <c r="G221" s="38">
        <v>831.58</v>
      </c>
      <c r="H221" s="38">
        <f t="shared" si="10"/>
        <v>554</v>
      </c>
      <c r="I221" s="38">
        <v>359</v>
      </c>
      <c r="J221" s="38">
        <v>195</v>
      </c>
      <c r="K221" s="38">
        <v>164</v>
      </c>
      <c r="L221" s="50">
        <f t="shared" si="11"/>
        <v>29.602888086642597</v>
      </c>
      <c r="M221" s="38">
        <v>0</v>
      </c>
      <c r="N221" s="50">
        <f t="shared" si="12"/>
        <v>0</v>
      </c>
      <c r="O221" s="38">
        <v>0</v>
      </c>
      <c r="P221" s="38">
        <v>0</v>
      </c>
      <c r="Q221" s="39" t="s">
        <v>44</v>
      </c>
      <c r="R221" s="7">
        <v>45299</v>
      </c>
      <c r="S221" s="40"/>
      <c r="T221" s="39">
        <v>0.56659999999999999</v>
      </c>
      <c r="U221" s="39"/>
      <c r="V221" s="39"/>
      <c r="W221" s="39"/>
      <c r="X221" s="39"/>
      <c r="Y221" s="39"/>
      <c r="Z221" s="3"/>
      <c r="AB221" s="3"/>
      <c r="AC221" s="38" t="s">
        <v>507</v>
      </c>
      <c r="AD221" s="2"/>
      <c r="AE221" s="40"/>
    </row>
    <row r="222" spans="1:31" x14ac:dyDescent="0.25">
      <c r="A222" s="38" t="s">
        <v>36</v>
      </c>
      <c r="B222" s="38" t="s">
        <v>36</v>
      </c>
      <c r="C222" s="38" t="s">
        <v>505</v>
      </c>
      <c r="D222" s="38" t="s">
        <v>509</v>
      </c>
      <c r="E222" s="38" t="s">
        <v>510</v>
      </c>
      <c r="F222" s="38">
        <v>604.04999999999995</v>
      </c>
      <c r="G222" s="38">
        <v>604.04999999999995</v>
      </c>
      <c r="H222" s="38">
        <f t="shared" si="10"/>
        <v>1052</v>
      </c>
      <c r="I222" s="38">
        <v>683</v>
      </c>
      <c r="J222" s="38">
        <v>369</v>
      </c>
      <c r="K222" s="38">
        <v>314</v>
      </c>
      <c r="L222" s="50">
        <f t="shared" si="11"/>
        <v>29.84790874524715</v>
      </c>
      <c r="M222" s="38">
        <v>0</v>
      </c>
      <c r="N222" s="50">
        <f t="shared" si="12"/>
        <v>0</v>
      </c>
      <c r="O222" s="38">
        <v>0</v>
      </c>
      <c r="P222" s="38">
        <v>8.0399999999999991</v>
      </c>
      <c r="Q222" s="39" t="s">
        <v>44</v>
      </c>
      <c r="R222" s="7">
        <v>45299</v>
      </c>
      <c r="S222" s="40"/>
      <c r="T222" s="39">
        <v>92.111900000000006</v>
      </c>
      <c r="U222" s="39"/>
      <c r="V222" s="39"/>
      <c r="W222" s="39"/>
      <c r="X222" s="39"/>
      <c r="Y222" s="39"/>
      <c r="Z222" s="3"/>
      <c r="AB222" s="3"/>
      <c r="AC222" s="38" t="s">
        <v>509</v>
      </c>
      <c r="AD222" s="2"/>
      <c r="AE222" s="40"/>
    </row>
    <row r="223" spans="1:31" x14ac:dyDescent="0.25">
      <c r="A223" s="38" t="s">
        <v>36</v>
      </c>
      <c r="B223" s="41" t="s">
        <v>36</v>
      </c>
      <c r="C223" s="41" t="s">
        <v>511</v>
      </c>
      <c r="D223" s="41" t="s">
        <v>511</v>
      </c>
      <c r="E223" s="41" t="s">
        <v>512</v>
      </c>
      <c r="F223" s="41">
        <v>1027.75</v>
      </c>
      <c r="G223" s="41">
        <v>1027.75</v>
      </c>
      <c r="H223" s="38">
        <f t="shared" si="10"/>
        <v>1160</v>
      </c>
      <c r="I223" s="41">
        <v>746</v>
      </c>
      <c r="J223" s="41">
        <v>414</v>
      </c>
      <c r="K223" s="41">
        <v>332</v>
      </c>
      <c r="L223" s="50">
        <f t="shared" si="11"/>
        <v>28.620689655172416</v>
      </c>
      <c r="M223" s="41">
        <v>18</v>
      </c>
      <c r="N223" s="50">
        <f t="shared" si="12"/>
        <v>1.5517241379310345</v>
      </c>
      <c r="O223" s="41">
        <v>0</v>
      </c>
      <c r="P223" s="41">
        <v>6</v>
      </c>
      <c r="Q223" s="43" t="s">
        <v>44</v>
      </c>
      <c r="R223" s="27">
        <v>45201</v>
      </c>
      <c r="S223" s="44"/>
      <c r="T223" s="43">
        <v>6.1836000000000002</v>
      </c>
      <c r="U223" s="43"/>
      <c r="V223" s="43"/>
      <c r="W223" s="43"/>
      <c r="X223" s="43"/>
      <c r="Y223" s="43"/>
      <c r="Z223" s="5"/>
      <c r="AB223" s="5">
        <v>6</v>
      </c>
      <c r="AC223" s="45" t="s">
        <v>513</v>
      </c>
      <c r="AD223" s="44">
        <v>25.783888000000001</v>
      </c>
      <c r="AE223" s="44">
        <v>71.321530999999993</v>
      </c>
    </row>
    <row r="224" spans="1:31" x14ac:dyDescent="0.25">
      <c r="A224" s="38" t="s">
        <v>36</v>
      </c>
      <c r="B224" s="41" t="s">
        <v>36</v>
      </c>
      <c r="C224" s="41" t="s">
        <v>511</v>
      </c>
      <c r="D224" s="41" t="s">
        <v>514</v>
      </c>
      <c r="E224" s="41" t="s">
        <v>515</v>
      </c>
      <c r="F224" s="41">
        <v>992.55</v>
      </c>
      <c r="G224" s="41">
        <v>992.55</v>
      </c>
      <c r="H224" s="38">
        <f t="shared" si="10"/>
        <v>1066</v>
      </c>
      <c r="I224" s="41">
        <v>695</v>
      </c>
      <c r="J224" s="41">
        <v>371</v>
      </c>
      <c r="K224" s="41">
        <v>324</v>
      </c>
      <c r="L224" s="50">
        <f t="shared" si="11"/>
        <v>30.393996247654787</v>
      </c>
      <c r="M224" s="41">
        <v>20</v>
      </c>
      <c r="N224" s="50">
        <f t="shared" si="12"/>
        <v>1.876172607879925</v>
      </c>
      <c r="O224" s="41">
        <v>0</v>
      </c>
      <c r="P224" s="41">
        <v>27</v>
      </c>
      <c r="Q224" s="43" t="s">
        <v>44</v>
      </c>
      <c r="R224" s="27">
        <v>45201</v>
      </c>
      <c r="S224" s="44"/>
      <c r="T224" s="43">
        <v>25</v>
      </c>
      <c r="U224" s="43"/>
      <c r="V224" s="43"/>
      <c r="W224" s="43"/>
      <c r="X224" s="43"/>
      <c r="Y224" s="43"/>
      <c r="Z224" s="5"/>
      <c r="AB224" s="5">
        <v>19</v>
      </c>
      <c r="AC224" s="82" t="s">
        <v>516</v>
      </c>
      <c r="AD224" s="44">
        <v>25.811809</v>
      </c>
      <c r="AE224" s="44">
        <v>71.305154000000002</v>
      </c>
    </row>
    <row r="225" spans="1:31" x14ac:dyDescent="0.25">
      <c r="A225" s="38" t="s">
        <v>36</v>
      </c>
      <c r="B225" s="38" t="s">
        <v>36</v>
      </c>
      <c r="C225" s="38" t="s">
        <v>511</v>
      </c>
      <c r="D225" s="38" t="s">
        <v>517</v>
      </c>
      <c r="E225" s="38" t="s">
        <v>518</v>
      </c>
      <c r="F225" s="38">
        <v>1408.65</v>
      </c>
      <c r="G225" s="38">
        <v>1408.65</v>
      </c>
      <c r="H225" s="38">
        <f t="shared" si="10"/>
        <v>1431</v>
      </c>
      <c r="I225" s="38">
        <v>920</v>
      </c>
      <c r="J225" s="38">
        <v>511</v>
      </c>
      <c r="K225" s="38">
        <v>409</v>
      </c>
      <c r="L225" s="50">
        <f t="shared" si="11"/>
        <v>28.581411600279527</v>
      </c>
      <c r="M225" s="38">
        <v>66</v>
      </c>
      <c r="N225" s="50">
        <f t="shared" si="12"/>
        <v>4.6121593291404608</v>
      </c>
      <c r="O225" s="38">
        <v>0</v>
      </c>
      <c r="P225" s="38">
        <v>0</v>
      </c>
      <c r="Q225" s="39" t="s">
        <v>44</v>
      </c>
      <c r="R225" s="25">
        <v>45201</v>
      </c>
      <c r="S225" s="40"/>
      <c r="T225" s="39">
        <v>1.34</v>
      </c>
      <c r="U225" s="39"/>
      <c r="V225" s="39"/>
      <c r="W225" s="39"/>
      <c r="X225" s="39"/>
      <c r="Y225" s="39"/>
      <c r="Z225" s="3"/>
      <c r="AB225" s="3"/>
      <c r="AC225" s="60" t="s">
        <v>519</v>
      </c>
      <c r="AD225" s="2"/>
      <c r="AE225" s="40"/>
    </row>
    <row r="226" spans="1:31" x14ac:dyDescent="0.25">
      <c r="A226" s="38" t="s">
        <v>36</v>
      </c>
      <c r="B226" s="38" t="s">
        <v>36</v>
      </c>
      <c r="C226" s="38" t="s">
        <v>511</v>
      </c>
      <c r="D226" s="38" t="s">
        <v>520</v>
      </c>
      <c r="E226" s="38" t="s">
        <v>521</v>
      </c>
      <c r="F226" s="38">
        <v>781</v>
      </c>
      <c r="G226" s="38">
        <v>781</v>
      </c>
      <c r="H226" s="38">
        <f t="shared" si="10"/>
        <v>719</v>
      </c>
      <c r="I226" s="38">
        <v>468</v>
      </c>
      <c r="J226" s="38">
        <v>251</v>
      </c>
      <c r="K226" s="38">
        <v>217</v>
      </c>
      <c r="L226" s="50">
        <f t="shared" si="11"/>
        <v>30.180806675938804</v>
      </c>
      <c r="M226" s="38">
        <v>0</v>
      </c>
      <c r="N226" s="50">
        <f t="shared" si="12"/>
        <v>0</v>
      </c>
      <c r="O226" s="38">
        <v>0</v>
      </c>
      <c r="P226" s="38">
        <v>0</v>
      </c>
      <c r="Q226" s="39" t="s">
        <v>44</v>
      </c>
      <c r="R226" s="25">
        <v>45201</v>
      </c>
      <c r="S226" s="40"/>
      <c r="T226" s="39">
        <v>1.35</v>
      </c>
      <c r="U226" s="39"/>
      <c r="V226" s="39"/>
      <c r="W226" s="39"/>
      <c r="X226" s="39"/>
      <c r="Y226" s="39"/>
      <c r="Z226" s="3"/>
      <c r="AB226" s="3"/>
      <c r="AC226" s="60" t="s">
        <v>522</v>
      </c>
      <c r="AD226" s="2"/>
      <c r="AE226" s="40"/>
    </row>
    <row r="227" spans="1:31" x14ac:dyDescent="0.25">
      <c r="A227" s="38" t="s">
        <v>36</v>
      </c>
      <c r="B227" s="38" t="s">
        <v>36</v>
      </c>
      <c r="C227" s="38" t="s">
        <v>523</v>
      </c>
      <c r="D227" s="38" t="s">
        <v>524</v>
      </c>
      <c r="E227" s="38" t="s">
        <v>525</v>
      </c>
      <c r="F227" s="38">
        <v>1983.13</v>
      </c>
      <c r="G227" s="38">
        <v>1983.13</v>
      </c>
      <c r="H227" s="38">
        <f t="shared" si="10"/>
        <v>2990</v>
      </c>
      <c r="I227" s="38">
        <v>1976</v>
      </c>
      <c r="J227" s="38">
        <v>1014</v>
      </c>
      <c r="K227" s="38">
        <v>962</v>
      </c>
      <c r="L227" s="50">
        <f t="shared" si="11"/>
        <v>32.173913043478258</v>
      </c>
      <c r="M227" s="38">
        <v>265</v>
      </c>
      <c r="N227" s="50">
        <f t="shared" si="12"/>
        <v>8.8628762541806019</v>
      </c>
      <c r="O227" s="38">
        <v>0</v>
      </c>
      <c r="P227" s="38">
        <v>59.03</v>
      </c>
      <c r="Q227" s="98" t="s">
        <v>44</v>
      </c>
      <c r="R227" s="7">
        <v>45177</v>
      </c>
      <c r="S227" s="99"/>
      <c r="T227" s="98">
        <v>79.099999999999994</v>
      </c>
      <c r="U227" s="98"/>
      <c r="V227" s="98"/>
      <c r="W227" s="98"/>
      <c r="X227" s="98"/>
      <c r="Y227" s="98"/>
      <c r="Z227" s="20"/>
      <c r="AB227" s="20"/>
      <c r="AC227" s="11" t="s">
        <v>524</v>
      </c>
      <c r="AD227" s="61"/>
      <c r="AE227" s="99"/>
    </row>
    <row r="228" spans="1:31" x14ac:dyDescent="0.25">
      <c r="A228" s="38" t="s">
        <v>36</v>
      </c>
      <c r="B228" s="38" t="s">
        <v>36</v>
      </c>
      <c r="C228" s="38" t="s">
        <v>523</v>
      </c>
      <c r="D228" s="38" t="s">
        <v>526</v>
      </c>
      <c r="E228" s="38" t="s">
        <v>527</v>
      </c>
      <c r="F228" s="38">
        <v>1075.74</v>
      </c>
      <c r="G228" s="38">
        <v>1075.74</v>
      </c>
      <c r="H228" s="38">
        <f t="shared" si="10"/>
        <v>2203</v>
      </c>
      <c r="I228" s="38">
        <v>1445</v>
      </c>
      <c r="J228" s="38">
        <v>758</v>
      </c>
      <c r="K228" s="38">
        <v>687</v>
      </c>
      <c r="L228" s="50">
        <f t="shared" si="11"/>
        <v>31.184748070812528</v>
      </c>
      <c r="M228" s="38">
        <v>245</v>
      </c>
      <c r="N228" s="50">
        <f t="shared" si="12"/>
        <v>11.12119836586473</v>
      </c>
      <c r="O228" s="38">
        <v>2</v>
      </c>
      <c r="P228" s="38">
        <v>0</v>
      </c>
      <c r="Q228" s="98" t="s">
        <v>44</v>
      </c>
      <c r="R228" s="7">
        <v>45177</v>
      </c>
      <c r="S228" s="99"/>
      <c r="T228" s="98">
        <v>0</v>
      </c>
      <c r="U228" s="98"/>
      <c r="V228" s="98"/>
      <c r="W228" s="98"/>
      <c r="X228" s="98"/>
      <c r="Y228" s="98"/>
      <c r="Z228" s="20"/>
      <c r="AB228" s="20"/>
      <c r="AC228" s="11" t="s">
        <v>528</v>
      </c>
      <c r="AD228" s="61"/>
      <c r="AE228" s="99"/>
    </row>
    <row r="229" spans="1:31" x14ac:dyDescent="0.25">
      <c r="A229" s="38" t="s">
        <v>36</v>
      </c>
      <c r="B229" s="38" t="s">
        <v>36</v>
      </c>
      <c r="C229" s="38" t="s">
        <v>523</v>
      </c>
      <c r="D229" s="11" t="s">
        <v>529</v>
      </c>
      <c r="E229" s="38"/>
      <c r="F229" s="38"/>
      <c r="G229" s="38"/>
      <c r="H229" s="38">
        <f t="shared" si="10"/>
        <v>0</v>
      </c>
      <c r="I229" s="38"/>
      <c r="J229" s="38"/>
      <c r="K229" s="38"/>
      <c r="L229" s="50"/>
      <c r="M229" s="38"/>
      <c r="N229" s="50"/>
      <c r="O229" s="38"/>
      <c r="P229" s="38"/>
      <c r="Q229" s="98" t="s">
        <v>44</v>
      </c>
      <c r="R229" s="7">
        <v>45177</v>
      </c>
      <c r="S229" s="99"/>
      <c r="T229" s="98">
        <v>0</v>
      </c>
      <c r="U229" s="98"/>
      <c r="V229" s="98"/>
      <c r="W229" s="98"/>
      <c r="X229" s="98"/>
      <c r="Y229" s="98"/>
      <c r="Z229" s="20"/>
      <c r="AB229" s="20"/>
      <c r="AC229" s="11" t="s">
        <v>529</v>
      </c>
      <c r="AD229" s="61"/>
      <c r="AE229" s="99"/>
    </row>
    <row r="230" spans="1:31" x14ac:dyDescent="0.25">
      <c r="A230" s="38" t="s">
        <v>36</v>
      </c>
      <c r="B230" s="38" t="s">
        <v>36</v>
      </c>
      <c r="C230" s="38" t="s">
        <v>523</v>
      </c>
      <c r="D230" s="11" t="s">
        <v>530</v>
      </c>
      <c r="E230" s="38"/>
      <c r="F230" s="38"/>
      <c r="G230" s="38"/>
      <c r="H230" s="38">
        <f t="shared" si="10"/>
        <v>0</v>
      </c>
      <c r="I230" s="38"/>
      <c r="J230" s="38"/>
      <c r="K230" s="38"/>
      <c r="L230" s="50"/>
      <c r="M230" s="38"/>
      <c r="N230" s="50"/>
      <c r="O230" s="38"/>
      <c r="P230" s="38"/>
      <c r="Q230" s="98" t="s">
        <v>44</v>
      </c>
      <c r="R230" s="7">
        <v>45177</v>
      </c>
      <c r="S230" s="99"/>
      <c r="T230" s="98">
        <v>0</v>
      </c>
      <c r="U230" s="98"/>
      <c r="V230" s="98"/>
      <c r="W230" s="98"/>
      <c r="X230" s="98"/>
      <c r="Y230" s="98"/>
      <c r="Z230" s="20"/>
      <c r="AB230" s="20"/>
      <c r="AC230" s="11" t="s">
        <v>530</v>
      </c>
      <c r="AD230" s="61"/>
      <c r="AE230" s="99"/>
    </row>
    <row r="231" spans="1:31" x14ac:dyDescent="0.25">
      <c r="A231" s="38" t="s">
        <v>36</v>
      </c>
      <c r="B231" s="38" t="s">
        <v>36</v>
      </c>
      <c r="C231" s="38" t="s">
        <v>523</v>
      </c>
      <c r="D231" s="11" t="s">
        <v>531</v>
      </c>
      <c r="E231" s="38"/>
      <c r="F231" s="38"/>
      <c r="G231" s="38"/>
      <c r="H231" s="38">
        <f t="shared" si="10"/>
        <v>0</v>
      </c>
      <c r="I231" s="38"/>
      <c r="J231" s="38"/>
      <c r="K231" s="38"/>
      <c r="L231" s="50"/>
      <c r="M231" s="38"/>
      <c r="N231" s="50"/>
      <c r="O231" s="38"/>
      <c r="P231" s="38"/>
      <c r="Q231" s="98" t="s">
        <v>44</v>
      </c>
      <c r="R231" s="7">
        <v>45177</v>
      </c>
      <c r="S231" s="99"/>
      <c r="T231" s="98">
        <v>0</v>
      </c>
      <c r="U231" s="98"/>
      <c r="V231" s="98"/>
      <c r="W231" s="98"/>
      <c r="X231" s="98"/>
      <c r="Y231" s="98"/>
      <c r="Z231" s="20"/>
      <c r="AB231" s="20"/>
      <c r="AC231" s="11" t="s">
        <v>531</v>
      </c>
      <c r="AD231" s="61"/>
      <c r="AE231" s="99"/>
    </row>
    <row r="232" spans="1:31" ht="28.5" x14ac:dyDescent="0.25">
      <c r="A232" s="38" t="s">
        <v>36</v>
      </c>
      <c r="B232" s="41" t="s">
        <v>36</v>
      </c>
      <c r="C232" s="41" t="s">
        <v>532</v>
      </c>
      <c r="D232" s="41" t="s">
        <v>533</v>
      </c>
      <c r="E232" s="41" t="s">
        <v>534</v>
      </c>
      <c r="F232" s="41">
        <v>590.73</v>
      </c>
      <c r="G232" s="41">
        <v>590.73</v>
      </c>
      <c r="H232" s="38">
        <f t="shared" si="10"/>
        <v>1734</v>
      </c>
      <c r="I232" s="41">
        <v>1116</v>
      </c>
      <c r="J232" s="41">
        <v>618</v>
      </c>
      <c r="K232" s="41">
        <v>498</v>
      </c>
      <c r="L232" s="50">
        <f t="shared" si="11"/>
        <v>28.719723183391004</v>
      </c>
      <c r="M232" s="41">
        <v>254</v>
      </c>
      <c r="N232" s="50">
        <f t="shared" si="12"/>
        <v>14.648212226066898</v>
      </c>
      <c r="O232" s="41">
        <v>0</v>
      </c>
      <c r="P232" s="41">
        <v>66.510000000000005</v>
      </c>
      <c r="Q232" s="48" t="s">
        <v>43</v>
      </c>
      <c r="R232" s="31">
        <v>44573</v>
      </c>
      <c r="S232" s="48"/>
      <c r="T232" s="48">
        <v>12.5</v>
      </c>
      <c r="U232" s="48"/>
      <c r="V232" s="48"/>
      <c r="W232" s="48"/>
      <c r="X232" s="48"/>
      <c r="Y232" s="48"/>
      <c r="Z232" s="80"/>
      <c r="AB232" s="80">
        <v>4</v>
      </c>
      <c r="AC232" s="46" t="s">
        <v>535</v>
      </c>
      <c r="AD232" s="48">
        <v>25.735116999999999</v>
      </c>
      <c r="AE232" s="48">
        <v>71.289443000000006</v>
      </c>
    </row>
    <row r="233" spans="1:31" ht="28.5" x14ac:dyDescent="0.25">
      <c r="A233" s="38" t="s">
        <v>36</v>
      </c>
      <c r="B233" s="41" t="s">
        <v>36</v>
      </c>
      <c r="C233" s="41" t="s">
        <v>532</v>
      </c>
      <c r="D233" s="41" t="s">
        <v>536</v>
      </c>
      <c r="E233" s="41" t="s">
        <v>537</v>
      </c>
      <c r="F233" s="41">
        <v>405.81</v>
      </c>
      <c r="G233" s="41">
        <v>405.81</v>
      </c>
      <c r="H233" s="38">
        <f t="shared" si="10"/>
        <v>158</v>
      </c>
      <c r="I233" s="41">
        <v>100</v>
      </c>
      <c r="J233" s="41">
        <v>58</v>
      </c>
      <c r="K233" s="41">
        <v>42</v>
      </c>
      <c r="L233" s="50">
        <f t="shared" si="11"/>
        <v>26.582278481012654</v>
      </c>
      <c r="M233" s="41">
        <v>0</v>
      </c>
      <c r="N233" s="50">
        <f t="shared" si="12"/>
        <v>0</v>
      </c>
      <c r="O233" s="41">
        <v>0</v>
      </c>
      <c r="P233" s="41">
        <v>0</v>
      </c>
      <c r="Q233" s="48" t="s">
        <v>43</v>
      </c>
      <c r="R233" s="112">
        <v>44573</v>
      </c>
      <c r="S233" s="48"/>
      <c r="T233" s="48">
        <v>281</v>
      </c>
      <c r="U233" s="48"/>
      <c r="V233" s="48"/>
      <c r="W233" s="48"/>
      <c r="X233" s="48"/>
      <c r="Y233" s="48"/>
      <c r="Z233" s="80"/>
      <c r="AB233" s="113">
        <v>15</v>
      </c>
      <c r="AC233" s="46" t="s">
        <v>538</v>
      </c>
      <c r="AD233" s="48">
        <v>71.321197999999995</v>
      </c>
      <c r="AE233" s="48">
        <v>25.729683000000001</v>
      </c>
    </row>
    <row r="234" spans="1:31" ht="28.5" x14ac:dyDescent="0.25">
      <c r="A234" s="38" t="s">
        <v>36</v>
      </c>
      <c r="B234" s="38" t="s">
        <v>36</v>
      </c>
      <c r="C234" s="38" t="s">
        <v>532</v>
      </c>
      <c r="D234" s="38" t="s">
        <v>539</v>
      </c>
      <c r="E234" s="38" t="s">
        <v>540</v>
      </c>
      <c r="F234" s="38">
        <v>895.93</v>
      </c>
      <c r="G234" s="38">
        <v>895.93</v>
      </c>
      <c r="H234" s="38">
        <f t="shared" si="10"/>
        <v>829</v>
      </c>
      <c r="I234" s="38">
        <v>553</v>
      </c>
      <c r="J234" s="38">
        <v>276</v>
      </c>
      <c r="K234" s="38">
        <v>277</v>
      </c>
      <c r="L234" s="50">
        <f t="shared" si="11"/>
        <v>33.413751507840772</v>
      </c>
      <c r="M234" s="38">
        <v>29</v>
      </c>
      <c r="N234" s="50">
        <f t="shared" si="12"/>
        <v>3.4981905910735827</v>
      </c>
      <c r="O234" s="38">
        <v>0</v>
      </c>
      <c r="P234" s="38">
        <v>5.61</v>
      </c>
      <c r="Q234" s="34" t="s">
        <v>43</v>
      </c>
      <c r="R234" s="88">
        <v>44573</v>
      </c>
      <c r="S234" s="34"/>
      <c r="T234" s="34">
        <v>34</v>
      </c>
      <c r="U234" s="34"/>
      <c r="V234" s="34"/>
      <c r="W234" s="34"/>
      <c r="X234" s="34"/>
      <c r="Y234" s="34"/>
      <c r="Z234" s="109"/>
      <c r="AB234" s="89">
        <v>2</v>
      </c>
      <c r="AC234" s="47" t="s">
        <v>541</v>
      </c>
      <c r="AD234" s="34">
        <v>71.313980999999998</v>
      </c>
      <c r="AE234" s="34">
        <v>25.733132999999999</v>
      </c>
    </row>
    <row r="235" spans="1:31" ht="28.5" x14ac:dyDescent="0.25">
      <c r="A235" s="38" t="s">
        <v>36</v>
      </c>
      <c r="B235" s="41" t="s">
        <v>36</v>
      </c>
      <c r="C235" s="41" t="s">
        <v>532</v>
      </c>
      <c r="D235" s="41" t="s">
        <v>542</v>
      </c>
      <c r="E235" s="41" t="s">
        <v>543</v>
      </c>
      <c r="F235" s="41">
        <v>1175.2</v>
      </c>
      <c r="G235" s="41">
        <v>1175.2</v>
      </c>
      <c r="H235" s="38">
        <f t="shared" si="10"/>
        <v>662</v>
      </c>
      <c r="I235" s="41">
        <v>434</v>
      </c>
      <c r="J235" s="41">
        <v>228</v>
      </c>
      <c r="K235" s="41">
        <v>206</v>
      </c>
      <c r="L235" s="50">
        <f t="shared" si="11"/>
        <v>31.117824773413901</v>
      </c>
      <c r="M235" s="41">
        <v>0</v>
      </c>
      <c r="N235" s="50">
        <f t="shared" si="12"/>
        <v>0</v>
      </c>
      <c r="O235" s="41">
        <v>0</v>
      </c>
      <c r="P235" s="41">
        <v>526.9</v>
      </c>
      <c r="Q235" s="48" t="s">
        <v>43</v>
      </c>
      <c r="R235" s="112">
        <v>44573</v>
      </c>
      <c r="S235" s="48"/>
      <c r="T235" s="48">
        <v>3230</v>
      </c>
      <c r="U235" s="48"/>
      <c r="V235" s="48"/>
      <c r="W235" s="48"/>
      <c r="X235" s="48"/>
      <c r="Y235" s="48"/>
      <c r="Z235" s="113"/>
      <c r="AB235" s="113"/>
      <c r="AC235" s="46" t="s">
        <v>544</v>
      </c>
      <c r="AD235" s="48">
        <v>71.242810000000006</v>
      </c>
      <c r="AE235" s="48">
        <v>25.766378</v>
      </c>
    </row>
    <row r="236" spans="1:31" x14ac:dyDescent="0.25">
      <c r="A236" s="38" t="s">
        <v>36</v>
      </c>
      <c r="B236" s="38" t="s">
        <v>36</v>
      </c>
      <c r="C236" s="38" t="s">
        <v>532</v>
      </c>
      <c r="D236" s="38" t="s">
        <v>545</v>
      </c>
      <c r="E236" s="38" t="s">
        <v>546</v>
      </c>
      <c r="F236" s="38">
        <v>530.12</v>
      </c>
      <c r="G236" s="38">
        <v>530.12</v>
      </c>
      <c r="H236" s="38">
        <f t="shared" si="10"/>
        <v>397</v>
      </c>
      <c r="I236" s="38">
        <v>256</v>
      </c>
      <c r="J236" s="38">
        <v>141</v>
      </c>
      <c r="K236" s="38">
        <v>115</v>
      </c>
      <c r="L236" s="50">
        <f t="shared" si="11"/>
        <v>28.967254408060455</v>
      </c>
      <c r="M236" s="38">
        <v>0</v>
      </c>
      <c r="N236" s="50">
        <f t="shared" si="12"/>
        <v>0</v>
      </c>
      <c r="O236" s="38">
        <v>0</v>
      </c>
      <c r="P236" s="38">
        <v>212.15</v>
      </c>
      <c r="Q236" s="34" t="s">
        <v>43</v>
      </c>
      <c r="R236" s="88">
        <v>44573</v>
      </c>
      <c r="S236" s="34"/>
      <c r="T236" s="34">
        <v>358</v>
      </c>
      <c r="U236" s="34"/>
      <c r="V236" s="34"/>
      <c r="W236" s="34"/>
      <c r="X236" s="34"/>
      <c r="Y236" s="34"/>
      <c r="Z236" s="109"/>
      <c r="AB236" s="89">
        <v>20</v>
      </c>
      <c r="AC236" s="47" t="s">
        <v>547</v>
      </c>
      <c r="AD236" s="34">
        <v>71.273638000000005</v>
      </c>
      <c r="AE236" s="34">
        <v>25.75554</v>
      </c>
    </row>
    <row r="237" spans="1:31" x14ac:dyDescent="0.25">
      <c r="A237" s="38" t="s">
        <v>36</v>
      </c>
      <c r="B237" s="38" t="s">
        <v>36</v>
      </c>
      <c r="C237" s="38" t="s">
        <v>548</v>
      </c>
      <c r="D237" s="38" t="s">
        <v>549</v>
      </c>
      <c r="E237" s="38" t="s">
        <v>550</v>
      </c>
      <c r="F237" s="38">
        <v>1136.06</v>
      </c>
      <c r="G237" s="38">
        <v>1136.06</v>
      </c>
      <c r="H237" s="38">
        <f t="shared" si="10"/>
        <v>1184</v>
      </c>
      <c r="I237" s="38">
        <v>767</v>
      </c>
      <c r="J237" s="38">
        <v>417</v>
      </c>
      <c r="K237" s="38">
        <v>350</v>
      </c>
      <c r="L237" s="50">
        <f t="shared" si="11"/>
        <v>29.560810810810811</v>
      </c>
      <c r="M237" s="38">
        <v>0</v>
      </c>
      <c r="N237" s="50">
        <f t="shared" si="12"/>
        <v>0</v>
      </c>
      <c r="O237" s="38">
        <v>0</v>
      </c>
      <c r="P237" s="38">
        <v>63.93</v>
      </c>
    </row>
    <row r="238" spans="1:31" x14ac:dyDescent="0.25">
      <c r="A238" s="38" t="s">
        <v>36</v>
      </c>
      <c r="B238" s="38" t="s">
        <v>36</v>
      </c>
      <c r="C238" s="38" t="s">
        <v>548</v>
      </c>
      <c r="D238" s="38" t="s">
        <v>551</v>
      </c>
      <c r="E238" s="38" t="s">
        <v>552</v>
      </c>
      <c r="F238" s="38">
        <v>1021.97</v>
      </c>
      <c r="G238" s="38">
        <v>1021.97</v>
      </c>
      <c r="H238" s="38">
        <f t="shared" si="10"/>
        <v>916</v>
      </c>
      <c r="I238" s="38">
        <v>587</v>
      </c>
      <c r="J238" s="38">
        <v>329</v>
      </c>
      <c r="K238" s="38">
        <v>258</v>
      </c>
      <c r="L238" s="50">
        <f t="shared" si="11"/>
        <v>28.165938864628821</v>
      </c>
      <c r="M238" s="38">
        <v>0</v>
      </c>
      <c r="N238" s="50">
        <f t="shared" si="12"/>
        <v>0</v>
      </c>
      <c r="O238" s="38">
        <v>0</v>
      </c>
      <c r="P238" s="38">
        <v>86.74</v>
      </c>
    </row>
    <row r="239" spans="1:31" x14ac:dyDescent="0.25">
      <c r="A239" s="38" t="s">
        <v>36</v>
      </c>
      <c r="B239" s="38" t="s">
        <v>36</v>
      </c>
      <c r="C239" s="38" t="s">
        <v>548</v>
      </c>
      <c r="D239" s="38" t="s">
        <v>553</v>
      </c>
      <c r="E239" s="38" t="s">
        <v>554</v>
      </c>
      <c r="F239" s="38">
        <v>745.81</v>
      </c>
      <c r="G239" s="38">
        <v>745.81</v>
      </c>
      <c r="H239" s="38">
        <f t="shared" si="10"/>
        <v>532</v>
      </c>
      <c r="I239" s="38">
        <v>340</v>
      </c>
      <c r="J239" s="38">
        <v>192</v>
      </c>
      <c r="K239" s="38">
        <v>148</v>
      </c>
      <c r="L239" s="50">
        <f t="shared" si="11"/>
        <v>27.819548872180448</v>
      </c>
      <c r="M239" s="38">
        <v>5</v>
      </c>
      <c r="N239" s="50">
        <f t="shared" si="12"/>
        <v>0.93984962406015038</v>
      </c>
      <c r="O239" s="38">
        <v>0</v>
      </c>
      <c r="P239" s="38">
        <v>23.87</v>
      </c>
    </row>
    <row r="240" spans="1:31" x14ac:dyDescent="0.25">
      <c r="A240" s="38" t="s">
        <v>36</v>
      </c>
      <c r="B240" s="38" t="s">
        <v>36</v>
      </c>
      <c r="C240" s="38" t="s">
        <v>548</v>
      </c>
      <c r="D240" s="38" t="s">
        <v>555</v>
      </c>
      <c r="E240" s="38" t="s">
        <v>556</v>
      </c>
      <c r="F240" s="38">
        <v>771.67</v>
      </c>
      <c r="G240" s="38">
        <v>771.67</v>
      </c>
      <c r="H240" s="38">
        <f t="shared" si="10"/>
        <v>831</v>
      </c>
      <c r="I240" s="38">
        <v>537</v>
      </c>
      <c r="J240" s="38">
        <v>294</v>
      </c>
      <c r="K240" s="38">
        <v>243</v>
      </c>
      <c r="L240" s="50">
        <f t="shared" si="11"/>
        <v>29.241877256317689</v>
      </c>
      <c r="M240" s="38">
        <v>0</v>
      </c>
      <c r="N240" s="50">
        <f t="shared" si="12"/>
        <v>0</v>
      </c>
      <c r="O240" s="38">
        <v>0</v>
      </c>
      <c r="P240" s="38">
        <v>47.64</v>
      </c>
    </row>
    <row r="241" spans="1:31" x14ac:dyDescent="0.25">
      <c r="A241" s="38" t="s">
        <v>36</v>
      </c>
      <c r="B241" s="38" t="s">
        <v>36</v>
      </c>
      <c r="C241" s="38" t="s">
        <v>557</v>
      </c>
      <c r="D241" s="38" t="s">
        <v>557</v>
      </c>
      <c r="E241" s="38" t="s">
        <v>558</v>
      </c>
      <c r="F241" s="38">
        <v>365</v>
      </c>
      <c r="G241" s="38">
        <v>365</v>
      </c>
      <c r="H241" s="38">
        <f t="shared" si="10"/>
        <v>633</v>
      </c>
      <c r="I241" s="38">
        <v>419</v>
      </c>
      <c r="J241" s="38">
        <v>214</v>
      </c>
      <c r="K241" s="38">
        <v>205</v>
      </c>
      <c r="L241" s="50">
        <f t="shared" si="11"/>
        <v>32.385466034755133</v>
      </c>
      <c r="M241" s="38">
        <v>0</v>
      </c>
      <c r="N241" s="50">
        <f t="shared" si="12"/>
        <v>0</v>
      </c>
      <c r="O241" s="38">
        <v>0</v>
      </c>
      <c r="P241" s="38">
        <v>48</v>
      </c>
      <c r="Q241" s="98" t="s">
        <v>44</v>
      </c>
      <c r="R241" s="7">
        <v>45201</v>
      </c>
      <c r="S241" s="99"/>
      <c r="T241" s="98">
        <v>46.020800000000001</v>
      </c>
      <c r="U241" s="98"/>
      <c r="V241" s="98"/>
      <c r="W241" s="98"/>
      <c r="X241" s="98"/>
      <c r="Y241" s="98"/>
      <c r="Z241" s="20"/>
      <c r="AB241" s="20"/>
      <c r="AC241" s="38" t="s">
        <v>557</v>
      </c>
      <c r="AD241" s="61"/>
      <c r="AE241" s="99"/>
    </row>
    <row r="242" spans="1:31" x14ac:dyDescent="0.25">
      <c r="A242" s="38" t="s">
        <v>36</v>
      </c>
      <c r="B242" s="38" t="s">
        <v>36</v>
      </c>
      <c r="C242" s="38" t="s">
        <v>557</v>
      </c>
      <c r="D242" s="38" t="s">
        <v>559</v>
      </c>
      <c r="E242" s="38" t="s">
        <v>560</v>
      </c>
      <c r="F242" s="38">
        <v>410</v>
      </c>
      <c r="G242" s="38">
        <v>410</v>
      </c>
      <c r="H242" s="38">
        <f t="shared" si="10"/>
        <v>691</v>
      </c>
      <c r="I242" s="38">
        <v>454</v>
      </c>
      <c r="J242" s="38">
        <v>237</v>
      </c>
      <c r="K242" s="38">
        <v>217</v>
      </c>
      <c r="L242" s="50">
        <f t="shared" si="11"/>
        <v>31.403762662807527</v>
      </c>
      <c r="M242" s="38">
        <v>0</v>
      </c>
      <c r="N242" s="50">
        <f t="shared" si="12"/>
        <v>0</v>
      </c>
      <c r="O242" s="38">
        <v>0</v>
      </c>
      <c r="P242" s="38">
        <v>0</v>
      </c>
      <c r="Q242" s="98" t="s">
        <v>44</v>
      </c>
      <c r="R242" s="7">
        <v>45201</v>
      </c>
      <c r="S242" s="99"/>
      <c r="T242" s="98">
        <v>2.5091000000000001</v>
      </c>
      <c r="U242" s="98"/>
      <c r="V242" s="98"/>
      <c r="W242" s="98"/>
      <c r="X242" s="98"/>
      <c r="Y242" s="98"/>
      <c r="Z242" s="20"/>
      <c r="AB242" s="20"/>
      <c r="AC242" s="38" t="s">
        <v>559</v>
      </c>
      <c r="AD242" s="61"/>
      <c r="AE242" s="99"/>
    </row>
    <row r="243" spans="1:31" x14ac:dyDescent="0.25">
      <c r="A243" s="38" t="s">
        <v>36</v>
      </c>
      <c r="B243" s="38" t="s">
        <v>36</v>
      </c>
      <c r="C243" s="38" t="s">
        <v>557</v>
      </c>
      <c r="D243" s="38" t="s">
        <v>561</v>
      </c>
      <c r="E243" s="38" t="s">
        <v>562</v>
      </c>
      <c r="F243" s="38">
        <v>902</v>
      </c>
      <c r="G243" s="38">
        <v>902</v>
      </c>
      <c r="H243" s="38">
        <f t="shared" si="10"/>
        <v>1140</v>
      </c>
      <c r="I243" s="38">
        <v>743</v>
      </c>
      <c r="J243" s="38">
        <v>397</v>
      </c>
      <c r="K243" s="38">
        <v>346</v>
      </c>
      <c r="L243" s="50">
        <f t="shared" si="11"/>
        <v>30.350877192982455</v>
      </c>
      <c r="M243" s="38">
        <v>0</v>
      </c>
      <c r="N243" s="50">
        <f t="shared" si="12"/>
        <v>0</v>
      </c>
      <c r="O243" s="38">
        <v>0</v>
      </c>
      <c r="P243" s="38">
        <v>3</v>
      </c>
      <c r="Q243" s="98" t="s">
        <v>44</v>
      </c>
      <c r="R243" s="7">
        <v>45201</v>
      </c>
      <c r="S243" s="99"/>
      <c r="T243" s="98">
        <v>0</v>
      </c>
      <c r="U243" s="98"/>
      <c r="V243" s="98"/>
      <c r="W243" s="98"/>
      <c r="X243" s="98"/>
      <c r="Y243" s="98"/>
      <c r="Z243" s="20"/>
      <c r="AB243" s="20"/>
      <c r="AC243" s="38" t="s">
        <v>561</v>
      </c>
      <c r="AD243" s="61"/>
      <c r="AE243" s="99"/>
    </row>
    <row r="244" spans="1:31" x14ac:dyDescent="0.25">
      <c r="A244" s="38" t="s">
        <v>36</v>
      </c>
      <c r="B244" s="38" t="s">
        <v>36</v>
      </c>
      <c r="C244" s="38" t="s">
        <v>557</v>
      </c>
      <c r="D244" s="38" t="s">
        <v>563</v>
      </c>
      <c r="E244" s="38" t="s">
        <v>564</v>
      </c>
      <c r="F244" s="38">
        <v>883</v>
      </c>
      <c r="G244" s="38">
        <v>883</v>
      </c>
      <c r="H244" s="38">
        <f t="shared" si="10"/>
        <v>1233</v>
      </c>
      <c r="I244" s="38">
        <v>807</v>
      </c>
      <c r="J244" s="38">
        <v>426</v>
      </c>
      <c r="K244" s="38">
        <v>381</v>
      </c>
      <c r="L244" s="50">
        <f t="shared" si="11"/>
        <v>30.900243309002434</v>
      </c>
      <c r="M244" s="38">
        <v>0</v>
      </c>
      <c r="N244" s="50">
        <f t="shared" si="12"/>
        <v>0</v>
      </c>
      <c r="O244" s="38">
        <v>0</v>
      </c>
      <c r="P244" s="38">
        <v>0</v>
      </c>
      <c r="Q244" s="98" t="s">
        <v>44</v>
      </c>
      <c r="R244" s="7">
        <v>45201</v>
      </c>
      <c r="S244" s="99"/>
      <c r="T244" s="98">
        <v>0</v>
      </c>
      <c r="U244" s="98"/>
      <c r="V244" s="98"/>
      <c r="W244" s="98"/>
      <c r="X244" s="98"/>
      <c r="Y244" s="98"/>
      <c r="Z244" s="20"/>
      <c r="AB244" s="20"/>
      <c r="AC244" s="38" t="s">
        <v>563</v>
      </c>
      <c r="AD244" s="61"/>
      <c r="AE244" s="99"/>
    </row>
    <row r="245" spans="1:31" x14ac:dyDescent="0.25">
      <c r="A245" s="38" t="s">
        <v>36</v>
      </c>
      <c r="B245" s="38" t="s">
        <v>36</v>
      </c>
      <c r="C245" s="38" t="s">
        <v>557</v>
      </c>
      <c r="D245" s="11" t="s">
        <v>565</v>
      </c>
      <c r="E245" s="38"/>
      <c r="F245" s="38"/>
      <c r="G245" s="38"/>
      <c r="H245" s="38">
        <f t="shared" si="10"/>
        <v>0</v>
      </c>
      <c r="I245" s="38"/>
      <c r="J245" s="38"/>
      <c r="K245" s="38"/>
      <c r="L245" s="50"/>
      <c r="M245" s="38"/>
      <c r="N245" s="50"/>
      <c r="O245" s="38"/>
      <c r="P245" s="38"/>
      <c r="Q245" s="98" t="s">
        <v>44</v>
      </c>
      <c r="R245" s="7">
        <v>45201</v>
      </c>
      <c r="S245" s="99"/>
      <c r="T245" s="98">
        <v>0</v>
      </c>
      <c r="U245" s="98"/>
      <c r="V245" s="98"/>
      <c r="W245" s="98"/>
      <c r="X245" s="98"/>
      <c r="Y245" s="98"/>
      <c r="Z245" s="20"/>
      <c r="AB245" s="20"/>
      <c r="AC245" s="11" t="s">
        <v>565</v>
      </c>
      <c r="AD245" s="61"/>
      <c r="AE245" s="99"/>
    </row>
    <row r="246" spans="1:31" x14ac:dyDescent="0.25">
      <c r="A246" s="38" t="s">
        <v>36</v>
      </c>
      <c r="B246" s="38" t="s">
        <v>36</v>
      </c>
      <c r="C246" s="38" t="s">
        <v>557</v>
      </c>
      <c r="D246" s="38" t="s">
        <v>559</v>
      </c>
      <c r="E246" s="38" t="s">
        <v>560</v>
      </c>
      <c r="F246" s="38">
        <v>410</v>
      </c>
      <c r="G246" s="38">
        <v>410</v>
      </c>
      <c r="H246" s="38">
        <f t="shared" si="10"/>
        <v>691</v>
      </c>
      <c r="I246" s="38">
        <v>454</v>
      </c>
      <c r="J246" s="38">
        <v>237</v>
      </c>
      <c r="K246" s="38">
        <v>217</v>
      </c>
      <c r="L246" s="50">
        <f t="shared" si="11"/>
        <v>31.403762662807527</v>
      </c>
      <c r="M246" s="38">
        <v>0</v>
      </c>
      <c r="N246" s="50">
        <f t="shared" si="12"/>
        <v>0</v>
      </c>
      <c r="O246" s="38">
        <v>0</v>
      </c>
      <c r="P246" s="38">
        <v>0</v>
      </c>
      <c r="Q246" s="39"/>
      <c r="R246" s="25">
        <v>45201</v>
      </c>
      <c r="S246" s="40"/>
      <c r="T246" s="39">
        <v>0</v>
      </c>
      <c r="U246" s="39"/>
      <c r="V246" s="39"/>
      <c r="W246" s="39"/>
      <c r="X246" s="39"/>
      <c r="Y246" s="39"/>
      <c r="Z246" s="3"/>
      <c r="AB246" s="60">
        <v>2.5091000000000001</v>
      </c>
      <c r="AC246" s="42" t="s">
        <v>559</v>
      </c>
      <c r="AD246" s="2">
        <v>25.469366999999998</v>
      </c>
      <c r="AE246" s="40">
        <v>71.441276999999999</v>
      </c>
    </row>
    <row r="247" spans="1:31" x14ac:dyDescent="0.25">
      <c r="A247" s="38" t="s">
        <v>36</v>
      </c>
      <c r="B247" s="38" t="s">
        <v>36</v>
      </c>
      <c r="C247" s="38" t="s">
        <v>566</v>
      </c>
      <c r="D247" s="38" t="s">
        <v>567</v>
      </c>
      <c r="E247" s="38" t="s">
        <v>568</v>
      </c>
      <c r="F247" s="38">
        <v>1314.67</v>
      </c>
      <c r="G247" s="38">
        <v>1314.67</v>
      </c>
      <c r="H247" s="38">
        <f t="shared" si="10"/>
        <v>1453</v>
      </c>
      <c r="I247" s="38">
        <v>952</v>
      </c>
      <c r="J247" s="38">
        <v>501</v>
      </c>
      <c r="K247" s="38">
        <v>451</v>
      </c>
      <c r="L247" s="50">
        <f t="shared" si="11"/>
        <v>31.039229181004817</v>
      </c>
      <c r="M247" s="38">
        <v>48</v>
      </c>
      <c r="N247" s="50">
        <f t="shared" si="12"/>
        <v>3.3035099793530627</v>
      </c>
      <c r="O247" s="38">
        <v>0</v>
      </c>
      <c r="P247" s="38">
        <v>0</v>
      </c>
    </row>
    <row r="248" spans="1:31" x14ac:dyDescent="0.25">
      <c r="A248" s="38" t="s">
        <v>36</v>
      </c>
      <c r="B248" s="38" t="s">
        <v>36</v>
      </c>
      <c r="C248" s="38" t="s">
        <v>566</v>
      </c>
      <c r="D248" s="38" t="s">
        <v>569</v>
      </c>
      <c r="E248" s="38" t="s">
        <v>570</v>
      </c>
      <c r="F248" s="38">
        <v>1084.8800000000001</v>
      </c>
      <c r="G248" s="38">
        <v>1084.8800000000001</v>
      </c>
      <c r="H248" s="38">
        <f t="shared" si="10"/>
        <v>1624</v>
      </c>
      <c r="I248" s="38">
        <v>1056</v>
      </c>
      <c r="J248" s="38">
        <v>568</v>
      </c>
      <c r="K248" s="38">
        <v>488</v>
      </c>
      <c r="L248" s="50">
        <f t="shared" si="11"/>
        <v>30.049261083743843</v>
      </c>
      <c r="M248" s="38">
        <v>180</v>
      </c>
      <c r="N248" s="50">
        <f t="shared" si="12"/>
        <v>11.083743842364532</v>
      </c>
      <c r="O248" s="38">
        <v>0</v>
      </c>
      <c r="P248" s="38">
        <v>29.97</v>
      </c>
    </row>
    <row r="249" spans="1:31" x14ac:dyDescent="0.25">
      <c r="A249" s="38" t="s">
        <v>36</v>
      </c>
      <c r="B249" s="38" t="s">
        <v>36</v>
      </c>
      <c r="C249" s="38" t="s">
        <v>566</v>
      </c>
      <c r="D249" s="38" t="s">
        <v>571</v>
      </c>
      <c r="E249" s="38" t="s">
        <v>572</v>
      </c>
      <c r="F249" s="38">
        <v>769.12</v>
      </c>
      <c r="G249" s="38">
        <v>769.12</v>
      </c>
      <c r="H249" s="38">
        <f t="shared" si="10"/>
        <v>974</v>
      </c>
      <c r="I249" s="38">
        <v>646</v>
      </c>
      <c r="J249" s="38">
        <v>328</v>
      </c>
      <c r="K249" s="38">
        <v>318</v>
      </c>
      <c r="L249" s="50">
        <f t="shared" si="11"/>
        <v>32.648870636550306</v>
      </c>
      <c r="M249" s="38">
        <v>0</v>
      </c>
      <c r="N249" s="50">
        <f t="shared" si="12"/>
        <v>0</v>
      </c>
      <c r="O249" s="38">
        <v>2</v>
      </c>
      <c r="P249" s="38">
        <v>0</v>
      </c>
    </row>
    <row r="250" spans="1:31" x14ac:dyDescent="0.25">
      <c r="A250" s="38" t="s">
        <v>36</v>
      </c>
      <c r="B250" s="38" t="s">
        <v>36</v>
      </c>
      <c r="C250" s="38" t="s">
        <v>566</v>
      </c>
      <c r="D250" s="38" t="s">
        <v>573</v>
      </c>
      <c r="E250" s="38" t="s">
        <v>574</v>
      </c>
      <c r="F250" s="38">
        <v>1023.18</v>
      </c>
      <c r="G250" s="38">
        <v>1023.18</v>
      </c>
      <c r="H250" s="38">
        <f t="shared" si="10"/>
        <v>1895</v>
      </c>
      <c r="I250" s="38">
        <v>1233</v>
      </c>
      <c r="J250" s="38">
        <v>662</v>
      </c>
      <c r="K250" s="38">
        <v>571</v>
      </c>
      <c r="L250" s="50">
        <f t="shared" si="11"/>
        <v>30.131926121372032</v>
      </c>
      <c r="M250" s="38">
        <v>331</v>
      </c>
      <c r="N250" s="50">
        <f t="shared" si="12"/>
        <v>17.467018469656992</v>
      </c>
      <c r="O250" s="38">
        <v>1</v>
      </c>
      <c r="P250" s="38">
        <v>84.1</v>
      </c>
    </row>
    <row r="251" spans="1:31" x14ac:dyDescent="0.25">
      <c r="A251" s="38" t="s">
        <v>36</v>
      </c>
      <c r="B251" s="38" t="s">
        <v>36</v>
      </c>
      <c r="C251" s="38" t="s">
        <v>566</v>
      </c>
      <c r="D251" s="38" t="s">
        <v>575</v>
      </c>
      <c r="E251" s="38" t="s">
        <v>576</v>
      </c>
      <c r="F251" s="38">
        <v>488.23</v>
      </c>
      <c r="G251" s="38">
        <v>488.23</v>
      </c>
      <c r="H251" s="38">
        <f t="shared" si="10"/>
        <v>1653</v>
      </c>
      <c r="I251" s="38">
        <v>1082</v>
      </c>
      <c r="J251" s="38">
        <v>571</v>
      </c>
      <c r="K251" s="38">
        <v>511</v>
      </c>
      <c r="L251" s="50">
        <f t="shared" si="11"/>
        <v>30.913490623109496</v>
      </c>
      <c r="M251" s="38">
        <v>198</v>
      </c>
      <c r="N251" s="50">
        <f t="shared" si="12"/>
        <v>11.978221415607985</v>
      </c>
      <c r="O251" s="38">
        <v>0</v>
      </c>
      <c r="P251" s="38">
        <v>0</v>
      </c>
    </row>
    <row r="252" spans="1:31" x14ac:dyDescent="0.25">
      <c r="A252" s="38" t="s">
        <v>36</v>
      </c>
      <c r="B252" s="38" t="s">
        <v>36</v>
      </c>
      <c r="C252" s="38" t="s">
        <v>577</v>
      </c>
      <c r="D252" s="38" t="s">
        <v>578</v>
      </c>
      <c r="E252" s="38" t="s">
        <v>579</v>
      </c>
      <c r="F252" s="38">
        <v>827.91</v>
      </c>
      <c r="G252" s="38">
        <v>827.91</v>
      </c>
      <c r="H252" s="38">
        <f t="shared" si="10"/>
        <v>1122</v>
      </c>
      <c r="I252" s="38">
        <v>733</v>
      </c>
      <c r="J252" s="38">
        <v>389</v>
      </c>
      <c r="K252" s="38">
        <v>344</v>
      </c>
      <c r="L252" s="50">
        <f t="shared" si="11"/>
        <v>30.65953654188948</v>
      </c>
      <c r="M252" s="38">
        <v>66</v>
      </c>
      <c r="N252" s="50">
        <f t="shared" si="12"/>
        <v>5.8823529411764701</v>
      </c>
      <c r="O252" s="38">
        <v>0</v>
      </c>
      <c r="P252" s="38">
        <v>0</v>
      </c>
      <c r="Q252" s="39" t="s">
        <v>44</v>
      </c>
      <c r="R252" s="7">
        <v>45201</v>
      </c>
      <c r="S252" s="40"/>
      <c r="T252" s="39">
        <v>37.515000000000001</v>
      </c>
      <c r="U252" s="39"/>
      <c r="V252" s="39"/>
      <c r="W252" s="39"/>
      <c r="X252" s="39"/>
      <c r="Y252" s="39"/>
      <c r="Z252" s="3"/>
      <c r="AB252" s="2"/>
      <c r="AC252" s="38" t="s">
        <v>578</v>
      </c>
      <c r="AD252" s="2"/>
      <c r="AE252" s="40"/>
    </row>
    <row r="253" spans="1:31" x14ac:dyDescent="0.25">
      <c r="A253" s="38" t="s">
        <v>36</v>
      </c>
      <c r="B253" s="38" t="s">
        <v>36</v>
      </c>
      <c r="C253" s="38" t="s">
        <v>577</v>
      </c>
      <c r="D253" s="38" t="s">
        <v>580</v>
      </c>
      <c r="E253" s="38" t="s">
        <v>581</v>
      </c>
      <c r="F253" s="38">
        <v>1488.63</v>
      </c>
      <c r="G253" s="38">
        <v>1488.63</v>
      </c>
      <c r="H253" s="38">
        <f t="shared" si="10"/>
        <v>992</v>
      </c>
      <c r="I253" s="38">
        <v>655</v>
      </c>
      <c r="J253" s="38">
        <v>337</v>
      </c>
      <c r="K253" s="38">
        <v>318</v>
      </c>
      <c r="L253" s="50">
        <f t="shared" si="11"/>
        <v>32.056451612903224</v>
      </c>
      <c r="M253" s="38">
        <v>49</v>
      </c>
      <c r="N253" s="50">
        <f t="shared" si="12"/>
        <v>4.939516129032258</v>
      </c>
      <c r="O253" s="38">
        <v>0</v>
      </c>
      <c r="P253" s="38">
        <v>43.92</v>
      </c>
      <c r="Q253" s="39" t="s">
        <v>44</v>
      </c>
      <c r="R253" s="7">
        <v>45201</v>
      </c>
      <c r="S253" s="40"/>
      <c r="T253" s="39">
        <v>49.8735</v>
      </c>
      <c r="U253" s="39"/>
      <c r="V253" s="39"/>
      <c r="W253" s="39"/>
      <c r="X253" s="39"/>
      <c r="Y253" s="39"/>
      <c r="Z253" s="3"/>
      <c r="AB253" s="2"/>
      <c r="AC253" s="38" t="s">
        <v>580</v>
      </c>
      <c r="AD253" s="2"/>
      <c r="AE253" s="40"/>
    </row>
    <row r="254" spans="1:31" x14ac:dyDescent="0.25">
      <c r="A254" s="38" t="s">
        <v>36</v>
      </c>
      <c r="B254" s="38" t="s">
        <v>36</v>
      </c>
      <c r="C254" s="38" t="s">
        <v>577</v>
      </c>
      <c r="D254" s="38" t="s">
        <v>582</v>
      </c>
      <c r="E254" s="38" t="s">
        <v>583</v>
      </c>
      <c r="F254" s="38">
        <v>2250.7199999999998</v>
      </c>
      <c r="G254" s="38">
        <v>2250.7199999999998</v>
      </c>
      <c r="H254" s="38">
        <f t="shared" si="10"/>
        <v>1655</v>
      </c>
      <c r="I254" s="38">
        <v>1074</v>
      </c>
      <c r="J254" s="38">
        <v>581</v>
      </c>
      <c r="K254" s="38">
        <v>493</v>
      </c>
      <c r="L254" s="50">
        <f t="shared" si="11"/>
        <v>29.788519637462237</v>
      </c>
      <c r="M254" s="38">
        <v>26</v>
      </c>
      <c r="N254" s="50">
        <f t="shared" si="12"/>
        <v>1.570996978851964</v>
      </c>
      <c r="O254" s="38">
        <v>2</v>
      </c>
      <c r="P254" s="38">
        <v>0</v>
      </c>
      <c r="Q254" s="39" t="s">
        <v>44</v>
      </c>
      <c r="R254" s="7">
        <v>45201</v>
      </c>
      <c r="S254" s="40"/>
      <c r="T254" s="39">
        <v>2.9944999999999999</v>
      </c>
      <c r="U254" s="39"/>
      <c r="V254" s="39"/>
      <c r="W254" s="39"/>
      <c r="X254" s="39"/>
      <c r="Y254" s="39"/>
      <c r="Z254" s="3"/>
      <c r="AB254" s="2"/>
      <c r="AC254" s="38" t="s">
        <v>582</v>
      </c>
      <c r="AD254" s="2"/>
      <c r="AE254" s="40"/>
    </row>
    <row r="255" spans="1:31" x14ac:dyDescent="0.25">
      <c r="A255" s="38" t="s">
        <v>36</v>
      </c>
      <c r="B255" s="38" t="s">
        <v>36</v>
      </c>
      <c r="C255" s="38" t="s">
        <v>577</v>
      </c>
      <c r="D255" s="38" t="s">
        <v>584</v>
      </c>
      <c r="E255" s="38" t="s">
        <v>585</v>
      </c>
      <c r="F255" s="38">
        <v>905.82</v>
      </c>
      <c r="G255" s="38">
        <v>905.82</v>
      </c>
      <c r="H255" s="38">
        <f t="shared" si="10"/>
        <v>645</v>
      </c>
      <c r="I255" s="38">
        <v>436</v>
      </c>
      <c r="J255" s="38">
        <v>209</v>
      </c>
      <c r="K255" s="38">
        <v>227</v>
      </c>
      <c r="L255" s="50">
        <f t="shared" si="11"/>
        <v>35.193798449612402</v>
      </c>
      <c r="M255" s="38">
        <v>0</v>
      </c>
      <c r="N255" s="50">
        <f t="shared" si="12"/>
        <v>0</v>
      </c>
      <c r="O255" s="38">
        <v>0</v>
      </c>
      <c r="P255" s="38">
        <v>0</v>
      </c>
      <c r="Q255" s="39" t="s">
        <v>44</v>
      </c>
      <c r="R255" s="7">
        <v>45201</v>
      </c>
      <c r="S255" s="40"/>
      <c r="T255" s="39">
        <v>36.923499999999997</v>
      </c>
      <c r="U255" s="39"/>
      <c r="V255" s="39"/>
      <c r="W255" s="39"/>
      <c r="X255" s="39"/>
      <c r="Y255" s="39"/>
      <c r="Z255" s="3"/>
      <c r="AB255" s="2"/>
      <c r="AC255" s="38" t="s">
        <v>584</v>
      </c>
      <c r="AD255" s="2"/>
      <c r="AE255" s="40"/>
    </row>
    <row r="256" spans="1:31" x14ac:dyDescent="0.25">
      <c r="A256" s="38" t="s">
        <v>36</v>
      </c>
      <c r="B256" s="38" t="s">
        <v>36</v>
      </c>
      <c r="C256" s="38" t="s">
        <v>577</v>
      </c>
      <c r="D256" s="38" t="s">
        <v>586</v>
      </c>
      <c r="E256" s="38" t="s">
        <v>587</v>
      </c>
      <c r="F256" s="38">
        <v>1868.51</v>
      </c>
      <c r="G256" s="38">
        <v>1868.51</v>
      </c>
      <c r="H256" s="38">
        <f t="shared" si="10"/>
        <v>1859</v>
      </c>
      <c r="I256" s="38">
        <v>1221</v>
      </c>
      <c r="J256" s="38">
        <v>638</v>
      </c>
      <c r="K256" s="38">
        <v>583</v>
      </c>
      <c r="L256" s="50">
        <f t="shared" si="11"/>
        <v>31.360946745562128</v>
      </c>
      <c r="M256" s="38">
        <v>20</v>
      </c>
      <c r="N256" s="50">
        <f t="shared" si="12"/>
        <v>1.0758472296933834</v>
      </c>
      <c r="O256" s="38">
        <v>0</v>
      </c>
      <c r="P256" s="38">
        <v>81.2</v>
      </c>
      <c r="Q256" s="39" t="s">
        <v>44</v>
      </c>
      <c r="R256" s="7">
        <v>45201</v>
      </c>
      <c r="S256" s="40"/>
      <c r="T256" s="39">
        <v>126.30459999999999</v>
      </c>
      <c r="U256" s="39"/>
      <c r="V256" s="39"/>
      <c r="W256" s="39"/>
      <c r="X256" s="39"/>
      <c r="Y256" s="39"/>
      <c r="Z256" s="3"/>
      <c r="AB256" s="2"/>
      <c r="AC256" s="38" t="s">
        <v>586</v>
      </c>
      <c r="AD256" s="2"/>
      <c r="AE256" s="40"/>
    </row>
    <row r="257" spans="1:31" x14ac:dyDescent="0.25">
      <c r="A257" s="38" t="s">
        <v>36</v>
      </c>
      <c r="B257" s="38" t="s">
        <v>36</v>
      </c>
      <c r="C257" s="38" t="s">
        <v>577</v>
      </c>
      <c r="D257" s="38" t="s">
        <v>588</v>
      </c>
      <c r="E257" s="38"/>
      <c r="F257" s="38"/>
      <c r="G257" s="38"/>
      <c r="H257" s="38">
        <f t="shared" si="10"/>
        <v>0</v>
      </c>
      <c r="I257" s="38"/>
      <c r="J257" s="38"/>
      <c r="K257" s="38"/>
      <c r="L257" s="50"/>
      <c r="M257" s="38"/>
      <c r="N257" s="50"/>
      <c r="O257" s="38"/>
      <c r="P257" s="38"/>
      <c r="Q257" s="39" t="s">
        <v>44</v>
      </c>
      <c r="R257" s="7">
        <v>45201</v>
      </c>
      <c r="S257" s="40"/>
      <c r="T257" s="39">
        <v>58.9465</v>
      </c>
      <c r="U257" s="39"/>
      <c r="V257" s="39"/>
      <c r="W257" s="39"/>
      <c r="X257" s="39"/>
      <c r="Y257" s="39"/>
      <c r="Z257" s="3"/>
      <c r="AB257" s="2"/>
      <c r="AC257" s="38" t="s">
        <v>588</v>
      </c>
      <c r="AD257" s="2"/>
      <c r="AE257" s="40"/>
    </row>
    <row r="258" spans="1:31" x14ac:dyDescent="0.25">
      <c r="A258" s="38" t="s">
        <v>36</v>
      </c>
      <c r="B258" s="38" t="s">
        <v>36</v>
      </c>
      <c r="C258" s="38" t="s">
        <v>577</v>
      </c>
      <c r="D258" s="41" t="s">
        <v>589</v>
      </c>
      <c r="E258" s="41"/>
      <c r="F258" s="41"/>
      <c r="G258" s="41"/>
      <c r="H258" s="38">
        <f t="shared" si="10"/>
        <v>0</v>
      </c>
      <c r="I258" s="41"/>
      <c r="J258" s="41"/>
      <c r="K258" s="41"/>
      <c r="L258" s="50"/>
      <c r="M258" s="41"/>
      <c r="N258" s="50"/>
      <c r="O258" s="41"/>
      <c r="P258" s="41"/>
      <c r="Q258" s="43" t="s">
        <v>44</v>
      </c>
      <c r="R258" s="24">
        <v>45201</v>
      </c>
      <c r="S258" s="44"/>
      <c r="T258" s="43">
        <v>45.340899999999998</v>
      </c>
      <c r="U258" s="43"/>
      <c r="V258" s="43"/>
      <c r="W258" s="43"/>
      <c r="X258" s="43"/>
      <c r="Y258" s="43"/>
      <c r="Z258" s="5"/>
      <c r="AB258" s="44">
        <v>37</v>
      </c>
      <c r="AC258" s="41" t="s">
        <v>589</v>
      </c>
      <c r="AD258" s="44">
        <v>25.983632759999999</v>
      </c>
      <c r="AE258" s="44">
        <v>71.203993830000002</v>
      </c>
    </row>
    <row r="259" spans="1:31" x14ac:dyDescent="0.25">
      <c r="A259" s="38" t="s">
        <v>36</v>
      </c>
      <c r="B259" s="38" t="s">
        <v>36</v>
      </c>
      <c r="C259" s="38" t="s">
        <v>577</v>
      </c>
      <c r="D259" s="38" t="s">
        <v>590</v>
      </c>
      <c r="E259" s="38"/>
      <c r="F259" s="38"/>
      <c r="G259" s="38"/>
      <c r="H259" s="38">
        <f t="shared" si="10"/>
        <v>0</v>
      </c>
      <c r="I259" s="38"/>
      <c r="J259" s="38"/>
      <c r="K259" s="38"/>
      <c r="L259" s="50"/>
      <c r="M259" s="38"/>
      <c r="N259" s="50"/>
      <c r="O259" s="38"/>
      <c r="P259" s="38"/>
      <c r="Q259" s="39" t="s">
        <v>44</v>
      </c>
      <c r="R259" s="7">
        <v>45201</v>
      </c>
      <c r="S259" s="40"/>
      <c r="T259" s="39">
        <v>289.40559999999999</v>
      </c>
      <c r="U259" s="39"/>
      <c r="V259" s="39"/>
      <c r="W259" s="39"/>
      <c r="X259" s="39"/>
      <c r="Y259" s="39"/>
      <c r="Z259" s="3"/>
      <c r="AB259" s="2"/>
      <c r="AC259" s="38" t="s">
        <v>590</v>
      </c>
      <c r="AD259" s="2"/>
      <c r="AE259" s="40"/>
    </row>
    <row r="260" spans="1:31" x14ac:dyDescent="0.25">
      <c r="A260" s="38" t="s">
        <v>36</v>
      </c>
      <c r="B260" s="38" t="s">
        <v>36</v>
      </c>
      <c r="C260" s="38" t="s">
        <v>577</v>
      </c>
      <c r="D260" s="38" t="s">
        <v>591</v>
      </c>
      <c r="E260" s="38"/>
      <c r="F260" s="38"/>
      <c r="G260" s="38"/>
      <c r="H260" s="38">
        <f t="shared" si="10"/>
        <v>0</v>
      </c>
      <c r="I260" s="38"/>
      <c r="J260" s="38"/>
      <c r="K260" s="38"/>
      <c r="L260" s="50"/>
      <c r="M260" s="38"/>
      <c r="N260" s="50"/>
      <c r="O260" s="38"/>
      <c r="P260" s="38"/>
      <c r="Q260" s="39" t="s">
        <v>44</v>
      </c>
      <c r="R260" s="7">
        <v>45201</v>
      </c>
      <c r="S260" s="40"/>
      <c r="T260" s="39">
        <v>66.433099999999996</v>
      </c>
      <c r="U260" s="39"/>
      <c r="V260" s="39"/>
      <c r="W260" s="39"/>
      <c r="X260" s="39"/>
      <c r="Y260" s="39"/>
      <c r="Z260" s="3"/>
      <c r="AB260" s="2"/>
      <c r="AC260" s="38" t="s">
        <v>591</v>
      </c>
      <c r="AD260" s="2"/>
      <c r="AE260" s="40"/>
    </row>
    <row r="261" spans="1:31" x14ac:dyDescent="0.25">
      <c r="A261" s="38" t="s">
        <v>36</v>
      </c>
      <c r="B261" s="38" t="s">
        <v>36</v>
      </c>
      <c r="C261" s="38" t="s">
        <v>577</v>
      </c>
      <c r="D261" s="38" t="s">
        <v>592</v>
      </c>
      <c r="E261" s="38"/>
      <c r="F261" s="38"/>
      <c r="G261" s="38"/>
      <c r="H261" s="38">
        <f t="shared" ref="H261:H324" si="13">I261+J261</f>
        <v>0</v>
      </c>
      <c r="I261" s="38"/>
      <c r="J261" s="38"/>
      <c r="K261" s="38"/>
      <c r="L261" s="50"/>
      <c r="M261" s="38"/>
      <c r="N261" s="50"/>
      <c r="O261" s="38"/>
      <c r="P261" s="38"/>
      <c r="Q261" s="39" t="s">
        <v>44</v>
      </c>
      <c r="R261" s="7">
        <v>45201</v>
      </c>
      <c r="S261" s="40"/>
      <c r="T261" s="39">
        <v>24.458500000000001</v>
      </c>
      <c r="U261" s="39"/>
      <c r="V261" s="39"/>
      <c r="W261" s="39"/>
      <c r="X261" s="39"/>
      <c r="Y261" s="39"/>
      <c r="Z261" s="3"/>
      <c r="AB261" s="2"/>
      <c r="AC261" s="38" t="s">
        <v>592</v>
      </c>
      <c r="AD261" s="2"/>
      <c r="AE261" s="40"/>
    </row>
    <row r="262" spans="1:31" x14ac:dyDescent="0.25">
      <c r="A262" s="38" t="s">
        <v>36</v>
      </c>
      <c r="B262" s="38" t="s">
        <v>36</v>
      </c>
      <c r="C262" s="38" t="s">
        <v>577</v>
      </c>
      <c r="D262" s="38" t="s">
        <v>593</v>
      </c>
      <c r="E262" s="38"/>
      <c r="F262" s="38"/>
      <c r="G262" s="38"/>
      <c r="H262" s="38">
        <f t="shared" si="13"/>
        <v>0</v>
      </c>
      <c r="I262" s="38"/>
      <c r="J262" s="38"/>
      <c r="K262" s="38"/>
      <c r="L262" s="50"/>
      <c r="M262" s="38"/>
      <c r="N262" s="50"/>
      <c r="O262" s="38"/>
      <c r="P262" s="38"/>
      <c r="Q262" s="39" t="s">
        <v>44</v>
      </c>
      <c r="R262" s="7">
        <v>45201</v>
      </c>
      <c r="S262" s="40"/>
      <c r="T262" s="39">
        <v>92.964200000000005</v>
      </c>
      <c r="U262" s="39"/>
      <c r="V262" s="39"/>
      <c r="W262" s="39"/>
      <c r="X262" s="39"/>
      <c r="Y262" s="39"/>
      <c r="Z262" s="3"/>
      <c r="AB262" s="2"/>
      <c r="AC262" s="38" t="s">
        <v>593</v>
      </c>
      <c r="AD262" s="2"/>
      <c r="AE262" s="40"/>
    </row>
    <row r="263" spans="1:31" x14ac:dyDescent="0.25">
      <c r="A263" s="38" t="s">
        <v>36</v>
      </c>
      <c r="B263" s="38" t="s">
        <v>36</v>
      </c>
      <c r="C263" s="38" t="s">
        <v>594</v>
      </c>
      <c r="D263" s="38" t="s">
        <v>594</v>
      </c>
      <c r="E263" s="38" t="s">
        <v>595</v>
      </c>
      <c r="F263" s="38">
        <v>1299</v>
      </c>
      <c r="G263" s="38">
        <v>1299</v>
      </c>
      <c r="H263" s="38">
        <f t="shared" si="13"/>
        <v>1938</v>
      </c>
      <c r="I263" s="38">
        <v>1250</v>
      </c>
      <c r="J263" s="38">
        <v>688</v>
      </c>
      <c r="K263" s="38">
        <v>562</v>
      </c>
      <c r="L263" s="50">
        <f t="shared" ref="L263:L325" si="14">K263/H263*100</f>
        <v>28.998968008255932</v>
      </c>
      <c r="M263" s="38">
        <v>138</v>
      </c>
      <c r="N263" s="50">
        <f t="shared" ref="N263:N325" si="15">M263/H263*100</f>
        <v>7.1207430340557281</v>
      </c>
      <c r="O263" s="38">
        <v>0</v>
      </c>
      <c r="P263" s="38">
        <v>0</v>
      </c>
      <c r="Q263" s="39" t="s">
        <v>44</v>
      </c>
      <c r="R263" s="25">
        <v>45282</v>
      </c>
      <c r="S263" s="40"/>
      <c r="T263" s="39">
        <v>0</v>
      </c>
      <c r="U263" s="39"/>
      <c r="V263" s="39"/>
      <c r="W263" s="39"/>
      <c r="X263" s="39"/>
      <c r="Y263" s="39"/>
      <c r="Z263" s="3"/>
      <c r="AB263" s="3"/>
      <c r="AC263" s="42" t="s">
        <v>594</v>
      </c>
      <c r="AD263" s="2"/>
      <c r="AE263" s="40"/>
    </row>
    <row r="264" spans="1:31" x14ac:dyDescent="0.25">
      <c r="A264" s="38" t="s">
        <v>36</v>
      </c>
      <c r="B264" s="38" t="s">
        <v>36</v>
      </c>
      <c r="C264" s="38" t="s">
        <v>594</v>
      </c>
      <c r="D264" s="38" t="s">
        <v>596</v>
      </c>
      <c r="E264" s="38" t="s">
        <v>597</v>
      </c>
      <c r="F264" s="38">
        <v>247</v>
      </c>
      <c r="G264" s="38">
        <v>247</v>
      </c>
      <c r="H264" s="38">
        <f t="shared" si="13"/>
        <v>288</v>
      </c>
      <c r="I264" s="38">
        <v>193</v>
      </c>
      <c r="J264" s="38">
        <v>95</v>
      </c>
      <c r="K264" s="38">
        <v>98</v>
      </c>
      <c r="L264" s="50">
        <f t="shared" si="14"/>
        <v>34.027777777777779</v>
      </c>
      <c r="M264" s="38">
        <v>0</v>
      </c>
      <c r="N264" s="50">
        <f t="shared" si="15"/>
        <v>0</v>
      </c>
      <c r="O264" s="38">
        <v>0</v>
      </c>
      <c r="P264" s="38">
        <v>0</v>
      </c>
      <c r="Q264" s="98" t="s">
        <v>44</v>
      </c>
      <c r="R264" s="7">
        <v>45282</v>
      </c>
      <c r="S264" s="99"/>
      <c r="T264" s="98">
        <v>0</v>
      </c>
      <c r="U264" s="98"/>
      <c r="V264" s="98"/>
      <c r="W264" s="98"/>
      <c r="X264" s="98"/>
      <c r="Y264" s="98"/>
      <c r="Z264" s="20"/>
      <c r="AB264" s="20"/>
      <c r="AC264" s="38" t="s">
        <v>596</v>
      </c>
      <c r="AD264" s="61"/>
      <c r="AE264" s="99"/>
    </row>
    <row r="265" spans="1:31" x14ac:dyDescent="0.25">
      <c r="A265" s="38" t="s">
        <v>36</v>
      </c>
      <c r="B265" s="38" t="s">
        <v>36</v>
      </c>
      <c r="C265" s="38" t="s">
        <v>594</v>
      </c>
      <c r="D265" s="38" t="s">
        <v>598</v>
      </c>
      <c r="E265" s="38" t="s">
        <v>599</v>
      </c>
      <c r="F265" s="38">
        <v>242</v>
      </c>
      <c r="G265" s="38">
        <v>242</v>
      </c>
      <c r="H265" s="38">
        <f t="shared" si="13"/>
        <v>328</v>
      </c>
      <c r="I265" s="38">
        <v>215</v>
      </c>
      <c r="J265" s="38">
        <v>113</v>
      </c>
      <c r="K265" s="38">
        <v>102</v>
      </c>
      <c r="L265" s="50">
        <f t="shared" si="14"/>
        <v>31.097560975609756</v>
      </c>
      <c r="M265" s="38">
        <v>0</v>
      </c>
      <c r="N265" s="50">
        <f t="shared" si="15"/>
        <v>0</v>
      </c>
      <c r="O265" s="38">
        <v>0</v>
      </c>
      <c r="P265" s="38">
        <v>0</v>
      </c>
      <c r="Q265" s="39" t="s">
        <v>44</v>
      </c>
      <c r="R265" s="25">
        <v>45282</v>
      </c>
      <c r="S265" s="40"/>
      <c r="T265" s="39">
        <v>0</v>
      </c>
      <c r="U265" s="39"/>
      <c r="V265" s="39"/>
      <c r="W265" s="39"/>
      <c r="X265" s="39"/>
      <c r="Y265" s="39"/>
      <c r="Z265" s="3"/>
      <c r="AB265" s="3"/>
      <c r="AC265" s="42" t="s">
        <v>598</v>
      </c>
      <c r="AD265" s="2"/>
      <c r="AE265" s="40"/>
    </row>
    <row r="266" spans="1:31" x14ac:dyDescent="0.25">
      <c r="A266" s="38" t="s">
        <v>36</v>
      </c>
      <c r="B266" s="38" t="s">
        <v>36</v>
      </c>
      <c r="C266" s="38" t="s">
        <v>594</v>
      </c>
      <c r="D266" s="38" t="s">
        <v>600</v>
      </c>
      <c r="E266" s="38" t="s">
        <v>601</v>
      </c>
      <c r="F266" s="38">
        <v>330</v>
      </c>
      <c r="G266" s="38">
        <v>330</v>
      </c>
      <c r="H266" s="38">
        <f t="shared" si="13"/>
        <v>686</v>
      </c>
      <c r="I266" s="38">
        <v>446</v>
      </c>
      <c r="J266" s="38">
        <v>240</v>
      </c>
      <c r="K266" s="38">
        <v>206</v>
      </c>
      <c r="L266" s="50">
        <f t="shared" si="14"/>
        <v>30.029154518950435</v>
      </c>
      <c r="M266" s="38">
        <v>40</v>
      </c>
      <c r="N266" s="50">
        <f t="shared" si="15"/>
        <v>5.8309037900874632</v>
      </c>
      <c r="O266" s="38">
        <v>0</v>
      </c>
      <c r="P266" s="38">
        <v>0</v>
      </c>
      <c r="Q266" s="98" t="s">
        <v>44</v>
      </c>
      <c r="R266" s="7">
        <v>45282</v>
      </c>
      <c r="S266" s="99"/>
      <c r="T266" s="98">
        <v>0</v>
      </c>
      <c r="U266" s="98"/>
      <c r="V266" s="98"/>
      <c r="W266" s="98"/>
      <c r="X266" s="98"/>
      <c r="Y266" s="98"/>
      <c r="Z266" s="20"/>
      <c r="AB266" s="20"/>
      <c r="AC266" s="38" t="s">
        <v>600</v>
      </c>
      <c r="AD266" s="61"/>
      <c r="AE266" s="99"/>
    </row>
    <row r="267" spans="1:31" x14ac:dyDescent="0.25">
      <c r="A267" s="38" t="s">
        <v>36</v>
      </c>
      <c r="B267" s="38" t="s">
        <v>36</v>
      </c>
      <c r="C267" s="38" t="s">
        <v>594</v>
      </c>
      <c r="D267" s="38" t="s">
        <v>602</v>
      </c>
      <c r="E267" s="38" t="s">
        <v>603</v>
      </c>
      <c r="F267" s="38">
        <v>708</v>
      </c>
      <c r="G267" s="38">
        <v>708</v>
      </c>
      <c r="H267" s="38">
        <f t="shared" si="13"/>
        <v>740</v>
      </c>
      <c r="I267" s="38">
        <v>483</v>
      </c>
      <c r="J267" s="38">
        <v>257</v>
      </c>
      <c r="K267" s="38">
        <v>226</v>
      </c>
      <c r="L267" s="50">
        <f t="shared" si="14"/>
        <v>30.54054054054054</v>
      </c>
      <c r="M267" s="38">
        <v>0</v>
      </c>
      <c r="N267" s="50">
        <f t="shared" si="15"/>
        <v>0</v>
      </c>
      <c r="O267" s="38">
        <v>0</v>
      </c>
      <c r="P267" s="38">
        <v>0</v>
      </c>
      <c r="Q267" s="39" t="s">
        <v>44</v>
      </c>
      <c r="R267" s="25">
        <v>45282</v>
      </c>
      <c r="S267" s="40"/>
      <c r="T267" s="39">
        <v>0</v>
      </c>
      <c r="U267" s="39"/>
      <c r="V267" s="39"/>
      <c r="W267" s="39"/>
      <c r="X267" s="39"/>
      <c r="Y267" s="39"/>
      <c r="Z267" s="3"/>
      <c r="AB267" s="3"/>
      <c r="AC267" s="42" t="s">
        <v>602</v>
      </c>
      <c r="AD267" s="2"/>
      <c r="AE267" s="40"/>
    </row>
    <row r="268" spans="1:31" x14ac:dyDescent="0.25">
      <c r="A268" s="38" t="s">
        <v>36</v>
      </c>
      <c r="B268" s="41" t="s">
        <v>36</v>
      </c>
      <c r="C268" s="41" t="s">
        <v>604</v>
      </c>
      <c r="D268" s="41" t="s">
        <v>605</v>
      </c>
      <c r="E268" s="41" t="s">
        <v>606</v>
      </c>
      <c r="F268" s="41">
        <v>1786.06</v>
      </c>
      <c r="G268" s="41">
        <v>1786.06</v>
      </c>
      <c r="H268" s="38">
        <f t="shared" si="13"/>
        <v>4137</v>
      </c>
      <c r="I268" s="41">
        <v>2700</v>
      </c>
      <c r="J268" s="41">
        <v>1437</v>
      </c>
      <c r="K268" s="41">
        <v>1263</v>
      </c>
      <c r="L268" s="50">
        <f t="shared" si="14"/>
        <v>30.529369108049309</v>
      </c>
      <c r="M268" s="41">
        <v>602</v>
      </c>
      <c r="N268" s="50">
        <f t="shared" si="15"/>
        <v>14.551607445008461</v>
      </c>
      <c r="O268" s="41">
        <v>256.82</v>
      </c>
      <c r="P268" s="41">
        <v>146.16999999999999</v>
      </c>
      <c r="Q268" s="43" t="s">
        <v>44</v>
      </c>
      <c r="R268" s="24">
        <v>45561</v>
      </c>
      <c r="S268" s="44"/>
      <c r="T268" s="43">
        <v>153</v>
      </c>
      <c r="U268" s="43"/>
      <c r="V268" s="43"/>
      <c r="W268" s="43"/>
      <c r="X268" s="43"/>
      <c r="Y268" s="43"/>
      <c r="Z268" s="5"/>
      <c r="AB268" s="5">
        <v>22</v>
      </c>
      <c r="AC268" s="41" t="s">
        <v>605</v>
      </c>
      <c r="AD268" s="44">
        <v>25.575506000000001</v>
      </c>
      <c r="AE268" s="44">
        <v>71.306475000000006</v>
      </c>
    </row>
    <row r="269" spans="1:31" x14ac:dyDescent="0.25">
      <c r="A269" s="38" t="s">
        <v>36</v>
      </c>
      <c r="B269" s="41" t="s">
        <v>36</v>
      </c>
      <c r="C269" s="41" t="s">
        <v>604</v>
      </c>
      <c r="D269" s="41" t="s">
        <v>605</v>
      </c>
      <c r="E269" s="41" t="s">
        <v>606</v>
      </c>
      <c r="F269" s="41">
        <v>1786.06</v>
      </c>
      <c r="G269" s="41">
        <v>1786.06</v>
      </c>
      <c r="H269" s="38">
        <f t="shared" si="13"/>
        <v>4137</v>
      </c>
      <c r="I269" s="41">
        <v>2700</v>
      </c>
      <c r="J269" s="41">
        <v>1437</v>
      </c>
      <c r="K269" s="41">
        <v>1263</v>
      </c>
      <c r="L269" s="50">
        <f t="shared" si="14"/>
        <v>30.529369108049309</v>
      </c>
      <c r="M269" s="41">
        <v>602</v>
      </c>
      <c r="N269" s="50">
        <f t="shared" si="15"/>
        <v>14.551607445008461</v>
      </c>
      <c r="O269" s="41">
        <v>256.82</v>
      </c>
      <c r="P269" s="41">
        <v>146.16999999999999</v>
      </c>
      <c r="Q269" s="43"/>
      <c r="R269" s="24">
        <v>45561</v>
      </c>
      <c r="S269" s="44"/>
      <c r="T269" s="43"/>
      <c r="U269" s="43"/>
      <c r="V269" s="43"/>
      <c r="W269" s="43"/>
      <c r="X269" s="43"/>
      <c r="Y269" s="43"/>
      <c r="Z269" s="5"/>
      <c r="AB269" s="5">
        <v>35</v>
      </c>
      <c r="AC269" s="41" t="s">
        <v>605</v>
      </c>
      <c r="AD269" s="44">
        <v>25.616250999999998</v>
      </c>
      <c r="AE269" s="44">
        <v>71.319710000000001</v>
      </c>
    </row>
    <row r="270" spans="1:31" x14ac:dyDescent="0.25">
      <c r="A270" s="38" t="s">
        <v>36</v>
      </c>
      <c r="B270" s="38" t="s">
        <v>36</v>
      </c>
      <c r="C270" s="38" t="s">
        <v>604</v>
      </c>
      <c r="D270" s="38" t="s">
        <v>607</v>
      </c>
      <c r="E270" s="38" t="s">
        <v>608</v>
      </c>
      <c r="F270" s="38">
        <v>1419.47</v>
      </c>
      <c r="G270" s="38">
        <v>1419.47</v>
      </c>
      <c r="H270" s="38">
        <f t="shared" si="13"/>
        <v>1677</v>
      </c>
      <c r="I270" s="38">
        <v>1102</v>
      </c>
      <c r="J270" s="38">
        <v>575</v>
      </c>
      <c r="K270" s="38">
        <v>527</v>
      </c>
      <c r="L270" s="50">
        <f t="shared" si="14"/>
        <v>31.425163983303516</v>
      </c>
      <c r="M270" s="38">
        <v>163</v>
      </c>
      <c r="N270" s="50">
        <f t="shared" si="15"/>
        <v>9.7197376267143714</v>
      </c>
      <c r="O270" s="38">
        <v>0</v>
      </c>
      <c r="P270" s="38">
        <v>2.2999999999999998</v>
      </c>
      <c r="Q270" s="39" t="s">
        <v>44</v>
      </c>
      <c r="R270" s="7">
        <v>45561</v>
      </c>
      <c r="S270" s="40"/>
      <c r="T270" s="39">
        <v>3</v>
      </c>
      <c r="U270" s="39"/>
      <c r="V270" s="39"/>
      <c r="W270" s="39"/>
      <c r="X270" s="39"/>
      <c r="Y270" s="39"/>
      <c r="Z270" s="3"/>
      <c r="AB270" s="3"/>
      <c r="AC270" s="38" t="s">
        <v>607</v>
      </c>
      <c r="AD270" s="2"/>
      <c r="AE270" s="40"/>
    </row>
    <row r="271" spans="1:31" x14ac:dyDescent="0.25">
      <c r="A271" s="38" t="s">
        <v>36</v>
      </c>
      <c r="B271" s="38" t="s">
        <v>36</v>
      </c>
      <c r="C271" s="38" t="s">
        <v>604</v>
      </c>
      <c r="D271" s="38" t="s">
        <v>609</v>
      </c>
      <c r="E271" s="38"/>
      <c r="F271" s="38"/>
      <c r="G271" s="38"/>
      <c r="H271" s="38">
        <f t="shared" si="13"/>
        <v>0</v>
      </c>
      <c r="I271" s="38"/>
      <c r="J271" s="38"/>
      <c r="K271" s="38"/>
      <c r="L271" s="50"/>
      <c r="M271" s="38"/>
      <c r="N271" s="50"/>
      <c r="O271" s="38"/>
      <c r="P271" s="38"/>
      <c r="Q271" s="39" t="s">
        <v>44</v>
      </c>
      <c r="R271" s="7">
        <v>45561</v>
      </c>
      <c r="S271" s="40"/>
      <c r="T271" s="39">
        <v>5.1071</v>
      </c>
      <c r="U271" s="39"/>
      <c r="V271" s="39"/>
      <c r="W271" s="39"/>
      <c r="X271" s="39"/>
      <c r="Y271" s="39"/>
      <c r="Z271" s="3"/>
      <c r="AB271" s="3"/>
      <c r="AC271" s="38" t="s">
        <v>609</v>
      </c>
      <c r="AD271" s="2"/>
      <c r="AE271" s="40"/>
    </row>
    <row r="272" spans="1:31" x14ac:dyDescent="0.25">
      <c r="A272" s="38" t="s">
        <v>36</v>
      </c>
      <c r="B272" s="38" t="s">
        <v>36</v>
      </c>
      <c r="C272" s="38" t="s">
        <v>604</v>
      </c>
      <c r="D272" s="38" t="s">
        <v>610</v>
      </c>
      <c r="E272" s="38"/>
      <c r="F272" s="38"/>
      <c r="G272" s="38"/>
      <c r="H272" s="38">
        <f t="shared" si="13"/>
        <v>0</v>
      </c>
      <c r="I272" s="38"/>
      <c r="J272" s="38"/>
      <c r="K272" s="38"/>
      <c r="L272" s="50"/>
      <c r="M272" s="38"/>
      <c r="N272" s="50"/>
      <c r="O272" s="38"/>
      <c r="P272" s="38"/>
      <c r="Q272" s="39" t="s">
        <v>44</v>
      </c>
      <c r="R272" s="7">
        <v>45561</v>
      </c>
      <c r="S272" s="40"/>
      <c r="T272" s="39">
        <v>1.6187</v>
      </c>
      <c r="U272" s="39"/>
      <c r="V272" s="39"/>
      <c r="W272" s="39"/>
      <c r="X272" s="39"/>
      <c r="Y272" s="39"/>
      <c r="Z272" s="3"/>
      <c r="AB272" s="3"/>
      <c r="AC272" s="38" t="s">
        <v>610</v>
      </c>
      <c r="AD272" s="2"/>
      <c r="AE272" s="40"/>
    </row>
    <row r="273" spans="1:31" x14ac:dyDescent="0.25">
      <c r="A273" s="38" t="s">
        <v>36</v>
      </c>
      <c r="B273" s="38" t="s">
        <v>36</v>
      </c>
      <c r="C273" s="38" t="s">
        <v>604</v>
      </c>
      <c r="D273" s="38" t="s">
        <v>611</v>
      </c>
      <c r="E273" s="38" t="s">
        <v>612</v>
      </c>
      <c r="F273" s="38">
        <v>1058.8800000000001</v>
      </c>
      <c r="G273" s="38">
        <v>1058.8800000000001</v>
      </c>
      <c r="H273" s="38">
        <f t="shared" si="13"/>
        <v>1742</v>
      </c>
      <c r="I273" s="38">
        <v>1130</v>
      </c>
      <c r="J273" s="38">
        <v>612</v>
      </c>
      <c r="K273" s="38">
        <v>518</v>
      </c>
      <c r="L273" s="50">
        <f t="shared" si="14"/>
        <v>29.735935706084959</v>
      </c>
      <c r="M273" s="38">
        <v>113</v>
      </c>
      <c r="N273" s="50">
        <f t="shared" si="15"/>
        <v>6.4867967853042483</v>
      </c>
      <c r="O273" s="38">
        <v>53.92</v>
      </c>
      <c r="P273" s="38">
        <v>0</v>
      </c>
      <c r="Q273" s="39" t="s">
        <v>44</v>
      </c>
      <c r="R273" s="7">
        <v>45561</v>
      </c>
      <c r="S273" s="40"/>
      <c r="T273" s="39">
        <v>27.107199999999999</v>
      </c>
      <c r="U273" s="39"/>
      <c r="V273" s="39"/>
      <c r="W273" s="39"/>
      <c r="X273" s="39"/>
      <c r="Y273" s="39"/>
      <c r="Z273" s="3"/>
      <c r="AB273" s="3"/>
      <c r="AC273" s="38" t="s">
        <v>611</v>
      </c>
      <c r="AD273" s="2"/>
      <c r="AE273" s="40"/>
    </row>
    <row r="274" spans="1:31" x14ac:dyDescent="0.25">
      <c r="A274" s="38" t="s">
        <v>36</v>
      </c>
      <c r="B274" s="38" t="s">
        <v>36</v>
      </c>
      <c r="C274" s="38" t="s">
        <v>613</v>
      </c>
      <c r="D274" s="38" t="s">
        <v>614</v>
      </c>
      <c r="E274" s="38" t="s">
        <v>615</v>
      </c>
      <c r="F274" s="38">
        <v>800</v>
      </c>
      <c r="G274" s="38">
        <v>800</v>
      </c>
      <c r="H274" s="38">
        <f t="shared" si="13"/>
        <v>2059</v>
      </c>
      <c r="I274" s="38">
        <v>1341</v>
      </c>
      <c r="J274" s="38">
        <v>718</v>
      </c>
      <c r="K274" s="38">
        <v>623</v>
      </c>
      <c r="L274" s="50">
        <f t="shared" si="14"/>
        <v>30.257406508013602</v>
      </c>
      <c r="M274" s="38">
        <v>45</v>
      </c>
      <c r="N274" s="50">
        <f t="shared" si="15"/>
        <v>2.1855269548324427</v>
      </c>
      <c r="O274" s="38">
        <v>0</v>
      </c>
      <c r="P274" s="38">
        <v>85</v>
      </c>
    </row>
    <row r="275" spans="1:31" x14ac:dyDescent="0.25">
      <c r="A275" s="38" t="s">
        <v>36</v>
      </c>
      <c r="B275" s="38" t="s">
        <v>36</v>
      </c>
      <c r="C275" s="38" t="s">
        <v>613</v>
      </c>
      <c r="D275" s="38" t="s">
        <v>616</v>
      </c>
      <c r="E275" s="38" t="s">
        <v>617</v>
      </c>
      <c r="F275" s="38">
        <v>1260</v>
      </c>
      <c r="G275" s="38">
        <v>1260</v>
      </c>
      <c r="H275" s="38">
        <f t="shared" si="13"/>
        <v>2188</v>
      </c>
      <c r="I275" s="38">
        <v>1455</v>
      </c>
      <c r="J275" s="38">
        <v>733</v>
      </c>
      <c r="K275" s="38">
        <v>722</v>
      </c>
      <c r="L275" s="50">
        <f t="shared" si="14"/>
        <v>32.998171846435099</v>
      </c>
      <c r="M275" s="38">
        <v>400</v>
      </c>
      <c r="N275" s="50">
        <f t="shared" si="15"/>
        <v>18.281535648994517</v>
      </c>
      <c r="O275" s="38">
        <v>0</v>
      </c>
      <c r="P275" s="38">
        <v>0</v>
      </c>
    </row>
    <row r="276" spans="1:31" x14ac:dyDescent="0.25">
      <c r="A276" s="38" t="s">
        <v>36</v>
      </c>
      <c r="B276" s="41" t="s">
        <v>36</v>
      </c>
      <c r="C276" s="41" t="s">
        <v>618</v>
      </c>
      <c r="D276" s="41" t="s">
        <v>618</v>
      </c>
      <c r="E276" s="41" t="s">
        <v>619</v>
      </c>
      <c r="F276" s="41">
        <v>2512</v>
      </c>
      <c r="G276" s="41">
        <v>2512</v>
      </c>
      <c r="H276" s="38">
        <f t="shared" si="13"/>
        <v>1291</v>
      </c>
      <c r="I276" s="41">
        <v>839</v>
      </c>
      <c r="J276" s="41">
        <v>452</v>
      </c>
      <c r="K276" s="41">
        <v>387</v>
      </c>
      <c r="L276" s="50">
        <f t="shared" si="14"/>
        <v>29.97676219984508</v>
      </c>
      <c r="M276" s="41">
        <v>188</v>
      </c>
      <c r="N276" s="50">
        <f t="shared" si="15"/>
        <v>14.562354763749033</v>
      </c>
      <c r="O276" s="41">
        <v>623</v>
      </c>
      <c r="P276" s="41">
        <v>123</v>
      </c>
      <c r="Q276" s="48" t="s">
        <v>43</v>
      </c>
      <c r="R276" s="31">
        <v>44582</v>
      </c>
      <c r="S276" s="48"/>
      <c r="T276" s="48">
        <v>63</v>
      </c>
      <c r="U276" s="48"/>
      <c r="V276" s="48"/>
      <c r="W276" s="48"/>
      <c r="X276" s="48"/>
      <c r="Y276" s="48"/>
      <c r="Z276" s="80"/>
      <c r="AB276" s="80">
        <v>60</v>
      </c>
      <c r="AC276" s="48" t="s">
        <v>620</v>
      </c>
      <c r="AD276" s="48">
        <v>25.900690000000001</v>
      </c>
      <c r="AE276" s="48">
        <v>71.236852999999996</v>
      </c>
    </row>
    <row r="277" spans="1:31" x14ac:dyDescent="0.25">
      <c r="A277" s="38" t="s">
        <v>36</v>
      </c>
      <c r="B277" s="38" t="s">
        <v>36</v>
      </c>
      <c r="C277" s="38" t="s">
        <v>618</v>
      </c>
      <c r="D277" s="38" t="s">
        <v>621</v>
      </c>
      <c r="E277" s="38" t="s">
        <v>622</v>
      </c>
      <c r="F277" s="38">
        <v>722</v>
      </c>
      <c r="G277" s="38">
        <v>722</v>
      </c>
      <c r="H277" s="38">
        <f t="shared" si="13"/>
        <v>1437</v>
      </c>
      <c r="I277" s="38">
        <v>927</v>
      </c>
      <c r="J277" s="38">
        <v>510</v>
      </c>
      <c r="K277" s="38">
        <v>417</v>
      </c>
      <c r="L277" s="50">
        <f t="shared" si="14"/>
        <v>29.018789144050107</v>
      </c>
      <c r="M277" s="38">
        <v>114</v>
      </c>
      <c r="N277" s="50">
        <f t="shared" si="15"/>
        <v>7.9331941544885183</v>
      </c>
      <c r="O277" s="38">
        <v>0</v>
      </c>
      <c r="P277" s="38">
        <v>0</v>
      </c>
      <c r="Q277" s="98" t="s">
        <v>44</v>
      </c>
      <c r="R277" s="7">
        <v>45201</v>
      </c>
      <c r="S277" s="99"/>
      <c r="T277" s="98">
        <v>0</v>
      </c>
      <c r="U277" s="98"/>
      <c r="V277" s="98"/>
      <c r="W277" s="98"/>
      <c r="X277" s="98"/>
      <c r="Y277" s="98"/>
      <c r="Z277" s="20"/>
      <c r="AB277" s="20"/>
      <c r="AC277" s="38" t="s">
        <v>621</v>
      </c>
      <c r="AD277" s="61"/>
      <c r="AE277" s="99"/>
    </row>
    <row r="278" spans="1:31" x14ac:dyDescent="0.25">
      <c r="A278" s="38" t="s">
        <v>36</v>
      </c>
      <c r="B278" s="38" t="s">
        <v>36</v>
      </c>
      <c r="C278" s="38" t="s">
        <v>618</v>
      </c>
      <c r="D278" s="38" t="s">
        <v>623</v>
      </c>
      <c r="E278" s="38" t="s">
        <v>624</v>
      </c>
      <c r="F278" s="38">
        <v>1627</v>
      </c>
      <c r="G278" s="38">
        <v>1627</v>
      </c>
      <c r="H278" s="38">
        <f t="shared" si="13"/>
        <v>1011</v>
      </c>
      <c r="I278" s="38">
        <v>654</v>
      </c>
      <c r="J278" s="38">
        <v>357</v>
      </c>
      <c r="K278" s="38">
        <v>297</v>
      </c>
      <c r="L278" s="50">
        <f t="shared" si="14"/>
        <v>29.376854599406528</v>
      </c>
      <c r="M278" s="38">
        <v>115</v>
      </c>
      <c r="N278" s="50">
        <f t="shared" si="15"/>
        <v>11.374876360039565</v>
      </c>
      <c r="O278" s="38">
        <v>0</v>
      </c>
      <c r="P278" s="38">
        <v>16</v>
      </c>
      <c r="Q278" s="39" t="s">
        <v>44</v>
      </c>
      <c r="R278" s="25">
        <v>45201</v>
      </c>
      <c r="S278" s="40"/>
      <c r="T278" s="39">
        <v>0</v>
      </c>
      <c r="U278" s="39"/>
      <c r="V278" s="39"/>
      <c r="W278" s="39"/>
      <c r="X278" s="39"/>
      <c r="Y278" s="39"/>
      <c r="Z278" s="3"/>
      <c r="AB278" s="3"/>
      <c r="AC278" s="42" t="s">
        <v>623</v>
      </c>
      <c r="AD278" s="2"/>
      <c r="AE278" s="40"/>
    </row>
    <row r="279" spans="1:31" x14ac:dyDescent="0.25">
      <c r="A279" s="38" t="s">
        <v>36</v>
      </c>
      <c r="B279" s="38" t="s">
        <v>36</v>
      </c>
      <c r="C279" s="38" t="s">
        <v>625</v>
      </c>
      <c r="D279" s="38" t="s">
        <v>626</v>
      </c>
      <c r="E279" s="38" t="s">
        <v>627</v>
      </c>
      <c r="F279" s="38">
        <v>740</v>
      </c>
      <c r="G279" s="38">
        <v>740</v>
      </c>
      <c r="H279" s="38">
        <f t="shared" si="13"/>
        <v>1531</v>
      </c>
      <c r="I279" s="38">
        <v>1001</v>
      </c>
      <c r="J279" s="38">
        <v>530</v>
      </c>
      <c r="K279" s="38">
        <v>471</v>
      </c>
      <c r="L279" s="50">
        <f t="shared" si="14"/>
        <v>30.764206401045069</v>
      </c>
      <c r="M279" s="38">
        <v>2</v>
      </c>
      <c r="N279" s="50">
        <f t="shared" si="15"/>
        <v>0.13063357282821686</v>
      </c>
      <c r="O279" s="38">
        <v>0</v>
      </c>
      <c r="P279" s="38">
        <v>94</v>
      </c>
      <c r="Q279" s="39" t="s">
        <v>44</v>
      </c>
      <c r="R279" s="7">
        <v>45454</v>
      </c>
      <c r="S279" s="40"/>
      <c r="T279" s="39">
        <v>81.916300000000007</v>
      </c>
      <c r="U279" s="39"/>
      <c r="V279" s="39"/>
      <c r="W279" s="39"/>
      <c r="X279" s="39"/>
      <c r="Y279" s="39"/>
      <c r="Z279" s="3"/>
      <c r="AB279" s="3"/>
      <c r="AC279" s="38" t="s">
        <v>626</v>
      </c>
      <c r="AE279" s="40"/>
    </row>
    <row r="280" spans="1:31" x14ac:dyDescent="0.25">
      <c r="A280" s="38" t="s">
        <v>36</v>
      </c>
      <c r="B280" s="38" t="s">
        <v>36</v>
      </c>
      <c r="C280" s="38" t="s">
        <v>625</v>
      </c>
      <c r="D280" s="38" t="s">
        <v>628</v>
      </c>
      <c r="E280" s="38" t="s">
        <v>629</v>
      </c>
      <c r="F280" s="38">
        <v>2122</v>
      </c>
      <c r="G280" s="38">
        <v>2122</v>
      </c>
      <c r="H280" s="38">
        <f t="shared" si="13"/>
        <v>2554</v>
      </c>
      <c r="I280" s="38">
        <v>1657</v>
      </c>
      <c r="J280" s="38">
        <v>897</v>
      </c>
      <c r="K280" s="38">
        <v>760</v>
      </c>
      <c r="L280" s="50">
        <f t="shared" si="14"/>
        <v>29.757243539545808</v>
      </c>
      <c r="M280" s="38">
        <v>98</v>
      </c>
      <c r="N280" s="50">
        <f t="shared" si="15"/>
        <v>3.837118245888802</v>
      </c>
      <c r="O280" s="38">
        <v>0</v>
      </c>
      <c r="P280" s="38">
        <v>64</v>
      </c>
      <c r="Q280" s="39" t="s">
        <v>44</v>
      </c>
      <c r="R280" s="7">
        <v>45454</v>
      </c>
      <c r="S280" s="40"/>
      <c r="T280" s="39">
        <v>37.708500000000001</v>
      </c>
      <c r="U280" s="39"/>
      <c r="V280" s="39"/>
      <c r="W280" s="39"/>
      <c r="X280" s="39"/>
      <c r="Y280" s="39"/>
      <c r="Z280" s="3"/>
      <c r="AB280" s="3"/>
      <c r="AC280" s="38" t="s">
        <v>628</v>
      </c>
      <c r="AE280" s="40"/>
    </row>
    <row r="281" spans="1:31" x14ac:dyDescent="0.25">
      <c r="A281" s="38" t="s">
        <v>36</v>
      </c>
      <c r="B281" s="38" t="s">
        <v>36</v>
      </c>
      <c r="C281" s="38" t="s">
        <v>625</v>
      </c>
      <c r="D281" s="38" t="s">
        <v>630</v>
      </c>
      <c r="E281" s="38" t="s">
        <v>631</v>
      </c>
      <c r="F281" s="38">
        <v>1330.24</v>
      </c>
      <c r="G281" s="38">
        <v>1330.24</v>
      </c>
      <c r="H281" s="38">
        <f t="shared" si="13"/>
        <v>916</v>
      </c>
      <c r="I281" s="38">
        <v>592</v>
      </c>
      <c r="J281" s="38">
        <v>324</v>
      </c>
      <c r="K281" s="38">
        <v>268</v>
      </c>
      <c r="L281" s="50">
        <f t="shared" si="14"/>
        <v>29.257641921397383</v>
      </c>
      <c r="M281" s="38">
        <v>71</v>
      </c>
      <c r="N281" s="50">
        <f t="shared" si="15"/>
        <v>7.751091703056769</v>
      </c>
      <c r="O281" s="38">
        <v>0</v>
      </c>
      <c r="P281" s="38">
        <v>0</v>
      </c>
      <c r="Q281" s="39" t="s">
        <v>44</v>
      </c>
      <c r="R281" s="7">
        <v>45454</v>
      </c>
      <c r="S281" s="40"/>
      <c r="T281" s="39">
        <v>11.7036</v>
      </c>
      <c r="U281" s="39"/>
      <c r="V281" s="39"/>
      <c r="W281" s="39"/>
      <c r="X281" s="39"/>
      <c r="Y281" s="39"/>
      <c r="Z281" s="3"/>
      <c r="AB281" s="3"/>
      <c r="AC281" s="38" t="s">
        <v>630</v>
      </c>
      <c r="AE281" s="40"/>
    </row>
    <row r="282" spans="1:31" x14ac:dyDescent="0.25">
      <c r="A282" s="38" t="s">
        <v>36</v>
      </c>
      <c r="B282" s="38" t="s">
        <v>36</v>
      </c>
      <c r="C282" s="38" t="s">
        <v>632</v>
      </c>
      <c r="D282" s="38" t="s">
        <v>633</v>
      </c>
      <c r="E282" s="38" t="s">
        <v>634</v>
      </c>
      <c r="F282" s="38">
        <v>1060</v>
      </c>
      <c r="G282" s="38">
        <v>1060</v>
      </c>
      <c r="H282" s="38">
        <f t="shared" si="13"/>
        <v>1732</v>
      </c>
      <c r="I282" s="38">
        <v>1136</v>
      </c>
      <c r="J282" s="38">
        <v>596</v>
      </c>
      <c r="K282" s="38">
        <v>540</v>
      </c>
      <c r="L282" s="50">
        <f t="shared" si="14"/>
        <v>31.177829099307157</v>
      </c>
      <c r="M282" s="38">
        <v>191</v>
      </c>
      <c r="N282" s="50">
        <f t="shared" si="15"/>
        <v>11.027713625866051</v>
      </c>
      <c r="O282" s="38">
        <v>0</v>
      </c>
      <c r="P282" s="38">
        <v>212</v>
      </c>
    </row>
    <row r="283" spans="1:31" x14ac:dyDescent="0.25">
      <c r="A283" s="38" t="s">
        <v>36</v>
      </c>
      <c r="B283" s="38" t="s">
        <v>36</v>
      </c>
      <c r="C283" s="38" t="s">
        <v>632</v>
      </c>
      <c r="D283" s="38" t="s">
        <v>635</v>
      </c>
      <c r="E283" s="38" t="s">
        <v>636</v>
      </c>
      <c r="F283" s="38">
        <v>856</v>
      </c>
      <c r="G283" s="38">
        <v>856</v>
      </c>
      <c r="H283" s="38">
        <f t="shared" si="13"/>
        <v>1515</v>
      </c>
      <c r="I283" s="38">
        <v>989</v>
      </c>
      <c r="J283" s="38">
        <v>526</v>
      </c>
      <c r="K283" s="38">
        <v>463</v>
      </c>
      <c r="L283" s="50">
        <f t="shared" si="14"/>
        <v>30.561056105610561</v>
      </c>
      <c r="M283" s="38">
        <v>0</v>
      </c>
      <c r="N283" s="50">
        <f t="shared" si="15"/>
        <v>0</v>
      </c>
      <c r="O283" s="38">
        <v>0</v>
      </c>
      <c r="P283" s="38">
        <v>0</v>
      </c>
    </row>
    <row r="284" spans="1:31" x14ac:dyDescent="0.25">
      <c r="A284" s="38" t="s">
        <v>36</v>
      </c>
      <c r="B284" s="38" t="s">
        <v>36</v>
      </c>
      <c r="C284" s="38" t="s">
        <v>632</v>
      </c>
      <c r="D284" s="38" t="s">
        <v>637</v>
      </c>
      <c r="E284" s="38" t="s">
        <v>638</v>
      </c>
      <c r="F284" s="38">
        <v>899</v>
      </c>
      <c r="G284" s="38">
        <v>899</v>
      </c>
      <c r="H284" s="38">
        <f t="shared" si="13"/>
        <v>1621</v>
      </c>
      <c r="I284" s="38">
        <v>1038</v>
      </c>
      <c r="J284" s="38">
        <v>583</v>
      </c>
      <c r="K284" s="38">
        <v>455</v>
      </c>
      <c r="L284" s="50">
        <f t="shared" si="14"/>
        <v>28.069093152375078</v>
      </c>
      <c r="M284" s="38">
        <v>276</v>
      </c>
      <c r="N284" s="50">
        <f t="shared" si="15"/>
        <v>17.026526835286859</v>
      </c>
      <c r="O284" s="38">
        <v>3</v>
      </c>
      <c r="P284" s="38">
        <v>0</v>
      </c>
    </row>
    <row r="285" spans="1:31" x14ac:dyDescent="0.25">
      <c r="A285" s="38" t="s">
        <v>36</v>
      </c>
      <c r="B285" s="38" t="s">
        <v>36</v>
      </c>
      <c r="C285" s="38" t="s">
        <v>639</v>
      </c>
      <c r="D285" s="38" t="s">
        <v>640</v>
      </c>
      <c r="E285" s="38" t="s">
        <v>641</v>
      </c>
      <c r="F285" s="38">
        <v>1025</v>
      </c>
      <c r="G285" s="38">
        <v>1025</v>
      </c>
      <c r="H285" s="38">
        <f t="shared" si="13"/>
        <v>3456</v>
      </c>
      <c r="I285" s="38">
        <v>2231</v>
      </c>
      <c r="J285" s="38">
        <v>1225</v>
      </c>
      <c r="K285" s="38">
        <v>1006</v>
      </c>
      <c r="L285" s="50">
        <f t="shared" si="14"/>
        <v>29.108796296296298</v>
      </c>
      <c r="M285" s="38">
        <v>116</v>
      </c>
      <c r="N285" s="50">
        <f t="shared" si="15"/>
        <v>3.3564814814814818</v>
      </c>
      <c r="O285" s="38">
        <v>0</v>
      </c>
      <c r="P285" s="38">
        <v>43</v>
      </c>
      <c r="Q285" s="39" t="s">
        <v>44</v>
      </c>
      <c r="R285" s="25">
        <v>45201</v>
      </c>
      <c r="S285" s="40"/>
      <c r="T285" s="39">
        <v>0</v>
      </c>
      <c r="U285" s="39"/>
      <c r="V285" s="39"/>
      <c r="W285" s="39"/>
      <c r="X285" s="39"/>
      <c r="Y285" s="39"/>
      <c r="Z285" s="3"/>
      <c r="AB285" s="3"/>
      <c r="AC285" s="42" t="s">
        <v>640</v>
      </c>
      <c r="AD285" s="2"/>
      <c r="AE285" s="40"/>
    </row>
    <row r="286" spans="1:31" x14ac:dyDescent="0.25">
      <c r="A286" s="38" t="s">
        <v>36</v>
      </c>
      <c r="B286" s="38" t="s">
        <v>36</v>
      </c>
      <c r="C286" s="38" t="s">
        <v>639</v>
      </c>
      <c r="D286" s="38" t="s">
        <v>642</v>
      </c>
      <c r="E286" s="38" t="s">
        <v>643</v>
      </c>
      <c r="F286" s="38">
        <v>788</v>
      </c>
      <c r="G286" s="38">
        <v>788</v>
      </c>
      <c r="H286" s="38">
        <f t="shared" si="13"/>
        <v>921</v>
      </c>
      <c r="I286" s="38">
        <v>603</v>
      </c>
      <c r="J286" s="38">
        <v>318</v>
      </c>
      <c r="K286" s="38">
        <v>285</v>
      </c>
      <c r="L286" s="50">
        <f t="shared" si="14"/>
        <v>30.944625407166125</v>
      </c>
      <c r="M286" s="38">
        <v>0</v>
      </c>
      <c r="N286" s="50">
        <f t="shared" si="15"/>
        <v>0</v>
      </c>
      <c r="O286" s="38">
        <v>0</v>
      </c>
      <c r="P286" s="38">
        <v>0</v>
      </c>
      <c r="Q286" s="98" t="s">
        <v>44</v>
      </c>
      <c r="R286" s="7">
        <v>45201</v>
      </c>
      <c r="S286" s="99"/>
      <c r="T286" s="98">
        <v>0.32329999999999998</v>
      </c>
      <c r="U286" s="98"/>
      <c r="V286" s="98"/>
      <c r="W286" s="98"/>
      <c r="X286" s="98"/>
      <c r="Y286" s="98"/>
      <c r="Z286" s="20"/>
      <c r="AB286" s="20"/>
      <c r="AC286" s="38" t="s">
        <v>642</v>
      </c>
      <c r="AD286" s="61"/>
      <c r="AE286" s="99"/>
    </row>
    <row r="287" spans="1:31" x14ac:dyDescent="0.25">
      <c r="A287" s="38" t="s">
        <v>36</v>
      </c>
      <c r="B287" s="38" t="s">
        <v>36</v>
      </c>
      <c r="C287" s="38" t="s">
        <v>639</v>
      </c>
      <c r="D287" s="38" t="s">
        <v>644</v>
      </c>
      <c r="E287" s="38" t="s">
        <v>645</v>
      </c>
      <c r="F287" s="38">
        <v>1471</v>
      </c>
      <c r="G287" s="38">
        <v>1471</v>
      </c>
      <c r="H287" s="38">
        <f t="shared" si="13"/>
        <v>1037</v>
      </c>
      <c r="I287" s="38">
        <v>677</v>
      </c>
      <c r="J287" s="38">
        <v>360</v>
      </c>
      <c r="K287" s="38">
        <v>317</v>
      </c>
      <c r="L287" s="50">
        <f t="shared" si="14"/>
        <v>30.568948891031823</v>
      </c>
      <c r="M287" s="38">
        <v>16</v>
      </c>
      <c r="N287" s="50">
        <f t="shared" si="15"/>
        <v>1.5429122468659595</v>
      </c>
      <c r="O287" s="38">
        <v>0</v>
      </c>
      <c r="P287" s="38">
        <v>1</v>
      </c>
      <c r="Q287" s="98" t="s">
        <v>44</v>
      </c>
      <c r="R287" s="7">
        <v>45201</v>
      </c>
      <c r="S287" s="99"/>
      <c r="T287" s="98">
        <v>0.5504</v>
      </c>
      <c r="U287" s="98"/>
      <c r="V287" s="98"/>
      <c r="W287" s="98"/>
      <c r="X287" s="98"/>
      <c r="Y287" s="98"/>
      <c r="Z287" s="20"/>
      <c r="AB287" s="20"/>
      <c r="AC287" s="38" t="s">
        <v>644</v>
      </c>
      <c r="AD287" s="61"/>
      <c r="AE287" s="99"/>
    </row>
    <row r="288" spans="1:31" x14ac:dyDescent="0.25">
      <c r="A288" s="38" t="s">
        <v>36</v>
      </c>
      <c r="B288" s="38" t="s">
        <v>36</v>
      </c>
      <c r="C288" s="38" t="s">
        <v>639</v>
      </c>
      <c r="D288" s="38" t="s">
        <v>646</v>
      </c>
      <c r="E288" s="38" t="s">
        <v>647</v>
      </c>
      <c r="F288" s="38">
        <v>607</v>
      </c>
      <c r="G288" s="38">
        <v>607</v>
      </c>
      <c r="H288" s="38">
        <f t="shared" si="13"/>
        <v>531</v>
      </c>
      <c r="I288" s="38">
        <v>352</v>
      </c>
      <c r="J288" s="38">
        <v>179</v>
      </c>
      <c r="K288" s="38">
        <v>173</v>
      </c>
      <c r="L288" s="50">
        <f t="shared" si="14"/>
        <v>32.580037664783426</v>
      </c>
      <c r="M288" s="38">
        <v>0</v>
      </c>
      <c r="N288" s="50">
        <f t="shared" si="15"/>
        <v>0</v>
      </c>
      <c r="O288" s="38">
        <v>0</v>
      </c>
      <c r="P288" s="38">
        <v>166</v>
      </c>
      <c r="Q288" s="39" t="s">
        <v>44</v>
      </c>
      <c r="R288" s="25">
        <v>45201</v>
      </c>
      <c r="S288" s="40"/>
      <c r="T288" s="39">
        <v>0</v>
      </c>
      <c r="U288" s="39"/>
      <c r="V288" s="39"/>
      <c r="W288" s="39"/>
      <c r="X288" s="39"/>
      <c r="Y288" s="39"/>
      <c r="Z288" s="3"/>
      <c r="AB288" s="3"/>
      <c r="AC288" s="42" t="s">
        <v>646</v>
      </c>
      <c r="AD288" s="2"/>
      <c r="AE288" s="40"/>
    </row>
    <row r="289" spans="1:31" x14ac:dyDescent="0.25">
      <c r="A289" s="38" t="s">
        <v>36</v>
      </c>
      <c r="B289" s="41" t="s">
        <v>36</v>
      </c>
      <c r="C289" s="41" t="s">
        <v>639</v>
      </c>
      <c r="D289" s="41" t="s">
        <v>648</v>
      </c>
      <c r="E289" s="41" t="s">
        <v>649</v>
      </c>
      <c r="F289" s="41">
        <v>979</v>
      </c>
      <c r="G289" s="41">
        <v>979</v>
      </c>
      <c r="H289" s="38">
        <f t="shared" si="13"/>
        <v>747</v>
      </c>
      <c r="I289" s="41">
        <v>492</v>
      </c>
      <c r="J289" s="41">
        <v>255</v>
      </c>
      <c r="K289" s="41">
        <v>237</v>
      </c>
      <c r="L289" s="50">
        <f t="shared" si="14"/>
        <v>31.726907630522089</v>
      </c>
      <c r="M289" s="41">
        <v>0</v>
      </c>
      <c r="N289" s="50">
        <f t="shared" si="15"/>
        <v>0</v>
      </c>
      <c r="O289" s="41">
        <v>0</v>
      </c>
      <c r="P289" s="41">
        <v>130</v>
      </c>
      <c r="Q289" s="43" t="s">
        <v>44</v>
      </c>
      <c r="R289" s="27">
        <v>45201</v>
      </c>
      <c r="S289" s="44"/>
      <c r="T289" s="43">
        <v>0</v>
      </c>
      <c r="U289" s="43"/>
      <c r="V289" s="43"/>
      <c r="W289" s="43"/>
      <c r="X289" s="43"/>
      <c r="Y289" s="43"/>
      <c r="Z289" s="5"/>
      <c r="AB289" s="5">
        <v>17</v>
      </c>
      <c r="AC289" s="45" t="s">
        <v>648</v>
      </c>
      <c r="AD289" s="44">
        <v>25.910159</v>
      </c>
      <c r="AE289" s="44">
        <v>71.296679999999995</v>
      </c>
    </row>
    <row r="290" spans="1:31" x14ac:dyDescent="0.25">
      <c r="A290" s="38" t="s">
        <v>36</v>
      </c>
      <c r="B290" s="38" t="s">
        <v>36</v>
      </c>
      <c r="C290" s="38" t="s">
        <v>650</v>
      </c>
      <c r="D290" s="38" t="s">
        <v>651</v>
      </c>
      <c r="E290" s="38" t="s">
        <v>652</v>
      </c>
      <c r="F290" s="38">
        <v>2157</v>
      </c>
      <c r="G290" s="38">
        <v>2157</v>
      </c>
      <c r="H290" s="38">
        <f t="shared" si="13"/>
        <v>2122</v>
      </c>
      <c r="I290" s="38">
        <v>1375</v>
      </c>
      <c r="J290" s="38">
        <v>747</v>
      </c>
      <c r="K290" s="38">
        <v>628</v>
      </c>
      <c r="L290" s="50">
        <f t="shared" si="14"/>
        <v>29.594721960414706</v>
      </c>
      <c r="M290" s="38">
        <v>303</v>
      </c>
      <c r="N290" s="50">
        <f t="shared" si="15"/>
        <v>14.278982092365695</v>
      </c>
      <c r="O290" s="38">
        <v>0</v>
      </c>
      <c r="P290" s="38">
        <v>43</v>
      </c>
      <c r="Q290" s="39" t="s">
        <v>44</v>
      </c>
      <c r="R290" s="25">
        <v>45204</v>
      </c>
      <c r="S290" s="40"/>
      <c r="T290" s="39">
        <v>0</v>
      </c>
      <c r="U290" s="39"/>
      <c r="V290" s="39"/>
      <c r="W290" s="39"/>
      <c r="X290" s="39"/>
      <c r="Y290" s="39"/>
      <c r="Z290" s="3"/>
      <c r="AB290" s="3"/>
      <c r="AC290" s="42" t="s">
        <v>651</v>
      </c>
      <c r="AD290" s="2"/>
      <c r="AE290" s="40"/>
    </row>
    <row r="291" spans="1:31" x14ac:dyDescent="0.25">
      <c r="A291" s="38" t="s">
        <v>36</v>
      </c>
      <c r="B291" s="38" t="s">
        <v>36</v>
      </c>
      <c r="C291" s="38" t="s">
        <v>650</v>
      </c>
      <c r="D291" s="38" t="s">
        <v>653</v>
      </c>
      <c r="E291" s="38" t="s">
        <v>654</v>
      </c>
      <c r="F291" s="38">
        <v>2334</v>
      </c>
      <c r="G291" s="38">
        <v>2334</v>
      </c>
      <c r="H291" s="38">
        <f t="shared" si="13"/>
        <v>1450</v>
      </c>
      <c r="I291" s="38">
        <v>947</v>
      </c>
      <c r="J291" s="38">
        <v>503</v>
      </c>
      <c r="K291" s="38">
        <v>444</v>
      </c>
      <c r="L291" s="50">
        <f t="shared" si="14"/>
        <v>30.620689655172413</v>
      </c>
      <c r="M291" s="38">
        <v>0</v>
      </c>
      <c r="N291" s="50">
        <f t="shared" si="15"/>
        <v>0</v>
      </c>
      <c r="O291" s="38">
        <v>0</v>
      </c>
      <c r="P291" s="38">
        <v>76</v>
      </c>
      <c r="Q291" s="39" t="s">
        <v>44</v>
      </c>
      <c r="R291" s="25">
        <v>45204</v>
      </c>
      <c r="S291" s="40"/>
      <c r="T291" s="39">
        <v>0</v>
      </c>
      <c r="U291" s="39"/>
      <c r="V291" s="39"/>
      <c r="W291" s="39"/>
      <c r="X291" s="39"/>
      <c r="Y291" s="39"/>
      <c r="Z291" s="3"/>
      <c r="AB291" s="3"/>
      <c r="AC291" s="42" t="s">
        <v>653</v>
      </c>
      <c r="AD291" s="2"/>
      <c r="AE291" s="40"/>
    </row>
    <row r="292" spans="1:31" x14ac:dyDescent="0.25">
      <c r="A292" s="38" t="s">
        <v>36</v>
      </c>
      <c r="B292" s="38" t="s">
        <v>36</v>
      </c>
      <c r="C292" s="38" t="s">
        <v>650</v>
      </c>
      <c r="D292" s="38" t="s">
        <v>655</v>
      </c>
      <c r="E292" s="38" t="s">
        <v>656</v>
      </c>
      <c r="F292" s="38">
        <v>1190</v>
      </c>
      <c r="G292" s="38">
        <v>1190</v>
      </c>
      <c r="H292" s="38">
        <f t="shared" si="13"/>
        <v>778</v>
      </c>
      <c r="I292" s="38">
        <v>507</v>
      </c>
      <c r="J292" s="38">
        <v>271</v>
      </c>
      <c r="K292" s="38">
        <v>236</v>
      </c>
      <c r="L292" s="50">
        <f t="shared" si="14"/>
        <v>30.334190231362467</v>
      </c>
      <c r="M292" s="38">
        <v>37</v>
      </c>
      <c r="N292" s="50">
        <f t="shared" si="15"/>
        <v>4.7557840616966578</v>
      </c>
      <c r="O292" s="38">
        <v>0</v>
      </c>
      <c r="P292" s="38">
        <v>0</v>
      </c>
      <c r="Q292" s="39" t="s">
        <v>44</v>
      </c>
      <c r="R292" s="25">
        <v>45204</v>
      </c>
      <c r="S292" s="40"/>
      <c r="T292" s="39">
        <v>0</v>
      </c>
      <c r="U292" s="39"/>
      <c r="V292" s="39"/>
      <c r="W292" s="39"/>
      <c r="X292" s="39"/>
      <c r="Y292" s="39"/>
      <c r="Z292" s="3"/>
      <c r="AB292" s="3"/>
      <c r="AC292" s="42" t="s">
        <v>655</v>
      </c>
      <c r="AD292" s="2"/>
      <c r="AE292" s="40"/>
    </row>
    <row r="293" spans="1:31" x14ac:dyDescent="0.25">
      <c r="A293" s="38" t="s">
        <v>36</v>
      </c>
      <c r="B293" s="38" t="s">
        <v>36</v>
      </c>
      <c r="C293" s="38" t="s">
        <v>650</v>
      </c>
      <c r="D293" s="38" t="s">
        <v>657</v>
      </c>
      <c r="E293" s="38"/>
      <c r="F293" s="38"/>
      <c r="G293" s="38"/>
      <c r="H293" s="38">
        <f t="shared" si="13"/>
        <v>0</v>
      </c>
      <c r="I293" s="38"/>
      <c r="J293" s="38"/>
      <c r="K293" s="38"/>
      <c r="L293" s="50"/>
      <c r="M293" s="38"/>
      <c r="N293" s="50"/>
      <c r="O293" s="38"/>
      <c r="P293" s="38"/>
      <c r="Q293" s="98" t="s">
        <v>44</v>
      </c>
      <c r="R293" s="7">
        <v>45204</v>
      </c>
      <c r="S293" s="99"/>
      <c r="T293" s="98">
        <v>0</v>
      </c>
      <c r="U293" s="98"/>
      <c r="V293" s="98"/>
      <c r="W293" s="98"/>
      <c r="X293" s="98"/>
      <c r="Y293" s="98"/>
      <c r="Z293" s="20"/>
      <c r="AB293" s="20"/>
      <c r="AC293" s="38" t="s">
        <v>657</v>
      </c>
      <c r="AD293" s="61"/>
      <c r="AE293" s="99"/>
    </row>
    <row r="294" spans="1:31" x14ac:dyDescent="0.25">
      <c r="A294" s="38" t="s">
        <v>36</v>
      </c>
      <c r="B294" s="38" t="s">
        <v>36</v>
      </c>
      <c r="C294" s="38" t="s">
        <v>650</v>
      </c>
      <c r="D294" s="38" t="s">
        <v>658</v>
      </c>
      <c r="E294" s="38"/>
      <c r="F294" s="38"/>
      <c r="G294" s="38"/>
      <c r="H294" s="38">
        <f t="shared" si="13"/>
        <v>0</v>
      </c>
      <c r="I294" s="38"/>
      <c r="J294" s="38"/>
      <c r="K294" s="38"/>
      <c r="L294" s="50"/>
      <c r="M294" s="38"/>
      <c r="N294" s="50"/>
      <c r="O294" s="38"/>
      <c r="P294" s="38"/>
      <c r="Q294" s="98" t="s">
        <v>44</v>
      </c>
      <c r="R294" s="7">
        <v>45204</v>
      </c>
      <c r="S294" s="99"/>
      <c r="T294" s="98">
        <v>0</v>
      </c>
      <c r="U294" s="98"/>
      <c r="V294" s="98"/>
      <c r="W294" s="98"/>
      <c r="X294" s="98"/>
      <c r="Y294" s="98"/>
      <c r="Z294" s="20"/>
      <c r="AB294" s="20"/>
      <c r="AC294" s="38" t="s">
        <v>658</v>
      </c>
      <c r="AD294" s="61"/>
      <c r="AE294" s="99"/>
    </row>
    <row r="295" spans="1:31" x14ac:dyDescent="0.25">
      <c r="A295" s="38" t="s">
        <v>36</v>
      </c>
      <c r="B295" s="38" t="s">
        <v>36</v>
      </c>
      <c r="C295" s="38" t="s">
        <v>650</v>
      </c>
      <c r="D295" s="38" t="s">
        <v>659</v>
      </c>
      <c r="E295" s="38"/>
      <c r="F295" s="38"/>
      <c r="G295" s="38"/>
      <c r="H295" s="38">
        <f t="shared" si="13"/>
        <v>0</v>
      </c>
      <c r="I295" s="38"/>
      <c r="J295" s="38"/>
      <c r="K295" s="38"/>
      <c r="L295" s="50"/>
      <c r="M295" s="38"/>
      <c r="N295" s="50"/>
      <c r="O295" s="38"/>
      <c r="P295" s="38"/>
      <c r="Q295" s="98" t="s">
        <v>44</v>
      </c>
      <c r="R295" s="7">
        <v>45204</v>
      </c>
      <c r="S295" s="99"/>
      <c r="T295" s="98">
        <v>0</v>
      </c>
      <c r="U295" s="98"/>
      <c r="V295" s="98"/>
      <c r="W295" s="98"/>
      <c r="X295" s="98"/>
      <c r="Y295" s="98"/>
      <c r="Z295" s="20"/>
      <c r="AB295" s="20"/>
      <c r="AC295" s="38" t="s">
        <v>659</v>
      </c>
      <c r="AD295" s="61"/>
      <c r="AE295" s="99"/>
    </row>
    <row r="296" spans="1:31" x14ac:dyDescent="0.25">
      <c r="A296" s="38" t="s">
        <v>36</v>
      </c>
      <c r="B296" s="38" t="s">
        <v>36</v>
      </c>
      <c r="C296" s="38" t="s">
        <v>36</v>
      </c>
      <c r="D296" s="38" t="s">
        <v>660</v>
      </c>
      <c r="E296" s="38" t="s">
        <v>661</v>
      </c>
      <c r="F296" s="38">
        <v>0</v>
      </c>
      <c r="G296" s="38">
        <v>0</v>
      </c>
      <c r="H296" s="38">
        <f t="shared" si="13"/>
        <v>0</v>
      </c>
      <c r="I296" s="38">
        <v>0</v>
      </c>
      <c r="J296" s="38">
        <v>0</v>
      </c>
      <c r="K296" s="38">
        <v>0</v>
      </c>
      <c r="L296" s="50"/>
      <c r="M296" s="38">
        <v>0</v>
      </c>
      <c r="N296" s="50"/>
      <c r="O296" s="38">
        <v>0</v>
      </c>
      <c r="P296" s="38">
        <v>0</v>
      </c>
    </row>
    <row r="297" spans="1:31" x14ac:dyDescent="0.25">
      <c r="A297" s="38" t="s">
        <v>36</v>
      </c>
      <c r="B297" s="38" t="s">
        <v>662</v>
      </c>
      <c r="C297" s="38" t="s">
        <v>663</v>
      </c>
      <c r="D297" s="38" t="s">
        <v>664</v>
      </c>
      <c r="E297" s="38" t="s">
        <v>665</v>
      </c>
      <c r="F297" s="38"/>
      <c r="G297" s="38"/>
      <c r="H297" s="38">
        <f t="shared" si="13"/>
        <v>0</v>
      </c>
      <c r="I297" s="38"/>
      <c r="J297" s="38"/>
      <c r="K297" s="38"/>
      <c r="L297" s="50"/>
      <c r="M297" s="38"/>
      <c r="N297" s="50"/>
      <c r="O297" s="38">
        <v>0</v>
      </c>
      <c r="P297" s="38">
        <v>90.31</v>
      </c>
      <c r="Q297" s="98" t="s">
        <v>160</v>
      </c>
      <c r="R297" s="11" t="s">
        <v>666</v>
      </c>
      <c r="S297" s="99"/>
      <c r="T297" s="98">
        <v>77.154300000000006</v>
      </c>
      <c r="U297" s="98"/>
      <c r="V297" s="98"/>
      <c r="W297" s="98"/>
      <c r="X297" s="98"/>
      <c r="Y297" s="98"/>
      <c r="Z297" s="109"/>
      <c r="AB297" s="11">
        <v>77.154300000000006</v>
      </c>
      <c r="AC297" s="38" t="s">
        <v>664</v>
      </c>
      <c r="AD297" s="61">
        <v>25.977996000000001</v>
      </c>
      <c r="AE297" s="99">
        <v>71.817948999999999</v>
      </c>
    </row>
    <row r="298" spans="1:31" x14ac:dyDescent="0.25">
      <c r="A298" s="38" t="s">
        <v>36</v>
      </c>
      <c r="B298" s="38" t="s">
        <v>662</v>
      </c>
      <c r="C298" s="38" t="s">
        <v>663</v>
      </c>
      <c r="D298" s="38" t="s">
        <v>667</v>
      </c>
      <c r="E298" s="38" t="s">
        <v>668</v>
      </c>
      <c r="F298" s="38">
        <v>947.4</v>
      </c>
      <c r="G298" s="38">
        <v>947.4</v>
      </c>
      <c r="H298" s="38">
        <f t="shared" si="13"/>
        <v>922</v>
      </c>
      <c r="I298" s="38">
        <v>620</v>
      </c>
      <c r="J298" s="38">
        <v>302</v>
      </c>
      <c r="K298" s="38">
        <v>318</v>
      </c>
      <c r="L298" s="50">
        <f t="shared" si="14"/>
        <v>34.490238611713664</v>
      </c>
      <c r="M298" s="38">
        <v>0</v>
      </c>
      <c r="N298" s="50">
        <f t="shared" si="15"/>
        <v>0</v>
      </c>
      <c r="O298" s="38">
        <v>0</v>
      </c>
      <c r="P298" s="38">
        <v>4.04</v>
      </c>
      <c r="Q298" s="98" t="s">
        <v>160</v>
      </c>
      <c r="R298" s="11" t="s">
        <v>666</v>
      </c>
      <c r="S298" s="99"/>
      <c r="T298" s="98">
        <v>0</v>
      </c>
      <c r="U298" s="98"/>
      <c r="V298" s="98"/>
      <c r="W298" s="98"/>
      <c r="X298" s="98"/>
      <c r="Y298" s="98"/>
      <c r="Z298" s="20"/>
      <c r="AC298" s="38" t="s">
        <v>667</v>
      </c>
      <c r="AD298" s="61"/>
      <c r="AE298" s="99"/>
    </row>
    <row r="299" spans="1:31" x14ac:dyDescent="0.25">
      <c r="A299" s="38" t="s">
        <v>36</v>
      </c>
      <c r="B299" s="38" t="s">
        <v>662</v>
      </c>
      <c r="C299" s="38" t="s">
        <v>663</v>
      </c>
      <c r="D299" s="38" t="s">
        <v>669</v>
      </c>
      <c r="E299" s="38" t="s">
        <v>670</v>
      </c>
      <c r="F299" s="38">
        <v>967.64</v>
      </c>
      <c r="G299" s="38">
        <v>967.64</v>
      </c>
      <c r="H299" s="38">
        <f t="shared" si="13"/>
        <v>1097</v>
      </c>
      <c r="I299" s="38">
        <v>716</v>
      </c>
      <c r="J299" s="38">
        <v>381</v>
      </c>
      <c r="K299" s="38">
        <v>335</v>
      </c>
      <c r="L299" s="50">
        <f t="shared" si="14"/>
        <v>30.537830446672743</v>
      </c>
      <c r="M299" s="38">
        <v>51</v>
      </c>
      <c r="N299" s="50">
        <f t="shared" si="15"/>
        <v>4.649042844120328</v>
      </c>
      <c r="O299" s="38">
        <v>0</v>
      </c>
      <c r="P299" s="38">
        <v>0</v>
      </c>
      <c r="Q299" s="98" t="s">
        <v>160</v>
      </c>
      <c r="R299" s="11" t="s">
        <v>666</v>
      </c>
      <c r="S299" s="99"/>
      <c r="T299" s="98">
        <v>0</v>
      </c>
      <c r="U299" s="98"/>
      <c r="V299" s="98"/>
      <c r="W299" s="98"/>
      <c r="X299" s="98"/>
      <c r="Y299" s="98"/>
      <c r="Z299" s="20"/>
      <c r="AC299" s="38" t="s">
        <v>669</v>
      </c>
      <c r="AD299" s="61"/>
      <c r="AE299" s="99"/>
    </row>
    <row r="300" spans="1:31" x14ac:dyDescent="0.25">
      <c r="A300" s="38" t="s">
        <v>36</v>
      </c>
      <c r="B300" s="38" t="s">
        <v>662</v>
      </c>
      <c r="C300" s="38" t="s">
        <v>663</v>
      </c>
      <c r="D300" s="38" t="s">
        <v>671</v>
      </c>
      <c r="E300" s="38" t="s">
        <v>672</v>
      </c>
      <c r="F300" s="38">
        <v>860.6</v>
      </c>
      <c r="G300" s="38">
        <v>860.6</v>
      </c>
      <c r="H300" s="38">
        <f t="shared" si="13"/>
        <v>1007</v>
      </c>
      <c r="I300" s="38">
        <v>667</v>
      </c>
      <c r="J300" s="38">
        <v>340</v>
      </c>
      <c r="K300" s="38">
        <v>327</v>
      </c>
      <c r="L300" s="50">
        <f t="shared" si="14"/>
        <v>32.472691161866926</v>
      </c>
      <c r="M300" s="38">
        <v>0</v>
      </c>
      <c r="N300" s="50">
        <f t="shared" si="15"/>
        <v>0</v>
      </c>
      <c r="O300" s="38">
        <v>0</v>
      </c>
      <c r="P300" s="38">
        <v>0</v>
      </c>
      <c r="Q300" s="98" t="s">
        <v>160</v>
      </c>
      <c r="R300" s="11" t="s">
        <v>666</v>
      </c>
      <c r="S300" s="99"/>
      <c r="T300" s="98">
        <v>0</v>
      </c>
      <c r="U300" s="98"/>
      <c r="V300" s="98"/>
      <c r="W300" s="98"/>
      <c r="X300" s="98"/>
      <c r="Y300" s="98"/>
      <c r="Z300" s="20"/>
      <c r="AC300" s="38" t="s">
        <v>671</v>
      </c>
      <c r="AD300" s="61"/>
      <c r="AE300" s="99"/>
    </row>
    <row r="301" spans="1:31" x14ac:dyDescent="0.25">
      <c r="A301" s="38" t="s">
        <v>36</v>
      </c>
      <c r="B301" s="38" t="s">
        <v>662</v>
      </c>
      <c r="C301" s="38" t="s">
        <v>663</v>
      </c>
      <c r="D301" s="38" t="s">
        <v>673</v>
      </c>
      <c r="E301" s="38" t="s">
        <v>674</v>
      </c>
      <c r="F301" s="38">
        <v>729.88</v>
      </c>
      <c r="G301" s="38">
        <v>729.88</v>
      </c>
      <c r="H301" s="38">
        <f t="shared" si="13"/>
        <v>685</v>
      </c>
      <c r="I301" s="38">
        <v>453</v>
      </c>
      <c r="J301" s="38">
        <v>232</v>
      </c>
      <c r="K301" s="38">
        <v>221</v>
      </c>
      <c r="L301" s="50">
        <f t="shared" si="14"/>
        <v>32.262773722627735</v>
      </c>
      <c r="M301" s="38">
        <v>29</v>
      </c>
      <c r="N301" s="50">
        <f t="shared" si="15"/>
        <v>4.2335766423357661</v>
      </c>
      <c r="O301" s="38">
        <v>0</v>
      </c>
      <c r="P301" s="38">
        <v>0</v>
      </c>
      <c r="Q301" s="98" t="s">
        <v>160</v>
      </c>
      <c r="R301" s="11" t="s">
        <v>666</v>
      </c>
      <c r="S301" s="99"/>
      <c r="T301" s="98">
        <v>0</v>
      </c>
      <c r="U301" s="98"/>
      <c r="V301" s="98"/>
      <c r="W301" s="98"/>
      <c r="X301" s="98"/>
      <c r="Y301" s="98"/>
      <c r="Z301" s="20"/>
      <c r="AC301" s="38" t="s">
        <v>673</v>
      </c>
      <c r="AD301" s="61"/>
      <c r="AE301" s="99"/>
    </row>
    <row r="302" spans="1:31" x14ac:dyDescent="0.25">
      <c r="A302" s="38" t="s">
        <v>36</v>
      </c>
      <c r="B302" s="38" t="s">
        <v>662</v>
      </c>
      <c r="C302" s="38" t="s">
        <v>675</v>
      </c>
      <c r="D302" s="38" t="s">
        <v>676</v>
      </c>
      <c r="E302" s="38" t="s">
        <v>677</v>
      </c>
      <c r="F302" s="38">
        <v>295.10000000000002</v>
      </c>
      <c r="G302" s="38">
        <v>295.10000000000002</v>
      </c>
      <c r="H302" s="38">
        <f t="shared" si="13"/>
        <v>487</v>
      </c>
      <c r="I302" s="38">
        <v>322</v>
      </c>
      <c r="J302" s="38">
        <v>165</v>
      </c>
      <c r="K302" s="38">
        <v>157</v>
      </c>
      <c r="L302" s="50">
        <f t="shared" si="14"/>
        <v>32.238193018480494</v>
      </c>
      <c r="M302" s="38">
        <v>0</v>
      </c>
      <c r="N302" s="50">
        <f t="shared" si="15"/>
        <v>0</v>
      </c>
      <c r="O302" s="38">
        <v>0</v>
      </c>
      <c r="P302" s="38">
        <v>0</v>
      </c>
      <c r="Q302" s="39" t="s">
        <v>44</v>
      </c>
      <c r="R302" s="25">
        <v>45470</v>
      </c>
      <c r="S302" s="40"/>
      <c r="T302" s="39">
        <v>2.3E-2</v>
      </c>
      <c r="U302" s="39"/>
      <c r="V302" s="39"/>
      <c r="W302" s="39"/>
      <c r="X302" s="39"/>
      <c r="Y302" s="39"/>
      <c r="Z302" s="3"/>
      <c r="AB302" s="3"/>
      <c r="AC302" s="42" t="s">
        <v>676</v>
      </c>
      <c r="AD302" s="2"/>
      <c r="AE302" s="40"/>
    </row>
    <row r="303" spans="1:31" x14ac:dyDescent="0.25">
      <c r="A303" s="38" t="s">
        <v>36</v>
      </c>
      <c r="B303" s="38" t="s">
        <v>662</v>
      </c>
      <c r="C303" s="38" t="s">
        <v>675</v>
      </c>
      <c r="D303" s="38" t="s">
        <v>678</v>
      </c>
      <c r="E303" s="38" t="s">
        <v>679</v>
      </c>
      <c r="F303" s="38">
        <v>720</v>
      </c>
      <c r="G303" s="38">
        <v>720</v>
      </c>
      <c r="H303" s="38">
        <f t="shared" si="13"/>
        <v>855</v>
      </c>
      <c r="I303" s="38">
        <v>557</v>
      </c>
      <c r="J303" s="38">
        <v>298</v>
      </c>
      <c r="K303" s="38">
        <v>259</v>
      </c>
      <c r="L303" s="50">
        <f t="shared" si="14"/>
        <v>30.292397660818715</v>
      </c>
      <c r="M303" s="38">
        <v>140</v>
      </c>
      <c r="N303" s="50">
        <f t="shared" si="15"/>
        <v>16.374269005847953</v>
      </c>
      <c r="O303" s="38">
        <v>0</v>
      </c>
      <c r="P303" s="38">
        <v>12.8</v>
      </c>
      <c r="Q303" s="2" t="s">
        <v>44</v>
      </c>
      <c r="R303" s="25">
        <v>45470</v>
      </c>
      <c r="S303" s="40"/>
      <c r="T303" s="2">
        <v>12.42</v>
      </c>
      <c r="U303" s="2"/>
      <c r="V303" s="2"/>
      <c r="W303" s="2"/>
      <c r="X303" s="2"/>
      <c r="Y303" s="2"/>
      <c r="Z303" s="3"/>
      <c r="AB303" s="3">
        <v>12.42</v>
      </c>
      <c r="AC303" s="42" t="s">
        <v>678</v>
      </c>
      <c r="AD303" s="2">
        <v>25.810762</v>
      </c>
      <c r="AE303" s="40">
        <v>71.725915000000001</v>
      </c>
    </row>
    <row r="304" spans="1:31" x14ac:dyDescent="0.25">
      <c r="A304" s="38" t="s">
        <v>36</v>
      </c>
      <c r="B304" s="38" t="s">
        <v>662</v>
      </c>
      <c r="C304" s="38" t="s">
        <v>675</v>
      </c>
      <c r="D304" s="38" t="s">
        <v>680</v>
      </c>
      <c r="E304" s="38" t="s">
        <v>681</v>
      </c>
      <c r="F304" s="38">
        <v>775</v>
      </c>
      <c r="G304" s="38">
        <v>775</v>
      </c>
      <c r="H304" s="38">
        <f t="shared" si="13"/>
        <v>815</v>
      </c>
      <c r="I304" s="38">
        <v>544</v>
      </c>
      <c r="J304" s="38">
        <v>271</v>
      </c>
      <c r="K304" s="38">
        <v>273</v>
      </c>
      <c r="L304" s="50">
        <f t="shared" si="14"/>
        <v>33.496932515337427</v>
      </c>
      <c r="M304" s="38">
        <v>0</v>
      </c>
      <c r="N304" s="50">
        <f t="shared" si="15"/>
        <v>0</v>
      </c>
      <c r="O304" s="38">
        <v>0</v>
      </c>
      <c r="P304" s="38">
        <v>0</v>
      </c>
      <c r="Q304" s="39" t="s">
        <v>44</v>
      </c>
      <c r="R304" s="25">
        <v>45470</v>
      </c>
      <c r="S304" s="40"/>
      <c r="T304" s="39">
        <v>0.01</v>
      </c>
      <c r="U304" s="39"/>
      <c r="V304" s="39"/>
      <c r="W304" s="39"/>
      <c r="X304" s="39"/>
      <c r="Y304" s="39"/>
      <c r="Z304" s="3"/>
      <c r="AB304" s="3"/>
      <c r="AC304" s="42" t="s">
        <v>680</v>
      </c>
      <c r="AD304" s="2"/>
      <c r="AE304" s="40"/>
    </row>
    <row r="305" spans="1:31" x14ac:dyDescent="0.25">
      <c r="A305" s="38" t="s">
        <v>36</v>
      </c>
      <c r="B305" s="38" t="s">
        <v>662</v>
      </c>
      <c r="C305" s="38" t="s">
        <v>675</v>
      </c>
      <c r="D305" s="38" t="s">
        <v>682</v>
      </c>
      <c r="E305" s="38" t="s">
        <v>683</v>
      </c>
      <c r="F305" s="38">
        <v>545.52</v>
      </c>
      <c r="G305" s="38">
        <v>545.52</v>
      </c>
      <c r="H305" s="38">
        <f t="shared" si="13"/>
        <v>515</v>
      </c>
      <c r="I305" s="38">
        <v>342</v>
      </c>
      <c r="J305" s="38">
        <v>173</v>
      </c>
      <c r="K305" s="38">
        <v>169</v>
      </c>
      <c r="L305" s="50">
        <f t="shared" si="14"/>
        <v>32.815533980582522</v>
      </c>
      <c r="M305" s="38">
        <v>0</v>
      </c>
      <c r="N305" s="50">
        <f t="shared" si="15"/>
        <v>0</v>
      </c>
      <c r="O305" s="38">
        <v>0</v>
      </c>
      <c r="P305" s="38">
        <v>0</v>
      </c>
      <c r="Q305" s="39" t="s">
        <v>44</v>
      </c>
      <c r="R305" s="25">
        <v>45470</v>
      </c>
      <c r="S305" s="40"/>
      <c r="T305" s="39">
        <v>1.2E-2</v>
      </c>
      <c r="U305" s="39"/>
      <c r="V305" s="39"/>
      <c r="W305" s="39"/>
      <c r="X305" s="39"/>
      <c r="Y305" s="39"/>
      <c r="Z305" s="3"/>
      <c r="AB305" s="3"/>
      <c r="AC305" s="42" t="s">
        <v>682</v>
      </c>
      <c r="AD305" s="2"/>
      <c r="AE305" s="40"/>
    </row>
    <row r="306" spans="1:31" x14ac:dyDescent="0.25">
      <c r="A306" s="38" t="s">
        <v>36</v>
      </c>
      <c r="B306" s="38" t="s">
        <v>662</v>
      </c>
      <c r="C306" s="38" t="s">
        <v>675</v>
      </c>
      <c r="D306" s="38" t="s">
        <v>684</v>
      </c>
      <c r="E306" s="38" t="s">
        <v>685</v>
      </c>
      <c r="F306" s="38">
        <v>776.95</v>
      </c>
      <c r="G306" s="38">
        <v>776.95</v>
      </c>
      <c r="H306" s="38">
        <f t="shared" si="13"/>
        <v>750</v>
      </c>
      <c r="I306" s="38">
        <v>489</v>
      </c>
      <c r="J306" s="38">
        <v>261</v>
      </c>
      <c r="K306" s="38">
        <v>228</v>
      </c>
      <c r="L306" s="50">
        <f t="shared" si="14"/>
        <v>30.4</v>
      </c>
      <c r="M306" s="38">
        <v>0</v>
      </c>
      <c r="N306" s="50">
        <f t="shared" si="15"/>
        <v>0</v>
      </c>
      <c r="O306" s="38">
        <v>0</v>
      </c>
      <c r="P306" s="38">
        <v>0</v>
      </c>
      <c r="Q306" s="39" t="s">
        <v>44</v>
      </c>
      <c r="R306" s="25">
        <v>45470</v>
      </c>
      <c r="S306" s="40"/>
      <c r="T306" s="39">
        <v>0.23</v>
      </c>
      <c r="U306" s="39"/>
      <c r="V306" s="39"/>
      <c r="W306" s="39"/>
      <c r="X306" s="39"/>
      <c r="Y306" s="39"/>
      <c r="Z306" s="3"/>
      <c r="AB306" s="3"/>
      <c r="AC306" s="42" t="s">
        <v>684</v>
      </c>
      <c r="AD306" s="2"/>
      <c r="AE306" s="40"/>
    </row>
    <row r="307" spans="1:31" x14ac:dyDescent="0.25">
      <c r="A307" s="38" t="s">
        <v>36</v>
      </c>
      <c r="B307" s="38" t="s">
        <v>662</v>
      </c>
      <c r="C307" s="38" t="s">
        <v>675</v>
      </c>
      <c r="D307" s="38" t="s">
        <v>686</v>
      </c>
      <c r="E307" s="38" t="s">
        <v>687</v>
      </c>
      <c r="F307" s="38">
        <v>594</v>
      </c>
      <c r="G307" s="38">
        <v>594</v>
      </c>
      <c r="H307" s="38">
        <f t="shared" si="13"/>
        <v>1334</v>
      </c>
      <c r="I307" s="38">
        <v>878</v>
      </c>
      <c r="J307" s="38">
        <v>456</v>
      </c>
      <c r="K307" s="38">
        <v>422</v>
      </c>
      <c r="L307" s="50">
        <f t="shared" si="14"/>
        <v>31.634182908545728</v>
      </c>
      <c r="M307" s="38">
        <v>83</v>
      </c>
      <c r="N307" s="50">
        <f t="shared" si="15"/>
        <v>6.2218890554722641</v>
      </c>
      <c r="O307" s="38">
        <v>0</v>
      </c>
      <c r="P307" s="38">
        <v>0</v>
      </c>
      <c r="Q307" s="39" t="s">
        <v>44</v>
      </c>
      <c r="R307" s="25">
        <v>45470</v>
      </c>
      <c r="S307" s="40"/>
      <c r="T307" s="39">
        <v>0.45</v>
      </c>
      <c r="U307" s="39"/>
      <c r="V307" s="39"/>
      <c r="W307" s="39"/>
      <c r="X307" s="39"/>
      <c r="Y307" s="39"/>
      <c r="Z307" s="3"/>
      <c r="AB307" s="3"/>
      <c r="AC307" s="42" t="s">
        <v>686</v>
      </c>
      <c r="AD307" s="2"/>
      <c r="AE307" s="40"/>
    </row>
    <row r="308" spans="1:31" x14ac:dyDescent="0.25">
      <c r="A308" s="38" t="s">
        <v>36</v>
      </c>
      <c r="B308" s="38" t="s">
        <v>662</v>
      </c>
      <c r="C308" s="38" t="s">
        <v>688</v>
      </c>
      <c r="D308" s="38" t="s">
        <v>689</v>
      </c>
      <c r="E308" s="38" t="s">
        <v>690</v>
      </c>
      <c r="F308" s="38">
        <v>441.61</v>
      </c>
      <c r="G308" s="38">
        <v>441.61</v>
      </c>
      <c r="H308" s="38">
        <f t="shared" si="13"/>
        <v>4566</v>
      </c>
      <c r="I308" s="38">
        <v>3001</v>
      </c>
      <c r="J308" s="38">
        <v>1565</v>
      </c>
      <c r="K308" s="38">
        <v>1436</v>
      </c>
      <c r="L308" s="50">
        <f t="shared" si="14"/>
        <v>31.449846692947876</v>
      </c>
      <c r="M308" s="38">
        <v>233</v>
      </c>
      <c r="N308" s="50">
        <f t="shared" si="15"/>
        <v>5.1029347349978096</v>
      </c>
      <c r="O308" s="38">
        <v>0</v>
      </c>
      <c r="P308" s="38">
        <v>0</v>
      </c>
      <c r="Q308" s="114" t="s">
        <v>44</v>
      </c>
      <c r="R308" s="26">
        <v>45470</v>
      </c>
      <c r="S308" s="115"/>
      <c r="T308" s="114">
        <v>0.23</v>
      </c>
      <c r="U308" s="114"/>
      <c r="V308" s="114"/>
      <c r="W308" s="114"/>
      <c r="X308" s="114"/>
      <c r="Y308" s="114"/>
      <c r="Z308" s="116"/>
      <c r="AB308" s="116"/>
      <c r="AC308" s="49" t="s">
        <v>689</v>
      </c>
      <c r="AD308" s="116"/>
      <c r="AE308" s="115"/>
    </row>
    <row r="309" spans="1:31" x14ac:dyDescent="0.25">
      <c r="A309" s="38" t="s">
        <v>36</v>
      </c>
      <c r="B309" s="38" t="s">
        <v>662</v>
      </c>
      <c r="C309" s="38" t="s">
        <v>688</v>
      </c>
      <c r="D309" s="38" t="s">
        <v>691</v>
      </c>
      <c r="E309" s="38" t="s">
        <v>692</v>
      </c>
      <c r="F309" s="38">
        <v>690.58</v>
      </c>
      <c r="G309" s="38">
        <v>690.58</v>
      </c>
      <c r="H309" s="38">
        <f t="shared" si="13"/>
        <v>1296</v>
      </c>
      <c r="I309" s="38">
        <v>851</v>
      </c>
      <c r="J309" s="38">
        <v>445</v>
      </c>
      <c r="K309" s="38">
        <v>406</v>
      </c>
      <c r="L309" s="50">
        <f t="shared" si="14"/>
        <v>31.327160493827162</v>
      </c>
      <c r="M309" s="38">
        <v>25</v>
      </c>
      <c r="N309" s="50">
        <f t="shared" si="15"/>
        <v>1.9290123456790123</v>
      </c>
      <c r="O309" s="38">
        <v>0</v>
      </c>
      <c r="P309" s="38">
        <v>0</v>
      </c>
      <c r="Q309" s="114" t="s">
        <v>44</v>
      </c>
      <c r="R309" s="26">
        <v>45470</v>
      </c>
      <c r="S309" s="115"/>
      <c r="T309" s="114">
        <v>0.23</v>
      </c>
      <c r="U309" s="114"/>
      <c r="V309" s="114"/>
      <c r="W309" s="114"/>
      <c r="X309" s="114"/>
      <c r="Y309" s="114"/>
      <c r="Z309" s="116"/>
      <c r="AB309" s="116"/>
      <c r="AC309" s="49" t="s">
        <v>691</v>
      </c>
      <c r="AD309" s="116"/>
      <c r="AE309" s="115"/>
    </row>
    <row r="310" spans="1:31" x14ac:dyDescent="0.25">
      <c r="A310" s="38" t="s">
        <v>36</v>
      </c>
      <c r="B310" s="38" t="s">
        <v>662</v>
      </c>
      <c r="C310" s="38" t="s">
        <v>688</v>
      </c>
      <c r="D310" s="38" t="s">
        <v>693</v>
      </c>
      <c r="E310" s="38" t="s">
        <v>694</v>
      </c>
      <c r="F310" s="38">
        <v>1085.97</v>
      </c>
      <c r="G310" s="38">
        <v>1085.97</v>
      </c>
      <c r="H310" s="38">
        <f t="shared" si="13"/>
        <v>1445</v>
      </c>
      <c r="I310" s="38">
        <v>935</v>
      </c>
      <c r="J310" s="38">
        <v>510</v>
      </c>
      <c r="K310" s="38">
        <v>425</v>
      </c>
      <c r="L310" s="50">
        <f t="shared" si="14"/>
        <v>29.411764705882355</v>
      </c>
      <c r="M310" s="38">
        <v>0</v>
      </c>
      <c r="N310" s="50">
        <f t="shared" si="15"/>
        <v>0</v>
      </c>
      <c r="O310" s="38">
        <v>0</v>
      </c>
      <c r="P310" s="38">
        <v>41.56</v>
      </c>
      <c r="Q310" s="114" t="s">
        <v>44</v>
      </c>
      <c r="R310" s="26">
        <v>45470</v>
      </c>
      <c r="S310" s="115"/>
      <c r="T310" s="114">
        <v>0.23</v>
      </c>
      <c r="U310" s="114"/>
      <c r="V310" s="114"/>
      <c r="W310" s="114"/>
      <c r="X310" s="114"/>
      <c r="Y310" s="114"/>
      <c r="Z310" s="116"/>
      <c r="AB310" s="116"/>
      <c r="AC310" s="49" t="s">
        <v>693</v>
      </c>
      <c r="AD310" s="116"/>
      <c r="AE310" s="115"/>
    </row>
    <row r="311" spans="1:31" x14ac:dyDescent="0.25">
      <c r="A311" s="38" t="s">
        <v>36</v>
      </c>
      <c r="B311" s="38" t="s">
        <v>662</v>
      </c>
      <c r="C311" s="38" t="s">
        <v>695</v>
      </c>
      <c r="D311" s="38" t="s">
        <v>696</v>
      </c>
      <c r="E311" s="38" t="s">
        <v>697</v>
      </c>
      <c r="F311" s="38">
        <v>1058.8699999999999</v>
      </c>
      <c r="G311" s="38">
        <v>1058.8699999999999</v>
      </c>
      <c r="H311" s="38">
        <f t="shared" si="13"/>
        <v>3006</v>
      </c>
      <c r="I311" s="38">
        <v>1976</v>
      </c>
      <c r="J311" s="38">
        <v>1030</v>
      </c>
      <c r="K311" s="38">
        <v>946</v>
      </c>
      <c r="L311" s="50">
        <f t="shared" si="14"/>
        <v>31.470392548236859</v>
      </c>
      <c r="M311" s="38">
        <v>78</v>
      </c>
      <c r="N311" s="50">
        <f t="shared" si="15"/>
        <v>2.5948103792415167</v>
      </c>
      <c r="O311" s="38">
        <v>0</v>
      </c>
      <c r="P311" s="38">
        <v>0</v>
      </c>
      <c r="Q311" s="39" t="s">
        <v>44</v>
      </c>
      <c r="R311" s="25">
        <v>45470</v>
      </c>
      <c r="S311" s="40"/>
      <c r="T311" s="39">
        <v>1.23E-2</v>
      </c>
      <c r="U311" s="39"/>
      <c r="V311" s="39"/>
      <c r="W311" s="39"/>
      <c r="X311" s="39"/>
      <c r="Y311" s="39"/>
      <c r="Z311" s="3"/>
      <c r="AB311" s="3"/>
      <c r="AC311" s="42" t="s">
        <v>696</v>
      </c>
      <c r="AD311" s="2"/>
      <c r="AE311" s="40"/>
    </row>
    <row r="312" spans="1:31" x14ac:dyDescent="0.25">
      <c r="A312" s="38" t="s">
        <v>36</v>
      </c>
      <c r="B312" s="38" t="s">
        <v>662</v>
      </c>
      <c r="C312" s="38" t="s">
        <v>695</v>
      </c>
      <c r="D312" s="38" t="s">
        <v>698</v>
      </c>
      <c r="E312" s="38" t="s">
        <v>699</v>
      </c>
      <c r="F312" s="38">
        <v>314.61</v>
      </c>
      <c r="G312" s="38">
        <v>314.61</v>
      </c>
      <c r="H312" s="38">
        <f t="shared" si="13"/>
        <v>668</v>
      </c>
      <c r="I312" s="38">
        <v>440</v>
      </c>
      <c r="J312" s="38">
        <v>228</v>
      </c>
      <c r="K312" s="38">
        <v>212</v>
      </c>
      <c r="L312" s="50">
        <f t="shared" si="14"/>
        <v>31.736526946107784</v>
      </c>
      <c r="M312" s="38">
        <v>0</v>
      </c>
      <c r="N312" s="50">
        <f t="shared" si="15"/>
        <v>0</v>
      </c>
      <c r="O312" s="38">
        <v>0</v>
      </c>
      <c r="P312" s="38">
        <v>0</v>
      </c>
      <c r="Q312" s="39" t="s">
        <v>44</v>
      </c>
      <c r="R312" s="25">
        <v>45470</v>
      </c>
      <c r="S312" s="40"/>
      <c r="T312" s="39">
        <v>5.6000000000000001E-2</v>
      </c>
      <c r="U312" s="39"/>
      <c r="V312" s="39"/>
      <c r="W312" s="39"/>
      <c r="X312" s="39"/>
      <c r="Y312" s="39"/>
      <c r="Z312" s="3"/>
      <c r="AB312" s="3"/>
      <c r="AC312" s="42" t="s">
        <v>698</v>
      </c>
      <c r="AD312" s="2"/>
      <c r="AE312" s="40"/>
    </row>
    <row r="313" spans="1:31" x14ac:dyDescent="0.25">
      <c r="A313" s="38" t="s">
        <v>36</v>
      </c>
      <c r="B313" s="38" t="s">
        <v>662</v>
      </c>
      <c r="C313" s="38" t="s">
        <v>695</v>
      </c>
      <c r="D313" s="38" t="s">
        <v>700</v>
      </c>
      <c r="E313" s="38" t="s">
        <v>701</v>
      </c>
      <c r="F313" s="38">
        <v>613.73</v>
      </c>
      <c r="G313" s="38">
        <v>613.73</v>
      </c>
      <c r="H313" s="38">
        <f t="shared" si="13"/>
        <v>527</v>
      </c>
      <c r="I313" s="38">
        <v>349</v>
      </c>
      <c r="J313" s="38">
        <v>178</v>
      </c>
      <c r="K313" s="38">
        <v>171</v>
      </c>
      <c r="L313" s="50">
        <f t="shared" si="14"/>
        <v>32.447817836812142</v>
      </c>
      <c r="M313" s="38">
        <v>0</v>
      </c>
      <c r="N313" s="50">
        <f t="shared" si="15"/>
        <v>0</v>
      </c>
      <c r="O313" s="38">
        <v>0</v>
      </c>
      <c r="P313" s="38">
        <v>0</v>
      </c>
      <c r="Q313" s="39" t="s">
        <v>44</v>
      </c>
      <c r="R313" s="25">
        <v>45470</v>
      </c>
      <c r="S313" s="40"/>
      <c r="T313" s="39">
        <v>7.3999999999999996E-2</v>
      </c>
      <c r="U313" s="39"/>
      <c r="V313" s="39"/>
      <c r="W313" s="39"/>
      <c r="X313" s="39"/>
      <c r="Y313" s="39"/>
      <c r="Z313" s="3"/>
      <c r="AB313" s="3"/>
      <c r="AC313" s="42" t="s">
        <v>700</v>
      </c>
      <c r="AD313" s="2"/>
      <c r="AE313" s="40"/>
    </row>
    <row r="314" spans="1:31" x14ac:dyDescent="0.25">
      <c r="A314" s="38" t="s">
        <v>36</v>
      </c>
      <c r="B314" s="38" t="s">
        <v>662</v>
      </c>
      <c r="C314" s="38" t="s">
        <v>702</v>
      </c>
      <c r="D314" s="38" t="s">
        <v>703</v>
      </c>
      <c r="E314" s="38" t="s">
        <v>704</v>
      </c>
      <c r="F314" s="38">
        <v>534.07000000000005</v>
      </c>
      <c r="G314" s="38">
        <v>534.07000000000005</v>
      </c>
      <c r="H314" s="38">
        <f t="shared" si="13"/>
        <v>957</v>
      </c>
      <c r="I314" s="38">
        <v>637</v>
      </c>
      <c r="J314" s="38">
        <v>320</v>
      </c>
      <c r="K314" s="38">
        <v>317</v>
      </c>
      <c r="L314" s="50">
        <f t="shared" si="14"/>
        <v>33.124346917450367</v>
      </c>
      <c r="M314" s="38">
        <v>91</v>
      </c>
      <c r="N314" s="50">
        <f t="shared" si="15"/>
        <v>9.5088819226750267</v>
      </c>
      <c r="O314" s="38">
        <v>0</v>
      </c>
      <c r="P314" s="38">
        <v>0</v>
      </c>
      <c r="Q314" s="39" t="s">
        <v>44</v>
      </c>
      <c r="R314" s="25">
        <v>45470</v>
      </c>
      <c r="S314" s="40"/>
      <c r="T314" s="39">
        <v>2.3400000000000001E-2</v>
      </c>
      <c r="U314" s="39"/>
      <c r="V314" s="39"/>
      <c r="W314" s="39"/>
      <c r="X314" s="39"/>
      <c r="Y314" s="39"/>
      <c r="Z314" s="3"/>
      <c r="AB314" s="3"/>
      <c r="AC314" s="42" t="s">
        <v>703</v>
      </c>
      <c r="AD314" s="2"/>
      <c r="AE314" s="40"/>
    </row>
    <row r="315" spans="1:31" x14ac:dyDescent="0.25">
      <c r="A315" s="38" t="s">
        <v>36</v>
      </c>
      <c r="B315" s="38" t="s">
        <v>662</v>
      </c>
      <c r="C315" s="38" t="s">
        <v>702</v>
      </c>
      <c r="D315" s="38" t="s">
        <v>705</v>
      </c>
      <c r="E315" s="38" t="s">
        <v>706</v>
      </c>
      <c r="F315" s="38">
        <v>278.61</v>
      </c>
      <c r="G315" s="38">
        <v>278.61</v>
      </c>
      <c r="H315" s="38">
        <f t="shared" si="13"/>
        <v>627</v>
      </c>
      <c r="I315" s="38">
        <v>408</v>
      </c>
      <c r="J315" s="38">
        <v>219</v>
      </c>
      <c r="K315" s="38">
        <v>189</v>
      </c>
      <c r="L315" s="50">
        <f t="shared" si="14"/>
        <v>30.14354066985646</v>
      </c>
      <c r="M315" s="38">
        <v>126</v>
      </c>
      <c r="N315" s="50">
        <f t="shared" si="15"/>
        <v>20.095693779904305</v>
      </c>
      <c r="O315" s="38">
        <v>0</v>
      </c>
      <c r="P315" s="38">
        <v>0</v>
      </c>
      <c r="Q315" s="39" t="s">
        <v>44</v>
      </c>
      <c r="R315" s="25">
        <v>45470</v>
      </c>
      <c r="S315" s="40"/>
      <c r="T315" s="39">
        <v>1.2E-2</v>
      </c>
      <c r="U315" s="39"/>
      <c r="V315" s="39"/>
      <c r="W315" s="39"/>
      <c r="X315" s="39"/>
      <c r="Y315" s="39"/>
      <c r="Z315" s="3"/>
      <c r="AB315" s="3"/>
      <c r="AC315" s="42" t="s">
        <v>705</v>
      </c>
      <c r="AD315" s="2"/>
      <c r="AE315" s="40"/>
    </row>
    <row r="316" spans="1:31" x14ac:dyDescent="0.25">
      <c r="A316" s="38" t="s">
        <v>36</v>
      </c>
      <c r="B316" s="38" t="s">
        <v>662</v>
      </c>
      <c r="C316" s="38" t="s">
        <v>702</v>
      </c>
      <c r="D316" s="38" t="s">
        <v>707</v>
      </c>
      <c r="E316" s="38" t="s">
        <v>708</v>
      </c>
      <c r="F316" s="38">
        <v>242.08</v>
      </c>
      <c r="G316" s="38">
        <v>242.08</v>
      </c>
      <c r="H316" s="38">
        <f t="shared" si="13"/>
        <v>1033</v>
      </c>
      <c r="I316" s="38">
        <v>685</v>
      </c>
      <c r="J316" s="38">
        <v>348</v>
      </c>
      <c r="K316" s="38">
        <v>337</v>
      </c>
      <c r="L316" s="50">
        <f t="shared" si="14"/>
        <v>32.623426911907067</v>
      </c>
      <c r="M316" s="38">
        <v>276</v>
      </c>
      <c r="N316" s="50">
        <f t="shared" si="15"/>
        <v>26.718296224588578</v>
      </c>
      <c r="O316" s="38">
        <v>0</v>
      </c>
      <c r="P316" s="38">
        <v>0</v>
      </c>
      <c r="Q316" s="39" t="s">
        <v>44</v>
      </c>
      <c r="R316" s="25">
        <v>45470</v>
      </c>
      <c r="S316" s="40"/>
      <c r="T316" s="39">
        <v>3.4000000000000002E-2</v>
      </c>
      <c r="U316" s="39"/>
      <c r="V316" s="39"/>
      <c r="W316" s="39"/>
      <c r="X316" s="39"/>
      <c r="Y316" s="39"/>
      <c r="Z316" s="3"/>
      <c r="AB316" s="3"/>
      <c r="AC316" s="42" t="s">
        <v>707</v>
      </c>
      <c r="AD316" s="2"/>
      <c r="AE316" s="40"/>
    </row>
    <row r="317" spans="1:31" x14ac:dyDescent="0.25">
      <c r="A317" s="38" t="s">
        <v>36</v>
      </c>
      <c r="B317" s="38" t="s">
        <v>662</v>
      </c>
      <c r="C317" s="38" t="s">
        <v>702</v>
      </c>
      <c r="D317" s="38" t="s">
        <v>709</v>
      </c>
      <c r="E317" s="38" t="s">
        <v>710</v>
      </c>
      <c r="F317" s="38">
        <v>910.04</v>
      </c>
      <c r="G317" s="38">
        <v>910.04</v>
      </c>
      <c r="H317" s="38">
        <f t="shared" si="13"/>
        <v>528</v>
      </c>
      <c r="I317" s="38">
        <v>351</v>
      </c>
      <c r="J317" s="38">
        <v>177</v>
      </c>
      <c r="K317" s="38">
        <v>174</v>
      </c>
      <c r="L317" s="50">
        <f t="shared" si="14"/>
        <v>32.954545454545453</v>
      </c>
      <c r="M317" s="38">
        <v>28</v>
      </c>
      <c r="N317" s="50">
        <f t="shared" si="15"/>
        <v>5.3030303030303028</v>
      </c>
      <c r="O317" s="38">
        <v>0</v>
      </c>
      <c r="P317" s="38">
        <v>0</v>
      </c>
      <c r="Q317" s="39" t="s">
        <v>44</v>
      </c>
      <c r="R317" s="25">
        <v>45470</v>
      </c>
      <c r="S317" s="40"/>
      <c r="T317" s="39">
        <v>0.123</v>
      </c>
      <c r="U317" s="39"/>
      <c r="V317" s="39"/>
      <c r="W317" s="39"/>
      <c r="X317" s="39"/>
      <c r="Y317" s="39"/>
      <c r="Z317" s="3"/>
      <c r="AB317" s="3"/>
      <c r="AC317" s="42" t="s">
        <v>709</v>
      </c>
      <c r="AD317" s="2"/>
      <c r="AE317" s="40"/>
    </row>
    <row r="318" spans="1:31" x14ac:dyDescent="0.25">
      <c r="A318" s="38" t="s">
        <v>36</v>
      </c>
      <c r="B318" s="38" t="s">
        <v>662</v>
      </c>
      <c r="C318" s="38" t="s">
        <v>702</v>
      </c>
      <c r="D318" s="38" t="s">
        <v>711</v>
      </c>
      <c r="E318" s="38" t="s">
        <v>712</v>
      </c>
      <c r="F318" s="38">
        <v>645.49</v>
      </c>
      <c r="G318" s="38">
        <v>645.49</v>
      </c>
      <c r="H318" s="38">
        <f t="shared" si="13"/>
        <v>679</v>
      </c>
      <c r="I318" s="38">
        <v>444</v>
      </c>
      <c r="J318" s="38">
        <v>235</v>
      </c>
      <c r="K318" s="38">
        <v>209</v>
      </c>
      <c r="L318" s="50">
        <f t="shared" si="14"/>
        <v>30.780559646539029</v>
      </c>
      <c r="M318" s="38">
        <v>46</v>
      </c>
      <c r="N318" s="50">
        <f t="shared" si="15"/>
        <v>6.7746686303387333</v>
      </c>
      <c r="O318" s="38">
        <v>0</v>
      </c>
      <c r="P318" s="38">
        <v>0</v>
      </c>
      <c r="Q318" s="39" t="s">
        <v>44</v>
      </c>
      <c r="R318" s="25">
        <v>45470</v>
      </c>
      <c r="S318" s="40"/>
      <c r="T318" s="39">
        <v>3.4000000000000002E-2</v>
      </c>
      <c r="U318" s="39"/>
      <c r="V318" s="39"/>
      <c r="W318" s="39"/>
      <c r="X318" s="39"/>
      <c r="Y318" s="39"/>
      <c r="Z318" s="3"/>
      <c r="AB318" s="3"/>
      <c r="AC318" s="42" t="s">
        <v>711</v>
      </c>
      <c r="AD318" s="2"/>
      <c r="AE318" s="40"/>
    </row>
    <row r="319" spans="1:31" x14ac:dyDescent="0.25">
      <c r="A319" s="38" t="s">
        <v>36</v>
      </c>
      <c r="B319" s="38" t="s">
        <v>662</v>
      </c>
      <c r="C319" s="38" t="s">
        <v>702</v>
      </c>
      <c r="D319" s="38" t="s">
        <v>713</v>
      </c>
      <c r="E319" s="38" t="s">
        <v>714</v>
      </c>
      <c r="F319" s="38">
        <v>710.65</v>
      </c>
      <c r="G319" s="38">
        <v>710.65</v>
      </c>
      <c r="H319" s="38">
        <f t="shared" si="13"/>
        <v>862</v>
      </c>
      <c r="I319" s="38">
        <v>558</v>
      </c>
      <c r="J319" s="38">
        <v>304</v>
      </c>
      <c r="K319" s="38">
        <v>254</v>
      </c>
      <c r="L319" s="50">
        <f t="shared" si="14"/>
        <v>29.466357308584683</v>
      </c>
      <c r="M319" s="38">
        <v>0</v>
      </c>
      <c r="N319" s="50">
        <f t="shared" si="15"/>
        <v>0</v>
      </c>
      <c r="O319" s="38">
        <v>0</v>
      </c>
      <c r="P319" s="38">
        <v>0</v>
      </c>
      <c r="Q319" s="39" t="s">
        <v>44</v>
      </c>
      <c r="R319" s="25">
        <v>45470</v>
      </c>
      <c r="S319" s="40"/>
      <c r="T319" s="39">
        <v>2.3E-2</v>
      </c>
      <c r="U319" s="39"/>
      <c r="V319" s="39"/>
      <c r="W319" s="39"/>
      <c r="X319" s="39"/>
      <c r="Y319" s="39"/>
      <c r="Z319" s="3"/>
      <c r="AB319" s="3"/>
      <c r="AC319" s="42" t="s">
        <v>713</v>
      </c>
      <c r="AD319" s="2"/>
      <c r="AE319" s="40"/>
    </row>
    <row r="320" spans="1:31" x14ac:dyDescent="0.25">
      <c r="A320" s="38" t="s">
        <v>36</v>
      </c>
      <c r="B320" s="38" t="s">
        <v>662</v>
      </c>
      <c r="C320" s="38" t="s">
        <v>702</v>
      </c>
      <c r="D320" s="38" t="s">
        <v>715</v>
      </c>
      <c r="E320" s="38" t="s">
        <v>716</v>
      </c>
      <c r="F320" s="38">
        <v>1100.76</v>
      </c>
      <c r="G320" s="38">
        <v>1100.76</v>
      </c>
      <c r="H320" s="38">
        <f t="shared" si="13"/>
        <v>1163</v>
      </c>
      <c r="I320" s="38">
        <v>768</v>
      </c>
      <c r="J320" s="38">
        <v>395</v>
      </c>
      <c r="K320" s="38">
        <v>373</v>
      </c>
      <c r="L320" s="50">
        <f t="shared" si="14"/>
        <v>32.072226999140149</v>
      </c>
      <c r="M320" s="38">
        <v>0</v>
      </c>
      <c r="N320" s="50">
        <f t="shared" si="15"/>
        <v>0</v>
      </c>
      <c r="O320" s="38">
        <v>0</v>
      </c>
      <c r="P320" s="38">
        <v>5.01</v>
      </c>
      <c r="Q320" s="39" t="s">
        <v>44</v>
      </c>
      <c r="R320" s="25">
        <v>45470</v>
      </c>
      <c r="S320" s="40"/>
      <c r="T320" s="39">
        <v>5.6000000000000001E-2</v>
      </c>
      <c r="U320" s="39"/>
      <c r="V320" s="39"/>
      <c r="W320" s="39"/>
      <c r="X320" s="39"/>
      <c r="Y320" s="39"/>
      <c r="Z320" s="3"/>
      <c r="AB320" s="3"/>
      <c r="AC320" s="42" t="s">
        <v>715</v>
      </c>
      <c r="AD320" s="2"/>
      <c r="AE320" s="40"/>
    </row>
    <row r="321" spans="1:31" x14ac:dyDescent="0.25">
      <c r="A321" s="38" t="s">
        <v>36</v>
      </c>
      <c r="B321" s="38" t="s">
        <v>662</v>
      </c>
      <c r="C321" s="38" t="s">
        <v>717</v>
      </c>
      <c r="D321" s="38" t="s">
        <v>718</v>
      </c>
      <c r="E321" s="38" t="s">
        <v>719</v>
      </c>
      <c r="F321" s="38"/>
      <c r="G321" s="38"/>
      <c r="H321" s="38">
        <f t="shared" si="13"/>
        <v>0</v>
      </c>
      <c r="I321" s="38"/>
      <c r="J321" s="38"/>
      <c r="K321" s="38"/>
      <c r="L321" s="50"/>
      <c r="M321" s="38"/>
      <c r="N321" s="50"/>
      <c r="O321" s="38">
        <v>0</v>
      </c>
      <c r="P321" s="38">
        <v>39.090000000000003</v>
      </c>
      <c r="Q321" s="39" t="s">
        <v>44</v>
      </c>
      <c r="R321" s="7">
        <v>45835</v>
      </c>
      <c r="S321" s="40"/>
      <c r="T321" s="39">
        <v>0</v>
      </c>
      <c r="U321" s="39"/>
      <c r="V321" s="39"/>
      <c r="W321" s="39"/>
      <c r="X321" s="39"/>
      <c r="Y321" s="39"/>
      <c r="Z321" s="3"/>
      <c r="AB321" s="3"/>
      <c r="AC321" s="38" t="s">
        <v>718</v>
      </c>
      <c r="AD321" s="2"/>
      <c r="AE321" s="40"/>
    </row>
    <row r="322" spans="1:31" x14ac:dyDescent="0.25">
      <c r="A322" s="38" t="s">
        <v>36</v>
      </c>
      <c r="B322" s="38" t="s">
        <v>662</v>
      </c>
      <c r="C322" s="38" t="s">
        <v>717</v>
      </c>
      <c r="D322" s="38" t="s">
        <v>720</v>
      </c>
      <c r="E322" s="38" t="s">
        <v>719</v>
      </c>
      <c r="F322" s="38">
        <v>915.67</v>
      </c>
      <c r="G322" s="38">
        <v>915.67</v>
      </c>
      <c r="H322" s="38">
        <f t="shared" si="13"/>
        <v>2345</v>
      </c>
      <c r="I322" s="38">
        <v>1536</v>
      </c>
      <c r="J322" s="38">
        <v>809</v>
      </c>
      <c r="K322" s="38">
        <v>727</v>
      </c>
      <c r="L322" s="50">
        <f t="shared" si="14"/>
        <v>31.002132196162048</v>
      </c>
      <c r="M322" s="38">
        <v>130</v>
      </c>
      <c r="N322" s="50">
        <f t="shared" si="15"/>
        <v>5.5437100213219619</v>
      </c>
      <c r="O322" s="38">
        <v>0</v>
      </c>
      <c r="P322" s="38">
        <v>39.090000000000003</v>
      </c>
      <c r="Q322" s="2" t="s">
        <v>44</v>
      </c>
      <c r="R322" s="7">
        <v>45835</v>
      </c>
      <c r="S322" s="40"/>
      <c r="T322" s="2">
        <v>38.783499999999997</v>
      </c>
      <c r="U322" s="2"/>
      <c r="V322" s="2"/>
      <c r="W322" s="2"/>
      <c r="X322" s="2"/>
      <c r="Y322" s="2"/>
      <c r="Z322" s="3"/>
      <c r="AB322" s="3">
        <v>12</v>
      </c>
      <c r="AC322" s="38" t="s">
        <v>720</v>
      </c>
      <c r="AD322" s="2">
        <v>26.079440999999999</v>
      </c>
      <c r="AE322" s="40">
        <v>71.627001000000007</v>
      </c>
    </row>
    <row r="323" spans="1:31" x14ac:dyDescent="0.25">
      <c r="A323" s="38" t="s">
        <v>36</v>
      </c>
      <c r="B323" s="38" t="s">
        <v>662</v>
      </c>
      <c r="C323" s="38" t="s">
        <v>717</v>
      </c>
      <c r="D323" s="38" t="s">
        <v>720</v>
      </c>
      <c r="E323" s="38" t="s">
        <v>719</v>
      </c>
      <c r="F323" s="38">
        <v>915.67</v>
      </c>
      <c r="G323" s="38">
        <v>915.67</v>
      </c>
      <c r="H323" s="38">
        <f t="shared" si="13"/>
        <v>2345</v>
      </c>
      <c r="I323" s="38">
        <v>1536</v>
      </c>
      <c r="J323" s="38">
        <v>809</v>
      </c>
      <c r="K323" s="38">
        <v>727</v>
      </c>
      <c r="L323" s="50">
        <f t="shared" si="14"/>
        <v>31.002132196162048</v>
      </c>
      <c r="M323" s="38">
        <v>130</v>
      </c>
      <c r="N323" s="50">
        <f t="shared" si="15"/>
        <v>5.5437100213219619</v>
      </c>
      <c r="O323" s="38">
        <v>0</v>
      </c>
      <c r="P323" s="38">
        <v>39.090000000000003</v>
      </c>
      <c r="Q323" s="2"/>
      <c r="R323" s="7">
        <v>45835</v>
      </c>
      <c r="S323" s="40"/>
      <c r="T323" s="2"/>
      <c r="U323" s="2"/>
      <c r="V323" s="2"/>
      <c r="W323" s="2"/>
      <c r="X323" s="2"/>
      <c r="Y323" s="2"/>
      <c r="Z323" s="3"/>
      <c r="AB323" s="3">
        <v>16</v>
      </c>
      <c r="AC323" s="38" t="s">
        <v>720</v>
      </c>
      <c r="AD323" s="2">
        <v>26.072084</v>
      </c>
      <c r="AE323" s="40">
        <v>71.618104000000002</v>
      </c>
    </row>
    <row r="324" spans="1:31" x14ac:dyDescent="0.25">
      <c r="A324" s="38" t="s">
        <v>36</v>
      </c>
      <c r="B324" s="38" t="s">
        <v>662</v>
      </c>
      <c r="C324" s="38" t="s">
        <v>717</v>
      </c>
      <c r="D324" s="38" t="s">
        <v>721</v>
      </c>
      <c r="E324" s="38" t="s">
        <v>722</v>
      </c>
      <c r="F324" s="38">
        <v>380.88</v>
      </c>
      <c r="G324" s="38">
        <v>380.88</v>
      </c>
      <c r="H324" s="38">
        <f t="shared" si="13"/>
        <v>535</v>
      </c>
      <c r="I324" s="38">
        <v>355</v>
      </c>
      <c r="J324" s="38">
        <v>180</v>
      </c>
      <c r="K324" s="38">
        <v>175</v>
      </c>
      <c r="L324" s="50">
        <f t="shared" si="14"/>
        <v>32.710280373831772</v>
      </c>
      <c r="M324" s="38">
        <v>0</v>
      </c>
      <c r="N324" s="50">
        <f t="shared" si="15"/>
        <v>0</v>
      </c>
      <c r="O324" s="38">
        <v>0</v>
      </c>
      <c r="P324" s="38">
        <v>0</v>
      </c>
      <c r="Q324" s="39" t="s">
        <v>44</v>
      </c>
      <c r="R324" s="7">
        <v>45835</v>
      </c>
      <c r="S324" s="40"/>
      <c r="T324" s="39">
        <v>0.64749999999999996</v>
      </c>
      <c r="U324" s="39"/>
      <c r="V324" s="39"/>
      <c r="W324" s="39"/>
      <c r="X324" s="39"/>
      <c r="Y324" s="39"/>
      <c r="Z324" s="3"/>
      <c r="AB324" s="3"/>
      <c r="AC324" s="38" t="s">
        <v>721</v>
      </c>
      <c r="AD324" s="2"/>
      <c r="AE324" s="40"/>
    </row>
    <row r="325" spans="1:31" x14ac:dyDescent="0.25">
      <c r="A325" s="38" t="s">
        <v>36</v>
      </c>
      <c r="B325" s="38" t="s">
        <v>662</v>
      </c>
      <c r="C325" s="38" t="s">
        <v>717</v>
      </c>
      <c r="D325" s="38" t="s">
        <v>723</v>
      </c>
      <c r="E325" s="38" t="s">
        <v>724</v>
      </c>
      <c r="F325" s="38">
        <v>914.11</v>
      </c>
      <c r="G325" s="38">
        <v>914.11</v>
      </c>
      <c r="H325" s="38">
        <f t="shared" ref="H325:H388" si="16">I325+J325</f>
        <v>1031</v>
      </c>
      <c r="I325" s="38">
        <v>671</v>
      </c>
      <c r="J325" s="38">
        <v>360</v>
      </c>
      <c r="K325" s="38">
        <v>311</v>
      </c>
      <c r="L325" s="50">
        <f t="shared" si="14"/>
        <v>30.164888457807955</v>
      </c>
      <c r="M325" s="38">
        <v>0</v>
      </c>
      <c r="N325" s="50">
        <f t="shared" si="15"/>
        <v>0</v>
      </c>
      <c r="O325" s="38">
        <v>0</v>
      </c>
      <c r="P325" s="38">
        <v>0</v>
      </c>
      <c r="Q325" s="39" t="s">
        <v>44</v>
      </c>
      <c r="R325" s="7">
        <v>45835</v>
      </c>
      <c r="S325" s="40"/>
      <c r="T325" s="39">
        <v>0</v>
      </c>
      <c r="U325" s="39"/>
      <c r="V325" s="39"/>
      <c r="W325" s="39"/>
      <c r="X325" s="39"/>
      <c r="Y325" s="39"/>
      <c r="Z325" s="3"/>
      <c r="AB325" s="3"/>
      <c r="AC325" s="38" t="s">
        <v>723</v>
      </c>
      <c r="AD325" s="2"/>
      <c r="AE325" s="40"/>
    </row>
    <row r="326" spans="1:31" x14ac:dyDescent="0.25">
      <c r="A326" s="38" t="s">
        <v>36</v>
      </c>
      <c r="B326" s="38" t="s">
        <v>662</v>
      </c>
      <c r="C326" s="38" t="s">
        <v>717</v>
      </c>
      <c r="D326" s="38" t="s">
        <v>725</v>
      </c>
      <c r="E326" s="38" t="s">
        <v>726</v>
      </c>
      <c r="F326" s="38">
        <v>848.68</v>
      </c>
      <c r="G326" s="38">
        <v>848.68</v>
      </c>
      <c r="H326" s="38">
        <f t="shared" si="16"/>
        <v>1074</v>
      </c>
      <c r="I326" s="38">
        <v>704</v>
      </c>
      <c r="J326" s="38">
        <v>370</v>
      </c>
      <c r="K326" s="38">
        <v>334</v>
      </c>
      <c r="L326" s="50">
        <f t="shared" ref="L326:L389" si="17">K326/H326*100</f>
        <v>31.098696461824954</v>
      </c>
      <c r="M326" s="38">
        <v>0</v>
      </c>
      <c r="N326" s="50">
        <f t="shared" ref="N326:N389" si="18">M326/H326*100</f>
        <v>0</v>
      </c>
      <c r="O326" s="38">
        <v>0</v>
      </c>
      <c r="P326" s="38">
        <v>0</v>
      </c>
      <c r="Q326" s="39" t="s">
        <v>44</v>
      </c>
      <c r="R326" s="7">
        <v>45835</v>
      </c>
      <c r="S326" s="40"/>
      <c r="T326" s="39">
        <v>0</v>
      </c>
      <c r="U326" s="39"/>
      <c r="V326" s="39"/>
      <c r="W326" s="39"/>
      <c r="X326" s="39"/>
      <c r="Y326" s="39"/>
      <c r="Z326" s="3"/>
      <c r="AB326" s="3"/>
      <c r="AC326" s="38" t="s">
        <v>725</v>
      </c>
      <c r="AD326" s="2"/>
      <c r="AE326" s="40"/>
    </row>
    <row r="327" spans="1:31" x14ac:dyDescent="0.25">
      <c r="A327" s="38" t="s">
        <v>36</v>
      </c>
      <c r="B327" s="38" t="s">
        <v>662</v>
      </c>
      <c r="C327" s="38" t="s">
        <v>717</v>
      </c>
      <c r="D327" s="38" t="s">
        <v>727</v>
      </c>
      <c r="E327" s="38" t="s">
        <v>728</v>
      </c>
      <c r="F327" s="38">
        <v>555.96</v>
      </c>
      <c r="G327" s="38">
        <v>555.96</v>
      </c>
      <c r="H327" s="38">
        <f t="shared" si="16"/>
        <v>810</v>
      </c>
      <c r="I327" s="38">
        <v>527</v>
      </c>
      <c r="J327" s="38">
        <v>283</v>
      </c>
      <c r="K327" s="38">
        <v>244</v>
      </c>
      <c r="L327" s="50">
        <f t="shared" si="17"/>
        <v>30.123456790123459</v>
      </c>
      <c r="M327" s="38">
        <v>0</v>
      </c>
      <c r="N327" s="50">
        <f t="shared" si="18"/>
        <v>0</v>
      </c>
      <c r="O327" s="38">
        <v>0</v>
      </c>
      <c r="P327" s="38">
        <v>0</v>
      </c>
      <c r="Q327" s="39" t="s">
        <v>44</v>
      </c>
      <c r="R327" s="7">
        <v>45835</v>
      </c>
      <c r="S327" s="40"/>
      <c r="T327" s="39">
        <v>0</v>
      </c>
      <c r="U327" s="39"/>
      <c r="V327" s="39"/>
      <c r="W327" s="39"/>
      <c r="X327" s="39"/>
      <c r="Y327" s="39"/>
      <c r="Z327" s="3"/>
      <c r="AB327" s="3"/>
      <c r="AC327" s="38" t="s">
        <v>727</v>
      </c>
      <c r="AD327" s="2"/>
      <c r="AE327" s="40"/>
    </row>
    <row r="328" spans="1:31" x14ac:dyDescent="0.25">
      <c r="A328" s="38" t="s">
        <v>36</v>
      </c>
      <c r="B328" s="38" t="s">
        <v>662</v>
      </c>
      <c r="C328" s="38" t="s">
        <v>717</v>
      </c>
      <c r="D328" s="38" t="s">
        <v>718</v>
      </c>
      <c r="E328" s="38" t="s">
        <v>729</v>
      </c>
      <c r="F328" s="38">
        <v>834.71</v>
      </c>
      <c r="G328" s="38">
        <v>834.71</v>
      </c>
      <c r="H328" s="38">
        <f t="shared" si="16"/>
        <v>597</v>
      </c>
      <c r="I328" s="38">
        <v>398</v>
      </c>
      <c r="J328" s="38">
        <v>199</v>
      </c>
      <c r="K328" s="38">
        <v>199</v>
      </c>
      <c r="L328" s="50">
        <f t="shared" si="17"/>
        <v>33.333333333333329</v>
      </c>
      <c r="M328" s="38">
        <v>31</v>
      </c>
      <c r="N328" s="50">
        <f t="shared" si="18"/>
        <v>5.1926298157453932</v>
      </c>
      <c r="O328" s="38">
        <v>0</v>
      </c>
      <c r="P328" s="38">
        <v>0</v>
      </c>
      <c r="Q328" s="39" t="s">
        <v>44</v>
      </c>
      <c r="R328" s="7">
        <v>45835</v>
      </c>
      <c r="S328" s="40"/>
      <c r="T328" s="39">
        <v>0</v>
      </c>
      <c r="U328" s="39"/>
      <c r="V328" s="39"/>
      <c r="W328" s="39"/>
      <c r="X328" s="39"/>
      <c r="Y328" s="39"/>
      <c r="Z328" s="3"/>
      <c r="AB328" s="3"/>
      <c r="AC328" s="38" t="s">
        <v>718</v>
      </c>
      <c r="AD328" s="2"/>
      <c r="AE328" s="40"/>
    </row>
    <row r="329" spans="1:31" x14ac:dyDescent="0.25">
      <c r="A329" s="38" t="s">
        <v>36</v>
      </c>
      <c r="B329" s="38" t="s">
        <v>662</v>
      </c>
      <c r="C329" s="38" t="s">
        <v>730</v>
      </c>
      <c r="D329" s="38" t="s">
        <v>731</v>
      </c>
      <c r="E329" s="38" t="s">
        <v>732</v>
      </c>
      <c r="F329" s="38">
        <v>993.6</v>
      </c>
      <c r="G329" s="38">
        <v>993.6</v>
      </c>
      <c r="H329" s="38">
        <f t="shared" si="16"/>
        <v>2770</v>
      </c>
      <c r="I329" s="38">
        <v>1813</v>
      </c>
      <c r="J329" s="38">
        <v>957</v>
      </c>
      <c r="K329" s="38">
        <v>856</v>
      </c>
      <c r="L329" s="50">
        <f t="shared" si="17"/>
        <v>30.902527075812277</v>
      </c>
      <c r="M329" s="38">
        <v>682</v>
      </c>
      <c r="N329" s="50">
        <f t="shared" si="18"/>
        <v>24.620938628158846</v>
      </c>
      <c r="O329" s="38">
        <v>1.98</v>
      </c>
      <c r="P329" s="38">
        <v>23.99</v>
      </c>
      <c r="Q329" s="2" t="s">
        <v>44</v>
      </c>
      <c r="R329" s="7">
        <v>45835</v>
      </c>
      <c r="S329" s="40"/>
      <c r="T329" s="2">
        <v>26.066099999999999</v>
      </c>
      <c r="U329" s="2"/>
      <c r="V329" s="2"/>
      <c r="W329" s="2"/>
      <c r="X329" s="2"/>
      <c r="Y329" s="2"/>
      <c r="Z329" s="3"/>
      <c r="AB329" s="3">
        <v>26</v>
      </c>
      <c r="AC329" s="38" t="s">
        <v>733</v>
      </c>
      <c r="AD329" s="2">
        <v>26.0473216</v>
      </c>
      <c r="AE329" s="40">
        <v>71.554992799999994</v>
      </c>
    </row>
    <row r="330" spans="1:31" x14ac:dyDescent="0.25">
      <c r="A330" s="38" t="s">
        <v>36</v>
      </c>
      <c r="B330" s="38" t="s">
        <v>662</v>
      </c>
      <c r="C330" s="38" t="s">
        <v>730</v>
      </c>
      <c r="D330" s="38" t="s">
        <v>734</v>
      </c>
      <c r="E330" s="38" t="s">
        <v>735</v>
      </c>
      <c r="F330" s="38">
        <v>801.1</v>
      </c>
      <c r="G330" s="38">
        <v>801.1</v>
      </c>
      <c r="H330" s="38">
        <f t="shared" si="16"/>
        <v>803</v>
      </c>
      <c r="I330" s="38">
        <v>539</v>
      </c>
      <c r="J330" s="38">
        <v>264</v>
      </c>
      <c r="K330" s="38">
        <v>275</v>
      </c>
      <c r="L330" s="50">
        <f t="shared" si="17"/>
        <v>34.246575342465754</v>
      </c>
      <c r="M330" s="38">
        <v>100</v>
      </c>
      <c r="N330" s="50">
        <f t="shared" si="18"/>
        <v>12.453300124533001</v>
      </c>
      <c r="O330" s="38">
        <v>0</v>
      </c>
      <c r="P330" s="38">
        <v>0</v>
      </c>
      <c r="Q330" s="39" t="s">
        <v>44</v>
      </c>
      <c r="R330" s="7">
        <v>45835</v>
      </c>
      <c r="S330" s="40"/>
      <c r="T330" s="39">
        <v>0</v>
      </c>
      <c r="U330" s="39"/>
      <c r="V330" s="39"/>
      <c r="W330" s="39"/>
      <c r="X330" s="39"/>
      <c r="Y330" s="39"/>
      <c r="Z330" s="3"/>
      <c r="AB330" s="3"/>
      <c r="AC330" s="38" t="s">
        <v>734</v>
      </c>
      <c r="AD330" s="2"/>
      <c r="AE330" s="40"/>
    </row>
    <row r="331" spans="1:31" x14ac:dyDescent="0.25">
      <c r="A331" s="38" t="s">
        <v>36</v>
      </c>
      <c r="B331" s="38" t="s">
        <v>662</v>
      </c>
      <c r="C331" s="38" t="s">
        <v>730</v>
      </c>
      <c r="D331" s="38" t="s">
        <v>736</v>
      </c>
      <c r="E331" s="38" t="s">
        <v>737</v>
      </c>
      <c r="F331" s="38">
        <v>708.97</v>
      </c>
      <c r="G331" s="38">
        <v>708.97</v>
      </c>
      <c r="H331" s="38">
        <f t="shared" si="16"/>
        <v>859</v>
      </c>
      <c r="I331" s="38">
        <v>559</v>
      </c>
      <c r="J331" s="38">
        <v>300</v>
      </c>
      <c r="K331" s="38">
        <v>259</v>
      </c>
      <c r="L331" s="50">
        <f t="shared" si="17"/>
        <v>30.151338766006987</v>
      </c>
      <c r="M331" s="38">
        <v>0</v>
      </c>
      <c r="N331" s="50">
        <f t="shared" si="18"/>
        <v>0</v>
      </c>
      <c r="O331" s="38">
        <v>0</v>
      </c>
      <c r="P331" s="38">
        <v>0</v>
      </c>
      <c r="Q331" s="39" t="s">
        <v>44</v>
      </c>
      <c r="R331" s="7">
        <v>45835</v>
      </c>
      <c r="S331" s="40"/>
      <c r="T331" s="39">
        <v>0</v>
      </c>
      <c r="U331" s="39"/>
      <c r="V331" s="39"/>
      <c r="W331" s="39"/>
      <c r="X331" s="39"/>
      <c r="Y331" s="39"/>
      <c r="Z331" s="3"/>
      <c r="AB331" s="3"/>
      <c r="AC331" s="38" t="s">
        <v>736</v>
      </c>
      <c r="AD331" s="2"/>
      <c r="AE331" s="40"/>
    </row>
    <row r="332" spans="1:31" x14ac:dyDescent="0.25">
      <c r="A332" s="38" t="s">
        <v>36</v>
      </c>
      <c r="B332" s="38" t="s">
        <v>662</v>
      </c>
      <c r="C332" s="38" t="s">
        <v>730</v>
      </c>
      <c r="D332" s="38" t="s">
        <v>738</v>
      </c>
      <c r="E332" s="38" t="s">
        <v>739</v>
      </c>
      <c r="F332" s="38">
        <v>590.54</v>
      </c>
      <c r="G332" s="38">
        <v>590.54</v>
      </c>
      <c r="H332" s="38">
        <f t="shared" si="16"/>
        <v>685</v>
      </c>
      <c r="I332" s="38">
        <v>450</v>
      </c>
      <c r="J332" s="38">
        <v>235</v>
      </c>
      <c r="K332" s="38">
        <v>215</v>
      </c>
      <c r="L332" s="50">
        <f t="shared" si="17"/>
        <v>31.386861313868614</v>
      </c>
      <c r="M332" s="38">
        <v>37</v>
      </c>
      <c r="N332" s="50">
        <f t="shared" si="18"/>
        <v>5.4014598540145986</v>
      </c>
      <c r="O332" s="38">
        <v>0</v>
      </c>
      <c r="P332" s="38">
        <v>0</v>
      </c>
      <c r="Q332" s="39" t="s">
        <v>44</v>
      </c>
      <c r="R332" s="7">
        <v>45835</v>
      </c>
      <c r="S332" s="40"/>
      <c r="T332" s="39">
        <v>0</v>
      </c>
      <c r="U332" s="39"/>
      <c r="V332" s="39"/>
      <c r="W332" s="39"/>
      <c r="X332" s="39"/>
      <c r="Y332" s="39"/>
      <c r="Z332" s="3"/>
      <c r="AB332" s="3"/>
      <c r="AC332" s="38" t="s">
        <v>738</v>
      </c>
      <c r="AD332" s="2"/>
      <c r="AE332" s="40"/>
    </row>
    <row r="333" spans="1:31" x14ac:dyDescent="0.25">
      <c r="A333" s="38" t="s">
        <v>36</v>
      </c>
      <c r="B333" s="38" t="s">
        <v>662</v>
      </c>
      <c r="C333" s="38" t="s">
        <v>730</v>
      </c>
      <c r="D333" s="38" t="s">
        <v>740</v>
      </c>
      <c r="E333" s="38" t="s">
        <v>741</v>
      </c>
      <c r="F333" s="38">
        <v>657.73</v>
      </c>
      <c r="G333" s="38">
        <v>657.73</v>
      </c>
      <c r="H333" s="38">
        <f t="shared" si="16"/>
        <v>660</v>
      </c>
      <c r="I333" s="38">
        <v>432</v>
      </c>
      <c r="J333" s="38">
        <v>228</v>
      </c>
      <c r="K333" s="38">
        <v>204</v>
      </c>
      <c r="L333" s="50">
        <f t="shared" si="17"/>
        <v>30.909090909090907</v>
      </c>
      <c r="M333" s="38">
        <v>121</v>
      </c>
      <c r="N333" s="50">
        <f t="shared" si="18"/>
        <v>18.333333333333332</v>
      </c>
      <c r="O333" s="38">
        <v>0</v>
      </c>
      <c r="P333" s="38">
        <v>0</v>
      </c>
      <c r="Q333" s="39" t="s">
        <v>44</v>
      </c>
      <c r="R333" s="7">
        <v>45835</v>
      </c>
      <c r="S333" s="40"/>
      <c r="T333" s="39">
        <v>5.7035</v>
      </c>
      <c r="U333" s="39"/>
      <c r="V333" s="39"/>
      <c r="W333" s="39"/>
      <c r="X333" s="39"/>
      <c r="Y333" s="39"/>
      <c r="Z333" s="3"/>
      <c r="AB333" s="3"/>
      <c r="AC333" s="38" t="s">
        <v>740</v>
      </c>
      <c r="AD333" s="2"/>
      <c r="AE333" s="40"/>
    </row>
    <row r="334" spans="1:31" x14ac:dyDescent="0.25">
      <c r="A334" s="38" t="s">
        <v>36</v>
      </c>
      <c r="B334" s="38" t="s">
        <v>662</v>
      </c>
      <c r="C334" s="38" t="s">
        <v>742</v>
      </c>
      <c r="D334" s="38" t="s">
        <v>742</v>
      </c>
      <c r="E334" s="38" t="s">
        <v>743</v>
      </c>
      <c r="F334" s="38">
        <v>1213.8</v>
      </c>
      <c r="G334" s="38">
        <v>1213.8</v>
      </c>
      <c r="H334" s="38">
        <f t="shared" si="16"/>
        <v>2043</v>
      </c>
      <c r="I334" s="38">
        <v>1343</v>
      </c>
      <c r="J334" s="38">
        <v>700</v>
      </c>
      <c r="K334" s="38">
        <v>643</v>
      </c>
      <c r="L334" s="50">
        <f t="shared" si="17"/>
        <v>31.473323543808124</v>
      </c>
      <c r="M334" s="38">
        <v>162</v>
      </c>
      <c r="N334" s="50">
        <f t="shared" si="18"/>
        <v>7.929515418502203</v>
      </c>
      <c r="O334" s="38">
        <v>0</v>
      </c>
      <c r="P334" s="38">
        <v>0</v>
      </c>
      <c r="Q334" s="39" t="s">
        <v>44</v>
      </c>
      <c r="R334" s="7">
        <v>45896</v>
      </c>
      <c r="S334" s="40"/>
      <c r="T334" s="39">
        <v>0</v>
      </c>
      <c r="U334" s="39"/>
      <c r="V334" s="39"/>
      <c r="W334" s="39"/>
      <c r="X334" s="39"/>
      <c r="Y334" s="39"/>
      <c r="Z334" s="3"/>
      <c r="AB334" s="3"/>
      <c r="AC334" s="38" t="s">
        <v>742</v>
      </c>
      <c r="AD334" s="2"/>
      <c r="AE334" s="40"/>
    </row>
    <row r="335" spans="1:31" x14ac:dyDescent="0.25">
      <c r="A335" s="38" t="s">
        <v>36</v>
      </c>
      <c r="B335" s="38" t="s">
        <v>662</v>
      </c>
      <c r="C335" s="38" t="s">
        <v>742</v>
      </c>
      <c r="D335" s="38" t="s">
        <v>744</v>
      </c>
      <c r="E335" s="38" t="s">
        <v>745</v>
      </c>
      <c r="F335" s="38">
        <v>1124.48</v>
      </c>
      <c r="G335" s="38">
        <v>1124.48</v>
      </c>
      <c r="H335" s="38">
        <f t="shared" si="16"/>
        <v>1244</v>
      </c>
      <c r="I335" s="38">
        <v>825</v>
      </c>
      <c r="J335" s="38">
        <v>419</v>
      </c>
      <c r="K335" s="38">
        <v>406</v>
      </c>
      <c r="L335" s="50">
        <f t="shared" si="17"/>
        <v>32.636655948553056</v>
      </c>
      <c r="M335" s="38">
        <v>91</v>
      </c>
      <c r="N335" s="50">
        <f t="shared" si="18"/>
        <v>7.3151125401929269</v>
      </c>
      <c r="O335" s="38">
        <v>0</v>
      </c>
      <c r="P335" s="38">
        <v>0</v>
      </c>
      <c r="Q335" s="39" t="s">
        <v>44</v>
      </c>
      <c r="R335" s="7">
        <v>45896</v>
      </c>
      <c r="S335" s="40"/>
      <c r="T335" s="39">
        <v>2.9689999999999999</v>
      </c>
      <c r="U335" s="39"/>
      <c r="V335" s="39"/>
      <c r="W335" s="39"/>
      <c r="X335" s="39"/>
      <c r="Y335" s="39"/>
      <c r="Z335" s="3"/>
      <c r="AB335" s="3"/>
      <c r="AC335" s="38" t="s">
        <v>744</v>
      </c>
      <c r="AD335" s="2"/>
      <c r="AE335" s="40"/>
    </row>
    <row r="336" spans="1:31" x14ac:dyDescent="0.25">
      <c r="A336" s="38" t="s">
        <v>36</v>
      </c>
      <c r="B336" s="38" t="s">
        <v>662</v>
      </c>
      <c r="C336" s="38" t="s">
        <v>742</v>
      </c>
      <c r="D336" s="38" t="s">
        <v>746</v>
      </c>
      <c r="E336" s="38" t="s">
        <v>747</v>
      </c>
      <c r="F336" s="38">
        <v>542.61</v>
      </c>
      <c r="G336" s="38">
        <v>542.61</v>
      </c>
      <c r="H336" s="38">
        <f t="shared" si="16"/>
        <v>760</v>
      </c>
      <c r="I336" s="38">
        <v>506</v>
      </c>
      <c r="J336" s="38">
        <v>254</v>
      </c>
      <c r="K336" s="38">
        <v>252</v>
      </c>
      <c r="L336" s="50">
        <f t="shared" si="17"/>
        <v>33.157894736842103</v>
      </c>
      <c r="M336" s="38">
        <v>22</v>
      </c>
      <c r="N336" s="50">
        <f t="shared" si="18"/>
        <v>2.8947368421052633</v>
      </c>
      <c r="O336" s="38">
        <v>0</v>
      </c>
      <c r="P336" s="38">
        <v>0</v>
      </c>
      <c r="Q336" s="39" t="s">
        <v>44</v>
      </c>
      <c r="R336" s="7">
        <v>45896</v>
      </c>
      <c r="S336" s="40"/>
      <c r="T336" s="39">
        <v>0.38829999999999998</v>
      </c>
      <c r="U336" s="39"/>
      <c r="V336" s="39"/>
      <c r="W336" s="39"/>
      <c r="X336" s="39"/>
      <c r="Y336" s="39"/>
      <c r="Z336" s="3"/>
      <c r="AB336" s="3"/>
      <c r="AC336" s="38" t="s">
        <v>746</v>
      </c>
      <c r="AD336" s="2"/>
      <c r="AE336" s="40"/>
    </row>
    <row r="337" spans="1:31" x14ac:dyDescent="0.25">
      <c r="A337" s="38" t="s">
        <v>36</v>
      </c>
      <c r="B337" s="38" t="s">
        <v>662</v>
      </c>
      <c r="C337" s="38" t="s">
        <v>742</v>
      </c>
      <c r="D337" s="38" t="s">
        <v>748</v>
      </c>
      <c r="E337" s="38" t="s">
        <v>749</v>
      </c>
      <c r="F337" s="38">
        <v>470.66</v>
      </c>
      <c r="G337" s="38">
        <v>470.66</v>
      </c>
      <c r="H337" s="38">
        <f t="shared" si="16"/>
        <v>701</v>
      </c>
      <c r="I337" s="38">
        <v>460</v>
      </c>
      <c r="J337" s="38">
        <v>241</v>
      </c>
      <c r="K337" s="38">
        <v>219</v>
      </c>
      <c r="L337" s="50">
        <f t="shared" si="17"/>
        <v>31.24108416547789</v>
      </c>
      <c r="M337" s="38">
        <v>4</v>
      </c>
      <c r="N337" s="50">
        <f t="shared" si="18"/>
        <v>0.57061340941512129</v>
      </c>
      <c r="O337" s="38">
        <v>0</v>
      </c>
      <c r="P337" s="38">
        <v>25.89</v>
      </c>
      <c r="Q337" s="39" t="s">
        <v>44</v>
      </c>
      <c r="R337" s="7">
        <v>45896</v>
      </c>
      <c r="S337" s="40"/>
      <c r="T337" s="39">
        <v>26.4422</v>
      </c>
      <c r="U337" s="39"/>
      <c r="V337" s="39"/>
      <c r="W337" s="39"/>
      <c r="X337" s="39"/>
      <c r="Y337" s="39"/>
      <c r="Z337" s="3"/>
      <c r="AB337" s="3"/>
      <c r="AC337" s="38" t="s">
        <v>748</v>
      </c>
      <c r="AD337" s="2"/>
      <c r="AE337" s="40"/>
    </row>
    <row r="338" spans="1:31" x14ac:dyDescent="0.25">
      <c r="A338" s="38" t="s">
        <v>36</v>
      </c>
      <c r="B338" s="38" t="s">
        <v>662</v>
      </c>
      <c r="C338" s="38" t="s">
        <v>750</v>
      </c>
      <c r="D338" s="38" t="s">
        <v>750</v>
      </c>
      <c r="E338" s="38" t="s">
        <v>751</v>
      </c>
      <c r="F338" s="38">
        <v>529.4</v>
      </c>
      <c r="G338" s="38">
        <v>529.4</v>
      </c>
      <c r="H338" s="38">
        <f t="shared" si="16"/>
        <v>663</v>
      </c>
      <c r="I338" s="38">
        <v>433</v>
      </c>
      <c r="J338" s="38">
        <v>230</v>
      </c>
      <c r="K338" s="38">
        <v>203</v>
      </c>
      <c r="L338" s="50">
        <f t="shared" si="17"/>
        <v>30.618401206636502</v>
      </c>
      <c r="M338" s="38">
        <v>0</v>
      </c>
      <c r="N338" s="50">
        <f t="shared" si="18"/>
        <v>0</v>
      </c>
      <c r="O338" s="38">
        <v>0</v>
      </c>
      <c r="P338" s="38">
        <v>0</v>
      </c>
      <c r="Q338" s="39" t="s">
        <v>44</v>
      </c>
      <c r="R338" s="7">
        <v>45835</v>
      </c>
      <c r="S338" s="40"/>
      <c r="T338" s="39">
        <v>0</v>
      </c>
      <c r="U338" s="39"/>
      <c r="V338" s="39"/>
      <c r="W338" s="39"/>
      <c r="X338" s="39"/>
      <c r="Y338" s="39"/>
      <c r="Z338" s="3"/>
      <c r="AB338" s="3"/>
      <c r="AC338" s="38" t="s">
        <v>750</v>
      </c>
      <c r="AD338" s="2"/>
      <c r="AE338" s="40"/>
    </row>
    <row r="339" spans="1:31" x14ac:dyDescent="0.25">
      <c r="A339" s="38" t="s">
        <v>36</v>
      </c>
      <c r="B339" s="38" t="s">
        <v>662</v>
      </c>
      <c r="C339" s="38" t="s">
        <v>750</v>
      </c>
      <c r="D339" s="38" t="s">
        <v>752</v>
      </c>
      <c r="E339" s="38" t="s">
        <v>753</v>
      </c>
      <c r="F339" s="38">
        <v>809.42</v>
      </c>
      <c r="G339" s="38">
        <v>809.42</v>
      </c>
      <c r="H339" s="38">
        <f t="shared" si="16"/>
        <v>708</v>
      </c>
      <c r="I339" s="38">
        <v>463</v>
      </c>
      <c r="J339" s="38">
        <v>245</v>
      </c>
      <c r="K339" s="38">
        <v>218</v>
      </c>
      <c r="L339" s="50">
        <f t="shared" si="17"/>
        <v>30.790960451977401</v>
      </c>
      <c r="M339" s="38">
        <v>28</v>
      </c>
      <c r="N339" s="50">
        <f t="shared" si="18"/>
        <v>3.9548022598870061</v>
      </c>
      <c r="O339" s="38">
        <v>172.1</v>
      </c>
      <c r="P339" s="38">
        <v>0</v>
      </c>
      <c r="Q339" s="39" t="s">
        <v>44</v>
      </c>
      <c r="R339" s="7">
        <v>45835</v>
      </c>
      <c r="S339" s="40"/>
      <c r="T339" s="39">
        <v>0.6472</v>
      </c>
      <c r="U339" s="39"/>
      <c r="V339" s="39"/>
      <c r="W339" s="39"/>
      <c r="X339" s="39"/>
      <c r="Y339" s="39"/>
      <c r="Z339" s="3"/>
      <c r="AB339" s="3"/>
      <c r="AC339" s="38" t="s">
        <v>752</v>
      </c>
      <c r="AD339" s="2"/>
      <c r="AE339" s="40"/>
    </row>
    <row r="340" spans="1:31" x14ac:dyDescent="0.25">
      <c r="A340" s="38" t="s">
        <v>36</v>
      </c>
      <c r="B340" s="38" t="s">
        <v>662</v>
      </c>
      <c r="C340" s="38" t="s">
        <v>750</v>
      </c>
      <c r="D340" s="38" t="s">
        <v>754</v>
      </c>
      <c r="E340" s="38" t="s">
        <v>755</v>
      </c>
      <c r="F340" s="38">
        <v>899.34</v>
      </c>
      <c r="G340" s="38">
        <v>899.34</v>
      </c>
      <c r="H340" s="38">
        <f t="shared" si="16"/>
        <v>1066</v>
      </c>
      <c r="I340" s="38">
        <v>691</v>
      </c>
      <c r="J340" s="38">
        <v>375</v>
      </c>
      <c r="K340" s="38">
        <v>316</v>
      </c>
      <c r="L340" s="50">
        <f t="shared" si="17"/>
        <v>29.643527204502814</v>
      </c>
      <c r="M340" s="38">
        <v>91</v>
      </c>
      <c r="N340" s="50">
        <f t="shared" si="18"/>
        <v>8.536585365853659</v>
      </c>
      <c r="O340" s="38">
        <v>0</v>
      </c>
      <c r="P340" s="38">
        <v>22.09</v>
      </c>
      <c r="Q340" s="39" t="s">
        <v>44</v>
      </c>
      <c r="R340" s="7">
        <v>45835</v>
      </c>
      <c r="S340" s="40"/>
      <c r="T340" s="39">
        <v>2.2814000000000001</v>
      </c>
      <c r="U340" s="39"/>
      <c r="V340" s="39"/>
      <c r="W340" s="39"/>
      <c r="X340" s="39"/>
      <c r="Y340" s="39"/>
      <c r="Z340" s="3"/>
      <c r="AB340" s="3"/>
      <c r="AC340" s="38" t="s">
        <v>754</v>
      </c>
      <c r="AD340" s="2"/>
      <c r="AE340" s="40"/>
    </row>
    <row r="341" spans="1:31" x14ac:dyDescent="0.25">
      <c r="A341" s="38" t="s">
        <v>36</v>
      </c>
      <c r="B341" s="38" t="s">
        <v>662</v>
      </c>
      <c r="C341" s="38" t="s">
        <v>750</v>
      </c>
      <c r="D341" s="38" t="s">
        <v>756</v>
      </c>
      <c r="E341" s="38" t="s">
        <v>757</v>
      </c>
      <c r="F341" s="38">
        <v>321.61</v>
      </c>
      <c r="G341" s="38">
        <v>321.61</v>
      </c>
      <c r="H341" s="38">
        <f t="shared" si="16"/>
        <v>275</v>
      </c>
      <c r="I341" s="38">
        <v>180</v>
      </c>
      <c r="J341" s="38">
        <v>95</v>
      </c>
      <c r="K341" s="38">
        <v>85</v>
      </c>
      <c r="L341" s="50">
        <f t="shared" si="17"/>
        <v>30.909090909090907</v>
      </c>
      <c r="M341" s="38">
        <v>2</v>
      </c>
      <c r="N341" s="50">
        <f t="shared" si="18"/>
        <v>0.72727272727272729</v>
      </c>
      <c r="O341" s="38">
        <v>0</v>
      </c>
      <c r="P341" s="38">
        <v>0</v>
      </c>
      <c r="Q341" s="39" t="s">
        <v>44</v>
      </c>
      <c r="R341" s="7">
        <v>45835</v>
      </c>
      <c r="S341" s="40"/>
      <c r="T341" s="39">
        <v>0</v>
      </c>
      <c r="U341" s="39"/>
      <c r="V341" s="39"/>
      <c r="W341" s="39"/>
      <c r="X341" s="39"/>
      <c r="Y341" s="39"/>
      <c r="Z341" s="3"/>
      <c r="AB341" s="3"/>
      <c r="AC341" s="38" t="s">
        <v>756</v>
      </c>
      <c r="AD341" s="2"/>
      <c r="AE341" s="40"/>
    </row>
    <row r="342" spans="1:31" x14ac:dyDescent="0.25">
      <c r="A342" s="38" t="s">
        <v>36</v>
      </c>
      <c r="B342" s="38" t="s">
        <v>662</v>
      </c>
      <c r="C342" s="38" t="s">
        <v>750</v>
      </c>
      <c r="D342" s="38" t="s">
        <v>758</v>
      </c>
      <c r="E342" s="38" t="s">
        <v>759</v>
      </c>
      <c r="F342" s="38">
        <v>304.02</v>
      </c>
      <c r="G342" s="38">
        <v>304.02</v>
      </c>
      <c r="H342" s="38">
        <f t="shared" si="16"/>
        <v>669</v>
      </c>
      <c r="I342" s="38">
        <v>440</v>
      </c>
      <c r="J342" s="38">
        <v>229</v>
      </c>
      <c r="K342" s="38">
        <v>211</v>
      </c>
      <c r="L342" s="50">
        <f t="shared" si="17"/>
        <v>31.53961136023916</v>
      </c>
      <c r="M342" s="38">
        <v>6</v>
      </c>
      <c r="N342" s="50">
        <f t="shared" si="18"/>
        <v>0.89686098654708524</v>
      </c>
      <c r="O342" s="38">
        <v>0</v>
      </c>
      <c r="P342" s="38">
        <v>0</v>
      </c>
      <c r="Q342" s="39" t="s">
        <v>44</v>
      </c>
      <c r="R342" s="7">
        <v>45835</v>
      </c>
      <c r="S342" s="40"/>
      <c r="T342" s="39">
        <v>0</v>
      </c>
      <c r="U342" s="39"/>
      <c r="V342" s="39"/>
      <c r="W342" s="39"/>
      <c r="X342" s="39"/>
      <c r="Y342" s="39"/>
      <c r="Z342" s="3"/>
      <c r="AB342" s="3"/>
      <c r="AC342" s="38" t="s">
        <v>758</v>
      </c>
      <c r="AD342" s="2"/>
      <c r="AE342" s="40"/>
    </row>
    <row r="343" spans="1:31" x14ac:dyDescent="0.25">
      <c r="A343" s="38" t="s">
        <v>36</v>
      </c>
      <c r="B343" s="38" t="s">
        <v>662</v>
      </c>
      <c r="C343" s="38" t="s">
        <v>760</v>
      </c>
      <c r="D343" s="38" t="s">
        <v>761</v>
      </c>
      <c r="E343" s="38" t="s">
        <v>762</v>
      </c>
      <c r="F343" s="38">
        <v>435.2</v>
      </c>
      <c r="G343" s="38">
        <v>435.2</v>
      </c>
      <c r="H343" s="38">
        <f t="shared" si="16"/>
        <v>1175</v>
      </c>
      <c r="I343" s="38">
        <v>776</v>
      </c>
      <c r="J343" s="38">
        <v>399</v>
      </c>
      <c r="K343" s="38">
        <v>377</v>
      </c>
      <c r="L343" s="50">
        <f t="shared" si="17"/>
        <v>32.085106382978722</v>
      </c>
      <c r="M343" s="38">
        <v>172</v>
      </c>
      <c r="N343" s="50">
        <f t="shared" si="18"/>
        <v>14.638297872340425</v>
      </c>
      <c r="O343" s="38">
        <v>0</v>
      </c>
      <c r="P343" s="38">
        <v>20.05</v>
      </c>
      <c r="Q343" s="2" t="s">
        <v>44</v>
      </c>
      <c r="R343" s="7">
        <v>45470</v>
      </c>
      <c r="S343" s="40"/>
      <c r="T343" s="2">
        <v>16.55</v>
      </c>
      <c r="U343" s="2"/>
      <c r="V343" s="2"/>
      <c r="W343" s="2"/>
      <c r="X343" s="2"/>
      <c r="Y343" s="2"/>
      <c r="Z343" s="3"/>
      <c r="AB343" s="3">
        <v>16</v>
      </c>
      <c r="AC343" s="38" t="s">
        <v>761</v>
      </c>
      <c r="AD343" s="2">
        <v>25.735531000000002</v>
      </c>
      <c r="AE343" s="40">
        <v>71.779053000000005</v>
      </c>
    </row>
    <row r="344" spans="1:31" x14ac:dyDescent="0.25">
      <c r="A344" s="38" t="s">
        <v>36</v>
      </c>
      <c r="B344" s="38" t="s">
        <v>662</v>
      </c>
      <c r="C344" s="38" t="s">
        <v>760</v>
      </c>
      <c r="D344" s="38" t="s">
        <v>763</v>
      </c>
      <c r="E344" s="38" t="s">
        <v>764</v>
      </c>
      <c r="F344" s="38">
        <v>420.89</v>
      </c>
      <c r="G344" s="38">
        <v>420.89</v>
      </c>
      <c r="H344" s="38">
        <f t="shared" si="16"/>
        <v>633</v>
      </c>
      <c r="I344" s="38">
        <v>421</v>
      </c>
      <c r="J344" s="38">
        <v>212</v>
      </c>
      <c r="K344" s="38">
        <v>209</v>
      </c>
      <c r="L344" s="50">
        <f t="shared" si="17"/>
        <v>33.017377567140599</v>
      </c>
      <c r="M344" s="38">
        <v>14</v>
      </c>
      <c r="N344" s="50">
        <f t="shared" si="18"/>
        <v>2.2116903633491312</v>
      </c>
      <c r="O344" s="38">
        <v>0</v>
      </c>
      <c r="P344" s="38">
        <v>0</v>
      </c>
      <c r="Q344" s="2" t="s">
        <v>44</v>
      </c>
      <c r="R344" s="7">
        <v>45470</v>
      </c>
      <c r="S344" s="40"/>
      <c r="T344" s="2">
        <v>0.42880000000000001</v>
      </c>
      <c r="U344" s="2"/>
      <c r="V344" s="2"/>
      <c r="W344" s="2"/>
      <c r="X344" s="2"/>
      <c r="Y344" s="2"/>
      <c r="Z344" s="3"/>
      <c r="AB344" s="3"/>
      <c r="AC344" s="38" t="s">
        <v>763</v>
      </c>
      <c r="AD344" s="2"/>
      <c r="AE344" s="40"/>
    </row>
    <row r="345" spans="1:31" x14ac:dyDescent="0.25">
      <c r="A345" s="38" t="s">
        <v>36</v>
      </c>
      <c r="B345" s="38" t="s">
        <v>662</v>
      </c>
      <c r="C345" s="38" t="s">
        <v>760</v>
      </c>
      <c r="D345" s="38" t="s">
        <v>765</v>
      </c>
      <c r="E345" s="38" t="s">
        <v>766</v>
      </c>
      <c r="F345" s="38">
        <v>777.94</v>
      </c>
      <c r="G345" s="38">
        <v>777.94</v>
      </c>
      <c r="H345" s="38">
        <f t="shared" si="16"/>
        <v>1198</v>
      </c>
      <c r="I345" s="38">
        <v>789</v>
      </c>
      <c r="J345" s="38">
        <v>409</v>
      </c>
      <c r="K345" s="38">
        <v>380</v>
      </c>
      <c r="L345" s="50">
        <f t="shared" si="17"/>
        <v>31.719532554257096</v>
      </c>
      <c r="M345" s="38">
        <v>25</v>
      </c>
      <c r="N345" s="50">
        <f t="shared" si="18"/>
        <v>2.0868113522537564</v>
      </c>
      <c r="O345" s="38">
        <v>0</v>
      </c>
      <c r="P345" s="38">
        <v>0</v>
      </c>
    </row>
    <row r="346" spans="1:31" x14ac:dyDescent="0.25">
      <c r="A346" s="38" t="s">
        <v>36</v>
      </c>
      <c r="B346" s="38" t="s">
        <v>662</v>
      </c>
      <c r="C346" s="38" t="s">
        <v>760</v>
      </c>
      <c r="D346" s="38" t="s">
        <v>146</v>
      </c>
      <c r="E346" s="38" t="s">
        <v>767</v>
      </c>
      <c r="F346" s="38">
        <v>526.30999999999995</v>
      </c>
      <c r="G346" s="38">
        <v>526.30999999999995</v>
      </c>
      <c r="H346" s="38">
        <f t="shared" si="16"/>
        <v>747</v>
      </c>
      <c r="I346" s="38">
        <v>501</v>
      </c>
      <c r="J346" s="38">
        <v>246</v>
      </c>
      <c r="K346" s="38">
        <v>255</v>
      </c>
      <c r="L346" s="50">
        <f t="shared" si="17"/>
        <v>34.136546184738961</v>
      </c>
      <c r="M346" s="38">
        <v>0</v>
      </c>
      <c r="N346" s="50">
        <f t="shared" si="18"/>
        <v>0</v>
      </c>
      <c r="O346" s="38">
        <v>0</v>
      </c>
      <c r="P346" s="38">
        <v>2.92</v>
      </c>
      <c r="Q346" s="2" t="s">
        <v>44</v>
      </c>
      <c r="R346" s="7">
        <v>45470</v>
      </c>
      <c r="S346" s="40"/>
      <c r="T346" s="2">
        <v>2.0872000000000002</v>
      </c>
      <c r="U346" s="2"/>
      <c r="V346" s="2"/>
      <c r="W346" s="2"/>
      <c r="X346" s="2"/>
      <c r="Y346" s="2"/>
      <c r="Z346" s="3"/>
      <c r="AB346" s="3"/>
      <c r="AC346" s="38" t="s">
        <v>146</v>
      </c>
      <c r="AD346" s="2"/>
      <c r="AE346" s="40"/>
    </row>
    <row r="347" spans="1:31" x14ac:dyDescent="0.25">
      <c r="A347" s="38" t="s">
        <v>36</v>
      </c>
      <c r="B347" s="38" t="s">
        <v>662</v>
      </c>
      <c r="C347" s="38" t="s">
        <v>760</v>
      </c>
      <c r="D347" s="38" t="s">
        <v>768</v>
      </c>
      <c r="E347" s="38" t="s">
        <v>769</v>
      </c>
      <c r="F347" s="38">
        <v>719.76</v>
      </c>
      <c r="G347" s="38">
        <v>719.76</v>
      </c>
      <c r="H347" s="38">
        <f t="shared" si="16"/>
        <v>895</v>
      </c>
      <c r="I347" s="38">
        <v>588</v>
      </c>
      <c r="J347" s="38">
        <v>307</v>
      </c>
      <c r="K347" s="38">
        <v>281</v>
      </c>
      <c r="L347" s="50">
        <f t="shared" si="17"/>
        <v>31.396648044692739</v>
      </c>
      <c r="M347" s="38">
        <v>19</v>
      </c>
      <c r="N347" s="50">
        <f t="shared" si="18"/>
        <v>2.1229050279329607</v>
      </c>
      <c r="O347" s="38">
        <v>0</v>
      </c>
      <c r="P347" s="38">
        <v>0</v>
      </c>
      <c r="Q347" s="2" t="s">
        <v>44</v>
      </c>
      <c r="R347" s="7">
        <v>45470</v>
      </c>
      <c r="S347" s="40"/>
      <c r="T347" s="2">
        <v>2.4299999999999999E-2</v>
      </c>
      <c r="U347" s="2"/>
      <c r="V347" s="2"/>
      <c r="W347" s="2"/>
      <c r="X347" s="2"/>
      <c r="Y347" s="2"/>
      <c r="Z347" s="3"/>
      <c r="AB347" s="3"/>
      <c r="AC347" s="38" t="s">
        <v>768</v>
      </c>
      <c r="AD347" s="2"/>
      <c r="AE347" s="40"/>
    </row>
    <row r="348" spans="1:31" x14ac:dyDescent="0.25">
      <c r="A348" s="38" t="s">
        <v>36</v>
      </c>
      <c r="B348" s="38" t="s">
        <v>662</v>
      </c>
      <c r="C348" s="38" t="s">
        <v>760</v>
      </c>
      <c r="D348" s="38" t="s">
        <v>770</v>
      </c>
      <c r="E348" s="38" t="s">
        <v>771</v>
      </c>
      <c r="F348" s="38">
        <v>443.11</v>
      </c>
      <c r="G348" s="38">
        <v>443.11</v>
      </c>
      <c r="H348" s="38">
        <f t="shared" si="16"/>
        <v>583</v>
      </c>
      <c r="I348" s="38">
        <v>385</v>
      </c>
      <c r="J348" s="38">
        <v>198</v>
      </c>
      <c r="K348" s="38">
        <v>187</v>
      </c>
      <c r="L348" s="50">
        <f t="shared" si="17"/>
        <v>32.075471698113205</v>
      </c>
      <c r="M348" s="38">
        <v>0</v>
      </c>
      <c r="N348" s="50">
        <f t="shared" si="18"/>
        <v>0</v>
      </c>
      <c r="O348" s="38">
        <v>0</v>
      </c>
      <c r="P348" s="38">
        <v>0</v>
      </c>
      <c r="Q348" s="2" t="s">
        <v>44</v>
      </c>
      <c r="R348" s="7">
        <v>45470</v>
      </c>
      <c r="S348" s="40"/>
      <c r="T348" s="2">
        <v>0.22650000000000001</v>
      </c>
      <c r="U348" s="2"/>
      <c r="V348" s="2"/>
      <c r="W348" s="2"/>
      <c r="X348" s="2"/>
      <c r="Y348" s="2"/>
      <c r="Z348" s="3"/>
      <c r="AB348" s="3"/>
      <c r="AC348" s="38" t="s">
        <v>770</v>
      </c>
      <c r="AD348" s="2"/>
      <c r="AE348" s="40"/>
    </row>
    <row r="349" spans="1:31" x14ac:dyDescent="0.25">
      <c r="A349" s="38" t="s">
        <v>36</v>
      </c>
      <c r="B349" s="38" t="s">
        <v>662</v>
      </c>
      <c r="C349" s="38" t="s">
        <v>760</v>
      </c>
      <c r="D349" s="38" t="s">
        <v>772</v>
      </c>
      <c r="E349" s="38" t="s">
        <v>773</v>
      </c>
      <c r="F349" s="38">
        <v>453.29</v>
      </c>
      <c r="G349" s="38">
        <v>453.29</v>
      </c>
      <c r="H349" s="38">
        <f t="shared" si="16"/>
        <v>651</v>
      </c>
      <c r="I349" s="38">
        <v>434</v>
      </c>
      <c r="J349" s="38">
        <v>217</v>
      </c>
      <c r="K349" s="38">
        <v>217</v>
      </c>
      <c r="L349" s="50">
        <f t="shared" si="17"/>
        <v>33.333333333333329</v>
      </c>
      <c r="M349" s="38">
        <v>18</v>
      </c>
      <c r="N349" s="50">
        <f t="shared" si="18"/>
        <v>2.7649769585253456</v>
      </c>
      <c r="O349" s="38">
        <v>0</v>
      </c>
      <c r="P349" s="38">
        <v>0</v>
      </c>
      <c r="Q349" s="2" t="s">
        <v>44</v>
      </c>
      <c r="R349" s="7">
        <v>45470</v>
      </c>
      <c r="S349" s="40"/>
      <c r="T349" s="2">
        <v>0.58250000000000002</v>
      </c>
      <c r="U349" s="2"/>
      <c r="V349" s="2"/>
      <c r="W349" s="2"/>
      <c r="X349" s="2"/>
      <c r="Y349" s="2"/>
      <c r="Z349" s="3"/>
      <c r="AB349" s="3"/>
      <c r="AC349" s="38" t="s">
        <v>772</v>
      </c>
      <c r="AD349" s="2"/>
      <c r="AE349" s="40"/>
    </row>
    <row r="350" spans="1:31" x14ac:dyDescent="0.25">
      <c r="A350" s="38" t="s">
        <v>36</v>
      </c>
      <c r="B350" s="38" t="s">
        <v>662</v>
      </c>
      <c r="C350" s="38" t="s">
        <v>760</v>
      </c>
      <c r="D350" s="38" t="s">
        <v>774</v>
      </c>
      <c r="E350" s="38" t="s">
        <v>775</v>
      </c>
      <c r="F350" s="38">
        <v>581.22</v>
      </c>
      <c r="G350" s="38">
        <v>581.22</v>
      </c>
      <c r="H350" s="38">
        <f t="shared" si="16"/>
        <v>828</v>
      </c>
      <c r="I350" s="38">
        <v>541</v>
      </c>
      <c r="J350" s="38">
        <v>287</v>
      </c>
      <c r="K350" s="38">
        <v>254</v>
      </c>
      <c r="L350" s="50">
        <f t="shared" si="17"/>
        <v>30.676328502415455</v>
      </c>
      <c r="M350" s="38">
        <v>0</v>
      </c>
      <c r="N350" s="50">
        <f t="shared" si="18"/>
        <v>0</v>
      </c>
      <c r="O350" s="38">
        <v>0</v>
      </c>
      <c r="P350" s="38">
        <v>0</v>
      </c>
      <c r="Q350" s="2" t="s">
        <v>44</v>
      </c>
      <c r="R350" s="7">
        <v>45470</v>
      </c>
      <c r="S350" s="40"/>
      <c r="T350" s="2">
        <v>4.0599999999999997E-2</v>
      </c>
      <c r="U350" s="2"/>
      <c r="V350" s="2"/>
      <c r="W350" s="2"/>
      <c r="X350" s="2"/>
      <c r="Y350" s="2"/>
      <c r="Z350" s="3"/>
      <c r="AB350" s="3"/>
      <c r="AC350" s="38" t="s">
        <v>774</v>
      </c>
      <c r="AD350" s="2"/>
      <c r="AE350" s="40"/>
    </row>
    <row r="351" spans="1:31" x14ac:dyDescent="0.25">
      <c r="A351" s="38" t="s">
        <v>36</v>
      </c>
      <c r="B351" s="38" t="s">
        <v>662</v>
      </c>
      <c r="C351" s="38" t="s">
        <v>776</v>
      </c>
      <c r="D351" s="38" t="s">
        <v>777</v>
      </c>
      <c r="E351" s="38" t="s">
        <v>778</v>
      </c>
      <c r="F351" s="38">
        <v>789.98</v>
      </c>
      <c r="G351" s="38">
        <v>789.98</v>
      </c>
      <c r="H351" s="38">
        <f t="shared" si="16"/>
        <v>2218</v>
      </c>
      <c r="I351" s="38">
        <v>1444</v>
      </c>
      <c r="J351" s="38">
        <v>774</v>
      </c>
      <c r="K351" s="38">
        <v>670</v>
      </c>
      <c r="L351" s="50">
        <f t="shared" si="17"/>
        <v>30.207394048692514</v>
      </c>
      <c r="M351" s="38">
        <v>43</v>
      </c>
      <c r="N351" s="50">
        <f t="shared" si="18"/>
        <v>1.9386834986474299</v>
      </c>
      <c r="O351" s="38">
        <v>0</v>
      </c>
      <c r="P351" s="38">
        <v>0</v>
      </c>
      <c r="Q351" s="34" t="s">
        <v>43</v>
      </c>
      <c r="R351" s="9">
        <v>44468</v>
      </c>
      <c r="S351" s="78"/>
      <c r="T351" s="34"/>
      <c r="U351" s="34"/>
      <c r="V351" s="34"/>
      <c r="W351" s="34"/>
      <c r="X351" s="34"/>
      <c r="Y351" s="34"/>
      <c r="Z351" s="89"/>
      <c r="AB351" s="238">
        <v>15</v>
      </c>
      <c r="AC351" s="34" t="s">
        <v>779</v>
      </c>
      <c r="AD351" s="34">
        <v>25.917653999999999</v>
      </c>
      <c r="AE351" s="78">
        <v>71.572061000000005</v>
      </c>
    </row>
    <row r="352" spans="1:31" x14ac:dyDescent="0.25">
      <c r="A352" s="38" t="s">
        <v>36</v>
      </c>
      <c r="B352" s="38" t="s">
        <v>662</v>
      </c>
      <c r="C352" s="38" t="s">
        <v>776</v>
      </c>
      <c r="D352" s="38" t="s">
        <v>777</v>
      </c>
      <c r="E352" s="38">
        <v>789.98</v>
      </c>
      <c r="F352" s="38">
        <v>0</v>
      </c>
      <c r="G352" s="38">
        <v>0</v>
      </c>
      <c r="H352" s="38"/>
      <c r="I352" s="38">
        <v>0</v>
      </c>
      <c r="J352" s="38"/>
      <c r="K352" s="38"/>
      <c r="L352" s="50"/>
      <c r="M352" s="38"/>
      <c r="N352" s="50"/>
      <c r="O352" s="38"/>
      <c r="P352" s="38"/>
      <c r="Q352" s="2" t="s">
        <v>44</v>
      </c>
      <c r="R352" s="7">
        <v>45470</v>
      </c>
      <c r="S352" s="40"/>
      <c r="T352" s="2">
        <v>19.933700000000002</v>
      </c>
      <c r="U352" s="2"/>
      <c r="V352" s="2"/>
      <c r="W352" s="2"/>
      <c r="X352" s="2"/>
      <c r="Y352" s="2"/>
      <c r="Z352" s="3"/>
      <c r="AC352" s="38" t="s">
        <v>777</v>
      </c>
      <c r="AD352" s="2"/>
      <c r="AE352" s="40"/>
    </row>
    <row r="353" spans="1:31" x14ac:dyDescent="0.25">
      <c r="A353" s="38" t="s">
        <v>36</v>
      </c>
      <c r="B353" s="38" t="s">
        <v>662</v>
      </c>
      <c r="C353" s="38" t="s">
        <v>776</v>
      </c>
      <c r="D353" s="38" t="s">
        <v>780</v>
      </c>
      <c r="E353" s="38" t="s">
        <v>781</v>
      </c>
      <c r="F353" s="38">
        <v>1325.73</v>
      </c>
      <c r="G353" s="38">
        <v>1325.73</v>
      </c>
      <c r="H353" s="38">
        <f t="shared" si="16"/>
        <v>1640</v>
      </c>
      <c r="I353" s="38">
        <v>1064</v>
      </c>
      <c r="J353" s="38">
        <v>576</v>
      </c>
      <c r="K353" s="38">
        <v>488</v>
      </c>
      <c r="L353" s="50">
        <f t="shared" si="17"/>
        <v>29.756097560975608</v>
      </c>
      <c r="M353" s="38">
        <v>0</v>
      </c>
      <c r="N353" s="50">
        <f t="shared" si="18"/>
        <v>0</v>
      </c>
      <c r="O353" s="38">
        <v>0</v>
      </c>
      <c r="P353" s="38">
        <v>0</v>
      </c>
      <c r="Q353" s="2" t="s">
        <v>44</v>
      </c>
      <c r="R353" s="7">
        <v>45470</v>
      </c>
      <c r="S353" s="40"/>
      <c r="T353" s="2">
        <v>0</v>
      </c>
      <c r="U353" s="2"/>
      <c r="V353" s="2"/>
      <c r="W353" s="2"/>
      <c r="X353" s="2"/>
      <c r="Y353" s="2"/>
      <c r="Z353" s="3"/>
      <c r="AC353" s="38" t="s">
        <v>780</v>
      </c>
      <c r="AD353" s="2"/>
      <c r="AE353" s="40"/>
    </row>
    <row r="354" spans="1:31" x14ac:dyDescent="0.25">
      <c r="A354" s="38" t="s">
        <v>36</v>
      </c>
      <c r="B354" s="38" t="s">
        <v>662</v>
      </c>
      <c r="C354" s="38" t="s">
        <v>776</v>
      </c>
      <c r="D354" s="38" t="s">
        <v>782</v>
      </c>
      <c r="E354" s="38" t="s">
        <v>783</v>
      </c>
      <c r="F354" s="38">
        <v>406.83</v>
      </c>
      <c r="G354" s="38">
        <v>406.83</v>
      </c>
      <c r="H354" s="38">
        <f t="shared" si="16"/>
        <v>688</v>
      </c>
      <c r="I354" s="38">
        <v>453</v>
      </c>
      <c r="J354" s="38">
        <v>235</v>
      </c>
      <c r="K354" s="38">
        <v>218</v>
      </c>
      <c r="L354" s="50">
        <f t="shared" si="17"/>
        <v>31.686046511627907</v>
      </c>
      <c r="M354" s="38">
        <v>35</v>
      </c>
      <c r="N354" s="50">
        <f t="shared" si="18"/>
        <v>5.0872093023255811</v>
      </c>
      <c r="O354" s="38">
        <v>0</v>
      </c>
      <c r="P354" s="38">
        <v>20.69</v>
      </c>
      <c r="Q354" s="2" t="s">
        <v>44</v>
      </c>
      <c r="R354" s="7">
        <v>45470</v>
      </c>
      <c r="S354" s="40"/>
      <c r="T354" s="2">
        <v>20.241199999999999</v>
      </c>
      <c r="U354" s="2"/>
      <c r="V354" s="2"/>
      <c r="W354" s="2"/>
      <c r="X354" s="2"/>
      <c r="Y354" s="2"/>
      <c r="Z354" s="3"/>
      <c r="AB354" s="11">
        <v>18</v>
      </c>
      <c r="AC354" s="38" t="s">
        <v>782</v>
      </c>
      <c r="AD354" s="2">
        <v>25.943200999999998</v>
      </c>
      <c r="AE354" s="40">
        <v>71.588049999999996</v>
      </c>
    </row>
    <row r="355" spans="1:31" x14ac:dyDescent="0.25">
      <c r="A355" s="38" t="s">
        <v>36</v>
      </c>
      <c r="B355" s="38" t="s">
        <v>662</v>
      </c>
      <c r="C355" s="38" t="s">
        <v>776</v>
      </c>
      <c r="D355" s="38" t="s">
        <v>784</v>
      </c>
      <c r="E355" s="38" t="s">
        <v>785</v>
      </c>
      <c r="F355" s="38">
        <v>764.02</v>
      </c>
      <c r="G355" s="38">
        <v>764.02</v>
      </c>
      <c r="H355" s="38">
        <f t="shared" si="16"/>
        <v>804</v>
      </c>
      <c r="I355" s="38">
        <v>521</v>
      </c>
      <c r="J355" s="38">
        <v>283</v>
      </c>
      <c r="K355" s="38">
        <v>238</v>
      </c>
      <c r="L355" s="50">
        <f t="shared" si="17"/>
        <v>29.601990049751244</v>
      </c>
      <c r="M355" s="38">
        <v>20</v>
      </c>
      <c r="N355" s="50">
        <f t="shared" si="18"/>
        <v>2.4875621890547266</v>
      </c>
      <c r="O355" s="38">
        <v>0</v>
      </c>
      <c r="P355" s="38">
        <v>0</v>
      </c>
      <c r="Q355" s="2" t="s">
        <v>44</v>
      </c>
      <c r="R355" s="7">
        <v>45470</v>
      </c>
      <c r="S355" s="40"/>
      <c r="T355" s="2">
        <v>0</v>
      </c>
      <c r="U355" s="2"/>
      <c r="V355" s="2"/>
      <c r="W355" s="2"/>
      <c r="X355" s="2"/>
      <c r="Y355" s="2"/>
      <c r="Z355" s="3"/>
      <c r="AC355" s="38" t="s">
        <v>784</v>
      </c>
      <c r="AD355" s="2"/>
      <c r="AE355" s="40"/>
    </row>
    <row r="356" spans="1:31" x14ac:dyDescent="0.25">
      <c r="A356" s="38" t="s">
        <v>36</v>
      </c>
      <c r="B356" s="38" t="s">
        <v>662</v>
      </c>
      <c r="C356" s="38" t="s">
        <v>776</v>
      </c>
      <c r="D356" s="38" t="s">
        <v>786</v>
      </c>
      <c r="E356" s="38" t="s">
        <v>787</v>
      </c>
      <c r="F356" s="38">
        <v>283.86</v>
      </c>
      <c r="G356" s="38">
        <v>283.86</v>
      </c>
      <c r="H356" s="38">
        <f t="shared" si="16"/>
        <v>763</v>
      </c>
      <c r="I356" s="38">
        <v>508</v>
      </c>
      <c r="J356" s="38">
        <v>255</v>
      </c>
      <c r="K356" s="38">
        <v>253</v>
      </c>
      <c r="L356" s="50">
        <f t="shared" si="17"/>
        <v>33.158584534731325</v>
      </c>
      <c r="M356" s="38">
        <v>134</v>
      </c>
      <c r="N356" s="50">
        <f t="shared" si="18"/>
        <v>17.562254259501966</v>
      </c>
      <c r="O356" s="38">
        <v>0</v>
      </c>
      <c r="P356" s="38">
        <v>0</v>
      </c>
      <c r="Q356" s="2" t="s">
        <v>44</v>
      </c>
      <c r="R356" s="7">
        <v>45470</v>
      </c>
      <c r="S356" s="40"/>
      <c r="T356" s="2">
        <v>0</v>
      </c>
      <c r="U356" s="2"/>
      <c r="V356" s="2"/>
      <c r="W356" s="2"/>
      <c r="X356" s="2"/>
      <c r="Y356" s="2"/>
      <c r="Z356" s="3"/>
      <c r="AC356" s="38" t="s">
        <v>786</v>
      </c>
      <c r="AD356" s="2"/>
      <c r="AE356" s="40"/>
    </row>
    <row r="357" spans="1:31" x14ac:dyDescent="0.25">
      <c r="A357" s="38" t="s">
        <v>36</v>
      </c>
      <c r="B357" s="38" t="s">
        <v>662</v>
      </c>
      <c r="C357" s="38" t="s">
        <v>776</v>
      </c>
      <c r="D357" s="38" t="s">
        <v>788</v>
      </c>
      <c r="E357" s="38" t="s">
        <v>789</v>
      </c>
      <c r="F357" s="38">
        <v>1263.49</v>
      </c>
      <c r="G357" s="38">
        <v>1263.49</v>
      </c>
      <c r="H357" s="38">
        <f t="shared" si="16"/>
        <v>1883</v>
      </c>
      <c r="I357" s="38">
        <v>1238</v>
      </c>
      <c r="J357" s="38">
        <v>645</v>
      </c>
      <c r="K357" s="38">
        <v>593</v>
      </c>
      <c r="L357" s="50">
        <f t="shared" si="17"/>
        <v>31.492299522039296</v>
      </c>
      <c r="M357" s="38">
        <v>4</v>
      </c>
      <c r="N357" s="50">
        <f t="shared" si="18"/>
        <v>0.21242697822623471</v>
      </c>
      <c r="O357" s="38">
        <v>0</v>
      </c>
      <c r="P357" s="38">
        <v>0</v>
      </c>
      <c r="Q357" s="2" t="s">
        <v>44</v>
      </c>
      <c r="R357" s="7">
        <v>45470</v>
      </c>
      <c r="S357" s="40"/>
      <c r="T357" s="2">
        <v>0</v>
      </c>
      <c r="U357" s="2"/>
      <c r="V357" s="2"/>
      <c r="W357" s="2"/>
      <c r="X357" s="2"/>
      <c r="Y357" s="2"/>
      <c r="Z357" s="3"/>
      <c r="AC357" s="38" t="s">
        <v>788</v>
      </c>
      <c r="AD357" s="2"/>
      <c r="AE357" s="40"/>
    </row>
    <row r="358" spans="1:31" x14ac:dyDescent="0.25">
      <c r="A358" s="38" t="s">
        <v>36</v>
      </c>
      <c r="B358" s="38" t="s">
        <v>662</v>
      </c>
      <c r="C358" s="38" t="s">
        <v>790</v>
      </c>
      <c r="D358" s="38" t="s">
        <v>791</v>
      </c>
      <c r="E358" s="38" t="s">
        <v>792</v>
      </c>
      <c r="F358" s="38">
        <v>614.80999999999995</v>
      </c>
      <c r="G358" s="38">
        <v>614.80999999999995</v>
      </c>
      <c r="H358" s="38">
        <f t="shared" si="16"/>
        <v>974</v>
      </c>
      <c r="I358" s="38">
        <v>630</v>
      </c>
      <c r="J358" s="38">
        <v>344</v>
      </c>
      <c r="K358" s="38">
        <v>286</v>
      </c>
      <c r="L358" s="50">
        <f t="shared" si="17"/>
        <v>29.363449691991789</v>
      </c>
      <c r="M358" s="38">
        <v>13</v>
      </c>
      <c r="N358" s="50">
        <f t="shared" si="18"/>
        <v>1.3347022587268993</v>
      </c>
      <c r="O358" s="38">
        <v>0</v>
      </c>
      <c r="P358" s="38">
        <v>0</v>
      </c>
      <c r="Q358" s="2" t="s">
        <v>44</v>
      </c>
      <c r="R358" s="7">
        <v>46139</v>
      </c>
      <c r="S358" s="40"/>
      <c r="T358" s="2">
        <v>4.03</v>
      </c>
      <c r="U358" s="2"/>
      <c r="V358" s="2"/>
      <c r="W358" s="2"/>
      <c r="X358" s="2"/>
      <c r="Y358" s="2"/>
      <c r="Z358" s="3"/>
      <c r="AB358" s="11">
        <v>4</v>
      </c>
      <c r="AC358" s="38" t="s">
        <v>791</v>
      </c>
      <c r="AD358" s="2">
        <v>25.978816999999999</v>
      </c>
      <c r="AE358" s="40">
        <v>71.456676000000002</v>
      </c>
    </row>
    <row r="359" spans="1:31" x14ac:dyDescent="0.25">
      <c r="A359" s="38" t="s">
        <v>36</v>
      </c>
      <c r="B359" s="38" t="s">
        <v>662</v>
      </c>
      <c r="C359" s="38" t="s">
        <v>790</v>
      </c>
      <c r="D359" s="38" t="s">
        <v>793</v>
      </c>
      <c r="E359" s="38" t="s">
        <v>794</v>
      </c>
      <c r="F359" s="38">
        <v>863.69</v>
      </c>
      <c r="G359" s="38">
        <v>863.69</v>
      </c>
      <c r="H359" s="38">
        <f t="shared" si="16"/>
        <v>808</v>
      </c>
      <c r="I359" s="38">
        <v>529</v>
      </c>
      <c r="J359" s="38">
        <v>279</v>
      </c>
      <c r="K359" s="38">
        <v>250</v>
      </c>
      <c r="L359" s="50">
        <f t="shared" si="17"/>
        <v>30.940594059405939</v>
      </c>
      <c r="M359" s="38">
        <v>2</v>
      </c>
      <c r="N359" s="50">
        <f t="shared" si="18"/>
        <v>0.24752475247524752</v>
      </c>
      <c r="O359" s="38">
        <v>0</v>
      </c>
      <c r="P359" s="38">
        <v>0</v>
      </c>
      <c r="Q359" s="2" t="s">
        <v>44</v>
      </c>
      <c r="R359" s="7">
        <v>46139</v>
      </c>
      <c r="S359" s="40"/>
      <c r="T359" s="2">
        <v>0</v>
      </c>
      <c r="U359" s="2"/>
      <c r="V359" s="2"/>
      <c r="W359" s="2"/>
      <c r="X359" s="2"/>
      <c r="Y359" s="2"/>
      <c r="Z359" s="3"/>
      <c r="AC359" s="38" t="s">
        <v>793</v>
      </c>
      <c r="AD359" s="2"/>
      <c r="AE359" s="40"/>
    </row>
    <row r="360" spans="1:31" x14ac:dyDescent="0.25">
      <c r="A360" s="38" t="s">
        <v>36</v>
      </c>
      <c r="B360" s="38" t="s">
        <v>662</v>
      </c>
      <c r="C360" s="38" t="s">
        <v>790</v>
      </c>
      <c r="D360" s="38" t="s">
        <v>795</v>
      </c>
      <c r="E360" s="38" t="s">
        <v>796</v>
      </c>
      <c r="F360" s="38">
        <v>896.94</v>
      </c>
      <c r="G360" s="38">
        <v>896.94</v>
      </c>
      <c r="H360" s="38">
        <f t="shared" si="16"/>
        <v>647</v>
      </c>
      <c r="I360" s="38">
        <v>421</v>
      </c>
      <c r="J360" s="38">
        <v>226</v>
      </c>
      <c r="K360" s="38">
        <v>195</v>
      </c>
      <c r="L360" s="50">
        <f t="shared" si="17"/>
        <v>30.139103554868623</v>
      </c>
      <c r="M360" s="38">
        <v>5</v>
      </c>
      <c r="N360" s="50">
        <f t="shared" si="18"/>
        <v>0.77279752704791349</v>
      </c>
      <c r="O360" s="38">
        <v>0</v>
      </c>
      <c r="P360" s="38">
        <v>0</v>
      </c>
      <c r="Q360" s="2" t="s">
        <v>44</v>
      </c>
      <c r="R360" s="7">
        <v>46139</v>
      </c>
      <c r="S360" s="40"/>
      <c r="T360" s="2">
        <v>45.83</v>
      </c>
      <c r="U360" s="2"/>
      <c r="V360" s="2"/>
      <c r="W360" s="2"/>
      <c r="X360" s="2"/>
      <c r="Y360" s="2"/>
      <c r="Z360" s="3"/>
      <c r="AC360" s="38" t="s">
        <v>795</v>
      </c>
      <c r="AD360" s="2"/>
      <c r="AE360" s="40"/>
    </row>
    <row r="361" spans="1:31" x14ac:dyDescent="0.25">
      <c r="A361" s="38" t="s">
        <v>36</v>
      </c>
      <c r="B361" s="38" t="s">
        <v>662</v>
      </c>
      <c r="C361" s="38" t="s">
        <v>790</v>
      </c>
      <c r="D361" s="38" t="s">
        <v>797</v>
      </c>
      <c r="E361" s="38" t="s">
        <v>798</v>
      </c>
      <c r="F361" s="38">
        <v>552.39</v>
      </c>
      <c r="G361" s="38">
        <v>552.39</v>
      </c>
      <c r="H361" s="38">
        <f t="shared" si="16"/>
        <v>526</v>
      </c>
      <c r="I361" s="38">
        <v>342</v>
      </c>
      <c r="J361" s="38">
        <v>184</v>
      </c>
      <c r="K361" s="38">
        <v>158</v>
      </c>
      <c r="L361" s="50">
        <f t="shared" si="17"/>
        <v>30.038022813688215</v>
      </c>
      <c r="M361" s="38">
        <v>0</v>
      </c>
      <c r="N361" s="50">
        <f t="shared" si="18"/>
        <v>0</v>
      </c>
      <c r="O361" s="38">
        <v>0</v>
      </c>
      <c r="P361" s="38">
        <v>0</v>
      </c>
      <c r="Q361" s="2" t="s">
        <v>44</v>
      </c>
      <c r="R361" s="7">
        <v>46139</v>
      </c>
      <c r="S361" s="40"/>
      <c r="T361" s="2">
        <v>10.050000000000001</v>
      </c>
      <c r="U361" s="2"/>
      <c r="V361" s="2"/>
      <c r="W361" s="2"/>
      <c r="X361" s="2"/>
      <c r="Y361" s="2"/>
      <c r="Z361" s="3"/>
      <c r="AC361" s="38" t="s">
        <v>797</v>
      </c>
      <c r="AD361" s="2"/>
      <c r="AE361" s="40"/>
    </row>
    <row r="362" spans="1:31" x14ac:dyDescent="0.25">
      <c r="A362" s="38" t="s">
        <v>36</v>
      </c>
      <c r="B362" s="38" t="s">
        <v>662</v>
      </c>
      <c r="C362" s="38" t="s">
        <v>790</v>
      </c>
      <c r="D362" s="38" t="s">
        <v>799</v>
      </c>
      <c r="E362" s="38" t="s">
        <v>800</v>
      </c>
      <c r="F362" s="38">
        <v>487.14</v>
      </c>
      <c r="G362" s="38">
        <v>487.14</v>
      </c>
      <c r="H362" s="38">
        <f t="shared" si="16"/>
        <v>671</v>
      </c>
      <c r="I362" s="38">
        <v>436</v>
      </c>
      <c r="J362" s="38">
        <v>235</v>
      </c>
      <c r="K362" s="38">
        <v>201</v>
      </c>
      <c r="L362" s="50">
        <f t="shared" si="17"/>
        <v>29.955290611028317</v>
      </c>
      <c r="M362" s="38">
        <v>0</v>
      </c>
      <c r="N362" s="50">
        <f t="shared" si="18"/>
        <v>0</v>
      </c>
      <c r="O362" s="38">
        <v>0</v>
      </c>
      <c r="P362" s="38">
        <v>0</v>
      </c>
      <c r="Q362" s="2" t="s">
        <v>44</v>
      </c>
      <c r="R362" s="7">
        <v>46139</v>
      </c>
      <c r="S362" s="40"/>
      <c r="T362" s="2">
        <v>0</v>
      </c>
      <c r="U362" s="2"/>
      <c r="V362" s="2"/>
      <c r="W362" s="2"/>
      <c r="X362" s="2"/>
      <c r="Y362" s="2"/>
      <c r="Z362" s="3"/>
      <c r="AC362" s="38" t="s">
        <v>799</v>
      </c>
      <c r="AD362" s="2"/>
      <c r="AE362" s="40"/>
    </row>
    <row r="363" spans="1:31" x14ac:dyDescent="0.25">
      <c r="A363" s="38" t="s">
        <v>36</v>
      </c>
      <c r="B363" s="38" t="s">
        <v>662</v>
      </c>
      <c r="C363" s="38" t="s">
        <v>790</v>
      </c>
      <c r="D363" s="38" t="s">
        <v>801</v>
      </c>
      <c r="E363" s="38" t="s">
        <v>802</v>
      </c>
      <c r="F363" s="38">
        <v>276.56</v>
      </c>
      <c r="G363" s="38">
        <v>276.56</v>
      </c>
      <c r="H363" s="38">
        <f t="shared" si="16"/>
        <v>773</v>
      </c>
      <c r="I363" s="38">
        <v>508</v>
      </c>
      <c r="J363" s="38">
        <v>265</v>
      </c>
      <c r="K363" s="38">
        <v>243</v>
      </c>
      <c r="L363" s="50">
        <f t="shared" si="17"/>
        <v>31.435963777490301</v>
      </c>
      <c r="M363" s="38">
        <v>243</v>
      </c>
      <c r="N363" s="50">
        <f t="shared" si="18"/>
        <v>31.435963777490301</v>
      </c>
      <c r="O363" s="38">
        <v>0</v>
      </c>
      <c r="P363" s="38">
        <v>0</v>
      </c>
      <c r="Q363" s="2" t="s">
        <v>44</v>
      </c>
      <c r="R363" s="7">
        <v>46139</v>
      </c>
      <c r="S363" s="40"/>
      <c r="T363" s="2">
        <v>0</v>
      </c>
      <c r="U363" s="2"/>
      <c r="V363" s="2"/>
      <c r="W363" s="2"/>
      <c r="X363" s="2"/>
      <c r="Y363" s="2"/>
      <c r="Z363" s="3"/>
      <c r="AC363" s="38" t="s">
        <v>801</v>
      </c>
      <c r="AD363" s="2"/>
      <c r="AE363" s="40"/>
    </row>
    <row r="364" spans="1:31" x14ac:dyDescent="0.25">
      <c r="A364" s="38" t="s">
        <v>36</v>
      </c>
      <c r="B364" s="38" t="s">
        <v>662</v>
      </c>
      <c r="C364" s="38" t="s">
        <v>790</v>
      </c>
      <c r="D364" s="38" t="s">
        <v>803</v>
      </c>
      <c r="E364" s="38" t="s">
        <v>804</v>
      </c>
      <c r="F364" s="38">
        <v>643.21</v>
      </c>
      <c r="G364" s="38">
        <v>643.21</v>
      </c>
      <c r="H364" s="38">
        <f t="shared" si="16"/>
        <v>1105</v>
      </c>
      <c r="I364" s="38">
        <v>716</v>
      </c>
      <c r="J364" s="38">
        <v>389</v>
      </c>
      <c r="K364" s="38">
        <v>327</v>
      </c>
      <c r="L364" s="50">
        <f t="shared" si="17"/>
        <v>29.592760180995477</v>
      </c>
      <c r="M364" s="38">
        <v>40</v>
      </c>
      <c r="N364" s="50">
        <f t="shared" si="18"/>
        <v>3.6199095022624439</v>
      </c>
      <c r="O364" s="38">
        <v>0</v>
      </c>
      <c r="P364" s="38">
        <v>0</v>
      </c>
      <c r="Q364" s="2" t="s">
        <v>44</v>
      </c>
      <c r="R364" s="7">
        <v>46139</v>
      </c>
      <c r="S364" s="40"/>
      <c r="T364" s="2">
        <v>0</v>
      </c>
      <c r="U364" s="2"/>
      <c r="V364" s="2"/>
      <c r="W364" s="2"/>
      <c r="X364" s="2"/>
      <c r="Y364" s="2"/>
      <c r="Z364" s="3"/>
      <c r="AC364" s="38" t="s">
        <v>803</v>
      </c>
      <c r="AD364" s="2"/>
      <c r="AE364" s="40"/>
    </row>
    <row r="365" spans="1:31" x14ac:dyDescent="0.25">
      <c r="A365" s="38" t="s">
        <v>36</v>
      </c>
      <c r="B365" s="38" t="s">
        <v>662</v>
      </c>
      <c r="C365" s="38" t="s">
        <v>790</v>
      </c>
      <c r="D365" s="38" t="s">
        <v>805</v>
      </c>
      <c r="E365" s="38" t="s">
        <v>806</v>
      </c>
      <c r="F365" s="38">
        <v>526.79</v>
      </c>
      <c r="G365" s="38">
        <v>526.79</v>
      </c>
      <c r="H365" s="38">
        <f t="shared" si="16"/>
        <v>567</v>
      </c>
      <c r="I365" s="38">
        <v>378</v>
      </c>
      <c r="J365" s="38">
        <v>189</v>
      </c>
      <c r="K365" s="38">
        <v>189</v>
      </c>
      <c r="L365" s="50">
        <f t="shared" si="17"/>
        <v>33.333333333333329</v>
      </c>
      <c r="M365" s="38">
        <v>48</v>
      </c>
      <c r="N365" s="50">
        <f t="shared" si="18"/>
        <v>8.4656084656084651</v>
      </c>
      <c r="O365" s="38">
        <v>0</v>
      </c>
      <c r="P365" s="38">
        <v>0</v>
      </c>
      <c r="Q365" s="2" t="s">
        <v>44</v>
      </c>
      <c r="R365" s="7">
        <v>46139</v>
      </c>
      <c r="S365" s="40"/>
      <c r="T365" s="2">
        <v>0</v>
      </c>
      <c r="U365" s="2"/>
      <c r="V365" s="2"/>
      <c r="W365" s="2"/>
      <c r="X365" s="2"/>
      <c r="Y365" s="2"/>
      <c r="Z365" s="3"/>
      <c r="AC365" s="38" t="s">
        <v>805</v>
      </c>
      <c r="AD365" s="2"/>
      <c r="AE365" s="40"/>
    </row>
    <row r="366" spans="1:31" x14ac:dyDescent="0.25">
      <c r="A366" s="38" t="s">
        <v>36</v>
      </c>
      <c r="B366" s="38" t="s">
        <v>662</v>
      </c>
      <c r="C366" s="38" t="s">
        <v>807</v>
      </c>
      <c r="D366" s="38" t="s">
        <v>807</v>
      </c>
      <c r="E366" s="38" t="s">
        <v>808</v>
      </c>
      <c r="F366" s="38">
        <v>388.2</v>
      </c>
      <c r="G366" s="38">
        <v>388.2</v>
      </c>
      <c r="H366" s="38">
        <f t="shared" si="16"/>
        <v>546</v>
      </c>
      <c r="I366" s="38">
        <v>359</v>
      </c>
      <c r="J366" s="38">
        <v>187</v>
      </c>
      <c r="K366" s="38">
        <v>172</v>
      </c>
      <c r="L366" s="50">
        <f t="shared" si="17"/>
        <v>31.5018315018315</v>
      </c>
      <c r="M366" s="38">
        <v>0</v>
      </c>
      <c r="N366" s="50">
        <f t="shared" si="18"/>
        <v>0</v>
      </c>
      <c r="O366" s="38">
        <v>0</v>
      </c>
      <c r="P366" s="38">
        <v>0</v>
      </c>
    </row>
    <row r="367" spans="1:31" x14ac:dyDescent="0.25">
      <c r="A367" s="38" t="s">
        <v>36</v>
      </c>
      <c r="B367" s="38" t="s">
        <v>662</v>
      </c>
      <c r="C367" s="38" t="s">
        <v>807</v>
      </c>
      <c r="D367" s="38" t="s">
        <v>809</v>
      </c>
      <c r="E367" s="38" t="s">
        <v>810</v>
      </c>
      <c r="F367" s="38">
        <v>577.29</v>
      </c>
      <c r="G367" s="38">
        <v>577.29</v>
      </c>
      <c r="H367" s="38">
        <f t="shared" si="16"/>
        <v>771</v>
      </c>
      <c r="I367" s="38">
        <v>515</v>
      </c>
      <c r="J367" s="38">
        <v>256</v>
      </c>
      <c r="K367" s="38">
        <v>259</v>
      </c>
      <c r="L367" s="50">
        <f t="shared" si="17"/>
        <v>33.592736705577167</v>
      </c>
      <c r="M367" s="38">
        <v>0</v>
      </c>
      <c r="N367" s="50">
        <f t="shared" si="18"/>
        <v>0</v>
      </c>
      <c r="O367" s="38">
        <v>0</v>
      </c>
      <c r="P367" s="38">
        <v>0</v>
      </c>
    </row>
    <row r="368" spans="1:31" x14ac:dyDescent="0.25">
      <c r="A368" s="38" t="s">
        <v>36</v>
      </c>
      <c r="B368" s="38" t="s">
        <v>662</v>
      </c>
      <c r="C368" s="38" t="s">
        <v>807</v>
      </c>
      <c r="D368" s="38" t="s">
        <v>140</v>
      </c>
      <c r="E368" s="38" t="s">
        <v>811</v>
      </c>
      <c r="F368" s="38">
        <v>557.33000000000004</v>
      </c>
      <c r="G368" s="38">
        <v>557.33000000000004</v>
      </c>
      <c r="H368" s="38">
        <f t="shared" si="16"/>
        <v>623</v>
      </c>
      <c r="I368" s="38">
        <v>407</v>
      </c>
      <c r="J368" s="38">
        <v>216</v>
      </c>
      <c r="K368" s="38">
        <v>191</v>
      </c>
      <c r="L368" s="50">
        <f t="shared" si="17"/>
        <v>30.658105939004816</v>
      </c>
      <c r="M368" s="38">
        <v>0</v>
      </c>
      <c r="N368" s="50">
        <f t="shared" si="18"/>
        <v>0</v>
      </c>
      <c r="O368" s="38">
        <v>0</v>
      </c>
      <c r="P368" s="38">
        <v>0</v>
      </c>
    </row>
    <row r="369" spans="1:31" x14ac:dyDescent="0.25">
      <c r="A369" s="38" t="s">
        <v>36</v>
      </c>
      <c r="B369" s="38" t="s">
        <v>662</v>
      </c>
      <c r="C369" s="38" t="s">
        <v>807</v>
      </c>
      <c r="D369" s="38" t="s">
        <v>812</v>
      </c>
      <c r="E369" s="38" t="s">
        <v>813</v>
      </c>
      <c r="F369" s="38">
        <v>615.29999999999995</v>
      </c>
      <c r="G369" s="38">
        <v>615.29999999999995</v>
      </c>
      <c r="H369" s="38">
        <f t="shared" si="16"/>
        <v>704</v>
      </c>
      <c r="I369" s="38">
        <v>454</v>
      </c>
      <c r="J369" s="38">
        <v>250</v>
      </c>
      <c r="K369" s="38">
        <v>204</v>
      </c>
      <c r="L369" s="50">
        <f t="shared" si="17"/>
        <v>28.97727272727273</v>
      </c>
      <c r="M369" s="38">
        <v>0</v>
      </c>
      <c r="N369" s="50">
        <f t="shared" si="18"/>
        <v>0</v>
      </c>
      <c r="O369" s="38">
        <v>0</v>
      </c>
      <c r="P369" s="38">
        <v>0</v>
      </c>
    </row>
    <row r="370" spans="1:31" x14ac:dyDescent="0.25">
      <c r="A370" s="38" t="s">
        <v>36</v>
      </c>
      <c r="B370" s="38" t="s">
        <v>662</v>
      </c>
      <c r="C370" s="38" t="s">
        <v>807</v>
      </c>
      <c r="D370" s="38" t="s">
        <v>814</v>
      </c>
      <c r="E370" s="38" t="s">
        <v>815</v>
      </c>
      <c r="F370" s="38">
        <v>387.24</v>
      </c>
      <c r="G370" s="38">
        <v>387.24</v>
      </c>
      <c r="H370" s="38">
        <f t="shared" si="16"/>
        <v>353</v>
      </c>
      <c r="I370" s="38">
        <v>231</v>
      </c>
      <c r="J370" s="38">
        <v>122</v>
      </c>
      <c r="K370" s="38">
        <v>109</v>
      </c>
      <c r="L370" s="50">
        <f t="shared" si="17"/>
        <v>30.878186968838527</v>
      </c>
      <c r="M370" s="38">
        <v>0</v>
      </c>
      <c r="N370" s="50">
        <f t="shared" si="18"/>
        <v>0</v>
      </c>
      <c r="O370" s="38">
        <v>0</v>
      </c>
      <c r="P370" s="38">
        <v>0</v>
      </c>
    </row>
    <row r="371" spans="1:31" x14ac:dyDescent="0.25">
      <c r="A371" s="38" t="s">
        <v>36</v>
      </c>
      <c r="B371" s="38" t="s">
        <v>662</v>
      </c>
      <c r="C371" s="38" t="s">
        <v>807</v>
      </c>
      <c r="D371" s="38" t="s">
        <v>816</v>
      </c>
      <c r="E371" s="38" t="s">
        <v>817</v>
      </c>
      <c r="F371" s="38">
        <v>1014.25</v>
      </c>
      <c r="G371" s="38">
        <v>1014.25</v>
      </c>
      <c r="H371" s="38">
        <f t="shared" si="16"/>
        <v>1006</v>
      </c>
      <c r="I371" s="38">
        <v>656</v>
      </c>
      <c r="J371" s="38">
        <v>350</v>
      </c>
      <c r="K371" s="38">
        <v>306</v>
      </c>
      <c r="L371" s="50">
        <f t="shared" si="17"/>
        <v>30.417495029821072</v>
      </c>
      <c r="M371" s="38">
        <v>0</v>
      </c>
      <c r="N371" s="50">
        <f t="shared" si="18"/>
        <v>0</v>
      </c>
      <c r="O371" s="38">
        <v>0</v>
      </c>
      <c r="P371" s="38">
        <v>0</v>
      </c>
    </row>
    <row r="372" spans="1:31" x14ac:dyDescent="0.25">
      <c r="A372" s="38" t="s">
        <v>36</v>
      </c>
      <c r="B372" s="38" t="s">
        <v>662</v>
      </c>
      <c r="C372" s="38" t="s">
        <v>807</v>
      </c>
      <c r="D372" s="38" t="s">
        <v>818</v>
      </c>
      <c r="E372" s="38" t="s">
        <v>819</v>
      </c>
      <c r="F372" s="38">
        <v>902.11</v>
      </c>
      <c r="G372" s="38">
        <v>902.11</v>
      </c>
      <c r="H372" s="38">
        <f t="shared" si="16"/>
        <v>953</v>
      </c>
      <c r="I372" s="38">
        <v>612</v>
      </c>
      <c r="J372" s="38">
        <v>341</v>
      </c>
      <c r="K372" s="38">
        <v>271</v>
      </c>
      <c r="L372" s="50">
        <f t="shared" si="17"/>
        <v>28.436516264428125</v>
      </c>
      <c r="M372" s="38">
        <v>0</v>
      </c>
      <c r="N372" s="50">
        <f t="shared" si="18"/>
        <v>0</v>
      </c>
      <c r="O372" s="38">
        <v>0</v>
      </c>
      <c r="P372" s="38">
        <v>0</v>
      </c>
    </row>
    <row r="373" spans="1:31" x14ac:dyDescent="0.25">
      <c r="A373" s="38" t="s">
        <v>36</v>
      </c>
      <c r="B373" s="38" t="s">
        <v>662</v>
      </c>
      <c r="C373" s="38" t="s">
        <v>671</v>
      </c>
      <c r="D373" s="38" t="s">
        <v>820</v>
      </c>
      <c r="E373" s="38" t="s">
        <v>821</v>
      </c>
      <c r="F373" s="38">
        <v>1978.21</v>
      </c>
      <c r="G373" s="38">
        <v>1978.21</v>
      </c>
      <c r="H373" s="38">
        <f t="shared" si="16"/>
        <v>2877</v>
      </c>
      <c r="I373" s="38">
        <v>1885</v>
      </c>
      <c r="J373" s="38">
        <v>992</v>
      </c>
      <c r="K373" s="38">
        <v>893</v>
      </c>
      <c r="L373" s="50">
        <f t="shared" si="17"/>
        <v>31.039277024678487</v>
      </c>
      <c r="M373" s="38">
        <v>227</v>
      </c>
      <c r="N373" s="50">
        <f t="shared" si="18"/>
        <v>7.8901633646159191</v>
      </c>
      <c r="O373" s="38">
        <v>0</v>
      </c>
      <c r="P373" s="38">
        <v>96.78</v>
      </c>
      <c r="AC373" s="117"/>
      <c r="AD373" s="117"/>
    </row>
    <row r="374" spans="1:31" x14ac:dyDescent="0.25">
      <c r="A374" s="38" t="s">
        <v>36</v>
      </c>
      <c r="B374" s="38" t="s">
        <v>662</v>
      </c>
      <c r="C374" s="38" t="s">
        <v>671</v>
      </c>
      <c r="D374" s="38" t="s">
        <v>822</v>
      </c>
      <c r="E374" s="38" t="s">
        <v>823</v>
      </c>
      <c r="F374" s="38">
        <v>474.83</v>
      </c>
      <c r="G374" s="38">
        <v>474.83</v>
      </c>
      <c r="H374" s="38">
        <f t="shared" si="16"/>
        <v>786</v>
      </c>
      <c r="I374" s="38">
        <v>507</v>
      </c>
      <c r="J374" s="38">
        <v>279</v>
      </c>
      <c r="K374" s="38">
        <v>228</v>
      </c>
      <c r="L374" s="50">
        <f t="shared" si="17"/>
        <v>29.007633587786259</v>
      </c>
      <c r="M374" s="38">
        <v>0</v>
      </c>
      <c r="N374" s="50">
        <f t="shared" si="18"/>
        <v>0</v>
      </c>
      <c r="O374" s="38">
        <v>0</v>
      </c>
      <c r="P374" s="38">
        <v>0</v>
      </c>
    </row>
    <row r="375" spans="1:31" x14ac:dyDescent="0.25">
      <c r="A375" s="38" t="s">
        <v>36</v>
      </c>
      <c r="B375" s="38" t="s">
        <v>662</v>
      </c>
      <c r="C375" s="38" t="s">
        <v>671</v>
      </c>
      <c r="D375" s="38" t="s">
        <v>824</v>
      </c>
      <c r="E375" s="38" t="s">
        <v>825</v>
      </c>
      <c r="F375" s="38">
        <v>501.11</v>
      </c>
      <c r="G375" s="38">
        <v>501.11</v>
      </c>
      <c r="H375" s="38">
        <f t="shared" si="16"/>
        <v>758</v>
      </c>
      <c r="I375" s="38">
        <v>502</v>
      </c>
      <c r="J375" s="38">
        <v>256</v>
      </c>
      <c r="K375" s="38">
        <v>246</v>
      </c>
      <c r="L375" s="50">
        <f t="shared" si="17"/>
        <v>32.453825857519789</v>
      </c>
      <c r="M375" s="38">
        <v>0</v>
      </c>
      <c r="N375" s="50">
        <f t="shared" si="18"/>
        <v>0</v>
      </c>
      <c r="O375" s="38">
        <v>0</v>
      </c>
      <c r="P375" s="38">
        <v>0</v>
      </c>
    </row>
    <row r="376" spans="1:31" x14ac:dyDescent="0.25">
      <c r="A376" s="38" t="s">
        <v>36</v>
      </c>
      <c r="B376" s="38" t="s">
        <v>662</v>
      </c>
      <c r="C376" s="38" t="s">
        <v>671</v>
      </c>
      <c r="D376" s="38" t="s">
        <v>826</v>
      </c>
      <c r="E376" s="38" t="s">
        <v>827</v>
      </c>
      <c r="F376" s="38">
        <v>516.24</v>
      </c>
      <c r="G376" s="38">
        <v>516.24</v>
      </c>
      <c r="H376" s="38">
        <f t="shared" si="16"/>
        <v>589</v>
      </c>
      <c r="I376" s="38">
        <v>382</v>
      </c>
      <c r="J376" s="38">
        <v>207</v>
      </c>
      <c r="K376" s="38">
        <v>175</v>
      </c>
      <c r="L376" s="50">
        <f t="shared" si="17"/>
        <v>29.711375212224105</v>
      </c>
      <c r="M376" s="38">
        <v>0</v>
      </c>
      <c r="N376" s="50">
        <f t="shared" si="18"/>
        <v>0</v>
      </c>
      <c r="O376" s="38">
        <v>0</v>
      </c>
      <c r="P376" s="38">
        <v>0</v>
      </c>
    </row>
    <row r="377" spans="1:31" x14ac:dyDescent="0.25">
      <c r="A377" s="38" t="s">
        <v>36</v>
      </c>
      <c r="B377" s="38" t="s">
        <v>662</v>
      </c>
      <c r="C377" s="38" t="s">
        <v>828</v>
      </c>
      <c r="D377" s="38" t="s">
        <v>829</v>
      </c>
      <c r="E377" s="38" t="s">
        <v>830</v>
      </c>
      <c r="F377" s="38">
        <v>369.63</v>
      </c>
      <c r="G377" s="38">
        <v>369.63</v>
      </c>
      <c r="H377" s="38">
        <f t="shared" si="16"/>
        <v>731</v>
      </c>
      <c r="I377" s="38">
        <v>495</v>
      </c>
      <c r="J377" s="38">
        <v>236</v>
      </c>
      <c r="K377" s="38">
        <v>259</v>
      </c>
      <c r="L377" s="50">
        <f t="shared" si="17"/>
        <v>35.430916552667583</v>
      </c>
      <c r="M377" s="38">
        <v>0</v>
      </c>
      <c r="N377" s="50">
        <f t="shared" si="18"/>
        <v>0</v>
      </c>
      <c r="O377" s="38">
        <v>0</v>
      </c>
      <c r="P377" s="38">
        <v>0</v>
      </c>
      <c r="Q377" s="39" t="s">
        <v>44</v>
      </c>
      <c r="R377" s="111">
        <v>45470</v>
      </c>
      <c r="S377" s="40"/>
      <c r="T377" s="39">
        <v>5.0643000000000002</v>
      </c>
      <c r="U377" s="39"/>
      <c r="V377" s="39"/>
      <c r="W377" s="39"/>
      <c r="X377" s="39"/>
      <c r="Y377" s="39"/>
      <c r="Z377" s="3"/>
      <c r="AC377" s="38" t="s">
        <v>829</v>
      </c>
      <c r="AD377" s="2"/>
      <c r="AE377" s="40"/>
    </row>
    <row r="378" spans="1:31" x14ac:dyDescent="0.25">
      <c r="A378" s="38" t="s">
        <v>36</v>
      </c>
      <c r="B378" s="38" t="s">
        <v>662</v>
      </c>
      <c r="C378" s="38" t="s">
        <v>828</v>
      </c>
      <c r="D378" s="38" t="s">
        <v>831</v>
      </c>
      <c r="E378" s="38" t="s">
        <v>832</v>
      </c>
      <c r="F378" s="38">
        <v>844.72</v>
      </c>
      <c r="G378" s="38">
        <v>844.72</v>
      </c>
      <c r="H378" s="38">
        <f t="shared" si="16"/>
        <v>952</v>
      </c>
      <c r="I378" s="38">
        <v>620</v>
      </c>
      <c r="J378" s="38">
        <v>332</v>
      </c>
      <c r="K378" s="38">
        <v>288</v>
      </c>
      <c r="L378" s="50">
        <f t="shared" si="17"/>
        <v>30.252100840336134</v>
      </c>
      <c r="M378" s="38">
        <v>43</v>
      </c>
      <c r="N378" s="50">
        <f t="shared" si="18"/>
        <v>4.5168067226890756</v>
      </c>
      <c r="O378" s="38">
        <v>0</v>
      </c>
      <c r="P378" s="38">
        <v>0</v>
      </c>
      <c r="Q378" s="39" t="s">
        <v>44</v>
      </c>
      <c r="R378" s="111">
        <v>45470</v>
      </c>
      <c r="S378" s="40"/>
      <c r="T378" s="39">
        <v>0</v>
      </c>
      <c r="U378" s="39"/>
      <c r="V378" s="39"/>
      <c r="W378" s="39"/>
      <c r="X378" s="39"/>
      <c r="Y378" s="39"/>
      <c r="Z378" s="3"/>
      <c r="AC378" s="38" t="s">
        <v>831</v>
      </c>
      <c r="AD378" s="2"/>
      <c r="AE378" s="40"/>
    </row>
    <row r="379" spans="1:31" x14ac:dyDescent="0.25">
      <c r="A379" s="38" t="s">
        <v>36</v>
      </c>
      <c r="B379" s="38" t="s">
        <v>662</v>
      </c>
      <c r="C379" s="38" t="s">
        <v>828</v>
      </c>
      <c r="D379" s="38" t="s">
        <v>833</v>
      </c>
      <c r="E379" s="38" t="s">
        <v>834</v>
      </c>
      <c r="F379" s="38">
        <v>539.49</v>
      </c>
      <c r="G379" s="38">
        <v>539.49</v>
      </c>
      <c r="H379" s="38">
        <f t="shared" si="16"/>
        <v>776</v>
      </c>
      <c r="I379" s="38">
        <v>512</v>
      </c>
      <c r="J379" s="38">
        <v>264</v>
      </c>
      <c r="K379" s="38">
        <v>248</v>
      </c>
      <c r="L379" s="50">
        <f t="shared" si="17"/>
        <v>31.958762886597935</v>
      </c>
      <c r="M379" s="38">
        <v>40</v>
      </c>
      <c r="N379" s="50">
        <f t="shared" si="18"/>
        <v>5.1546391752577314</v>
      </c>
      <c r="O379" s="38">
        <v>0</v>
      </c>
      <c r="P379" s="38">
        <v>0</v>
      </c>
      <c r="Q379" s="39" t="s">
        <v>44</v>
      </c>
      <c r="R379" s="111">
        <v>45470</v>
      </c>
      <c r="S379" s="40"/>
      <c r="T379" s="39">
        <v>0.71889999999999998</v>
      </c>
      <c r="U379" s="39"/>
      <c r="V379" s="39"/>
      <c r="W379" s="39"/>
      <c r="X379" s="39"/>
      <c r="Y379" s="39"/>
      <c r="Z379" s="3"/>
      <c r="AC379" s="38" t="s">
        <v>833</v>
      </c>
      <c r="AD379" s="2"/>
      <c r="AE379" s="40"/>
    </row>
    <row r="380" spans="1:31" x14ac:dyDescent="0.25">
      <c r="A380" s="38" t="s">
        <v>36</v>
      </c>
      <c r="B380" s="50" t="s">
        <v>662</v>
      </c>
      <c r="C380" s="50" t="s">
        <v>828</v>
      </c>
      <c r="D380" s="50" t="s">
        <v>835</v>
      </c>
      <c r="E380" s="38" t="s">
        <v>836</v>
      </c>
      <c r="F380" s="50">
        <v>389.55</v>
      </c>
      <c r="G380" s="50">
        <v>389.55</v>
      </c>
      <c r="H380" s="38">
        <f t="shared" si="16"/>
        <v>935</v>
      </c>
      <c r="I380" s="38">
        <v>606</v>
      </c>
      <c r="J380" s="38">
        <v>329</v>
      </c>
      <c r="K380" s="38">
        <v>277</v>
      </c>
      <c r="L380" s="50">
        <f t="shared" si="17"/>
        <v>29.62566844919786</v>
      </c>
      <c r="M380" s="38">
        <v>206</v>
      </c>
      <c r="N380" s="50">
        <f t="shared" si="18"/>
        <v>22.032085561497325</v>
      </c>
      <c r="O380" s="50">
        <v>0</v>
      </c>
      <c r="P380" s="50">
        <v>0</v>
      </c>
      <c r="Q380" s="39" t="s">
        <v>44</v>
      </c>
      <c r="R380" s="111">
        <v>45470</v>
      </c>
      <c r="S380" s="40"/>
      <c r="T380" s="39">
        <v>0</v>
      </c>
      <c r="U380" s="39"/>
      <c r="V380" s="39"/>
      <c r="W380" s="39"/>
      <c r="X380" s="39"/>
      <c r="Y380" s="39"/>
      <c r="Z380" s="3"/>
      <c r="AC380" s="38" t="s">
        <v>835</v>
      </c>
      <c r="AD380" s="2"/>
      <c r="AE380" s="40"/>
    </row>
    <row r="381" spans="1:31" x14ac:dyDescent="0.25">
      <c r="A381" s="38" t="s">
        <v>36</v>
      </c>
      <c r="B381" s="38" t="s">
        <v>662</v>
      </c>
      <c r="C381" s="38" t="s">
        <v>837</v>
      </c>
      <c r="D381" s="38" t="s">
        <v>838</v>
      </c>
      <c r="E381" s="38" t="s">
        <v>839</v>
      </c>
      <c r="F381" s="38">
        <v>2458.84</v>
      </c>
      <c r="G381" s="38">
        <v>2458.84</v>
      </c>
      <c r="H381" s="38">
        <f t="shared" si="16"/>
        <v>3012</v>
      </c>
      <c r="I381" s="38">
        <v>1972</v>
      </c>
      <c r="J381" s="38">
        <v>1040</v>
      </c>
      <c r="K381" s="38">
        <v>932</v>
      </c>
      <c r="L381" s="50">
        <f t="shared" si="17"/>
        <v>30.942895086321382</v>
      </c>
      <c r="M381" s="38">
        <v>340</v>
      </c>
      <c r="N381" s="50">
        <f t="shared" si="18"/>
        <v>11.288180610889773</v>
      </c>
      <c r="O381" s="38">
        <v>0</v>
      </c>
      <c r="P381" s="38">
        <v>382.12</v>
      </c>
      <c r="Q381" s="2" t="s">
        <v>44</v>
      </c>
      <c r="R381" s="25">
        <v>45592</v>
      </c>
      <c r="S381" s="40"/>
      <c r="T381" s="2">
        <v>373</v>
      </c>
      <c r="U381" s="2"/>
      <c r="V381" s="2"/>
      <c r="W381" s="2"/>
      <c r="X381" s="2"/>
      <c r="Y381" s="2"/>
      <c r="Z381" s="3"/>
      <c r="AB381" s="3">
        <v>30</v>
      </c>
      <c r="AC381" s="42" t="s">
        <v>838</v>
      </c>
      <c r="AD381" s="2">
        <v>26.161484000000002</v>
      </c>
      <c r="AE381" s="40">
        <v>71.57526</v>
      </c>
    </row>
    <row r="382" spans="1:31" x14ac:dyDescent="0.25">
      <c r="A382" s="38" t="s">
        <v>36</v>
      </c>
      <c r="B382" s="38" t="s">
        <v>662</v>
      </c>
      <c r="C382" s="38" t="s">
        <v>837</v>
      </c>
      <c r="D382" s="38" t="s">
        <v>840</v>
      </c>
      <c r="E382" s="38" t="s">
        <v>841</v>
      </c>
      <c r="F382" s="38">
        <v>967.83</v>
      </c>
      <c r="G382" s="38">
        <v>967.83</v>
      </c>
      <c r="H382" s="38">
        <f t="shared" si="16"/>
        <v>829</v>
      </c>
      <c r="I382" s="38">
        <v>528</v>
      </c>
      <c r="J382" s="38">
        <v>301</v>
      </c>
      <c r="K382" s="38">
        <v>227</v>
      </c>
      <c r="L382" s="50">
        <f t="shared" si="17"/>
        <v>27.38238841978287</v>
      </c>
      <c r="M382" s="38">
        <v>0</v>
      </c>
      <c r="N382" s="50">
        <f t="shared" si="18"/>
        <v>0</v>
      </c>
      <c r="O382" s="38">
        <v>0</v>
      </c>
      <c r="P382" s="38">
        <v>100.01</v>
      </c>
      <c r="Q382" s="2" t="s">
        <v>44</v>
      </c>
      <c r="R382" s="25">
        <v>45592</v>
      </c>
      <c r="S382" s="40"/>
      <c r="T382" s="2">
        <v>55.982799999999997</v>
      </c>
      <c r="U382" s="2"/>
      <c r="V382" s="2"/>
      <c r="W382" s="2"/>
      <c r="X382" s="2"/>
      <c r="Y382" s="2"/>
      <c r="Z382" s="3"/>
      <c r="AB382" s="3"/>
      <c r="AC382" s="42" t="s">
        <v>840</v>
      </c>
      <c r="AD382" s="2"/>
      <c r="AE382" s="40"/>
    </row>
    <row r="383" spans="1:31" x14ac:dyDescent="0.25">
      <c r="A383" s="38" t="s">
        <v>36</v>
      </c>
      <c r="B383" s="38" t="s">
        <v>662</v>
      </c>
      <c r="C383" s="38" t="s">
        <v>837</v>
      </c>
      <c r="D383" s="38" t="s">
        <v>842</v>
      </c>
      <c r="E383" s="38" t="s">
        <v>843</v>
      </c>
      <c r="F383" s="38">
        <v>946.83</v>
      </c>
      <c r="G383" s="38">
        <v>946.83</v>
      </c>
      <c r="H383" s="38">
        <f t="shared" si="16"/>
        <v>1216</v>
      </c>
      <c r="I383" s="38">
        <v>797</v>
      </c>
      <c r="J383" s="38">
        <v>419</v>
      </c>
      <c r="K383" s="38">
        <v>378</v>
      </c>
      <c r="L383" s="50">
        <f t="shared" si="17"/>
        <v>31.085526315789476</v>
      </c>
      <c r="M383" s="38">
        <v>0</v>
      </c>
      <c r="N383" s="50">
        <f t="shared" si="18"/>
        <v>0</v>
      </c>
      <c r="O383" s="38">
        <v>0</v>
      </c>
      <c r="P383" s="38">
        <v>38.11</v>
      </c>
      <c r="Q383" s="2" t="s">
        <v>44</v>
      </c>
      <c r="R383" s="25">
        <v>45592</v>
      </c>
      <c r="S383" s="40"/>
      <c r="T383" s="2">
        <v>26.341100000000001</v>
      </c>
      <c r="U383" s="2"/>
      <c r="V383" s="2"/>
      <c r="W383" s="2"/>
      <c r="X383" s="2"/>
      <c r="Y383" s="2"/>
      <c r="Z383" s="3"/>
      <c r="AB383" s="3">
        <v>26</v>
      </c>
      <c r="AC383" s="42" t="s">
        <v>842</v>
      </c>
      <c r="AD383" s="2">
        <v>26.132440500000001</v>
      </c>
      <c r="AE383" s="40">
        <v>71.567528699999997</v>
      </c>
    </row>
    <row r="384" spans="1:31" x14ac:dyDescent="0.25">
      <c r="A384" s="38" t="s">
        <v>36</v>
      </c>
      <c r="B384" s="38" t="s">
        <v>662</v>
      </c>
      <c r="C384" s="38" t="s">
        <v>837</v>
      </c>
      <c r="D384" s="38" t="s">
        <v>844</v>
      </c>
      <c r="E384" s="38" t="s">
        <v>845</v>
      </c>
      <c r="F384" s="38">
        <v>1954.01</v>
      </c>
      <c r="G384" s="38">
        <v>1954.01</v>
      </c>
      <c r="H384" s="38">
        <f t="shared" si="16"/>
        <v>2098</v>
      </c>
      <c r="I384" s="38">
        <v>1380</v>
      </c>
      <c r="J384" s="38">
        <v>718</v>
      </c>
      <c r="K384" s="38">
        <v>662</v>
      </c>
      <c r="L384" s="50">
        <f t="shared" si="17"/>
        <v>31.553860819828405</v>
      </c>
      <c r="M384" s="38">
        <v>273</v>
      </c>
      <c r="N384" s="50">
        <f t="shared" si="18"/>
        <v>13.012392755004768</v>
      </c>
      <c r="O384" s="38">
        <v>0</v>
      </c>
      <c r="P384" s="38">
        <v>130.02000000000001</v>
      </c>
      <c r="Q384" s="2" t="s">
        <v>44</v>
      </c>
      <c r="R384" s="25">
        <v>45592</v>
      </c>
      <c r="S384" s="40"/>
      <c r="T384" s="2">
        <v>103.69759999999999</v>
      </c>
      <c r="U384" s="2"/>
      <c r="V384" s="2"/>
      <c r="W384" s="2"/>
      <c r="X384" s="2"/>
      <c r="Y384" s="2"/>
      <c r="Z384" s="3"/>
      <c r="AB384" s="3">
        <v>50</v>
      </c>
      <c r="AC384" s="42" t="s">
        <v>844</v>
      </c>
      <c r="AD384" s="2">
        <v>26.198509000000001</v>
      </c>
      <c r="AE384" s="40">
        <v>71.619429999999994</v>
      </c>
    </row>
    <row r="385" spans="1:31" x14ac:dyDescent="0.25">
      <c r="A385" s="38" t="s">
        <v>36</v>
      </c>
      <c r="B385" s="38" t="s">
        <v>662</v>
      </c>
      <c r="C385" s="38" t="s">
        <v>837</v>
      </c>
      <c r="D385" s="38" t="s">
        <v>846</v>
      </c>
      <c r="E385" s="38" t="s">
        <v>847</v>
      </c>
      <c r="F385" s="38">
        <v>1237.3399999999999</v>
      </c>
      <c r="G385" s="38">
        <v>1237.3399999999999</v>
      </c>
      <c r="H385" s="38">
        <f t="shared" si="16"/>
        <v>1108</v>
      </c>
      <c r="I385" s="38">
        <v>725</v>
      </c>
      <c r="J385" s="38">
        <v>383</v>
      </c>
      <c r="K385" s="38">
        <v>342</v>
      </c>
      <c r="L385" s="50">
        <f t="shared" si="17"/>
        <v>30.866425992779785</v>
      </c>
      <c r="M385" s="38">
        <v>0</v>
      </c>
      <c r="N385" s="50">
        <f t="shared" si="18"/>
        <v>0</v>
      </c>
      <c r="O385" s="38">
        <v>0</v>
      </c>
      <c r="P385" s="38">
        <v>77.05</v>
      </c>
      <c r="Q385" s="2" t="s">
        <v>44</v>
      </c>
      <c r="R385" s="25">
        <v>45592</v>
      </c>
      <c r="S385" s="40"/>
      <c r="T385" s="2">
        <v>76.652799999999999</v>
      </c>
      <c r="U385" s="2"/>
      <c r="V385" s="2"/>
      <c r="W385" s="2"/>
      <c r="X385" s="2"/>
      <c r="Y385" s="2"/>
      <c r="Z385" s="3"/>
      <c r="AB385" s="3">
        <v>45</v>
      </c>
      <c r="AC385" s="42" t="s">
        <v>846</v>
      </c>
      <c r="AD385" s="2">
        <v>26.124476000000001</v>
      </c>
      <c r="AE385" s="40">
        <v>71.616996</v>
      </c>
    </row>
    <row r="386" spans="1:31" x14ac:dyDescent="0.25">
      <c r="A386" s="38" t="s">
        <v>36</v>
      </c>
      <c r="B386" s="38" t="s">
        <v>662</v>
      </c>
      <c r="C386" s="38" t="s">
        <v>837</v>
      </c>
      <c r="D386" s="38" t="s">
        <v>848</v>
      </c>
      <c r="E386" s="38" t="s">
        <v>849</v>
      </c>
      <c r="F386" s="38">
        <v>1266.3800000000001</v>
      </c>
      <c r="G386" s="38">
        <v>1266.3800000000001</v>
      </c>
      <c r="H386" s="38">
        <f t="shared" si="16"/>
        <v>1382</v>
      </c>
      <c r="I386" s="38">
        <v>898</v>
      </c>
      <c r="J386" s="38">
        <v>484</v>
      </c>
      <c r="K386" s="38">
        <v>414</v>
      </c>
      <c r="L386" s="50">
        <f t="shared" si="17"/>
        <v>29.956584659913172</v>
      </c>
      <c r="M386" s="38">
        <v>4</v>
      </c>
      <c r="N386" s="50">
        <f t="shared" si="18"/>
        <v>0.28943560057887119</v>
      </c>
      <c r="O386" s="38">
        <v>0</v>
      </c>
      <c r="P386" s="38">
        <v>76.12</v>
      </c>
      <c r="Q386" s="2" t="s">
        <v>44</v>
      </c>
      <c r="R386" s="27">
        <v>45592</v>
      </c>
      <c r="S386" s="118"/>
      <c r="T386" s="2">
        <v>76</v>
      </c>
      <c r="U386" s="2"/>
      <c r="V386" s="2"/>
      <c r="W386" s="2"/>
      <c r="X386" s="2"/>
      <c r="Y386" s="2"/>
      <c r="Z386" s="5"/>
      <c r="AB386" s="5">
        <v>38</v>
      </c>
      <c r="AC386" s="45" t="s">
        <v>848</v>
      </c>
      <c r="AD386" s="118">
        <v>26.198436000000001</v>
      </c>
      <c r="AE386" s="118">
        <v>71.619029999999995</v>
      </c>
    </row>
    <row r="387" spans="1:31" x14ac:dyDescent="0.25">
      <c r="A387" s="38" t="s">
        <v>36</v>
      </c>
      <c r="B387" s="38" t="s">
        <v>662</v>
      </c>
      <c r="C387" s="38" t="s">
        <v>850</v>
      </c>
      <c r="D387" s="38" t="s">
        <v>850</v>
      </c>
      <c r="E387" s="38" t="s">
        <v>851</v>
      </c>
      <c r="F387" s="38">
        <v>700.91</v>
      </c>
      <c r="G387" s="38">
        <v>700.91</v>
      </c>
      <c r="H387" s="38">
        <f t="shared" si="16"/>
        <v>1169</v>
      </c>
      <c r="I387" s="38">
        <v>766</v>
      </c>
      <c r="J387" s="38">
        <v>403</v>
      </c>
      <c r="K387" s="38">
        <v>363</v>
      </c>
      <c r="L387" s="50">
        <f t="shared" si="17"/>
        <v>31.052181351582547</v>
      </c>
      <c r="M387" s="38">
        <v>0</v>
      </c>
      <c r="N387" s="50">
        <f t="shared" si="18"/>
        <v>0</v>
      </c>
      <c r="O387" s="38">
        <v>0</v>
      </c>
      <c r="P387" s="38">
        <v>0</v>
      </c>
    </row>
    <row r="388" spans="1:31" x14ac:dyDescent="0.25">
      <c r="A388" s="38" t="s">
        <v>36</v>
      </c>
      <c r="B388" s="38" t="s">
        <v>662</v>
      </c>
      <c r="C388" s="38" t="s">
        <v>850</v>
      </c>
      <c r="D388" s="38" t="s">
        <v>852</v>
      </c>
      <c r="E388" s="38" t="s">
        <v>853</v>
      </c>
      <c r="F388" s="38">
        <v>312.2</v>
      </c>
      <c r="G388" s="38">
        <v>312.2</v>
      </c>
      <c r="H388" s="38">
        <f t="shared" si="16"/>
        <v>481</v>
      </c>
      <c r="I388" s="38">
        <v>321</v>
      </c>
      <c r="J388" s="38">
        <v>160</v>
      </c>
      <c r="K388" s="38">
        <v>161</v>
      </c>
      <c r="L388" s="50">
        <f t="shared" si="17"/>
        <v>33.471933471933475</v>
      </c>
      <c r="M388" s="38">
        <v>0</v>
      </c>
      <c r="N388" s="50">
        <f t="shared" si="18"/>
        <v>0</v>
      </c>
      <c r="O388" s="38">
        <v>0</v>
      </c>
      <c r="P388" s="38">
        <v>0</v>
      </c>
    </row>
    <row r="389" spans="1:31" x14ac:dyDescent="0.25">
      <c r="A389" s="38" t="s">
        <v>36</v>
      </c>
      <c r="B389" s="38" t="s">
        <v>662</v>
      </c>
      <c r="C389" s="38" t="s">
        <v>850</v>
      </c>
      <c r="D389" s="38" t="s">
        <v>854</v>
      </c>
      <c r="E389" s="38" t="s">
        <v>855</v>
      </c>
      <c r="F389" s="38">
        <v>198.24</v>
      </c>
      <c r="G389" s="38">
        <v>198.24</v>
      </c>
      <c r="H389" s="38">
        <f t="shared" ref="H389:H452" si="19">I389+J389</f>
        <v>335</v>
      </c>
      <c r="I389" s="38">
        <v>224</v>
      </c>
      <c r="J389" s="38">
        <v>111</v>
      </c>
      <c r="K389" s="38">
        <v>113</v>
      </c>
      <c r="L389" s="50">
        <f t="shared" si="17"/>
        <v>33.731343283582085</v>
      </c>
      <c r="M389" s="38">
        <v>14</v>
      </c>
      <c r="N389" s="50">
        <f t="shared" si="18"/>
        <v>4.1791044776119408</v>
      </c>
      <c r="O389" s="38">
        <v>0</v>
      </c>
      <c r="P389" s="38">
        <v>0</v>
      </c>
    </row>
    <row r="390" spans="1:31" x14ac:dyDescent="0.25">
      <c r="A390" s="38" t="s">
        <v>36</v>
      </c>
      <c r="B390" s="38" t="s">
        <v>662</v>
      </c>
      <c r="C390" s="38" t="s">
        <v>850</v>
      </c>
      <c r="D390" s="38" t="s">
        <v>856</v>
      </c>
      <c r="E390" s="38" t="s">
        <v>857</v>
      </c>
      <c r="F390" s="38">
        <v>661.95</v>
      </c>
      <c r="G390" s="38">
        <v>661.95</v>
      </c>
      <c r="H390" s="38">
        <f t="shared" si="19"/>
        <v>518</v>
      </c>
      <c r="I390" s="38">
        <v>354</v>
      </c>
      <c r="J390" s="38">
        <v>164</v>
      </c>
      <c r="K390" s="38">
        <v>190</v>
      </c>
      <c r="L390" s="50">
        <f t="shared" ref="L390:L453" si="20">K390/H390*100</f>
        <v>36.679536679536682</v>
      </c>
      <c r="M390" s="38">
        <v>0</v>
      </c>
      <c r="N390" s="50">
        <f t="shared" ref="N390:N453" si="21">M390/H390*100</f>
        <v>0</v>
      </c>
      <c r="O390" s="38">
        <v>0</v>
      </c>
      <c r="P390" s="38">
        <v>23.8</v>
      </c>
    </row>
    <row r="391" spans="1:31" x14ac:dyDescent="0.25">
      <c r="A391" s="38" t="s">
        <v>36</v>
      </c>
      <c r="B391" s="38" t="s">
        <v>662</v>
      </c>
      <c r="C391" s="38" t="s">
        <v>858</v>
      </c>
      <c r="D391" s="38" t="s">
        <v>858</v>
      </c>
      <c r="E391" s="38" t="s">
        <v>859</v>
      </c>
      <c r="F391" s="38">
        <v>687.23</v>
      </c>
      <c r="G391" s="38">
        <v>687.23</v>
      </c>
      <c r="H391" s="38">
        <f t="shared" si="19"/>
        <v>648</v>
      </c>
      <c r="I391" s="38">
        <v>416</v>
      </c>
      <c r="J391" s="38">
        <v>232</v>
      </c>
      <c r="K391" s="38">
        <v>184</v>
      </c>
      <c r="L391" s="50">
        <f t="shared" si="20"/>
        <v>28.39506172839506</v>
      </c>
      <c r="M391" s="38">
        <v>8</v>
      </c>
      <c r="N391" s="50">
        <f t="shared" si="21"/>
        <v>1.2345679012345678</v>
      </c>
      <c r="O391" s="38">
        <v>0</v>
      </c>
      <c r="P391" s="38">
        <v>0</v>
      </c>
      <c r="Q391" s="39" t="s">
        <v>860</v>
      </c>
      <c r="R391" s="111">
        <v>45562</v>
      </c>
      <c r="S391" s="40"/>
      <c r="T391" s="39">
        <v>42.41</v>
      </c>
      <c r="U391" s="39"/>
      <c r="V391" s="39"/>
      <c r="W391" s="39"/>
      <c r="X391" s="39"/>
      <c r="Y391" s="39"/>
      <c r="Z391" s="3"/>
      <c r="AB391" s="3"/>
      <c r="AC391" s="42" t="s">
        <v>858</v>
      </c>
      <c r="AD391" s="2"/>
      <c r="AE391" s="40"/>
    </row>
    <row r="392" spans="1:31" x14ac:dyDescent="0.25">
      <c r="A392" s="38" t="s">
        <v>36</v>
      </c>
      <c r="B392" s="38" t="s">
        <v>662</v>
      </c>
      <c r="C392" s="38" t="s">
        <v>858</v>
      </c>
      <c r="D392" s="38" t="s">
        <v>861</v>
      </c>
      <c r="E392" s="38" t="s">
        <v>862</v>
      </c>
      <c r="F392" s="38">
        <v>549.51</v>
      </c>
      <c r="G392" s="38">
        <v>549.51</v>
      </c>
      <c r="H392" s="38">
        <f t="shared" si="19"/>
        <v>864</v>
      </c>
      <c r="I392" s="38">
        <v>560</v>
      </c>
      <c r="J392" s="38">
        <v>304</v>
      </c>
      <c r="K392" s="38">
        <v>256</v>
      </c>
      <c r="L392" s="50">
        <f t="shared" si="20"/>
        <v>29.629629629629626</v>
      </c>
      <c r="M392" s="38">
        <v>20</v>
      </c>
      <c r="N392" s="50">
        <f t="shared" si="21"/>
        <v>2.3148148148148149</v>
      </c>
      <c r="O392" s="38">
        <v>0</v>
      </c>
      <c r="P392" s="38">
        <v>0</v>
      </c>
      <c r="Q392" s="39" t="s">
        <v>860</v>
      </c>
      <c r="R392" s="111">
        <v>45562</v>
      </c>
      <c r="S392" s="40"/>
      <c r="T392" s="39">
        <v>1.2</v>
      </c>
      <c r="U392" s="39"/>
      <c r="V392" s="39"/>
      <c r="W392" s="39"/>
      <c r="X392" s="39"/>
      <c r="Y392" s="39"/>
      <c r="Z392" s="3"/>
      <c r="AB392" s="3"/>
      <c r="AC392" s="42" t="s">
        <v>861</v>
      </c>
      <c r="AD392" s="2"/>
      <c r="AE392" s="40"/>
    </row>
    <row r="393" spans="1:31" x14ac:dyDescent="0.25">
      <c r="A393" s="38" t="s">
        <v>36</v>
      </c>
      <c r="B393" s="38" t="s">
        <v>662</v>
      </c>
      <c r="C393" s="38" t="s">
        <v>858</v>
      </c>
      <c r="D393" s="38" t="s">
        <v>863</v>
      </c>
      <c r="E393" s="38" t="s">
        <v>864</v>
      </c>
      <c r="F393" s="38">
        <v>606.02</v>
      </c>
      <c r="G393" s="38">
        <v>606.02</v>
      </c>
      <c r="H393" s="38">
        <f t="shared" si="19"/>
        <v>734</v>
      </c>
      <c r="I393" s="38">
        <v>481</v>
      </c>
      <c r="J393" s="38">
        <v>253</v>
      </c>
      <c r="K393" s="38">
        <v>228</v>
      </c>
      <c r="L393" s="50">
        <f t="shared" si="20"/>
        <v>31.062670299727518</v>
      </c>
      <c r="M393" s="38">
        <v>0</v>
      </c>
      <c r="N393" s="50">
        <f t="shared" si="21"/>
        <v>0</v>
      </c>
      <c r="O393" s="38">
        <v>0</v>
      </c>
      <c r="P393" s="38">
        <v>0</v>
      </c>
      <c r="Q393" s="39" t="s">
        <v>860</v>
      </c>
      <c r="R393" s="111">
        <v>45562</v>
      </c>
      <c r="S393" s="40"/>
      <c r="T393" s="39">
        <v>1.4</v>
      </c>
      <c r="U393" s="39"/>
      <c r="V393" s="39"/>
      <c r="W393" s="39"/>
      <c r="X393" s="39"/>
      <c r="Y393" s="39"/>
      <c r="Z393" s="3"/>
      <c r="AB393" s="3"/>
      <c r="AC393" s="42" t="s">
        <v>863</v>
      </c>
      <c r="AD393" s="2"/>
      <c r="AE393" s="40"/>
    </row>
    <row r="394" spans="1:31" x14ac:dyDescent="0.25">
      <c r="A394" s="38" t="s">
        <v>36</v>
      </c>
      <c r="B394" s="38" t="s">
        <v>662</v>
      </c>
      <c r="C394" s="38" t="s">
        <v>858</v>
      </c>
      <c r="D394" s="38" t="s">
        <v>865</v>
      </c>
      <c r="E394" s="38" t="s">
        <v>866</v>
      </c>
      <c r="F394" s="38">
        <v>991.41</v>
      </c>
      <c r="G394" s="38">
        <v>991.41</v>
      </c>
      <c r="H394" s="38">
        <f t="shared" si="19"/>
        <v>970</v>
      </c>
      <c r="I394" s="38">
        <v>640</v>
      </c>
      <c r="J394" s="38">
        <v>330</v>
      </c>
      <c r="K394" s="38">
        <v>310</v>
      </c>
      <c r="L394" s="50">
        <f t="shared" si="20"/>
        <v>31.958762886597935</v>
      </c>
      <c r="M394" s="38">
        <v>0</v>
      </c>
      <c r="N394" s="50">
        <f t="shared" si="21"/>
        <v>0</v>
      </c>
      <c r="O394" s="38">
        <v>0</v>
      </c>
      <c r="P394" s="38">
        <v>0</v>
      </c>
      <c r="Q394" s="39" t="s">
        <v>860</v>
      </c>
      <c r="R394" s="111">
        <v>45562</v>
      </c>
      <c r="S394" s="40"/>
      <c r="T394" s="39">
        <v>20.56</v>
      </c>
      <c r="U394" s="39"/>
      <c r="V394" s="39"/>
      <c r="W394" s="39"/>
      <c r="X394" s="39"/>
      <c r="Y394" s="39"/>
      <c r="Z394" s="3"/>
      <c r="AB394" s="3"/>
      <c r="AC394" s="42" t="s">
        <v>865</v>
      </c>
      <c r="AD394" s="2"/>
      <c r="AE394" s="40"/>
    </row>
    <row r="395" spans="1:31" x14ac:dyDescent="0.25">
      <c r="A395" s="38" t="s">
        <v>36</v>
      </c>
      <c r="B395" s="38" t="s">
        <v>662</v>
      </c>
      <c r="C395" s="38" t="s">
        <v>858</v>
      </c>
      <c r="D395" s="38" t="s">
        <v>867</v>
      </c>
      <c r="E395" s="38" t="s">
        <v>868</v>
      </c>
      <c r="F395" s="38">
        <v>748.48</v>
      </c>
      <c r="G395" s="38">
        <v>748.48</v>
      </c>
      <c r="H395" s="38">
        <f t="shared" si="19"/>
        <v>621</v>
      </c>
      <c r="I395" s="38">
        <v>413</v>
      </c>
      <c r="J395" s="38">
        <v>208</v>
      </c>
      <c r="K395" s="38">
        <v>205</v>
      </c>
      <c r="L395" s="50">
        <f t="shared" si="20"/>
        <v>33.011272141706925</v>
      </c>
      <c r="M395" s="38">
        <v>20</v>
      </c>
      <c r="N395" s="50">
        <f t="shared" si="21"/>
        <v>3.2206119162640898</v>
      </c>
      <c r="O395" s="38">
        <v>0</v>
      </c>
      <c r="P395" s="38">
        <v>0</v>
      </c>
      <c r="Q395" s="39" t="s">
        <v>860</v>
      </c>
      <c r="R395" s="111">
        <v>45562</v>
      </c>
      <c r="S395" s="40"/>
      <c r="T395" s="39">
        <v>15.26</v>
      </c>
      <c r="U395" s="39"/>
      <c r="V395" s="39"/>
      <c r="W395" s="39"/>
      <c r="X395" s="39"/>
      <c r="Y395" s="39"/>
      <c r="Z395" s="3"/>
      <c r="AB395" s="3"/>
      <c r="AC395" s="42" t="s">
        <v>867</v>
      </c>
      <c r="AD395" s="2"/>
      <c r="AE395" s="40"/>
    </row>
    <row r="396" spans="1:31" x14ac:dyDescent="0.25">
      <c r="A396" s="38" t="s">
        <v>36</v>
      </c>
      <c r="B396" s="38" t="s">
        <v>662</v>
      </c>
      <c r="C396" s="38" t="s">
        <v>858</v>
      </c>
      <c r="D396" s="38" t="s">
        <v>869</v>
      </c>
      <c r="E396" s="38" t="s">
        <v>870</v>
      </c>
      <c r="F396" s="38">
        <v>334.68</v>
      </c>
      <c r="G396" s="38">
        <v>334.68</v>
      </c>
      <c r="H396" s="38">
        <f t="shared" si="19"/>
        <v>523</v>
      </c>
      <c r="I396" s="38">
        <v>347</v>
      </c>
      <c r="J396" s="38">
        <v>176</v>
      </c>
      <c r="K396" s="38">
        <v>171</v>
      </c>
      <c r="L396" s="50">
        <f t="shared" si="20"/>
        <v>32.695984703632888</v>
      </c>
      <c r="M396" s="38">
        <v>0</v>
      </c>
      <c r="N396" s="50">
        <f t="shared" si="21"/>
        <v>0</v>
      </c>
      <c r="O396" s="38">
        <v>0</v>
      </c>
      <c r="P396" s="38">
        <v>0</v>
      </c>
      <c r="Q396" s="39" t="s">
        <v>860</v>
      </c>
      <c r="R396" s="111">
        <v>45562</v>
      </c>
      <c r="S396" s="40"/>
      <c r="T396" s="39">
        <v>0.1</v>
      </c>
      <c r="U396" s="39"/>
      <c r="V396" s="39"/>
      <c r="W396" s="39"/>
      <c r="X396" s="39"/>
      <c r="Y396" s="39"/>
      <c r="Z396" s="3"/>
      <c r="AB396" s="3"/>
      <c r="AC396" s="42" t="s">
        <v>869</v>
      </c>
      <c r="AD396" s="2"/>
      <c r="AE396" s="40"/>
    </row>
    <row r="397" spans="1:31" x14ac:dyDescent="0.25">
      <c r="A397" s="38" t="s">
        <v>36</v>
      </c>
      <c r="B397" s="38" t="s">
        <v>662</v>
      </c>
      <c r="C397" s="38" t="s">
        <v>871</v>
      </c>
      <c r="D397" s="38" t="s">
        <v>872</v>
      </c>
      <c r="E397" s="38" t="s">
        <v>873</v>
      </c>
      <c r="F397" s="38">
        <v>1650.08</v>
      </c>
      <c r="G397" s="38">
        <v>1650.08</v>
      </c>
      <c r="H397" s="38">
        <f t="shared" si="19"/>
        <v>1806</v>
      </c>
      <c r="I397" s="38">
        <v>1171</v>
      </c>
      <c r="J397" s="38">
        <v>635</v>
      </c>
      <c r="K397" s="38">
        <v>536</v>
      </c>
      <c r="L397" s="50">
        <f t="shared" si="20"/>
        <v>29.678848283499448</v>
      </c>
      <c r="M397" s="38">
        <v>44</v>
      </c>
      <c r="N397" s="50">
        <f t="shared" si="21"/>
        <v>2.436323366555925</v>
      </c>
      <c r="O397" s="38">
        <v>0</v>
      </c>
      <c r="P397" s="38">
        <v>47.02</v>
      </c>
      <c r="Q397" s="39" t="s">
        <v>860</v>
      </c>
      <c r="R397" s="111">
        <v>45562</v>
      </c>
      <c r="S397" s="40"/>
      <c r="T397" s="39">
        <v>44.743699999999997</v>
      </c>
      <c r="U397" s="39"/>
      <c r="V397" s="39"/>
      <c r="W397" s="39"/>
      <c r="X397" s="39"/>
      <c r="Y397" s="39"/>
      <c r="Z397" s="3"/>
      <c r="AB397" s="3"/>
      <c r="AC397" s="42" t="s">
        <v>872</v>
      </c>
      <c r="AD397" s="2"/>
      <c r="AE397" s="40"/>
    </row>
    <row r="398" spans="1:31" x14ac:dyDescent="0.25">
      <c r="A398" s="38" t="s">
        <v>36</v>
      </c>
      <c r="B398" s="38" t="s">
        <v>662</v>
      </c>
      <c r="C398" s="38" t="s">
        <v>871</v>
      </c>
      <c r="D398" s="38" t="s">
        <v>693</v>
      </c>
      <c r="E398" s="38" t="s">
        <v>874</v>
      </c>
      <c r="F398" s="38">
        <v>606.48</v>
      </c>
      <c r="G398" s="38">
        <v>606.48</v>
      </c>
      <c r="H398" s="38">
        <f t="shared" si="19"/>
        <v>1212</v>
      </c>
      <c r="I398" s="38">
        <v>802</v>
      </c>
      <c r="J398" s="38">
        <v>410</v>
      </c>
      <c r="K398" s="38">
        <v>392</v>
      </c>
      <c r="L398" s="50">
        <f t="shared" si="20"/>
        <v>32.343234323432341</v>
      </c>
      <c r="M398" s="38">
        <v>154</v>
      </c>
      <c r="N398" s="50">
        <f t="shared" si="21"/>
        <v>12.706270627062707</v>
      </c>
      <c r="O398" s="38">
        <v>0</v>
      </c>
      <c r="P398" s="38">
        <v>0</v>
      </c>
      <c r="Q398" s="39" t="s">
        <v>860</v>
      </c>
      <c r="R398" s="111">
        <v>45562</v>
      </c>
      <c r="S398" s="40"/>
      <c r="T398" s="39">
        <v>40.524900000000002</v>
      </c>
      <c r="U398" s="39"/>
      <c r="V398" s="39"/>
      <c r="W398" s="39"/>
      <c r="X398" s="39"/>
      <c r="Y398" s="39"/>
      <c r="Z398" s="3"/>
      <c r="AB398" s="3"/>
      <c r="AC398" s="42" t="s">
        <v>875</v>
      </c>
      <c r="AD398" s="2"/>
      <c r="AE398" s="40"/>
    </row>
    <row r="399" spans="1:31" x14ac:dyDescent="0.25">
      <c r="A399" s="38" t="s">
        <v>36</v>
      </c>
      <c r="B399" s="38" t="s">
        <v>662</v>
      </c>
      <c r="C399" s="38" t="s">
        <v>871</v>
      </c>
      <c r="D399" s="38" t="s">
        <v>876</v>
      </c>
      <c r="E399" s="38" t="s">
        <v>877</v>
      </c>
      <c r="F399" s="38">
        <v>1280.93</v>
      </c>
      <c r="G399" s="38">
        <v>1280.93</v>
      </c>
      <c r="H399" s="38">
        <f t="shared" si="19"/>
        <v>995</v>
      </c>
      <c r="I399" s="38">
        <v>660</v>
      </c>
      <c r="J399" s="38">
        <v>335</v>
      </c>
      <c r="K399" s="38">
        <v>325</v>
      </c>
      <c r="L399" s="50">
        <f t="shared" si="20"/>
        <v>32.663316582914575</v>
      </c>
      <c r="M399" s="38">
        <v>24</v>
      </c>
      <c r="N399" s="50">
        <f t="shared" si="21"/>
        <v>2.4120603015075375</v>
      </c>
      <c r="O399" s="38">
        <v>0</v>
      </c>
      <c r="P399" s="38">
        <v>140.35</v>
      </c>
      <c r="Q399" s="44" t="s">
        <v>860</v>
      </c>
      <c r="R399" s="119">
        <v>45562</v>
      </c>
      <c r="S399" s="44"/>
      <c r="T399" s="44">
        <v>139.1157</v>
      </c>
      <c r="U399" s="44"/>
      <c r="V399" s="44"/>
      <c r="W399" s="44"/>
      <c r="X399" s="44"/>
      <c r="Y399" s="44"/>
      <c r="Z399" s="5"/>
      <c r="AB399" s="5">
        <v>32</v>
      </c>
      <c r="AC399" s="45" t="s">
        <v>876</v>
      </c>
      <c r="AD399" s="44">
        <v>26.1405812</v>
      </c>
      <c r="AE399" s="44">
        <v>71.637439200000003</v>
      </c>
    </row>
    <row r="400" spans="1:31" x14ac:dyDescent="0.25">
      <c r="A400" s="38" t="s">
        <v>36</v>
      </c>
      <c r="B400" s="38" t="s">
        <v>662</v>
      </c>
      <c r="C400" s="38" t="s">
        <v>871</v>
      </c>
      <c r="D400" s="38" t="s">
        <v>878</v>
      </c>
      <c r="E400" s="38" t="s">
        <v>879</v>
      </c>
      <c r="F400" s="38">
        <v>1455.58</v>
      </c>
      <c r="G400" s="38">
        <v>1455.58</v>
      </c>
      <c r="H400" s="38">
        <f t="shared" si="19"/>
        <v>1602</v>
      </c>
      <c r="I400" s="38">
        <v>1055</v>
      </c>
      <c r="J400" s="38">
        <v>547</v>
      </c>
      <c r="K400" s="38">
        <v>508</v>
      </c>
      <c r="L400" s="50">
        <f t="shared" si="20"/>
        <v>31.7103620474407</v>
      </c>
      <c r="M400" s="38">
        <v>78</v>
      </c>
      <c r="N400" s="50">
        <f t="shared" si="21"/>
        <v>4.868913857677903</v>
      </c>
      <c r="O400" s="38">
        <v>0</v>
      </c>
      <c r="P400" s="38">
        <v>43.42</v>
      </c>
      <c r="Q400" s="2" t="s">
        <v>860</v>
      </c>
      <c r="R400" s="111">
        <v>45562</v>
      </c>
      <c r="S400" s="40"/>
      <c r="T400" s="2">
        <v>43.273400000000002</v>
      </c>
      <c r="U400" s="2"/>
      <c r="V400" s="2"/>
      <c r="W400" s="2"/>
      <c r="X400" s="2"/>
      <c r="Y400" s="2"/>
      <c r="Z400" s="3"/>
      <c r="AB400" s="3">
        <v>27</v>
      </c>
      <c r="AC400" s="42" t="s">
        <v>878</v>
      </c>
      <c r="AD400" s="44">
        <v>26.156798500000001</v>
      </c>
      <c r="AE400" s="40">
        <v>71.666867999999994</v>
      </c>
    </row>
    <row r="401" spans="1:31" x14ac:dyDescent="0.25">
      <c r="A401" s="38" t="s">
        <v>36</v>
      </c>
      <c r="B401" s="38" t="s">
        <v>662</v>
      </c>
      <c r="C401" s="38" t="s">
        <v>880</v>
      </c>
      <c r="D401" s="38" t="s">
        <v>881</v>
      </c>
      <c r="E401" s="38" t="s">
        <v>882</v>
      </c>
      <c r="F401" s="38">
        <v>865.01</v>
      </c>
      <c r="G401" s="38">
        <v>865.01</v>
      </c>
      <c r="H401" s="38">
        <f t="shared" si="19"/>
        <v>1269</v>
      </c>
      <c r="I401" s="38">
        <v>839</v>
      </c>
      <c r="J401" s="38">
        <v>430</v>
      </c>
      <c r="K401" s="38">
        <v>409</v>
      </c>
      <c r="L401" s="50">
        <f t="shared" si="20"/>
        <v>32.2301024428684</v>
      </c>
      <c r="M401" s="38">
        <v>79</v>
      </c>
      <c r="N401" s="50">
        <f t="shared" si="21"/>
        <v>6.2253743104806931</v>
      </c>
      <c r="O401" s="38">
        <v>59.24</v>
      </c>
      <c r="P401" s="38">
        <v>0</v>
      </c>
    </row>
    <row r="402" spans="1:31" x14ac:dyDescent="0.25">
      <c r="A402" s="38" t="s">
        <v>36</v>
      </c>
      <c r="B402" s="38" t="s">
        <v>662</v>
      </c>
      <c r="C402" s="38" t="s">
        <v>880</v>
      </c>
      <c r="D402" s="38" t="s">
        <v>883</v>
      </c>
      <c r="E402" s="38" t="s">
        <v>884</v>
      </c>
      <c r="F402" s="38">
        <v>832.99</v>
      </c>
      <c r="G402" s="38">
        <v>832.99</v>
      </c>
      <c r="H402" s="38">
        <f t="shared" si="19"/>
        <v>992</v>
      </c>
      <c r="I402" s="38">
        <v>663</v>
      </c>
      <c r="J402" s="38">
        <v>329</v>
      </c>
      <c r="K402" s="38">
        <v>334</v>
      </c>
      <c r="L402" s="50">
        <f t="shared" si="20"/>
        <v>33.669354838709673</v>
      </c>
      <c r="M402" s="38">
        <v>108</v>
      </c>
      <c r="N402" s="50">
        <f t="shared" si="21"/>
        <v>10.887096774193548</v>
      </c>
      <c r="O402" s="38">
        <v>0</v>
      </c>
      <c r="P402" s="38">
        <v>0</v>
      </c>
    </row>
    <row r="403" spans="1:31" x14ac:dyDescent="0.25">
      <c r="A403" s="38" t="s">
        <v>36</v>
      </c>
      <c r="B403" s="38" t="s">
        <v>662</v>
      </c>
      <c r="C403" s="38" t="s">
        <v>880</v>
      </c>
      <c r="D403" s="38" t="s">
        <v>744</v>
      </c>
      <c r="E403" s="38" t="s">
        <v>885</v>
      </c>
      <c r="F403" s="38">
        <v>787.43</v>
      </c>
      <c r="G403" s="38">
        <v>787.43</v>
      </c>
      <c r="H403" s="38">
        <f t="shared" si="19"/>
        <v>880</v>
      </c>
      <c r="I403" s="38">
        <v>600</v>
      </c>
      <c r="J403" s="38">
        <v>280</v>
      </c>
      <c r="K403" s="38">
        <v>320</v>
      </c>
      <c r="L403" s="50">
        <f t="shared" si="20"/>
        <v>36.363636363636367</v>
      </c>
      <c r="M403" s="38">
        <v>16</v>
      </c>
      <c r="N403" s="50">
        <f t="shared" si="21"/>
        <v>1.8181818181818181</v>
      </c>
      <c r="O403" s="38">
        <v>70.849999999999994</v>
      </c>
      <c r="P403" s="38">
        <v>0</v>
      </c>
    </row>
    <row r="404" spans="1:31" x14ac:dyDescent="0.25">
      <c r="A404" s="38" t="s">
        <v>36</v>
      </c>
      <c r="B404" s="38" t="s">
        <v>662</v>
      </c>
      <c r="C404" s="38" t="s">
        <v>880</v>
      </c>
      <c r="D404" s="38" t="s">
        <v>886</v>
      </c>
      <c r="E404" s="38" t="s">
        <v>887</v>
      </c>
      <c r="F404" s="38">
        <v>723.51</v>
      </c>
      <c r="G404" s="38">
        <v>723.51</v>
      </c>
      <c r="H404" s="38">
        <f t="shared" si="19"/>
        <v>748</v>
      </c>
      <c r="I404" s="38">
        <v>488</v>
      </c>
      <c r="J404" s="38">
        <v>260</v>
      </c>
      <c r="K404" s="38">
        <v>228</v>
      </c>
      <c r="L404" s="50">
        <f t="shared" si="20"/>
        <v>30.481283422459892</v>
      </c>
      <c r="M404" s="38">
        <v>0</v>
      </c>
      <c r="N404" s="50">
        <f t="shared" si="21"/>
        <v>0</v>
      </c>
      <c r="O404" s="38">
        <v>55.03</v>
      </c>
      <c r="P404" s="38">
        <v>0</v>
      </c>
    </row>
    <row r="405" spans="1:31" x14ac:dyDescent="0.25">
      <c r="A405" s="38" t="s">
        <v>36</v>
      </c>
      <c r="B405" s="38" t="s">
        <v>662</v>
      </c>
      <c r="C405" s="38" t="s">
        <v>880</v>
      </c>
      <c r="D405" s="38" t="s">
        <v>888</v>
      </c>
      <c r="E405" s="38" t="s">
        <v>889</v>
      </c>
      <c r="F405" s="38">
        <v>1014.13</v>
      </c>
      <c r="G405" s="38">
        <v>1014.13</v>
      </c>
      <c r="H405" s="38">
        <f t="shared" si="19"/>
        <v>1303</v>
      </c>
      <c r="I405" s="38">
        <v>854</v>
      </c>
      <c r="J405" s="38">
        <v>449</v>
      </c>
      <c r="K405" s="38">
        <v>405</v>
      </c>
      <c r="L405" s="50">
        <f t="shared" si="20"/>
        <v>31.082118188795089</v>
      </c>
      <c r="M405" s="38">
        <v>50</v>
      </c>
      <c r="N405" s="50">
        <f t="shared" si="21"/>
        <v>3.8372985418265539</v>
      </c>
      <c r="O405" s="38">
        <v>0</v>
      </c>
      <c r="P405" s="38">
        <v>0</v>
      </c>
    </row>
    <row r="406" spans="1:31" x14ac:dyDescent="0.25">
      <c r="A406" s="38" t="s">
        <v>36</v>
      </c>
      <c r="B406" s="38" t="s">
        <v>662</v>
      </c>
      <c r="C406" s="38" t="s">
        <v>890</v>
      </c>
      <c r="D406" s="38" t="s">
        <v>891</v>
      </c>
      <c r="E406" s="38" t="s">
        <v>892</v>
      </c>
      <c r="F406" s="38">
        <v>2010.1</v>
      </c>
      <c r="G406" s="38">
        <v>2010.1</v>
      </c>
      <c r="H406" s="38">
        <f t="shared" si="19"/>
        <v>2585</v>
      </c>
      <c r="I406" s="38">
        <v>1681</v>
      </c>
      <c r="J406" s="38">
        <v>904</v>
      </c>
      <c r="K406" s="38">
        <v>777</v>
      </c>
      <c r="L406" s="50">
        <f t="shared" si="20"/>
        <v>30.058027079303674</v>
      </c>
      <c r="M406" s="38">
        <v>33</v>
      </c>
      <c r="N406" s="50">
        <f t="shared" si="21"/>
        <v>1.2765957446808509</v>
      </c>
      <c r="O406" s="38">
        <v>0</v>
      </c>
      <c r="P406" s="38">
        <v>24.3</v>
      </c>
    </row>
    <row r="407" spans="1:31" x14ac:dyDescent="0.25">
      <c r="A407" s="38" t="s">
        <v>36</v>
      </c>
      <c r="B407" s="38" t="s">
        <v>662</v>
      </c>
      <c r="C407" s="38" t="s">
        <v>890</v>
      </c>
      <c r="D407" s="38" t="s">
        <v>893</v>
      </c>
      <c r="E407" s="38" t="s">
        <v>894</v>
      </c>
      <c r="F407" s="38">
        <v>1176.9000000000001</v>
      </c>
      <c r="G407" s="38">
        <v>1176.9000000000001</v>
      </c>
      <c r="H407" s="38">
        <f t="shared" si="19"/>
        <v>1397</v>
      </c>
      <c r="I407" s="38">
        <v>916</v>
      </c>
      <c r="J407" s="38">
        <v>481</v>
      </c>
      <c r="K407" s="38">
        <v>435</v>
      </c>
      <c r="L407" s="50">
        <f t="shared" si="20"/>
        <v>31.138153185397282</v>
      </c>
      <c r="M407" s="38">
        <v>10</v>
      </c>
      <c r="N407" s="50">
        <f t="shared" si="21"/>
        <v>0.71581961345740874</v>
      </c>
      <c r="O407" s="38">
        <v>0</v>
      </c>
      <c r="P407" s="38">
        <v>0</v>
      </c>
    </row>
    <row r="408" spans="1:31" x14ac:dyDescent="0.25">
      <c r="A408" s="38" t="s">
        <v>36</v>
      </c>
      <c r="B408" s="38" t="s">
        <v>662</v>
      </c>
      <c r="C408" s="38" t="s">
        <v>890</v>
      </c>
      <c r="D408" s="38" t="s">
        <v>895</v>
      </c>
      <c r="E408" s="38" t="s">
        <v>896</v>
      </c>
      <c r="F408" s="38">
        <v>740.43</v>
      </c>
      <c r="G408" s="38">
        <v>740.43</v>
      </c>
      <c r="H408" s="38">
        <f t="shared" si="19"/>
        <v>1023</v>
      </c>
      <c r="I408" s="38">
        <v>674</v>
      </c>
      <c r="J408" s="38">
        <v>349</v>
      </c>
      <c r="K408" s="38">
        <v>325</v>
      </c>
      <c r="L408" s="50">
        <f t="shared" si="20"/>
        <v>31.76930596285435</v>
      </c>
      <c r="M408" s="38">
        <v>0</v>
      </c>
      <c r="N408" s="50">
        <f t="shared" si="21"/>
        <v>0</v>
      </c>
      <c r="O408" s="38">
        <v>0</v>
      </c>
      <c r="P408" s="38">
        <v>0</v>
      </c>
    </row>
    <row r="409" spans="1:31" x14ac:dyDescent="0.25">
      <c r="A409" s="38" t="s">
        <v>36</v>
      </c>
      <c r="B409" s="38" t="s">
        <v>662</v>
      </c>
      <c r="C409" s="38" t="s">
        <v>890</v>
      </c>
      <c r="D409" s="38" t="s">
        <v>897</v>
      </c>
      <c r="E409" s="38" t="s">
        <v>898</v>
      </c>
      <c r="F409" s="38">
        <v>599.71</v>
      </c>
      <c r="G409" s="38">
        <v>599.71</v>
      </c>
      <c r="H409" s="38">
        <f t="shared" si="19"/>
        <v>890</v>
      </c>
      <c r="I409" s="38">
        <v>574</v>
      </c>
      <c r="J409" s="38">
        <v>316</v>
      </c>
      <c r="K409" s="38">
        <v>258</v>
      </c>
      <c r="L409" s="50">
        <f t="shared" si="20"/>
        <v>28.988764044943821</v>
      </c>
      <c r="M409" s="38">
        <v>75</v>
      </c>
      <c r="N409" s="50">
        <f t="shared" si="21"/>
        <v>8.4269662921348321</v>
      </c>
      <c r="O409" s="38">
        <v>0</v>
      </c>
      <c r="P409" s="38">
        <v>0</v>
      </c>
    </row>
    <row r="410" spans="1:31" x14ac:dyDescent="0.25">
      <c r="A410" s="38" t="s">
        <v>36</v>
      </c>
      <c r="B410" s="38" t="s">
        <v>662</v>
      </c>
      <c r="C410" s="38" t="s">
        <v>890</v>
      </c>
      <c r="D410" s="38" t="s">
        <v>899</v>
      </c>
      <c r="E410" s="38" t="s">
        <v>900</v>
      </c>
      <c r="F410" s="38">
        <v>399.93</v>
      </c>
      <c r="G410" s="38">
        <v>399.93</v>
      </c>
      <c r="H410" s="38">
        <f t="shared" si="19"/>
        <v>524</v>
      </c>
      <c r="I410" s="38">
        <v>335</v>
      </c>
      <c r="J410" s="38">
        <v>189</v>
      </c>
      <c r="K410" s="38">
        <v>146</v>
      </c>
      <c r="L410" s="50">
        <f t="shared" si="20"/>
        <v>27.862595419847331</v>
      </c>
      <c r="M410" s="38">
        <v>0</v>
      </c>
      <c r="N410" s="50">
        <f t="shared" si="21"/>
        <v>0</v>
      </c>
      <c r="O410" s="38">
        <v>0</v>
      </c>
      <c r="P410" s="38">
        <v>0</v>
      </c>
    </row>
    <row r="411" spans="1:31" x14ac:dyDescent="0.25">
      <c r="A411" s="38" t="s">
        <v>36</v>
      </c>
      <c r="B411" s="38" t="s">
        <v>662</v>
      </c>
      <c r="C411" s="38" t="s">
        <v>890</v>
      </c>
      <c r="D411" s="38" t="s">
        <v>901</v>
      </c>
      <c r="E411" s="38" t="s">
        <v>902</v>
      </c>
      <c r="F411" s="38">
        <v>371.97</v>
      </c>
      <c r="G411" s="38">
        <v>371.97</v>
      </c>
      <c r="H411" s="38">
        <f t="shared" si="19"/>
        <v>648</v>
      </c>
      <c r="I411" s="38">
        <v>415</v>
      </c>
      <c r="J411" s="38">
        <v>233</v>
      </c>
      <c r="K411" s="38">
        <v>182</v>
      </c>
      <c r="L411" s="50">
        <f t="shared" si="20"/>
        <v>28.086419753086421</v>
      </c>
      <c r="M411" s="38">
        <v>12</v>
      </c>
      <c r="N411" s="50">
        <f t="shared" si="21"/>
        <v>1.8518518518518516</v>
      </c>
      <c r="O411" s="38">
        <v>0</v>
      </c>
      <c r="P411" s="38">
        <v>0</v>
      </c>
    </row>
    <row r="412" spans="1:31" x14ac:dyDescent="0.25">
      <c r="A412" s="38" t="s">
        <v>36</v>
      </c>
      <c r="B412" s="38" t="s">
        <v>662</v>
      </c>
      <c r="C412" s="38" t="s">
        <v>903</v>
      </c>
      <c r="D412" s="38" t="s">
        <v>904</v>
      </c>
      <c r="E412" s="38" t="s">
        <v>905</v>
      </c>
      <c r="F412" s="38">
        <v>2358.5500000000002</v>
      </c>
      <c r="G412" s="38">
        <v>2358.5500000000002</v>
      </c>
      <c r="H412" s="38">
        <f t="shared" si="19"/>
        <v>2899</v>
      </c>
      <c r="I412" s="38">
        <v>1893</v>
      </c>
      <c r="J412" s="38">
        <v>1006</v>
      </c>
      <c r="K412" s="38">
        <v>887</v>
      </c>
      <c r="L412" s="50">
        <f t="shared" si="20"/>
        <v>30.596757502587096</v>
      </c>
      <c r="M412" s="38">
        <v>214</v>
      </c>
      <c r="N412" s="50">
        <f t="shared" si="21"/>
        <v>7.3818558123490865</v>
      </c>
      <c r="O412" s="38">
        <v>0</v>
      </c>
      <c r="P412" s="38">
        <v>0</v>
      </c>
      <c r="Q412" s="34" t="s">
        <v>43</v>
      </c>
      <c r="R412" s="9">
        <v>44462</v>
      </c>
      <c r="S412" s="34"/>
      <c r="T412" s="34">
        <v>273</v>
      </c>
      <c r="U412" s="34"/>
      <c r="V412" s="34"/>
      <c r="W412" s="34"/>
      <c r="X412" s="34"/>
      <c r="Y412" s="34"/>
      <c r="Z412" s="78"/>
      <c r="AB412" s="78"/>
      <c r="AC412" s="34" t="s">
        <v>906</v>
      </c>
      <c r="AD412" s="34">
        <v>25.942067999999999</v>
      </c>
      <c r="AE412" s="34">
        <v>71.618571000000003</v>
      </c>
    </row>
    <row r="413" spans="1:31" x14ac:dyDescent="0.25">
      <c r="A413" s="38" t="s">
        <v>36</v>
      </c>
      <c r="B413" s="38" t="s">
        <v>662</v>
      </c>
      <c r="C413" s="38" t="s">
        <v>903</v>
      </c>
      <c r="D413" s="38" t="s">
        <v>904</v>
      </c>
      <c r="E413" s="38" t="s">
        <v>905</v>
      </c>
      <c r="F413" s="38">
        <v>2358.5500000000002</v>
      </c>
      <c r="G413" s="38">
        <v>2358.5500000000002</v>
      </c>
      <c r="H413" s="38">
        <f t="shared" si="19"/>
        <v>2899</v>
      </c>
      <c r="I413" s="38">
        <v>1893</v>
      </c>
      <c r="J413" s="38">
        <v>1006</v>
      </c>
      <c r="K413" s="38">
        <v>887</v>
      </c>
      <c r="L413" s="50">
        <f t="shared" si="20"/>
        <v>30.596757502587096</v>
      </c>
      <c r="M413" s="38">
        <v>214</v>
      </c>
      <c r="N413" s="50">
        <f t="shared" si="21"/>
        <v>7.3818558123490865</v>
      </c>
      <c r="O413" s="38">
        <v>0</v>
      </c>
      <c r="P413" s="38">
        <v>0</v>
      </c>
      <c r="Q413" s="34"/>
      <c r="R413" s="9">
        <v>44462</v>
      </c>
      <c r="S413" s="34"/>
      <c r="T413" s="34"/>
      <c r="U413" s="34"/>
      <c r="V413" s="34"/>
      <c r="W413" s="34"/>
      <c r="X413" s="34"/>
      <c r="Y413" s="34"/>
      <c r="Z413" s="78"/>
      <c r="AB413" s="78">
        <v>40</v>
      </c>
      <c r="AC413" s="34" t="s">
        <v>906</v>
      </c>
      <c r="AD413" s="34">
        <v>25.944656999999999</v>
      </c>
      <c r="AE413" s="34">
        <v>71.619997999999995</v>
      </c>
    </row>
    <row r="414" spans="1:31" x14ac:dyDescent="0.25">
      <c r="A414" s="38" t="s">
        <v>36</v>
      </c>
      <c r="B414" s="38" t="s">
        <v>662</v>
      </c>
      <c r="C414" s="38" t="s">
        <v>907</v>
      </c>
      <c r="D414" s="38" t="s">
        <v>907</v>
      </c>
      <c r="E414" s="38" t="s">
        <v>908</v>
      </c>
      <c r="F414" s="38">
        <v>2947.83</v>
      </c>
      <c r="G414" s="38">
        <v>2947.83</v>
      </c>
      <c r="H414" s="38">
        <f t="shared" si="19"/>
        <v>3715</v>
      </c>
      <c r="I414" s="38">
        <v>2435</v>
      </c>
      <c r="J414" s="38">
        <v>1280</v>
      </c>
      <c r="K414" s="38">
        <v>1155</v>
      </c>
      <c r="L414" s="50">
        <f t="shared" si="20"/>
        <v>31.090174966352624</v>
      </c>
      <c r="M414" s="38">
        <v>225</v>
      </c>
      <c r="N414" s="50">
        <f t="shared" si="21"/>
        <v>6.0565275908479137</v>
      </c>
      <c r="O414" s="38">
        <v>0</v>
      </c>
      <c r="P414" s="38">
        <v>0</v>
      </c>
    </row>
    <row r="415" spans="1:31" x14ac:dyDescent="0.25">
      <c r="A415" s="38" t="s">
        <v>36</v>
      </c>
      <c r="B415" s="38" t="s">
        <v>662</v>
      </c>
      <c r="C415" s="38" t="s">
        <v>909</v>
      </c>
      <c r="D415" s="38" t="s">
        <v>909</v>
      </c>
      <c r="E415" s="38" t="s">
        <v>910</v>
      </c>
      <c r="F415" s="38">
        <v>788.58</v>
      </c>
      <c r="G415" s="38">
        <v>788.58</v>
      </c>
      <c r="H415" s="38">
        <f t="shared" si="19"/>
        <v>1785</v>
      </c>
      <c r="I415" s="38">
        <v>1172</v>
      </c>
      <c r="J415" s="38">
        <v>613</v>
      </c>
      <c r="K415" s="38">
        <v>559</v>
      </c>
      <c r="L415" s="50">
        <f t="shared" si="20"/>
        <v>31.316526610644257</v>
      </c>
      <c r="M415" s="38">
        <v>0</v>
      </c>
      <c r="N415" s="50">
        <f t="shared" si="21"/>
        <v>0</v>
      </c>
      <c r="O415" s="38">
        <v>0</v>
      </c>
      <c r="P415" s="38">
        <v>0</v>
      </c>
    </row>
    <row r="416" spans="1:31" x14ac:dyDescent="0.25">
      <c r="A416" s="38" t="s">
        <v>36</v>
      </c>
      <c r="B416" s="38" t="s">
        <v>662</v>
      </c>
      <c r="C416" s="38" t="s">
        <v>909</v>
      </c>
      <c r="D416" s="38" t="s">
        <v>911</v>
      </c>
      <c r="E416" s="38" t="s">
        <v>912</v>
      </c>
      <c r="F416" s="38">
        <v>1186.4000000000001</v>
      </c>
      <c r="G416" s="38">
        <v>1186.4000000000001</v>
      </c>
      <c r="H416" s="38">
        <f t="shared" si="19"/>
        <v>1287</v>
      </c>
      <c r="I416" s="38">
        <v>851</v>
      </c>
      <c r="J416" s="38">
        <v>436</v>
      </c>
      <c r="K416" s="38">
        <v>415</v>
      </c>
      <c r="L416" s="50">
        <f t="shared" si="20"/>
        <v>32.245532245532246</v>
      </c>
      <c r="M416" s="38">
        <v>170</v>
      </c>
      <c r="N416" s="50">
        <f t="shared" si="21"/>
        <v>13.209013209013209</v>
      </c>
      <c r="O416" s="38">
        <v>0</v>
      </c>
      <c r="P416" s="38">
        <v>0</v>
      </c>
    </row>
    <row r="417" spans="1:31" x14ac:dyDescent="0.25">
      <c r="A417" s="38" t="s">
        <v>36</v>
      </c>
      <c r="B417" s="38" t="s">
        <v>662</v>
      </c>
      <c r="C417" s="38" t="s">
        <v>909</v>
      </c>
      <c r="D417" s="38" t="s">
        <v>913</v>
      </c>
      <c r="E417" s="38" t="s">
        <v>914</v>
      </c>
      <c r="F417" s="38">
        <v>637.37</v>
      </c>
      <c r="G417" s="38">
        <v>637.37</v>
      </c>
      <c r="H417" s="38">
        <f t="shared" si="19"/>
        <v>856</v>
      </c>
      <c r="I417" s="38">
        <v>559</v>
      </c>
      <c r="J417" s="38">
        <v>297</v>
      </c>
      <c r="K417" s="38">
        <v>262</v>
      </c>
      <c r="L417" s="50">
        <f t="shared" si="20"/>
        <v>30.607476635514018</v>
      </c>
      <c r="M417" s="38">
        <v>0</v>
      </c>
      <c r="N417" s="50">
        <f t="shared" si="21"/>
        <v>0</v>
      </c>
      <c r="O417" s="38">
        <v>0</v>
      </c>
      <c r="P417" s="38">
        <v>0</v>
      </c>
    </row>
    <row r="418" spans="1:31" x14ac:dyDescent="0.25">
      <c r="A418" s="38" t="s">
        <v>36</v>
      </c>
      <c r="B418" s="38" t="s">
        <v>662</v>
      </c>
      <c r="C418" s="38" t="s">
        <v>909</v>
      </c>
      <c r="D418" s="38" t="s">
        <v>915</v>
      </c>
      <c r="E418" s="38" t="s">
        <v>916</v>
      </c>
      <c r="F418" s="38">
        <v>650.97</v>
      </c>
      <c r="G418" s="38">
        <v>650.97</v>
      </c>
      <c r="H418" s="38">
        <f t="shared" si="19"/>
        <v>981</v>
      </c>
      <c r="I418" s="38">
        <v>638</v>
      </c>
      <c r="J418" s="38">
        <v>343</v>
      </c>
      <c r="K418" s="38">
        <v>295</v>
      </c>
      <c r="L418" s="50">
        <f t="shared" si="20"/>
        <v>30.071355759429153</v>
      </c>
      <c r="M418" s="38">
        <v>0</v>
      </c>
      <c r="N418" s="50">
        <f t="shared" si="21"/>
        <v>0</v>
      </c>
      <c r="O418" s="38">
        <v>0</v>
      </c>
      <c r="P418" s="38">
        <v>0</v>
      </c>
    </row>
    <row r="419" spans="1:31" x14ac:dyDescent="0.25">
      <c r="A419" s="38" t="s">
        <v>36</v>
      </c>
      <c r="B419" s="38" t="s">
        <v>662</v>
      </c>
      <c r="C419" s="38" t="s">
        <v>917</v>
      </c>
      <c r="D419" s="38" t="s">
        <v>918</v>
      </c>
      <c r="E419" s="38" t="s">
        <v>919</v>
      </c>
      <c r="F419" s="38">
        <v>2928.07</v>
      </c>
      <c r="G419" s="38">
        <v>2928.07</v>
      </c>
      <c r="H419" s="38">
        <f t="shared" si="19"/>
        <v>3543</v>
      </c>
      <c r="I419" s="38">
        <v>2315</v>
      </c>
      <c r="J419" s="38">
        <v>1228</v>
      </c>
      <c r="K419" s="38">
        <v>1087</v>
      </c>
      <c r="L419" s="50">
        <f t="shared" si="20"/>
        <v>30.680214507479537</v>
      </c>
      <c r="M419" s="38">
        <v>251</v>
      </c>
      <c r="N419" s="50">
        <f t="shared" si="21"/>
        <v>7.0843917583968397</v>
      </c>
      <c r="O419" s="38">
        <v>0</v>
      </c>
      <c r="P419" s="38">
        <v>48.06</v>
      </c>
      <c r="AC419" s="117"/>
      <c r="AD419" s="117"/>
    </row>
    <row r="420" spans="1:31" x14ac:dyDescent="0.25">
      <c r="A420" s="38" t="s">
        <v>36</v>
      </c>
      <c r="B420" s="38" t="s">
        <v>662</v>
      </c>
      <c r="C420" s="38" t="s">
        <v>920</v>
      </c>
      <c r="D420" s="38" t="s">
        <v>921</v>
      </c>
      <c r="E420" s="38" t="s">
        <v>922</v>
      </c>
      <c r="F420" s="38">
        <v>674.76</v>
      </c>
      <c r="G420" s="38">
        <v>674.76</v>
      </c>
      <c r="H420" s="38">
        <f t="shared" si="19"/>
        <v>857</v>
      </c>
      <c r="I420" s="38">
        <v>563</v>
      </c>
      <c r="J420" s="38">
        <v>294</v>
      </c>
      <c r="K420" s="38">
        <v>269</v>
      </c>
      <c r="L420" s="50">
        <f t="shared" si="20"/>
        <v>31.388564760793464</v>
      </c>
      <c r="M420" s="38">
        <v>67</v>
      </c>
      <c r="N420" s="50">
        <f t="shared" si="21"/>
        <v>7.8179696616102685</v>
      </c>
      <c r="O420" s="38">
        <v>0</v>
      </c>
      <c r="P420" s="38">
        <v>0</v>
      </c>
    </row>
    <row r="421" spans="1:31" x14ac:dyDescent="0.25">
      <c r="A421" s="38" t="s">
        <v>36</v>
      </c>
      <c r="B421" s="38" t="s">
        <v>662</v>
      </c>
      <c r="C421" s="38" t="s">
        <v>920</v>
      </c>
      <c r="D421" s="38" t="s">
        <v>923</v>
      </c>
      <c r="E421" s="38" t="s">
        <v>924</v>
      </c>
      <c r="F421" s="38">
        <v>773.25</v>
      </c>
      <c r="G421" s="38">
        <v>773.25</v>
      </c>
      <c r="H421" s="38">
        <f t="shared" si="19"/>
        <v>1597</v>
      </c>
      <c r="I421" s="38">
        <v>1049</v>
      </c>
      <c r="J421" s="38">
        <v>548</v>
      </c>
      <c r="K421" s="38">
        <v>501</v>
      </c>
      <c r="L421" s="50">
        <f t="shared" si="20"/>
        <v>31.371321227301191</v>
      </c>
      <c r="M421" s="38">
        <v>0</v>
      </c>
      <c r="N421" s="50">
        <f t="shared" si="21"/>
        <v>0</v>
      </c>
      <c r="O421" s="38">
        <v>0</v>
      </c>
      <c r="P421" s="38">
        <v>0</v>
      </c>
    </row>
    <row r="422" spans="1:31" x14ac:dyDescent="0.25">
      <c r="A422" s="38" t="s">
        <v>36</v>
      </c>
      <c r="B422" s="38" t="s">
        <v>662</v>
      </c>
      <c r="C422" s="38" t="s">
        <v>920</v>
      </c>
      <c r="D422" s="38" t="s">
        <v>925</v>
      </c>
      <c r="E422" s="38" t="s">
        <v>926</v>
      </c>
      <c r="F422" s="38">
        <v>504.02</v>
      </c>
      <c r="G422" s="38">
        <v>504.02</v>
      </c>
      <c r="H422" s="38">
        <f t="shared" si="19"/>
        <v>944</v>
      </c>
      <c r="I422" s="38">
        <v>618</v>
      </c>
      <c r="J422" s="38">
        <v>326</v>
      </c>
      <c r="K422" s="38">
        <v>292</v>
      </c>
      <c r="L422" s="50">
        <f t="shared" si="20"/>
        <v>30.932203389830509</v>
      </c>
      <c r="M422" s="38">
        <v>0</v>
      </c>
      <c r="N422" s="50">
        <f t="shared" si="21"/>
        <v>0</v>
      </c>
      <c r="O422" s="38">
        <v>0</v>
      </c>
      <c r="P422" s="38">
        <v>0</v>
      </c>
    </row>
    <row r="423" spans="1:31" x14ac:dyDescent="0.25">
      <c r="A423" s="38" t="s">
        <v>36</v>
      </c>
      <c r="B423" s="38" t="s">
        <v>662</v>
      </c>
      <c r="C423" s="38" t="s">
        <v>920</v>
      </c>
      <c r="D423" s="38" t="s">
        <v>927</v>
      </c>
      <c r="E423" s="38" t="s">
        <v>928</v>
      </c>
      <c r="F423" s="38">
        <v>240.86</v>
      </c>
      <c r="G423" s="38">
        <v>240.86</v>
      </c>
      <c r="H423" s="38">
        <f t="shared" si="19"/>
        <v>939</v>
      </c>
      <c r="I423" s="38">
        <v>616</v>
      </c>
      <c r="J423" s="38">
        <v>323</v>
      </c>
      <c r="K423" s="38">
        <v>293</v>
      </c>
      <c r="L423" s="50">
        <f t="shared" si="20"/>
        <v>31.203407880724178</v>
      </c>
      <c r="M423" s="38">
        <v>124</v>
      </c>
      <c r="N423" s="50">
        <f t="shared" si="21"/>
        <v>13.205537806176784</v>
      </c>
      <c r="O423" s="38">
        <v>0</v>
      </c>
      <c r="P423" s="38">
        <v>0</v>
      </c>
    </row>
    <row r="424" spans="1:31" x14ac:dyDescent="0.25">
      <c r="A424" s="38" t="s">
        <v>36</v>
      </c>
      <c r="B424" s="38" t="s">
        <v>662</v>
      </c>
      <c r="C424" s="38" t="s">
        <v>920</v>
      </c>
      <c r="D424" s="38" t="s">
        <v>929</v>
      </c>
      <c r="E424" s="38" t="s">
        <v>930</v>
      </c>
      <c r="F424" s="38">
        <v>836.79</v>
      </c>
      <c r="G424" s="38">
        <v>836.79</v>
      </c>
      <c r="H424" s="38">
        <f t="shared" si="19"/>
        <v>1621</v>
      </c>
      <c r="I424" s="38">
        <v>1081</v>
      </c>
      <c r="J424" s="38">
        <v>540</v>
      </c>
      <c r="K424" s="38">
        <v>541</v>
      </c>
      <c r="L424" s="50">
        <f t="shared" si="20"/>
        <v>33.37446020974707</v>
      </c>
      <c r="M424" s="38">
        <v>0</v>
      </c>
      <c r="N424" s="50">
        <f t="shared" si="21"/>
        <v>0</v>
      </c>
      <c r="O424" s="38">
        <v>0</v>
      </c>
      <c r="P424" s="38">
        <v>0</v>
      </c>
    </row>
    <row r="425" spans="1:31" x14ac:dyDescent="0.25">
      <c r="A425" s="38" t="s">
        <v>36</v>
      </c>
      <c r="B425" s="38" t="s">
        <v>662</v>
      </c>
      <c r="C425" s="38" t="s">
        <v>931</v>
      </c>
      <c r="D425" s="38" t="s">
        <v>932</v>
      </c>
      <c r="E425" s="38" t="s">
        <v>933</v>
      </c>
      <c r="F425" s="38">
        <v>756.57</v>
      </c>
      <c r="G425" s="38">
        <v>756.57</v>
      </c>
      <c r="H425" s="38">
        <f t="shared" si="19"/>
        <v>1277</v>
      </c>
      <c r="I425" s="38">
        <v>850</v>
      </c>
      <c r="J425" s="38">
        <v>427</v>
      </c>
      <c r="K425" s="38">
        <v>423</v>
      </c>
      <c r="L425" s="50">
        <f t="shared" si="20"/>
        <v>33.124510571652308</v>
      </c>
      <c r="M425" s="38">
        <v>125</v>
      </c>
      <c r="N425" s="50">
        <f t="shared" si="21"/>
        <v>9.7885669537979645</v>
      </c>
      <c r="O425" s="38">
        <v>0</v>
      </c>
      <c r="P425" s="38">
        <v>1.89</v>
      </c>
      <c r="Q425" s="39" t="s">
        <v>44</v>
      </c>
      <c r="R425" s="11" t="s">
        <v>934</v>
      </c>
      <c r="S425" s="40"/>
      <c r="T425" s="39">
        <v>0.01</v>
      </c>
      <c r="U425" s="39"/>
      <c r="V425" s="39"/>
      <c r="W425" s="39"/>
      <c r="X425" s="39"/>
      <c r="Y425" s="39"/>
      <c r="Z425" s="3"/>
      <c r="AB425" s="3"/>
      <c r="AC425" s="38" t="s">
        <v>932</v>
      </c>
      <c r="AD425" s="2"/>
      <c r="AE425" s="40"/>
    </row>
    <row r="426" spans="1:31" x14ac:dyDescent="0.25">
      <c r="A426" s="38" t="s">
        <v>36</v>
      </c>
      <c r="B426" s="38" t="s">
        <v>662</v>
      </c>
      <c r="C426" s="38" t="s">
        <v>931</v>
      </c>
      <c r="D426" s="38" t="s">
        <v>935</v>
      </c>
      <c r="E426" s="38" t="s">
        <v>936</v>
      </c>
      <c r="F426" s="38">
        <v>759.03</v>
      </c>
      <c r="G426" s="38">
        <v>759.03</v>
      </c>
      <c r="H426" s="38">
        <f t="shared" si="19"/>
        <v>692</v>
      </c>
      <c r="I426" s="38">
        <v>461</v>
      </c>
      <c r="J426" s="38">
        <v>231</v>
      </c>
      <c r="K426" s="38">
        <v>230</v>
      </c>
      <c r="L426" s="50">
        <f t="shared" si="20"/>
        <v>33.236994219653177</v>
      </c>
      <c r="M426" s="38">
        <v>0</v>
      </c>
      <c r="N426" s="50">
        <f t="shared" si="21"/>
        <v>0</v>
      </c>
      <c r="O426" s="38">
        <v>0</v>
      </c>
      <c r="P426" s="38">
        <v>0</v>
      </c>
      <c r="Q426" s="39" t="s">
        <v>44</v>
      </c>
      <c r="R426" s="11" t="s">
        <v>934</v>
      </c>
      <c r="S426" s="40"/>
      <c r="T426" s="39">
        <v>1.03</v>
      </c>
      <c r="U426" s="39"/>
      <c r="V426" s="39"/>
      <c r="W426" s="39"/>
      <c r="X426" s="39"/>
      <c r="Y426" s="39"/>
      <c r="Z426" s="3"/>
      <c r="AB426" s="3"/>
      <c r="AC426" s="38" t="s">
        <v>935</v>
      </c>
      <c r="AD426" s="2"/>
      <c r="AE426" s="40"/>
    </row>
    <row r="427" spans="1:31" x14ac:dyDescent="0.25">
      <c r="A427" s="38" t="s">
        <v>36</v>
      </c>
      <c r="B427" s="38" t="s">
        <v>662</v>
      </c>
      <c r="C427" s="38" t="s">
        <v>931</v>
      </c>
      <c r="D427" s="38" t="s">
        <v>937</v>
      </c>
      <c r="E427" s="38" t="s">
        <v>938</v>
      </c>
      <c r="F427" s="38">
        <v>858.34</v>
      </c>
      <c r="G427" s="38">
        <v>858.34</v>
      </c>
      <c r="H427" s="38">
        <f t="shared" si="19"/>
        <v>815</v>
      </c>
      <c r="I427" s="38">
        <v>540</v>
      </c>
      <c r="J427" s="38">
        <v>275</v>
      </c>
      <c r="K427" s="38">
        <v>265</v>
      </c>
      <c r="L427" s="50">
        <f t="shared" si="20"/>
        <v>32.515337423312886</v>
      </c>
      <c r="M427" s="38">
        <v>36</v>
      </c>
      <c r="N427" s="50">
        <f t="shared" si="21"/>
        <v>4.4171779141104297</v>
      </c>
      <c r="O427" s="38">
        <v>0</v>
      </c>
      <c r="P427" s="38">
        <v>0</v>
      </c>
      <c r="Q427" s="39" t="s">
        <v>44</v>
      </c>
      <c r="R427" s="11" t="s">
        <v>934</v>
      </c>
      <c r="S427" s="40"/>
      <c r="T427" s="39">
        <v>17.82</v>
      </c>
      <c r="U427" s="39"/>
      <c r="V427" s="39"/>
      <c r="W427" s="39"/>
      <c r="X427" s="39"/>
      <c r="Y427" s="39"/>
      <c r="Z427" s="3"/>
      <c r="AB427" s="3"/>
      <c r="AC427" s="38" t="s">
        <v>937</v>
      </c>
      <c r="AD427" s="2"/>
      <c r="AE427" s="40"/>
    </row>
    <row r="428" spans="1:31" x14ac:dyDescent="0.25">
      <c r="A428" s="38" t="s">
        <v>36</v>
      </c>
      <c r="B428" s="38" t="s">
        <v>662</v>
      </c>
      <c r="C428" s="38" t="s">
        <v>939</v>
      </c>
      <c r="D428" s="38" t="s">
        <v>940</v>
      </c>
      <c r="E428" s="38" t="s">
        <v>941</v>
      </c>
      <c r="F428" s="38">
        <v>477</v>
      </c>
      <c r="G428" s="38">
        <v>477</v>
      </c>
      <c r="H428" s="38">
        <f t="shared" si="19"/>
        <v>478</v>
      </c>
      <c r="I428" s="38">
        <v>314</v>
      </c>
      <c r="J428" s="38">
        <v>164</v>
      </c>
      <c r="K428" s="38">
        <v>150</v>
      </c>
      <c r="L428" s="50">
        <f t="shared" si="20"/>
        <v>31.380753138075313</v>
      </c>
      <c r="M428" s="38">
        <v>0</v>
      </c>
      <c r="N428" s="50">
        <f t="shared" si="21"/>
        <v>0</v>
      </c>
      <c r="O428" s="38">
        <v>0</v>
      </c>
      <c r="P428" s="38">
        <v>0</v>
      </c>
      <c r="Q428" s="39" t="s">
        <v>44</v>
      </c>
      <c r="R428" s="7">
        <v>45463</v>
      </c>
      <c r="S428" s="40"/>
      <c r="T428" s="39">
        <v>0.1</v>
      </c>
      <c r="U428" s="39"/>
      <c r="V428" s="39"/>
      <c r="W428" s="39"/>
      <c r="X428" s="39"/>
      <c r="Y428" s="39"/>
      <c r="Z428" s="3"/>
      <c r="AB428" s="3"/>
      <c r="AC428" s="38" t="s">
        <v>940</v>
      </c>
      <c r="AD428" s="2"/>
      <c r="AE428" s="40"/>
    </row>
    <row r="429" spans="1:31" x14ac:dyDescent="0.25">
      <c r="A429" s="38" t="s">
        <v>36</v>
      </c>
      <c r="B429" s="38" t="s">
        <v>662</v>
      </c>
      <c r="C429" s="38" t="s">
        <v>939</v>
      </c>
      <c r="D429" s="38" t="s">
        <v>942</v>
      </c>
      <c r="E429" s="38" t="s">
        <v>943</v>
      </c>
      <c r="F429" s="38">
        <v>805</v>
      </c>
      <c r="G429" s="38">
        <v>805</v>
      </c>
      <c r="H429" s="38">
        <f t="shared" si="19"/>
        <v>907</v>
      </c>
      <c r="I429" s="38">
        <v>597</v>
      </c>
      <c r="J429" s="38">
        <v>310</v>
      </c>
      <c r="K429" s="38">
        <v>287</v>
      </c>
      <c r="L429" s="50">
        <f t="shared" si="20"/>
        <v>31.642778390297682</v>
      </c>
      <c r="M429" s="38">
        <v>0</v>
      </c>
      <c r="N429" s="50">
        <f t="shared" si="21"/>
        <v>0</v>
      </c>
      <c r="O429" s="38">
        <v>0</v>
      </c>
      <c r="P429" s="38">
        <v>2.2000000000000002</v>
      </c>
      <c r="Q429" s="39" t="s">
        <v>44</v>
      </c>
      <c r="R429" s="7">
        <v>45463</v>
      </c>
      <c r="S429" s="40"/>
      <c r="T429" s="39">
        <v>1.18</v>
      </c>
      <c r="U429" s="39"/>
      <c r="V429" s="39"/>
      <c r="W429" s="39"/>
      <c r="X429" s="39"/>
      <c r="Y429" s="39"/>
      <c r="Z429" s="3"/>
      <c r="AB429" s="3"/>
      <c r="AC429" s="38" t="s">
        <v>942</v>
      </c>
      <c r="AD429" s="2"/>
      <c r="AE429" s="40"/>
    </row>
    <row r="430" spans="1:31" x14ac:dyDescent="0.25">
      <c r="A430" s="38" t="s">
        <v>36</v>
      </c>
      <c r="B430" s="38" t="s">
        <v>662</v>
      </c>
      <c r="C430" s="38" t="s">
        <v>939</v>
      </c>
      <c r="D430" s="38" t="s">
        <v>944</v>
      </c>
      <c r="E430" s="38" t="s">
        <v>945</v>
      </c>
      <c r="F430" s="38">
        <v>454</v>
      </c>
      <c r="G430" s="38">
        <v>454</v>
      </c>
      <c r="H430" s="38">
        <f t="shared" si="19"/>
        <v>572</v>
      </c>
      <c r="I430" s="38">
        <v>380</v>
      </c>
      <c r="J430" s="38">
        <v>192</v>
      </c>
      <c r="K430" s="38">
        <v>188</v>
      </c>
      <c r="L430" s="50">
        <f t="shared" si="20"/>
        <v>32.867132867132867</v>
      </c>
      <c r="M430" s="38">
        <v>0</v>
      </c>
      <c r="N430" s="50">
        <f t="shared" si="21"/>
        <v>0</v>
      </c>
      <c r="O430" s="38">
        <v>0</v>
      </c>
      <c r="P430" s="38">
        <v>0</v>
      </c>
      <c r="Q430" s="39" t="s">
        <v>44</v>
      </c>
      <c r="R430" s="7">
        <v>45463</v>
      </c>
      <c r="S430" s="40"/>
      <c r="T430" s="39">
        <v>0.01</v>
      </c>
      <c r="U430" s="39"/>
      <c r="V430" s="39"/>
      <c r="W430" s="39"/>
      <c r="X430" s="39"/>
      <c r="Y430" s="39"/>
      <c r="Z430" s="3"/>
      <c r="AB430" s="3"/>
      <c r="AC430" s="38" t="s">
        <v>944</v>
      </c>
      <c r="AD430" s="2"/>
      <c r="AE430" s="40"/>
    </row>
    <row r="431" spans="1:31" x14ac:dyDescent="0.25">
      <c r="A431" s="38" t="s">
        <v>36</v>
      </c>
      <c r="B431" s="38" t="s">
        <v>662</v>
      </c>
      <c r="C431" s="38" t="s">
        <v>939</v>
      </c>
      <c r="D431" s="38" t="s">
        <v>946</v>
      </c>
      <c r="E431" s="38" t="s">
        <v>947</v>
      </c>
      <c r="F431" s="38">
        <v>362.2</v>
      </c>
      <c r="G431" s="38">
        <v>362.2</v>
      </c>
      <c r="H431" s="38">
        <f t="shared" si="19"/>
        <v>877</v>
      </c>
      <c r="I431" s="38">
        <v>582</v>
      </c>
      <c r="J431" s="38">
        <v>295</v>
      </c>
      <c r="K431" s="38">
        <v>287</v>
      </c>
      <c r="L431" s="50">
        <f t="shared" si="20"/>
        <v>32.725199543899656</v>
      </c>
      <c r="M431" s="38">
        <v>221</v>
      </c>
      <c r="N431" s="50">
        <f t="shared" si="21"/>
        <v>25.199543899657922</v>
      </c>
      <c r="O431" s="38">
        <v>0</v>
      </c>
      <c r="P431" s="38">
        <v>0</v>
      </c>
      <c r="Q431" s="39" t="s">
        <v>44</v>
      </c>
      <c r="R431" s="7">
        <v>45463</v>
      </c>
      <c r="S431" s="40"/>
      <c r="T431" s="39">
        <v>0</v>
      </c>
      <c r="U431" s="39"/>
      <c r="V431" s="39"/>
      <c r="W431" s="39"/>
      <c r="X431" s="39"/>
      <c r="Y431" s="39"/>
      <c r="Z431" s="3"/>
      <c r="AB431" s="3"/>
      <c r="AC431" s="38" t="s">
        <v>946</v>
      </c>
      <c r="AD431" s="2"/>
      <c r="AE431" s="40"/>
    </row>
    <row r="432" spans="1:31" x14ac:dyDescent="0.25">
      <c r="A432" s="38" t="s">
        <v>36</v>
      </c>
      <c r="B432" s="38" t="s">
        <v>662</v>
      </c>
      <c r="C432" s="38" t="s">
        <v>939</v>
      </c>
      <c r="D432" s="38" t="s">
        <v>948</v>
      </c>
      <c r="E432" s="38" t="s">
        <v>949</v>
      </c>
      <c r="F432" s="38">
        <v>269</v>
      </c>
      <c r="G432" s="38">
        <v>269</v>
      </c>
      <c r="H432" s="38">
        <f t="shared" si="19"/>
        <v>1047</v>
      </c>
      <c r="I432" s="38">
        <v>686</v>
      </c>
      <c r="J432" s="38">
        <v>361</v>
      </c>
      <c r="K432" s="38">
        <v>325</v>
      </c>
      <c r="L432" s="50">
        <f t="shared" si="20"/>
        <v>31.04106972301815</v>
      </c>
      <c r="M432" s="38">
        <v>77</v>
      </c>
      <c r="N432" s="50">
        <f t="shared" si="21"/>
        <v>7.3543457497612224</v>
      </c>
      <c r="O432" s="38">
        <v>0</v>
      </c>
      <c r="P432" s="38">
        <v>8.1</v>
      </c>
      <c r="Q432" s="39" t="s">
        <v>44</v>
      </c>
      <c r="R432" s="7">
        <v>45463</v>
      </c>
      <c r="S432" s="40"/>
      <c r="T432" s="39">
        <v>17.71</v>
      </c>
      <c r="U432" s="39"/>
      <c r="V432" s="39"/>
      <c r="W432" s="39"/>
      <c r="X432" s="39"/>
      <c r="Y432" s="39"/>
      <c r="Z432" s="3"/>
      <c r="AB432" s="3"/>
      <c r="AC432" s="38" t="s">
        <v>948</v>
      </c>
      <c r="AD432" s="2"/>
      <c r="AE432" s="40"/>
    </row>
    <row r="433" spans="1:31" x14ac:dyDescent="0.25">
      <c r="A433" s="38" t="s">
        <v>36</v>
      </c>
      <c r="B433" s="38" t="s">
        <v>662</v>
      </c>
      <c r="C433" s="38" t="s">
        <v>950</v>
      </c>
      <c r="D433" s="38" t="s">
        <v>950</v>
      </c>
      <c r="E433" s="38" t="s">
        <v>951</v>
      </c>
      <c r="F433" s="38">
        <v>1369.76</v>
      </c>
      <c r="G433" s="38">
        <v>1369.76</v>
      </c>
      <c r="H433" s="38">
        <f t="shared" si="19"/>
        <v>2295</v>
      </c>
      <c r="I433" s="38">
        <v>1500</v>
      </c>
      <c r="J433" s="38">
        <v>795</v>
      </c>
      <c r="K433" s="38">
        <v>705</v>
      </c>
      <c r="L433" s="50">
        <f t="shared" si="20"/>
        <v>30.718954248366014</v>
      </c>
      <c r="M433" s="38">
        <v>116</v>
      </c>
      <c r="N433" s="50">
        <f t="shared" si="21"/>
        <v>5.0544662309368196</v>
      </c>
      <c r="O433" s="38">
        <v>0</v>
      </c>
      <c r="P433" s="38">
        <v>0</v>
      </c>
      <c r="Q433" s="2" t="s">
        <v>44</v>
      </c>
      <c r="R433" s="7">
        <v>45470</v>
      </c>
      <c r="S433" s="40"/>
      <c r="T433" s="2">
        <v>10</v>
      </c>
      <c r="U433" s="2"/>
      <c r="V433" s="2"/>
      <c r="W433" s="2"/>
      <c r="X433" s="2"/>
      <c r="Y433" s="2"/>
      <c r="Z433" s="3"/>
      <c r="AB433" s="2">
        <v>10</v>
      </c>
      <c r="AC433" s="38" t="s">
        <v>950</v>
      </c>
      <c r="AD433" s="2">
        <v>25.9563837</v>
      </c>
      <c r="AE433" s="40">
        <v>71.695927800000007</v>
      </c>
    </row>
    <row r="434" spans="1:31" x14ac:dyDescent="0.25">
      <c r="A434" s="38" t="s">
        <v>36</v>
      </c>
      <c r="B434" s="38" t="s">
        <v>662</v>
      </c>
      <c r="C434" s="38" t="s">
        <v>950</v>
      </c>
      <c r="D434" s="38" t="s">
        <v>952</v>
      </c>
      <c r="E434" s="38" t="s">
        <v>953</v>
      </c>
      <c r="F434" s="38">
        <v>1095.55</v>
      </c>
      <c r="G434" s="38">
        <v>1095.55</v>
      </c>
      <c r="H434" s="38">
        <f t="shared" si="19"/>
        <v>1267</v>
      </c>
      <c r="I434" s="38">
        <v>837</v>
      </c>
      <c r="J434" s="38">
        <v>430</v>
      </c>
      <c r="K434" s="38">
        <v>407</v>
      </c>
      <c r="L434" s="50">
        <f t="shared" si="20"/>
        <v>32.123125493291241</v>
      </c>
      <c r="M434" s="38">
        <v>19</v>
      </c>
      <c r="N434" s="50">
        <f t="shared" si="21"/>
        <v>1.499605367008682</v>
      </c>
      <c r="O434" s="38">
        <v>0</v>
      </c>
      <c r="P434" s="38">
        <v>0</v>
      </c>
      <c r="Q434" s="2" t="s">
        <v>44</v>
      </c>
      <c r="R434" s="7">
        <v>45470</v>
      </c>
      <c r="S434" s="40"/>
      <c r="T434" s="2">
        <v>4.9429999999999996</v>
      </c>
      <c r="U434" s="2"/>
      <c r="V434" s="2"/>
      <c r="W434" s="2"/>
      <c r="X434" s="2"/>
      <c r="Y434" s="2"/>
      <c r="Z434" s="3"/>
      <c r="AB434" s="2"/>
      <c r="AC434" s="38" t="s">
        <v>952</v>
      </c>
      <c r="AD434" s="2"/>
      <c r="AE434" s="40"/>
    </row>
    <row r="435" spans="1:31" x14ac:dyDescent="0.25">
      <c r="A435" s="38" t="s">
        <v>36</v>
      </c>
      <c r="B435" s="38" t="s">
        <v>662</v>
      </c>
      <c r="C435" s="38" t="s">
        <v>954</v>
      </c>
      <c r="D435" s="38" t="s">
        <v>955</v>
      </c>
      <c r="E435" s="38" t="s">
        <v>956</v>
      </c>
      <c r="F435" s="38">
        <v>2679.96</v>
      </c>
      <c r="G435" s="38">
        <v>2679.96</v>
      </c>
      <c r="H435" s="38">
        <f t="shared" si="19"/>
        <v>2075</v>
      </c>
      <c r="I435" s="38">
        <v>1368</v>
      </c>
      <c r="J435" s="38">
        <v>707</v>
      </c>
      <c r="K435" s="38">
        <v>661</v>
      </c>
      <c r="L435" s="50">
        <f t="shared" si="20"/>
        <v>31.855421686746986</v>
      </c>
      <c r="M435" s="38">
        <v>35</v>
      </c>
      <c r="N435" s="50">
        <f t="shared" si="21"/>
        <v>1.6867469879518073</v>
      </c>
      <c r="O435" s="38">
        <v>0</v>
      </c>
      <c r="P435" s="38">
        <v>70.900000000000006</v>
      </c>
      <c r="Q435" s="2" t="s">
        <v>44</v>
      </c>
      <c r="R435" s="7">
        <v>45470</v>
      </c>
      <c r="S435" s="40"/>
      <c r="T435" s="2">
        <v>86.433599999999998</v>
      </c>
      <c r="U435" s="2"/>
      <c r="V435" s="2"/>
      <c r="W435" s="2"/>
      <c r="X435" s="2"/>
      <c r="Y435" s="2"/>
      <c r="Z435" s="3"/>
      <c r="AB435" s="2"/>
      <c r="AC435" s="38" t="s">
        <v>955</v>
      </c>
      <c r="AD435" s="2"/>
      <c r="AE435" s="40"/>
    </row>
    <row r="436" spans="1:31" x14ac:dyDescent="0.25">
      <c r="A436" s="38" t="s">
        <v>36</v>
      </c>
      <c r="B436" s="38" t="s">
        <v>662</v>
      </c>
      <c r="C436" s="38" t="s">
        <v>954</v>
      </c>
      <c r="D436" s="38" t="s">
        <v>957</v>
      </c>
      <c r="E436" s="38" t="s">
        <v>958</v>
      </c>
      <c r="F436" s="38">
        <v>531.24</v>
      </c>
      <c r="G436" s="38">
        <v>531.24</v>
      </c>
      <c r="H436" s="38">
        <f t="shared" si="19"/>
        <v>1217</v>
      </c>
      <c r="I436" s="38">
        <v>797</v>
      </c>
      <c r="J436" s="38">
        <v>420</v>
      </c>
      <c r="K436" s="38">
        <v>377</v>
      </c>
      <c r="L436" s="50">
        <f t="shared" si="20"/>
        <v>30.977814297452756</v>
      </c>
      <c r="M436" s="38">
        <v>0</v>
      </c>
      <c r="N436" s="50">
        <f t="shared" si="21"/>
        <v>0</v>
      </c>
      <c r="O436" s="38">
        <v>0</v>
      </c>
      <c r="P436" s="38">
        <v>0</v>
      </c>
      <c r="Q436" s="2" t="s">
        <v>44</v>
      </c>
      <c r="R436" s="7">
        <v>45470</v>
      </c>
      <c r="S436" s="40"/>
      <c r="T436" s="2">
        <v>35.1753</v>
      </c>
      <c r="U436" s="2"/>
      <c r="V436" s="2"/>
      <c r="W436" s="2"/>
      <c r="X436" s="2"/>
      <c r="Y436" s="2"/>
      <c r="Z436" s="3"/>
      <c r="AB436" s="2">
        <v>20</v>
      </c>
      <c r="AC436" s="38" t="s">
        <v>957</v>
      </c>
      <c r="AD436" s="2">
        <v>25.786076999999999</v>
      </c>
      <c r="AE436" s="40">
        <v>71.914258000000004</v>
      </c>
    </row>
    <row r="437" spans="1:31" x14ac:dyDescent="0.25">
      <c r="A437" s="38" t="s">
        <v>36</v>
      </c>
      <c r="B437" s="38" t="s">
        <v>662</v>
      </c>
      <c r="C437" s="38" t="s">
        <v>954</v>
      </c>
      <c r="D437" s="38" t="s">
        <v>959</v>
      </c>
      <c r="E437" s="38" t="s">
        <v>960</v>
      </c>
      <c r="F437" s="38">
        <v>1455.96</v>
      </c>
      <c r="G437" s="38">
        <v>1455.96</v>
      </c>
      <c r="H437" s="38">
        <f t="shared" si="19"/>
        <v>1076</v>
      </c>
      <c r="I437" s="38">
        <v>711</v>
      </c>
      <c r="J437" s="38">
        <v>365</v>
      </c>
      <c r="K437" s="38">
        <v>346</v>
      </c>
      <c r="L437" s="50">
        <f t="shared" si="20"/>
        <v>32.156133828996282</v>
      </c>
      <c r="M437" s="38">
        <v>0</v>
      </c>
      <c r="N437" s="50">
        <f t="shared" si="21"/>
        <v>0</v>
      </c>
      <c r="O437" s="38">
        <v>0</v>
      </c>
      <c r="P437" s="38">
        <v>161.03</v>
      </c>
      <c r="Q437" s="2" t="s">
        <v>44</v>
      </c>
      <c r="R437" s="7">
        <v>45470</v>
      </c>
      <c r="S437" s="40"/>
      <c r="T437" s="2">
        <v>3.2399999999999998E-2</v>
      </c>
      <c r="U437" s="2"/>
      <c r="V437" s="2"/>
      <c r="W437" s="2"/>
      <c r="X437" s="2"/>
      <c r="Y437" s="2"/>
      <c r="Z437" s="3"/>
      <c r="AB437" s="2"/>
      <c r="AC437" s="38" t="s">
        <v>959</v>
      </c>
      <c r="AD437" s="2"/>
      <c r="AE437" s="40"/>
    </row>
    <row r="438" spans="1:31" x14ac:dyDescent="0.25">
      <c r="A438" s="38" t="s">
        <v>36</v>
      </c>
      <c r="B438" s="38" t="s">
        <v>662</v>
      </c>
      <c r="C438" s="38" t="s">
        <v>954</v>
      </c>
      <c r="D438" s="38" t="s">
        <v>961</v>
      </c>
      <c r="E438" s="38" t="s">
        <v>962</v>
      </c>
      <c r="F438" s="38">
        <v>1386.97</v>
      </c>
      <c r="G438" s="38">
        <v>1386.97</v>
      </c>
      <c r="H438" s="38">
        <f t="shared" si="19"/>
        <v>402</v>
      </c>
      <c r="I438" s="38">
        <v>265</v>
      </c>
      <c r="J438" s="38">
        <v>137</v>
      </c>
      <c r="K438" s="38">
        <v>128</v>
      </c>
      <c r="L438" s="50">
        <f t="shared" si="20"/>
        <v>31.840796019900498</v>
      </c>
      <c r="M438" s="38">
        <v>13</v>
      </c>
      <c r="N438" s="50">
        <f t="shared" si="21"/>
        <v>3.233830845771144</v>
      </c>
      <c r="O438" s="38">
        <v>0</v>
      </c>
      <c r="P438" s="38">
        <v>0</v>
      </c>
      <c r="Q438" s="2" t="s">
        <v>44</v>
      </c>
      <c r="R438" s="7">
        <v>45470</v>
      </c>
      <c r="S438" s="40"/>
      <c r="T438" s="2">
        <v>16.091000000000001</v>
      </c>
      <c r="U438" s="2"/>
      <c r="V438" s="2"/>
      <c r="W438" s="2"/>
      <c r="X438" s="2"/>
      <c r="Y438" s="2"/>
      <c r="Z438" s="3"/>
      <c r="AB438" s="2">
        <v>16</v>
      </c>
      <c r="AC438" s="38" t="s">
        <v>961</v>
      </c>
      <c r="AD438" s="2">
        <v>25.818182</v>
      </c>
      <c r="AE438" s="40">
        <v>71.909666000000001</v>
      </c>
    </row>
    <row r="439" spans="1:31" x14ac:dyDescent="0.25">
      <c r="A439" s="38" t="s">
        <v>36</v>
      </c>
      <c r="B439" s="38" t="s">
        <v>662</v>
      </c>
      <c r="C439" s="38" t="s">
        <v>954</v>
      </c>
      <c r="D439" s="38" t="s">
        <v>963</v>
      </c>
      <c r="E439" s="38" t="s">
        <v>964</v>
      </c>
      <c r="F439" s="38">
        <v>1032.73</v>
      </c>
      <c r="G439" s="38">
        <v>1032.73</v>
      </c>
      <c r="H439" s="38">
        <f t="shared" si="19"/>
        <v>755</v>
      </c>
      <c r="I439" s="38">
        <v>494</v>
      </c>
      <c r="J439" s="38">
        <v>261</v>
      </c>
      <c r="K439" s="38">
        <v>233</v>
      </c>
      <c r="L439" s="50">
        <f t="shared" si="20"/>
        <v>30.860927152317881</v>
      </c>
      <c r="M439" s="38">
        <v>0</v>
      </c>
      <c r="N439" s="50">
        <f t="shared" si="21"/>
        <v>0</v>
      </c>
      <c r="O439" s="38">
        <v>0</v>
      </c>
      <c r="P439" s="38">
        <v>0</v>
      </c>
      <c r="Q439" s="39" t="s">
        <v>44</v>
      </c>
      <c r="R439" s="7">
        <v>45470</v>
      </c>
      <c r="S439" s="40"/>
      <c r="T439" s="39">
        <v>1.1083000000000001</v>
      </c>
      <c r="U439" s="39"/>
      <c r="V439" s="39"/>
      <c r="W439" s="39"/>
      <c r="X439" s="39"/>
      <c r="Y439" s="39"/>
      <c r="Z439" s="3"/>
      <c r="AB439" s="2"/>
      <c r="AC439" s="38" t="s">
        <v>963</v>
      </c>
      <c r="AD439" s="2"/>
      <c r="AE439" s="40"/>
    </row>
    <row r="440" spans="1:31" x14ac:dyDescent="0.25">
      <c r="A440" s="38" t="s">
        <v>36</v>
      </c>
      <c r="B440" s="38" t="s">
        <v>662</v>
      </c>
      <c r="C440" s="38" t="s">
        <v>965</v>
      </c>
      <c r="D440" s="38" t="s">
        <v>966</v>
      </c>
      <c r="E440" s="38" t="s">
        <v>967</v>
      </c>
      <c r="F440" s="38">
        <v>842.38</v>
      </c>
      <c r="G440" s="38">
        <v>842.38</v>
      </c>
      <c r="H440" s="38">
        <f t="shared" si="19"/>
        <v>1018</v>
      </c>
      <c r="I440" s="38">
        <v>672</v>
      </c>
      <c r="J440" s="38">
        <v>346</v>
      </c>
      <c r="K440" s="38">
        <v>326</v>
      </c>
      <c r="L440" s="50">
        <f t="shared" si="20"/>
        <v>32.023575638506877</v>
      </c>
      <c r="M440" s="38">
        <v>0</v>
      </c>
      <c r="N440" s="50">
        <f t="shared" si="21"/>
        <v>0</v>
      </c>
      <c r="O440" s="38">
        <v>0</v>
      </c>
      <c r="P440" s="38">
        <v>0</v>
      </c>
      <c r="Q440" s="39" t="s">
        <v>44</v>
      </c>
      <c r="R440" s="25">
        <v>45470</v>
      </c>
      <c r="S440" s="40"/>
      <c r="T440" s="39">
        <v>0.12559999999999999</v>
      </c>
      <c r="U440" s="39"/>
      <c r="V440" s="39"/>
      <c r="W440" s="39"/>
      <c r="X440" s="39"/>
      <c r="Y440" s="39"/>
      <c r="Z440" s="3"/>
      <c r="AB440" s="3"/>
      <c r="AC440" s="42" t="s">
        <v>966</v>
      </c>
      <c r="AD440" s="2"/>
      <c r="AE440" s="40"/>
    </row>
    <row r="441" spans="1:31" x14ac:dyDescent="0.25">
      <c r="A441" s="38" t="s">
        <v>36</v>
      </c>
      <c r="B441" s="38" t="s">
        <v>662</v>
      </c>
      <c r="C441" s="38" t="s">
        <v>965</v>
      </c>
      <c r="D441" s="38" t="s">
        <v>968</v>
      </c>
      <c r="E441" s="38" t="s">
        <v>969</v>
      </c>
      <c r="F441" s="38">
        <v>702.8</v>
      </c>
      <c r="G441" s="38">
        <v>702.8</v>
      </c>
      <c r="H441" s="38">
        <f t="shared" si="19"/>
        <v>927</v>
      </c>
      <c r="I441" s="38">
        <v>616</v>
      </c>
      <c r="J441" s="38">
        <v>311</v>
      </c>
      <c r="K441" s="38">
        <v>305</v>
      </c>
      <c r="L441" s="50">
        <f t="shared" si="20"/>
        <v>32.901833872707655</v>
      </c>
      <c r="M441" s="38">
        <v>32</v>
      </c>
      <c r="N441" s="50">
        <f t="shared" si="21"/>
        <v>3.4519956850053934</v>
      </c>
      <c r="O441" s="38">
        <v>0</v>
      </c>
      <c r="P441" s="38">
        <v>0</v>
      </c>
      <c r="Q441" s="39" t="s">
        <v>44</v>
      </c>
      <c r="R441" s="25">
        <v>45470</v>
      </c>
      <c r="S441" s="40"/>
      <c r="T441" s="39">
        <v>0.17199999999999999</v>
      </c>
      <c r="U441" s="39"/>
      <c r="V441" s="39"/>
      <c r="W441" s="39"/>
      <c r="X441" s="39"/>
      <c r="Y441" s="39"/>
      <c r="Z441" s="3"/>
      <c r="AB441" s="3"/>
      <c r="AC441" s="42" t="s">
        <v>968</v>
      </c>
      <c r="AD441" s="2"/>
      <c r="AE441" s="40"/>
    </row>
    <row r="442" spans="1:31" x14ac:dyDescent="0.25">
      <c r="A442" s="38" t="s">
        <v>36</v>
      </c>
      <c r="B442" s="38" t="s">
        <v>662</v>
      </c>
      <c r="C442" s="38" t="s">
        <v>965</v>
      </c>
      <c r="D442" s="38" t="s">
        <v>970</v>
      </c>
      <c r="E442" s="38" t="s">
        <v>971</v>
      </c>
      <c r="F442" s="38">
        <v>718.14</v>
      </c>
      <c r="G442" s="38">
        <v>718.14</v>
      </c>
      <c r="H442" s="38">
        <f t="shared" si="19"/>
        <v>1501</v>
      </c>
      <c r="I442" s="38">
        <v>970</v>
      </c>
      <c r="J442" s="38">
        <v>531</v>
      </c>
      <c r="K442" s="38">
        <v>439</v>
      </c>
      <c r="L442" s="50">
        <f t="shared" si="20"/>
        <v>29.247168554297136</v>
      </c>
      <c r="M442" s="38">
        <v>23</v>
      </c>
      <c r="N442" s="50">
        <f t="shared" si="21"/>
        <v>1.5323117921385743</v>
      </c>
      <c r="O442" s="38">
        <v>0</v>
      </c>
      <c r="P442" s="38">
        <v>0</v>
      </c>
      <c r="Q442" s="39" t="s">
        <v>44</v>
      </c>
      <c r="R442" s="25">
        <v>45470</v>
      </c>
      <c r="S442" s="40"/>
      <c r="T442" s="39">
        <v>1.254</v>
      </c>
      <c r="U442" s="39"/>
      <c r="V442" s="39"/>
      <c r="W442" s="39"/>
      <c r="X442" s="39"/>
      <c r="Y442" s="39"/>
      <c r="Z442" s="3"/>
      <c r="AB442" s="3"/>
      <c r="AC442" s="42" t="s">
        <v>970</v>
      </c>
      <c r="AD442" s="2"/>
      <c r="AE442" s="40"/>
    </row>
    <row r="443" spans="1:31" x14ac:dyDescent="0.25">
      <c r="A443" s="38" t="s">
        <v>36</v>
      </c>
      <c r="B443" s="38" t="s">
        <v>662</v>
      </c>
      <c r="C443" s="38" t="s">
        <v>965</v>
      </c>
      <c r="D443" s="38" t="s">
        <v>972</v>
      </c>
      <c r="E443" s="38" t="s">
        <v>973</v>
      </c>
      <c r="F443" s="38">
        <v>524.16</v>
      </c>
      <c r="G443" s="38">
        <v>524.16</v>
      </c>
      <c r="H443" s="38">
        <f t="shared" si="19"/>
        <v>729</v>
      </c>
      <c r="I443" s="38">
        <v>483</v>
      </c>
      <c r="J443" s="38">
        <v>246</v>
      </c>
      <c r="K443" s="38">
        <v>237</v>
      </c>
      <c r="L443" s="50">
        <f t="shared" si="20"/>
        <v>32.510288065843625</v>
      </c>
      <c r="M443" s="38">
        <v>82</v>
      </c>
      <c r="N443" s="50">
        <f t="shared" si="21"/>
        <v>11.248285322359397</v>
      </c>
      <c r="O443" s="38">
        <v>0</v>
      </c>
      <c r="P443" s="38">
        <v>0</v>
      </c>
      <c r="Q443" s="39" t="s">
        <v>44</v>
      </c>
      <c r="R443" s="25">
        <v>45470</v>
      </c>
      <c r="S443" s="40"/>
      <c r="T443" s="39">
        <v>0.36409999999999998</v>
      </c>
      <c r="U443" s="39"/>
      <c r="V443" s="39"/>
      <c r="W443" s="39"/>
      <c r="X443" s="39"/>
      <c r="Y443" s="39"/>
      <c r="Z443" s="3"/>
      <c r="AB443" s="3"/>
      <c r="AC443" s="42" t="s">
        <v>972</v>
      </c>
      <c r="AD443" s="2"/>
      <c r="AE443" s="40"/>
    </row>
    <row r="444" spans="1:31" x14ac:dyDescent="0.25">
      <c r="A444" s="38" t="s">
        <v>36</v>
      </c>
      <c r="B444" s="38" t="s">
        <v>662</v>
      </c>
      <c r="C444" s="38" t="s">
        <v>965</v>
      </c>
      <c r="D444" s="38" t="s">
        <v>974</v>
      </c>
      <c r="E444" s="38" t="s">
        <v>975</v>
      </c>
      <c r="F444" s="38">
        <v>722.99</v>
      </c>
      <c r="G444" s="38">
        <v>722.99</v>
      </c>
      <c r="H444" s="38">
        <f t="shared" si="19"/>
        <v>1008</v>
      </c>
      <c r="I444" s="38">
        <v>656</v>
      </c>
      <c r="J444" s="38">
        <v>352</v>
      </c>
      <c r="K444" s="38">
        <v>304</v>
      </c>
      <c r="L444" s="50">
        <f t="shared" si="20"/>
        <v>30.158730158730158</v>
      </c>
      <c r="M444" s="38">
        <v>9</v>
      </c>
      <c r="N444" s="50">
        <f t="shared" si="21"/>
        <v>0.89285714285714279</v>
      </c>
      <c r="O444" s="38">
        <v>0</v>
      </c>
      <c r="P444" s="38">
        <v>0</v>
      </c>
      <c r="Q444" s="39" t="s">
        <v>44</v>
      </c>
      <c r="R444" s="25">
        <v>45470</v>
      </c>
      <c r="S444" s="40"/>
      <c r="T444" s="39">
        <v>0.1618</v>
      </c>
      <c r="U444" s="39"/>
      <c r="V444" s="39"/>
      <c r="W444" s="39"/>
      <c r="X444" s="39"/>
      <c r="Y444" s="39"/>
      <c r="Z444" s="3"/>
      <c r="AB444" s="3"/>
      <c r="AC444" s="42" t="s">
        <v>974</v>
      </c>
      <c r="AD444" s="2"/>
      <c r="AE444" s="40"/>
    </row>
    <row r="445" spans="1:31" x14ac:dyDescent="0.25">
      <c r="A445" s="38" t="s">
        <v>36</v>
      </c>
      <c r="B445" s="38" t="s">
        <v>662</v>
      </c>
      <c r="C445" s="38" t="s">
        <v>965</v>
      </c>
      <c r="D445" s="38" t="s">
        <v>976</v>
      </c>
      <c r="E445" s="38" t="s">
        <v>977</v>
      </c>
      <c r="F445" s="38">
        <v>565.72</v>
      </c>
      <c r="G445" s="38">
        <v>565.72</v>
      </c>
      <c r="H445" s="38">
        <f t="shared" si="19"/>
        <v>682</v>
      </c>
      <c r="I445" s="38">
        <v>443</v>
      </c>
      <c r="J445" s="38">
        <v>239</v>
      </c>
      <c r="K445" s="38">
        <v>204</v>
      </c>
      <c r="L445" s="50">
        <f t="shared" si="20"/>
        <v>29.912023460410559</v>
      </c>
      <c r="M445" s="38">
        <v>0</v>
      </c>
      <c r="N445" s="50">
        <f t="shared" si="21"/>
        <v>0</v>
      </c>
      <c r="O445" s="38">
        <v>0</v>
      </c>
      <c r="P445" s="38">
        <v>0</v>
      </c>
      <c r="Q445" s="39" t="s">
        <v>44</v>
      </c>
      <c r="R445" s="25">
        <v>45470</v>
      </c>
      <c r="S445" s="40"/>
      <c r="T445" s="39">
        <v>1.0193000000000001</v>
      </c>
      <c r="U445" s="39"/>
      <c r="V445" s="39"/>
      <c r="W445" s="39"/>
      <c r="X445" s="39"/>
      <c r="Y445" s="39"/>
      <c r="Z445" s="3"/>
      <c r="AB445" s="3"/>
      <c r="AC445" s="42" t="s">
        <v>976</v>
      </c>
      <c r="AD445" s="2"/>
      <c r="AE445" s="40"/>
    </row>
    <row r="446" spans="1:31" x14ac:dyDescent="0.25">
      <c r="A446" s="38" t="s">
        <v>36</v>
      </c>
      <c r="B446" s="38" t="s">
        <v>662</v>
      </c>
      <c r="C446" s="38" t="s">
        <v>978</v>
      </c>
      <c r="D446" s="38" t="s">
        <v>979</v>
      </c>
      <c r="E446" s="38" t="s">
        <v>980</v>
      </c>
      <c r="F446" s="38">
        <v>2239.58</v>
      </c>
      <c r="G446" s="38">
        <v>2239.58</v>
      </c>
      <c r="H446" s="38">
        <f t="shared" si="19"/>
        <v>3671</v>
      </c>
      <c r="I446" s="38">
        <v>2403</v>
      </c>
      <c r="J446" s="38">
        <v>1268</v>
      </c>
      <c r="K446" s="38">
        <v>1135</v>
      </c>
      <c r="L446" s="50">
        <f t="shared" si="20"/>
        <v>30.918005992917465</v>
      </c>
      <c r="M446" s="38">
        <v>113</v>
      </c>
      <c r="N446" s="50">
        <f t="shared" si="21"/>
        <v>3.0781803323345138</v>
      </c>
      <c r="O446" s="38">
        <v>0</v>
      </c>
      <c r="P446" s="38">
        <v>79.05</v>
      </c>
      <c r="Q446" s="2" t="s">
        <v>44</v>
      </c>
      <c r="R446" s="7">
        <v>45470</v>
      </c>
      <c r="S446" s="40"/>
      <c r="T446" s="2">
        <v>104.12</v>
      </c>
      <c r="U446" s="2"/>
      <c r="V446" s="2"/>
      <c r="W446" s="2"/>
      <c r="X446" s="2"/>
      <c r="Y446" s="2"/>
      <c r="Z446" s="3"/>
      <c r="AB446" s="238">
        <v>20</v>
      </c>
      <c r="AC446" s="38" t="s">
        <v>979</v>
      </c>
      <c r="AD446" s="2">
        <v>25.778977999999999</v>
      </c>
      <c r="AE446" s="40">
        <v>71.870169000000004</v>
      </c>
    </row>
    <row r="447" spans="1:31" x14ac:dyDescent="0.25">
      <c r="A447" s="38" t="s">
        <v>36</v>
      </c>
      <c r="B447" s="38" t="s">
        <v>662</v>
      </c>
      <c r="C447" s="38" t="s">
        <v>978</v>
      </c>
      <c r="D447" s="38" t="s">
        <v>981</v>
      </c>
      <c r="E447" s="38" t="s">
        <v>982</v>
      </c>
      <c r="F447" s="38">
        <v>1043.4000000000001</v>
      </c>
      <c r="G447" s="38">
        <v>1043.4000000000001</v>
      </c>
      <c r="H447" s="38">
        <f t="shared" si="19"/>
        <v>833</v>
      </c>
      <c r="I447" s="38">
        <v>541</v>
      </c>
      <c r="J447" s="38">
        <v>292</v>
      </c>
      <c r="K447" s="38">
        <v>249</v>
      </c>
      <c r="L447" s="50">
        <f t="shared" si="20"/>
        <v>29.891956782713088</v>
      </c>
      <c r="M447" s="38">
        <v>46</v>
      </c>
      <c r="N447" s="50">
        <f t="shared" si="21"/>
        <v>5.5222088835534215</v>
      </c>
      <c r="O447" s="38">
        <v>0</v>
      </c>
      <c r="P447" s="38">
        <v>0</v>
      </c>
      <c r="Q447" s="2" t="s">
        <v>44</v>
      </c>
      <c r="R447" s="7">
        <v>45470</v>
      </c>
      <c r="S447" s="40"/>
      <c r="T447" s="2">
        <v>29.819700000000001</v>
      </c>
      <c r="U447" s="2"/>
      <c r="V447" s="2"/>
      <c r="W447" s="2"/>
      <c r="X447" s="2"/>
      <c r="Y447" s="2"/>
      <c r="Z447" s="3"/>
      <c r="AB447" s="2"/>
      <c r="AC447" s="38" t="s">
        <v>981</v>
      </c>
      <c r="AD447" s="2"/>
      <c r="AE447" s="40"/>
    </row>
    <row r="448" spans="1:31" x14ac:dyDescent="0.25">
      <c r="A448" s="38" t="s">
        <v>36</v>
      </c>
      <c r="B448" s="38" t="s">
        <v>662</v>
      </c>
      <c r="C448" s="38" t="s">
        <v>983</v>
      </c>
      <c r="D448" s="38" t="s">
        <v>984</v>
      </c>
      <c r="E448" s="38" t="s">
        <v>985</v>
      </c>
      <c r="F448" s="38">
        <v>620.36</v>
      </c>
      <c r="G448" s="38">
        <v>620.36</v>
      </c>
      <c r="H448" s="38">
        <f t="shared" si="19"/>
        <v>1430</v>
      </c>
      <c r="I448" s="38">
        <v>932</v>
      </c>
      <c r="J448" s="38">
        <v>498</v>
      </c>
      <c r="K448" s="38">
        <v>434</v>
      </c>
      <c r="L448" s="50">
        <f t="shared" si="20"/>
        <v>30.349650349650346</v>
      </c>
      <c r="M448" s="38">
        <v>129</v>
      </c>
      <c r="N448" s="50">
        <f t="shared" si="21"/>
        <v>9.0209790209790217</v>
      </c>
      <c r="O448" s="38">
        <v>0</v>
      </c>
      <c r="P448" s="38">
        <v>6</v>
      </c>
      <c r="Q448" s="2" t="s">
        <v>44</v>
      </c>
      <c r="R448" s="7">
        <v>45470</v>
      </c>
      <c r="S448" s="40"/>
      <c r="T448" s="2">
        <v>5.8567</v>
      </c>
      <c r="U448" s="2"/>
      <c r="V448" s="2"/>
      <c r="W448" s="2"/>
      <c r="X448" s="2"/>
      <c r="Y448" s="2"/>
      <c r="Z448" s="3"/>
      <c r="AB448" s="238">
        <v>5</v>
      </c>
      <c r="AC448" s="38" t="s">
        <v>984</v>
      </c>
      <c r="AD448" s="2">
        <v>25.996317399999999</v>
      </c>
      <c r="AE448" s="40">
        <v>71.768036300000006</v>
      </c>
    </row>
    <row r="449" spans="1:31" x14ac:dyDescent="0.25">
      <c r="A449" s="38" t="s">
        <v>36</v>
      </c>
      <c r="B449" s="38" t="s">
        <v>662</v>
      </c>
      <c r="C449" s="38" t="s">
        <v>983</v>
      </c>
      <c r="D449" s="38" t="s">
        <v>986</v>
      </c>
      <c r="E449" s="38" t="s">
        <v>987</v>
      </c>
      <c r="F449" s="38">
        <v>586.96</v>
      </c>
      <c r="G449" s="38">
        <v>586.96</v>
      </c>
      <c r="H449" s="38">
        <f t="shared" si="19"/>
        <v>599</v>
      </c>
      <c r="I449" s="38">
        <v>392</v>
      </c>
      <c r="J449" s="38">
        <v>207</v>
      </c>
      <c r="K449" s="38">
        <v>185</v>
      </c>
      <c r="L449" s="50">
        <f t="shared" si="20"/>
        <v>30.884808013355592</v>
      </c>
      <c r="M449" s="38">
        <v>0</v>
      </c>
      <c r="N449" s="50">
        <f t="shared" si="21"/>
        <v>0</v>
      </c>
      <c r="O449" s="38">
        <v>0</v>
      </c>
      <c r="P449" s="38">
        <v>0</v>
      </c>
      <c r="Q449" s="2" t="s">
        <v>44</v>
      </c>
      <c r="R449" s="7">
        <v>45470</v>
      </c>
      <c r="S449" s="40"/>
      <c r="T449" s="2">
        <v>1.1569</v>
      </c>
      <c r="U449" s="2"/>
      <c r="V449" s="2"/>
      <c r="W449" s="2"/>
      <c r="X449" s="2"/>
      <c r="Y449" s="2"/>
      <c r="Z449" s="3"/>
      <c r="AB449" s="2"/>
      <c r="AC449" s="38" t="s">
        <v>986</v>
      </c>
      <c r="AD449" s="2"/>
      <c r="AE449" s="40"/>
    </row>
    <row r="450" spans="1:31" x14ac:dyDescent="0.25">
      <c r="A450" s="38" t="s">
        <v>36</v>
      </c>
      <c r="B450" s="38" t="s">
        <v>662</v>
      </c>
      <c r="C450" s="38" t="s">
        <v>983</v>
      </c>
      <c r="D450" s="38" t="s">
        <v>988</v>
      </c>
      <c r="E450" s="38" t="s">
        <v>989</v>
      </c>
      <c r="F450" s="38">
        <v>640.39</v>
      </c>
      <c r="G450" s="38">
        <v>640.39</v>
      </c>
      <c r="H450" s="38">
        <f t="shared" si="19"/>
        <v>1066</v>
      </c>
      <c r="I450" s="38">
        <v>706</v>
      </c>
      <c r="J450" s="38">
        <v>360</v>
      </c>
      <c r="K450" s="38">
        <v>346</v>
      </c>
      <c r="L450" s="50">
        <f t="shared" si="20"/>
        <v>32.457786116322701</v>
      </c>
      <c r="M450" s="38">
        <v>66</v>
      </c>
      <c r="N450" s="50">
        <f t="shared" si="21"/>
        <v>6.191369606003752</v>
      </c>
      <c r="O450" s="38">
        <v>0</v>
      </c>
      <c r="P450" s="38">
        <v>0</v>
      </c>
      <c r="Q450" s="2" t="s">
        <v>44</v>
      </c>
      <c r="R450" s="7">
        <v>45470</v>
      </c>
      <c r="S450" s="40"/>
      <c r="T450" s="2">
        <v>5.6599999999999998E-2</v>
      </c>
      <c r="U450" s="2"/>
      <c r="V450" s="2"/>
      <c r="W450" s="2"/>
      <c r="X450" s="2"/>
      <c r="Y450" s="2"/>
      <c r="Z450" s="3"/>
      <c r="AB450" s="2"/>
      <c r="AC450" s="38" t="s">
        <v>988</v>
      </c>
      <c r="AD450" s="2"/>
      <c r="AE450" s="40"/>
    </row>
    <row r="451" spans="1:31" x14ac:dyDescent="0.25">
      <c r="A451" s="38" t="s">
        <v>36</v>
      </c>
      <c r="B451" s="38" t="s">
        <v>662</v>
      </c>
      <c r="C451" s="38" t="s">
        <v>983</v>
      </c>
      <c r="D451" s="38" t="s">
        <v>990</v>
      </c>
      <c r="E451" s="38" t="s">
        <v>991</v>
      </c>
      <c r="F451" s="38">
        <v>737.58</v>
      </c>
      <c r="G451" s="38">
        <v>737.58</v>
      </c>
      <c r="H451" s="38">
        <f t="shared" si="19"/>
        <v>711</v>
      </c>
      <c r="I451" s="38">
        <v>463</v>
      </c>
      <c r="J451" s="38">
        <v>248</v>
      </c>
      <c r="K451" s="38">
        <v>215</v>
      </c>
      <c r="L451" s="50">
        <f t="shared" si="20"/>
        <v>30.239099859353026</v>
      </c>
      <c r="M451" s="38">
        <v>11</v>
      </c>
      <c r="N451" s="50">
        <f t="shared" si="21"/>
        <v>1.5471167369901548</v>
      </c>
      <c r="O451" s="38">
        <v>0</v>
      </c>
      <c r="P451" s="38">
        <v>0</v>
      </c>
      <c r="Q451" s="2" t="s">
        <v>44</v>
      </c>
      <c r="R451" s="7">
        <v>45470</v>
      </c>
      <c r="S451" s="40"/>
      <c r="T451" s="2">
        <v>2.1924000000000001</v>
      </c>
      <c r="U451" s="2"/>
      <c r="V451" s="2"/>
      <c r="W451" s="2"/>
      <c r="X451" s="2"/>
      <c r="Y451" s="2"/>
      <c r="Z451" s="3"/>
      <c r="AB451" s="2"/>
      <c r="AC451" s="38" t="s">
        <v>990</v>
      </c>
      <c r="AD451" s="2"/>
      <c r="AE451" s="40"/>
    </row>
    <row r="452" spans="1:31" x14ac:dyDescent="0.25">
      <c r="A452" s="38" t="s">
        <v>36</v>
      </c>
      <c r="B452" s="38" t="s">
        <v>662</v>
      </c>
      <c r="C452" s="38" t="s">
        <v>983</v>
      </c>
      <c r="D452" s="38" t="s">
        <v>992</v>
      </c>
      <c r="E452" s="38" t="s">
        <v>993</v>
      </c>
      <c r="F452" s="38">
        <v>904.79</v>
      </c>
      <c r="G452" s="38">
        <v>904.79</v>
      </c>
      <c r="H452" s="38">
        <f t="shared" si="19"/>
        <v>1062</v>
      </c>
      <c r="I452" s="38">
        <v>703</v>
      </c>
      <c r="J452" s="38">
        <v>359</v>
      </c>
      <c r="K452" s="38">
        <v>344</v>
      </c>
      <c r="L452" s="50">
        <f t="shared" si="20"/>
        <v>32.391713747645952</v>
      </c>
      <c r="M452" s="38">
        <v>161</v>
      </c>
      <c r="N452" s="50">
        <f t="shared" si="21"/>
        <v>15.160075329566855</v>
      </c>
      <c r="O452" s="38">
        <v>0</v>
      </c>
      <c r="P452" s="38">
        <v>0</v>
      </c>
      <c r="Q452" s="2" t="s">
        <v>44</v>
      </c>
      <c r="R452" s="7">
        <v>45470</v>
      </c>
      <c r="S452" s="40"/>
      <c r="T452" s="2">
        <v>0.2346</v>
      </c>
      <c r="U452" s="2"/>
      <c r="V452" s="2"/>
      <c r="W452" s="2"/>
      <c r="X452" s="2"/>
      <c r="Y452" s="2"/>
      <c r="Z452" s="3"/>
      <c r="AB452" s="2"/>
      <c r="AC452" s="38" t="s">
        <v>992</v>
      </c>
      <c r="AD452" s="2"/>
      <c r="AE452" s="40"/>
    </row>
    <row r="453" spans="1:31" x14ac:dyDescent="0.25">
      <c r="A453" s="38" t="s">
        <v>36</v>
      </c>
      <c r="B453" s="38" t="s">
        <v>662</v>
      </c>
      <c r="C453" s="38" t="s">
        <v>983</v>
      </c>
      <c r="D453" s="38" t="s">
        <v>994</v>
      </c>
      <c r="E453" s="38" t="s">
        <v>995</v>
      </c>
      <c r="F453" s="38">
        <v>995.48</v>
      </c>
      <c r="G453" s="38">
        <v>995.48</v>
      </c>
      <c r="H453" s="38">
        <f t="shared" ref="H453:H516" si="22">I453+J453</f>
        <v>1211</v>
      </c>
      <c r="I453" s="38">
        <v>813</v>
      </c>
      <c r="J453" s="38">
        <v>398</v>
      </c>
      <c r="K453" s="38">
        <v>415</v>
      </c>
      <c r="L453" s="50">
        <f t="shared" si="20"/>
        <v>34.269199009083401</v>
      </c>
      <c r="M453" s="38">
        <v>117</v>
      </c>
      <c r="N453" s="50">
        <f t="shared" si="21"/>
        <v>9.6614368290668864</v>
      </c>
      <c r="O453" s="38">
        <v>0</v>
      </c>
      <c r="P453" s="38">
        <v>0</v>
      </c>
      <c r="Q453" s="2" t="s">
        <v>44</v>
      </c>
      <c r="R453" s="7">
        <v>45470</v>
      </c>
      <c r="S453" s="40"/>
      <c r="T453" s="2">
        <v>0.55010000000000003</v>
      </c>
      <c r="U453" s="2"/>
      <c r="V453" s="2"/>
      <c r="W453" s="2"/>
      <c r="X453" s="2"/>
      <c r="Y453" s="2"/>
      <c r="Z453" s="3"/>
      <c r="AB453" s="2"/>
      <c r="AC453" s="38" t="s">
        <v>994</v>
      </c>
      <c r="AD453" s="2"/>
      <c r="AE453" s="40"/>
    </row>
    <row r="454" spans="1:31" x14ac:dyDescent="0.25">
      <c r="A454" s="38" t="s">
        <v>36</v>
      </c>
      <c r="B454" s="38" t="s">
        <v>662</v>
      </c>
      <c r="C454" s="38" t="s">
        <v>996</v>
      </c>
      <c r="D454" s="38" t="s">
        <v>996</v>
      </c>
      <c r="E454" s="38" t="s">
        <v>997</v>
      </c>
      <c r="F454" s="38">
        <v>761.91</v>
      </c>
      <c r="G454" s="38">
        <v>761.91</v>
      </c>
      <c r="H454" s="38">
        <f t="shared" si="22"/>
        <v>1182</v>
      </c>
      <c r="I454" s="38">
        <v>775</v>
      </c>
      <c r="J454" s="38">
        <v>407</v>
      </c>
      <c r="K454" s="38">
        <v>368</v>
      </c>
      <c r="L454" s="50">
        <f t="shared" ref="L454:L517" si="23">K454/H454*100</f>
        <v>31.133671742808801</v>
      </c>
      <c r="M454" s="38">
        <v>0</v>
      </c>
      <c r="N454" s="50">
        <f t="shared" ref="N454:N517" si="24">M454/H454*100</f>
        <v>0</v>
      </c>
      <c r="O454" s="38">
        <v>0</v>
      </c>
      <c r="P454" s="38">
        <v>16.41</v>
      </c>
      <c r="Q454" s="2" t="s">
        <v>44</v>
      </c>
      <c r="R454" s="111">
        <v>45531</v>
      </c>
      <c r="S454" s="40"/>
      <c r="T454" s="2">
        <v>15.5318</v>
      </c>
      <c r="U454" s="2"/>
      <c r="V454" s="2"/>
      <c r="W454" s="2"/>
      <c r="X454" s="2"/>
      <c r="Y454" s="2"/>
      <c r="Z454" s="3"/>
      <c r="AB454" s="3">
        <v>15</v>
      </c>
      <c r="AC454" s="38" t="s">
        <v>996</v>
      </c>
      <c r="AD454" s="40">
        <v>26.05655995</v>
      </c>
      <c r="AE454" s="40">
        <v>71.508839989999998</v>
      </c>
    </row>
    <row r="455" spans="1:31" x14ac:dyDescent="0.25">
      <c r="A455" s="38" t="s">
        <v>36</v>
      </c>
      <c r="B455" s="38" t="s">
        <v>662</v>
      </c>
      <c r="C455" s="38" t="s">
        <v>996</v>
      </c>
      <c r="D455" s="38" t="s">
        <v>998</v>
      </c>
      <c r="E455" s="38" t="s">
        <v>999</v>
      </c>
      <c r="F455" s="38">
        <v>589.75</v>
      </c>
      <c r="G455" s="38">
        <v>589.75</v>
      </c>
      <c r="H455" s="38">
        <f t="shared" si="22"/>
        <v>494</v>
      </c>
      <c r="I455" s="38">
        <v>319</v>
      </c>
      <c r="J455" s="38">
        <v>175</v>
      </c>
      <c r="K455" s="38">
        <v>144</v>
      </c>
      <c r="L455" s="50">
        <f t="shared" si="23"/>
        <v>29.1497975708502</v>
      </c>
      <c r="M455" s="38">
        <v>0</v>
      </c>
      <c r="N455" s="50">
        <f t="shared" si="24"/>
        <v>0</v>
      </c>
      <c r="O455" s="38">
        <v>0</v>
      </c>
      <c r="P455" s="38">
        <v>13.91</v>
      </c>
      <c r="Q455" s="2" t="s">
        <v>44</v>
      </c>
      <c r="R455" s="111">
        <v>45531</v>
      </c>
      <c r="S455" s="40"/>
      <c r="T455" s="2">
        <v>15.1374</v>
      </c>
      <c r="U455" s="2"/>
      <c r="V455" s="2"/>
      <c r="W455" s="2"/>
      <c r="X455" s="2"/>
      <c r="Y455" s="2"/>
      <c r="Z455" s="3"/>
      <c r="AB455" s="3"/>
      <c r="AC455" s="38" t="s">
        <v>998</v>
      </c>
      <c r="AD455" s="2"/>
      <c r="AE455" s="40"/>
    </row>
    <row r="456" spans="1:31" x14ac:dyDescent="0.25">
      <c r="A456" s="38" t="s">
        <v>36</v>
      </c>
      <c r="B456" s="38" t="s">
        <v>662</v>
      </c>
      <c r="C456" s="38" t="s">
        <v>996</v>
      </c>
      <c r="D456" s="38" t="s">
        <v>1000</v>
      </c>
      <c r="E456" s="38" t="s">
        <v>1001</v>
      </c>
      <c r="F456" s="38">
        <v>428.1</v>
      </c>
      <c r="G456" s="38">
        <v>428.1</v>
      </c>
      <c r="H456" s="38">
        <f t="shared" si="22"/>
        <v>674</v>
      </c>
      <c r="I456" s="38">
        <v>442</v>
      </c>
      <c r="J456" s="38">
        <v>232</v>
      </c>
      <c r="K456" s="38">
        <v>210</v>
      </c>
      <c r="L456" s="50">
        <f t="shared" si="23"/>
        <v>31.15727002967359</v>
      </c>
      <c r="M456" s="38">
        <v>12</v>
      </c>
      <c r="N456" s="50">
        <f t="shared" si="24"/>
        <v>1.7804154302670623</v>
      </c>
      <c r="O456" s="38">
        <v>0</v>
      </c>
      <c r="P456" s="38">
        <v>0</v>
      </c>
      <c r="Q456" s="2" t="s">
        <v>44</v>
      </c>
      <c r="R456" s="111">
        <v>45531</v>
      </c>
      <c r="S456" s="40"/>
      <c r="T456" s="2">
        <v>2.2000000000000002</v>
      </c>
      <c r="U456" s="2"/>
      <c r="V456" s="2"/>
      <c r="W456" s="2"/>
      <c r="X456" s="2"/>
      <c r="Y456" s="2"/>
      <c r="Z456" s="3"/>
      <c r="AB456" s="3"/>
      <c r="AC456" s="38" t="s">
        <v>1000</v>
      </c>
      <c r="AD456" s="2"/>
      <c r="AE456" s="40"/>
    </row>
    <row r="457" spans="1:31" x14ac:dyDescent="0.25">
      <c r="A457" s="38" t="s">
        <v>36</v>
      </c>
      <c r="B457" s="38" t="s">
        <v>662</v>
      </c>
      <c r="C457" s="38" t="s">
        <v>54</v>
      </c>
      <c r="D457" s="38" t="s">
        <v>54</v>
      </c>
      <c r="E457" s="38" t="s">
        <v>1002</v>
      </c>
      <c r="F457" s="38">
        <v>1592.02</v>
      </c>
      <c r="G457" s="38">
        <v>1592.02</v>
      </c>
      <c r="H457" s="38">
        <f t="shared" si="22"/>
        <v>1569</v>
      </c>
      <c r="I457" s="38">
        <v>1017</v>
      </c>
      <c r="J457" s="38">
        <v>552</v>
      </c>
      <c r="K457" s="38">
        <v>465</v>
      </c>
      <c r="L457" s="50">
        <f t="shared" si="23"/>
        <v>29.636711281070742</v>
      </c>
      <c r="M457" s="38">
        <v>0</v>
      </c>
      <c r="N457" s="50">
        <f t="shared" si="24"/>
        <v>0</v>
      </c>
      <c r="O457" s="38">
        <v>0</v>
      </c>
      <c r="P457" s="38">
        <v>37.21</v>
      </c>
      <c r="Q457" s="2" t="s">
        <v>44</v>
      </c>
      <c r="R457" s="111">
        <v>45470</v>
      </c>
      <c r="S457" s="40"/>
      <c r="T457" s="2">
        <v>37.497100000000003</v>
      </c>
      <c r="U457" s="2"/>
      <c r="V457" s="2"/>
      <c r="W457" s="2"/>
      <c r="X457" s="2"/>
      <c r="Y457" s="2"/>
      <c r="Z457" s="3"/>
      <c r="AB457" s="3">
        <v>12</v>
      </c>
      <c r="AC457" s="38" t="s">
        <v>54</v>
      </c>
      <c r="AD457" s="2">
        <v>25.353670430000001</v>
      </c>
      <c r="AE457" s="40">
        <v>71.115180260000002</v>
      </c>
    </row>
    <row r="458" spans="1:31" x14ac:dyDescent="0.25">
      <c r="A458" s="38" t="s">
        <v>36</v>
      </c>
      <c r="B458" s="38" t="s">
        <v>662</v>
      </c>
      <c r="C458" s="38" t="s">
        <v>54</v>
      </c>
      <c r="D458" s="38" t="s">
        <v>1003</v>
      </c>
      <c r="E458" s="38" t="s">
        <v>1004</v>
      </c>
      <c r="F458" s="38">
        <v>1096.42</v>
      </c>
      <c r="G458" s="38">
        <v>1096.42</v>
      </c>
      <c r="H458" s="38">
        <f t="shared" si="22"/>
        <v>1207</v>
      </c>
      <c r="I458" s="38">
        <v>798</v>
      </c>
      <c r="J458" s="38">
        <v>409</v>
      </c>
      <c r="K458" s="38">
        <v>389</v>
      </c>
      <c r="L458" s="50">
        <f t="shared" si="23"/>
        <v>32.228666114333052</v>
      </c>
      <c r="M458" s="38">
        <v>0</v>
      </c>
      <c r="N458" s="50">
        <f t="shared" si="24"/>
        <v>0</v>
      </c>
      <c r="O458" s="38">
        <v>0</v>
      </c>
      <c r="P458" s="38">
        <v>0</v>
      </c>
      <c r="Q458" s="2" t="s">
        <v>44</v>
      </c>
      <c r="R458" s="111">
        <v>45470</v>
      </c>
      <c r="S458" s="40"/>
      <c r="T458" s="2">
        <v>3.1147</v>
      </c>
      <c r="U458" s="2"/>
      <c r="V458" s="2"/>
      <c r="W458" s="2"/>
      <c r="X458" s="2"/>
      <c r="Y458" s="2"/>
      <c r="Z458" s="3"/>
      <c r="AB458" s="3"/>
      <c r="AC458" s="38" t="s">
        <v>1003</v>
      </c>
      <c r="AD458" s="2"/>
      <c r="AE458" s="40"/>
    </row>
    <row r="459" spans="1:31" x14ac:dyDescent="0.25">
      <c r="A459" s="38" t="s">
        <v>36</v>
      </c>
      <c r="B459" s="38" t="s">
        <v>662</v>
      </c>
      <c r="C459" s="38" t="s">
        <v>54</v>
      </c>
      <c r="D459" s="38" t="s">
        <v>1005</v>
      </c>
      <c r="E459" s="38" t="s">
        <v>1006</v>
      </c>
      <c r="F459" s="38">
        <v>1194.47</v>
      </c>
      <c r="G459" s="38">
        <v>1194.47</v>
      </c>
      <c r="H459" s="38">
        <f t="shared" si="22"/>
        <v>890</v>
      </c>
      <c r="I459" s="38">
        <v>579</v>
      </c>
      <c r="J459" s="38">
        <v>311</v>
      </c>
      <c r="K459" s="38">
        <v>268</v>
      </c>
      <c r="L459" s="50">
        <f t="shared" si="23"/>
        <v>30.112359550561795</v>
      </c>
      <c r="M459" s="38">
        <v>6</v>
      </c>
      <c r="N459" s="50">
        <f t="shared" si="24"/>
        <v>0.6741573033707865</v>
      </c>
      <c r="O459" s="38">
        <v>0</v>
      </c>
      <c r="P459" s="38">
        <v>12.97</v>
      </c>
      <c r="Q459" s="2" t="s">
        <v>44</v>
      </c>
      <c r="R459" s="111">
        <v>45470</v>
      </c>
      <c r="S459" s="40"/>
      <c r="T459" s="2">
        <v>5.7276999999999996</v>
      </c>
      <c r="U459" s="2"/>
      <c r="V459" s="2"/>
      <c r="W459" s="2"/>
      <c r="X459" s="2"/>
      <c r="Y459" s="2"/>
      <c r="Z459" s="3"/>
      <c r="AB459" s="3"/>
      <c r="AC459" s="38" t="s">
        <v>1007</v>
      </c>
      <c r="AD459" s="2"/>
      <c r="AE459" s="40"/>
    </row>
    <row r="460" spans="1:31" x14ac:dyDescent="0.25">
      <c r="A460" s="38" t="s">
        <v>36</v>
      </c>
      <c r="B460" s="38" t="s">
        <v>662</v>
      </c>
      <c r="C460" s="38" t="s">
        <v>1008</v>
      </c>
      <c r="D460" s="38" t="s">
        <v>1009</v>
      </c>
      <c r="E460" s="38" t="s">
        <v>1010</v>
      </c>
      <c r="F460" s="38">
        <v>789.41</v>
      </c>
      <c r="G460" s="38">
        <v>789.41</v>
      </c>
      <c r="H460" s="38">
        <f t="shared" si="22"/>
        <v>1336</v>
      </c>
      <c r="I460" s="38">
        <v>872</v>
      </c>
      <c r="J460" s="38">
        <v>464</v>
      </c>
      <c r="K460" s="38">
        <v>408</v>
      </c>
      <c r="L460" s="50">
        <f t="shared" si="23"/>
        <v>30.538922155688624</v>
      </c>
      <c r="M460" s="38">
        <v>126</v>
      </c>
      <c r="N460" s="50">
        <f t="shared" si="24"/>
        <v>9.4311377245508972</v>
      </c>
      <c r="O460" s="38">
        <v>0</v>
      </c>
      <c r="P460" s="38">
        <v>8.58</v>
      </c>
      <c r="Q460" s="44" t="s">
        <v>44</v>
      </c>
      <c r="R460" s="119">
        <v>45835</v>
      </c>
      <c r="S460" s="44"/>
      <c r="T460" s="44">
        <v>6.7148000000000003</v>
      </c>
      <c r="U460" s="44"/>
      <c r="V460" s="44"/>
      <c r="W460" s="44"/>
      <c r="X460" s="44"/>
      <c r="Y460" s="44"/>
      <c r="Z460" s="3"/>
      <c r="AB460" s="5">
        <v>6</v>
      </c>
      <c r="AC460" s="41" t="s">
        <v>1011</v>
      </c>
      <c r="AD460" s="44">
        <v>25.775345999999999</v>
      </c>
      <c r="AE460" s="44">
        <v>71.767365999999996</v>
      </c>
    </row>
    <row r="461" spans="1:31" x14ac:dyDescent="0.25">
      <c r="A461" s="38" t="s">
        <v>36</v>
      </c>
      <c r="B461" s="38" t="s">
        <v>662</v>
      </c>
      <c r="C461" s="38" t="s">
        <v>1008</v>
      </c>
      <c r="D461" s="38" t="s">
        <v>1012</v>
      </c>
      <c r="E461" s="38" t="s">
        <v>1013</v>
      </c>
      <c r="F461" s="38">
        <v>773.8</v>
      </c>
      <c r="G461" s="38">
        <v>773.8</v>
      </c>
      <c r="H461" s="38">
        <f t="shared" si="22"/>
        <v>641</v>
      </c>
      <c r="I461" s="38">
        <v>426</v>
      </c>
      <c r="J461" s="38">
        <v>215</v>
      </c>
      <c r="K461" s="38">
        <v>211</v>
      </c>
      <c r="L461" s="50">
        <f t="shared" si="23"/>
        <v>32.917316692667711</v>
      </c>
      <c r="M461" s="38">
        <v>15</v>
      </c>
      <c r="N461" s="50">
        <f t="shared" si="24"/>
        <v>2.3400936037441498</v>
      </c>
      <c r="O461" s="38">
        <v>0</v>
      </c>
      <c r="P461" s="38">
        <v>24.02</v>
      </c>
      <c r="Q461" s="2" t="s">
        <v>44</v>
      </c>
      <c r="R461" s="119">
        <v>45835</v>
      </c>
      <c r="S461" s="40"/>
      <c r="T461" s="2">
        <v>25.346</v>
      </c>
      <c r="U461" s="2"/>
      <c r="V461" s="2"/>
      <c r="W461" s="2"/>
      <c r="X461" s="2"/>
      <c r="Y461" s="2"/>
      <c r="Z461" s="3"/>
      <c r="AB461" s="3">
        <v>20</v>
      </c>
      <c r="AC461" s="38" t="s">
        <v>1012</v>
      </c>
      <c r="AD461" s="2">
        <v>25.768440999999999</v>
      </c>
      <c r="AE461" s="40">
        <v>71.745912000000004</v>
      </c>
    </row>
    <row r="462" spans="1:31" x14ac:dyDescent="0.25">
      <c r="A462" s="38" t="s">
        <v>36</v>
      </c>
      <c r="B462" s="38" t="s">
        <v>662</v>
      </c>
      <c r="C462" s="38" t="s">
        <v>1008</v>
      </c>
      <c r="D462" s="38" t="s">
        <v>1014</v>
      </c>
      <c r="E462" s="38" t="s">
        <v>1015</v>
      </c>
      <c r="F462" s="38">
        <v>429.27</v>
      </c>
      <c r="G462" s="38">
        <v>429.27</v>
      </c>
      <c r="H462" s="38">
        <f t="shared" si="22"/>
        <v>489</v>
      </c>
      <c r="I462" s="38">
        <v>319</v>
      </c>
      <c r="J462" s="38">
        <v>170</v>
      </c>
      <c r="K462" s="38">
        <v>149</v>
      </c>
      <c r="L462" s="50">
        <f t="shared" si="23"/>
        <v>30.470347648261757</v>
      </c>
      <c r="M462" s="38">
        <v>0</v>
      </c>
      <c r="N462" s="50">
        <f t="shared" si="24"/>
        <v>0</v>
      </c>
      <c r="O462" s="38">
        <v>0</v>
      </c>
      <c r="P462" s="38">
        <v>0</v>
      </c>
      <c r="Q462" s="2" t="s">
        <v>44</v>
      </c>
      <c r="R462" s="119">
        <v>45835</v>
      </c>
      <c r="S462" s="40"/>
      <c r="T462" s="2">
        <v>4.0500000000000001E-2</v>
      </c>
      <c r="U462" s="2"/>
      <c r="V462" s="2"/>
      <c r="W462" s="2"/>
      <c r="X462" s="2"/>
      <c r="Y462" s="2"/>
      <c r="Z462" s="3"/>
      <c r="AB462" s="3"/>
      <c r="AC462" s="38" t="s">
        <v>1016</v>
      </c>
      <c r="AD462" s="2"/>
      <c r="AE462" s="40"/>
    </row>
    <row r="463" spans="1:31" x14ac:dyDescent="0.25">
      <c r="A463" s="38" t="s">
        <v>36</v>
      </c>
      <c r="B463" s="38" t="s">
        <v>662</v>
      </c>
      <c r="C463" s="38" t="s">
        <v>1008</v>
      </c>
      <c r="D463" s="38" t="s">
        <v>1016</v>
      </c>
      <c r="E463" s="38" t="s">
        <v>1017</v>
      </c>
      <c r="F463" s="38">
        <v>714.96</v>
      </c>
      <c r="G463" s="38">
        <v>714.96</v>
      </c>
      <c r="H463" s="38">
        <f t="shared" si="22"/>
        <v>1052</v>
      </c>
      <c r="I463" s="38">
        <v>684</v>
      </c>
      <c r="J463" s="38">
        <v>368</v>
      </c>
      <c r="K463" s="38">
        <v>316</v>
      </c>
      <c r="L463" s="50">
        <f t="shared" si="23"/>
        <v>30.038022813688215</v>
      </c>
      <c r="M463" s="38">
        <v>65</v>
      </c>
      <c r="N463" s="50">
        <f t="shared" si="24"/>
        <v>6.1787072243346008</v>
      </c>
      <c r="O463" s="38">
        <v>0</v>
      </c>
      <c r="P463" s="38">
        <v>0</v>
      </c>
      <c r="Q463" s="2" t="s">
        <v>44</v>
      </c>
      <c r="R463" s="119">
        <v>45835</v>
      </c>
      <c r="S463" s="40"/>
      <c r="T463" s="2" t="s">
        <v>6372</v>
      </c>
      <c r="U463" s="2"/>
      <c r="V463" s="2"/>
      <c r="W463" s="2"/>
      <c r="X463" s="2"/>
      <c r="Y463" s="2"/>
      <c r="Z463" s="3"/>
      <c r="AB463" s="3"/>
      <c r="AC463" s="38" t="s">
        <v>1018</v>
      </c>
      <c r="AD463" s="2"/>
      <c r="AE463" s="40"/>
    </row>
    <row r="464" spans="1:31" x14ac:dyDescent="0.25">
      <c r="A464" s="38" t="s">
        <v>36</v>
      </c>
      <c r="B464" s="38" t="s">
        <v>662</v>
      </c>
      <c r="C464" s="38" t="s">
        <v>1008</v>
      </c>
      <c r="D464" s="38" t="s">
        <v>1018</v>
      </c>
      <c r="E464" s="38" t="s">
        <v>1019</v>
      </c>
      <c r="F464" s="38">
        <v>528.92999999999995</v>
      </c>
      <c r="G464" s="38">
        <v>528.92999999999995</v>
      </c>
      <c r="H464" s="38">
        <f t="shared" si="22"/>
        <v>851</v>
      </c>
      <c r="I464" s="38">
        <v>558</v>
      </c>
      <c r="J464" s="38">
        <v>293</v>
      </c>
      <c r="K464" s="38">
        <v>265</v>
      </c>
      <c r="L464" s="50">
        <f t="shared" si="23"/>
        <v>31.139835487661578</v>
      </c>
      <c r="M464" s="38">
        <v>42</v>
      </c>
      <c r="N464" s="50">
        <f t="shared" si="24"/>
        <v>4.9353701527614566</v>
      </c>
      <c r="O464" s="38">
        <v>0</v>
      </c>
      <c r="P464" s="38">
        <v>0</v>
      </c>
    </row>
    <row r="465" spans="1:31" x14ac:dyDescent="0.25">
      <c r="A465" s="38" t="s">
        <v>36</v>
      </c>
      <c r="B465" s="38" t="s">
        <v>662</v>
      </c>
      <c r="C465" s="38" t="s">
        <v>1020</v>
      </c>
      <c r="D465" s="38" t="s">
        <v>1021</v>
      </c>
      <c r="E465" s="38" t="s">
        <v>1022</v>
      </c>
      <c r="F465" s="38">
        <v>441.94</v>
      </c>
      <c r="G465" s="38">
        <v>441.94</v>
      </c>
      <c r="H465" s="38">
        <f t="shared" si="22"/>
        <v>1015</v>
      </c>
      <c r="I465" s="38">
        <v>679</v>
      </c>
      <c r="J465" s="38">
        <v>336</v>
      </c>
      <c r="K465" s="38">
        <v>343</v>
      </c>
      <c r="L465" s="50">
        <f t="shared" si="23"/>
        <v>33.793103448275865</v>
      </c>
      <c r="M465" s="38">
        <v>95</v>
      </c>
      <c r="N465" s="50">
        <f t="shared" si="24"/>
        <v>9.3596059113300498</v>
      </c>
      <c r="O465" s="38">
        <v>0</v>
      </c>
      <c r="P465" s="38">
        <v>0</v>
      </c>
      <c r="AC465" s="117"/>
      <c r="AD465" s="117"/>
    </row>
    <row r="466" spans="1:31" x14ac:dyDescent="0.25">
      <c r="A466" s="38" t="s">
        <v>36</v>
      </c>
      <c r="B466" s="38" t="s">
        <v>662</v>
      </c>
      <c r="C466" s="38" t="s">
        <v>1020</v>
      </c>
      <c r="D466" s="38" t="s">
        <v>1023</v>
      </c>
      <c r="E466" s="38" t="s">
        <v>1024</v>
      </c>
      <c r="F466" s="38">
        <v>504.34</v>
      </c>
      <c r="G466" s="38">
        <v>504.34</v>
      </c>
      <c r="H466" s="38">
        <f t="shared" si="22"/>
        <v>1091</v>
      </c>
      <c r="I466" s="38">
        <v>720</v>
      </c>
      <c r="J466" s="38">
        <v>371</v>
      </c>
      <c r="K466" s="38">
        <v>349</v>
      </c>
      <c r="L466" s="50">
        <f t="shared" si="23"/>
        <v>31.989000916590282</v>
      </c>
      <c r="M466" s="38">
        <v>48</v>
      </c>
      <c r="N466" s="50">
        <f t="shared" si="24"/>
        <v>4.399633363886343</v>
      </c>
      <c r="O466" s="38">
        <v>0</v>
      </c>
      <c r="P466" s="38">
        <v>0</v>
      </c>
      <c r="Q466" s="120" t="s">
        <v>43</v>
      </c>
      <c r="R466" s="111">
        <v>45470</v>
      </c>
      <c r="S466" s="40"/>
      <c r="T466" s="120" t="s">
        <v>6373</v>
      </c>
      <c r="U466" s="120"/>
      <c r="V466" s="120"/>
      <c r="W466" s="120"/>
      <c r="X466" s="120"/>
      <c r="Y466" s="120"/>
      <c r="Z466" s="3"/>
      <c r="AB466" s="3"/>
      <c r="AC466" s="42" t="s">
        <v>1023</v>
      </c>
      <c r="AD466" s="2"/>
      <c r="AE466" s="40"/>
    </row>
    <row r="467" spans="1:31" x14ac:dyDescent="0.25">
      <c r="A467" s="38" t="s">
        <v>36</v>
      </c>
      <c r="B467" s="38" t="s">
        <v>662</v>
      </c>
      <c r="C467" s="38" t="s">
        <v>1020</v>
      </c>
      <c r="D467" s="38" t="s">
        <v>1025</v>
      </c>
      <c r="E467" s="38" t="s">
        <v>1026</v>
      </c>
      <c r="F467" s="38">
        <v>332.81</v>
      </c>
      <c r="G467" s="38">
        <v>332.81</v>
      </c>
      <c r="H467" s="38">
        <f t="shared" si="22"/>
        <v>662</v>
      </c>
      <c r="I467" s="38">
        <v>439</v>
      </c>
      <c r="J467" s="38">
        <v>223</v>
      </c>
      <c r="K467" s="38">
        <v>216</v>
      </c>
      <c r="L467" s="50">
        <f t="shared" si="23"/>
        <v>32.628398791540789</v>
      </c>
      <c r="M467" s="38">
        <v>58</v>
      </c>
      <c r="N467" s="50">
        <f t="shared" si="24"/>
        <v>8.761329305135952</v>
      </c>
      <c r="O467" s="38">
        <v>0</v>
      </c>
      <c r="P467" s="38">
        <v>0</v>
      </c>
      <c r="Q467" s="120" t="s">
        <v>43</v>
      </c>
      <c r="R467" s="111">
        <v>45470</v>
      </c>
      <c r="S467" s="40"/>
      <c r="T467" s="120">
        <v>1.6199999999999999E-2</v>
      </c>
      <c r="U467" s="120"/>
      <c r="V467" s="120"/>
      <c r="W467" s="120"/>
      <c r="X467" s="120"/>
      <c r="Y467" s="120"/>
      <c r="Z467" s="3"/>
      <c r="AB467" s="3"/>
      <c r="AC467" s="42" t="s">
        <v>1025</v>
      </c>
      <c r="AD467" s="2"/>
      <c r="AE467" s="40"/>
    </row>
    <row r="468" spans="1:31" x14ac:dyDescent="0.25">
      <c r="A468" s="38" t="s">
        <v>36</v>
      </c>
      <c r="B468" s="38" t="s">
        <v>662</v>
      </c>
      <c r="C468" s="38" t="s">
        <v>1020</v>
      </c>
      <c r="D468" s="38" t="s">
        <v>1027</v>
      </c>
      <c r="E468" s="38" t="s">
        <v>1028</v>
      </c>
      <c r="F468" s="38">
        <v>834.28</v>
      </c>
      <c r="G468" s="38">
        <v>834.28</v>
      </c>
      <c r="H468" s="38">
        <f t="shared" si="22"/>
        <v>1935</v>
      </c>
      <c r="I468" s="38">
        <v>1261</v>
      </c>
      <c r="J468" s="38">
        <v>674</v>
      </c>
      <c r="K468" s="38">
        <v>587</v>
      </c>
      <c r="L468" s="50">
        <f t="shared" si="23"/>
        <v>30.335917312661497</v>
      </c>
      <c r="M468" s="38">
        <v>101</v>
      </c>
      <c r="N468" s="50">
        <f t="shared" si="24"/>
        <v>5.2196382428940566</v>
      </c>
      <c r="O468" s="38">
        <v>0</v>
      </c>
      <c r="P468" s="38">
        <v>85.13</v>
      </c>
      <c r="Q468" s="120" t="s">
        <v>43</v>
      </c>
      <c r="R468" s="111">
        <v>45470</v>
      </c>
      <c r="S468" s="40"/>
      <c r="T468" s="120">
        <v>48.877800000000001</v>
      </c>
      <c r="U468" s="120"/>
      <c r="V468" s="120"/>
      <c r="W468" s="120"/>
      <c r="X468" s="120"/>
      <c r="Y468" s="120"/>
      <c r="Z468" s="3"/>
      <c r="AB468" s="3">
        <v>15</v>
      </c>
      <c r="AC468" s="42" t="s">
        <v>1027</v>
      </c>
      <c r="AD468" s="2">
        <v>26.0537727</v>
      </c>
      <c r="AE468" s="40">
        <v>71.578788399999993</v>
      </c>
    </row>
    <row r="469" spans="1:31" x14ac:dyDescent="0.25">
      <c r="A469" s="38" t="s">
        <v>36</v>
      </c>
      <c r="B469" s="38" t="s">
        <v>662</v>
      </c>
      <c r="C469" s="38" t="s">
        <v>1020</v>
      </c>
      <c r="D469" s="38" t="s">
        <v>1018</v>
      </c>
      <c r="E469" s="38" t="s">
        <v>1029</v>
      </c>
      <c r="F469" s="38">
        <v>1177.24</v>
      </c>
      <c r="G469" s="38">
        <v>1177.24</v>
      </c>
      <c r="H469" s="38">
        <f t="shared" si="22"/>
        <v>1551</v>
      </c>
      <c r="I469" s="38">
        <v>1020</v>
      </c>
      <c r="J469" s="38">
        <v>531</v>
      </c>
      <c r="K469" s="38">
        <v>489</v>
      </c>
      <c r="L469" s="50">
        <f t="shared" si="23"/>
        <v>31.52804642166344</v>
      </c>
      <c r="M469" s="38">
        <v>48</v>
      </c>
      <c r="N469" s="50">
        <f t="shared" si="24"/>
        <v>3.0947775628626695</v>
      </c>
      <c r="O469" s="38">
        <v>0</v>
      </c>
      <c r="P469" s="38">
        <v>45.13</v>
      </c>
      <c r="Q469" s="120" t="s">
        <v>43</v>
      </c>
      <c r="R469" s="111">
        <v>45470</v>
      </c>
      <c r="S469" s="40"/>
      <c r="T469" s="120">
        <v>39.406399999999998</v>
      </c>
      <c r="U469" s="120"/>
      <c r="V469" s="120"/>
      <c r="W469" s="120"/>
      <c r="X469" s="120"/>
      <c r="Y469" s="120"/>
      <c r="Z469" s="3"/>
      <c r="AB469" s="3">
        <v>12</v>
      </c>
      <c r="AC469" s="42" t="s">
        <v>1018</v>
      </c>
      <c r="AD469" s="2">
        <v>26.0863747</v>
      </c>
      <c r="AE469" s="40">
        <v>71.542874699999999</v>
      </c>
    </row>
    <row r="470" spans="1:31" x14ac:dyDescent="0.25">
      <c r="A470" s="38" t="s">
        <v>36</v>
      </c>
      <c r="B470" s="38" t="s">
        <v>662</v>
      </c>
      <c r="C470" s="38" t="s">
        <v>1020</v>
      </c>
      <c r="D470" s="38" t="s">
        <v>1030</v>
      </c>
      <c r="E470" s="38" t="s">
        <v>1031</v>
      </c>
      <c r="F470" s="38">
        <v>726.03</v>
      </c>
      <c r="G470" s="38">
        <v>726.03</v>
      </c>
      <c r="H470" s="38">
        <f t="shared" si="22"/>
        <v>826</v>
      </c>
      <c r="I470" s="38">
        <v>545</v>
      </c>
      <c r="J470" s="38">
        <v>281</v>
      </c>
      <c r="K470" s="38">
        <v>264</v>
      </c>
      <c r="L470" s="50">
        <f t="shared" si="23"/>
        <v>31.961259079903147</v>
      </c>
      <c r="M470" s="38">
        <v>0</v>
      </c>
      <c r="N470" s="50">
        <f t="shared" si="24"/>
        <v>0</v>
      </c>
      <c r="O470" s="38">
        <v>0</v>
      </c>
      <c r="P470" s="38">
        <v>92.72</v>
      </c>
      <c r="Q470" s="120" t="s">
        <v>43</v>
      </c>
      <c r="R470" s="111">
        <v>45470</v>
      </c>
      <c r="S470" s="40"/>
      <c r="T470" s="120">
        <v>96.111800000000002</v>
      </c>
      <c r="U470" s="120"/>
      <c r="V470" s="120"/>
      <c r="W470" s="120"/>
      <c r="X470" s="120"/>
      <c r="Y470" s="120"/>
      <c r="Z470" s="3"/>
      <c r="AB470" s="3"/>
      <c r="AC470" s="42" t="s">
        <v>1030</v>
      </c>
      <c r="AD470" s="2"/>
      <c r="AE470" s="40"/>
    </row>
    <row r="471" spans="1:31" x14ac:dyDescent="0.25">
      <c r="A471" s="38" t="s">
        <v>36</v>
      </c>
      <c r="B471" s="38" t="s">
        <v>662</v>
      </c>
      <c r="C471" s="38" t="s">
        <v>1032</v>
      </c>
      <c r="D471" s="38" t="s">
        <v>1032</v>
      </c>
      <c r="H471" s="38">
        <f t="shared" si="22"/>
        <v>0</v>
      </c>
      <c r="L471" s="50"/>
      <c r="N471" s="50"/>
      <c r="O471" s="38"/>
      <c r="P471" s="38"/>
      <c r="Q471" s="120" t="s">
        <v>43</v>
      </c>
      <c r="R471" s="111">
        <v>45463</v>
      </c>
      <c r="S471" s="40"/>
      <c r="T471" s="120">
        <v>1.0399</v>
      </c>
      <c r="U471" s="120"/>
      <c r="V471" s="120"/>
      <c r="W471" s="120"/>
      <c r="X471" s="120"/>
      <c r="Y471" s="120"/>
      <c r="Z471" s="3"/>
      <c r="AB471" s="3"/>
      <c r="AC471" s="42" t="s">
        <v>1032</v>
      </c>
      <c r="AD471" s="2"/>
      <c r="AE471" s="40"/>
    </row>
    <row r="472" spans="1:31" x14ac:dyDescent="0.25">
      <c r="A472" s="38" t="s">
        <v>36</v>
      </c>
      <c r="B472" s="38" t="s">
        <v>662</v>
      </c>
      <c r="C472" s="38" t="s">
        <v>1032</v>
      </c>
      <c r="D472" s="38" t="s">
        <v>1033</v>
      </c>
      <c r="E472" s="38" t="s">
        <v>1034</v>
      </c>
      <c r="F472" s="38">
        <v>607</v>
      </c>
      <c r="G472" s="38">
        <v>607</v>
      </c>
      <c r="H472" s="38">
        <f t="shared" si="22"/>
        <v>945</v>
      </c>
      <c r="I472" s="38">
        <v>617</v>
      </c>
      <c r="J472" s="38">
        <v>328</v>
      </c>
      <c r="K472" s="38">
        <v>289</v>
      </c>
      <c r="L472" s="50">
        <f t="shared" si="23"/>
        <v>30.582010582010582</v>
      </c>
      <c r="M472" s="38">
        <v>40</v>
      </c>
      <c r="N472" s="50">
        <f t="shared" si="24"/>
        <v>4.2328042328042326</v>
      </c>
      <c r="O472" s="38">
        <v>0</v>
      </c>
      <c r="P472" s="38">
        <v>46.8</v>
      </c>
      <c r="Q472" s="120" t="s">
        <v>43</v>
      </c>
      <c r="R472" s="111">
        <v>45463</v>
      </c>
      <c r="S472" s="40"/>
      <c r="T472" s="120">
        <v>1.3467</v>
      </c>
      <c r="U472" s="120"/>
      <c r="V472" s="120"/>
      <c r="W472" s="120"/>
      <c r="X472" s="120"/>
      <c r="Y472" s="120"/>
      <c r="Z472" s="3"/>
      <c r="AB472" s="3"/>
      <c r="AC472" s="42" t="s">
        <v>1033</v>
      </c>
      <c r="AD472" s="2"/>
      <c r="AE472" s="40"/>
    </row>
    <row r="473" spans="1:31" x14ac:dyDescent="0.25">
      <c r="A473" s="38" t="s">
        <v>36</v>
      </c>
      <c r="B473" s="38" t="s">
        <v>662</v>
      </c>
      <c r="C473" s="38" t="s">
        <v>1032</v>
      </c>
      <c r="D473" s="38" t="s">
        <v>1035</v>
      </c>
      <c r="E473" s="38" t="s">
        <v>1036</v>
      </c>
      <c r="F473" s="38">
        <v>458</v>
      </c>
      <c r="G473" s="38">
        <v>458</v>
      </c>
      <c r="H473" s="38">
        <f t="shared" si="22"/>
        <v>502</v>
      </c>
      <c r="I473" s="38">
        <v>331</v>
      </c>
      <c r="J473" s="38">
        <v>171</v>
      </c>
      <c r="K473" s="38">
        <v>160</v>
      </c>
      <c r="L473" s="50">
        <f t="shared" si="23"/>
        <v>31.872509960159363</v>
      </c>
      <c r="M473" s="38">
        <v>0</v>
      </c>
      <c r="N473" s="50">
        <f t="shared" si="24"/>
        <v>0</v>
      </c>
      <c r="O473" s="38">
        <v>0</v>
      </c>
      <c r="P473" s="38">
        <v>0</v>
      </c>
      <c r="Q473" s="120" t="s">
        <v>43</v>
      </c>
      <c r="R473" s="111">
        <v>45463</v>
      </c>
      <c r="S473" s="40"/>
      <c r="T473" s="120">
        <v>0.53390000000000004</v>
      </c>
      <c r="U473" s="120"/>
      <c r="V473" s="120"/>
      <c r="W473" s="120"/>
      <c r="X473" s="120"/>
      <c r="Y473" s="120"/>
      <c r="Z473" s="3"/>
      <c r="AB473" s="3"/>
      <c r="AC473" s="42" t="s">
        <v>1035</v>
      </c>
      <c r="AD473" s="2"/>
      <c r="AE473" s="40"/>
    </row>
    <row r="474" spans="1:31" x14ac:dyDescent="0.25">
      <c r="A474" s="38" t="s">
        <v>36</v>
      </c>
      <c r="B474" s="38" t="s">
        <v>662</v>
      </c>
      <c r="C474" s="38" t="s">
        <v>1032</v>
      </c>
      <c r="D474" s="38" t="s">
        <v>1037</v>
      </c>
      <c r="E474" s="38" t="s">
        <v>1038</v>
      </c>
      <c r="F474" s="38">
        <v>377.89</v>
      </c>
      <c r="G474" s="38">
        <v>377.89</v>
      </c>
      <c r="H474" s="38">
        <f t="shared" si="22"/>
        <v>325</v>
      </c>
      <c r="I474" s="38">
        <v>220</v>
      </c>
      <c r="J474" s="38">
        <v>105</v>
      </c>
      <c r="K474" s="38">
        <v>115</v>
      </c>
      <c r="L474" s="50">
        <f t="shared" si="23"/>
        <v>35.384615384615387</v>
      </c>
      <c r="M474" s="38">
        <v>0</v>
      </c>
      <c r="N474" s="50">
        <f t="shared" si="24"/>
        <v>0</v>
      </c>
      <c r="O474" s="38">
        <v>0</v>
      </c>
      <c r="P474" s="38">
        <v>2</v>
      </c>
      <c r="Q474" s="120" t="s">
        <v>43</v>
      </c>
      <c r="R474" s="111">
        <v>45463</v>
      </c>
      <c r="S474" s="40"/>
      <c r="T474" s="120">
        <v>2.3218000000000001</v>
      </c>
      <c r="U474" s="120"/>
      <c r="V474" s="120"/>
      <c r="W474" s="120"/>
      <c r="X474" s="120"/>
      <c r="Y474" s="120"/>
      <c r="Z474" s="3"/>
      <c r="AB474" s="3"/>
      <c r="AC474" s="42" t="s">
        <v>1037</v>
      </c>
      <c r="AD474" s="2"/>
      <c r="AE474" s="40"/>
    </row>
    <row r="475" spans="1:31" x14ac:dyDescent="0.25">
      <c r="A475" s="38" t="s">
        <v>36</v>
      </c>
      <c r="B475" s="38" t="s">
        <v>662</v>
      </c>
      <c r="C475" s="38" t="s">
        <v>1032</v>
      </c>
      <c r="D475" s="38" t="s">
        <v>1039</v>
      </c>
      <c r="E475" s="38" t="s">
        <v>1040</v>
      </c>
      <c r="F475" s="38">
        <v>361.1</v>
      </c>
      <c r="G475" s="38">
        <v>361.1</v>
      </c>
      <c r="H475" s="38">
        <f t="shared" si="22"/>
        <v>743</v>
      </c>
      <c r="I475" s="38">
        <v>489</v>
      </c>
      <c r="J475" s="38">
        <v>254</v>
      </c>
      <c r="K475" s="38">
        <v>235</v>
      </c>
      <c r="L475" s="50">
        <f t="shared" si="23"/>
        <v>31.628532974427991</v>
      </c>
      <c r="M475" s="38">
        <v>0</v>
      </c>
      <c r="N475" s="50">
        <f t="shared" si="24"/>
        <v>0</v>
      </c>
      <c r="O475" s="38">
        <v>0</v>
      </c>
      <c r="P475" s="38">
        <v>0</v>
      </c>
      <c r="Q475" s="120" t="s">
        <v>43</v>
      </c>
      <c r="R475" s="111">
        <v>45463</v>
      </c>
      <c r="S475" s="40"/>
      <c r="T475" s="120">
        <v>0.43559999999999999</v>
      </c>
      <c r="U475" s="120"/>
      <c r="V475" s="120"/>
      <c r="W475" s="120"/>
      <c r="X475" s="120"/>
      <c r="Y475" s="120"/>
      <c r="Z475" s="3"/>
      <c r="AB475" s="3"/>
      <c r="AC475" s="42" t="s">
        <v>1039</v>
      </c>
      <c r="AD475" s="2"/>
      <c r="AE475" s="40"/>
    </row>
    <row r="476" spans="1:31" x14ac:dyDescent="0.25">
      <c r="A476" s="38" t="s">
        <v>36</v>
      </c>
      <c r="B476" s="38" t="s">
        <v>662</v>
      </c>
      <c r="C476" s="38" t="s">
        <v>1032</v>
      </c>
      <c r="D476" s="38" t="s">
        <v>1041</v>
      </c>
      <c r="E476" s="38" t="s">
        <v>1042</v>
      </c>
      <c r="F476" s="38">
        <v>267.32</v>
      </c>
      <c r="G476" s="38">
        <v>267.32</v>
      </c>
      <c r="H476" s="38">
        <f t="shared" si="22"/>
        <v>420</v>
      </c>
      <c r="I476" s="38">
        <v>274</v>
      </c>
      <c r="J476" s="38">
        <v>146</v>
      </c>
      <c r="K476" s="38">
        <v>128</v>
      </c>
      <c r="L476" s="50">
        <f t="shared" si="23"/>
        <v>30.476190476190478</v>
      </c>
      <c r="M476" s="38">
        <v>0</v>
      </c>
      <c r="N476" s="50">
        <f t="shared" si="24"/>
        <v>0</v>
      </c>
      <c r="O476" s="38">
        <v>0</v>
      </c>
      <c r="P476" s="38">
        <v>0</v>
      </c>
      <c r="Q476" s="120" t="s">
        <v>43</v>
      </c>
      <c r="R476" s="111">
        <v>45463</v>
      </c>
      <c r="S476" s="40"/>
      <c r="T476" s="120">
        <v>1.0456000000000001</v>
      </c>
      <c r="U476" s="120"/>
      <c r="V476" s="120"/>
      <c r="W476" s="120"/>
      <c r="X476" s="120"/>
      <c r="Y476" s="120"/>
      <c r="Z476" s="3"/>
      <c r="AB476" s="3"/>
      <c r="AC476" s="42" t="s">
        <v>1041</v>
      </c>
      <c r="AD476" s="2"/>
      <c r="AE476" s="40"/>
    </row>
    <row r="477" spans="1:31" x14ac:dyDescent="0.25">
      <c r="A477" s="38" t="s">
        <v>36</v>
      </c>
      <c r="B477" s="38" t="s">
        <v>662</v>
      </c>
      <c r="C477" s="38" t="s">
        <v>1032</v>
      </c>
      <c r="D477" s="38" t="s">
        <v>1043</v>
      </c>
      <c r="E477" s="38" t="s">
        <v>1044</v>
      </c>
      <c r="F477" s="38">
        <v>449.95</v>
      </c>
      <c r="G477" s="38">
        <v>449.95</v>
      </c>
      <c r="H477" s="38">
        <f t="shared" si="22"/>
        <v>507</v>
      </c>
      <c r="I477" s="38">
        <v>340</v>
      </c>
      <c r="J477" s="38">
        <v>167</v>
      </c>
      <c r="K477" s="38">
        <v>173</v>
      </c>
      <c r="L477" s="50">
        <f t="shared" si="23"/>
        <v>34.122287968441817</v>
      </c>
      <c r="M477" s="38">
        <v>1</v>
      </c>
      <c r="N477" s="50">
        <f t="shared" si="24"/>
        <v>0.19723865877712032</v>
      </c>
      <c r="O477" s="38">
        <v>0</v>
      </c>
      <c r="P477" s="38">
        <v>0</v>
      </c>
      <c r="Q477" s="120" t="s">
        <v>43</v>
      </c>
      <c r="R477" s="111">
        <v>45463</v>
      </c>
      <c r="S477" s="40"/>
      <c r="T477" s="120">
        <v>0.23669999999999999</v>
      </c>
      <c r="U477" s="120"/>
      <c r="V477" s="120"/>
      <c r="W477" s="120"/>
      <c r="X477" s="120"/>
      <c r="Y477" s="120"/>
      <c r="Z477" s="3"/>
      <c r="AB477" s="3"/>
      <c r="AC477" s="42" t="s">
        <v>1043</v>
      </c>
      <c r="AD477" s="2"/>
      <c r="AE477" s="40"/>
    </row>
    <row r="478" spans="1:31" x14ac:dyDescent="0.25">
      <c r="A478" s="38" t="s">
        <v>36</v>
      </c>
      <c r="B478" s="38" t="s">
        <v>662</v>
      </c>
      <c r="C478" s="38" t="s">
        <v>1032</v>
      </c>
      <c r="D478" s="42" t="s">
        <v>1045</v>
      </c>
      <c r="E478" s="38"/>
      <c r="F478" s="38"/>
      <c r="G478" s="38"/>
      <c r="H478" s="38">
        <f t="shared" si="22"/>
        <v>0</v>
      </c>
      <c r="I478" s="38"/>
      <c r="J478" s="38"/>
      <c r="K478" s="38"/>
      <c r="L478" s="50"/>
      <c r="M478" s="38"/>
      <c r="N478" s="50"/>
      <c r="O478" s="38"/>
      <c r="P478" s="38"/>
      <c r="Q478" s="120" t="s">
        <v>43</v>
      </c>
      <c r="R478" s="111">
        <v>45463</v>
      </c>
      <c r="S478" s="40"/>
      <c r="T478" s="120">
        <v>46.865400000000001</v>
      </c>
      <c r="U478" s="120"/>
      <c r="V478" s="120"/>
      <c r="W478" s="120"/>
      <c r="X478" s="120"/>
      <c r="Y478" s="120"/>
      <c r="Z478" s="3"/>
      <c r="AB478" s="3">
        <v>10</v>
      </c>
      <c r="AC478" s="42" t="s">
        <v>1045</v>
      </c>
      <c r="AD478" s="2">
        <v>25.795300999999998</v>
      </c>
      <c r="AE478" s="40">
        <v>71.689143000000001</v>
      </c>
    </row>
    <row r="479" spans="1:31" x14ac:dyDescent="0.25">
      <c r="A479" s="38" t="s">
        <v>36</v>
      </c>
      <c r="B479" s="38" t="s">
        <v>662</v>
      </c>
      <c r="C479" s="38" t="s">
        <v>1032</v>
      </c>
      <c r="D479" s="42" t="s">
        <v>1046</v>
      </c>
      <c r="E479" s="38"/>
      <c r="F479" s="38"/>
      <c r="G479" s="38"/>
      <c r="H479" s="38">
        <f t="shared" si="22"/>
        <v>0</v>
      </c>
      <c r="I479" s="38"/>
      <c r="J479" s="38"/>
      <c r="K479" s="38"/>
      <c r="L479" s="50"/>
      <c r="M479" s="38"/>
      <c r="N479" s="50"/>
      <c r="O479" s="38"/>
      <c r="P479" s="38"/>
      <c r="Q479" s="120" t="s">
        <v>43</v>
      </c>
      <c r="R479" s="111">
        <v>45463</v>
      </c>
      <c r="S479" s="40"/>
      <c r="T479" s="120">
        <v>1.3467</v>
      </c>
      <c r="U479" s="120"/>
      <c r="V479" s="120"/>
      <c r="W479" s="120"/>
      <c r="X479" s="120"/>
      <c r="Y479" s="120"/>
      <c r="Z479" s="3"/>
      <c r="AB479" s="3"/>
      <c r="AC479" s="42" t="s">
        <v>1046</v>
      </c>
      <c r="AD479" s="2"/>
      <c r="AE479" s="40"/>
    </row>
    <row r="480" spans="1:31" x14ac:dyDescent="0.25">
      <c r="A480" s="38" t="s">
        <v>36</v>
      </c>
      <c r="B480" s="38" t="s">
        <v>662</v>
      </c>
      <c r="C480" s="38" t="s">
        <v>1032</v>
      </c>
      <c r="D480" s="42" t="s">
        <v>1047</v>
      </c>
      <c r="E480" s="38"/>
      <c r="F480" s="38"/>
      <c r="G480" s="38"/>
      <c r="H480" s="38">
        <f t="shared" si="22"/>
        <v>0</v>
      </c>
      <c r="I480" s="38"/>
      <c r="J480" s="38"/>
      <c r="K480" s="38"/>
      <c r="L480" s="50"/>
      <c r="M480" s="38"/>
      <c r="N480" s="50"/>
      <c r="O480" s="38"/>
      <c r="P480" s="38"/>
      <c r="Q480" s="120" t="s">
        <v>43</v>
      </c>
      <c r="R480" s="111">
        <v>45463</v>
      </c>
      <c r="S480" s="40"/>
      <c r="T480" s="120">
        <v>1.2274</v>
      </c>
      <c r="U480" s="120"/>
      <c r="V480" s="120"/>
      <c r="W480" s="120"/>
      <c r="X480" s="120"/>
      <c r="Y480" s="120"/>
      <c r="Z480" s="3"/>
      <c r="AB480" s="3"/>
      <c r="AC480" s="42" t="s">
        <v>1047</v>
      </c>
      <c r="AD480" s="2"/>
      <c r="AE480" s="40"/>
    </row>
    <row r="481" spans="1:31" x14ac:dyDescent="0.25">
      <c r="A481" s="38" t="s">
        <v>36</v>
      </c>
      <c r="B481" s="38" t="s">
        <v>1048</v>
      </c>
      <c r="C481" s="38" t="s">
        <v>1049</v>
      </c>
      <c r="D481" s="38" t="s">
        <v>1050</v>
      </c>
      <c r="E481" s="38" t="s">
        <v>1051</v>
      </c>
      <c r="F481" s="38">
        <v>1215.3699999999999</v>
      </c>
      <c r="G481" s="38">
        <v>1215.3699999999999</v>
      </c>
      <c r="H481" s="38">
        <f t="shared" si="22"/>
        <v>0</v>
      </c>
      <c r="I481" s="38"/>
      <c r="J481" s="38"/>
      <c r="K481" s="38"/>
      <c r="L481" s="50"/>
      <c r="M481" s="38"/>
      <c r="N481" s="50"/>
      <c r="O481" s="38">
        <v>0</v>
      </c>
      <c r="P481" s="38">
        <v>121.41</v>
      </c>
      <c r="Q481" s="6" t="s">
        <v>43</v>
      </c>
      <c r="R481" s="7">
        <v>44466</v>
      </c>
      <c r="S481" s="6"/>
      <c r="T481" s="6"/>
      <c r="U481" s="6"/>
      <c r="V481" s="6"/>
      <c r="W481" s="6"/>
      <c r="X481" s="6"/>
      <c r="Y481" s="6"/>
      <c r="Z481" s="6"/>
      <c r="AB481" s="6"/>
      <c r="AC481" s="11" t="s">
        <v>1052</v>
      </c>
      <c r="AD481" s="6"/>
      <c r="AE481" s="6"/>
    </row>
    <row r="482" spans="1:31" x14ac:dyDescent="0.25">
      <c r="A482" s="38" t="s">
        <v>36</v>
      </c>
      <c r="B482" s="38" t="s">
        <v>1048</v>
      </c>
      <c r="C482" s="38" t="s">
        <v>1049</v>
      </c>
      <c r="D482" s="38" t="s">
        <v>1053</v>
      </c>
      <c r="E482" s="38" t="s">
        <v>1054</v>
      </c>
      <c r="F482" s="38">
        <v>2523.5300000000002</v>
      </c>
      <c r="G482" s="38">
        <v>2523.5300000000002</v>
      </c>
      <c r="H482" s="38">
        <f t="shared" si="22"/>
        <v>2016</v>
      </c>
      <c r="I482" s="38">
        <v>1333</v>
      </c>
      <c r="J482" s="38">
        <v>683</v>
      </c>
      <c r="K482" s="38">
        <v>650</v>
      </c>
      <c r="L482" s="50">
        <f t="shared" si="23"/>
        <v>32.242063492063494</v>
      </c>
      <c r="M482" s="38">
        <v>225</v>
      </c>
      <c r="N482" s="50">
        <f t="shared" si="24"/>
        <v>11.160714285714286</v>
      </c>
      <c r="O482" s="38">
        <v>0</v>
      </c>
      <c r="P482" s="38">
        <v>99.37</v>
      </c>
      <c r="Q482" s="51" t="s">
        <v>43</v>
      </c>
      <c r="R482" s="9">
        <v>44466</v>
      </c>
      <c r="S482" s="51"/>
      <c r="T482" s="51"/>
      <c r="U482" s="51"/>
      <c r="V482" s="51"/>
      <c r="W482" s="51"/>
      <c r="X482" s="51"/>
      <c r="Y482" s="51"/>
      <c r="Z482" s="52"/>
      <c r="AB482" s="52">
        <v>10</v>
      </c>
      <c r="AC482" s="51" t="s">
        <v>1055</v>
      </c>
      <c r="AD482" s="51">
        <v>25.925577000000001</v>
      </c>
      <c r="AE482" s="51">
        <v>72.052884000000006</v>
      </c>
    </row>
    <row r="483" spans="1:31" x14ac:dyDescent="0.25">
      <c r="A483" s="38" t="s">
        <v>36</v>
      </c>
      <c r="B483" s="38" t="s">
        <v>36</v>
      </c>
      <c r="C483" s="38" t="s">
        <v>1049</v>
      </c>
      <c r="D483" s="38" t="s">
        <v>1053</v>
      </c>
      <c r="E483" s="38" t="s">
        <v>1053</v>
      </c>
      <c r="F483" s="38">
        <v>2523.5300000000002</v>
      </c>
      <c r="G483" s="38">
        <v>2523.5300000000002</v>
      </c>
      <c r="H483" s="38">
        <f t="shared" si="22"/>
        <v>642.63</v>
      </c>
      <c r="I483" s="38">
        <v>543.26</v>
      </c>
      <c r="J483" s="38">
        <v>99.37</v>
      </c>
      <c r="K483" s="38">
        <v>332.19</v>
      </c>
      <c r="L483" s="50">
        <f t="shared" si="23"/>
        <v>51.692264600158722</v>
      </c>
      <c r="M483" s="38">
        <v>13.58</v>
      </c>
      <c r="N483" s="50">
        <f t="shared" si="24"/>
        <v>2.113191105301651</v>
      </c>
      <c r="O483" s="38"/>
      <c r="P483" s="38"/>
      <c r="Q483" s="51" t="s">
        <v>43</v>
      </c>
      <c r="R483" s="9">
        <v>44466</v>
      </c>
      <c r="S483" s="51"/>
      <c r="T483" s="51"/>
      <c r="U483" s="51"/>
      <c r="V483" s="51"/>
      <c r="W483" s="51"/>
      <c r="X483" s="51"/>
      <c r="Y483" s="51"/>
      <c r="Z483" s="52"/>
      <c r="AB483" s="52">
        <v>20</v>
      </c>
      <c r="AC483" s="51" t="s">
        <v>1056</v>
      </c>
      <c r="AD483" s="51">
        <v>25.925578999999999</v>
      </c>
      <c r="AE483" s="51">
        <v>72.052898999999996</v>
      </c>
    </row>
    <row r="484" spans="1:31" x14ac:dyDescent="0.25">
      <c r="A484" s="38" t="s">
        <v>36</v>
      </c>
      <c r="B484" s="38" t="s">
        <v>36</v>
      </c>
      <c r="C484" s="38" t="s">
        <v>1049</v>
      </c>
      <c r="D484" s="38" t="s">
        <v>1053</v>
      </c>
      <c r="E484" s="38" t="s">
        <v>1053</v>
      </c>
      <c r="F484" s="38">
        <v>2523.5300000000002</v>
      </c>
      <c r="G484" s="38">
        <v>2523.5300000000002</v>
      </c>
      <c r="H484" s="38">
        <f t="shared" si="22"/>
        <v>642.63</v>
      </c>
      <c r="I484" s="38">
        <v>543.26</v>
      </c>
      <c r="J484" s="38">
        <v>99.37</v>
      </c>
      <c r="K484" s="38">
        <v>332.19</v>
      </c>
      <c r="L484" s="50">
        <f t="shared" si="23"/>
        <v>51.692264600158722</v>
      </c>
      <c r="M484" s="38">
        <v>13.58</v>
      </c>
      <c r="N484" s="50">
        <f t="shared" si="24"/>
        <v>2.113191105301651</v>
      </c>
      <c r="O484" s="38"/>
      <c r="P484" s="38"/>
      <c r="Q484" s="51" t="s">
        <v>43</v>
      </c>
      <c r="R484" s="9">
        <v>44466</v>
      </c>
      <c r="S484" s="51"/>
      <c r="T484" s="51"/>
      <c r="U484" s="51"/>
      <c r="V484" s="51"/>
      <c r="W484" s="51"/>
      <c r="X484" s="51"/>
      <c r="Y484" s="51"/>
      <c r="Z484" s="52"/>
      <c r="AB484" s="52">
        <v>10</v>
      </c>
      <c r="AC484" s="51" t="s">
        <v>1057</v>
      </c>
      <c r="AD484" s="51">
        <v>25.927783000000002</v>
      </c>
      <c r="AE484" s="51">
        <v>72.064284999999998</v>
      </c>
    </row>
    <row r="485" spans="1:31" x14ac:dyDescent="0.25">
      <c r="A485" s="38" t="s">
        <v>36</v>
      </c>
      <c r="B485" s="38" t="s">
        <v>1048</v>
      </c>
      <c r="C485" s="38" t="s">
        <v>1049</v>
      </c>
      <c r="D485" s="38" t="s">
        <v>1058</v>
      </c>
      <c r="E485" s="38" t="s">
        <v>1059</v>
      </c>
      <c r="F485" s="38">
        <v>1986.67</v>
      </c>
      <c r="G485" s="38">
        <v>1986.67</v>
      </c>
      <c r="H485" s="38">
        <f t="shared" si="22"/>
        <v>1123</v>
      </c>
      <c r="I485" s="38">
        <v>739</v>
      </c>
      <c r="J485" s="38">
        <v>384</v>
      </c>
      <c r="K485" s="38">
        <v>355</v>
      </c>
      <c r="L485" s="50">
        <f t="shared" si="23"/>
        <v>31.611754229741763</v>
      </c>
      <c r="M485" s="38">
        <v>106</v>
      </c>
      <c r="N485" s="50">
        <f t="shared" si="24"/>
        <v>9.4390026714158495</v>
      </c>
      <c r="O485" s="38">
        <v>0</v>
      </c>
      <c r="P485" s="38">
        <v>264.17</v>
      </c>
      <c r="Q485" s="51" t="s">
        <v>43</v>
      </c>
      <c r="R485" s="9">
        <v>44466</v>
      </c>
      <c r="S485" s="51"/>
      <c r="T485" s="51"/>
      <c r="U485" s="51"/>
      <c r="V485" s="51"/>
      <c r="W485" s="51"/>
      <c r="X485" s="51"/>
      <c r="Y485" s="51"/>
      <c r="Z485" s="53"/>
      <c r="AB485" s="53">
        <v>20</v>
      </c>
      <c r="AC485" s="51" t="s">
        <v>1060</v>
      </c>
      <c r="AD485" s="51">
        <v>25.942710999999999</v>
      </c>
      <c r="AE485" s="51">
        <v>72.051856000000001</v>
      </c>
    </row>
    <row r="486" spans="1:31" x14ac:dyDescent="0.25">
      <c r="A486" s="38" t="s">
        <v>36</v>
      </c>
      <c r="B486" s="38" t="s">
        <v>1048</v>
      </c>
      <c r="C486" s="38" t="s">
        <v>1049</v>
      </c>
      <c r="D486" s="38" t="s">
        <v>1058</v>
      </c>
      <c r="E486" s="38">
        <v>1986.67</v>
      </c>
      <c r="F486" s="38">
        <v>0</v>
      </c>
      <c r="G486" s="38">
        <v>0</v>
      </c>
      <c r="H486" s="38">
        <f t="shared" si="22"/>
        <v>266.99</v>
      </c>
      <c r="I486" s="38">
        <v>264.17</v>
      </c>
      <c r="J486" s="38">
        <v>2.82</v>
      </c>
      <c r="K486" s="38">
        <v>132</v>
      </c>
      <c r="L486" s="50">
        <f t="shared" si="23"/>
        <v>49.440053934604286</v>
      </c>
      <c r="M486" s="38">
        <v>0</v>
      </c>
      <c r="N486" s="50">
        <f t="shared" si="24"/>
        <v>0</v>
      </c>
      <c r="O486" s="38">
        <v>0</v>
      </c>
      <c r="P486" s="38">
        <v>264.17</v>
      </c>
      <c r="Q486" s="51" t="s">
        <v>43</v>
      </c>
      <c r="R486" s="9">
        <v>44466</v>
      </c>
      <c r="S486" s="51"/>
      <c r="T486" s="51"/>
      <c r="U486" s="51"/>
      <c r="V486" s="51"/>
      <c r="W486" s="51"/>
      <c r="X486" s="51"/>
      <c r="Y486" s="51"/>
      <c r="Z486" s="53"/>
      <c r="AB486" s="53">
        <v>23</v>
      </c>
      <c r="AC486" s="51" t="s">
        <v>1061</v>
      </c>
      <c r="AD486" s="51">
        <v>25.942715</v>
      </c>
      <c r="AE486" s="51">
        <v>72.051854000000006</v>
      </c>
    </row>
    <row r="487" spans="1:31" x14ac:dyDescent="0.25">
      <c r="A487" s="38" t="s">
        <v>36</v>
      </c>
      <c r="B487" s="38" t="s">
        <v>1048</v>
      </c>
      <c r="C487" s="38" t="s">
        <v>1049</v>
      </c>
      <c r="D487" s="38" t="s">
        <v>1062</v>
      </c>
      <c r="E487" s="38" t="s">
        <v>1063</v>
      </c>
      <c r="F487" s="38">
        <v>993.68</v>
      </c>
      <c r="G487" s="38">
        <v>993.68</v>
      </c>
      <c r="H487" s="38">
        <f t="shared" si="22"/>
        <v>1109</v>
      </c>
      <c r="I487" s="38">
        <v>724</v>
      </c>
      <c r="J487" s="38">
        <v>385</v>
      </c>
      <c r="K487" s="38">
        <v>339</v>
      </c>
      <c r="L487" s="50">
        <f t="shared" si="23"/>
        <v>30.568079350766457</v>
      </c>
      <c r="M487" s="38">
        <v>38</v>
      </c>
      <c r="N487" s="50">
        <f t="shared" si="24"/>
        <v>3.4265103697024344</v>
      </c>
      <c r="O487" s="38">
        <v>0</v>
      </c>
      <c r="P487" s="38">
        <v>80.510000000000005</v>
      </c>
      <c r="Q487" s="51" t="s">
        <v>43</v>
      </c>
      <c r="R487" s="9">
        <v>44466</v>
      </c>
      <c r="S487" s="51"/>
      <c r="T487" s="51"/>
      <c r="U487" s="51"/>
      <c r="V487" s="51"/>
      <c r="W487" s="51"/>
      <c r="X487" s="51"/>
      <c r="Y487" s="51"/>
      <c r="Z487" s="52"/>
      <c r="AB487" s="52">
        <v>3</v>
      </c>
      <c r="AC487" s="52" t="s">
        <v>1064</v>
      </c>
      <c r="AD487" s="51">
        <v>25.954239000000001</v>
      </c>
      <c r="AE487" s="51">
        <v>72.097927999999996</v>
      </c>
    </row>
    <row r="488" spans="1:31" x14ac:dyDescent="0.25">
      <c r="A488" s="38" t="s">
        <v>36</v>
      </c>
      <c r="B488" s="38" t="s">
        <v>1048</v>
      </c>
      <c r="C488" s="38" t="s">
        <v>1049</v>
      </c>
      <c r="D488" s="38" t="s">
        <v>1065</v>
      </c>
      <c r="E488" s="38" t="s">
        <v>1066</v>
      </c>
      <c r="F488" s="38">
        <v>524.26</v>
      </c>
      <c r="G488" s="38">
        <v>524.26</v>
      </c>
      <c r="H488" s="38">
        <f t="shared" si="22"/>
        <v>461</v>
      </c>
      <c r="I488" s="38">
        <v>304</v>
      </c>
      <c r="J488" s="38">
        <v>157</v>
      </c>
      <c r="K488" s="38">
        <v>147</v>
      </c>
      <c r="L488" s="50">
        <f t="shared" si="23"/>
        <v>31.887201735357916</v>
      </c>
      <c r="M488" s="38">
        <v>138</v>
      </c>
      <c r="N488" s="50">
        <f t="shared" si="24"/>
        <v>29.934924078091107</v>
      </c>
      <c r="O488" s="38">
        <v>0</v>
      </c>
      <c r="P488" s="38">
        <v>0</v>
      </c>
      <c r="Q488" s="6" t="s">
        <v>43</v>
      </c>
      <c r="R488" s="7">
        <v>44466</v>
      </c>
      <c r="S488" s="6"/>
      <c r="T488" s="6"/>
      <c r="U488" s="6"/>
      <c r="V488" s="6"/>
      <c r="W488" s="6"/>
      <c r="X488" s="6"/>
      <c r="Y488" s="6"/>
      <c r="Z488" s="6"/>
      <c r="AB488" s="6"/>
      <c r="AC488" s="11" t="s">
        <v>1067</v>
      </c>
      <c r="AD488" s="6">
        <v>0</v>
      </c>
      <c r="AE488" s="6"/>
    </row>
    <row r="489" spans="1:31" x14ac:dyDescent="0.25">
      <c r="A489" s="38" t="s">
        <v>36</v>
      </c>
      <c r="B489" s="38" t="s">
        <v>1048</v>
      </c>
      <c r="C489" s="38" t="s">
        <v>1049</v>
      </c>
      <c r="D489" s="38" t="s">
        <v>1068</v>
      </c>
      <c r="E489" s="38" t="s">
        <v>1069</v>
      </c>
      <c r="F489" s="38">
        <v>1568.89</v>
      </c>
      <c r="G489" s="38">
        <v>1568.89</v>
      </c>
      <c r="H489" s="38">
        <f t="shared" si="22"/>
        <v>1298</v>
      </c>
      <c r="I489" s="38">
        <v>847</v>
      </c>
      <c r="J489" s="38">
        <v>451</v>
      </c>
      <c r="K489" s="38">
        <v>396</v>
      </c>
      <c r="L489" s="50">
        <f t="shared" si="23"/>
        <v>30.508474576271187</v>
      </c>
      <c r="M489" s="38">
        <v>4</v>
      </c>
      <c r="N489" s="50">
        <f t="shared" si="24"/>
        <v>0.30816640986132515</v>
      </c>
      <c r="O489" s="38">
        <v>0</v>
      </c>
      <c r="P489" s="38">
        <v>0</v>
      </c>
      <c r="Q489" s="6" t="s">
        <v>43</v>
      </c>
      <c r="R489" s="7">
        <v>44467</v>
      </c>
      <c r="S489" s="6"/>
      <c r="T489" s="6"/>
      <c r="U489" s="6"/>
      <c r="V489" s="6"/>
      <c r="W489" s="6"/>
      <c r="X489" s="6"/>
      <c r="Y489" s="6"/>
      <c r="Z489" s="6"/>
      <c r="AB489" s="6"/>
      <c r="AC489" s="11" t="s">
        <v>1070</v>
      </c>
      <c r="AD489" s="6">
        <v>0</v>
      </c>
      <c r="AE489" s="6"/>
    </row>
    <row r="490" spans="1:31" x14ac:dyDescent="0.25">
      <c r="A490" s="38" t="s">
        <v>36</v>
      </c>
      <c r="B490" s="38" t="s">
        <v>1048</v>
      </c>
      <c r="C490" s="38" t="s">
        <v>1071</v>
      </c>
      <c r="D490" s="38" t="s">
        <v>1072</v>
      </c>
      <c r="E490" s="38" t="s">
        <v>1073</v>
      </c>
      <c r="F490" s="38">
        <v>5067</v>
      </c>
      <c r="G490" s="38">
        <v>5067</v>
      </c>
      <c r="H490" s="38">
        <f t="shared" si="22"/>
        <v>0</v>
      </c>
      <c r="I490" s="38"/>
      <c r="J490" s="38"/>
      <c r="K490" s="38"/>
      <c r="L490" s="50"/>
      <c r="M490" s="38"/>
      <c r="N490" s="50"/>
      <c r="O490" s="38">
        <v>0</v>
      </c>
      <c r="P490" s="38">
        <v>527</v>
      </c>
      <c r="Q490" s="51" t="s">
        <v>43</v>
      </c>
      <c r="R490" s="9">
        <v>44474</v>
      </c>
      <c r="S490" s="51"/>
      <c r="T490" s="51"/>
      <c r="U490" s="51"/>
      <c r="V490" s="51"/>
      <c r="W490" s="51"/>
      <c r="X490" s="51"/>
      <c r="Y490" s="51"/>
      <c r="Z490" s="53"/>
      <c r="AB490" s="53"/>
      <c r="AC490" s="51" t="s">
        <v>1074</v>
      </c>
      <c r="AD490" s="51">
        <v>25.745584999999998</v>
      </c>
      <c r="AE490" s="51">
        <v>72.229541999999995</v>
      </c>
    </row>
    <row r="491" spans="1:31" x14ac:dyDescent="0.25">
      <c r="A491" s="38" t="s">
        <v>36</v>
      </c>
      <c r="B491" s="38" t="s">
        <v>1048</v>
      </c>
      <c r="C491" s="38" t="s">
        <v>1071</v>
      </c>
      <c r="D491" s="38" t="s">
        <v>1072</v>
      </c>
      <c r="E491" s="38"/>
      <c r="F491" s="38">
        <v>5067</v>
      </c>
      <c r="G491" s="38">
        <v>5067</v>
      </c>
      <c r="H491" s="38">
        <f t="shared" si="22"/>
        <v>0</v>
      </c>
      <c r="I491" s="38"/>
      <c r="J491" s="38"/>
      <c r="K491" s="38"/>
      <c r="L491" s="50"/>
      <c r="M491" s="38"/>
      <c r="N491" s="50"/>
      <c r="O491" s="38"/>
      <c r="P491" s="38">
        <v>527</v>
      </c>
      <c r="Q491" s="51" t="s">
        <v>43</v>
      </c>
      <c r="R491" s="28">
        <v>44474</v>
      </c>
      <c r="S491" s="51"/>
      <c r="T491" s="51"/>
      <c r="U491" s="51"/>
      <c r="V491" s="51"/>
      <c r="W491" s="51"/>
      <c r="X491" s="51"/>
      <c r="Y491" s="51"/>
      <c r="Z491" s="53"/>
      <c r="AB491" s="53"/>
      <c r="AC491" s="51" t="s">
        <v>1075</v>
      </c>
      <c r="AD491" s="51">
        <v>25.768498000000001</v>
      </c>
      <c r="AE491" s="51">
        <v>72.207043999999996</v>
      </c>
    </row>
    <row r="492" spans="1:31" x14ac:dyDescent="0.25">
      <c r="A492" s="38" t="s">
        <v>36</v>
      </c>
      <c r="B492" s="38" t="s">
        <v>1048</v>
      </c>
      <c r="C492" s="38" t="s">
        <v>1071</v>
      </c>
      <c r="D492" s="38" t="s">
        <v>1072</v>
      </c>
      <c r="E492" s="38"/>
      <c r="F492" s="38">
        <v>5067</v>
      </c>
      <c r="G492" s="38">
        <v>5067</v>
      </c>
      <c r="H492" s="38">
        <f t="shared" si="22"/>
        <v>0</v>
      </c>
      <c r="I492" s="38"/>
      <c r="J492" s="38"/>
      <c r="K492" s="38"/>
      <c r="L492" s="50"/>
      <c r="M492" s="38"/>
      <c r="N492" s="50"/>
      <c r="O492" s="38"/>
      <c r="P492" s="38">
        <v>527</v>
      </c>
      <c r="Q492" s="51" t="s">
        <v>43</v>
      </c>
      <c r="R492" s="28">
        <v>44474</v>
      </c>
      <c r="S492" s="51"/>
      <c r="T492" s="51"/>
      <c r="U492" s="51"/>
      <c r="V492" s="51"/>
      <c r="W492" s="51"/>
      <c r="X492" s="51"/>
      <c r="Y492" s="51"/>
      <c r="Z492" s="53"/>
      <c r="AB492" s="53"/>
      <c r="AC492" s="51" t="s">
        <v>1076</v>
      </c>
      <c r="AD492" s="51">
        <v>25.746219</v>
      </c>
      <c r="AE492" s="51">
        <v>72.207306000000003</v>
      </c>
    </row>
    <row r="493" spans="1:31" x14ac:dyDescent="0.25">
      <c r="A493" s="38" t="s">
        <v>36</v>
      </c>
      <c r="B493" s="38" t="s">
        <v>1048</v>
      </c>
      <c r="C493" s="38" t="s">
        <v>1071</v>
      </c>
      <c r="D493" s="38" t="s">
        <v>1072</v>
      </c>
      <c r="E493" s="38" t="s">
        <v>1073</v>
      </c>
      <c r="F493" s="38">
        <v>5067</v>
      </c>
      <c r="G493" s="38">
        <v>5067</v>
      </c>
      <c r="H493" s="38">
        <f t="shared" si="22"/>
        <v>10212</v>
      </c>
      <c r="I493" s="38">
        <v>6759</v>
      </c>
      <c r="J493" s="38">
        <v>3453</v>
      </c>
      <c r="K493" s="38">
        <v>3306</v>
      </c>
      <c r="L493" s="50">
        <f t="shared" si="23"/>
        <v>32.373678025851937</v>
      </c>
      <c r="M493" s="38">
        <v>401</v>
      </c>
      <c r="N493" s="50">
        <f t="shared" si="24"/>
        <v>3.9267528397963178</v>
      </c>
      <c r="O493" s="38">
        <v>0</v>
      </c>
      <c r="P493" s="38">
        <v>527</v>
      </c>
      <c r="Q493" s="6" t="s">
        <v>43</v>
      </c>
      <c r="R493" s="7">
        <v>44474</v>
      </c>
      <c r="S493" s="6"/>
      <c r="T493" s="6"/>
      <c r="U493" s="6"/>
      <c r="V493" s="6"/>
      <c r="W493" s="6"/>
      <c r="X493" s="6"/>
      <c r="Y493" s="6"/>
      <c r="Z493" s="6"/>
      <c r="AB493" s="6"/>
      <c r="AC493" s="11" t="s">
        <v>1077</v>
      </c>
      <c r="AD493" s="6">
        <v>0</v>
      </c>
      <c r="AE493" s="6"/>
    </row>
    <row r="494" spans="1:31" x14ac:dyDescent="0.25">
      <c r="A494" s="38" t="s">
        <v>36</v>
      </c>
      <c r="B494" s="38" t="s">
        <v>1048</v>
      </c>
      <c r="C494" s="38" t="s">
        <v>1078</v>
      </c>
      <c r="D494" s="38" t="s">
        <v>1079</v>
      </c>
      <c r="E494" s="38" t="s">
        <v>1080</v>
      </c>
      <c r="F494" s="38">
        <v>641.99</v>
      </c>
      <c r="G494" s="38">
        <v>641.99</v>
      </c>
      <c r="H494" s="38">
        <f t="shared" si="22"/>
        <v>1126</v>
      </c>
      <c r="I494" s="38">
        <v>733</v>
      </c>
      <c r="J494" s="38">
        <v>393</v>
      </c>
      <c r="K494" s="38">
        <v>340</v>
      </c>
      <c r="L494" s="50">
        <f t="shared" si="23"/>
        <v>30.195381882770871</v>
      </c>
      <c r="M494" s="38">
        <v>0</v>
      </c>
      <c r="N494" s="50">
        <f t="shared" si="24"/>
        <v>0</v>
      </c>
      <c r="O494" s="38">
        <v>0</v>
      </c>
      <c r="P494" s="38">
        <v>6</v>
      </c>
      <c r="Q494" s="51" t="s">
        <v>43</v>
      </c>
      <c r="R494" s="28">
        <v>44466</v>
      </c>
      <c r="S494" s="51"/>
      <c r="T494" s="51"/>
      <c r="U494" s="51"/>
      <c r="V494" s="51"/>
      <c r="W494" s="51"/>
      <c r="X494" s="51"/>
      <c r="Y494" s="51"/>
      <c r="Z494" s="53"/>
      <c r="AB494" s="53"/>
      <c r="AC494" s="51" t="s">
        <v>1081</v>
      </c>
      <c r="AD494" s="51">
        <v>25.727561999999999</v>
      </c>
      <c r="AE494" s="51">
        <v>72.262872000000002</v>
      </c>
    </row>
    <row r="495" spans="1:31" x14ac:dyDescent="0.25">
      <c r="A495" s="38" t="s">
        <v>36</v>
      </c>
      <c r="B495" s="38" t="s">
        <v>1048</v>
      </c>
      <c r="C495" s="38" t="s">
        <v>1078</v>
      </c>
      <c r="D495" s="38" t="s">
        <v>1082</v>
      </c>
      <c r="E495" s="38" t="s">
        <v>1083</v>
      </c>
      <c r="F495" s="38">
        <v>5484.36</v>
      </c>
      <c r="G495" s="38">
        <v>5484.36</v>
      </c>
      <c r="H495" s="38">
        <f t="shared" si="22"/>
        <v>11689</v>
      </c>
      <c r="I495" s="38">
        <v>7687</v>
      </c>
      <c r="J495" s="38">
        <v>4002</v>
      </c>
      <c r="K495" s="38">
        <v>3685</v>
      </c>
      <c r="L495" s="50">
        <f t="shared" si="23"/>
        <v>31.525365728462656</v>
      </c>
      <c r="M495" s="38">
        <v>532</v>
      </c>
      <c r="N495" s="50">
        <f t="shared" si="24"/>
        <v>4.551287535289589</v>
      </c>
      <c r="O495" s="38">
        <v>0</v>
      </c>
      <c r="P495" s="38">
        <v>273</v>
      </c>
      <c r="Q495" s="51" t="s">
        <v>43</v>
      </c>
      <c r="R495" s="28">
        <v>44466</v>
      </c>
      <c r="S495" s="51"/>
      <c r="T495" s="51"/>
      <c r="U495" s="51"/>
      <c r="V495" s="51"/>
      <c r="W495" s="51"/>
      <c r="X495" s="51"/>
      <c r="Y495" s="51"/>
      <c r="Z495" s="53"/>
      <c r="AB495" s="53"/>
      <c r="AC495" s="51" t="s">
        <v>1084</v>
      </c>
      <c r="AD495" s="51">
        <v>25.718261999999999</v>
      </c>
      <c r="AE495" s="51">
        <v>72.332074000000006</v>
      </c>
    </row>
    <row r="496" spans="1:31" x14ac:dyDescent="0.25">
      <c r="A496" s="38" t="s">
        <v>36</v>
      </c>
      <c r="B496" s="38" t="s">
        <v>1048</v>
      </c>
      <c r="C496" s="38" t="s">
        <v>1085</v>
      </c>
      <c r="D496" s="54" t="s">
        <v>1085</v>
      </c>
      <c r="E496" s="38" t="s">
        <v>1086</v>
      </c>
      <c r="F496" s="38">
        <v>706</v>
      </c>
      <c r="G496" s="38">
        <v>706</v>
      </c>
      <c r="H496" s="38">
        <f t="shared" si="22"/>
        <v>444</v>
      </c>
      <c r="I496" s="38">
        <v>284</v>
      </c>
      <c r="J496" s="38">
        <v>160</v>
      </c>
      <c r="K496" s="38">
        <v>124</v>
      </c>
      <c r="L496" s="50">
        <f t="shared" si="23"/>
        <v>27.927927927927925</v>
      </c>
      <c r="M496" s="38">
        <v>0</v>
      </c>
      <c r="N496" s="50">
        <f t="shared" si="24"/>
        <v>0</v>
      </c>
      <c r="O496" s="38">
        <v>0</v>
      </c>
      <c r="P496" s="38">
        <v>0</v>
      </c>
      <c r="Q496" s="51"/>
      <c r="R496" s="9"/>
      <c r="S496" s="51"/>
      <c r="T496" s="51"/>
      <c r="U496" s="51"/>
      <c r="V496" s="51"/>
      <c r="W496" s="51"/>
      <c r="X496" s="51"/>
      <c r="Y496" s="51"/>
      <c r="Z496" s="53"/>
      <c r="AB496" s="53"/>
      <c r="AD496" s="51"/>
      <c r="AE496" s="51"/>
    </row>
    <row r="497" spans="1:31" x14ac:dyDescent="0.25">
      <c r="A497" s="38" t="s">
        <v>36</v>
      </c>
      <c r="B497" s="38" t="s">
        <v>1048</v>
      </c>
      <c r="C497" s="38" t="s">
        <v>1085</v>
      </c>
      <c r="D497" s="38" t="s">
        <v>1087</v>
      </c>
      <c r="E497" s="38" t="s">
        <v>1088</v>
      </c>
      <c r="F497" s="38">
        <v>2712</v>
      </c>
      <c r="G497" s="38">
        <v>2712</v>
      </c>
      <c r="H497" s="38">
        <f t="shared" si="22"/>
        <v>2997</v>
      </c>
      <c r="I497" s="38">
        <v>1949</v>
      </c>
      <c r="J497" s="38">
        <v>1048</v>
      </c>
      <c r="K497" s="38">
        <v>901</v>
      </c>
      <c r="L497" s="50">
        <f t="shared" si="23"/>
        <v>30.063396730063396</v>
      </c>
      <c r="M497" s="38">
        <v>10</v>
      </c>
      <c r="N497" s="50">
        <f t="shared" si="24"/>
        <v>0.33366700033366697</v>
      </c>
      <c r="O497" s="38">
        <v>0</v>
      </c>
      <c r="P497" s="38">
        <v>26</v>
      </c>
      <c r="Q497" s="51" t="s">
        <v>43</v>
      </c>
      <c r="R497" s="9">
        <v>44445</v>
      </c>
      <c r="S497" s="51"/>
      <c r="T497" s="51"/>
      <c r="U497" s="51"/>
      <c r="V497" s="51"/>
      <c r="W497" s="51"/>
      <c r="X497" s="51"/>
      <c r="Y497" s="51"/>
      <c r="Z497" s="53"/>
      <c r="AB497" s="53">
        <v>20</v>
      </c>
      <c r="AC497" s="51" t="s">
        <v>1089</v>
      </c>
      <c r="AD497" s="51">
        <v>25.677792</v>
      </c>
      <c r="AE497" s="51">
        <v>72.105120999999997</v>
      </c>
    </row>
    <row r="498" spans="1:31" x14ac:dyDescent="0.25">
      <c r="A498" s="38" t="s">
        <v>36</v>
      </c>
      <c r="B498" s="38" t="s">
        <v>1048</v>
      </c>
      <c r="C498" s="38" t="s">
        <v>1090</v>
      </c>
      <c r="D498" s="38" t="s">
        <v>1091</v>
      </c>
      <c r="E498" s="38" t="s">
        <v>1092</v>
      </c>
      <c r="F498" s="38">
        <v>2549.8200000000002</v>
      </c>
      <c r="G498" s="38">
        <v>2549.8200000000002</v>
      </c>
      <c r="H498" s="38">
        <f t="shared" si="22"/>
        <v>4018</v>
      </c>
      <c r="I498" s="38">
        <v>2622</v>
      </c>
      <c r="J498" s="38">
        <v>1396</v>
      </c>
      <c r="K498" s="38">
        <v>1226</v>
      </c>
      <c r="L498" s="50">
        <f t="shared" si="23"/>
        <v>30.512692882030862</v>
      </c>
      <c r="M498" s="38">
        <v>199</v>
      </c>
      <c r="N498" s="50">
        <f t="shared" si="24"/>
        <v>4.9527127924340473</v>
      </c>
      <c r="O498" s="38">
        <v>0</v>
      </c>
      <c r="P498" s="38">
        <v>52.98</v>
      </c>
      <c r="Q498" s="51" t="s">
        <v>43</v>
      </c>
      <c r="R498" s="28">
        <v>44490</v>
      </c>
      <c r="S498" s="51"/>
      <c r="T498" s="51"/>
      <c r="U498" s="51"/>
      <c r="V498" s="51"/>
      <c r="W498" s="51"/>
      <c r="X498" s="51"/>
      <c r="Y498" s="51"/>
      <c r="Z498" s="53"/>
      <c r="AB498" s="53">
        <v>20</v>
      </c>
      <c r="AC498" s="51" t="s">
        <v>1093</v>
      </c>
      <c r="AD498" s="51">
        <v>25.910488000000001</v>
      </c>
      <c r="AE498" s="51">
        <v>72.303077000000002</v>
      </c>
    </row>
    <row r="499" spans="1:31" x14ac:dyDescent="0.25">
      <c r="A499" s="38" t="s">
        <v>36</v>
      </c>
      <c r="B499" s="38" t="s">
        <v>1048</v>
      </c>
      <c r="C499" s="38" t="s">
        <v>1090</v>
      </c>
      <c r="D499" s="38" t="s">
        <v>1091</v>
      </c>
      <c r="E499" s="38" t="s">
        <v>1092</v>
      </c>
      <c r="F499" s="38"/>
      <c r="G499" s="38"/>
      <c r="H499" s="38">
        <f t="shared" si="22"/>
        <v>0</v>
      </c>
      <c r="I499" s="38"/>
      <c r="J499" s="38"/>
      <c r="K499" s="38"/>
      <c r="L499" s="50"/>
      <c r="M499" s="38"/>
      <c r="N499" s="50"/>
      <c r="O499" s="38">
        <v>0</v>
      </c>
      <c r="P499" s="38">
        <v>52.98</v>
      </c>
      <c r="Q499" s="51" t="s">
        <v>43</v>
      </c>
      <c r="R499" s="28">
        <v>44490</v>
      </c>
      <c r="S499" s="51"/>
      <c r="T499" s="51"/>
      <c r="U499" s="51"/>
      <c r="V499" s="51"/>
      <c r="W499" s="51"/>
      <c r="X499" s="51"/>
      <c r="Y499" s="51"/>
      <c r="Z499" s="53"/>
      <c r="AB499" s="53">
        <v>14</v>
      </c>
      <c r="AC499" s="51" t="s">
        <v>1094</v>
      </c>
      <c r="AD499" s="51">
        <v>25.909780999999999</v>
      </c>
      <c r="AE499" s="51">
        <v>72.317065999999997</v>
      </c>
    </row>
    <row r="500" spans="1:31" x14ac:dyDescent="0.25">
      <c r="A500" s="38" t="s">
        <v>36</v>
      </c>
      <c r="B500" s="38" t="s">
        <v>1048</v>
      </c>
      <c r="C500" s="38" t="s">
        <v>1090</v>
      </c>
      <c r="D500" s="38" t="s">
        <v>1095</v>
      </c>
      <c r="E500" s="38" t="s">
        <v>1096</v>
      </c>
      <c r="F500" s="38">
        <v>998.5</v>
      </c>
      <c r="G500" s="38">
        <v>998.5</v>
      </c>
      <c r="H500" s="38">
        <f t="shared" si="22"/>
        <v>1829</v>
      </c>
      <c r="I500" s="38">
        <v>1201</v>
      </c>
      <c r="J500" s="38">
        <v>628</v>
      </c>
      <c r="K500" s="38">
        <v>573</v>
      </c>
      <c r="L500" s="50">
        <f t="shared" si="23"/>
        <v>31.32859486057955</v>
      </c>
      <c r="M500" s="38">
        <v>0</v>
      </c>
      <c r="N500" s="50">
        <f t="shared" si="24"/>
        <v>0</v>
      </c>
      <c r="O500" s="38">
        <v>0</v>
      </c>
      <c r="P500" s="38">
        <v>14.51</v>
      </c>
      <c r="Q500" s="51" t="s">
        <v>43</v>
      </c>
      <c r="R500" s="28">
        <v>44490</v>
      </c>
      <c r="S500" s="51"/>
      <c r="T500" s="51">
        <v>100</v>
      </c>
      <c r="U500" s="51"/>
      <c r="V500" s="51"/>
      <c r="W500" s="51"/>
      <c r="X500" s="51"/>
      <c r="Y500" s="51"/>
      <c r="Z500" s="53"/>
      <c r="AB500" s="53"/>
      <c r="AC500" s="51" t="s">
        <v>1097</v>
      </c>
      <c r="AD500" s="51">
        <v>25.887318</v>
      </c>
      <c r="AE500" s="51">
        <v>72.306207000000001</v>
      </c>
    </row>
    <row r="501" spans="1:31" x14ac:dyDescent="0.25">
      <c r="A501" s="38" t="s">
        <v>36</v>
      </c>
      <c r="B501" s="38" t="s">
        <v>1048</v>
      </c>
      <c r="C501" s="38" t="s">
        <v>1098</v>
      </c>
      <c r="D501" s="38" t="s">
        <v>1099</v>
      </c>
      <c r="E501" s="38" t="s">
        <v>1100</v>
      </c>
      <c r="F501" s="38">
        <v>1435.11</v>
      </c>
      <c r="G501" s="38">
        <v>1435.11</v>
      </c>
      <c r="H501" s="38">
        <f t="shared" si="22"/>
        <v>1643</v>
      </c>
      <c r="I501" s="38">
        <v>1081</v>
      </c>
      <c r="J501" s="38">
        <v>562</v>
      </c>
      <c r="K501" s="38">
        <v>519</v>
      </c>
      <c r="L501" s="50">
        <f t="shared" si="23"/>
        <v>31.588557516737676</v>
      </c>
      <c r="M501" s="38">
        <v>48</v>
      </c>
      <c r="N501" s="50">
        <f t="shared" si="24"/>
        <v>2.9214850882531955</v>
      </c>
      <c r="O501" s="38">
        <v>0</v>
      </c>
      <c r="P501" s="38">
        <v>32.409999999999997</v>
      </c>
      <c r="Q501" s="51" t="s">
        <v>43</v>
      </c>
      <c r="R501" s="9">
        <v>44497</v>
      </c>
      <c r="S501" s="51"/>
      <c r="T501" s="51"/>
      <c r="U501" s="51"/>
      <c r="V501" s="51"/>
      <c r="W501" s="51"/>
      <c r="X501" s="51"/>
      <c r="Y501" s="51"/>
      <c r="Z501" s="53"/>
      <c r="AB501" s="53"/>
      <c r="AC501" s="51" t="s">
        <v>1101</v>
      </c>
      <c r="AD501" s="51">
        <v>25.830030000000001</v>
      </c>
      <c r="AE501" s="51">
        <v>71.989298000000005</v>
      </c>
    </row>
    <row r="502" spans="1:31" x14ac:dyDescent="0.25">
      <c r="A502" s="38" t="s">
        <v>36</v>
      </c>
      <c r="B502" s="38" t="s">
        <v>1048</v>
      </c>
      <c r="C502" s="38" t="s">
        <v>1098</v>
      </c>
      <c r="D502" s="38" t="s">
        <v>1102</v>
      </c>
      <c r="E502" s="38" t="s">
        <v>1103</v>
      </c>
      <c r="F502" s="38">
        <v>1247.77</v>
      </c>
      <c r="G502" s="38">
        <v>1247.77</v>
      </c>
      <c r="H502" s="38">
        <f t="shared" si="22"/>
        <v>1372</v>
      </c>
      <c r="I502" s="38">
        <v>900</v>
      </c>
      <c r="J502" s="38">
        <v>472</v>
      </c>
      <c r="K502" s="38">
        <v>428</v>
      </c>
      <c r="L502" s="50">
        <f t="shared" si="23"/>
        <v>31.195335276967928</v>
      </c>
      <c r="M502" s="38">
        <v>51</v>
      </c>
      <c r="N502" s="50">
        <f t="shared" si="24"/>
        <v>3.7172011661807578</v>
      </c>
      <c r="O502" s="38">
        <v>0</v>
      </c>
      <c r="P502" s="38">
        <v>36.97</v>
      </c>
      <c r="Q502" s="51" t="s">
        <v>43</v>
      </c>
      <c r="R502" s="9">
        <v>44497</v>
      </c>
      <c r="S502" s="51"/>
      <c r="T502" s="51"/>
      <c r="U502" s="51"/>
      <c r="V502" s="51"/>
      <c r="W502" s="51"/>
      <c r="X502" s="51"/>
      <c r="Y502" s="51"/>
      <c r="Z502" s="53"/>
      <c r="AB502" s="53"/>
      <c r="AC502" s="51" t="s">
        <v>1104</v>
      </c>
      <c r="AD502" s="51">
        <v>25.813264</v>
      </c>
      <c r="AE502" s="51">
        <v>72.006720000000001</v>
      </c>
    </row>
    <row r="503" spans="1:31" x14ac:dyDescent="0.25">
      <c r="A503" s="38" t="s">
        <v>36</v>
      </c>
      <c r="B503" s="38" t="s">
        <v>1048</v>
      </c>
      <c r="C503" s="38" t="s">
        <v>1098</v>
      </c>
      <c r="D503" s="38" t="s">
        <v>1105</v>
      </c>
      <c r="E503" s="38" t="s">
        <v>1106</v>
      </c>
      <c r="F503" s="38">
        <v>1335.96</v>
      </c>
      <c r="G503" s="38">
        <v>1335.96</v>
      </c>
      <c r="H503" s="38">
        <f t="shared" si="22"/>
        <v>935</v>
      </c>
      <c r="I503" s="38">
        <v>613</v>
      </c>
      <c r="J503" s="38">
        <v>322</v>
      </c>
      <c r="K503" s="38">
        <v>291</v>
      </c>
      <c r="L503" s="50">
        <f t="shared" si="23"/>
        <v>31.122994652406415</v>
      </c>
      <c r="M503" s="38">
        <v>37</v>
      </c>
      <c r="N503" s="50">
        <f t="shared" si="24"/>
        <v>3.9572192513368987</v>
      </c>
      <c r="O503" s="38">
        <v>0</v>
      </c>
      <c r="P503" s="38">
        <v>0</v>
      </c>
      <c r="Q503" s="51" t="s">
        <v>43</v>
      </c>
      <c r="R503" s="9">
        <v>44497</v>
      </c>
      <c r="S503" s="51"/>
      <c r="T503" s="51"/>
      <c r="U503" s="51"/>
      <c r="V503" s="51"/>
      <c r="W503" s="51"/>
      <c r="X503" s="51"/>
      <c r="Y503" s="51"/>
      <c r="Z503" s="53"/>
      <c r="AB503" s="53"/>
      <c r="AC503" s="51" t="s">
        <v>1107</v>
      </c>
      <c r="AD503" s="51">
        <v>25.838553999999998</v>
      </c>
      <c r="AE503" s="51">
        <v>71.980332000000004</v>
      </c>
    </row>
    <row r="504" spans="1:31" x14ac:dyDescent="0.25">
      <c r="A504" s="38" t="s">
        <v>36</v>
      </c>
      <c r="B504" s="38" t="s">
        <v>1048</v>
      </c>
      <c r="C504" s="38" t="s">
        <v>1098</v>
      </c>
      <c r="D504" s="38" t="s">
        <v>1108</v>
      </c>
      <c r="E504" s="38" t="s">
        <v>1109</v>
      </c>
      <c r="F504" s="38">
        <v>1109.53</v>
      </c>
      <c r="G504" s="38">
        <v>1109.53</v>
      </c>
      <c r="H504" s="38">
        <f t="shared" si="22"/>
        <v>972</v>
      </c>
      <c r="I504" s="38">
        <v>632</v>
      </c>
      <c r="J504" s="38">
        <v>340</v>
      </c>
      <c r="K504" s="38">
        <v>292</v>
      </c>
      <c r="L504" s="50">
        <f t="shared" si="23"/>
        <v>30.041152263374489</v>
      </c>
      <c r="M504" s="38">
        <v>49</v>
      </c>
      <c r="N504" s="50">
        <f t="shared" si="24"/>
        <v>5.0411522633744852</v>
      </c>
      <c r="O504" s="38">
        <v>0</v>
      </c>
      <c r="P504" s="38">
        <v>48.56</v>
      </c>
      <c r="Q504" s="51" t="s">
        <v>43</v>
      </c>
      <c r="R504" s="9">
        <v>44497</v>
      </c>
      <c r="S504" s="51"/>
      <c r="T504" s="51"/>
      <c r="U504" s="51"/>
      <c r="V504" s="51"/>
      <c r="W504" s="51"/>
      <c r="X504" s="51"/>
      <c r="Y504" s="51"/>
      <c r="Z504" s="53"/>
      <c r="AB504" s="53"/>
      <c r="AC504" s="51" t="s">
        <v>1110</v>
      </c>
      <c r="AD504" s="51">
        <v>25.837133000000001</v>
      </c>
      <c r="AE504" s="51">
        <v>72.009975999999995</v>
      </c>
    </row>
    <row r="505" spans="1:31" x14ac:dyDescent="0.25">
      <c r="A505" s="38" t="s">
        <v>36</v>
      </c>
      <c r="B505" s="38" t="s">
        <v>1048</v>
      </c>
      <c r="C505" s="38" t="s">
        <v>1111</v>
      </c>
      <c r="D505" s="38" t="s">
        <v>1112</v>
      </c>
      <c r="E505" s="38" t="s">
        <v>1113</v>
      </c>
      <c r="F505" s="38"/>
      <c r="G505" s="38"/>
      <c r="H505" s="38">
        <f t="shared" si="22"/>
        <v>0</v>
      </c>
      <c r="I505" s="38"/>
      <c r="J505" s="38"/>
      <c r="K505" s="38"/>
      <c r="L505" s="50"/>
      <c r="M505" s="38"/>
      <c r="N505" s="50"/>
      <c r="O505" s="38">
        <v>108</v>
      </c>
      <c r="P505" s="38">
        <v>90</v>
      </c>
      <c r="Q505" s="51" t="s">
        <v>43</v>
      </c>
      <c r="R505" s="9">
        <v>44448</v>
      </c>
      <c r="S505" s="51"/>
      <c r="T505" s="51"/>
      <c r="U505" s="51"/>
      <c r="V505" s="51"/>
      <c r="W505" s="51"/>
      <c r="X505" s="51"/>
      <c r="Y505" s="51"/>
      <c r="Z505" s="53"/>
      <c r="AB505" s="53">
        <v>10</v>
      </c>
      <c r="AC505" s="51" t="s">
        <v>1114</v>
      </c>
      <c r="AD505" s="51">
        <v>25.781791999999999</v>
      </c>
      <c r="AE505" s="51">
        <v>72.309186999999994</v>
      </c>
    </row>
    <row r="506" spans="1:31" x14ac:dyDescent="0.25">
      <c r="A506" s="38" t="s">
        <v>36</v>
      </c>
      <c r="B506" s="38" t="s">
        <v>1048</v>
      </c>
      <c r="C506" s="38" t="s">
        <v>1115</v>
      </c>
      <c r="D506" s="38" t="s">
        <v>1115</v>
      </c>
      <c r="E506" s="38" t="s">
        <v>1116</v>
      </c>
      <c r="F506" s="38">
        <v>2268</v>
      </c>
      <c r="G506" s="38">
        <v>2268</v>
      </c>
      <c r="H506" s="38">
        <f t="shared" si="22"/>
        <v>4997</v>
      </c>
      <c r="I506" s="38">
        <v>3270</v>
      </c>
      <c r="J506" s="38">
        <v>1727</v>
      </c>
      <c r="K506" s="38">
        <v>1543</v>
      </c>
      <c r="L506" s="50">
        <f t="shared" si="23"/>
        <v>30.878527116269762</v>
      </c>
      <c r="M506" s="38">
        <v>287</v>
      </c>
      <c r="N506" s="50">
        <f t="shared" si="24"/>
        <v>5.7434460676405843</v>
      </c>
      <c r="O506" s="38">
        <v>0</v>
      </c>
      <c r="P506" s="38">
        <v>32</v>
      </c>
      <c r="Q506" s="51" t="s">
        <v>43</v>
      </c>
      <c r="R506" s="28">
        <v>44475</v>
      </c>
      <c r="S506" s="51"/>
      <c r="T506" s="51"/>
      <c r="U506" s="51"/>
      <c r="V506" s="51"/>
      <c r="W506" s="51"/>
      <c r="X506" s="51"/>
      <c r="Y506" s="51"/>
      <c r="Z506" s="52"/>
      <c r="AB506" s="51">
        <v>150</v>
      </c>
      <c r="AC506" s="51" t="s">
        <v>1117</v>
      </c>
      <c r="AD506" s="51">
        <v>25.674954</v>
      </c>
      <c r="AE506" s="51">
        <v>72.205905999999999</v>
      </c>
    </row>
    <row r="507" spans="1:31" x14ac:dyDescent="0.25">
      <c r="A507" s="38" t="s">
        <v>36</v>
      </c>
      <c r="B507" s="38" t="s">
        <v>1048</v>
      </c>
      <c r="C507" s="38" t="s">
        <v>1115</v>
      </c>
      <c r="D507" s="38" t="s">
        <v>1115</v>
      </c>
      <c r="E507" s="38" t="s">
        <v>1116</v>
      </c>
      <c r="F507" s="38">
        <v>2268</v>
      </c>
      <c r="G507" s="38">
        <v>2268</v>
      </c>
      <c r="H507" s="38">
        <f t="shared" si="22"/>
        <v>4997</v>
      </c>
      <c r="I507" s="38">
        <v>3270</v>
      </c>
      <c r="J507" s="38">
        <v>1727</v>
      </c>
      <c r="K507" s="38">
        <v>1543</v>
      </c>
      <c r="L507" s="50">
        <f t="shared" si="23"/>
        <v>30.878527116269762</v>
      </c>
      <c r="M507" s="38">
        <v>287</v>
      </c>
      <c r="N507" s="50">
        <f t="shared" si="24"/>
        <v>5.7434460676405843</v>
      </c>
      <c r="O507" s="38">
        <v>0</v>
      </c>
      <c r="P507" s="38">
        <v>32</v>
      </c>
      <c r="Q507" s="55"/>
      <c r="R507" s="29">
        <v>44475</v>
      </c>
      <c r="S507" s="55"/>
      <c r="T507" s="55"/>
      <c r="U507" s="55"/>
      <c r="V507" s="55"/>
      <c r="W507" s="55"/>
      <c r="X507" s="55"/>
      <c r="Y507" s="55"/>
      <c r="Z507" s="56"/>
      <c r="AB507" s="55">
        <v>18</v>
      </c>
      <c r="AC507" s="55" t="s">
        <v>1118</v>
      </c>
      <c r="AD507" s="55">
        <v>25.673287999999999</v>
      </c>
      <c r="AE507" s="55">
        <v>72.205291000000003</v>
      </c>
    </row>
    <row r="508" spans="1:31" x14ac:dyDescent="0.25">
      <c r="A508" s="38" t="s">
        <v>36</v>
      </c>
      <c r="B508" s="38" t="s">
        <v>1048</v>
      </c>
      <c r="C508" s="38" t="s">
        <v>1119</v>
      </c>
      <c r="D508" s="38" t="s">
        <v>1120</v>
      </c>
      <c r="E508" s="38" t="s">
        <v>1121</v>
      </c>
      <c r="F508" s="38">
        <v>1782</v>
      </c>
      <c r="G508" s="38">
        <v>1782</v>
      </c>
      <c r="H508" s="38">
        <f t="shared" si="22"/>
        <v>4024</v>
      </c>
      <c r="I508" s="38">
        <v>2661</v>
      </c>
      <c r="J508" s="38">
        <v>1363</v>
      </c>
      <c r="K508" s="38">
        <v>1298</v>
      </c>
      <c r="L508" s="50">
        <f t="shared" si="23"/>
        <v>32.256461232604373</v>
      </c>
      <c r="M508" s="38">
        <v>174</v>
      </c>
      <c r="N508" s="50">
        <f t="shared" si="24"/>
        <v>4.324055666003976</v>
      </c>
      <c r="O508" s="38">
        <v>0</v>
      </c>
      <c r="P508" s="38">
        <v>200</v>
      </c>
      <c r="Q508" s="51" t="s">
        <v>43</v>
      </c>
      <c r="R508" s="9">
        <v>44459</v>
      </c>
      <c r="S508" s="51"/>
      <c r="T508" s="51"/>
      <c r="U508" s="51"/>
      <c r="V508" s="51"/>
      <c r="W508" s="51"/>
      <c r="X508" s="51"/>
      <c r="Y508" s="51"/>
      <c r="Z508" s="53"/>
      <c r="AB508" s="53"/>
      <c r="AC508" s="51" t="s">
        <v>1122</v>
      </c>
      <c r="AD508" s="51">
        <v>25.865223</v>
      </c>
      <c r="AE508" s="51">
        <v>71.923005000000003</v>
      </c>
    </row>
    <row r="509" spans="1:31" x14ac:dyDescent="0.25">
      <c r="A509" s="38" t="s">
        <v>36</v>
      </c>
      <c r="B509" s="38" t="s">
        <v>1048</v>
      </c>
      <c r="C509" s="38" t="s">
        <v>1119</v>
      </c>
      <c r="D509" s="38" t="s">
        <v>1120</v>
      </c>
      <c r="E509" s="38">
        <v>1782</v>
      </c>
      <c r="F509" s="38">
        <v>0</v>
      </c>
      <c r="G509" s="38">
        <v>0</v>
      </c>
      <c r="H509" s="38">
        <f t="shared" si="22"/>
        <v>275</v>
      </c>
      <c r="I509" s="38">
        <v>200</v>
      </c>
      <c r="J509" s="38">
        <v>75</v>
      </c>
      <c r="K509" s="38"/>
      <c r="L509" s="50">
        <f t="shared" si="23"/>
        <v>0</v>
      </c>
      <c r="M509" s="38">
        <v>0</v>
      </c>
      <c r="N509" s="50">
        <f t="shared" si="24"/>
        <v>0</v>
      </c>
      <c r="O509" s="38"/>
      <c r="P509" s="38"/>
      <c r="Q509" s="51" t="s">
        <v>43</v>
      </c>
      <c r="R509" s="9"/>
      <c r="S509" s="51"/>
      <c r="T509" s="51"/>
      <c r="U509" s="51"/>
      <c r="V509" s="51"/>
      <c r="W509" s="51"/>
      <c r="X509" s="51"/>
      <c r="Y509" s="51"/>
      <c r="Z509" s="53"/>
      <c r="AB509" s="6">
        <v>29</v>
      </c>
      <c r="AC509" s="51" t="s">
        <v>1122</v>
      </c>
      <c r="AD509" s="51">
        <v>25.865223</v>
      </c>
      <c r="AE509" s="51">
        <v>71.923005000000003</v>
      </c>
    </row>
    <row r="510" spans="1:31" x14ac:dyDescent="0.25">
      <c r="A510" s="38" t="s">
        <v>36</v>
      </c>
      <c r="B510" s="38" t="s">
        <v>1048</v>
      </c>
      <c r="C510" s="38" t="s">
        <v>1119</v>
      </c>
      <c r="D510" s="38" t="s">
        <v>1123</v>
      </c>
      <c r="E510" s="38" t="s">
        <v>1124</v>
      </c>
      <c r="F510" s="38">
        <v>1276</v>
      </c>
      <c r="G510" s="38">
        <v>1276</v>
      </c>
      <c r="H510" s="38">
        <f t="shared" si="22"/>
        <v>1025</v>
      </c>
      <c r="I510" s="38">
        <v>668</v>
      </c>
      <c r="J510" s="38">
        <v>357</v>
      </c>
      <c r="K510" s="38">
        <v>311</v>
      </c>
      <c r="L510" s="50">
        <f t="shared" si="23"/>
        <v>30.341463414634145</v>
      </c>
      <c r="M510" s="38">
        <v>25</v>
      </c>
      <c r="N510" s="50">
        <f t="shared" si="24"/>
        <v>2.4390243902439024</v>
      </c>
      <c r="O510" s="38">
        <v>0</v>
      </c>
      <c r="P510" s="38">
        <v>0</v>
      </c>
      <c r="Q510" s="6" t="s">
        <v>43</v>
      </c>
      <c r="R510" s="7">
        <v>44459</v>
      </c>
      <c r="S510" s="6"/>
      <c r="T510" s="6"/>
      <c r="U510" s="6"/>
      <c r="V510" s="6"/>
      <c r="W510" s="6"/>
      <c r="X510" s="6"/>
      <c r="Y510" s="6"/>
      <c r="Z510" s="6"/>
      <c r="AB510" s="6"/>
      <c r="AC510" s="11" t="s">
        <v>1123</v>
      </c>
      <c r="AD510" s="6">
        <v>0</v>
      </c>
      <c r="AE510" s="6"/>
    </row>
    <row r="511" spans="1:31" x14ac:dyDescent="0.25">
      <c r="A511" s="38" t="s">
        <v>36</v>
      </c>
      <c r="B511" s="38" t="s">
        <v>1048</v>
      </c>
      <c r="C511" s="38" t="s">
        <v>1119</v>
      </c>
      <c r="D511" s="38" t="s">
        <v>1125</v>
      </c>
      <c r="E511" s="38" t="s">
        <v>1126</v>
      </c>
      <c r="F511" s="38">
        <v>1792</v>
      </c>
      <c r="G511" s="38">
        <v>1792</v>
      </c>
      <c r="H511" s="38">
        <f t="shared" si="22"/>
        <v>1915</v>
      </c>
      <c r="I511" s="38">
        <v>1268</v>
      </c>
      <c r="J511" s="38">
        <v>647</v>
      </c>
      <c r="K511" s="38">
        <v>621</v>
      </c>
      <c r="L511" s="50">
        <f t="shared" si="23"/>
        <v>32.428198433420363</v>
      </c>
      <c r="M511" s="38">
        <v>2</v>
      </c>
      <c r="N511" s="50">
        <f t="shared" si="24"/>
        <v>0.10443864229765012</v>
      </c>
      <c r="O511" s="38">
        <v>29</v>
      </c>
      <c r="P511" s="38">
        <v>0</v>
      </c>
      <c r="Q511" s="6" t="s">
        <v>43</v>
      </c>
      <c r="R511" s="7">
        <v>44459</v>
      </c>
      <c r="S511" s="6"/>
      <c r="T511" s="6"/>
      <c r="U511" s="6"/>
      <c r="V511" s="6"/>
      <c r="W511" s="6"/>
      <c r="X511" s="6"/>
      <c r="Y511" s="6"/>
      <c r="Z511" s="6"/>
      <c r="AB511" s="6"/>
      <c r="AC511" s="11" t="s">
        <v>1127</v>
      </c>
      <c r="AD511" s="6">
        <v>0</v>
      </c>
      <c r="AE511" s="6"/>
    </row>
    <row r="512" spans="1:31" x14ac:dyDescent="0.25">
      <c r="A512" s="38" t="s">
        <v>36</v>
      </c>
      <c r="B512" s="38" t="s">
        <v>1048</v>
      </c>
      <c r="C512" s="38" t="s">
        <v>1128</v>
      </c>
      <c r="D512" s="38" t="s">
        <v>1128</v>
      </c>
      <c r="E512" s="38" t="s">
        <v>1129</v>
      </c>
      <c r="F512" s="38">
        <v>766.87</v>
      </c>
      <c r="G512" s="38">
        <v>766.87</v>
      </c>
      <c r="H512" s="38">
        <f t="shared" si="22"/>
        <v>868</v>
      </c>
      <c r="I512" s="38">
        <v>583</v>
      </c>
      <c r="J512" s="38">
        <v>285</v>
      </c>
      <c r="K512" s="38">
        <v>298</v>
      </c>
      <c r="L512" s="50">
        <f t="shared" si="23"/>
        <v>34.331797235023046</v>
      </c>
      <c r="M512" s="38">
        <v>44</v>
      </c>
      <c r="N512" s="50">
        <f t="shared" si="24"/>
        <v>5.0691244239631335</v>
      </c>
      <c r="O512" s="38">
        <v>0</v>
      </c>
      <c r="P512" s="38">
        <v>0</v>
      </c>
      <c r="Q512" s="51" t="s">
        <v>43</v>
      </c>
      <c r="R512" s="28">
        <v>44460</v>
      </c>
      <c r="S512" s="51"/>
      <c r="T512" s="51"/>
      <c r="U512" s="51"/>
      <c r="V512" s="51"/>
      <c r="W512" s="51"/>
      <c r="X512" s="51"/>
      <c r="Y512" s="51"/>
      <c r="Z512" s="52"/>
      <c r="AB512" s="52"/>
      <c r="AC512" s="51" t="s">
        <v>1130</v>
      </c>
      <c r="AD512" s="51">
        <v>25.913786000000002</v>
      </c>
      <c r="AE512" s="51">
        <v>71.980881999999994</v>
      </c>
    </row>
    <row r="513" spans="1:31" x14ac:dyDescent="0.25">
      <c r="A513" s="38" t="s">
        <v>36</v>
      </c>
      <c r="B513" s="38" t="s">
        <v>1048</v>
      </c>
      <c r="C513" s="38" t="s">
        <v>1128</v>
      </c>
      <c r="D513" s="38" t="s">
        <v>1131</v>
      </c>
      <c r="E513" s="38" t="s">
        <v>1132</v>
      </c>
      <c r="F513" s="38">
        <v>997.62</v>
      </c>
      <c r="G513" s="38">
        <v>997.62</v>
      </c>
      <c r="H513" s="38">
        <f t="shared" si="22"/>
        <v>1162</v>
      </c>
      <c r="I513" s="38">
        <v>769</v>
      </c>
      <c r="J513" s="38">
        <v>393</v>
      </c>
      <c r="K513" s="38">
        <v>376</v>
      </c>
      <c r="L513" s="50">
        <f t="shared" si="23"/>
        <v>32.358003442340795</v>
      </c>
      <c r="M513" s="38">
        <v>0</v>
      </c>
      <c r="N513" s="50">
        <f t="shared" si="24"/>
        <v>0</v>
      </c>
      <c r="O513" s="38">
        <v>0</v>
      </c>
      <c r="P513" s="38">
        <v>0</v>
      </c>
      <c r="Q513" s="51" t="s">
        <v>43</v>
      </c>
      <c r="R513" s="28">
        <v>44460</v>
      </c>
      <c r="S513" s="51"/>
      <c r="T513" s="51"/>
      <c r="U513" s="51"/>
      <c r="V513" s="51"/>
      <c r="W513" s="51"/>
      <c r="X513" s="51"/>
      <c r="Y513" s="51"/>
      <c r="Z513" s="52"/>
      <c r="AB513" s="52"/>
      <c r="AC513" s="51" t="s">
        <v>1133</v>
      </c>
      <c r="AD513" s="51">
        <v>25.904896000000001</v>
      </c>
      <c r="AE513" s="51">
        <v>71.985089000000002</v>
      </c>
    </row>
    <row r="514" spans="1:31" x14ac:dyDescent="0.25">
      <c r="A514" s="38" t="s">
        <v>36</v>
      </c>
      <c r="B514" s="38" t="s">
        <v>1048</v>
      </c>
      <c r="C514" s="38" t="s">
        <v>1128</v>
      </c>
      <c r="D514" s="38" t="s">
        <v>1134</v>
      </c>
      <c r="E514" s="38" t="s">
        <v>1135</v>
      </c>
      <c r="F514" s="38">
        <v>1039.99</v>
      </c>
      <c r="G514" s="38">
        <v>1039.99</v>
      </c>
      <c r="H514" s="38">
        <f t="shared" si="22"/>
        <v>865</v>
      </c>
      <c r="I514" s="38">
        <v>561</v>
      </c>
      <c r="J514" s="38">
        <v>304</v>
      </c>
      <c r="K514" s="38">
        <v>257</v>
      </c>
      <c r="L514" s="50">
        <f t="shared" si="23"/>
        <v>29.710982658959541</v>
      </c>
      <c r="M514" s="38">
        <v>108</v>
      </c>
      <c r="N514" s="50">
        <f t="shared" si="24"/>
        <v>12.485549132947977</v>
      </c>
      <c r="O514" s="38">
        <v>0</v>
      </c>
      <c r="P514" s="38">
        <v>0</v>
      </c>
      <c r="Q514" s="6" t="s">
        <v>43</v>
      </c>
      <c r="R514" s="7">
        <v>44460</v>
      </c>
      <c r="S514" s="6"/>
      <c r="T514" s="6"/>
      <c r="U514" s="6"/>
      <c r="V514" s="6"/>
      <c r="W514" s="6"/>
      <c r="X514" s="6"/>
      <c r="Y514" s="6"/>
      <c r="Z514" s="6"/>
      <c r="AB514" s="6"/>
      <c r="AC514" s="11" t="s">
        <v>1136</v>
      </c>
      <c r="AD514" s="6"/>
      <c r="AE514" s="6"/>
    </row>
    <row r="515" spans="1:31" x14ac:dyDescent="0.25">
      <c r="A515" s="38" t="s">
        <v>36</v>
      </c>
      <c r="B515" s="38" t="s">
        <v>1048</v>
      </c>
      <c r="C515" s="38" t="s">
        <v>1137</v>
      </c>
      <c r="D515" s="38" t="s">
        <v>1138</v>
      </c>
      <c r="E515" s="38" t="s">
        <v>1139</v>
      </c>
      <c r="F515" s="38">
        <v>652.63</v>
      </c>
      <c r="G515" s="38">
        <v>652.63</v>
      </c>
      <c r="H515" s="38">
        <f t="shared" si="22"/>
        <v>1141</v>
      </c>
      <c r="I515" s="38">
        <v>759</v>
      </c>
      <c r="J515" s="38">
        <v>382</v>
      </c>
      <c r="K515" s="38">
        <v>377</v>
      </c>
      <c r="L515" s="50">
        <f t="shared" si="23"/>
        <v>33.041191936897455</v>
      </c>
      <c r="M515" s="38">
        <v>95</v>
      </c>
      <c r="N515" s="50">
        <f t="shared" si="24"/>
        <v>8.3260297984224358</v>
      </c>
      <c r="O515" s="38">
        <v>0</v>
      </c>
      <c r="P515" s="38">
        <v>152.43</v>
      </c>
      <c r="Q515" s="51" t="s">
        <v>43</v>
      </c>
      <c r="R515" s="9">
        <v>44455</v>
      </c>
      <c r="S515" s="51"/>
      <c r="T515" s="51"/>
      <c r="U515" s="51"/>
      <c r="V515" s="51"/>
      <c r="W515" s="51"/>
      <c r="X515" s="51"/>
      <c r="Y515" s="51"/>
      <c r="Z515" s="52"/>
      <c r="AB515" s="52">
        <v>9</v>
      </c>
      <c r="AC515" s="52" t="s">
        <v>1140</v>
      </c>
      <c r="AD515" s="51">
        <v>25.926808000000001</v>
      </c>
      <c r="AE515" s="51">
        <v>71.984622000000002</v>
      </c>
    </row>
    <row r="516" spans="1:31" x14ac:dyDescent="0.25">
      <c r="A516" s="38" t="s">
        <v>36</v>
      </c>
      <c r="B516" s="38" t="s">
        <v>1048</v>
      </c>
      <c r="C516" s="38" t="s">
        <v>1137</v>
      </c>
      <c r="D516" s="57" t="s">
        <v>1141</v>
      </c>
      <c r="E516" s="38" t="s">
        <v>1142</v>
      </c>
      <c r="F516" s="38">
        <v>443.62</v>
      </c>
      <c r="G516" s="38">
        <v>443.62</v>
      </c>
      <c r="H516" s="38">
        <f t="shared" si="22"/>
        <v>542</v>
      </c>
      <c r="I516" s="38">
        <v>351</v>
      </c>
      <c r="J516" s="38">
        <v>191</v>
      </c>
      <c r="K516" s="38">
        <v>160</v>
      </c>
      <c r="L516" s="50">
        <f t="shared" si="23"/>
        <v>29.520295202952028</v>
      </c>
      <c r="M516" s="38">
        <v>33</v>
      </c>
      <c r="N516" s="50">
        <f t="shared" si="24"/>
        <v>6.0885608856088558</v>
      </c>
      <c r="O516" s="38">
        <v>0</v>
      </c>
      <c r="P516" s="38">
        <v>0</v>
      </c>
    </row>
    <row r="517" spans="1:31" x14ac:dyDescent="0.25">
      <c r="A517" s="38" t="s">
        <v>36</v>
      </c>
      <c r="B517" s="38" t="s">
        <v>1048</v>
      </c>
      <c r="C517" s="38" t="s">
        <v>1137</v>
      </c>
      <c r="D517" s="57" t="s">
        <v>1143</v>
      </c>
      <c r="E517" s="38" t="s">
        <v>1144</v>
      </c>
      <c r="F517" s="38">
        <v>1052.94</v>
      </c>
      <c r="G517" s="38">
        <v>1052.94</v>
      </c>
      <c r="H517" s="38">
        <f t="shared" ref="H517:H580" si="25">I517+J517</f>
        <v>1687</v>
      </c>
      <c r="I517" s="38">
        <v>1101</v>
      </c>
      <c r="J517" s="38">
        <v>586</v>
      </c>
      <c r="K517" s="38">
        <v>515</v>
      </c>
      <c r="L517" s="50">
        <f t="shared" si="23"/>
        <v>30.527563722584471</v>
      </c>
      <c r="M517" s="38">
        <v>246</v>
      </c>
      <c r="N517" s="50">
        <f t="shared" si="24"/>
        <v>14.582098399525787</v>
      </c>
      <c r="O517" s="38">
        <v>0</v>
      </c>
      <c r="P517" s="38">
        <v>0</v>
      </c>
    </row>
    <row r="518" spans="1:31" x14ac:dyDescent="0.25">
      <c r="A518" s="38" t="s">
        <v>36</v>
      </c>
      <c r="B518" s="38" t="s">
        <v>1048</v>
      </c>
      <c r="C518" s="38" t="s">
        <v>1137</v>
      </c>
      <c r="D518" s="57" t="s">
        <v>1145</v>
      </c>
      <c r="E518" s="38" t="s">
        <v>1146</v>
      </c>
      <c r="F518" s="38">
        <v>947.68</v>
      </c>
      <c r="G518" s="38">
        <v>947.68</v>
      </c>
      <c r="H518" s="38">
        <f t="shared" si="25"/>
        <v>857</v>
      </c>
      <c r="I518" s="38">
        <v>569</v>
      </c>
      <c r="J518" s="38">
        <v>288</v>
      </c>
      <c r="K518" s="38">
        <v>281</v>
      </c>
      <c r="L518" s="50">
        <f t="shared" ref="L518:L581" si="26">K518/H518*100</f>
        <v>32.788798133022169</v>
      </c>
      <c r="M518" s="38">
        <v>34</v>
      </c>
      <c r="N518" s="50">
        <f t="shared" ref="N518:N581" si="27">M518/H518*100</f>
        <v>3.9673278879813303</v>
      </c>
      <c r="O518" s="38">
        <v>0</v>
      </c>
      <c r="P518" s="38">
        <v>0</v>
      </c>
    </row>
    <row r="519" spans="1:31" x14ac:dyDescent="0.25">
      <c r="A519" s="38" t="s">
        <v>36</v>
      </c>
      <c r="B519" s="38" t="s">
        <v>1048</v>
      </c>
      <c r="C519" s="38" t="s">
        <v>1137</v>
      </c>
      <c r="D519" s="57" t="s">
        <v>1147</v>
      </c>
      <c r="E519" s="38" t="s">
        <v>1148</v>
      </c>
      <c r="F519" s="38">
        <v>760.29</v>
      </c>
      <c r="G519" s="38">
        <v>760.29</v>
      </c>
      <c r="H519" s="38">
        <f t="shared" si="25"/>
        <v>887</v>
      </c>
      <c r="I519" s="38">
        <v>587</v>
      </c>
      <c r="J519" s="38">
        <v>300</v>
      </c>
      <c r="K519" s="38">
        <v>287</v>
      </c>
      <c r="L519" s="50">
        <f t="shared" si="26"/>
        <v>32.356257046223227</v>
      </c>
      <c r="M519" s="38">
        <v>101</v>
      </c>
      <c r="N519" s="50">
        <f t="shared" si="27"/>
        <v>11.386696730552424</v>
      </c>
      <c r="O519" s="38">
        <v>0</v>
      </c>
      <c r="P519" s="38">
        <v>0</v>
      </c>
    </row>
    <row r="520" spans="1:31" x14ac:dyDescent="0.25">
      <c r="A520" s="38" t="s">
        <v>36</v>
      </c>
      <c r="B520" s="38" t="s">
        <v>1048</v>
      </c>
      <c r="C520" s="38" t="s">
        <v>1149</v>
      </c>
      <c r="D520" s="38" t="s">
        <v>1150</v>
      </c>
      <c r="E520" s="38" t="s">
        <v>1151</v>
      </c>
      <c r="F520" s="38">
        <v>851.91</v>
      </c>
      <c r="G520" s="38">
        <v>851.91</v>
      </c>
      <c r="H520" s="38">
        <f t="shared" si="25"/>
        <v>1407</v>
      </c>
      <c r="I520" s="38">
        <v>924</v>
      </c>
      <c r="J520" s="38">
        <v>483</v>
      </c>
      <c r="K520" s="38">
        <v>441</v>
      </c>
      <c r="L520" s="50">
        <f t="shared" si="26"/>
        <v>31.343283582089555</v>
      </c>
      <c r="M520" s="38">
        <v>15</v>
      </c>
      <c r="N520" s="50">
        <f t="shared" si="27"/>
        <v>1.0660980810234542</v>
      </c>
      <c r="O520" s="38">
        <v>0</v>
      </c>
      <c r="P520" s="38">
        <v>0</v>
      </c>
    </row>
    <row r="521" spans="1:31" x14ac:dyDescent="0.25">
      <c r="A521" s="38" t="s">
        <v>36</v>
      </c>
      <c r="B521" s="38" t="s">
        <v>1048</v>
      </c>
      <c r="C521" s="38" t="s">
        <v>1149</v>
      </c>
      <c r="D521" s="38" t="s">
        <v>1152</v>
      </c>
      <c r="E521" s="38" t="s">
        <v>1153</v>
      </c>
      <c r="F521" s="38">
        <v>1484.69</v>
      </c>
      <c r="G521" s="38">
        <v>1484.69</v>
      </c>
      <c r="H521" s="38">
        <f t="shared" si="25"/>
        <v>1065</v>
      </c>
      <c r="I521" s="38">
        <v>714</v>
      </c>
      <c r="J521" s="38">
        <v>351</v>
      </c>
      <c r="K521" s="38">
        <v>363</v>
      </c>
      <c r="L521" s="50">
        <f t="shared" si="26"/>
        <v>34.08450704225352</v>
      </c>
      <c r="M521" s="38">
        <v>112</v>
      </c>
      <c r="N521" s="50">
        <f t="shared" si="27"/>
        <v>10.516431924882628</v>
      </c>
      <c r="O521" s="38">
        <v>0</v>
      </c>
      <c r="P521" s="38">
        <v>87.08</v>
      </c>
      <c r="Q521" s="51" t="s">
        <v>43</v>
      </c>
      <c r="R521" s="9">
        <v>44494</v>
      </c>
      <c r="S521" s="51"/>
      <c r="T521" s="51"/>
      <c r="U521" s="51"/>
      <c r="V521" s="51"/>
      <c r="W521" s="51"/>
      <c r="X521" s="51"/>
      <c r="Y521" s="51"/>
      <c r="Z521" s="52"/>
      <c r="AB521" s="52">
        <v>120</v>
      </c>
      <c r="AC521" s="51" t="s">
        <v>1154</v>
      </c>
      <c r="AD521" s="51">
        <v>25.871642000000001</v>
      </c>
      <c r="AE521" s="51">
        <v>72.036800999999997</v>
      </c>
    </row>
    <row r="522" spans="1:31" x14ac:dyDescent="0.25">
      <c r="A522" s="38" t="s">
        <v>36</v>
      </c>
      <c r="B522" s="38" t="s">
        <v>1048</v>
      </c>
      <c r="C522" s="38" t="s">
        <v>1149</v>
      </c>
      <c r="D522" s="38" t="s">
        <v>1152</v>
      </c>
      <c r="E522" s="38">
        <v>1484.69</v>
      </c>
      <c r="F522" s="38">
        <v>0</v>
      </c>
      <c r="G522" s="38">
        <v>0</v>
      </c>
      <c r="H522" s="38">
        <f t="shared" si="25"/>
        <v>201.84</v>
      </c>
      <c r="I522" s="38">
        <v>87.08</v>
      </c>
      <c r="J522" s="38">
        <v>114.76</v>
      </c>
      <c r="K522" s="38"/>
      <c r="L522" s="50">
        <f t="shared" si="26"/>
        <v>0</v>
      </c>
      <c r="M522" s="38">
        <v>661.64</v>
      </c>
      <c r="N522" s="50"/>
      <c r="O522" s="38"/>
      <c r="P522" s="38"/>
      <c r="Q522" s="6" t="s">
        <v>43</v>
      </c>
      <c r="R522" s="7">
        <v>44494</v>
      </c>
      <c r="S522" s="6"/>
      <c r="T522" s="6"/>
      <c r="U522" s="6"/>
      <c r="V522" s="6"/>
      <c r="W522" s="6"/>
      <c r="X522" s="6"/>
      <c r="Y522" s="6"/>
      <c r="Z522" s="6"/>
      <c r="AB522" s="6"/>
      <c r="AC522" s="11" t="s">
        <v>1155</v>
      </c>
      <c r="AD522" s="6"/>
      <c r="AE522" s="6"/>
    </row>
    <row r="523" spans="1:31" x14ac:dyDescent="0.25">
      <c r="A523" s="38" t="s">
        <v>36</v>
      </c>
      <c r="B523" s="38" t="s">
        <v>1048</v>
      </c>
      <c r="C523" s="38" t="s">
        <v>1149</v>
      </c>
      <c r="D523" s="38" t="s">
        <v>1156</v>
      </c>
      <c r="E523" s="38" t="s">
        <v>1157</v>
      </c>
      <c r="F523" s="38">
        <v>1079.08</v>
      </c>
      <c r="G523" s="38">
        <v>1079.08</v>
      </c>
      <c r="H523" s="38">
        <f t="shared" si="25"/>
        <v>439</v>
      </c>
      <c r="I523" s="38">
        <v>283</v>
      </c>
      <c r="J523" s="38">
        <v>156</v>
      </c>
      <c r="K523" s="38">
        <v>127</v>
      </c>
      <c r="L523" s="50">
        <f t="shared" si="26"/>
        <v>28.929384965831435</v>
      </c>
      <c r="M523" s="38">
        <v>38</v>
      </c>
      <c r="N523" s="50">
        <f t="shared" si="27"/>
        <v>8.6560364464692476</v>
      </c>
      <c r="O523" s="38">
        <v>0</v>
      </c>
      <c r="P523" s="38">
        <v>18.350000000000001</v>
      </c>
      <c r="Q523" s="6" t="s">
        <v>43</v>
      </c>
      <c r="R523" s="7">
        <v>44494</v>
      </c>
      <c r="S523" s="6"/>
      <c r="T523" s="6"/>
      <c r="U523" s="6"/>
      <c r="V523" s="6"/>
      <c r="W523" s="6"/>
      <c r="X523" s="6"/>
      <c r="Y523" s="6"/>
      <c r="Z523" s="6"/>
      <c r="AB523" s="6"/>
      <c r="AC523" s="11" t="s">
        <v>1158</v>
      </c>
      <c r="AD523" s="6"/>
      <c r="AE523" s="6"/>
    </row>
    <row r="524" spans="1:31" x14ac:dyDescent="0.25">
      <c r="A524" s="38" t="s">
        <v>36</v>
      </c>
      <c r="B524" s="38" t="s">
        <v>1048</v>
      </c>
      <c r="C524" s="38" t="s">
        <v>1149</v>
      </c>
      <c r="D524" s="38" t="s">
        <v>1156</v>
      </c>
      <c r="E524" s="38">
        <v>1079.08</v>
      </c>
      <c r="F524" s="38">
        <v>0</v>
      </c>
      <c r="G524" s="38">
        <v>0</v>
      </c>
      <c r="H524" s="38">
        <f t="shared" si="25"/>
        <v>185.51</v>
      </c>
      <c r="I524" s="38">
        <v>18.350000000000001</v>
      </c>
      <c r="J524" s="38">
        <v>167.16</v>
      </c>
      <c r="K524" s="38"/>
      <c r="L524" s="50">
        <f t="shared" si="26"/>
        <v>0</v>
      </c>
      <c r="M524" s="38"/>
      <c r="N524" s="50">
        <f t="shared" si="27"/>
        <v>0</v>
      </c>
      <c r="O524" s="38"/>
      <c r="P524" s="38"/>
      <c r="Q524" s="7" t="s">
        <v>43</v>
      </c>
      <c r="R524" s="7">
        <v>44494</v>
      </c>
      <c r="S524" s="6"/>
      <c r="T524" s="7"/>
      <c r="U524" s="7"/>
      <c r="V524" s="7"/>
      <c r="W524" s="7"/>
      <c r="X524" s="7"/>
      <c r="Y524" s="7"/>
      <c r="Z524" s="52"/>
      <c r="AB524" s="6">
        <v>180</v>
      </c>
      <c r="AC524" s="11" t="s">
        <v>1159</v>
      </c>
      <c r="AD524" s="6">
        <v>25.838491999999999</v>
      </c>
      <c r="AE524" s="6">
        <v>72.010409999999993</v>
      </c>
    </row>
    <row r="525" spans="1:31" x14ac:dyDescent="0.25">
      <c r="A525" s="38" t="s">
        <v>36</v>
      </c>
      <c r="B525" s="38" t="s">
        <v>1048</v>
      </c>
      <c r="C525" s="38" t="s">
        <v>1149</v>
      </c>
      <c r="D525" s="38" t="s">
        <v>1160</v>
      </c>
      <c r="E525" s="38" t="s">
        <v>1161</v>
      </c>
      <c r="F525" s="38">
        <v>1554.49</v>
      </c>
      <c r="G525" s="38">
        <v>1554.49</v>
      </c>
      <c r="H525" s="38">
        <f t="shared" si="25"/>
        <v>1457</v>
      </c>
      <c r="I525" s="38">
        <v>971</v>
      </c>
      <c r="J525" s="38">
        <v>486</v>
      </c>
      <c r="K525" s="38">
        <v>485</v>
      </c>
      <c r="L525" s="50">
        <f t="shared" si="26"/>
        <v>33.287577213452302</v>
      </c>
      <c r="M525" s="38">
        <v>0</v>
      </c>
      <c r="N525" s="50">
        <f t="shared" si="27"/>
        <v>0</v>
      </c>
      <c r="O525" s="38">
        <v>0</v>
      </c>
      <c r="P525" s="38">
        <v>0</v>
      </c>
      <c r="Q525" s="6" t="s">
        <v>43</v>
      </c>
      <c r="R525" s="10">
        <v>44494</v>
      </c>
      <c r="S525" s="6"/>
      <c r="T525" s="6"/>
      <c r="U525" s="6"/>
      <c r="V525" s="6"/>
      <c r="W525" s="6"/>
      <c r="X525" s="6"/>
      <c r="Y525" s="6"/>
      <c r="Z525" s="53"/>
      <c r="AB525" s="6">
        <v>13</v>
      </c>
      <c r="AC525" s="51" t="s">
        <v>1162</v>
      </c>
      <c r="AD525" s="6">
        <v>71.878872000000001</v>
      </c>
      <c r="AE525" s="6">
        <v>25.878872000000001</v>
      </c>
    </row>
    <row r="526" spans="1:31" x14ac:dyDescent="0.25">
      <c r="A526" s="38" t="s">
        <v>36</v>
      </c>
      <c r="B526" s="38" t="s">
        <v>1048</v>
      </c>
      <c r="C526" s="38" t="s">
        <v>1163</v>
      </c>
      <c r="D526" s="38" t="s">
        <v>1164</v>
      </c>
      <c r="E526" s="38" t="s">
        <v>1165</v>
      </c>
      <c r="F526" s="38">
        <v>1622.33</v>
      </c>
      <c r="G526" s="38">
        <v>1622.33</v>
      </c>
      <c r="H526" s="38">
        <f t="shared" si="25"/>
        <v>1318</v>
      </c>
      <c r="I526" s="38">
        <v>879</v>
      </c>
      <c r="J526" s="38">
        <v>439</v>
      </c>
      <c r="K526" s="38">
        <v>440</v>
      </c>
      <c r="L526" s="50">
        <f t="shared" si="26"/>
        <v>33.383915022761762</v>
      </c>
      <c r="M526" s="38">
        <v>33</v>
      </c>
      <c r="N526" s="50">
        <f t="shared" si="27"/>
        <v>2.5037936267071319</v>
      </c>
      <c r="O526" s="38">
        <v>0</v>
      </c>
      <c r="P526" s="38">
        <v>355.91</v>
      </c>
      <c r="AC526" s="4"/>
      <c r="AD526" s="4"/>
    </row>
    <row r="527" spans="1:31" x14ac:dyDescent="0.25">
      <c r="A527" s="38" t="s">
        <v>36</v>
      </c>
      <c r="B527" s="38" t="s">
        <v>1048</v>
      </c>
      <c r="C527" s="38" t="s">
        <v>1163</v>
      </c>
      <c r="D527" s="38" t="s">
        <v>1164</v>
      </c>
      <c r="E527" s="38" t="s">
        <v>1165</v>
      </c>
      <c r="F527" s="38">
        <v>1622.33</v>
      </c>
      <c r="G527" s="38">
        <v>1622.33</v>
      </c>
      <c r="H527" s="38">
        <f t="shared" si="25"/>
        <v>0</v>
      </c>
      <c r="I527" s="38"/>
      <c r="J527" s="38"/>
      <c r="K527" s="38"/>
      <c r="L527" s="50"/>
      <c r="M527" s="38"/>
      <c r="N527" s="50"/>
      <c r="O527" s="38">
        <v>0</v>
      </c>
      <c r="P527" s="38">
        <v>355.91</v>
      </c>
      <c r="Q527" s="51" t="s">
        <v>43</v>
      </c>
      <c r="R527" s="9">
        <v>44498</v>
      </c>
      <c r="S527" s="51"/>
      <c r="T527" s="51">
        <v>22</v>
      </c>
      <c r="U527" s="51"/>
      <c r="V527" s="51"/>
      <c r="W527" s="51"/>
      <c r="X527" s="51"/>
      <c r="Y527" s="51"/>
      <c r="Z527" s="52"/>
      <c r="AB527" s="52">
        <v>225.4</v>
      </c>
      <c r="AC527" s="51" t="s">
        <v>1166</v>
      </c>
      <c r="AD527" s="51">
        <v>25.985014</v>
      </c>
      <c r="AE527" s="51">
        <v>72.262394</v>
      </c>
    </row>
    <row r="528" spans="1:31" x14ac:dyDescent="0.25">
      <c r="A528" s="38" t="s">
        <v>36</v>
      </c>
      <c r="B528" s="38" t="s">
        <v>1048</v>
      </c>
      <c r="C528" s="38" t="s">
        <v>1163</v>
      </c>
      <c r="D528" s="38" t="s">
        <v>1167</v>
      </c>
      <c r="E528" s="38" t="s">
        <v>1168</v>
      </c>
      <c r="F528" s="38">
        <v>813.02</v>
      </c>
      <c r="G528" s="38">
        <v>813.02</v>
      </c>
      <c r="H528" s="38">
        <f t="shared" si="25"/>
        <v>1014</v>
      </c>
      <c r="I528" s="38">
        <v>668</v>
      </c>
      <c r="J528" s="38">
        <v>346</v>
      </c>
      <c r="K528" s="38">
        <v>322</v>
      </c>
      <c r="L528" s="50">
        <f t="shared" si="26"/>
        <v>31.755424063116372</v>
      </c>
      <c r="M528" s="38">
        <v>0</v>
      </c>
      <c r="N528" s="50">
        <f t="shared" si="27"/>
        <v>0</v>
      </c>
      <c r="O528" s="38">
        <v>0</v>
      </c>
      <c r="P528" s="38">
        <v>0</v>
      </c>
      <c r="Q528" s="6" t="s">
        <v>43</v>
      </c>
      <c r="R528" s="7">
        <v>44498</v>
      </c>
      <c r="S528" s="6"/>
      <c r="T528" s="6">
        <v>0</v>
      </c>
      <c r="U528" s="6"/>
      <c r="V528" s="6"/>
      <c r="W528" s="6"/>
      <c r="X528" s="6"/>
      <c r="Y528" s="6"/>
      <c r="Z528" s="6"/>
      <c r="AB528" s="6"/>
      <c r="AC528" s="11" t="s">
        <v>1169</v>
      </c>
      <c r="AD528" s="6">
        <v>0</v>
      </c>
      <c r="AE528" s="6"/>
    </row>
    <row r="529" spans="1:31" x14ac:dyDescent="0.25">
      <c r="A529" s="38" t="s">
        <v>36</v>
      </c>
      <c r="B529" s="38" t="s">
        <v>1048</v>
      </c>
      <c r="C529" s="38" t="s">
        <v>1163</v>
      </c>
      <c r="D529" s="38" t="s">
        <v>1170</v>
      </c>
      <c r="E529" s="38" t="s">
        <v>1171</v>
      </c>
      <c r="F529" s="38">
        <v>575.19000000000005</v>
      </c>
      <c r="G529" s="38">
        <v>575.19000000000005</v>
      </c>
      <c r="H529" s="38">
        <f t="shared" si="25"/>
        <v>632</v>
      </c>
      <c r="I529" s="38">
        <v>419</v>
      </c>
      <c r="J529" s="38">
        <v>213</v>
      </c>
      <c r="K529" s="38">
        <v>206</v>
      </c>
      <c r="L529" s="50">
        <f t="shared" si="26"/>
        <v>32.594936708860764</v>
      </c>
      <c r="M529" s="38">
        <v>0</v>
      </c>
      <c r="N529" s="50">
        <f t="shared" si="27"/>
        <v>0</v>
      </c>
      <c r="O529" s="38">
        <v>0</v>
      </c>
      <c r="P529" s="38">
        <v>0</v>
      </c>
      <c r="Q529" s="6" t="s">
        <v>43</v>
      </c>
      <c r="R529" s="7">
        <v>44498</v>
      </c>
      <c r="S529" s="6"/>
      <c r="T529" s="6">
        <v>0</v>
      </c>
      <c r="U529" s="6"/>
      <c r="V529" s="6"/>
      <c r="W529" s="6"/>
      <c r="X529" s="6"/>
      <c r="Y529" s="6"/>
      <c r="Z529" s="6"/>
      <c r="AB529" s="6"/>
      <c r="AC529" s="11" t="s">
        <v>1170</v>
      </c>
      <c r="AD529" s="6">
        <v>0</v>
      </c>
      <c r="AE529" s="6"/>
    </row>
    <row r="530" spans="1:31" x14ac:dyDescent="0.25">
      <c r="A530" s="38" t="s">
        <v>36</v>
      </c>
      <c r="B530" s="38" t="s">
        <v>1048</v>
      </c>
      <c r="C530" s="38" t="s">
        <v>1163</v>
      </c>
      <c r="D530" s="38" t="s">
        <v>1172</v>
      </c>
      <c r="E530" s="38" t="s">
        <v>1173</v>
      </c>
      <c r="F530" s="38">
        <v>580.20000000000005</v>
      </c>
      <c r="G530" s="38">
        <v>580.20000000000005</v>
      </c>
      <c r="H530" s="38">
        <f t="shared" si="25"/>
        <v>706</v>
      </c>
      <c r="I530" s="38">
        <v>451</v>
      </c>
      <c r="J530" s="38">
        <v>255</v>
      </c>
      <c r="K530" s="38">
        <v>196</v>
      </c>
      <c r="L530" s="50">
        <f t="shared" si="26"/>
        <v>27.762039660056658</v>
      </c>
      <c r="M530" s="38">
        <v>23</v>
      </c>
      <c r="N530" s="50">
        <f t="shared" si="27"/>
        <v>3.2577903682719547</v>
      </c>
      <c r="O530" s="38">
        <v>0</v>
      </c>
      <c r="P530" s="38">
        <v>0</v>
      </c>
      <c r="Q530" s="6" t="s">
        <v>43</v>
      </c>
      <c r="R530" s="7">
        <v>44498</v>
      </c>
      <c r="S530" s="6"/>
      <c r="T530" s="6">
        <v>0</v>
      </c>
      <c r="U530" s="6"/>
      <c r="V530" s="6"/>
      <c r="W530" s="6"/>
      <c r="X530" s="6"/>
      <c r="Y530" s="6"/>
      <c r="Z530" s="6"/>
      <c r="AB530" s="6"/>
      <c r="AC530" s="11" t="s">
        <v>1174</v>
      </c>
      <c r="AD530" s="6">
        <v>0</v>
      </c>
      <c r="AE530" s="6"/>
    </row>
    <row r="531" spans="1:31" x14ac:dyDescent="0.25">
      <c r="A531" s="38" t="s">
        <v>36</v>
      </c>
      <c r="B531" s="38" t="s">
        <v>1048</v>
      </c>
      <c r="C531" s="38" t="s">
        <v>1175</v>
      </c>
      <c r="D531" s="38" t="s">
        <v>1176</v>
      </c>
      <c r="E531" s="38" t="s">
        <v>1177</v>
      </c>
      <c r="F531" s="38">
        <v>3264</v>
      </c>
      <c r="G531" s="38">
        <v>3264</v>
      </c>
      <c r="H531" s="38">
        <f t="shared" si="25"/>
        <v>3839</v>
      </c>
      <c r="I531" s="38">
        <v>2509</v>
      </c>
      <c r="J531" s="38">
        <v>1330</v>
      </c>
      <c r="K531" s="38">
        <v>1179</v>
      </c>
      <c r="L531" s="50">
        <f t="shared" si="26"/>
        <v>30.711122688200053</v>
      </c>
      <c r="M531" s="38">
        <v>85</v>
      </c>
      <c r="N531" s="50">
        <f t="shared" si="27"/>
        <v>2.2141182599635325</v>
      </c>
      <c r="O531" s="38">
        <v>0</v>
      </c>
      <c r="P531" s="38">
        <v>220</v>
      </c>
      <c r="Q531" s="52" t="s">
        <v>43</v>
      </c>
      <c r="R531" s="30">
        <v>44442</v>
      </c>
      <c r="S531" s="52"/>
      <c r="T531" s="52">
        <v>210</v>
      </c>
      <c r="U531" s="52"/>
      <c r="V531" s="52"/>
      <c r="W531" s="52"/>
      <c r="X531" s="52"/>
      <c r="Y531" s="52"/>
      <c r="Z531" s="52"/>
      <c r="AB531" s="52">
        <v>12</v>
      </c>
      <c r="AC531" s="52" t="s">
        <v>1178</v>
      </c>
      <c r="AD531" s="52">
        <v>25.664643999999999</v>
      </c>
      <c r="AE531" s="52">
        <v>72.168834000000004</v>
      </c>
    </row>
    <row r="532" spans="1:31" x14ac:dyDescent="0.25">
      <c r="A532" s="38" t="s">
        <v>36</v>
      </c>
      <c r="B532" s="38" t="s">
        <v>1048</v>
      </c>
      <c r="C532" s="38" t="s">
        <v>1179</v>
      </c>
      <c r="D532" s="38" t="s">
        <v>1180</v>
      </c>
      <c r="E532" s="38" t="s">
        <v>1181</v>
      </c>
      <c r="F532" s="38">
        <v>1614</v>
      </c>
      <c r="G532" s="38">
        <v>1614</v>
      </c>
      <c r="H532" s="38">
        <f t="shared" si="25"/>
        <v>2059</v>
      </c>
      <c r="I532" s="38">
        <v>1357</v>
      </c>
      <c r="J532" s="38">
        <v>702</v>
      </c>
      <c r="K532" s="38">
        <v>655</v>
      </c>
      <c r="L532" s="50">
        <f t="shared" si="26"/>
        <v>31.811559009227778</v>
      </c>
      <c r="M532" s="38">
        <v>55</v>
      </c>
      <c r="N532" s="50">
        <f t="shared" si="27"/>
        <v>2.6711996114618746</v>
      </c>
      <c r="O532" s="38">
        <v>0</v>
      </c>
      <c r="P532" s="38">
        <v>212</v>
      </c>
      <c r="Q532" s="51" t="s">
        <v>43</v>
      </c>
      <c r="R532" s="31">
        <v>44497</v>
      </c>
      <c r="S532" s="51"/>
      <c r="T532" s="51">
        <v>214</v>
      </c>
      <c r="U532" s="51"/>
      <c r="V532" s="51"/>
      <c r="W532" s="51"/>
      <c r="X532" s="51"/>
      <c r="Y532" s="51"/>
      <c r="Z532" s="52"/>
      <c r="AB532" s="56">
        <v>22</v>
      </c>
      <c r="AC532" s="56" t="s">
        <v>1182</v>
      </c>
      <c r="AD532" s="51">
        <v>25.819946000000002</v>
      </c>
      <c r="AE532" s="51">
        <v>72.329246999999995</v>
      </c>
    </row>
    <row r="533" spans="1:31" x14ac:dyDescent="0.25">
      <c r="A533" s="38" t="s">
        <v>36</v>
      </c>
      <c r="B533" s="38" t="s">
        <v>1048</v>
      </c>
      <c r="C533" s="38" t="s">
        <v>1179</v>
      </c>
      <c r="D533" s="38" t="s">
        <v>1180</v>
      </c>
      <c r="E533" s="38" t="s">
        <v>1181</v>
      </c>
      <c r="F533" s="38"/>
      <c r="G533" s="38"/>
      <c r="H533" s="38">
        <f t="shared" si="25"/>
        <v>0</v>
      </c>
      <c r="I533" s="38"/>
      <c r="J533" s="38"/>
      <c r="K533" s="38"/>
      <c r="L533" s="50"/>
      <c r="M533" s="38"/>
      <c r="N533" s="50"/>
      <c r="O533" s="38">
        <v>0</v>
      </c>
      <c r="P533" s="38">
        <v>212</v>
      </c>
      <c r="AC533" s="4"/>
      <c r="AD533" s="4"/>
    </row>
    <row r="534" spans="1:31" x14ac:dyDescent="0.25">
      <c r="A534" s="38" t="s">
        <v>36</v>
      </c>
      <c r="B534" s="38" t="s">
        <v>1048</v>
      </c>
      <c r="C534" s="38" t="s">
        <v>1179</v>
      </c>
      <c r="D534" s="38" t="s">
        <v>1183</v>
      </c>
      <c r="E534" s="38" t="s">
        <v>1184</v>
      </c>
      <c r="F534" s="38">
        <v>1452</v>
      </c>
      <c r="G534" s="38">
        <v>1452</v>
      </c>
      <c r="H534" s="38">
        <f t="shared" si="25"/>
        <v>1864</v>
      </c>
      <c r="I534" s="38">
        <v>1225</v>
      </c>
      <c r="J534" s="38">
        <v>639</v>
      </c>
      <c r="K534" s="38">
        <v>586</v>
      </c>
      <c r="L534" s="50">
        <f t="shared" si="26"/>
        <v>31.437768240343349</v>
      </c>
      <c r="M534" s="38">
        <v>36</v>
      </c>
      <c r="N534" s="50">
        <f t="shared" si="27"/>
        <v>1.9313304721030045</v>
      </c>
      <c r="O534" s="38">
        <v>0</v>
      </c>
      <c r="P534" s="38">
        <v>41</v>
      </c>
      <c r="Q534" s="51" t="s">
        <v>43</v>
      </c>
      <c r="R534" s="9">
        <v>44434</v>
      </c>
      <c r="S534" s="51"/>
      <c r="T534" s="51">
        <v>41</v>
      </c>
      <c r="U534" s="51"/>
      <c r="V534" s="51"/>
      <c r="W534" s="51"/>
      <c r="X534" s="51"/>
      <c r="Y534" s="51"/>
      <c r="Z534" s="52"/>
      <c r="AB534" s="52"/>
      <c r="AC534" s="51" t="s">
        <v>1185</v>
      </c>
      <c r="AD534" s="51">
        <v>25.861899000000001</v>
      </c>
      <c r="AE534" s="51">
        <v>72.344147000000007</v>
      </c>
    </row>
    <row r="535" spans="1:31" x14ac:dyDescent="0.25">
      <c r="A535" s="38" t="s">
        <v>36</v>
      </c>
      <c r="B535" s="38" t="s">
        <v>1048</v>
      </c>
      <c r="C535" s="38" t="s">
        <v>1179</v>
      </c>
      <c r="D535" s="38" t="s">
        <v>1186</v>
      </c>
      <c r="E535" s="38" t="s">
        <v>1187</v>
      </c>
      <c r="F535" s="38">
        <v>901.88</v>
      </c>
      <c r="G535" s="38">
        <v>901.88</v>
      </c>
      <c r="H535" s="38">
        <f t="shared" si="25"/>
        <v>764</v>
      </c>
      <c r="I535" s="38">
        <v>500</v>
      </c>
      <c r="J535" s="38">
        <v>264</v>
      </c>
      <c r="K535" s="38">
        <v>236</v>
      </c>
      <c r="L535" s="50">
        <f t="shared" si="26"/>
        <v>30.890052356020941</v>
      </c>
      <c r="M535" s="38">
        <v>0</v>
      </c>
      <c r="N535" s="50">
        <f t="shared" si="27"/>
        <v>0</v>
      </c>
      <c r="O535" s="38">
        <v>0</v>
      </c>
      <c r="P535" s="38">
        <v>0</v>
      </c>
      <c r="Q535" s="6" t="s">
        <v>43</v>
      </c>
      <c r="R535" s="7">
        <v>44434</v>
      </c>
      <c r="S535" s="6"/>
      <c r="T535" s="6">
        <v>0</v>
      </c>
      <c r="U535" s="6"/>
      <c r="V535" s="6"/>
      <c r="W535" s="6"/>
      <c r="X535" s="6"/>
      <c r="Y535" s="6"/>
      <c r="Z535" s="6"/>
      <c r="AB535" s="6"/>
      <c r="AC535" s="11" t="s">
        <v>1188</v>
      </c>
      <c r="AD535" s="6">
        <v>0</v>
      </c>
      <c r="AE535" s="6"/>
    </row>
    <row r="536" spans="1:31" x14ac:dyDescent="0.25">
      <c r="A536" s="38" t="s">
        <v>36</v>
      </c>
      <c r="B536" s="38" t="s">
        <v>1048</v>
      </c>
      <c r="C536" s="38" t="s">
        <v>1189</v>
      </c>
      <c r="D536" s="38" t="s">
        <v>1190</v>
      </c>
      <c r="E536" s="38" t="s">
        <v>1191</v>
      </c>
      <c r="F536" s="38">
        <v>3447</v>
      </c>
      <c r="G536" s="38">
        <v>3447</v>
      </c>
      <c r="H536" s="38">
        <f t="shared" si="25"/>
        <v>23667</v>
      </c>
      <c r="I536" s="38">
        <v>15552</v>
      </c>
      <c r="J536" s="38">
        <v>8115</v>
      </c>
      <c r="K536" s="38">
        <v>7437</v>
      </c>
      <c r="L536" s="50">
        <f t="shared" si="26"/>
        <v>31.423501077449611</v>
      </c>
      <c r="M536" s="38">
        <v>916</v>
      </c>
      <c r="N536" s="50">
        <f t="shared" si="27"/>
        <v>3.8703680229855917</v>
      </c>
      <c r="O536" s="38">
        <v>0</v>
      </c>
      <c r="P536" s="38">
        <v>542</v>
      </c>
      <c r="Q536" s="51" t="s">
        <v>43</v>
      </c>
      <c r="R536" s="28">
        <v>44453</v>
      </c>
      <c r="S536" s="51"/>
      <c r="T536" s="51">
        <v>592</v>
      </c>
      <c r="U536" s="51"/>
      <c r="V536" s="51"/>
      <c r="W536" s="51"/>
      <c r="X536" s="51"/>
      <c r="Y536" s="51"/>
      <c r="Z536" s="52"/>
      <c r="AB536" s="52">
        <v>50</v>
      </c>
      <c r="AC536" s="52" t="s">
        <v>1192</v>
      </c>
      <c r="AD536" s="51">
        <v>25.805944</v>
      </c>
      <c r="AE536" s="51">
        <v>72.197708000000006</v>
      </c>
    </row>
    <row r="537" spans="1:31" x14ac:dyDescent="0.25">
      <c r="A537" s="38" t="s">
        <v>36</v>
      </c>
      <c r="B537" s="38" t="s">
        <v>1048</v>
      </c>
      <c r="C537" s="38" t="s">
        <v>1193</v>
      </c>
      <c r="D537" s="38" t="s">
        <v>1194</v>
      </c>
      <c r="E537" s="38" t="s">
        <v>1195</v>
      </c>
      <c r="F537" s="38">
        <v>2100.04</v>
      </c>
      <c r="G537" s="38">
        <v>2100.04</v>
      </c>
      <c r="H537" s="38">
        <f t="shared" si="25"/>
        <v>4406</v>
      </c>
      <c r="I537" s="38">
        <v>2876</v>
      </c>
      <c r="J537" s="38">
        <v>1530</v>
      </c>
      <c r="K537" s="38">
        <v>1346</v>
      </c>
      <c r="L537" s="50">
        <f t="shared" si="26"/>
        <v>30.549251021334545</v>
      </c>
      <c r="M537" s="38">
        <v>194</v>
      </c>
      <c r="N537" s="50">
        <f t="shared" si="27"/>
        <v>4.4030866999546072</v>
      </c>
      <c r="O537" s="38">
        <v>0</v>
      </c>
      <c r="P537" s="38">
        <v>68.88</v>
      </c>
      <c r="Q537" s="51" t="s">
        <v>43</v>
      </c>
      <c r="R537" s="9">
        <v>44440</v>
      </c>
      <c r="S537" s="51"/>
      <c r="T537" s="51">
        <v>66</v>
      </c>
      <c r="U537" s="51"/>
      <c r="V537" s="51"/>
      <c r="W537" s="51"/>
      <c r="X537" s="51"/>
      <c r="Y537" s="51"/>
      <c r="Z537" s="52"/>
      <c r="AB537" s="52">
        <v>3</v>
      </c>
      <c r="AC537" s="52" t="s">
        <v>1196</v>
      </c>
      <c r="AD537" s="51">
        <v>25.709804999999999</v>
      </c>
      <c r="AE537" s="51">
        <v>72.077971000000005</v>
      </c>
    </row>
    <row r="538" spans="1:31" x14ac:dyDescent="0.25">
      <c r="A538" s="38" t="s">
        <v>36</v>
      </c>
      <c r="B538" s="38" t="s">
        <v>1048</v>
      </c>
      <c r="C538" s="38" t="s">
        <v>1197</v>
      </c>
      <c r="D538" s="38" t="s">
        <v>1198</v>
      </c>
      <c r="E538" s="38" t="s">
        <v>1199</v>
      </c>
      <c r="F538" s="38"/>
      <c r="G538" s="38"/>
      <c r="H538" s="38">
        <f t="shared" si="25"/>
        <v>0</v>
      </c>
      <c r="I538" s="38"/>
      <c r="J538" s="38"/>
      <c r="K538" s="38"/>
      <c r="L538" s="50"/>
      <c r="M538" s="38"/>
      <c r="N538" s="50"/>
      <c r="O538" s="38">
        <v>0</v>
      </c>
      <c r="P538" s="38">
        <v>74</v>
      </c>
      <c r="Q538" s="51" t="s">
        <v>43</v>
      </c>
      <c r="R538" s="9">
        <v>44468</v>
      </c>
      <c r="S538" s="51"/>
      <c r="T538" s="51">
        <v>15</v>
      </c>
      <c r="U538" s="51"/>
      <c r="V538" s="51"/>
      <c r="W538" s="51"/>
      <c r="X538" s="51"/>
      <c r="Y538" s="51"/>
      <c r="Z538" s="52"/>
      <c r="AB538" s="52">
        <v>15</v>
      </c>
      <c r="AC538" s="52" t="s">
        <v>1200</v>
      </c>
      <c r="AD538" s="51">
        <v>25.806594</v>
      </c>
      <c r="AE538" s="51">
        <v>72.407613999999995</v>
      </c>
    </row>
    <row r="539" spans="1:31" x14ac:dyDescent="0.25">
      <c r="A539" s="38" t="s">
        <v>36</v>
      </c>
      <c r="B539" s="38" t="s">
        <v>1048</v>
      </c>
      <c r="C539" s="38" t="s">
        <v>1197</v>
      </c>
      <c r="D539" s="38" t="s">
        <v>1198</v>
      </c>
      <c r="E539" s="38" t="s">
        <v>1199</v>
      </c>
      <c r="F539" s="38">
        <v>2867</v>
      </c>
      <c r="G539" s="38">
        <v>2867</v>
      </c>
      <c r="H539" s="38">
        <f t="shared" si="25"/>
        <v>8492</v>
      </c>
      <c r="I539" s="38">
        <v>5668</v>
      </c>
      <c r="J539" s="38">
        <v>2824</v>
      </c>
      <c r="K539" s="38">
        <v>2844</v>
      </c>
      <c r="L539" s="50">
        <f t="shared" si="26"/>
        <v>33.490343853038155</v>
      </c>
      <c r="M539" s="38">
        <v>550</v>
      </c>
      <c r="N539" s="50">
        <f t="shared" si="27"/>
        <v>6.4766839378238332</v>
      </c>
      <c r="O539" s="38">
        <v>0</v>
      </c>
      <c r="P539" s="38">
        <v>74</v>
      </c>
      <c r="Q539" s="51" t="s">
        <v>43</v>
      </c>
      <c r="R539" s="9">
        <v>43482</v>
      </c>
      <c r="S539" s="51"/>
      <c r="T539" s="51">
        <v>88</v>
      </c>
      <c r="U539" s="51"/>
      <c r="V539" s="51"/>
      <c r="W539" s="51"/>
      <c r="X539" s="51"/>
      <c r="Y539" s="51"/>
      <c r="Z539" s="52"/>
      <c r="AB539" s="52">
        <v>18</v>
      </c>
      <c r="AC539" s="52" t="s">
        <v>1201</v>
      </c>
      <c r="AD539" s="51">
        <v>25.806594</v>
      </c>
      <c r="AE539" s="51">
        <v>72.407613999999995</v>
      </c>
    </row>
    <row r="540" spans="1:31" x14ac:dyDescent="0.25">
      <c r="A540" s="38" t="s">
        <v>36</v>
      </c>
      <c r="B540" s="38" t="s">
        <v>1048</v>
      </c>
      <c r="C540" s="38" t="s">
        <v>1202</v>
      </c>
      <c r="D540" s="38" t="s">
        <v>1203</v>
      </c>
      <c r="E540" s="38" t="s">
        <v>1204</v>
      </c>
      <c r="F540" s="38">
        <v>3626</v>
      </c>
      <c r="G540" s="38">
        <v>3626</v>
      </c>
      <c r="H540" s="38">
        <f t="shared" si="25"/>
        <v>5260</v>
      </c>
      <c r="I540" s="38">
        <v>3470</v>
      </c>
      <c r="J540" s="38">
        <v>1790</v>
      </c>
      <c r="K540" s="38">
        <v>1680</v>
      </c>
      <c r="L540" s="50">
        <f t="shared" si="26"/>
        <v>31.939163498098861</v>
      </c>
      <c r="M540" s="38">
        <v>257</v>
      </c>
      <c r="N540" s="50">
        <f t="shared" si="27"/>
        <v>4.8859315589353614</v>
      </c>
      <c r="O540" s="38">
        <v>0</v>
      </c>
      <c r="P540" s="38">
        <v>49</v>
      </c>
      <c r="Q540" s="51" t="s">
        <v>43</v>
      </c>
      <c r="R540" s="9">
        <v>44456</v>
      </c>
      <c r="S540" s="51"/>
      <c r="T540" s="51">
        <v>227</v>
      </c>
      <c r="U540" s="51"/>
      <c r="V540" s="51"/>
      <c r="W540" s="51"/>
      <c r="X540" s="51"/>
      <c r="Y540" s="51"/>
      <c r="Z540" s="52"/>
      <c r="AB540" s="52">
        <v>23</v>
      </c>
      <c r="AC540" s="52" t="s">
        <v>1205</v>
      </c>
      <c r="AD540" s="51">
        <v>25.962263</v>
      </c>
      <c r="AE540" s="51">
        <v>71.908445999999998</v>
      </c>
    </row>
    <row r="541" spans="1:31" x14ac:dyDescent="0.25">
      <c r="A541" s="38" t="s">
        <v>36</v>
      </c>
      <c r="B541" s="38" t="s">
        <v>1048</v>
      </c>
      <c r="C541" s="38" t="s">
        <v>1202</v>
      </c>
      <c r="D541" s="38" t="s">
        <v>1203</v>
      </c>
      <c r="E541" s="38" t="s">
        <v>1204</v>
      </c>
      <c r="F541" s="38"/>
      <c r="G541" s="38"/>
      <c r="H541" s="38">
        <f t="shared" si="25"/>
        <v>0</v>
      </c>
      <c r="I541" s="38"/>
      <c r="J541" s="38"/>
      <c r="K541" s="38"/>
      <c r="L541" s="50"/>
      <c r="M541" s="38"/>
      <c r="N541" s="50"/>
      <c r="O541" s="38">
        <v>0</v>
      </c>
      <c r="P541" s="38">
        <v>49</v>
      </c>
      <c r="Q541" s="51" t="s">
        <v>43</v>
      </c>
      <c r="R541" s="9">
        <v>44456</v>
      </c>
      <c r="S541" s="51"/>
      <c r="T541" s="51">
        <v>311</v>
      </c>
      <c r="U541" s="51"/>
      <c r="V541" s="51"/>
      <c r="W541" s="51"/>
      <c r="X541" s="51"/>
      <c r="Y541" s="51"/>
      <c r="Z541" s="52"/>
      <c r="AB541" s="52">
        <v>19</v>
      </c>
      <c r="AC541" s="52" t="s">
        <v>1206</v>
      </c>
      <c r="AD541" s="51">
        <v>25.961105</v>
      </c>
      <c r="AE541" s="51">
        <v>71.908873999999997</v>
      </c>
    </row>
    <row r="542" spans="1:31" x14ac:dyDescent="0.25">
      <c r="A542" s="38" t="s">
        <v>36</v>
      </c>
      <c r="B542" s="38" t="s">
        <v>1048</v>
      </c>
      <c r="C542" s="38" t="s">
        <v>1202</v>
      </c>
      <c r="D542" s="38" t="s">
        <v>1203</v>
      </c>
      <c r="E542" s="38" t="s">
        <v>1204</v>
      </c>
      <c r="F542" s="38"/>
      <c r="G542" s="38"/>
      <c r="H542" s="38">
        <f t="shared" si="25"/>
        <v>0</v>
      </c>
      <c r="I542" s="38"/>
      <c r="J542" s="38"/>
      <c r="K542" s="38"/>
      <c r="L542" s="50"/>
      <c r="M542" s="38"/>
      <c r="N542" s="50"/>
      <c r="O542" s="38">
        <v>0</v>
      </c>
      <c r="P542" s="38">
        <v>49</v>
      </c>
      <c r="Q542" s="51" t="s">
        <v>43</v>
      </c>
      <c r="R542" s="9">
        <v>44456</v>
      </c>
      <c r="S542" s="51"/>
      <c r="T542" s="51">
        <v>158</v>
      </c>
      <c r="U542" s="51"/>
      <c r="V542" s="51"/>
      <c r="W542" s="51"/>
      <c r="X542" s="51"/>
      <c r="Y542" s="51"/>
      <c r="Z542" s="52"/>
      <c r="AB542" s="52">
        <v>19</v>
      </c>
      <c r="AC542" s="52" t="s">
        <v>1207</v>
      </c>
      <c r="AD542" s="51">
        <v>25.961105</v>
      </c>
      <c r="AE542" s="51">
        <v>71.908873999999997</v>
      </c>
    </row>
    <row r="543" spans="1:31" x14ac:dyDescent="0.25">
      <c r="A543" s="38" t="s">
        <v>36</v>
      </c>
      <c r="B543" s="38" t="s">
        <v>1048</v>
      </c>
      <c r="C543" s="38" t="s">
        <v>1202</v>
      </c>
      <c r="D543" s="38" t="s">
        <v>1203</v>
      </c>
      <c r="E543" s="38" t="s">
        <v>1204</v>
      </c>
      <c r="F543" s="38">
        <v>3626</v>
      </c>
      <c r="G543" s="38">
        <v>3626</v>
      </c>
      <c r="H543" s="38">
        <f t="shared" si="25"/>
        <v>5260</v>
      </c>
      <c r="I543" s="38">
        <v>3470</v>
      </c>
      <c r="J543" s="38">
        <v>1790</v>
      </c>
      <c r="K543" s="38">
        <v>1680</v>
      </c>
      <c r="L543" s="50">
        <f t="shared" si="26"/>
        <v>31.939163498098861</v>
      </c>
      <c r="M543" s="38">
        <v>257</v>
      </c>
      <c r="N543" s="50">
        <f t="shared" si="27"/>
        <v>4.8859315589353614</v>
      </c>
      <c r="O543" s="38">
        <v>0</v>
      </c>
      <c r="P543" s="38">
        <v>49</v>
      </c>
      <c r="AC543" s="4"/>
      <c r="AD543" s="17"/>
    </row>
    <row r="544" spans="1:31" x14ac:dyDescent="0.25">
      <c r="A544" s="38" t="s">
        <v>36</v>
      </c>
      <c r="B544" s="38" t="s">
        <v>1048</v>
      </c>
      <c r="C544" s="38" t="s">
        <v>1208</v>
      </c>
      <c r="D544" s="38" t="s">
        <v>1209</v>
      </c>
      <c r="E544" s="38" t="s">
        <v>1210</v>
      </c>
      <c r="F544" s="38">
        <v>3101</v>
      </c>
      <c r="G544" s="38">
        <v>3101</v>
      </c>
      <c r="H544" s="38">
        <f t="shared" si="25"/>
        <v>1760</v>
      </c>
      <c r="I544" s="38">
        <v>1163</v>
      </c>
      <c r="J544" s="38">
        <v>597</v>
      </c>
      <c r="K544" s="38">
        <v>566</v>
      </c>
      <c r="L544" s="50">
        <f t="shared" si="26"/>
        <v>32.159090909090907</v>
      </c>
      <c r="M544" s="38">
        <v>138</v>
      </c>
      <c r="N544" s="50">
        <f t="shared" si="27"/>
        <v>7.8409090909090917</v>
      </c>
      <c r="O544" s="38">
        <v>0</v>
      </c>
      <c r="P544" s="38">
        <v>0</v>
      </c>
      <c r="Q544" s="51" t="s">
        <v>43</v>
      </c>
      <c r="R544" s="28">
        <v>44446</v>
      </c>
      <c r="S544" s="51"/>
      <c r="T544" s="51">
        <v>351</v>
      </c>
      <c r="U544" s="51"/>
      <c r="V544" s="51"/>
      <c r="W544" s="51"/>
      <c r="X544" s="51"/>
      <c r="Y544" s="51"/>
      <c r="Z544" s="52"/>
      <c r="AB544" s="52"/>
      <c r="AC544" s="51" t="s">
        <v>1211</v>
      </c>
      <c r="AD544" s="51">
        <v>25.880549999999999</v>
      </c>
      <c r="AE544" s="51">
        <v>72.172993000000005</v>
      </c>
    </row>
    <row r="545" spans="1:31" x14ac:dyDescent="0.25">
      <c r="A545" s="38" t="s">
        <v>36</v>
      </c>
      <c r="B545" s="38" t="s">
        <v>1048</v>
      </c>
      <c r="C545" s="38" t="s">
        <v>1208</v>
      </c>
      <c r="D545" s="38" t="s">
        <v>1209</v>
      </c>
      <c r="E545" s="38">
        <v>3101</v>
      </c>
      <c r="F545" s="38">
        <v>0</v>
      </c>
      <c r="G545" s="38">
        <v>0</v>
      </c>
      <c r="H545" s="38">
        <f t="shared" si="25"/>
        <v>0</v>
      </c>
      <c r="I545" s="38"/>
      <c r="J545" s="38"/>
      <c r="K545" s="38"/>
      <c r="L545" s="50"/>
      <c r="M545" s="38"/>
      <c r="N545" s="50"/>
      <c r="O545" s="38"/>
      <c r="P545" s="38"/>
      <c r="Q545" s="55"/>
      <c r="R545" s="29">
        <v>44446</v>
      </c>
      <c r="S545" s="55"/>
      <c r="T545" s="55"/>
      <c r="U545" s="55"/>
      <c r="V545" s="55"/>
      <c r="W545" s="55"/>
      <c r="X545" s="55"/>
      <c r="Y545" s="55"/>
      <c r="Z545" s="58"/>
      <c r="AB545" s="58">
        <v>5</v>
      </c>
      <c r="AC545" s="55" t="s">
        <v>1212</v>
      </c>
      <c r="AD545" s="55">
        <v>25.874927</v>
      </c>
      <c r="AE545" s="55">
        <v>72.172160000000005</v>
      </c>
    </row>
    <row r="546" spans="1:31" x14ac:dyDescent="0.25">
      <c r="A546" s="38" t="s">
        <v>36</v>
      </c>
      <c r="B546" s="38" t="s">
        <v>1048</v>
      </c>
      <c r="C546" s="38" t="s">
        <v>1208</v>
      </c>
      <c r="D546" s="38" t="s">
        <v>1213</v>
      </c>
      <c r="E546" s="38" t="s">
        <v>1214</v>
      </c>
      <c r="F546" s="38">
        <v>742</v>
      </c>
      <c r="G546" s="38">
        <v>742</v>
      </c>
      <c r="H546" s="38">
        <f t="shared" si="25"/>
        <v>435</v>
      </c>
      <c r="I546" s="38">
        <v>283</v>
      </c>
      <c r="J546" s="38">
        <v>152</v>
      </c>
      <c r="K546" s="38">
        <v>131</v>
      </c>
      <c r="L546" s="50">
        <f t="shared" si="26"/>
        <v>30.114942528735632</v>
      </c>
      <c r="M546" s="38">
        <v>0</v>
      </c>
      <c r="N546" s="50">
        <f t="shared" si="27"/>
        <v>0</v>
      </c>
      <c r="O546" s="38">
        <v>0</v>
      </c>
      <c r="P546" s="38">
        <v>0</v>
      </c>
    </row>
    <row r="547" spans="1:31" x14ac:dyDescent="0.25">
      <c r="A547" s="38" t="s">
        <v>36</v>
      </c>
      <c r="B547" s="38" t="s">
        <v>1048</v>
      </c>
      <c r="C547" s="38" t="s">
        <v>1208</v>
      </c>
      <c r="D547" s="38" t="s">
        <v>1215</v>
      </c>
      <c r="E547" s="38" t="s">
        <v>1216</v>
      </c>
      <c r="F547" s="38">
        <v>3105.39</v>
      </c>
      <c r="G547" s="38">
        <v>3105.39</v>
      </c>
      <c r="H547" s="38">
        <f t="shared" si="25"/>
        <v>1643</v>
      </c>
      <c r="I547" s="38">
        <v>1071</v>
      </c>
      <c r="J547" s="38">
        <v>572</v>
      </c>
      <c r="K547" s="38">
        <v>499</v>
      </c>
      <c r="L547" s="50">
        <f t="shared" si="26"/>
        <v>30.371272063298843</v>
      </c>
      <c r="M547" s="38">
        <v>77</v>
      </c>
      <c r="N547" s="50">
        <f t="shared" si="27"/>
        <v>4.6865489957395008</v>
      </c>
      <c r="O547" s="38">
        <v>0</v>
      </c>
      <c r="P547" s="38">
        <v>38.700000000000003</v>
      </c>
      <c r="Q547" s="51" t="s">
        <v>43</v>
      </c>
      <c r="R547" s="28">
        <v>44446</v>
      </c>
      <c r="S547" s="51"/>
      <c r="T547" s="51">
        <v>193</v>
      </c>
      <c r="U547" s="51"/>
      <c r="V547" s="51"/>
      <c r="W547" s="51"/>
      <c r="X547" s="51"/>
      <c r="Y547" s="51"/>
      <c r="Z547" s="52"/>
      <c r="AB547" s="52"/>
      <c r="AC547" s="51" t="s">
        <v>1217</v>
      </c>
      <c r="AD547" s="51">
        <v>25.877025</v>
      </c>
      <c r="AE547" s="51">
        <v>72.149840999999995</v>
      </c>
    </row>
    <row r="548" spans="1:31" x14ac:dyDescent="0.25">
      <c r="A548" s="38" t="s">
        <v>36</v>
      </c>
      <c r="B548" s="38" t="s">
        <v>1048</v>
      </c>
      <c r="C548" s="38" t="s">
        <v>1218</v>
      </c>
      <c r="D548" s="38" t="s">
        <v>1219</v>
      </c>
      <c r="E548" s="38" t="s">
        <v>1220</v>
      </c>
      <c r="F548" s="38">
        <v>2043</v>
      </c>
      <c r="G548" s="38">
        <v>2043</v>
      </c>
      <c r="H548" s="38">
        <f t="shared" si="25"/>
        <v>6577</v>
      </c>
      <c r="I548" s="38">
        <v>4350</v>
      </c>
      <c r="J548" s="38">
        <v>2227</v>
      </c>
      <c r="K548" s="38">
        <v>2123</v>
      </c>
      <c r="L548" s="50">
        <f t="shared" si="26"/>
        <v>32.27915462977041</v>
      </c>
      <c r="M548" s="38">
        <v>269</v>
      </c>
      <c r="N548" s="50">
        <f t="shared" si="27"/>
        <v>4.0900106431503724</v>
      </c>
      <c r="O548" s="38">
        <v>0</v>
      </c>
      <c r="P548" s="38">
        <v>82</v>
      </c>
      <c r="Q548" s="51" t="s">
        <v>43</v>
      </c>
      <c r="R548" s="9">
        <v>44474</v>
      </c>
      <c r="S548" s="51"/>
      <c r="T548" s="51">
        <v>82</v>
      </c>
      <c r="U548" s="51"/>
      <c r="V548" s="51"/>
      <c r="W548" s="51"/>
      <c r="X548" s="51"/>
      <c r="Y548" s="51"/>
      <c r="Z548" s="53"/>
      <c r="AB548" s="53"/>
      <c r="AC548" s="51" t="s">
        <v>1221</v>
      </c>
      <c r="AD548" s="51">
        <v>25.777434</v>
      </c>
      <c r="AE548" s="51">
        <v>72.357840999999993</v>
      </c>
    </row>
    <row r="549" spans="1:31" x14ac:dyDescent="0.25">
      <c r="A549" s="38" t="s">
        <v>36</v>
      </c>
      <c r="B549" s="38" t="s">
        <v>1048</v>
      </c>
      <c r="C549" s="38" t="s">
        <v>1218</v>
      </c>
      <c r="D549" s="38" t="s">
        <v>1222</v>
      </c>
      <c r="E549" s="38" t="s">
        <v>1223</v>
      </c>
      <c r="F549" s="38">
        <v>1372</v>
      </c>
      <c r="G549" s="38">
        <v>1372</v>
      </c>
      <c r="H549" s="38">
        <f t="shared" si="25"/>
        <v>1262</v>
      </c>
      <c r="I549" s="38">
        <v>822</v>
      </c>
      <c r="J549" s="38">
        <v>440</v>
      </c>
      <c r="K549" s="38">
        <v>382</v>
      </c>
      <c r="L549" s="50">
        <f t="shared" si="26"/>
        <v>30.269413629160063</v>
      </c>
      <c r="M549" s="38">
        <v>0</v>
      </c>
      <c r="N549" s="50">
        <f t="shared" si="27"/>
        <v>0</v>
      </c>
      <c r="O549" s="38">
        <v>340</v>
      </c>
      <c r="P549" s="38">
        <v>35</v>
      </c>
      <c r="Q549" s="6" t="s">
        <v>43</v>
      </c>
      <c r="R549" s="7">
        <v>44474</v>
      </c>
      <c r="S549" s="6"/>
      <c r="T549" s="6">
        <v>35</v>
      </c>
      <c r="U549" s="6"/>
      <c r="V549" s="6"/>
      <c r="W549" s="6"/>
      <c r="X549" s="6"/>
      <c r="Y549" s="6"/>
      <c r="Z549" s="6"/>
      <c r="AB549" s="6"/>
      <c r="AC549" s="11" t="s">
        <v>1222</v>
      </c>
      <c r="AD549" s="6"/>
      <c r="AE549" s="6"/>
    </row>
    <row r="550" spans="1:31" x14ac:dyDescent="0.25">
      <c r="A550" s="38" t="s">
        <v>36</v>
      </c>
      <c r="B550" s="38" t="s">
        <v>1048</v>
      </c>
      <c r="C550" s="38" t="s">
        <v>1218</v>
      </c>
      <c r="D550" s="38" t="s">
        <v>1224</v>
      </c>
      <c r="E550" s="38">
        <v>283.39999999999998</v>
      </c>
      <c r="F550" s="38">
        <v>0</v>
      </c>
      <c r="G550" s="38">
        <v>0</v>
      </c>
      <c r="H550" s="38">
        <f t="shared" si="25"/>
        <v>47.19</v>
      </c>
      <c r="I550" s="38">
        <v>47.19</v>
      </c>
      <c r="J550" s="38">
        <v>0</v>
      </c>
      <c r="K550" s="38">
        <v>13.65</v>
      </c>
      <c r="L550" s="50">
        <f t="shared" si="26"/>
        <v>28.925619834710748</v>
      </c>
      <c r="M550" s="38"/>
      <c r="N550" s="50">
        <f t="shared" si="27"/>
        <v>0</v>
      </c>
      <c r="O550" s="38"/>
      <c r="P550" s="38"/>
      <c r="Q550" s="51" t="s">
        <v>43</v>
      </c>
      <c r="R550" s="9">
        <v>44448</v>
      </c>
      <c r="S550" s="51"/>
      <c r="T550" s="51">
        <v>46</v>
      </c>
      <c r="U550" s="51"/>
      <c r="V550" s="51"/>
      <c r="W550" s="51"/>
      <c r="X550" s="51"/>
      <c r="Y550" s="51"/>
      <c r="Z550" s="53"/>
      <c r="AB550" s="53">
        <v>46</v>
      </c>
      <c r="AC550" s="51" t="s">
        <v>1225</v>
      </c>
      <c r="AD550" s="51">
        <v>25.786358</v>
      </c>
      <c r="AE550" s="51">
        <v>72.303172000000004</v>
      </c>
    </row>
    <row r="551" spans="1:31" x14ac:dyDescent="0.25">
      <c r="A551" s="38" t="s">
        <v>36</v>
      </c>
      <c r="B551" s="38" t="s">
        <v>1048</v>
      </c>
      <c r="C551" s="38" t="s">
        <v>1218</v>
      </c>
      <c r="D551" s="38" t="s">
        <v>1224</v>
      </c>
      <c r="E551" s="38" t="s">
        <v>1226</v>
      </c>
      <c r="F551" s="38">
        <v>283.39999999999998</v>
      </c>
      <c r="G551" s="38">
        <v>283.39999999999998</v>
      </c>
      <c r="H551" s="38">
        <f t="shared" si="25"/>
        <v>957</v>
      </c>
      <c r="I551" s="38">
        <v>630</v>
      </c>
      <c r="J551" s="38">
        <v>327</v>
      </c>
      <c r="K551" s="38">
        <v>303</v>
      </c>
      <c r="L551" s="50">
        <f t="shared" si="26"/>
        <v>31.661442006269592</v>
      </c>
      <c r="M551" s="38">
        <v>27</v>
      </c>
      <c r="N551" s="50">
        <f t="shared" si="27"/>
        <v>2.8213166144200628</v>
      </c>
      <c r="O551" s="38">
        <v>0</v>
      </c>
      <c r="P551" s="38">
        <v>47.19</v>
      </c>
      <c r="Q551" s="6" t="s">
        <v>43</v>
      </c>
      <c r="R551" s="7">
        <v>44474</v>
      </c>
      <c r="S551" s="6"/>
      <c r="T551" s="6">
        <v>47</v>
      </c>
      <c r="U551" s="6"/>
      <c r="V551" s="6"/>
      <c r="W551" s="6"/>
      <c r="X551" s="6"/>
      <c r="Y551" s="6"/>
      <c r="Z551" s="6"/>
      <c r="AB551" s="6"/>
      <c r="AC551" s="11" t="s">
        <v>1224</v>
      </c>
      <c r="AD551" s="6"/>
      <c r="AE551" s="6"/>
    </row>
    <row r="552" spans="1:31" x14ac:dyDescent="0.25">
      <c r="A552" s="38" t="s">
        <v>36</v>
      </c>
      <c r="B552" s="38" t="s">
        <v>1048</v>
      </c>
      <c r="C552" s="38" t="s">
        <v>1227</v>
      </c>
      <c r="D552" s="38" t="s">
        <v>1227</v>
      </c>
      <c r="E552" s="38" t="s">
        <v>1228</v>
      </c>
      <c r="F552" s="38">
        <v>1326.76</v>
      </c>
      <c r="G552" s="38">
        <v>1326.76</v>
      </c>
      <c r="H552" s="38">
        <f t="shared" si="25"/>
        <v>2674</v>
      </c>
      <c r="I552" s="38">
        <v>1721</v>
      </c>
      <c r="J552" s="38">
        <v>953</v>
      </c>
      <c r="K552" s="38">
        <v>768</v>
      </c>
      <c r="L552" s="50">
        <f t="shared" si="26"/>
        <v>28.721017202692593</v>
      </c>
      <c r="M552" s="38">
        <v>234</v>
      </c>
      <c r="N552" s="50">
        <f t="shared" si="27"/>
        <v>8.7509349289453997</v>
      </c>
      <c r="O552" s="38">
        <v>0</v>
      </c>
      <c r="P552" s="38">
        <v>0</v>
      </c>
      <c r="Q552" s="51" t="s">
        <v>43</v>
      </c>
      <c r="R552" s="28">
        <v>44441</v>
      </c>
      <c r="S552" s="51"/>
      <c r="T552" s="51">
        <v>19.18</v>
      </c>
      <c r="U552" s="51"/>
      <c r="V552" s="51"/>
      <c r="W552" s="51"/>
      <c r="X552" s="51"/>
      <c r="Y552" s="51"/>
      <c r="Z552" s="53"/>
      <c r="AB552" s="53"/>
      <c r="AC552" s="51" t="s">
        <v>1229</v>
      </c>
      <c r="AD552" s="51">
        <v>25.695391999999998</v>
      </c>
      <c r="AE552" s="51">
        <v>72.268460000000005</v>
      </c>
    </row>
    <row r="553" spans="1:31" x14ac:dyDescent="0.25">
      <c r="A553" s="38" t="s">
        <v>36</v>
      </c>
      <c r="B553" s="38" t="s">
        <v>1048</v>
      </c>
      <c r="C553" s="38" t="s">
        <v>1227</v>
      </c>
      <c r="D553" s="38" t="s">
        <v>1230</v>
      </c>
      <c r="E553" s="38" t="s">
        <v>1231</v>
      </c>
      <c r="F553" s="38">
        <v>665.57</v>
      </c>
      <c r="G553" s="38">
        <v>665.57</v>
      </c>
      <c r="H553" s="38">
        <f t="shared" si="25"/>
        <v>514</v>
      </c>
      <c r="I553" s="38">
        <v>345</v>
      </c>
      <c r="J553" s="38">
        <v>169</v>
      </c>
      <c r="K553" s="38">
        <v>176</v>
      </c>
      <c r="L553" s="50">
        <f t="shared" si="26"/>
        <v>34.24124513618677</v>
      </c>
      <c r="M553" s="38">
        <v>11</v>
      </c>
      <c r="N553" s="50">
        <f t="shared" si="27"/>
        <v>2.1400778210116731</v>
      </c>
      <c r="O553" s="38">
        <v>0</v>
      </c>
      <c r="P553" s="38">
        <v>0</v>
      </c>
      <c r="Q553" s="6" t="s">
        <v>43</v>
      </c>
      <c r="R553" s="7">
        <v>44441</v>
      </c>
      <c r="S553" s="6"/>
      <c r="T553" s="6">
        <v>0</v>
      </c>
      <c r="U553" s="6"/>
      <c r="V553" s="6"/>
      <c r="W553" s="6"/>
      <c r="X553" s="6"/>
      <c r="Y553" s="6"/>
      <c r="Z553" s="6"/>
      <c r="AB553" s="6"/>
      <c r="AC553" s="11" t="s">
        <v>1232</v>
      </c>
      <c r="AD553" s="6">
        <v>0</v>
      </c>
      <c r="AE553" s="6"/>
    </row>
    <row r="554" spans="1:31" x14ac:dyDescent="0.25">
      <c r="A554" s="38" t="s">
        <v>36</v>
      </c>
      <c r="B554" s="38" t="s">
        <v>1048</v>
      </c>
      <c r="C554" s="38" t="s">
        <v>1227</v>
      </c>
      <c r="D554" s="38" t="s">
        <v>1233</v>
      </c>
      <c r="E554" s="38" t="s">
        <v>1234</v>
      </c>
      <c r="F554" s="38">
        <v>1417.4</v>
      </c>
      <c r="G554" s="38">
        <v>1417.4</v>
      </c>
      <c r="H554" s="38">
        <f t="shared" si="25"/>
        <v>2160</v>
      </c>
      <c r="I554" s="38">
        <v>1423</v>
      </c>
      <c r="J554" s="38">
        <v>737</v>
      </c>
      <c r="K554" s="38">
        <v>686</v>
      </c>
      <c r="L554" s="50">
        <f t="shared" si="26"/>
        <v>31.75925925925926</v>
      </c>
      <c r="M554" s="38">
        <v>74</v>
      </c>
      <c r="N554" s="50">
        <f t="shared" si="27"/>
        <v>3.425925925925926</v>
      </c>
      <c r="O554" s="38">
        <v>0</v>
      </c>
      <c r="P554" s="38">
        <v>4.05</v>
      </c>
      <c r="Q554" s="51" t="s">
        <v>43</v>
      </c>
      <c r="R554" s="28">
        <v>44441</v>
      </c>
      <c r="S554" s="51"/>
      <c r="T554" s="51">
        <v>22.11</v>
      </c>
      <c r="U554" s="51"/>
      <c r="V554" s="51"/>
      <c r="W554" s="51"/>
      <c r="X554" s="51"/>
      <c r="Y554" s="51"/>
      <c r="Z554" s="53"/>
      <c r="AB554" s="53"/>
      <c r="AC554" s="51" t="s">
        <v>1235</v>
      </c>
      <c r="AD554" s="51">
        <v>25.728835</v>
      </c>
      <c r="AE554" s="51">
        <v>72.275901000000005</v>
      </c>
    </row>
    <row r="555" spans="1:31" x14ac:dyDescent="0.25">
      <c r="A555" s="38" t="s">
        <v>36</v>
      </c>
      <c r="B555" s="38" t="s">
        <v>1048</v>
      </c>
      <c r="C555" s="38" t="s">
        <v>1236</v>
      </c>
      <c r="D555" s="38" t="s">
        <v>1237</v>
      </c>
      <c r="E555" s="38" t="s">
        <v>1238</v>
      </c>
      <c r="F555" s="38">
        <v>928</v>
      </c>
      <c r="G555" s="38">
        <v>928</v>
      </c>
      <c r="H555" s="38">
        <f t="shared" si="25"/>
        <v>0</v>
      </c>
      <c r="I555" s="38"/>
      <c r="J555" s="38"/>
      <c r="K555" s="38"/>
      <c r="L555" s="50"/>
      <c r="M555" s="38"/>
      <c r="N555" s="50"/>
      <c r="O555" s="38">
        <v>0</v>
      </c>
      <c r="P555" s="38">
        <v>0</v>
      </c>
      <c r="Q555" s="6" t="s">
        <v>43</v>
      </c>
      <c r="R555" s="7">
        <v>44452</v>
      </c>
      <c r="S555" s="6"/>
      <c r="T555" s="6">
        <v>0</v>
      </c>
      <c r="U555" s="6"/>
      <c r="V555" s="6"/>
      <c r="W555" s="6"/>
      <c r="X555" s="6"/>
      <c r="Y555" s="6"/>
      <c r="Z555" s="6"/>
      <c r="AB555" s="6"/>
      <c r="AC555" s="11" t="s">
        <v>1237</v>
      </c>
      <c r="AD555" s="6">
        <v>0</v>
      </c>
      <c r="AE555" s="6"/>
    </row>
    <row r="556" spans="1:31" x14ac:dyDescent="0.25">
      <c r="A556" s="38" t="s">
        <v>36</v>
      </c>
      <c r="B556" s="38" t="s">
        <v>1048</v>
      </c>
      <c r="C556" s="38" t="s">
        <v>1236</v>
      </c>
      <c r="D556" s="38" t="s">
        <v>1237</v>
      </c>
      <c r="E556" s="38" t="s">
        <v>1238</v>
      </c>
      <c r="F556" s="38">
        <v>928</v>
      </c>
      <c r="G556" s="38">
        <v>928</v>
      </c>
      <c r="H556" s="38">
        <f t="shared" si="25"/>
        <v>8990</v>
      </c>
      <c r="I556" s="38">
        <v>5882</v>
      </c>
      <c r="J556" s="38">
        <v>3108</v>
      </c>
      <c r="K556" s="38">
        <v>2774</v>
      </c>
      <c r="L556" s="50">
        <f t="shared" si="26"/>
        <v>30.856507230255843</v>
      </c>
      <c r="M556" s="38">
        <v>301</v>
      </c>
      <c r="N556" s="50">
        <f t="shared" si="27"/>
        <v>3.3481646273637375</v>
      </c>
      <c r="O556" s="38">
        <v>0</v>
      </c>
      <c r="P556" s="38">
        <v>0</v>
      </c>
      <c r="AC556" s="4"/>
      <c r="AD556" s="4"/>
    </row>
    <row r="557" spans="1:31" x14ac:dyDescent="0.25">
      <c r="A557" s="38" t="s">
        <v>36</v>
      </c>
      <c r="B557" s="38" t="s">
        <v>1048</v>
      </c>
      <c r="C557" s="38" t="s">
        <v>1239</v>
      </c>
      <c r="D557" s="38" t="s">
        <v>1240</v>
      </c>
      <c r="E557" s="38" t="s">
        <v>1241</v>
      </c>
      <c r="F557" s="38">
        <v>569</v>
      </c>
      <c r="G557" s="38">
        <v>569</v>
      </c>
      <c r="H557" s="38">
        <f t="shared" si="25"/>
        <v>71</v>
      </c>
      <c r="I557" s="38">
        <v>49</v>
      </c>
      <c r="J557" s="38">
        <v>22</v>
      </c>
      <c r="K557" s="38">
        <v>27</v>
      </c>
      <c r="L557" s="50">
        <f t="shared" si="26"/>
        <v>38.028169014084504</v>
      </c>
      <c r="M557" s="38">
        <v>0</v>
      </c>
      <c r="N557" s="50">
        <f t="shared" si="27"/>
        <v>0</v>
      </c>
      <c r="O557" s="38">
        <v>0</v>
      </c>
      <c r="P557" s="38">
        <v>14</v>
      </c>
      <c r="Q557" s="6" t="s">
        <v>43</v>
      </c>
      <c r="R557" s="7">
        <v>44480</v>
      </c>
      <c r="S557" s="6"/>
      <c r="T557" s="6">
        <v>14</v>
      </c>
      <c r="U557" s="6"/>
      <c r="V557" s="6"/>
      <c r="W557" s="6"/>
      <c r="X557" s="6"/>
      <c r="Y557" s="6"/>
      <c r="Z557" s="6"/>
      <c r="AB557" s="6"/>
      <c r="AC557" s="11" t="s">
        <v>1242</v>
      </c>
      <c r="AD557" s="6"/>
      <c r="AE557" s="6"/>
    </row>
    <row r="558" spans="1:31" x14ac:dyDescent="0.25">
      <c r="A558" s="38" t="s">
        <v>36</v>
      </c>
      <c r="B558" s="38" t="s">
        <v>1048</v>
      </c>
      <c r="C558" s="38" t="s">
        <v>1239</v>
      </c>
      <c r="D558" s="38" t="s">
        <v>1240</v>
      </c>
      <c r="E558" s="38">
        <v>569</v>
      </c>
      <c r="F558" s="38"/>
      <c r="G558" s="38"/>
      <c r="H558" s="38">
        <f t="shared" si="25"/>
        <v>0</v>
      </c>
      <c r="I558" s="38"/>
      <c r="J558" s="38"/>
      <c r="K558" s="38"/>
      <c r="L558" s="50"/>
      <c r="M558" s="38"/>
      <c r="N558" s="50"/>
      <c r="O558" s="38"/>
      <c r="P558" s="38"/>
      <c r="Q558" s="51"/>
      <c r="R558" s="7">
        <v>44480</v>
      </c>
      <c r="S558" s="1"/>
      <c r="T558" s="51">
        <v>568.73379999999997</v>
      </c>
      <c r="U558" s="51"/>
      <c r="V558" s="51"/>
      <c r="W558" s="51"/>
      <c r="X558" s="51"/>
      <c r="Y558" s="51"/>
      <c r="Z558" s="1"/>
      <c r="AB558" s="1">
        <v>14</v>
      </c>
      <c r="AC558" s="59" t="s">
        <v>1242</v>
      </c>
      <c r="AD558" s="1">
        <v>25.914597000000001</v>
      </c>
      <c r="AE558" s="1">
        <v>72.266656999999995</v>
      </c>
    </row>
    <row r="559" spans="1:31" x14ac:dyDescent="0.25">
      <c r="A559" s="38" t="s">
        <v>36</v>
      </c>
      <c r="B559" s="38" t="s">
        <v>1048</v>
      </c>
      <c r="C559" s="38" t="s">
        <v>1239</v>
      </c>
      <c r="D559" s="38" t="s">
        <v>1239</v>
      </c>
      <c r="E559" s="38" t="s">
        <v>1243</v>
      </c>
      <c r="F559" s="38">
        <v>2163.9899999999998</v>
      </c>
      <c r="G559" s="38">
        <v>2163.9899999999998</v>
      </c>
      <c r="H559" s="38">
        <f t="shared" si="25"/>
        <v>5217</v>
      </c>
      <c r="I559" s="38">
        <v>3429</v>
      </c>
      <c r="J559" s="38">
        <v>1788</v>
      </c>
      <c r="K559" s="38">
        <v>1641</v>
      </c>
      <c r="L559" s="50">
        <f t="shared" si="26"/>
        <v>31.454859114433582</v>
      </c>
      <c r="M559" s="38">
        <v>101</v>
      </c>
      <c r="N559" s="50">
        <f t="shared" si="27"/>
        <v>1.9359785317232128</v>
      </c>
      <c r="O559" s="38">
        <v>0</v>
      </c>
      <c r="P559" s="38">
        <v>0</v>
      </c>
      <c r="Q559" s="6" t="s">
        <v>43</v>
      </c>
      <c r="R559" s="7">
        <v>44480</v>
      </c>
      <c r="S559" s="6"/>
      <c r="T559" s="6">
        <v>28</v>
      </c>
      <c r="U559" s="6"/>
      <c r="V559" s="6"/>
      <c r="W559" s="6"/>
      <c r="X559" s="6"/>
      <c r="Y559" s="6"/>
      <c r="Z559" s="6"/>
      <c r="AB559" s="6"/>
      <c r="AC559" s="11" t="s">
        <v>1239</v>
      </c>
      <c r="AD559" s="6"/>
      <c r="AE559" s="6"/>
    </row>
    <row r="560" spans="1:31" x14ac:dyDescent="0.25">
      <c r="A560" s="38" t="s">
        <v>36</v>
      </c>
      <c r="B560" s="38" t="s">
        <v>1048</v>
      </c>
      <c r="C560" s="38" t="s">
        <v>1239</v>
      </c>
      <c r="D560" s="38" t="s">
        <v>1244</v>
      </c>
      <c r="E560" s="38" t="s">
        <v>1245</v>
      </c>
      <c r="F560" s="38">
        <v>806.32</v>
      </c>
      <c r="G560" s="38">
        <v>806.32</v>
      </c>
      <c r="H560" s="38">
        <f t="shared" si="25"/>
        <v>616</v>
      </c>
      <c r="I560" s="38">
        <v>408</v>
      </c>
      <c r="J560" s="38">
        <v>208</v>
      </c>
      <c r="K560" s="38">
        <v>200</v>
      </c>
      <c r="L560" s="50">
        <f t="shared" si="26"/>
        <v>32.467532467532465</v>
      </c>
      <c r="M560" s="38">
        <v>0</v>
      </c>
      <c r="N560" s="50">
        <f t="shared" si="27"/>
        <v>0</v>
      </c>
      <c r="O560" s="38">
        <v>0</v>
      </c>
      <c r="P560" s="38">
        <v>110.02</v>
      </c>
      <c r="Q560" s="51" t="s">
        <v>43</v>
      </c>
      <c r="R560" s="28">
        <v>44480</v>
      </c>
      <c r="S560" s="51"/>
      <c r="T560" s="51">
        <v>435</v>
      </c>
      <c r="U560" s="51"/>
      <c r="V560" s="51"/>
      <c r="W560" s="51"/>
      <c r="X560" s="51"/>
      <c r="Y560" s="51"/>
      <c r="Z560" s="53"/>
      <c r="AB560" s="53"/>
      <c r="AC560" s="51" t="s">
        <v>1246</v>
      </c>
      <c r="AD560" s="51">
        <v>0</v>
      </c>
      <c r="AE560" s="51"/>
    </row>
    <row r="561" spans="1:31" x14ac:dyDescent="0.25">
      <c r="A561" s="38" t="s">
        <v>36</v>
      </c>
      <c r="B561" s="38" t="s">
        <v>1048</v>
      </c>
      <c r="C561" s="38" t="s">
        <v>1247</v>
      </c>
      <c r="D561" s="38" t="s">
        <v>1248</v>
      </c>
      <c r="E561" s="38" t="s">
        <v>1249</v>
      </c>
      <c r="F561" s="38">
        <v>5043.88</v>
      </c>
      <c r="G561" s="38">
        <v>5043.88</v>
      </c>
      <c r="H561" s="38">
        <f t="shared" si="25"/>
        <v>6880</v>
      </c>
      <c r="I561" s="38">
        <v>4553</v>
      </c>
      <c r="J561" s="38">
        <v>2327</v>
      </c>
      <c r="K561" s="38">
        <v>2226</v>
      </c>
      <c r="L561" s="50">
        <f t="shared" si="26"/>
        <v>32.354651162790695</v>
      </c>
      <c r="M561" s="38">
        <v>223</v>
      </c>
      <c r="N561" s="50">
        <f t="shared" si="27"/>
        <v>3.2412790697674421</v>
      </c>
      <c r="O561" s="38">
        <v>66</v>
      </c>
      <c r="P561" s="38">
        <v>68.959999999999994</v>
      </c>
      <c r="Q561" s="51" t="s">
        <v>43</v>
      </c>
      <c r="R561" s="9">
        <v>44454</v>
      </c>
      <c r="S561" s="51"/>
      <c r="T561" s="51">
        <v>40</v>
      </c>
      <c r="U561" s="51"/>
      <c r="V561" s="51"/>
      <c r="W561" s="51"/>
      <c r="X561" s="51"/>
      <c r="Y561" s="51"/>
      <c r="Z561" s="52"/>
      <c r="AB561" s="52">
        <v>8</v>
      </c>
      <c r="AC561" s="52" t="s">
        <v>1250</v>
      </c>
      <c r="AD561" s="51">
        <v>25.811233000000001</v>
      </c>
      <c r="AE561" s="51">
        <v>72.159345999999999</v>
      </c>
    </row>
    <row r="562" spans="1:31" x14ac:dyDescent="0.25">
      <c r="A562" s="38" t="s">
        <v>36</v>
      </c>
      <c r="B562" s="38" t="s">
        <v>1048</v>
      </c>
      <c r="C562" s="38" t="s">
        <v>1247</v>
      </c>
      <c r="D562" s="38" t="s">
        <v>1251</v>
      </c>
      <c r="E562" s="38" t="s">
        <v>1252</v>
      </c>
      <c r="F562" s="38">
        <v>693.31</v>
      </c>
      <c r="G562" s="38">
        <v>693.31</v>
      </c>
      <c r="H562" s="38">
        <f t="shared" si="25"/>
        <v>246</v>
      </c>
      <c r="I562" s="38">
        <v>158</v>
      </c>
      <c r="J562" s="38">
        <v>88</v>
      </c>
      <c r="K562" s="38">
        <v>70</v>
      </c>
      <c r="L562" s="50">
        <f t="shared" si="26"/>
        <v>28.455284552845526</v>
      </c>
      <c r="M562" s="38">
        <v>11</v>
      </c>
      <c r="N562" s="50">
        <f t="shared" si="27"/>
        <v>4.4715447154471546</v>
      </c>
      <c r="O562" s="38">
        <v>0</v>
      </c>
      <c r="P562" s="38">
        <v>0</v>
      </c>
      <c r="Q562" s="6" t="s">
        <v>43</v>
      </c>
      <c r="R562" s="7">
        <v>44454</v>
      </c>
      <c r="S562" s="6"/>
      <c r="T562" s="6">
        <v>0</v>
      </c>
      <c r="U562" s="6"/>
      <c r="V562" s="6"/>
      <c r="W562" s="6"/>
      <c r="X562" s="6"/>
      <c r="Y562" s="6"/>
      <c r="Z562" s="6"/>
      <c r="AB562" s="6"/>
      <c r="AC562" s="11" t="s">
        <v>1251</v>
      </c>
      <c r="AD562" s="6">
        <v>0</v>
      </c>
      <c r="AE562" s="6"/>
    </row>
    <row r="563" spans="1:31" x14ac:dyDescent="0.25">
      <c r="A563" s="38" t="s">
        <v>36</v>
      </c>
      <c r="B563" s="38" t="s">
        <v>1048</v>
      </c>
      <c r="C563" s="38" t="s">
        <v>1247</v>
      </c>
      <c r="D563" s="38" t="s">
        <v>1253</v>
      </c>
      <c r="E563" s="38" t="s">
        <v>1254</v>
      </c>
      <c r="F563" s="38">
        <v>385</v>
      </c>
      <c r="G563" s="38">
        <v>385</v>
      </c>
      <c r="H563" s="38">
        <f t="shared" si="25"/>
        <v>375</v>
      </c>
      <c r="I563" s="38">
        <v>250</v>
      </c>
      <c r="J563" s="38">
        <v>125</v>
      </c>
      <c r="K563" s="38">
        <v>125</v>
      </c>
      <c r="L563" s="50">
        <f t="shared" si="26"/>
        <v>33.333333333333329</v>
      </c>
      <c r="M563" s="38">
        <v>0</v>
      </c>
      <c r="N563" s="50">
        <f t="shared" si="27"/>
        <v>0</v>
      </c>
      <c r="O563" s="38">
        <v>0</v>
      </c>
      <c r="P563" s="38">
        <v>0</v>
      </c>
      <c r="Q563" s="6" t="s">
        <v>43</v>
      </c>
      <c r="R563" s="7">
        <v>44454</v>
      </c>
      <c r="S563" s="6"/>
      <c r="T563" s="6">
        <v>0</v>
      </c>
      <c r="U563" s="6"/>
      <c r="V563" s="6"/>
      <c r="W563" s="6"/>
      <c r="X563" s="6"/>
      <c r="Y563" s="6"/>
      <c r="Z563" s="6"/>
      <c r="AB563" s="6"/>
      <c r="AC563" s="11" t="s">
        <v>1255</v>
      </c>
      <c r="AD563" s="6">
        <v>0</v>
      </c>
      <c r="AE563" s="6"/>
    </row>
    <row r="564" spans="1:31" x14ac:dyDescent="0.25">
      <c r="A564" s="38" t="s">
        <v>36</v>
      </c>
      <c r="B564" s="38" t="s">
        <v>1048</v>
      </c>
      <c r="C564" s="38" t="s">
        <v>1247</v>
      </c>
      <c r="D564" s="38" t="s">
        <v>1256</v>
      </c>
      <c r="E564" s="38" t="s">
        <v>1257</v>
      </c>
      <c r="F564" s="38">
        <v>1049</v>
      </c>
      <c r="G564" s="38">
        <v>1049</v>
      </c>
      <c r="H564" s="38">
        <f t="shared" si="25"/>
        <v>26</v>
      </c>
      <c r="I564" s="38">
        <v>16</v>
      </c>
      <c r="J564" s="38">
        <v>10</v>
      </c>
      <c r="K564" s="38">
        <v>6</v>
      </c>
      <c r="L564" s="50">
        <f t="shared" si="26"/>
        <v>23.076923076923077</v>
      </c>
      <c r="M564" s="38">
        <v>0</v>
      </c>
      <c r="N564" s="50">
        <f t="shared" si="27"/>
        <v>0</v>
      </c>
      <c r="O564" s="38">
        <v>0</v>
      </c>
      <c r="P564" s="38">
        <v>0</v>
      </c>
      <c r="Q564" s="6" t="s">
        <v>43</v>
      </c>
      <c r="R564" s="7">
        <v>44454</v>
      </c>
      <c r="S564" s="6"/>
      <c r="T564" s="6">
        <v>0</v>
      </c>
      <c r="U564" s="6"/>
      <c r="V564" s="6"/>
      <c r="W564" s="6"/>
      <c r="X564" s="6"/>
      <c r="Y564" s="6"/>
      <c r="Z564" s="6"/>
      <c r="AB564" s="6"/>
      <c r="AC564" s="11" t="s">
        <v>1256</v>
      </c>
      <c r="AD564" s="6">
        <v>0</v>
      </c>
      <c r="AE564" s="6"/>
    </row>
    <row r="565" spans="1:31" x14ac:dyDescent="0.25">
      <c r="A565" s="38" t="s">
        <v>36</v>
      </c>
      <c r="B565" s="38" t="s">
        <v>1048</v>
      </c>
      <c r="C565" s="38" t="s">
        <v>1247</v>
      </c>
      <c r="D565" s="38" t="s">
        <v>1258</v>
      </c>
      <c r="E565" s="38" t="s">
        <v>1259</v>
      </c>
      <c r="F565" s="38">
        <v>228</v>
      </c>
      <c r="G565" s="38">
        <v>228</v>
      </c>
      <c r="H565" s="38">
        <f t="shared" si="25"/>
        <v>121</v>
      </c>
      <c r="I565" s="38">
        <v>79</v>
      </c>
      <c r="J565" s="38">
        <v>42</v>
      </c>
      <c r="K565" s="38">
        <v>37</v>
      </c>
      <c r="L565" s="50">
        <f t="shared" si="26"/>
        <v>30.578512396694212</v>
      </c>
      <c r="M565" s="38">
        <v>0</v>
      </c>
      <c r="N565" s="50">
        <f t="shared" si="27"/>
        <v>0</v>
      </c>
      <c r="O565" s="38">
        <v>0</v>
      </c>
      <c r="P565" s="38">
        <v>0</v>
      </c>
      <c r="Q565" s="6" t="s">
        <v>43</v>
      </c>
      <c r="R565" s="7">
        <v>44454</v>
      </c>
      <c r="S565" s="6"/>
      <c r="T565" s="6">
        <v>0</v>
      </c>
      <c r="U565" s="6"/>
      <c r="V565" s="6"/>
      <c r="W565" s="6"/>
      <c r="X565" s="6"/>
      <c r="Y565" s="6"/>
      <c r="Z565" s="6"/>
      <c r="AB565" s="6"/>
      <c r="AC565" s="11" t="s">
        <v>1258</v>
      </c>
      <c r="AD565" s="6">
        <v>0</v>
      </c>
      <c r="AE565" s="6"/>
    </row>
    <row r="566" spans="1:31" x14ac:dyDescent="0.25">
      <c r="A566" s="38" t="s">
        <v>36</v>
      </c>
      <c r="B566" s="38" t="s">
        <v>1048</v>
      </c>
      <c r="C566" s="38" t="s">
        <v>1260</v>
      </c>
      <c r="D566" s="38" t="s">
        <v>1261</v>
      </c>
      <c r="E566" s="38" t="s">
        <v>1262</v>
      </c>
      <c r="F566" s="38">
        <v>1944.63</v>
      </c>
      <c r="G566" s="38">
        <v>1944.63</v>
      </c>
      <c r="H566" s="38">
        <f t="shared" si="25"/>
        <v>4521</v>
      </c>
      <c r="I566" s="38">
        <v>2950</v>
      </c>
      <c r="J566" s="38">
        <v>1571</v>
      </c>
      <c r="K566" s="38">
        <v>1379</v>
      </c>
      <c r="L566" s="50">
        <f t="shared" si="26"/>
        <v>30.502101305021011</v>
      </c>
      <c r="M566" s="38">
        <v>386</v>
      </c>
      <c r="N566" s="50">
        <f t="shared" si="27"/>
        <v>8.5379340853793408</v>
      </c>
      <c r="O566" s="38">
        <v>0</v>
      </c>
      <c r="P566" s="38">
        <v>28.77</v>
      </c>
      <c r="Q566" s="51" t="s">
        <v>43</v>
      </c>
      <c r="R566" s="9">
        <v>44481</v>
      </c>
      <c r="S566" s="51"/>
      <c r="T566" s="51">
        <v>29</v>
      </c>
      <c r="U566" s="51"/>
      <c r="V566" s="51"/>
      <c r="W566" s="51"/>
      <c r="X566" s="51"/>
      <c r="Y566" s="51"/>
      <c r="Z566" s="53"/>
      <c r="AB566" s="53"/>
      <c r="AC566" s="51" t="s">
        <v>1263</v>
      </c>
      <c r="AD566" s="51">
        <v>25.846527999999999</v>
      </c>
      <c r="AE566" s="51">
        <v>72.290627000000001</v>
      </c>
    </row>
    <row r="567" spans="1:31" x14ac:dyDescent="0.25">
      <c r="A567" s="38" t="s">
        <v>36</v>
      </c>
      <c r="B567" s="38" t="s">
        <v>1048</v>
      </c>
      <c r="C567" s="38" t="s">
        <v>1264</v>
      </c>
      <c r="D567" s="38" t="s">
        <v>1265</v>
      </c>
      <c r="E567" s="38" t="s">
        <v>1266</v>
      </c>
      <c r="F567" s="38">
        <v>1179.8900000000001</v>
      </c>
      <c r="G567" s="38">
        <v>1179.8900000000001</v>
      </c>
      <c r="H567" s="38">
        <f t="shared" si="25"/>
        <v>1448</v>
      </c>
      <c r="I567" s="38">
        <v>951</v>
      </c>
      <c r="J567" s="38">
        <v>497</v>
      </c>
      <c r="K567" s="38">
        <v>454</v>
      </c>
      <c r="L567" s="50">
        <f t="shared" si="26"/>
        <v>31.353591160220994</v>
      </c>
      <c r="M567" s="38">
        <v>36</v>
      </c>
      <c r="N567" s="50">
        <f t="shared" si="27"/>
        <v>2.4861878453038675</v>
      </c>
      <c r="O567" s="38">
        <v>0</v>
      </c>
      <c r="P567" s="38">
        <v>59.02</v>
      </c>
      <c r="Q567" s="6" t="s">
        <v>43</v>
      </c>
      <c r="R567" s="7">
        <v>44501</v>
      </c>
      <c r="S567" s="6"/>
      <c r="T567" s="6">
        <v>59</v>
      </c>
      <c r="U567" s="6"/>
      <c r="V567" s="6"/>
      <c r="W567" s="6"/>
      <c r="X567" s="6"/>
      <c r="Y567" s="6"/>
      <c r="Z567" s="6"/>
      <c r="AB567" s="6"/>
      <c r="AC567" s="11" t="s">
        <v>1267</v>
      </c>
      <c r="AD567" s="6"/>
      <c r="AE567" s="6"/>
    </row>
    <row r="568" spans="1:31" x14ac:dyDescent="0.25">
      <c r="A568" s="38" t="s">
        <v>36</v>
      </c>
      <c r="B568" s="38" t="s">
        <v>1048</v>
      </c>
      <c r="C568" s="38" t="s">
        <v>1264</v>
      </c>
      <c r="D568" s="38" t="s">
        <v>1264</v>
      </c>
      <c r="E568" s="38" t="s">
        <v>1268</v>
      </c>
      <c r="F568" s="38">
        <v>2157</v>
      </c>
      <c r="G568" s="38">
        <v>2157</v>
      </c>
      <c r="H568" s="38">
        <f t="shared" si="25"/>
        <v>1545</v>
      </c>
      <c r="I568" s="38">
        <v>1012</v>
      </c>
      <c r="J568" s="38">
        <v>533</v>
      </c>
      <c r="K568" s="38">
        <v>479</v>
      </c>
      <c r="L568" s="50">
        <f t="shared" si="26"/>
        <v>31.003236245954689</v>
      </c>
      <c r="M568" s="38">
        <v>161</v>
      </c>
      <c r="N568" s="50">
        <f t="shared" si="27"/>
        <v>10.420711974110032</v>
      </c>
      <c r="O568" s="38">
        <v>32</v>
      </c>
      <c r="P568" s="38">
        <v>14</v>
      </c>
      <c r="Q568" s="51" t="s">
        <v>43</v>
      </c>
      <c r="R568" s="28">
        <v>44501</v>
      </c>
      <c r="S568" s="51"/>
      <c r="T568" s="51">
        <v>4</v>
      </c>
      <c r="U568" s="51"/>
      <c r="V568" s="51"/>
      <c r="W568" s="51"/>
      <c r="X568" s="51"/>
      <c r="Y568" s="51"/>
      <c r="Z568" s="53"/>
      <c r="AB568" s="53">
        <v>10</v>
      </c>
      <c r="AC568" s="51" t="s">
        <v>1269</v>
      </c>
      <c r="AD568" s="51">
        <v>25.982607999999999</v>
      </c>
      <c r="AE568" s="51">
        <v>72.321003000000005</v>
      </c>
    </row>
    <row r="569" spans="1:31" x14ac:dyDescent="0.25">
      <c r="A569" s="38" t="s">
        <v>36</v>
      </c>
      <c r="B569" s="38" t="s">
        <v>1048</v>
      </c>
      <c r="C569" s="38" t="s">
        <v>1264</v>
      </c>
      <c r="D569" s="38" t="s">
        <v>1270</v>
      </c>
      <c r="E569" s="38" t="s">
        <v>1271</v>
      </c>
      <c r="F569" s="38">
        <v>384.95</v>
      </c>
      <c r="G569" s="38">
        <v>384.95</v>
      </c>
      <c r="H569" s="38">
        <f t="shared" si="25"/>
        <v>638</v>
      </c>
      <c r="I569" s="38">
        <v>422</v>
      </c>
      <c r="J569" s="38">
        <v>216</v>
      </c>
      <c r="K569" s="38">
        <v>206</v>
      </c>
      <c r="L569" s="50">
        <f t="shared" si="26"/>
        <v>32.288401253918494</v>
      </c>
      <c r="M569" s="38">
        <v>0</v>
      </c>
      <c r="N569" s="50">
        <f t="shared" si="27"/>
        <v>0</v>
      </c>
      <c r="O569" s="38">
        <v>0</v>
      </c>
      <c r="P569" s="38">
        <v>33.75</v>
      </c>
      <c r="Q569" s="51" t="s">
        <v>43</v>
      </c>
      <c r="R569" s="28">
        <v>44501</v>
      </c>
      <c r="S569" s="51"/>
      <c r="T569" s="51">
        <v>34</v>
      </c>
      <c r="U569" s="51"/>
      <c r="V569" s="51"/>
      <c r="W569" s="51"/>
      <c r="X569" s="51"/>
      <c r="Y569" s="51"/>
      <c r="Z569" s="53"/>
      <c r="AB569" s="53"/>
      <c r="AC569" s="51" t="s">
        <v>1272</v>
      </c>
      <c r="AD569" s="51">
        <v>25.996441000000001</v>
      </c>
      <c r="AE569" s="51">
        <v>72.328066000000007</v>
      </c>
    </row>
    <row r="570" spans="1:31" x14ac:dyDescent="0.25">
      <c r="A570" s="38" t="s">
        <v>36</v>
      </c>
      <c r="B570" s="38" t="s">
        <v>1048</v>
      </c>
      <c r="C570" s="38" t="s">
        <v>1264</v>
      </c>
      <c r="D570" s="38" t="s">
        <v>1273</v>
      </c>
      <c r="E570" s="38" t="s">
        <v>1274</v>
      </c>
      <c r="F570" s="38">
        <v>768.58</v>
      </c>
      <c r="G570" s="38">
        <v>768.58</v>
      </c>
      <c r="H570" s="38">
        <f t="shared" si="25"/>
        <v>287</v>
      </c>
      <c r="I570" s="38">
        <v>192</v>
      </c>
      <c r="J570" s="38">
        <v>95</v>
      </c>
      <c r="K570" s="38">
        <v>97</v>
      </c>
      <c r="L570" s="50">
        <f t="shared" si="26"/>
        <v>33.797909407665507</v>
      </c>
      <c r="M570" s="38">
        <v>0</v>
      </c>
      <c r="N570" s="50">
        <f t="shared" si="27"/>
        <v>0</v>
      </c>
      <c r="O570" s="38">
        <v>0</v>
      </c>
      <c r="P570" s="38">
        <v>0</v>
      </c>
    </row>
    <row r="571" spans="1:31" x14ac:dyDescent="0.25">
      <c r="A571" s="38" t="s">
        <v>36</v>
      </c>
      <c r="B571" s="38" t="s">
        <v>1048</v>
      </c>
      <c r="C571" s="38" t="s">
        <v>1275</v>
      </c>
      <c r="D571" s="38" t="s">
        <v>1276</v>
      </c>
      <c r="E571" s="38" t="s">
        <v>1277</v>
      </c>
      <c r="F571" s="38">
        <v>2818</v>
      </c>
      <c r="G571" s="38">
        <v>2818</v>
      </c>
      <c r="H571" s="38">
        <f t="shared" si="25"/>
        <v>13927</v>
      </c>
      <c r="I571" s="38">
        <v>9191</v>
      </c>
      <c r="J571" s="38">
        <v>4736</v>
      </c>
      <c r="K571" s="38">
        <v>4455</v>
      </c>
      <c r="L571" s="50">
        <f t="shared" si="26"/>
        <v>31.988224312486537</v>
      </c>
      <c r="M571" s="38">
        <v>496</v>
      </c>
      <c r="N571" s="50">
        <f t="shared" si="27"/>
        <v>3.5614274430961443</v>
      </c>
      <c r="O571" s="38">
        <v>0</v>
      </c>
      <c r="P571" s="38">
        <v>239</v>
      </c>
      <c r="Q571" s="51" t="s">
        <v>43</v>
      </c>
      <c r="R571" s="28">
        <v>44462</v>
      </c>
      <c r="S571" s="51"/>
      <c r="T571" s="51">
        <v>239</v>
      </c>
      <c r="U571" s="51"/>
      <c r="V571" s="51"/>
      <c r="W571" s="51"/>
      <c r="X571" s="51"/>
      <c r="Y571" s="51"/>
      <c r="Z571" s="53"/>
      <c r="AB571" s="53"/>
      <c r="AC571" s="51" t="s">
        <v>1278</v>
      </c>
      <c r="AD571" s="51">
        <v>25.932403999999998</v>
      </c>
      <c r="AE571" s="51">
        <v>72.269593</v>
      </c>
    </row>
    <row r="572" spans="1:31" x14ac:dyDescent="0.25">
      <c r="A572" s="38" t="s">
        <v>36</v>
      </c>
      <c r="B572" s="38" t="s">
        <v>1048</v>
      </c>
      <c r="C572" s="38" t="s">
        <v>1279</v>
      </c>
      <c r="D572" s="38" t="s">
        <v>1280</v>
      </c>
      <c r="E572" s="38" t="s">
        <v>1281</v>
      </c>
      <c r="F572" s="38">
        <v>3608</v>
      </c>
      <c r="G572" s="38">
        <v>3608</v>
      </c>
      <c r="H572" s="38">
        <f t="shared" si="25"/>
        <v>7955</v>
      </c>
      <c r="I572" s="38">
        <v>5342</v>
      </c>
      <c r="J572" s="38">
        <v>2613</v>
      </c>
      <c r="K572" s="38">
        <v>2729</v>
      </c>
      <c r="L572" s="50">
        <f t="shared" si="26"/>
        <v>34.30546825895663</v>
      </c>
      <c r="M572" s="38">
        <v>369</v>
      </c>
      <c r="N572" s="50">
        <f t="shared" si="27"/>
        <v>4.638592080452546</v>
      </c>
      <c r="O572" s="38">
        <v>0</v>
      </c>
      <c r="P572" s="38">
        <v>190</v>
      </c>
      <c r="AC572" s="4"/>
      <c r="AD572" s="4"/>
    </row>
    <row r="573" spans="1:31" x14ac:dyDescent="0.25">
      <c r="A573" s="38" t="s">
        <v>36</v>
      </c>
      <c r="B573" s="38" t="s">
        <v>1048</v>
      </c>
      <c r="C573" s="38" t="s">
        <v>1282</v>
      </c>
      <c r="D573" s="38" t="s">
        <v>1282</v>
      </c>
      <c r="E573" s="38" t="s">
        <v>1283</v>
      </c>
      <c r="F573" s="38">
        <v>1212</v>
      </c>
      <c r="G573" s="38">
        <v>1212</v>
      </c>
      <c r="H573" s="38">
        <f t="shared" si="25"/>
        <v>2313</v>
      </c>
      <c r="I573" s="38">
        <v>1514</v>
      </c>
      <c r="J573" s="38">
        <v>799</v>
      </c>
      <c r="K573" s="38">
        <v>715</v>
      </c>
      <c r="L573" s="50">
        <f t="shared" si="26"/>
        <v>30.912235192390835</v>
      </c>
      <c r="M573" s="38">
        <v>211</v>
      </c>
      <c r="N573" s="50">
        <f t="shared" si="27"/>
        <v>9.1223519239083437</v>
      </c>
      <c r="O573" s="38">
        <v>0</v>
      </c>
      <c r="P573" s="38">
        <v>116</v>
      </c>
      <c r="Q573" s="51" t="s">
        <v>43</v>
      </c>
      <c r="R573" s="9">
        <v>44487</v>
      </c>
      <c r="S573" s="51"/>
      <c r="T573" s="51">
        <v>29</v>
      </c>
      <c r="U573" s="51"/>
      <c r="V573" s="51"/>
      <c r="W573" s="51"/>
      <c r="X573" s="51"/>
      <c r="Y573" s="51"/>
      <c r="Z573" s="52"/>
      <c r="AB573" s="52"/>
      <c r="AC573" s="51" t="s">
        <v>1284</v>
      </c>
      <c r="AD573" s="51">
        <v>25.846409999999999</v>
      </c>
      <c r="AE573" s="51">
        <v>72.288231999999994</v>
      </c>
    </row>
    <row r="574" spans="1:31" x14ac:dyDescent="0.25">
      <c r="A574" s="38" t="s">
        <v>36</v>
      </c>
      <c r="B574" s="38" t="s">
        <v>1048</v>
      </c>
      <c r="C574" s="38" t="s">
        <v>1282</v>
      </c>
      <c r="D574" s="38" t="s">
        <v>1282</v>
      </c>
      <c r="E574" s="38"/>
      <c r="F574" s="38"/>
      <c r="G574" s="38"/>
      <c r="H574" s="38">
        <f t="shared" si="25"/>
        <v>0</v>
      </c>
      <c r="I574" s="38"/>
      <c r="J574" s="38"/>
      <c r="K574" s="38"/>
      <c r="L574" s="50"/>
      <c r="M574" s="38"/>
      <c r="N574" s="50"/>
      <c r="O574" s="38"/>
      <c r="P574" s="38"/>
      <c r="Q574" s="55"/>
      <c r="R574" s="32">
        <v>44487</v>
      </c>
      <c r="S574" s="55"/>
      <c r="T574" s="55"/>
      <c r="U574" s="55"/>
      <c r="V574" s="55"/>
      <c r="W574" s="55"/>
      <c r="X574" s="55"/>
      <c r="Y574" s="55"/>
      <c r="Z574" s="58"/>
      <c r="AB574" s="58">
        <v>29</v>
      </c>
      <c r="AC574" s="55" t="s">
        <v>1285</v>
      </c>
      <c r="AD574" s="55">
        <v>25.846409999999999</v>
      </c>
      <c r="AE574" s="55">
        <v>72.288231999999994</v>
      </c>
    </row>
    <row r="575" spans="1:31" x14ac:dyDescent="0.25">
      <c r="A575" s="38" t="s">
        <v>36</v>
      </c>
      <c r="B575" s="38" t="s">
        <v>1048</v>
      </c>
      <c r="C575" s="38" t="s">
        <v>1282</v>
      </c>
      <c r="D575" s="38" t="s">
        <v>1286</v>
      </c>
      <c r="E575" s="38" t="s">
        <v>1287</v>
      </c>
      <c r="F575" s="38">
        <v>885</v>
      </c>
      <c r="G575" s="38">
        <v>885</v>
      </c>
      <c r="H575" s="38">
        <f t="shared" si="25"/>
        <v>764</v>
      </c>
      <c r="I575" s="38">
        <v>487</v>
      </c>
      <c r="J575" s="38">
        <v>277</v>
      </c>
      <c r="K575" s="38">
        <v>210</v>
      </c>
      <c r="L575" s="50">
        <f t="shared" si="26"/>
        <v>27.486910994764397</v>
      </c>
      <c r="M575" s="38">
        <v>29</v>
      </c>
      <c r="N575" s="50">
        <f t="shared" si="27"/>
        <v>3.7958115183246073</v>
      </c>
      <c r="O575" s="38">
        <v>0</v>
      </c>
      <c r="P575" s="38">
        <v>84</v>
      </c>
      <c r="Q575" s="51" t="s">
        <v>43</v>
      </c>
      <c r="R575" s="28">
        <v>44487</v>
      </c>
      <c r="S575" s="51"/>
      <c r="T575" s="51">
        <v>32</v>
      </c>
      <c r="U575" s="51"/>
      <c r="V575" s="51"/>
      <c r="W575" s="51"/>
      <c r="X575" s="51"/>
      <c r="Y575" s="51"/>
      <c r="Z575" s="53"/>
      <c r="AB575" s="53"/>
      <c r="AC575" s="51" t="s">
        <v>1288</v>
      </c>
      <c r="AD575" s="51">
        <v>25.834268999999999</v>
      </c>
      <c r="AE575" s="51">
        <v>72.318682999999993</v>
      </c>
    </row>
    <row r="576" spans="1:31" x14ac:dyDescent="0.25">
      <c r="A576" s="38" t="s">
        <v>36</v>
      </c>
      <c r="B576" s="38" t="s">
        <v>1048</v>
      </c>
      <c r="C576" s="38" t="s">
        <v>1282</v>
      </c>
      <c r="D576" s="38" t="s">
        <v>1289</v>
      </c>
      <c r="E576" s="38" t="s">
        <v>1290</v>
      </c>
      <c r="F576" s="38">
        <v>1674</v>
      </c>
      <c r="G576" s="38">
        <v>1674</v>
      </c>
      <c r="H576" s="38">
        <f t="shared" si="25"/>
        <v>1351</v>
      </c>
      <c r="I576" s="38">
        <v>891</v>
      </c>
      <c r="J576" s="38">
        <v>460</v>
      </c>
      <c r="K576" s="38">
        <v>431</v>
      </c>
      <c r="L576" s="50">
        <f t="shared" si="26"/>
        <v>31.902294596595116</v>
      </c>
      <c r="M576" s="38">
        <v>246</v>
      </c>
      <c r="N576" s="50">
        <f t="shared" si="27"/>
        <v>18.208734270910437</v>
      </c>
      <c r="O576" s="38">
        <v>0</v>
      </c>
      <c r="P576" s="38">
        <v>189</v>
      </c>
      <c r="Q576" s="51" t="s">
        <v>43</v>
      </c>
      <c r="R576" s="28">
        <v>44487</v>
      </c>
      <c r="S576" s="51"/>
      <c r="T576" s="51">
        <v>71</v>
      </c>
      <c r="U576" s="51"/>
      <c r="V576" s="51"/>
      <c r="W576" s="51"/>
      <c r="X576" s="51"/>
      <c r="Y576" s="51"/>
      <c r="Z576" s="53"/>
      <c r="AB576" s="53"/>
      <c r="AC576" s="51" t="s">
        <v>1291</v>
      </c>
      <c r="AD576" s="51">
        <v>25.857834</v>
      </c>
      <c r="AE576" s="51">
        <v>72.273833999999994</v>
      </c>
    </row>
    <row r="577" spans="1:31" x14ac:dyDescent="0.25">
      <c r="A577" s="38" t="s">
        <v>36</v>
      </c>
      <c r="B577" s="38" t="s">
        <v>1048</v>
      </c>
      <c r="C577" s="38" t="s">
        <v>1292</v>
      </c>
      <c r="D577" s="38" t="s">
        <v>1293</v>
      </c>
      <c r="E577" s="38" t="s">
        <v>1294</v>
      </c>
      <c r="F577" s="38">
        <v>3328</v>
      </c>
      <c r="G577" s="38">
        <v>3328</v>
      </c>
      <c r="H577" s="38">
        <f t="shared" si="25"/>
        <v>6591</v>
      </c>
      <c r="I577" s="38">
        <v>4293</v>
      </c>
      <c r="J577" s="38">
        <v>2298</v>
      </c>
      <c r="K577" s="38">
        <v>1995</v>
      </c>
      <c r="L577" s="50">
        <f t="shared" si="26"/>
        <v>30.268548020027307</v>
      </c>
      <c r="M577" s="38">
        <v>307</v>
      </c>
      <c r="N577" s="50">
        <f t="shared" si="27"/>
        <v>4.657866788044303</v>
      </c>
      <c r="O577" s="38">
        <v>0</v>
      </c>
      <c r="P577" s="38">
        <v>90</v>
      </c>
      <c r="Q577" s="51" t="s">
        <v>43</v>
      </c>
      <c r="R577" s="9">
        <v>44447</v>
      </c>
      <c r="S577" s="51"/>
      <c r="T577" s="51">
        <v>132</v>
      </c>
      <c r="U577" s="51"/>
      <c r="V577" s="51"/>
      <c r="W577" s="51"/>
      <c r="X577" s="51"/>
      <c r="Y577" s="51"/>
      <c r="Z577" s="52"/>
      <c r="AB577" s="52">
        <v>20</v>
      </c>
      <c r="AC577" s="51" t="s">
        <v>1295</v>
      </c>
      <c r="AD577" s="51">
        <v>25.848690000000001</v>
      </c>
      <c r="AE577" s="51">
        <v>72.369727999999995</v>
      </c>
    </row>
    <row r="578" spans="1:31" x14ac:dyDescent="0.25">
      <c r="A578" s="38" t="s">
        <v>36</v>
      </c>
      <c r="B578" s="38" t="s">
        <v>1048</v>
      </c>
      <c r="C578" s="38" t="s">
        <v>1296</v>
      </c>
      <c r="D578" s="38" t="s">
        <v>1297</v>
      </c>
      <c r="E578" s="38" t="s">
        <v>1298</v>
      </c>
      <c r="F578" s="38">
        <v>1510.74</v>
      </c>
      <c r="G578" s="38">
        <v>1510.74</v>
      </c>
      <c r="H578" s="38">
        <f t="shared" si="25"/>
        <v>429.18</v>
      </c>
      <c r="I578" s="38">
        <v>180.12</v>
      </c>
      <c r="J578" s="38">
        <v>249.06</v>
      </c>
      <c r="K578" s="38">
        <v>32.01</v>
      </c>
      <c r="L578" s="50">
        <f t="shared" si="26"/>
        <v>7.4584090591360255</v>
      </c>
      <c r="M578" s="38">
        <v>56.21</v>
      </c>
      <c r="N578" s="50">
        <f t="shared" si="27"/>
        <v>13.097068828929586</v>
      </c>
      <c r="O578" s="38">
        <v>12.96</v>
      </c>
      <c r="P578" s="38">
        <v>249.06</v>
      </c>
      <c r="Q578" s="51" t="s">
        <v>43</v>
      </c>
      <c r="R578" s="28">
        <v>44477</v>
      </c>
      <c r="S578" s="51"/>
      <c r="T578" s="51">
        <v>114</v>
      </c>
      <c r="U578" s="51"/>
      <c r="V578" s="51"/>
      <c r="W578" s="51"/>
      <c r="X578" s="51"/>
      <c r="Y578" s="51"/>
      <c r="Z578" s="53"/>
      <c r="AB578" s="53">
        <v>135</v>
      </c>
      <c r="AC578" s="51" t="s">
        <v>1299</v>
      </c>
      <c r="AD578" s="51">
        <v>25.789573000000001</v>
      </c>
      <c r="AE578" s="51">
        <v>72.088722899999993</v>
      </c>
    </row>
    <row r="579" spans="1:31" x14ac:dyDescent="0.25">
      <c r="A579" s="38" t="s">
        <v>36</v>
      </c>
      <c r="B579" s="38" t="s">
        <v>1048</v>
      </c>
      <c r="C579" s="38" t="s">
        <v>1296</v>
      </c>
      <c r="D579" s="38" t="s">
        <v>1300</v>
      </c>
      <c r="E579" s="38" t="s">
        <v>1301</v>
      </c>
      <c r="F579" s="38">
        <v>1361</v>
      </c>
      <c r="G579" s="38">
        <v>1361</v>
      </c>
      <c r="H579" s="38">
        <f t="shared" si="25"/>
        <v>1780</v>
      </c>
      <c r="I579" s="38">
        <v>1176</v>
      </c>
      <c r="J579" s="38">
        <v>604</v>
      </c>
      <c r="K579" s="38">
        <v>572</v>
      </c>
      <c r="L579" s="50">
        <f t="shared" si="26"/>
        <v>32.134831460674157</v>
      </c>
      <c r="M579" s="38">
        <v>170</v>
      </c>
      <c r="N579" s="50">
        <f t="shared" si="27"/>
        <v>9.5505617977528079</v>
      </c>
      <c r="O579" s="38">
        <v>0</v>
      </c>
      <c r="P579" s="38">
        <v>0</v>
      </c>
      <c r="Q579" s="6" t="s">
        <v>43</v>
      </c>
      <c r="R579" s="7">
        <v>44477</v>
      </c>
      <c r="S579" s="6"/>
      <c r="T579" s="6">
        <v>0</v>
      </c>
      <c r="U579" s="6"/>
      <c r="V579" s="6"/>
      <c r="W579" s="6"/>
      <c r="X579" s="6"/>
      <c r="Y579" s="6"/>
      <c r="Z579" s="6"/>
      <c r="AB579" s="6"/>
      <c r="AC579" s="11" t="s">
        <v>1302</v>
      </c>
      <c r="AD579" s="6">
        <v>0</v>
      </c>
      <c r="AE579" s="6"/>
    </row>
    <row r="580" spans="1:31" x14ac:dyDescent="0.25">
      <c r="A580" s="38" t="s">
        <v>36</v>
      </c>
      <c r="B580" s="38" t="s">
        <v>1048</v>
      </c>
      <c r="C580" s="38" t="s">
        <v>1296</v>
      </c>
      <c r="D580" s="38" t="s">
        <v>1303</v>
      </c>
      <c r="E580" s="38" t="s">
        <v>1304</v>
      </c>
      <c r="F580" s="38">
        <v>1265.81</v>
      </c>
      <c r="G580" s="38">
        <v>1265.81</v>
      </c>
      <c r="H580" s="38">
        <f t="shared" si="25"/>
        <v>644</v>
      </c>
      <c r="I580" s="38">
        <v>420</v>
      </c>
      <c r="J580" s="38">
        <v>224</v>
      </c>
      <c r="K580" s="38">
        <v>196</v>
      </c>
      <c r="L580" s="50">
        <f t="shared" si="26"/>
        <v>30.434782608695656</v>
      </c>
      <c r="M580" s="38">
        <v>12</v>
      </c>
      <c r="N580" s="50">
        <f t="shared" si="27"/>
        <v>1.8633540372670807</v>
      </c>
      <c r="O580" s="38">
        <v>0</v>
      </c>
      <c r="P580" s="38">
        <v>44.96</v>
      </c>
      <c r="Q580" s="51" t="s">
        <v>43</v>
      </c>
      <c r="R580" s="28">
        <v>44477</v>
      </c>
      <c r="S580" s="51"/>
      <c r="T580" s="51">
        <v>25</v>
      </c>
      <c r="U580" s="51"/>
      <c r="V580" s="51"/>
      <c r="W580" s="51"/>
      <c r="X580" s="51"/>
      <c r="Y580" s="51"/>
      <c r="Z580" s="53"/>
      <c r="AB580" s="53">
        <v>20</v>
      </c>
      <c r="AC580" s="51" t="s">
        <v>1305</v>
      </c>
      <c r="AD580" s="51">
        <v>25.778516</v>
      </c>
      <c r="AE580" s="51">
        <v>72.028086999999999</v>
      </c>
    </row>
    <row r="581" spans="1:31" x14ac:dyDescent="0.25">
      <c r="A581" s="38" t="s">
        <v>36</v>
      </c>
      <c r="B581" s="38" t="s">
        <v>1048</v>
      </c>
      <c r="C581" s="38" t="s">
        <v>1296</v>
      </c>
      <c r="D581" s="38" t="s">
        <v>1306</v>
      </c>
      <c r="E581" s="38" t="s">
        <v>1307</v>
      </c>
      <c r="F581" s="38">
        <v>1905</v>
      </c>
      <c r="G581" s="38">
        <v>1905</v>
      </c>
      <c r="H581" s="38">
        <f t="shared" ref="H581:H644" si="28">I581+J581</f>
        <v>2520</v>
      </c>
      <c r="I581" s="38">
        <v>1655</v>
      </c>
      <c r="J581" s="38">
        <v>865</v>
      </c>
      <c r="K581" s="38">
        <v>790</v>
      </c>
      <c r="L581" s="50">
        <f t="shared" si="26"/>
        <v>31.349206349206348</v>
      </c>
      <c r="M581" s="38">
        <v>128</v>
      </c>
      <c r="N581" s="50">
        <f t="shared" si="27"/>
        <v>5.0793650793650791</v>
      </c>
      <c r="O581" s="38">
        <v>0</v>
      </c>
      <c r="P581" s="38">
        <v>201</v>
      </c>
      <c r="Q581" s="51" t="s">
        <v>43</v>
      </c>
      <c r="R581" s="28">
        <v>44477</v>
      </c>
      <c r="S581" s="51"/>
      <c r="T581" s="51">
        <v>199</v>
      </c>
      <c r="U581" s="51"/>
      <c r="V581" s="51"/>
      <c r="W581" s="51"/>
      <c r="X581" s="51"/>
      <c r="Y581" s="51"/>
      <c r="Z581" s="53"/>
      <c r="AB581" s="53">
        <v>15</v>
      </c>
      <c r="AC581" s="51" t="s">
        <v>1308</v>
      </c>
      <c r="AD581" s="51">
        <v>25.790496999999998</v>
      </c>
      <c r="AE581" s="51">
        <v>72.076193000000004</v>
      </c>
    </row>
    <row r="582" spans="1:31" x14ac:dyDescent="0.25">
      <c r="A582" s="38" t="s">
        <v>36</v>
      </c>
      <c r="B582" s="38" t="s">
        <v>1048</v>
      </c>
      <c r="C582" s="38" t="s">
        <v>1309</v>
      </c>
      <c r="D582" s="38" t="s">
        <v>1309</v>
      </c>
      <c r="E582" s="38" t="s">
        <v>1310</v>
      </c>
      <c r="F582" s="38">
        <v>1469</v>
      </c>
      <c r="G582" s="38">
        <v>1469</v>
      </c>
      <c r="H582" s="38">
        <f t="shared" si="28"/>
        <v>1549</v>
      </c>
      <c r="I582" s="38">
        <v>1015</v>
      </c>
      <c r="J582" s="38">
        <v>534</v>
      </c>
      <c r="K582" s="38">
        <v>481</v>
      </c>
      <c r="L582" s="50">
        <f t="shared" ref="L582:L645" si="29">K582/H582*100</f>
        <v>31.052291801162042</v>
      </c>
      <c r="M582" s="38">
        <v>23</v>
      </c>
      <c r="N582" s="50">
        <f t="shared" ref="N582:N645" si="30">M582/H582*100</f>
        <v>1.4848289218850872</v>
      </c>
      <c r="O582" s="38">
        <v>0</v>
      </c>
      <c r="P582" s="38">
        <v>0</v>
      </c>
      <c r="Q582" s="6" t="s">
        <v>43</v>
      </c>
      <c r="R582" s="7">
        <v>44467</v>
      </c>
      <c r="S582" s="6"/>
      <c r="T582" s="6">
        <v>0</v>
      </c>
      <c r="U582" s="6"/>
      <c r="V582" s="6"/>
      <c r="W582" s="6"/>
      <c r="X582" s="6"/>
      <c r="Y582" s="6"/>
      <c r="Z582" s="6"/>
      <c r="AB582" s="6"/>
      <c r="AC582" s="11" t="s">
        <v>1311</v>
      </c>
      <c r="AD582" s="6">
        <v>0</v>
      </c>
      <c r="AE582" s="6"/>
    </row>
    <row r="583" spans="1:31" x14ac:dyDescent="0.25">
      <c r="A583" s="38" t="s">
        <v>36</v>
      </c>
      <c r="B583" s="38" t="s">
        <v>1048</v>
      </c>
      <c r="C583" s="38" t="s">
        <v>1309</v>
      </c>
      <c r="D583" s="38" t="s">
        <v>1312</v>
      </c>
      <c r="E583" s="38" t="s">
        <v>1313</v>
      </c>
      <c r="F583" s="38">
        <v>971</v>
      </c>
      <c r="G583" s="38">
        <v>971</v>
      </c>
      <c r="H583" s="38">
        <f t="shared" si="28"/>
        <v>1305</v>
      </c>
      <c r="I583" s="38">
        <v>858</v>
      </c>
      <c r="J583" s="38">
        <v>447</v>
      </c>
      <c r="K583" s="38">
        <v>411</v>
      </c>
      <c r="L583" s="50">
        <f t="shared" si="29"/>
        <v>31.494252873563216</v>
      </c>
      <c r="M583" s="38">
        <v>97</v>
      </c>
      <c r="N583" s="50">
        <f t="shared" si="30"/>
        <v>7.4329501915708809</v>
      </c>
      <c r="O583" s="38">
        <v>0</v>
      </c>
      <c r="P583" s="38">
        <v>1</v>
      </c>
      <c r="Q583" s="6" t="s">
        <v>43</v>
      </c>
      <c r="R583" s="10">
        <v>44467</v>
      </c>
      <c r="S583" s="6"/>
      <c r="T583" s="6">
        <v>1.78</v>
      </c>
      <c r="U583" s="6"/>
      <c r="V583" s="6"/>
      <c r="W583" s="6"/>
      <c r="X583" s="6"/>
      <c r="Y583" s="6"/>
      <c r="Z583" s="53"/>
      <c r="AB583" s="6">
        <v>1</v>
      </c>
      <c r="AC583" s="51" t="s">
        <v>1314</v>
      </c>
      <c r="AD583" s="6">
        <v>72.192414999999997</v>
      </c>
      <c r="AE583" s="6">
        <v>25.637806000000001</v>
      </c>
    </row>
    <row r="584" spans="1:31" x14ac:dyDescent="0.25">
      <c r="A584" s="38" t="s">
        <v>36</v>
      </c>
      <c r="B584" s="38" t="s">
        <v>1048</v>
      </c>
      <c r="C584" s="38" t="s">
        <v>1309</v>
      </c>
      <c r="D584" s="38" t="s">
        <v>1315</v>
      </c>
      <c r="E584" s="38" t="s">
        <v>1316</v>
      </c>
      <c r="F584" s="38">
        <v>528</v>
      </c>
      <c r="G584" s="38">
        <v>528</v>
      </c>
      <c r="H584" s="38">
        <f t="shared" si="28"/>
        <v>814</v>
      </c>
      <c r="I584" s="38">
        <v>534</v>
      </c>
      <c r="J584" s="38">
        <v>280</v>
      </c>
      <c r="K584" s="38">
        <v>254</v>
      </c>
      <c r="L584" s="50">
        <f t="shared" si="29"/>
        <v>31.203931203931205</v>
      </c>
      <c r="M584" s="38">
        <v>8</v>
      </c>
      <c r="N584" s="50">
        <f t="shared" si="30"/>
        <v>0.98280098280098283</v>
      </c>
      <c r="O584" s="38">
        <v>0</v>
      </c>
      <c r="P584" s="38">
        <v>5</v>
      </c>
      <c r="Q584" s="6" t="s">
        <v>43</v>
      </c>
      <c r="R584" s="7">
        <v>44467</v>
      </c>
      <c r="S584" s="6"/>
      <c r="T584" s="6">
        <v>5</v>
      </c>
      <c r="U584" s="6"/>
      <c r="V584" s="6"/>
      <c r="W584" s="6"/>
      <c r="X584" s="6"/>
      <c r="Y584" s="6"/>
      <c r="Z584" s="6"/>
      <c r="AB584" s="6"/>
      <c r="AC584" s="11" t="s">
        <v>1317</v>
      </c>
      <c r="AD584" s="6"/>
      <c r="AE584" s="6"/>
    </row>
    <row r="585" spans="1:31" x14ac:dyDescent="0.25">
      <c r="A585" s="38" t="s">
        <v>36</v>
      </c>
      <c r="B585" s="38" t="s">
        <v>1048</v>
      </c>
      <c r="C585" s="38" t="s">
        <v>1318</v>
      </c>
      <c r="D585" s="38" t="s">
        <v>1319</v>
      </c>
      <c r="E585" s="38" t="s">
        <v>1320</v>
      </c>
      <c r="F585" s="38">
        <v>1915</v>
      </c>
      <c r="G585" s="38">
        <v>1915</v>
      </c>
      <c r="H585" s="38">
        <f t="shared" si="28"/>
        <v>6788</v>
      </c>
      <c r="I585" s="38">
        <v>4467</v>
      </c>
      <c r="J585" s="38">
        <v>2321</v>
      </c>
      <c r="K585" s="38">
        <v>2146</v>
      </c>
      <c r="L585" s="50">
        <f t="shared" si="29"/>
        <v>31.61461402474956</v>
      </c>
      <c r="M585" s="38">
        <v>467</v>
      </c>
      <c r="N585" s="50">
        <f t="shared" si="30"/>
        <v>6.8797878609310557</v>
      </c>
      <c r="O585" s="38">
        <v>0</v>
      </c>
      <c r="P585" s="38">
        <v>0</v>
      </c>
      <c r="AC585" s="4"/>
      <c r="AD585" s="4"/>
    </row>
    <row r="586" spans="1:31" x14ac:dyDescent="0.25">
      <c r="A586" s="38" t="s">
        <v>36</v>
      </c>
      <c r="B586" s="38" t="s">
        <v>1048</v>
      </c>
      <c r="C586" s="38" t="s">
        <v>1321</v>
      </c>
      <c r="D586" s="38" t="s">
        <v>1322</v>
      </c>
      <c r="E586" s="38" t="s">
        <v>1323</v>
      </c>
      <c r="F586" s="38">
        <v>3780</v>
      </c>
      <c r="G586" s="38">
        <v>3780</v>
      </c>
      <c r="H586" s="38">
        <f t="shared" si="28"/>
        <v>2245</v>
      </c>
      <c r="I586" s="38">
        <v>1487</v>
      </c>
      <c r="J586" s="38">
        <v>758</v>
      </c>
      <c r="K586" s="38">
        <v>729</v>
      </c>
      <c r="L586" s="50">
        <f t="shared" si="29"/>
        <v>32.472160356347437</v>
      </c>
      <c r="M586" s="38">
        <v>156</v>
      </c>
      <c r="N586" s="50">
        <f t="shared" si="30"/>
        <v>6.9487750556792873</v>
      </c>
      <c r="O586" s="38">
        <v>0</v>
      </c>
      <c r="P586" s="38">
        <v>105</v>
      </c>
      <c r="Q586" s="51" t="s">
        <v>43</v>
      </c>
      <c r="R586" s="28">
        <v>44495</v>
      </c>
      <c r="S586" s="51"/>
      <c r="T586" s="51">
        <v>105</v>
      </c>
      <c r="U586" s="51"/>
      <c r="V586" s="51"/>
      <c r="W586" s="51"/>
      <c r="X586" s="51"/>
      <c r="Y586" s="51"/>
      <c r="Z586" s="53"/>
      <c r="AB586" s="53"/>
      <c r="AC586" s="51" t="s">
        <v>1324</v>
      </c>
      <c r="AD586" s="51">
        <v>25.864079</v>
      </c>
      <c r="AE586" s="51">
        <v>72.095225999999997</v>
      </c>
    </row>
    <row r="587" spans="1:31" x14ac:dyDescent="0.25">
      <c r="A587" s="38" t="s">
        <v>36</v>
      </c>
      <c r="B587" s="38" t="s">
        <v>1048</v>
      </c>
      <c r="C587" s="38" t="s">
        <v>1321</v>
      </c>
      <c r="D587" s="38" t="s">
        <v>1322</v>
      </c>
      <c r="E587" s="38"/>
      <c r="F587" s="38"/>
      <c r="G587" s="38"/>
      <c r="H587" s="38">
        <f t="shared" si="28"/>
        <v>0</v>
      </c>
      <c r="I587" s="38"/>
      <c r="J587" s="38"/>
      <c r="K587" s="38"/>
      <c r="L587" s="50"/>
      <c r="M587" s="38"/>
      <c r="N587" s="50"/>
      <c r="O587" s="38"/>
      <c r="P587" s="38"/>
      <c r="Q587" s="55"/>
      <c r="R587" s="29">
        <v>44495</v>
      </c>
      <c r="S587" s="55"/>
      <c r="T587" s="55"/>
      <c r="U587" s="55"/>
      <c r="V587" s="55"/>
      <c r="W587" s="55"/>
      <c r="X587" s="55"/>
      <c r="Y587" s="55"/>
      <c r="Z587" s="58"/>
      <c r="AB587" s="58">
        <v>18</v>
      </c>
      <c r="AC587" s="55" t="s">
        <v>1325</v>
      </c>
      <c r="AD587" s="55">
        <v>25.870453000000001</v>
      </c>
      <c r="AE587" s="55">
        <v>72.093684999999994</v>
      </c>
    </row>
    <row r="588" spans="1:31" x14ac:dyDescent="0.25">
      <c r="A588" s="38" t="s">
        <v>36</v>
      </c>
      <c r="B588" s="38" t="s">
        <v>1048</v>
      </c>
      <c r="C588" s="38" t="s">
        <v>1321</v>
      </c>
      <c r="D588" s="38" t="s">
        <v>1327</v>
      </c>
      <c r="E588" s="38" t="s">
        <v>1328</v>
      </c>
      <c r="F588" s="38">
        <v>414</v>
      </c>
      <c r="G588" s="38">
        <v>414</v>
      </c>
      <c r="H588" s="38">
        <f t="shared" si="28"/>
        <v>611</v>
      </c>
      <c r="I588" s="38">
        <v>393</v>
      </c>
      <c r="J588" s="38">
        <v>218</v>
      </c>
      <c r="K588" s="38">
        <v>175</v>
      </c>
      <c r="L588" s="50">
        <f t="shared" si="29"/>
        <v>28.641571194762683</v>
      </c>
      <c r="M588" s="38">
        <v>5</v>
      </c>
      <c r="N588" s="50">
        <f t="shared" si="30"/>
        <v>0.81833060556464821</v>
      </c>
      <c r="O588" s="38">
        <v>0</v>
      </c>
      <c r="P588" s="38">
        <v>0</v>
      </c>
      <c r="Q588" s="6" t="s">
        <v>43</v>
      </c>
      <c r="R588" s="7">
        <v>44495</v>
      </c>
      <c r="S588" s="6"/>
      <c r="T588" s="6">
        <v>0</v>
      </c>
      <c r="U588" s="6"/>
      <c r="V588" s="6"/>
      <c r="W588" s="6"/>
      <c r="X588" s="6"/>
      <c r="Y588" s="6"/>
      <c r="Z588" s="6"/>
      <c r="AB588" s="6"/>
      <c r="AC588" s="11" t="s">
        <v>1329</v>
      </c>
      <c r="AD588" s="6">
        <v>0</v>
      </c>
      <c r="AE588" s="6"/>
    </row>
    <row r="589" spans="1:31" x14ac:dyDescent="0.25">
      <c r="A589" s="38" t="s">
        <v>36</v>
      </c>
      <c r="B589" s="38" t="s">
        <v>1048</v>
      </c>
      <c r="C589" s="38" t="s">
        <v>1321</v>
      </c>
      <c r="D589" s="38" t="s">
        <v>1326</v>
      </c>
      <c r="E589" s="38" t="s">
        <v>1330</v>
      </c>
      <c r="F589" s="38">
        <v>24</v>
      </c>
      <c r="G589" s="38">
        <v>24</v>
      </c>
      <c r="H589" s="38">
        <f t="shared" si="28"/>
        <v>67</v>
      </c>
      <c r="I589" s="38">
        <v>45</v>
      </c>
      <c r="J589" s="38">
        <v>22</v>
      </c>
      <c r="K589" s="38">
        <v>23</v>
      </c>
      <c r="L589" s="50">
        <f t="shared" si="29"/>
        <v>34.328358208955223</v>
      </c>
      <c r="M589" s="38">
        <v>0</v>
      </c>
      <c r="N589" s="50">
        <f t="shared" si="30"/>
        <v>0</v>
      </c>
      <c r="O589" s="38">
        <v>0</v>
      </c>
      <c r="P589" s="38">
        <v>5</v>
      </c>
      <c r="Q589" s="51" t="s">
        <v>43</v>
      </c>
      <c r="R589" s="28">
        <v>44495</v>
      </c>
      <c r="S589" s="51"/>
      <c r="T589" s="51">
        <v>5</v>
      </c>
      <c r="U589" s="51"/>
      <c r="V589" s="51"/>
      <c r="W589" s="51"/>
      <c r="X589" s="51"/>
      <c r="Y589" s="51"/>
      <c r="Z589" s="53"/>
      <c r="AB589" s="53"/>
      <c r="AC589" s="51" t="s">
        <v>1331</v>
      </c>
      <c r="AD589" s="51">
        <v>25.870438</v>
      </c>
      <c r="AE589" s="51">
        <v>72.093688</v>
      </c>
    </row>
    <row r="590" spans="1:31" x14ac:dyDescent="0.25">
      <c r="A590" s="38" t="s">
        <v>36</v>
      </c>
      <c r="B590" s="38" t="s">
        <v>1048</v>
      </c>
      <c r="C590" s="38" t="s">
        <v>1321</v>
      </c>
      <c r="D590" s="38" t="s">
        <v>1332</v>
      </c>
      <c r="E590" s="38" t="s">
        <v>1333</v>
      </c>
      <c r="F590" s="38">
        <v>160</v>
      </c>
      <c r="G590" s="38">
        <v>160</v>
      </c>
      <c r="H590" s="38">
        <f t="shared" si="28"/>
        <v>0</v>
      </c>
      <c r="I590" s="38">
        <v>0</v>
      </c>
      <c r="J590" s="38">
        <v>0</v>
      </c>
      <c r="K590" s="38">
        <v>0</v>
      </c>
      <c r="L590" s="50"/>
      <c r="M590" s="38">
        <v>0</v>
      </c>
      <c r="N590" s="50"/>
      <c r="O590" s="38">
        <v>0</v>
      </c>
      <c r="P590" s="38">
        <v>0</v>
      </c>
      <c r="Q590" s="6" t="s">
        <v>43</v>
      </c>
      <c r="R590" s="7">
        <v>44495</v>
      </c>
      <c r="S590" s="6"/>
      <c r="T590" s="6">
        <v>0</v>
      </c>
      <c r="U590" s="6"/>
      <c r="V590" s="6"/>
      <c r="W590" s="6"/>
      <c r="X590" s="6"/>
      <c r="Y590" s="6"/>
      <c r="Z590" s="6"/>
      <c r="AB590" s="6"/>
      <c r="AC590" s="11" t="s">
        <v>1334</v>
      </c>
      <c r="AD590" s="6">
        <v>0</v>
      </c>
      <c r="AE590" s="6"/>
    </row>
    <row r="591" spans="1:31" x14ac:dyDescent="0.25">
      <c r="A591" s="38" t="s">
        <v>36</v>
      </c>
      <c r="B591" s="38" t="s">
        <v>1048</v>
      </c>
      <c r="C591" s="38" t="s">
        <v>1321</v>
      </c>
      <c r="D591" s="38" t="s">
        <v>1335</v>
      </c>
      <c r="E591" s="38" t="s">
        <v>1336</v>
      </c>
      <c r="F591" s="38">
        <v>2689</v>
      </c>
      <c r="G591" s="38">
        <v>2689</v>
      </c>
      <c r="H591" s="38">
        <f t="shared" si="28"/>
        <v>2134</v>
      </c>
      <c r="I591" s="38">
        <v>1398</v>
      </c>
      <c r="J591" s="38">
        <v>736</v>
      </c>
      <c r="K591" s="38">
        <v>662</v>
      </c>
      <c r="L591" s="50">
        <f t="shared" si="29"/>
        <v>31.021555763823805</v>
      </c>
      <c r="M591" s="38">
        <v>227</v>
      </c>
      <c r="N591" s="50">
        <f t="shared" si="30"/>
        <v>10.637300843486411</v>
      </c>
      <c r="O591" s="38">
        <v>150</v>
      </c>
      <c r="P591" s="38">
        <v>57</v>
      </c>
      <c r="Q591" s="51" t="s">
        <v>43</v>
      </c>
      <c r="R591" s="28">
        <v>44495</v>
      </c>
      <c r="S591" s="51"/>
      <c r="T591" s="51">
        <v>7</v>
      </c>
      <c r="U591" s="51"/>
      <c r="V591" s="51"/>
      <c r="W591" s="51"/>
      <c r="X591" s="51"/>
      <c r="Y591" s="51"/>
      <c r="Z591" s="53"/>
      <c r="AB591" s="53">
        <v>50</v>
      </c>
      <c r="AC591" s="51" t="s">
        <v>1337</v>
      </c>
      <c r="AD591" s="51">
        <v>25.877594999999999</v>
      </c>
      <c r="AE591" s="51">
        <v>72.102937999999995</v>
      </c>
    </row>
    <row r="592" spans="1:31" x14ac:dyDescent="0.25">
      <c r="A592" s="38" t="s">
        <v>36</v>
      </c>
      <c r="B592" s="38" t="s">
        <v>1048</v>
      </c>
      <c r="C592" s="38" t="s">
        <v>1338</v>
      </c>
      <c r="D592" s="38" t="s">
        <v>1338</v>
      </c>
      <c r="E592" s="38" t="s">
        <v>1339</v>
      </c>
      <c r="F592" s="38">
        <v>761.69</v>
      </c>
      <c r="G592" s="38">
        <v>761.69</v>
      </c>
      <c r="H592" s="38">
        <f t="shared" si="28"/>
        <v>1109</v>
      </c>
      <c r="I592" s="38">
        <v>712</v>
      </c>
      <c r="J592" s="38">
        <v>397</v>
      </c>
      <c r="K592" s="38">
        <v>315</v>
      </c>
      <c r="L592" s="50">
        <f t="shared" si="29"/>
        <v>28.40396753832281</v>
      </c>
      <c r="M592" s="38">
        <v>9</v>
      </c>
      <c r="N592" s="50">
        <f t="shared" si="30"/>
        <v>0.81154192966636607</v>
      </c>
      <c r="O592" s="38">
        <v>0</v>
      </c>
      <c r="P592" s="38">
        <v>79.010000000000005</v>
      </c>
      <c r="Q592" s="51" t="s">
        <v>43</v>
      </c>
      <c r="R592" s="28">
        <v>44442</v>
      </c>
      <c r="S592" s="51"/>
      <c r="T592" s="51">
        <v>50</v>
      </c>
      <c r="U592" s="51"/>
      <c r="V592" s="51"/>
      <c r="W592" s="51"/>
      <c r="X592" s="51"/>
      <c r="Y592" s="51"/>
      <c r="Z592" s="53"/>
      <c r="AB592" s="53"/>
      <c r="AC592" s="51" t="s">
        <v>1340</v>
      </c>
      <c r="AD592" s="51">
        <v>25.792994</v>
      </c>
      <c r="AE592" s="51">
        <v>72.102450000000005</v>
      </c>
    </row>
    <row r="593" spans="1:31" x14ac:dyDescent="0.25">
      <c r="A593" s="38" t="s">
        <v>36</v>
      </c>
      <c r="B593" s="38" t="s">
        <v>1048</v>
      </c>
      <c r="C593" s="38" t="s">
        <v>1338</v>
      </c>
      <c r="D593" s="38" t="s">
        <v>1341</v>
      </c>
      <c r="E593" s="38" t="s">
        <v>1342</v>
      </c>
      <c r="F593" s="38">
        <v>2003.53</v>
      </c>
      <c r="G593" s="38">
        <v>2003.53</v>
      </c>
      <c r="H593" s="38">
        <f t="shared" si="28"/>
        <v>1226</v>
      </c>
      <c r="I593" s="38">
        <v>808</v>
      </c>
      <c r="J593" s="38">
        <v>418</v>
      </c>
      <c r="K593" s="38">
        <v>390</v>
      </c>
      <c r="L593" s="50">
        <f t="shared" si="29"/>
        <v>31.810766721044047</v>
      </c>
      <c r="M593" s="38">
        <v>97</v>
      </c>
      <c r="N593" s="50">
        <f t="shared" si="30"/>
        <v>7.9119086460032628</v>
      </c>
      <c r="O593" s="38">
        <v>0</v>
      </c>
      <c r="P593" s="38">
        <v>50.12</v>
      </c>
      <c r="Q593" s="51" t="s">
        <v>43</v>
      </c>
      <c r="R593" s="28">
        <v>44442</v>
      </c>
      <c r="S593" s="51"/>
      <c r="T593" s="51">
        <v>6</v>
      </c>
      <c r="U593" s="51"/>
      <c r="V593" s="51"/>
      <c r="W593" s="51"/>
      <c r="X593" s="51"/>
      <c r="Y593" s="51"/>
      <c r="Z593" s="53"/>
      <c r="AB593" s="53"/>
      <c r="AC593" s="51" t="s">
        <v>1343</v>
      </c>
      <c r="AD593" s="51">
        <v>25.788758000000001</v>
      </c>
      <c r="AE593" s="51">
        <v>72.106665000000007</v>
      </c>
    </row>
    <row r="594" spans="1:31" x14ac:dyDescent="0.25">
      <c r="A594" s="38" t="s">
        <v>36</v>
      </c>
      <c r="B594" s="38" t="s">
        <v>1048</v>
      </c>
      <c r="C594" s="38" t="s">
        <v>1338</v>
      </c>
      <c r="D594" s="38" t="s">
        <v>1344</v>
      </c>
      <c r="E594" s="38" t="s">
        <v>1345</v>
      </c>
      <c r="F594" s="38">
        <v>1620.22</v>
      </c>
      <c r="G594" s="38">
        <v>1620.22</v>
      </c>
      <c r="H594" s="38">
        <f t="shared" si="28"/>
        <v>1474</v>
      </c>
      <c r="I594" s="38">
        <v>966</v>
      </c>
      <c r="J594" s="38">
        <v>508</v>
      </c>
      <c r="K594" s="38">
        <v>458</v>
      </c>
      <c r="L594" s="50">
        <f t="shared" si="29"/>
        <v>31.071913161465396</v>
      </c>
      <c r="M594" s="38">
        <v>90</v>
      </c>
      <c r="N594" s="50">
        <f t="shared" si="30"/>
        <v>6.1058344640434195</v>
      </c>
      <c r="O594" s="38">
        <v>0</v>
      </c>
      <c r="P594" s="38">
        <v>5.95</v>
      </c>
      <c r="Q594" s="6" t="s">
        <v>43</v>
      </c>
      <c r="R594" s="7">
        <v>44442</v>
      </c>
      <c r="S594" s="6"/>
      <c r="T594" s="6">
        <v>5</v>
      </c>
      <c r="U594" s="6"/>
      <c r="V594" s="6"/>
      <c r="W594" s="6"/>
      <c r="X594" s="6"/>
      <c r="Y594" s="6"/>
      <c r="Z594" s="6"/>
      <c r="AB594" s="6"/>
      <c r="AC594" s="11" t="s">
        <v>1346</v>
      </c>
      <c r="AD594" s="6"/>
      <c r="AE594" s="6"/>
    </row>
    <row r="595" spans="1:31" x14ac:dyDescent="0.25">
      <c r="A595" s="38" t="s">
        <v>36</v>
      </c>
      <c r="B595" s="38" t="s">
        <v>1048</v>
      </c>
      <c r="D595" s="38" t="s">
        <v>1347</v>
      </c>
      <c r="E595" s="38" t="s">
        <v>1348</v>
      </c>
      <c r="F595" s="38">
        <v>0</v>
      </c>
      <c r="G595" s="38">
        <v>0</v>
      </c>
      <c r="H595" s="38">
        <f t="shared" si="28"/>
        <v>0</v>
      </c>
      <c r="I595" s="38">
        <v>0</v>
      </c>
      <c r="J595" s="38">
        <v>0</v>
      </c>
      <c r="K595" s="38">
        <v>0</v>
      </c>
      <c r="L595" s="50"/>
      <c r="M595" s="38">
        <v>0</v>
      </c>
      <c r="N595" s="50"/>
      <c r="O595" s="38">
        <v>0</v>
      </c>
      <c r="P595" s="38">
        <v>0</v>
      </c>
    </row>
    <row r="596" spans="1:31" x14ac:dyDescent="0.25">
      <c r="A596" s="38" t="s">
        <v>36</v>
      </c>
      <c r="B596" s="38" t="s">
        <v>1349</v>
      </c>
      <c r="C596" s="38" t="s">
        <v>1350</v>
      </c>
      <c r="D596" s="38" t="s">
        <v>1351</v>
      </c>
      <c r="E596" s="38" t="s">
        <v>1352</v>
      </c>
      <c r="F596" s="38">
        <v>876.01</v>
      </c>
      <c r="G596" s="38">
        <v>876.01</v>
      </c>
      <c r="H596" s="38">
        <f t="shared" si="28"/>
        <v>1416</v>
      </c>
      <c r="I596" s="38">
        <v>931</v>
      </c>
      <c r="J596" s="38">
        <v>485</v>
      </c>
      <c r="K596" s="38">
        <v>446</v>
      </c>
      <c r="L596" s="50">
        <f t="shared" si="29"/>
        <v>31.497175141242938</v>
      </c>
      <c r="M596" s="38">
        <v>32</v>
      </c>
      <c r="N596" s="50">
        <f t="shared" si="30"/>
        <v>2.2598870056497176</v>
      </c>
      <c r="O596" s="38">
        <v>0</v>
      </c>
      <c r="P596" s="38">
        <v>24.02</v>
      </c>
      <c r="AC596" s="117"/>
      <c r="AD596" s="121"/>
    </row>
    <row r="597" spans="1:31" x14ac:dyDescent="0.25">
      <c r="A597" s="38" t="s">
        <v>36</v>
      </c>
      <c r="B597" s="38" t="s">
        <v>1349</v>
      </c>
      <c r="C597" s="38" t="s">
        <v>1350</v>
      </c>
      <c r="D597" s="38" t="s">
        <v>1351</v>
      </c>
      <c r="E597" s="38" t="s">
        <v>1352</v>
      </c>
      <c r="F597" s="38">
        <v>876.01</v>
      </c>
      <c r="G597" s="38">
        <v>876.01</v>
      </c>
      <c r="H597" s="38">
        <f t="shared" si="28"/>
        <v>1416</v>
      </c>
      <c r="I597" s="38">
        <v>931</v>
      </c>
      <c r="J597" s="38">
        <v>485</v>
      </c>
      <c r="K597" s="38">
        <v>446</v>
      </c>
      <c r="L597" s="50">
        <f t="shared" si="29"/>
        <v>31.497175141242938</v>
      </c>
      <c r="M597" s="38">
        <v>32</v>
      </c>
      <c r="N597" s="50">
        <f t="shared" si="30"/>
        <v>2.2598870056497176</v>
      </c>
      <c r="O597" s="38">
        <v>0</v>
      </c>
      <c r="P597" s="38">
        <v>24.02</v>
      </c>
      <c r="AC597" s="117" t="s">
        <v>57</v>
      </c>
      <c r="AD597" s="121"/>
    </row>
    <row r="598" spans="1:31" x14ac:dyDescent="0.25">
      <c r="A598" s="38" t="s">
        <v>36</v>
      </c>
      <c r="B598" s="38" t="s">
        <v>1349</v>
      </c>
      <c r="C598" s="38" t="s">
        <v>1350</v>
      </c>
      <c r="D598" s="38" t="s">
        <v>1353</v>
      </c>
      <c r="E598" s="38" t="s">
        <v>1354</v>
      </c>
      <c r="F598" s="38">
        <v>973.99</v>
      </c>
      <c r="G598" s="38">
        <v>973.99</v>
      </c>
      <c r="H598" s="38">
        <f t="shared" si="28"/>
        <v>1298</v>
      </c>
      <c r="I598" s="38">
        <v>859</v>
      </c>
      <c r="J598" s="38">
        <v>439</v>
      </c>
      <c r="K598" s="38">
        <v>420</v>
      </c>
      <c r="L598" s="50">
        <f t="shared" si="29"/>
        <v>32.357473035439135</v>
      </c>
      <c r="M598" s="38">
        <v>0</v>
      </c>
      <c r="N598" s="50">
        <f t="shared" si="30"/>
        <v>0</v>
      </c>
      <c r="O598" s="38">
        <v>0</v>
      </c>
      <c r="P598" s="38">
        <v>16.010000000000002</v>
      </c>
      <c r="AC598" s="117" t="s">
        <v>57</v>
      </c>
      <c r="AD598" s="121"/>
    </row>
    <row r="599" spans="1:31" x14ac:dyDescent="0.25">
      <c r="A599" s="38" t="s">
        <v>36</v>
      </c>
      <c r="B599" s="38" t="s">
        <v>1349</v>
      </c>
      <c r="C599" s="38" t="s">
        <v>1350</v>
      </c>
      <c r="D599" s="38" t="s">
        <v>1355</v>
      </c>
      <c r="E599" s="38" t="s">
        <v>1356</v>
      </c>
      <c r="F599" s="38">
        <v>705.08</v>
      </c>
      <c r="G599" s="38">
        <v>705.08</v>
      </c>
      <c r="H599" s="38">
        <f t="shared" si="28"/>
        <v>1415</v>
      </c>
      <c r="I599" s="38">
        <v>926</v>
      </c>
      <c r="J599" s="38">
        <v>489</v>
      </c>
      <c r="K599" s="38">
        <v>437</v>
      </c>
      <c r="L599" s="50">
        <f t="shared" si="29"/>
        <v>30.883392226148409</v>
      </c>
      <c r="M599" s="38">
        <v>131</v>
      </c>
      <c r="N599" s="50">
        <f t="shared" si="30"/>
        <v>9.2579505300353357</v>
      </c>
      <c r="O599" s="38">
        <v>0</v>
      </c>
      <c r="P599" s="38">
        <v>63.02</v>
      </c>
      <c r="AC599" s="117" t="s">
        <v>57</v>
      </c>
      <c r="AD599" s="121"/>
    </row>
    <row r="600" spans="1:31" x14ac:dyDescent="0.25">
      <c r="A600" s="38" t="s">
        <v>36</v>
      </c>
      <c r="B600" s="38" t="s">
        <v>1349</v>
      </c>
      <c r="C600" s="38" t="s">
        <v>1350</v>
      </c>
      <c r="D600" s="38" t="s">
        <v>1357</v>
      </c>
      <c r="E600" s="38" t="s">
        <v>1358</v>
      </c>
      <c r="F600" s="38">
        <v>616.73</v>
      </c>
      <c r="G600" s="38">
        <v>616.73</v>
      </c>
      <c r="H600" s="38">
        <f t="shared" si="28"/>
        <v>883</v>
      </c>
      <c r="I600" s="38">
        <v>576</v>
      </c>
      <c r="J600" s="38">
        <v>307</v>
      </c>
      <c r="K600" s="38">
        <v>269</v>
      </c>
      <c r="L600" s="50">
        <f t="shared" si="29"/>
        <v>30.464326160815403</v>
      </c>
      <c r="M600" s="38">
        <v>0</v>
      </c>
      <c r="N600" s="50">
        <f t="shared" si="30"/>
        <v>0</v>
      </c>
      <c r="O600" s="38">
        <v>0</v>
      </c>
      <c r="P600" s="38">
        <v>29.05</v>
      </c>
    </row>
    <row r="601" spans="1:31" x14ac:dyDescent="0.25">
      <c r="A601" s="38" t="s">
        <v>36</v>
      </c>
      <c r="B601" s="38" t="s">
        <v>1349</v>
      </c>
      <c r="C601" s="38" t="s">
        <v>1350</v>
      </c>
      <c r="D601" s="38" t="s">
        <v>1359</v>
      </c>
      <c r="E601" s="38" t="s">
        <v>1360</v>
      </c>
      <c r="F601" s="38">
        <v>664.19</v>
      </c>
      <c r="G601" s="38">
        <v>664.19</v>
      </c>
      <c r="H601" s="38">
        <f t="shared" si="28"/>
        <v>1362</v>
      </c>
      <c r="I601" s="38">
        <v>886</v>
      </c>
      <c r="J601" s="38">
        <v>476</v>
      </c>
      <c r="K601" s="38">
        <v>410</v>
      </c>
      <c r="L601" s="50">
        <f t="shared" si="29"/>
        <v>30.102790014684288</v>
      </c>
      <c r="M601" s="38">
        <v>91</v>
      </c>
      <c r="N601" s="50">
        <f t="shared" si="30"/>
        <v>6.6813509544787086</v>
      </c>
      <c r="O601" s="38">
        <v>0</v>
      </c>
      <c r="P601" s="38">
        <v>0</v>
      </c>
    </row>
    <row r="602" spans="1:31" x14ac:dyDescent="0.25">
      <c r="A602" s="38" t="s">
        <v>36</v>
      </c>
      <c r="B602" s="38" t="s">
        <v>1349</v>
      </c>
      <c r="C602" s="38" t="s">
        <v>1350</v>
      </c>
      <c r="D602" s="38" t="s">
        <v>1361</v>
      </c>
      <c r="E602" s="38" t="s">
        <v>1362</v>
      </c>
      <c r="F602" s="38">
        <v>615.28</v>
      </c>
      <c r="G602" s="38">
        <v>615.28</v>
      </c>
      <c r="H602" s="38">
        <f t="shared" si="28"/>
        <v>649</v>
      </c>
      <c r="I602" s="38">
        <v>431</v>
      </c>
      <c r="J602" s="38">
        <v>218</v>
      </c>
      <c r="K602" s="38">
        <v>213</v>
      </c>
      <c r="L602" s="50">
        <f t="shared" si="29"/>
        <v>32.819722650231128</v>
      </c>
      <c r="M602" s="38">
        <v>41</v>
      </c>
      <c r="N602" s="50">
        <f t="shared" si="30"/>
        <v>6.3174114021571652</v>
      </c>
      <c r="O602" s="38">
        <v>0</v>
      </c>
      <c r="P602" s="38">
        <v>15.07</v>
      </c>
    </row>
    <row r="603" spans="1:31" x14ac:dyDescent="0.25">
      <c r="A603" s="38" t="s">
        <v>36</v>
      </c>
      <c r="B603" s="38" t="s">
        <v>1349</v>
      </c>
      <c r="C603" s="38" t="s">
        <v>1363</v>
      </c>
      <c r="D603" s="38" t="s">
        <v>1364</v>
      </c>
      <c r="E603" s="38" t="s">
        <v>1365</v>
      </c>
      <c r="F603" s="38">
        <v>1274</v>
      </c>
      <c r="G603" s="38">
        <v>1274</v>
      </c>
      <c r="H603" s="38">
        <f t="shared" si="28"/>
        <v>2512</v>
      </c>
      <c r="I603" s="38">
        <v>1634</v>
      </c>
      <c r="J603" s="38">
        <v>878</v>
      </c>
      <c r="K603" s="38">
        <v>756</v>
      </c>
      <c r="L603" s="50">
        <f t="shared" si="29"/>
        <v>30.095541401273884</v>
      </c>
      <c r="M603" s="38">
        <v>515</v>
      </c>
      <c r="N603" s="50">
        <f t="shared" si="30"/>
        <v>20.501592356687897</v>
      </c>
      <c r="O603" s="38">
        <v>0</v>
      </c>
      <c r="P603" s="38">
        <v>0</v>
      </c>
    </row>
    <row r="604" spans="1:31" x14ac:dyDescent="0.25">
      <c r="A604" s="38" t="s">
        <v>36</v>
      </c>
      <c r="B604" s="38" t="s">
        <v>1349</v>
      </c>
      <c r="C604" s="38" t="s">
        <v>1363</v>
      </c>
      <c r="D604" s="38" t="s">
        <v>1366</v>
      </c>
      <c r="E604" s="38" t="s">
        <v>1367</v>
      </c>
      <c r="F604" s="38">
        <v>2142</v>
      </c>
      <c r="G604" s="38">
        <v>2142</v>
      </c>
      <c r="H604" s="38">
        <f t="shared" si="28"/>
        <v>2543</v>
      </c>
      <c r="I604" s="38">
        <v>1649</v>
      </c>
      <c r="J604" s="38">
        <v>894</v>
      </c>
      <c r="K604" s="38">
        <v>755</v>
      </c>
      <c r="L604" s="50">
        <f t="shared" si="29"/>
        <v>29.689343295320487</v>
      </c>
      <c r="M604" s="38">
        <v>166</v>
      </c>
      <c r="N604" s="50">
        <f t="shared" si="30"/>
        <v>6.5277231616201332</v>
      </c>
      <c r="O604" s="38">
        <v>0</v>
      </c>
      <c r="P604" s="38">
        <v>25</v>
      </c>
    </row>
    <row r="605" spans="1:31" x14ac:dyDescent="0.25">
      <c r="A605" s="38" t="s">
        <v>36</v>
      </c>
      <c r="B605" s="38" t="s">
        <v>1349</v>
      </c>
      <c r="C605" s="38" t="s">
        <v>1363</v>
      </c>
      <c r="D605" s="38" t="s">
        <v>1368</v>
      </c>
      <c r="E605" s="38" t="s">
        <v>1369</v>
      </c>
      <c r="F605" s="38">
        <v>523</v>
      </c>
      <c r="G605" s="38">
        <v>523</v>
      </c>
      <c r="H605" s="38">
        <f t="shared" si="28"/>
        <v>1239</v>
      </c>
      <c r="I605" s="38">
        <v>808</v>
      </c>
      <c r="J605" s="38">
        <v>431</v>
      </c>
      <c r="K605" s="38">
        <v>377</v>
      </c>
      <c r="L605" s="50">
        <f t="shared" si="29"/>
        <v>30.427764326069411</v>
      </c>
      <c r="M605" s="38">
        <v>19</v>
      </c>
      <c r="N605" s="50">
        <f t="shared" si="30"/>
        <v>1.5334947538337369</v>
      </c>
      <c r="O605" s="38">
        <v>0</v>
      </c>
      <c r="P605" s="38">
        <v>0</v>
      </c>
    </row>
    <row r="606" spans="1:31" x14ac:dyDescent="0.25">
      <c r="A606" s="38" t="s">
        <v>36</v>
      </c>
      <c r="B606" s="38" t="s">
        <v>1349</v>
      </c>
      <c r="C606" s="38" t="s">
        <v>1363</v>
      </c>
      <c r="D606" s="38" t="s">
        <v>1370</v>
      </c>
      <c r="E606" s="38" t="s">
        <v>1371</v>
      </c>
      <c r="F606" s="38">
        <v>0</v>
      </c>
      <c r="G606" s="38">
        <v>0</v>
      </c>
      <c r="H606" s="38">
        <f t="shared" si="28"/>
        <v>0</v>
      </c>
      <c r="I606" s="38">
        <v>0</v>
      </c>
      <c r="J606" s="38">
        <v>0</v>
      </c>
      <c r="K606" s="38">
        <v>0</v>
      </c>
      <c r="L606" s="50"/>
      <c r="M606" s="38">
        <v>0</v>
      </c>
      <c r="N606" s="50"/>
      <c r="O606" s="38">
        <v>0</v>
      </c>
      <c r="P606" s="38">
        <v>0</v>
      </c>
    </row>
    <row r="607" spans="1:31" x14ac:dyDescent="0.25">
      <c r="A607" s="38" t="s">
        <v>36</v>
      </c>
      <c r="B607" s="38" t="s">
        <v>1349</v>
      </c>
      <c r="C607" s="38" t="s">
        <v>1372</v>
      </c>
      <c r="D607" s="38" t="s">
        <v>1373</v>
      </c>
      <c r="E607" s="38" t="s">
        <v>1374</v>
      </c>
      <c r="F607" s="38">
        <v>1630</v>
      </c>
      <c r="G607" s="38">
        <v>1630</v>
      </c>
      <c r="H607" s="38">
        <f t="shared" si="28"/>
        <v>228</v>
      </c>
      <c r="I607" s="38">
        <v>159</v>
      </c>
      <c r="J607" s="38">
        <v>69</v>
      </c>
      <c r="K607" s="38">
        <v>90</v>
      </c>
      <c r="L607" s="50">
        <f t="shared" si="29"/>
        <v>39.473684210526315</v>
      </c>
      <c r="M607" s="38">
        <v>7</v>
      </c>
      <c r="N607" s="50">
        <f t="shared" si="30"/>
        <v>3.070175438596491</v>
      </c>
      <c r="O607" s="38">
        <v>202</v>
      </c>
      <c r="P607" s="38">
        <v>885</v>
      </c>
    </row>
    <row r="608" spans="1:31" x14ac:dyDescent="0.25">
      <c r="A608" s="38" t="s">
        <v>36</v>
      </c>
      <c r="B608" s="38" t="s">
        <v>1349</v>
      </c>
      <c r="C608" s="38" t="s">
        <v>1372</v>
      </c>
      <c r="D608" s="38" t="s">
        <v>1375</v>
      </c>
      <c r="E608" s="38" t="s">
        <v>1376</v>
      </c>
      <c r="F608" s="38">
        <v>977</v>
      </c>
      <c r="G608" s="38">
        <v>977</v>
      </c>
      <c r="H608" s="38">
        <f t="shared" si="28"/>
        <v>973</v>
      </c>
      <c r="I608" s="38">
        <v>647</v>
      </c>
      <c r="J608" s="38">
        <v>326</v>
      </c>
      <c r="K608" s="38">
        <v>321</v>
      </c>
      <c r="L608" s="50">
        <f t="shared" si="29"/>
        <v>32.990750256937304</v>
      </c>
      <c r="M608" s="38">
        <v>167</v>
      </c>
      <c r="N608" s="50">
        <f t="shared" si="30"/>
        <v>17.163412127440907</v>
      </c>
      <c r="O608" s="38">
        <v>0</v>
      </c>
      <c r="P608" s="38">
        <v>10</v>
      </c>
    </row>
    <row r="609" spans="1:31" x14ac:dyDescent="0.25">
      <c r="A609" s="38" t="s">
        <v>36</v>
      </c>
      <c r="B609" s="38" t="s">
        <v>1349</v>
      </c>
      <c r="C609" s="38" t="s">
        <v>1372</v>
      </c>
      <c r="D609" s="38" t="s">
        <v>1377</v>
      </c>
      <c r="E609" s="38" t="s">
        <v>1378</v>
      </c>
      <c r="F609" s="38">
        <v>1294</v>
      </c>
      <c r="G609" s="38">
        <v>1294</v>
      </c>
      <c r="H609" s="38">
        <f t="shared" si="28"/>
        <v>1485</v>
      </c>
      <c r="I609" s="38">
        <v>966</v>
      </c>
      <c r="J609" s="38">
        <v>519</v>
      </c>
      <c r="K609" s="38">
        <v>447</v>
      </c>
      <c r="L609" s="50">
        <f t="shared" si="29"/>
        <v>30.1010101010101</v>
      </c>
      <c r="M609" s="38">
        <v>45</v>
      </c>
      <c r="N609" s="50">
        <f t="shared" si="30"/>
        <v>3.0303030303030303</v>
      </c>
      <c r="O609" s="38">
        <v>0</v>
      </c>
      <c r="P609" s="38">
        <v>0</v>
      </c>
    </row>
    <row r="610" spans="1:31" x14ac:dyDescent="0.25">
      <c r="A610" s="38" t="s">
        <v>36</v>
      </c>
      <c r="B610" s="38" t="s">
        <v>1349</v>
      </c>
      <c r="C610" s="38" t="s">
        <v>1372</v>
      </c>
      <c r="D610" s="38" t="s">
        <v>1379</v>
      </c>
      <c r="E610" s="38" t="s">
        <v>1380</v>
      </c>
      <c r="F610" s="38">
        <v>1081</v>
      </c>
      <c r="G610" s="38">
        <v>1081</v>
      </c>
      <c r="H610" s="38">
        <f t="shared" si="28"/>
        <v>1442</v>
      </c>
      <c r="I610" s="38">
        <v>941</v>
      </c>
      <c r="J610" s="38">
        <v>501</v>
      </c>
      <c r="K610" s="38">
        <v>440</v>
      </c>
      <c r="L610" s="50">
        <f t="shared" si="29"/>
        <v>30.513176144244103</v>
      </c>
      <c r="M610" s="38">
        <v>250</v>
      </c>
      <c r="N610" s="50">
        <f t="shared" si="30"/>
        <v>17.337031900138697</v>
      </c>
      <c r="O610" s="38">
        <v>0</v>
      </c>
      <c r="P610" s="38">
        <v>0</v>
      </c>
    </row>
    <row r="611" spans="1:31" x14ac:dyDescent="0.25">
      <c r="A611" s="38" t="s">
        <v>36</v>
      </c>
      <c r="B611" s="38" t="s">
        <v>1349</v>
      </c>
      <c r="C611" s="38" t="s">
        <v>1372</v>
      </c>
      <c r="D611" s="38" t="s">
        <v>1381</v>
      </c>
      <c r="E611" s="38" t="s">
        <v>1382</v>
      </c>
      <c r="F611" s="38">
        <v>341</v>
      </c>
      <c r="G611" s="38">
        <v>341</v>
      </c>
      <c r="H611" s="38">
        <f t="shared" si="28"/>
        <v>553</v>
      </c>
      <c r="I611" s="38">
        <v>369</v>
      </c>
      <c r="J611" s="38">
        <v>184</v>
      </c>
      <c r="K611" s="38">
        <v>185</v>
      </c>
      <c r="L611" s="50">
        <f t="shared" si="29"/>
        <v>33.45388788426763</v>
      </c>
      <c r="M611" s="38">
        <v>0</v>
      </c>
      <c r="N611" s="50">
        <f t="shared" si="30"/>
        <v>0</v>
      </c>
      <c r="O611" s="38">
        <v>0</v>
      </c>
      <c r="P611" s="38">
        <v>0</v>
      </c>
    </row>
    <row r="612" spans="1:31" x14ac:dyDescent="0.25">
      <c r="A612" s="38" t="s">
        <v>36</v>
      </c>
      <c r="B612" s="38" t="s">
        <v>1349</v>
      </c>
      <c r="C612" s="38" t="s">
        <v>1372</v>
      </c>
      <c r="D612" s="38" t="s">
        <v>1383</v>
      </c>
      <c r="E612" s="38" t="s">
        <v>1384</v>
      </c>
      <c r="F612" s="38">
        <v>1362</v>
      </c>
      <c r="G612" s="38">
        <v>1362</v>
      </c>
      <c r="H612" s="38">
        <f t="shared" si="28"/>
        <v>2330</v>
      </c>
      <c r="I612" s="38">
        <v>1528</v>
      </c>
      <c r="J612" s="38">
        <v>802</v>
      </c>
      <c r="K612" s="38">
        <v>726</v>
      </c>
      <c r="L612" s="50">
        <f t="shared" si="29"/>
        <v>31.158798283261802</v>
      </c>
      <c r="M612" s="38">
        <v>96</v>
      </c>
      <c r="N612" s="50">
        <f t="shared" si="30"/>
        <v>4.1201716738197423</v>
      </c>
      <c r="O612" s="38">
        <v>0</v>
      </c>
      <c r="P612" s="38">
        <v>8</v>
      </c>
    </row>
    <row r="613" spans="1:31" x14ac:dyDescent="0.25">
      <c r="A613" s="38" t="s">
        <v>36</v>
      </c>
      <c r="B613" s="38" t="s">
        <v>1349</v>
      </c>
      <c r="C613" s="38" t="s">
        <v>1385</v>
      </c>
      <c r="D613" s="38" t="s">
        <v>1386</v>
      </c>
      <c r="E613" s="38" t="s">
        <v>1387</v>
      </c>
      <c r="F613" s="38">
        <v>2207</v>
      </c>
      <c r="G613" s="38">
        <v>2207</v>
      </c>
      <c r="H613" s="38">
        <f t="shared" si="28"/>
        <v>4283</v>
      </c>
      <c r="I613" s="38">
        <v>2640</v>
      </c>
      <c r="J613" s="38">
        <v>1643</v>
      </c>
      <c r="K613" s="38">
        <v>997</v>
      </c>
      <c r="L613" s="50">
        <f t="shared" si="29"/>
        <v>23.278076114872754</v>
      </c>
      <c r="M613" s="38">
        <v>131</v>
      </c>
      <c r="N613" s="50">
        <f t="shared" si="30"/>
        <v>3.058603782395517</v>
      </c>
      <c r="O613" s="38">
        <v>0</v>
      </c>
      <c r="P613" s="38">
        <v>102</v>
      </c>
    </row>
    <row r="614" spans="1:31" x14ac:dyDescent="0.25">
      <c r="A614" s="38" t="s">
        <v>36</v>
      </c>
      <c r="B614" s="38" t="s">
        <v>1349</v>
      </c>
      <c r="C614" s="38" t="s">
        <v>1385</v>
      </c>
      <c r="D614" s="38" t="s">
        <v>1388</v>
      </c>
      <c r="E614" s="38" t="s">
        <v>1389</v>
      </c>
      <c r="F614" s="38">
        <v>950</v>
      </c>
      <c r="G614" s="38">
        <v>950</v>
      </c>
      <c r="H614" s="38">
        <f t="shared" si="28"/>
        <v>1220</v>
      </c>
      <c r="I614" s="38">
        <v>781</v>
      </c>
      <c r="J614" s="38">
        <v>439</v>
      </c>
      <c r="K614" s="38">
        <v>342</v>
      </c>
      <c r="L614" s="50">
        <f t="shared" si="29"/>
        <v>28.032786885245901</v>
      </c>
      <c r="M614" s="38">
        <v>4</v>
      </c>
      <c r="N614" s="50">
        <f t="shared" si="30"/>
        <v>0.32786885245901637</v>
      </c>
      <c r="O614" s="38">
        <v>0</v>
      </c>
      <c r="P614" s="38">
        <v>3</v>
      </c>
    </row>
    <row r="615" spans="1:31" x14ac:dyDescent="0.25">
      <c r="A615" s="38" t="s">
        <v>36</v>
      </c>
      <c r="B615" s="38" t="s">
        <v>1349</v>
      </c>
      <c r="C615" s="38" t="s">
        <v>1385</v>
      </c>
      <c r="D615" s="38" t="s">
        <v>1390</v>
      </c>
      <c r="E615" s="38" t="s">
        <v>1391</v>
      </c>
      <c r="F615" s="38">
        <v>459</v>
      </c>
      <c r="G615" s="38">
        <v>459</v>
      </c>
      <c r="H615" s="38">
        <f t="shared" si="28"/>
        <v>531</v>
      </c>
      <c r="I615" s="38">
        <v>345</v>
      </c>
      <c r="J615" s="38">
        <v>186</v>
      </c>
      <c r="K615" s="38">
        <v>159</v>
      </c>
      <c r="L615" s="50">
        <f t="shared" si="29"/>
        <v>29.943502824858758</v>
      </c>
      <c r="M615" s="38">
        <v>20</v>
      </c>
      <c r="N615" s="50">
        <f t="shared" si="30"/>
        <v>3.766478342749529</v>
      </c>
      <c r="O615" s="38">
        <v>0</v>
      </c>
      <c r="P615" s="38">
        <v>15</v>
      </c>
    </row>
    <row r="616" spans="1:31" x14ac:dyDescent="0.25">
      <c r="A616" s="38" t="s">
        <v>36</v>
      </c>
      <c r="B616" s="38" t="s">
        <v>1349</v>
      </c>
      <c r="C616" s="38" t="s">
        <v>1392</v>
      </c>
      <c r="D616" s="38" t="s">
        <v>1393</v>
      </c>
      <c r="E616" s="38" t="s">
        <v>1394</v>
      </c>
      <c r="F616" s="38">
        <v>849.49</v>
      </c>
      <c r="G616" s="38">
        <v>849.49</v>
      </c>
      <c r="H616" s="38">
        <f t="shared" si="28"/>
        <v>891</v>
      </c>
      <c r="I616" s="38">
        <v>583</v>
      </c>
      <c r="J616" s="38">
        <v>308</v>
      </c>
      <c r="K616" s="38">
        <v>275</v>
      </c>
      <c r="L616" s="50">
        <f t="shared" si="29"/>
        <v>30.864197530864196</v>
      </c>
      <c r="M616" s="38">
        <v>0</v>
      </c>
      <c r="N616" s="50">
        <f t="shared" si="30"/>
        <v>0</v>
      </c>
      <c r="O616" s="38">
        <v>0</v>
      </c>
      <c r="P616" s="38">
        <v>0</v>
      </c>
      <c r="Q616" s="39" t="s">
        <v>44</v>
      </c>
      <c r="R616" s="25">
        <v>44525</v>
      </c>
      <c r="S616" s="40"/>
      <c r="T616" s="39">
        <v>0</v>
      </c>
      <c r="U616" s="39"/>
      <c r="V616" s="39"/>
      <c r="W616" s="39"/>
      <c r="X616" s="39"/>
      <c r="Y616" s="39"/>
      <c r="Z616" s="3"/>
      <c r="AB616" s="3"/>
      <c r="AC616" s="60" t="s">
        <v>1393</v>
      </c>
      <c r="AD616" s="2"/>
      <c r="AE616" s="40"/>
    </row>
    <row r="617" spans="1:31" x14ac:dyDescent="0.25">
      <c r="A617" s="38" t="s">
        <v>36</v>
      </c>
      <c r="B617" s="38" t="s">
        <v>1349</v>
      </c>
      <c r="C617" s="38" t="s">
        <v>1392</v>
      </c>
      <c r="D617" s="38" t="s">
        <v>1395</v>
      </c>
      <c r="E617" s="38" t="s">
        <v>1396</v>
      </c>
      <c r="F617" s="38">
        <v>636.97</v>
      </c>
      <c r="G617" s="38">
        <v>636.97</v>
      </c>
      <c r="H617" s="38">
        <f t="shared" si="28"/>
        <v>809</v>
      </c>
      <c r="I617" s="38">
        <v>534</v>
      </c>
      <c r="J617" s="38">
        <v>275</v>
      </c>
      <c r="K617" s="38">
        <v>259</v>
      </c>
      <c r="L617" s="50">
        <f t="shared" si="29"/>
        <v>32.014833127317679</v>
      </c>
      <c r="M617" s="38">
        <v>0</v>
      </c>
      <c r="N617" s="50">
        <f t="shared" si="30"/>
        <v>0</v>
      </c>
      <c r="O617" s="38">
        <v>0</v>
      </c>
      <c r="P617" s="38">
        <v>1.82</v>
      </c>
      <c r="Q617" s="98" t="s">
        <v>160</v>
      </c>
      <c r="R617" s="10">
        <v>44525</v>
      </c>
      <c r="S617" s="99"/>
      <c r="T617" s="98">
        <v>2</v>
      </c>
      <c r="U617" s="98"/>
      <c r="V617" s="98"/>
      <c r="W617" s="98"/>
      <c r="X617" s="98"/>
      <c r="Y617" s="98"/>
      <c r="Z617" s="20"/>
      <c r="AB617" s="20"/>
      <c r="AC617" s="11" t="s">
        <v>1395</v>
      </c>
      <c r="AD617" s="61"/>
      <c r="AE617" s="99"/>
    </row>
    <row r="618" spans="1:31" x14ac:dyDescent="0.25">
      <c r="A618" s="38" t="s">
        <v>36</v>
      </c>
      <c r="B618" s="38" t="s">
        <v>1349</v>
      </c>
      <c r="C618" s="38" t="s">
        <v>1392</v>
      </c>
      <c r="D618" s="38" t="s">
        <v>1397</v>
      </c>
      <c r="E618" s="38" t="s">
        <v>1398</v>
      </c>
      <c r="F618" s="38">
        <v>221.51</v>
      </c>
      <c r="G618" s="38">
        <v>221.51</v>
      </c>
      <c r="H618" s="38">
        <f t="shared" si="28"/>
        <v>689</v>
      </c>
      <c r="I618" s="38">
        <v>450</v>
      </c>
      <c r="J618" s="38">
        <v>239</v>
      </c>
      <c r="K618" s="38">
        <v>211</v>
      </c>
      <c r="L618" s="50">
        <f t="shared" si="29"/>
        <v>30.62409288824383</v>
      </c>
      <c r="M618" s="38">
        <v>0</v>
      </c>
      <c r="N618" s="50">
        <f t="shared" si="30"/>
        <v>0</v>
      </c>
      <c r="O618" s="38">
        <v>0</v>
      </c>
      <c r="P618" s="38">
        <v>0</v>
      </c>
      <c r="Q618" s="39" t="s">
        <v>44</v>
      </c>
      <c r="R618" s="25">
        <v>44525</v>
      </c>
      <c r="S618" s="40"/>
      <c r="T618" s="39">
        <v>0</v>
      </c>
      <c r="U618" s="39"/>
      <c r="V618" s="39"/>
      <c r="W618" s="39"/>
      <c r="X618" s="39"/>
      <c r="Y618" s="39"/>
      <c r="Z618" s="3"/>
      <c r="AB618" s="3"/>
      <c r="AC618" s="60" t="s">
        <v>1399</v>
      </c>
      <c r="AD618" s="2"/>
      <c r="AE618" s="40"/>
    </row>
    <row r="619" spans="1:31" x14ac:dyDescent="0.25">
      <c r="A619" s="38" t="s">
        <v>36</v>
      </c>
      <c r="B619" s="38" t="s">
        <v>1349</v>
      </c>
      <c r="C619" s="38" t="s">
        <v>1392</v>
      </c>
      <c r="D619" s="38" t="s">
        <v>1400</v>
      </c>
      <c r="E619" s="38" t="s">
        <v>1401</v>
      </c>
      <c r="F619" s="38">
        <v>738.36</v>
      </c>
      <c r="G619" s="38">
        <v>738.36</v>
      </c>
      <c r="H619" s="38">
        <f t="shared" si="28"/>
        <v>660</v>
      </c>
      <c r="I619" s="38">
        <v>434</v>
      </c>
      <c r="J619" s="38">
        <v>226</v>
      </c>
      <c r="K619" s="38">
        <v>208</v>
      </c>
      <c r="L619" s="50">
        <f t="shared" si="29"/>
        <v>31.515151515151512</v>
      </c>
      <c r="M619" s="38">
        <v>0</v>
      </c>
      <c r="N619" s="50">
        <f t="shared" si="30"/>
        <v>0</v>
      </c>
      <c r="O619" s="38">
        <v>0</v>
      </c>
      <c r="P619" s="38">
        <v>3.15</v>
      </c>
      <c r="Q619" s="98" t="s">
        <v>160</v>
      </c>
      <c r="R619" s="10">
        <v>44525</v>
      </c>
      <c r="S619" s="122"/>
      <c r="T619" s="98">
        <v>3</v>
      </c>
      <c r="U619" s="98"/>
      <c r="V619" s="98"/>
      <c r="W619" s="98"/>
      <c r="X619" s="98"/>
      <c r="Y619" s="98"/>
      <c r="Z619" s="20"/>
      <c r="AB619" s="20"/>
      <c r="AC619" s="11" t="s">
        <v>1400</v>
      </c>
      <c r="AD619" s="6"/>
      <c r="AE619" s="122"/>
    </row>
    <row r="620" spans="1:31" x14ac:dyDescent="0.25">
      <c r="A620" s="38" t="s">
        <v>36</v>
      </c>
      <c r="B620" s="38" t="s">
        <v>1349</v>
      </c>
      <c r="C620" s="38" t="s">
        <v>1392</v>
      </c>
      <c r="D620" s="38" t="s">
        <v>1402</v>
      </c>
      <c r="E620" s="38" t="s">
        <v>1403</v>
      </c>
      <c r="F620" s="38">
        <v>454.48</v>
      </c>
      <c r="G620" s="38">
        <v>454.48</v>
      </c>
      <c r="H620" s="38">
        <f t="shared" si="28"/>
        <v>1211</v>
      </c>
      <c r="I620" s="38">
        <v>796</v>
      </c>
      <c r="J620" s="38">
        <v>415</v>
      </c>
      <c r="K620" s="38">
        <v>381</v>
      </c>
      <c r="L620" s="50">
        <f t="shared" si="29"/>
        <v>31.461601981833198</v>
      </c>
      <c r="M620" s="38">
        <v>0</v>
      </c>
      <c r="N620" s="50">
        <f t="shared" si="30"/>
        <v>0</v>
      </c>
      <c r="O620" s="38">
        <v>0</v>
      </c>
      <c r="P620" s="38">
        <v>0</v>
      </c>
      <c r="Q620" s="39" t="s">
        <v>44</v>
      </c>
      <c r="R620" s="25">
        <v>44525</v>
      </c>
      <c r="S620" s="40"/>
      <c r="T620" s="39">
        <v>0</v>
      </c>
      <c r="U620" s="39"/>
      <c r="V620" s="39"/>
      <c r="W620" s="39"/>
      <c r="X620" s="39"/>
      <c r="Y620" s="39"/>
      <c r="Z620" s="3"/>
      <c r="AB620" s="3"/>
      <c r="AC620" s="60" t="s">
        <v>1402</v>
      </c>
      <c r="AD620" s="2"/>
      <c r="AE620" s="40"/>
    </row>
    <row r="621" spans="1:31" x14ac:dyDescent="0.25">
      <c r="A621" s="38" t="s">
        <v>36</v>
      </c>
      <c r="B621" s="38" t="s">
        <v>1349</v>
      </c>
      <c r="C621" s="38" t="s">
        <v>1404</v>
      </c>
      <c r="D621" s="38" t="s">
        <v>1405</v>
      </c>
      <c r="E621" s="38" t="s">
        <v>1406</v>
      </c>
      <c r="F621" s="38">
        <v>1852.76</v>
      </c>
      <c r="G621" s="38">
        <v>1852.76</v>
      </c>
      <c r="H621" s="38">
        <f t="shared" si="28"/>
        <v>2538</v>
      </c>
      <c r="I621" s="38">
        <v>1665</v>
      </c>
      <c r="J621" s="38">
        <v>873</v>
      </c>
      <c r="K621" s="38">
        <v>792</v>
      </c>
      <c r="L621" s="50">
        <f t="shared" si="29"/>
        <v>31.205673758865249</v>
      </c>
      <c r="M621" s="38">
        <v>162</v>
      </c>
      <c r="N621" s="50">
        <f t="shared" si="30"/>
        <v>6.3829787234042552</v>
      </c>
      <c r="O621" s="38">
        <v>8.64</v>
      </c>
      <c r="P621" s="38">
        <v>270.22000000000003</v>
      </c>
      <c r="Q621" s="61" t="s">
        <v>43</v>
      </c>
      <c r="R621" s="10">
        <v>44565</v>
      </c>
      <c r="S621" s="61"/>
      <c r="T621" s="61">
        <v>105</v>
      </c>
      <c r="U621" s="61"/>
      <c r="V621" s="61"/>
      <c r="W621" s="61"/>
      <c r="X621" s="61"/>
      <c r="Y621" s="61"/>
      <c r="Z621" s="109"/>
      <c r="AB621" s="20">
        <v>88</v>
      </c>
      <c r="AC621" s="61" t="s">
        <v>1407</v>
      </c>
      <c r="AD621" s="61">
        <v>71.353966</v>
      </c>
      <c r="AE621" s="61">
        <v>26.003069</v>
      </c>
    </row>
    <row r="622" spans="1:31" x14ac:dyDescent="0.25">
      <c r="A622" s="38" t="s">
        <v>36</v>
      </c>
      <c r="B622" s="38" t="s">
        <v>1349</v>
      </c>
      <c r="C622" s="38" t="s">
        <v>1404</v>
      </c>
      <c r="D622" s="38" t="s">
        <v>1405</v>
      </c>
      <c r="E622" s="38" t="s">
        <v>1406</v>
      </c>
      <c r="F622" s="38">
        <v>1852.76</v>
      </c>
      <c r="G622" s="38">
        <v>1852.76</v>
      </c>
      <c r="H622" s="38">
        <f t="shared" si="28"/>
        <v>2538</v>
      </c>
      <c r="I622" s="38">
        <v>1665</v>
      </c>
      <c r="J622" s="38">
        <v>873</v>
      </c>
      <c r="K622" s="38">
        <v>792</v>
      </c>
      <c r="L622" s="50">
        <f t="shared" si="29"/>
        <v>31.205673758865249</v>
      </c>
      <c r="M622" s="38">
        <v>162</v>
      </c>
      <c r="N622" s="50">
        <f t="shared" si="30"/>
        <v>6.3829787234042552</v>
      </c>
      <c r="O622" s="38">
        <v>8.64</v>
      </c>
      <c r="P622" s="38">
        <v>270.22000000000003</v>
      </c>
      <c r="Q622" s="61" t="s">
        <v>43</v>
      </c>
      <c r="R622" s="10"/>
      <c r="S622" s="61"/>
      <c r="T622" s="61">
        <v>165</v>
      </c>
      <c r="U622" s="61"/>
      <c r="V622" s="61"/>
      <c r="W622" s="61"/>
      <c r="X622" s="61"/>
      <c r="Y622" s="61"/>
      <c r="Z622" s="109"/>
      <c r="AB622" s="20">
        <v>104</v>
      </c>
      <c r="AC622" s="61" t="s">
        <v>1408</v>
      </c>
      <c r="AD622" s="61">
        <v>71.353948000000003</v>
      </c>
      <c r="AE622" s="61">
        <v>26.002980000000001</v>
      </c>
    </row>
    <row r="623" spans="1:31" x14ac:dyDescent="0.25">
      <c r="A623" s="38" t="s">
        <v>36</v>
      </c>
      <c r="B623" s="38" t="s">
        <v>1349</v>
      </c>
      <c r="C623" s="38" t="s">
        <v>1404</v>
      </c>
      <c r="D623" s="38" t="s">
        <v>770</v>
      </c>
      <c r="E623" s="38" t="s">
        <v>1409</v>
      </c>
      <c r="F623" s="38">
        <v>680.17</v>
      </c>
      <c r="G623" s="38">
        <v>680.17</v>
      </c>
      <c r="H623" s="38">
        <f t="shared" si="28"/>
        <v>895</v>
      </c>
      <c r="I623" s="38">
        <v>591</v>
      </c>
      <c r="J623" s="38">
        <v>304</v>
      </c>
      <c r="K623" s="38">
        <v>287</v>
      </c>
      <c r="L623" s="50">
        <f t="shared" si="29"/>
        <v>32.067039106145252</v>
      </c>
      <c r="M623" s="38">
        <v>0</v>
      </c>
      <c r="N623" s="50">
        <f t="shared" si="30"/>
        <v>0</v>
      </c>
      <c r="O623" s="38">
        <v>0</v>
      </c>
      <c r="P623" s="38">
        <v>0</v>
      </c>
      <c r="Q623" s="39" t="s">
        <v>44</v>
      </c>
      <c r="R623" s="25">
        <v>44565</v>
      </c>
      <c r="S623" s="40"/>
      <c r="T623" s="39"/>
      <c r="U623" s="39"/>
      <c r="V623" s="39"/>
      <c r="W623" s="39"/>
      <c r="X623" s="39"/>
      <c r="Y623" s="39"/>
      <c r="Z623" s="3"/>
      <c r="AB623" s="3"/>
      <c r="AC623" s="60" t="s">
        <v>1410</v>
      </c>
      <c r="AD623" s="2"/>
      <c r="AE623" s="40"/>
    </row>
    <row r="624" spans="1:31" x14ac:dyDescent="0.25">
      <c r="A624" s="38" t="s">
        <v>36</v>
      </c>
      <c r="B624" s="38" t="s">
        <v>1349</v>
      </c>
      <c r="C624" s="38" t="s">
        <v>1404</v>
      </c>
      <c r="D624" s="38" t="s">
        <v>1411</v>
      </c>
      <c r="E624" s="38" t="s">
        <v>1412</v>
      </c>
      <c r="F624" s="38">
        <v>675.99</v>
      </c>
      <c r="G624" s="38">
        <v>675.99</v>
      </c>
      <c r="H624" s="38">
        <f t="shared" si="28"/>
        <v>1418</v>
      </c>
      <c r="I624" s="38">
        <v>925</v>
      </c>
      <c r="J624" s="38">
        <v>493</v>
      </c>
      <c r="K624" s="38">
        <v>432</v>
      </c>
      <c r="L624" s="50">
        <f t="shared" si="29"/>
        <v>30.465444287729198</v>
      </c>
      <c r="M624" s="38">
        <v>0</v>
      </c>
      <c r="N624" s="50">
        <f t="shared" si="30"/>
        <v>0</v>
      </c>
      <c r="O624" s="38">
        <v>0</v>
      </c>
      <c r="P624" s="38">
        <v>0</v>
      </c>
      <c r="Q624" s="39" t="s">
        <v>44</v>
      </c>
      <c r="R624" s="25">
        <v>44565</v>
      </c>
      <c r="S624" s="40"/>
      <c r="T624" s="39"/>
      <c r="U624" s="39"/>
      <c r="V624" s="39"/>
      <c r="W624" s="39"/>
      <c r="X624" s="39"/>
      <c r="Y624" s="39"/>
      <c r="Z624" s="3"/>
      <c r="AB624" s="3"/>
      <c r="AC624" s="60" t="s">
        <v>1413</v>
      </c>
      <c r="AD624" s="2"/>
      <c r="AE624" s="40"/>
    </row>
    <row r="625" spans="1:31" x14ac:dyDescent="0.25">
      <c r="A625" s="38" t="s">
        <v>36</v>
      </c>
      <c r="B625" s="38" t="s">
        <v>1349</v>
      </c>
      <c r="C625" s="38" t="s">
        <v>1404</v>
      </c>
      <c r="D625" s="38" t="s">
        <v>1414</v>
      </c>
      <c r="E625" s="38" t="s">
        <v>1415</v>
      </c>
      <c r="F625" s="38">
        <v>751.8</v>
      </c>
      <c r="G625" s="38">
        <v>751.8</v>
      </c>
      <c r="H625" s="38">
        <f t="shared" si="28"/>
        <v>1356</v>
      </c>
      <c r="I625" s="38">
        <v>886</v>
      </c>
      <c r="J625" s="38">
        <v>470</v>
      </c>
      <c r="K625" s="38">
        <v>416</v>
      </c>
      <c r="L625" s="50">
        <f t="shared" si="29"/>
        <v>30.678466076696164</v>
      </c>
      <c r="M625" s="38">
        <v>210</v>
      </c>
      <c r="N625" s="50">
        <f t="shared" si="30"/>
        <v>15.486725663716813</v>
      </c>
      <c r="O625" s="38">
        <v>0</v>
      </c>
      <c r="P625" s="38">
        <v>0</v>
      </c>
      <c r="Q625" s="39" t="s">
        <v>44</v>
      </c>
      <c r="R625" s="25">
        <v>44565</v>
      </c>
      <c r="S625" s="40"/>
      <c r="T625" s="39"/>
      <c r="U625" s="39"/>
      <c r="V625" s="39"/>
      <c r="W625" s="39"/>
      <c r="X625" s="39"/>
      <c r="Y625" s="39"/>
      <c r="Z625" s="3"/>
      <c r="AB625" s="3"/>
      <c r="AC625" s="60" t="s">
        <v>1414</v>
      </c>
      <c r="AD625" s="2"/>
      <c r="AE625" s="40"/>
    </row>
    <row r="626" spans="1:31" x14ac:dyDescent="0.25">
      <c r="A626" s="38" t="s">
        <v>36</v>
      </c>
      <c r="B626" s="38" t="s">
        <v>1349</v>
      </c>
      <c r="C626" s="38" t="s">
        <v>1404</v>
      </c>
      <c r="D626" s="38" t="s">
        <v>1416</v>
      </c>
      <c r="E626" s="38" t="s">
        <v>1417</v>
      </c>
      <c r="F626" s="38">
        <v>934.82</v>
      </c>
      <c r="G626" s="38">
        <v>934.82</v>
      </c>
      <c r="H626" s="38">
        <f t="shared" si="28"/>
        <v>1430</v>
      </c>
      <c r="I626" s="38">
        <v>937</v>
      </c>
      <c r="J626" s="38">
        <v>493</v>
      </c>
      <c r="K626" s="38">
        <v>444</v>
      </c>
      <c r="L626" s="50">
        <f t="shared" si="29"/>
        <v>31.04895104895105</v>
      </c>
      <c r="M626" s="38">
        <v>19</v>
      </c>
      <c r="N626" s="50">
        <f t="shared" si="30"/>
        <v>1.3286713286713288</v>
      </c>
      <c r="O626" s="38">
        <v>0</v>
      </c>
      <c r="P626" s="38">
        <v>94.51</v>
      </c>
      <c r="Q626" s="98" t="s">
        <v>160</v>
      </c>
      <c r="R626" s="10">
        <v>44565</v>
      </c>
      <c r="S626" s="99"/>
      <c r="T626" s="98">
        <v>95</v>
      </c>
      <c r="U626" s="98"/>
      <c r="V626" s="98"/>
      <c r="W626" s="98"/>
      <c r="X626" s="98"/>
      <c r="Y626" s="98"/>
      <c r="Z626" s="109"/>
      <c r="AB626" s="20">
        <v>70</v>
      </c>
      <c r="AC626" s="11" t="s">
        <v>1418</v>
      </c>
      <c r="AD626" s="61">
        <v>26.011036000000001</v>
      </c>
      <c r="AE626" s="99">
        <v>71.356161</v>
      </c>
    </row>
    <row r="627" spans="1:31" x14ac:dyDescent="0.25">
      <c r="A627" s="38" t="s">
        <v>36</v>
      </c>
      <c r="B627" s="38" t="s">
        <v>1349</v>
      </c>
      <c r="C627" s="38" t="s">
        <v>1404</v>
      </c>
      <c r="D627" s="38" t="s">
        <v>1419</v>
      </c>
      <c r="E627" s="38" t="s">
        <v>1420</v>
      </c>
      <c r="F627" s="38">
        <v>790.63</v>
      </c>
      <c r="G627" s="38">
        <v>790.63</v>
      </c>
      <c r="H627" s="38">
        <f t="shared" si="28"/>
        <v>1643</v>
      </c>
      <c r="I627" s="38">
        <v>1071</v>
      </c>
      <c r="J627" s="38">
        <v>572</v>
      </c>
      <c r="K627" s="38">
        <v>499</v>
      </c>
      <c r="L627" s="50">
        <f t="shared" si="29"/>
        <v>30.371272063298843</v>
      </c>
      <c r="M627" s="38">
        <v>0</v>
      </c>
      <c r="N627" s="50">
        <f t="shared" si="30"/>
        <v>0</v>
      </c>
      <c r="O627" s="38">
        <v>0</v>
      </c>
      <c r="P627" s="38">
        <v>0</v>
      </c>
      <c r="Q627" s="39" t="s">
        <v>44</v>
      </c>
      <c r="R627" s="25">
        <v>44565</v>
      </c>
      <c r="S627" s="40"/>
      <c r="T627" s="39"/>
      <c r="U627" s="39"/>
      <c r="V627" s="39"/>
      <c r="W627" s="39"/>
      <c r="X627" s="39"/>
      <c r="Y627" s="39"/>
      <c r="Z627" s="3"/>
      <c r="AB627" s="3"/>
      <c r="AC627" s="60" t="s">
        <v>1421</v>
      </c>
      <c r="AD627" s="2"/>
      <c r="AE627" s="40"/>
    </row>
    <row r="628" spans="1:31" x14ac:dyDescent="0.25">
      <c r="A628" s="38" t="s">
        <v>36</v>
      </c>
      <c r="B628" s="38" t="s">
        <v>1349</v>
      </c>
      <c r="C628" s="38" t="s">
        <v>1422</v>
      </c>
      <c r="D628" s="38" t="s">
        <v>1423</v>
      </c>
      <c r="E628" s="38" t="s">
        <v>1424</v>
      </c>
      <c r="F628" s="38">
        <v>1045</v>
      </c>
      <c r="G628" s="38">
        <v>1045</v>
      </c>
      <c r="H628" s="38">
        <f t="shared" si="28"/>
        <v>1572</v>
      </c>
      <c r="I628" s="38">
        <v>1034</v>
      </c>
      <c r="J628" s="38">
        <v>538</v>
      </c>
      <c r="K628" s="38">
        <v>496</v>
      </c>
      <c r="L628" s="50">
        <f t="shared" si="29"/>
        <v>31.552162849872772</v>
      </c>
      <c r="M628" s="38">
        <v>197</v>
      </c>
      <c r="N628" s="50">
        <f t="shared" si="30"/>
        <v>12.53180661577608</v>
      </c>
      <c r="O628" s="38">
        <v>0</v>
      </c>
      <c r="P628" s="38">
        <v>1</v>
      </c>
      <c r="Q628" s="98" t="s">
        <v>160</v>
      </c>
      <c r="R628" s="7">
        <v>44541</v>
      </c>
      <c r="S628" s="99"/>
      <c r="T628" s="98">
        <v>3.15</v>
      </c>
      <c r="U628" s="98"/>
      <c r="V628" s="98"/>
      <c r="W628" s="98"/>
      <c r="X628" s="98"/>
      <c r="Y628" s="98"/>
      <c r="Z628" s="20"/>
      <c r="AB628" s="20"/>
      <c r="AC628" s="11" t="s">
        <v>1425</v>
      </c>
      <c r="AD628" s="61"/>
      <c r="AE628" s="99"/>
    </row>
    <row r="629" spans="1:31" x14ac:dyDescent="0.25">
      <c r="A629" s="38" t="s">
        <v>36</v>
      </c>
      <c r="B629" s="38" t="s">
        <v>1349</v>
      </c>
      <c r="C629" s="38" t="s">
        <v>1422</v>
      </c>
      <c r="D629" s="38" t="s">
        <v>1426</v>
      </c>
      <c r="E629" s="38" t="s">
        <v>1427</v>
      </c>
      <c r="F629" s="38">
        <v>941</v>
      </c>
      <c r="G629" s="38">
        <v>941</v>
      </c>
      <c r="H629" s="38">
        <f t="shared" si="28"/>
        <v>989</v>
      </c>
      <c r="I629" s="38">
        <v>657</v>
      </c>
      <c r="J629" s="38">
        <v>332</v>
      </c>
      <c r="K629" s="38">
        <v>325</v>
      </c>
      <c r="L629" s="50">
        <f t="shared" si="29"/>
        <v>32.861476238624874</v>
      </c>
      <c r="M629" s="38">
        <v>0</v>
      </c>
      <c r="N629" s="50">
        <f t="shared" si="30"/>
        <v>0</v>
      </c>
      <c r="O629" s="38">
        <v>0</v>
      </c>
      <c r="P629" s="38">
        <v>0</v>
      </c>
      <c r="Q629" s="98" t="s">
        <v>160</v>
      </c>
      <c r="R629" s="7">
        <v>44541</v>
      </c>
      <c r="S629" s="99"/>
      <c r="T629" s="98">
        <v>2.02</v>
      </c>
      <c r="U629" s="98"/>
      <c r="V629" s="98"/>
      <c r="W629" s="98"/>
      <c r="X629" s="98"/>
      <c r="Y629" s="98"/>
      <c r="Z629" s="20"/>
      <c r="AB629" s="20"/>
      <c r="AC629" s="11" t="s">
        <v>1428</v>
      </c>
      <c r="AD629" s="61"/>
      <c r="AE629" s="99"/>
    </row>
    <row r="630" spans="1:31" x14ac:dyDescent="0.25">
      <c r="A630" s="38" t="s">
        <v>36</v>
      </c>
      <c r="B630" s="38" t="s">
        <v>1349</v>
      </c>
      <c r="C630" s="38" t="s">
        <v>1422</v>
      </c>
      <c r="D630" s="38" t="s">
        <v>1429</v>
      </c>
      <c r="E630" s="38" t="s">
        <v>1430</v>
      </c>
      <c r="F630" s="38">
        <v>905</v>
      </c>
      <c r="G630" s="38">
        <v>905</v>
      </c>
      <c r="H630" s="38">
        <f t="shared" si="28"/>
        <v>1314</v>
      </c>
      <c r="I630" s="38">
        <v>861</v>
      </c>
      <c r="J630" s="38">
        <v>453</v>
      </c>
      <c r="K630" s="38">
        <v>408</v>
      </c>
      <c r="L630" s="50">
        <f t="shared" si="29"/>
        <v>31.05022831050228</v>
      </c>
      <c r="M630" s="38">
        <v>11</v>
      </c>
      <c r="N630" s="50">
        <f t="shared" si="30"/>
        <v>0.83713850837138504</v>
      </c>
      <c r="O630" s="38">
        <v>0</v>
      </c>
      <c r="P630" s="38">
        <v>0</v>
      </c>
      <c r="Q630" s="98" t="s">
        <v>160</v>
      </c>
      <c r="R630" s="7">
        <v>44541</v>
      </c>
      <c r="S630" s="99"/>
      <c r="T630" s="98">
        <v>0.09</v>
      </c>
      <c r="U630" s="98"/>
      <c r="V630" s="98"/>
      <c r="W630" s="98"/>
      <c r="X630" s="98"/>
      <c r="Y630" s="98"/>
      <c r="Z630" s="20"/>
      <c r="AB630" s="20"/>
      <c r="AC630" s="11" t="s">
        <v>1431</v>
      </c>
      <c r="AD630" s="61"/>
      <c r="AE630" s="99"/>
    </row>
    <row r="631" spans="1:31" x14ac:dyDescent="0.25">
      <c r="A631" s="38" t="s">
        <v>36</v>
      </c>
      <c r="B631" s="38" t="s">
        <v>1349</v>
      </c>
      <c r="C631" s="38" t="s">
        <v>1422</v>
      </c>
      <c r="D631" s="38" t="s">
        <v>1432</v>
      </c>
      <c r="E631" s="38" t="s">
        <v>1433</v>
      </c>
      <c r="F631" s="38">
        <v>414</v>
      </c>
      <c r="G631" s="38">
        <v>414</v>
      </c>
      <c r="H631" s="38">
        <f t="shared" si="28"/>
        <v>768</v>
      </c>
      <c r="I631" s="38">
        <v>493</v>
      </c>
      <c r="J631" s="38">
        <v>275</v>
      </c>
      <c r="K631" s="38">
        <v>218</v>
      </c>
      <c r="L631" s="50">
        <f t="shared" si="29"/>
        <v>28.385416666666668</v>
      </c>
      <c r="M631" s="38">
        <v>74</v>
      </c>
      <c r="N631" s="50">
        <f t="shared" si="30"/>
        <v>9.6354166666666679</v>
      </c>
      <c r="O631" s="38">
        <v>0</v>
      </c>
      <c r="P631" s="38">
        <v>0</v>
      </c>
      <c r="Q631" s="61" t="s">
        <v>43</v>
      </c>
      <c r="R631" s="7">
        <v>44541</v>
      </c>
      <c r="S631" s="61"/>
      <c r="T631" s="61">
        <v>0</v>
      </c>
      <c r="U631" s="61"/>
      <c r="V631" s="61"/>
      <c r="W631" s="61"/>
      <c r="X631" s="61"/>
      <c r="Y631" s="61"/>
      <c r="Z631" s="20"/>
      <c r="AB631" s="20"/>
      <c r="AC631" s="11" t="s">
        <v>1434</v>
      </c>
      <c r="AD631" s="61">
        <v>0</v>
      </c>
      <c r="AE631" s="61"/>
    </row>
    <row r="632" spans="1:31" x14ac:dyDescent="0.25">
      <c r="A632" s="38" t="s">
        <v>36</v>
      </c>
      <c r="B632" s="38" t="s">
        <v>1349</v>
      </c>
      <c r="C632" s="38" t="s">
        <v>1435</v>
      </c>
      <c r="D632" s="38" t="s">
        <v>1436</v>
      </c>
      <c r="E632" s="38" t="s">
        <v>1437</v>
      </c>
      <c r="F632" s="38">
        <v>1256.7</v>
      </c>
      <c r="G632" s="38">
        <v>1256.7</v>
      </c>
      <c r="H632" s="38">
        <f t="shared" si="28"/>
        <v>3347</v>
      </c>
      <c r="I632" s="38">
        <v>2193</v>
      </c>
      <c r="J632" s="38">
        <v>1154</v>
      </c>
      <c r="K632" s="38">
        <v>1039</v>
      </c>
      <c r="L632" s="50">
        <f t="shared" si="29"/>
        <v>31.04272482820436</v>
      </c>
      <c r="M632" s="38">
        <v>202</v>
      </c>
      <c r="N632" s="50">
        <f t="shared" si="30"/>
        <v>6.0352554526441589</v>
      </c>
      <c r="O632" s="38">
        <v>0</v>
      </c>
      <c r="P632" s="38">
        <v>100.81</v>
      </c>
    </row>
    <row r="633" spans="1:31" x14ac:dyDescent="0.25">
      <c r="A633" s="38" t="s">
        <v>36</v>
      </c>
      <c r="B633" s="38" t="s">
        <v>1349</v>
      </c>
      <c r="C633" s="38" t="s">
        <v>1435</v>
      </c>
      <c r="D633" s="38" t="s">
        <v>1438</v>
      </c>
      <c r="E633" s="38" t="s">
        <v>1439</v>
      </c>
      <c r="F633" s="38">
        <v>765.11</v>
      </c>
      <c r="G633" s="38">
        <v>765.11</v>
      </c>
      <c r="H633" s="38">
        <f t="shared" si="28"/>
        <v>986</v>
      </c>
      <c r="I633" s="38">
        <v>650</v>
      </c>
      <c r="J633" s="38">
        <v>336</v>
      </c>
      <c r="K633" s="38">
        <v>314</v>
      </c>
      <c r="L633" s="50">
        <f t="shared" si="29"/>
        <v>31.845841784989858</v>
      </c>
      <c r="M633" s="38">
        <v>86</v>
      </c>
      <c r="N633" s="50">
        <f t="shared" si="30"/>
        <v>8.7221095334685597</v>
      </c>
      <c r="O633" s="38">
        <v>0</v>
      </c>
      <c r="P633" s="38">
        <v>153.06</v>
      </c>
    </row>
    <row r="634" spans="1:31" ht="23.25" customHeight="1" x14ac:dyDescent="0.25">
      <c r="A634" s="38" t="s">
        <v>36</v>
      </c>
      <c r="B634" s="41" t="s">
        <v>1349</v>
      </c>
      <c r="C634" s="41" t="s">
        <v>1440</v>
      </c>
      <c r="D634" s="41" t="s">
        <v>1440</v>
      </c>
      <c r="E634" s="41" t="s">
        <v>1441</v>
      </c>
      <c r="F634" s="41">
        <v>1529.72</v>
      </c>
      <c r="G634" s="41">
        <v>1529.72</v>
      </c>
      <c r="H634" s="38">
        <f t="shared" si="28"/>
        <v>2099</v>
      </c>
      <c r="I634" s="41">
        <v>1368</v>
      </c>
      <c r="J634" s="41">
        <v>731</v>
      </c>
      <c r="K634" s="41">
        <v>637</v>
      </c>
      <c r="L634" s="50">
        <f t="shared" si="29"/>
        <v>30.347784659361597</v>
      </c>
      <c r="M634" s="41">
        <v>115</v>
      </c>
      <c r="N634" s="50">
        <f t="shared" si="30"/>
        <v>5.4787994282991903</v>
      </c>
      <c r="O634" s="41">
        <v>0</v>
      </c>
      <c r="P634" s="41">
        <v>178.01</v>
      </c>
      <c r="Q634" s="43" t="s">
        <v>44</v>
      </c>
      <c r="R634" s="27">
        <v>44524</v>
      </c>
      <c r="S634" s="44"/>
      <c r="T634" s="43">
        <v>178.58080000000001</v>
      </c>
      <c r="U634" s="43"/>
      <c r="V634" s="43"/>
      <c r="W634" s="43"/>
      <c r="X634" s="43"/>
      <c r="Y634" s="43"/>
      <c r="Z634" s="5"/>
      <c r="AB634" s="5">
        <v>15</v>
      </c>
      <c r="AC634" s="123" t="s">
        <v>1442</v>
      </c>
      <c r="AD634" s="44">
        <v>25.768338</v>
      </c>
      <c r="AE634" s="44">
        <v>71.644977999999995</v>
      </c>
    </row>
    <row r="635" spans="1:31" x14ac:dyDescent="0.25">
      <c r="A635" s="38" t="s">
        <v>36</v>
      </c>
      <c r="B635" s="38" t="s">
        <v>1349</v>
      </c>
      <c r="C635" s="38" t="s">
        <v>1440</v>
      </c>
      <c r="D635" s="38" t="s">
        <v>1440</v>
      </c>
      <c r="E635" s="38" t="s">
        <v>1441</v>
      </c>
      <c r="F635" s="38">
        <v>1529.72</v>
      </c>
      <c r="G635" s="38">
        <v>1529.72</v>
      </c>
      <c r="H635" s="38">
        <f t="shared" si="28"/>
        <v>2099</v>
      </c>
      <c r="I635" s="38">
        <v>1368</v>
      </c>
      <c r="J635" s="38">
        <v>731</v>
      </c>
      <c r="K635" s="38">
        <v>637</v>
      </c>
      <c r="L635" s="50">
        <f t="shared" si="29"/>
        <v>30.347784659361597</v>
      </c>
      <c r="M635" s="38">
        <v>115</v>
      </c>
      <c r="N635" s="50">
        <f t="shared" si="30"/>
        <v>5.4787994282991903</v>
      </c>
      <c r="O635" s="38">
        <v>0</v>
      </c>
      <c r="P635" s="38">
        <v>178.01</v>
      </c>
    </row>
    <row r="636" spans="1:31" x14ac:dyDescent="0.25">
      <c r="A636" s="38" t="s">
        <v>36</v>
      </c>
      <c r="B636" s="38" t="s">
        <v>1349</v>
      </c>
      <c r="C636" s="38" t="s">
        <v>1440</v>
      </c>
      <c r="D636" s="38" t="s">
        <v>1443</v>
      </c>
      <c r="E636" s="38" t="s">
        <v>1444</v>
      </c>
      <c r="F636" s="38">
        <v>296.8</v>
      </c>
      <c r="G636" s="38">
        <v>296.8</v>
      </c>
      <c r="H636" s="38">
        <f t="shared" si="28"/>
        <v>524</v>
      </c>
      <c r="I636" s="38">
        <v>360</v>
      </c>
      <c r="J636" s="38">
        <v>164</v>
      </c>
      <c r="K636" s="38">
        <v>196</v>
      </c>
      <c r="L636" s="50">
        <f t="shared" si="29"/>
        <v>37.404580152671755</v>
      </c>
      <c r="M636" s="38">
        <v>22</v>
      </c>
      <c r="N636" s="50">
        <f t="shared" si="30"/>
        <v>4.1984732824427482</v>
      </c>
      <c r="O636" s="38">
        <v>0</v>
      </c>
      <c r="P636" s="38">
        <v>0</v>
      </c>
    </row>
    <row r="637" spans="1:31" x14ac:dyDescent="0.25">
      <c r="A637" s="38" t="s">
        <v>36</v>
      </c>
      <c r="B637" s="38" t="s">
        <v>1349</v>
      </c>
      <c r="C637" s="38" t="s">
        <v>1440</v>
      </c>
      <c r="D637" s="38" t="s">
        <v>1445</v>
      </c>
      <c r="E637" s="38" t="s">
        <v>1446</v>
      </c>
      <c r="F637" s="38">
        <v>779.46</v>
      </c>
      <c r="G637" s="38">
        <v>779.46</v>
      </c>
      <c r="H637" s="38">
        <f t="shared" si="28"/>
        <v>1257</v>
      </c>
      <c r="I637" s="38">
        <v>823</v>
      </c>
      <c r="J637" s="38">
        <v>434</v>
      </c>
      <c r="K637" s="38">
        <v>389</v>
      </c>
      <c r="L637" s="50">
        <f t="shared" si="29"/>
        <v>30.946698488464598</v>
      </c>
      <c r="M637" s="38">
        <v>0</v>
      </c>
      <c r="N637" s="50">
        <f t="shared" si="30"/>
        <v>0</v>
      </c>
      <c r="O637" s="38">
        <v>0</v>
      </c>
      <c r="P637" s="38">
        <v>0</v>
      </c>
    </row>
    <row r="638" spans="1:31" x14ac:dyDescent="0.25">
      <c r="A638" s="38" t="s">
        <v>36</v>
      </c>
      <c r="B638" s="38" t="s">
        <v>1349</v>
      </c>
      <c r="C638" s="38" t="s">
        <v>1447</v>
      </c>
      <c r="D638" s="38" t="s">
        <v>1448</v>
      </c>
      <c r="E638" s="38" t="s">
        <v>1449</v>
      </c>
      <c r="F638" s="38">
        <v>768</v>
      </c>
      <c r="G638" s="38">
        <v>768</v>
      </c>
      <c r="H638" s="38">
        <f t="shared" si="28"/>
        <v>567</v>
      </c>
      <c r="I638" s="38">
        <v>378</v>
      </c>
      <c r="J638" s="38">
        <v>189</v>
      </c>
      <c r="K638" s="38">
        <v>189</v>
      </c>
      <c r="L638" s="50">
        <f t="shared" si="29"/>
        <v>33.333333333333329</v>
      </c>
      <c r="M638" s="38">
        <v>0</v>
      </c>
      <c r="N638" s="50">
        <f t="shared" si="30"/>
        <v>0</v>
      </c>
      <c r="O638" s="38">
        <v>0</v>
      </c>
      <c r="P638" s="38">
        <v>0</v>
      </c>
      <c r="Q638" s="34" t="s">
        <v>43</v>
      </c>
      <c r="R638" s="88">
        <v>44561</v>
      </c>
      <c r="S638" s="34"/>
      <c r="T638" s="34">
        <v>3</v>
      </c>
      <c r="U638" s="34"/>
      <c r="V638" s="34"/>
      <c r="W638" s="34"/>
      <c r="X638" s="34"/>
      <c r="Y638" s="34"/>
      <c r="Z638" s="89"/>
      <c r="AB638" s="89"/>
      <c r="AC638" s="34" t="s">
        <v>1450</v>
      </c>
      <c r="AD638" s="34">
        <v>71.527978000000004</v>
      </c>
      <c r="AE638" s="34">
        <v>25.673209</v>
      </c>
    </row>
    <row r="639" spans="1:31" x14ac:dyDescent="0.25">
      <c r="A639" s="38" t="s">
        <v>36</v>
      </c>
      <c r="B639" s="38" t="s">
        <v>1349</v>
      </c>
      <c r="C639" s="38" t="s">
        <v>1447</v>
      </c>
      <c r="D639" s="38" t="s">
        <v>1451</v>
      </c>
      <c r="E639" s="38" t="s">
        <v>1452</v>
      </c>
      <c r="F639" s="38">
        <v>281</v>
      </c>
      <c r="G639" s="38">
        <v>281</v>
      </c>
      <c r="H639" s="38">
        <f t="shared" si="28"/>
        <v>247</v>
      </c>
      <c r="I639" s="38">
        <v>157</v>
      </c>
      <c r="J639" s="38">
        <v>90</v>
      </c>
      <c r="K639" s="38">
        <v>67</v>
      </c>
      <c r="L639" s="50">
        <f t="shared" si="29"/>
        <v>27.125506072874494</v>
      </c>
      <c r="M639" s="38">
        <v>0</v>
      </c>
      <c r="N639" s="50">
        <f t="shared" si="30"/>
        <v>0</v>
      </c>
      <c r="O639" s="38">
        <v>0</v>
      </c>
      <c r="P639" s="38">
        <v>0</v>
      </c>
    </row>
    <row r="640" spans="1:31" x14ac:dyDescent="0.25">
      <c r="A640" s="38" t="s">
        <v>36</v>
      </c>
      <c r="B640" s="38" t="s">
        <v>1349</v>
      </c>
      <c r="C640" s="38" t="s">
        <v>1447</v>
      </c>
      <c r="D640" s="38" t="s">
        <v>1453</v>
      </c>
      <c r="E640" s="38" t="s">
        <v>1454</v>
      </c>
      <c r="F640" s="38">
        <v>290</v>
      </c>
      <c r="G640" s="38">
        <v>290</v>
      </c>
      <c r="H640" s="38">
        <f t="shared" si="28"/>
        <v>868</v>
      </c>
      <c r="I640" s="38">
        <v>570</v>
      </c>
      <c r="J640" s="38">
        <v>298</v>
      </c>
      <c r="K640" s="38">
        <v>272</v>
      </c>
      <c r="L640" s="50">
        <f t="shared" si="29"/>
        <v>31.336405529953915</v>
      </c>
      <c r="M640" s="38">
        <v>42</v>
      </c>
      <c r="N640" s="50">
        <f t="shared" si="30"/>
        <v>4.838709677419355</v>
      </c>
      <c r="O640" s="38">
        <v>0</v>
      </c>
      <c r="P640" s="38">
        <v>0</v>
      </c>
    </row>
    <row r="641" spans="1:31" x14ac:dyDescent="0.25">
      <c r="A641" s="38" t="s">
        <v>36</v>
      </c>
      <c r="B641" s="38" t="s">
        <v>1349</v>
      </c>
      <c r="C641" s="38" t="s">
        <v>1447</v>
      </c>
      <c r="D641" s="38" t="s">
        <v>1455</v>
      </c>
      <c r="E641" s="38" t="s">
        <v>1456</v>
      </c>
      <c r="F641" s="38">
        <v>300</v>
      </c>
      <c r="G641" s="38">
        <v>300</v>
      </c>
      <c r="H641" s="38">
        <f t="shared" si="28"/>
        <v>505</v>
      </c>
      <c r="I641" s="38">
        <v>332</v>
      </c>
      <c r="J641" s="38">
        <v>173</v>
      </c>
      <c r="K641" s="38">
        <v>159</v>
      </c>
      <c r="L641" s="50">
        <f t="shared" si="29"/>
        <v>31.485148514851485</v>
      </c>
      <c r="M641" s="38">
        <v>0</v>
      </c>
      <c r="N641" s="50">
        <f t="shared" si="30"/>
        <v>0</v>
      </c>
      <c r="O641" s="38">
        <v>0</v>
      </c>
      <c r="P641" s="38">
        <v>0</v>
      </c>
    </row>
    <row r="642" spans="1:31" x14ac:dyDescent="0.25">
      <c r="A642" s="38" t="s">
        <v>36</v>
      </c>
      <c r="B642" s="38" t="s">
        <v>1349</v>
      </c>
      <c r="C642" s="38" t="s">
        <v>1447</v>
      </c>
      <c r="D642" s="38" t="s">
        <v>1457</v>
      </c>
      <c r="E642" s="38" t="s">
        <v>1458</v>
      </c>
      <c r="F642" s="38">
        <v>718</v>
      </c>
      <c r="G642" s="38">
        <v>718</v>
      </c>
      <c r="H642" s="38">
        <f t="shared" si="28"/>
        <v>1024</v>
      </c>
      <c r="I642" s="38">
        <v>656</v>
      </c>
      <c r="J642" s="38">
        <v>368</v>
      </c>
      <c r="K642" s="38">
        <v>288</v>
      </c>
      <c r="L642" s="50">
        <f t="shared" si="29"/>
        <v>28.125</v>
      </c>
      <c r="M642" s="38">
        <v>79</v>
      </c>
      <c r="N642" s="50">
        <f t="shared" si="30"/>
        <v>7.71484375</v>
      </c>
      <c r="O642" s="38">
        <v>0</v>
      </c>
      <c r="P642" s="38">
        <v>0</v>
      </c>
    </row>
    <row r="643" spans="1:31" x14ac:dyDescent="0.25">
      <c r="A643" s="38" t="s">
        <v>36</v>
      </c>
      <c r="B643" s="38" t="s">
        <v>1349</v>
      </c>
      <c r="C643" s="38" t="s">
        <v>1447</v>
      </c>
      <c r="D643" s="38" t="s">
        <v>1459</v>
      </c>
      <c r="E643" s="38" t="s">
        <v>1460</v>
      </c>
      <c r="F643" s="38">
        <v>392</v>
      </c>
      <c r="G643" s="38">
        <v>392</v>
      </c>
      <c r="H643" s="38">
        <f t="shared" si="28"/>
        <v>711</v>
      </c>
      <c r="I643" s="38">
        <v>469</v>
      </c>
      <c r="J643" s="38">
        <v>242</v>
      </c>
      <c r="K643" s="38">
        <v>227</v>
      </c>
      <c r="L643" s="50">
        <f t="shared" si="29"/>
        <v>31.926863572433195</v>
      </c>
      <c r="M643" s="38">
        <v>69</v>
      </c>
      <c r="N643" s="50">
        <f t="shared" si="30"/>
        <v>9.7046413502109701</v>
      </c>
      <c r="O643" s="38">
        <v>0</v>
      </c>
      <c r="P643" s="38">
        <v>0</v>
      </c>
      <c r="Q643" s="61" t="s">
        <v>43</v>
      </c>
      <c r="R643" s="7">
        <v>44561</v>
      </c>
      <c r="S643" s="61"/>
      <c r="T643" s="61">
        <v>0</v>
      </c>
      <c r="U643" s="61"/>
      <c r="V643" s="61"/>
      <c r="W643" s="61"/>
      <c r="X643" s="61"/>
      <c r="Y643" s="61"/>
      <c r="Z643" s="20"/>
      <c r="AB643" s="20"/>
      <c r="AC643" s="11" t="s">
        <v>1461</v>
      </c>
      <c r="AD643" s="61">
        <v>0</v>
      </c>
      <c r="AE643" s="61"/>
    </row>
    <row r="644" spans="1:31" x14ac:dyDescent="0.25">
      <c r="A644" s="38" t="s">
        <v>36</v>
      </c>
      <c r="B644" s="38" t="s">
        <v>1349</v>
      </c>
      <c r="C644" s="38" t="s">
        <v>1462</v>
      </c>
      <c r="D644" s="38" t="s">
        <v>1462</v>
      </c>
      <c r="E644" s="38" t="s">
        <v>1463</v>
      </c>
      <c r="F644" s="38">
        <v>1053.6500000000001</v>
      </c>
      <c r="G644" s="38">
        <v>1053.6500000000001</v>
      </c>
      <c r="H644" s="38">
        <f t="shared" si="28"/>
        <v>1806</v>
      </c>
      <c r="I644" s="38">
        <v>1202</v>
      </c>
      <c r="J644" s="38">
        <v>604</v>
      </c>
      <c r="K644" s="38">
        <v>598</v>
      </c>
      <c r="L644" s="50">
        <f t="shared" si="29"/>
        <v>33.111849390919154</v>
      </c>
      <c r="M644" s="38">
        <v>33</v>
      </c>
      <c r="N644" s="50">
        <f t="shared" si="30"/>
        <v>1.8272425249169437</v>
      </c>
      <c r="O644" s="38">
        <v>0</v>
      </c>
      <c r="P644" s="38">
        <v>5.62</v>
      </c>
      <c r="Q644" s="98" t="s">
        <v>160</v>
      </c>
      <c r="R644" s="7">
        <v>44530</v>
      </c>
      <c r="S644" s="99"/>
      <c r="T644" s="98">
        <v>6</v>
      </c>
      <c r="U644" s="98"/>
      <c r="V644" s="98"/>
      <c r="W644" s="98"/>
      <c r="X644" s="98"/>
      <c r="Y644" s="98"/>
      <c r="Z644" s="20"/>
      <c r="AB644" s="20"/>
      <c r="AC644" s="11" t="s">
        <v>1462</v>
      </c>
      <c r="AD644" s="61"/>
      <c r="AE644" s="99"/>
    </row>
    <row r="645" spans="1:31" x14ac:dyDescent="0.25">
      <c r="A645" s="38" t="s">
        <v>36</v>
      </c>
      <c r="B645" s="38" t="s">
        <v>1349</v>
      </c>
      <c r="C645" s="38" t="s">
        <v>1462</v>
      </c>
      <c r="D645" s="38" t="s">
        <v>1464</v>
      </c>
      <c r="E645" s="38" t="s">
        <v>1465</v>
      </c>
      <c r="F645" s="38">
        <v>1171.57</v>
      </c>
      <c r="G645" s="38">
        <v>1171.57</v>
      </c>
      <c r="H645" s="38">
        <f t="shared" ref="H645:H708" si="31">I645+J645</f>
        <v>1743</v>
      </c>
      <c r="I645" s="38">
        <v>1144</v>
      </c>
      <c r="J645" s="38">
        <v>599</v>
      </c>
      <c r="K645" s="38">
        <v>545</v>
      </c>
      <c r="L645" s="50">
        <f t="shared" si="29"/>
        <v>31.267928858290304</v>
      </c>
      <c r="M645" s="38">
        <v>125</v>
      </c>
      <c r="N645" s="50">
        <f t="shared" si="30"/>
        <v>7.17154331612163</v>
      </c>
      <c r="O645" s="38">
        <v>0</v>
      </c>
      <c r="P645" s="38">
        <v>2.1</v>
      </c>
      <c r="Q645" s="98" t="s">
        <v>160</v>
      </c>
      <c r="R645" s="7">
        <v>44530</v>
      </c>
      <c r="S645" s="99"/>
      <c r="T645" s="98">
        <v>2.08</v>
      </c>
      <c r="U645" s="98"/>
      <c r="V645" s="98"/>
      <c r="W645" s="98"/>
      <c r="X645" s="98"/>
      <c r="Y645" s="98"/>
      <c r="Z645" s="20"/>
      <c r="AB645" s="20"/>
      <c r="AC645" s="11" t="s">
        <v>1466</v>
      </c>
      <c r="AD645" s="61"/>
      <c r="AE645" s="99"/>
    </row>
    <row r="646" spans="1:31" x14ac:dyDescent="0.25">
      <c r="A646" s="38" t="s">
        <v>36</v>
      </c>
      <c r="B646" s="38" t="s">
        <v>1349</v>
      </c>
      <c r="C646" s="38" t="s">
        <v>1467</v>
      </c>
      <c r="D646" s="38" t="s">
        <v>1468</v>
      </c>
      <c r="E646" s="38" t="s">
        <v>1469</v>
      </c>
      <c r="F646" s="38">
        <v>347</v>
      </c>
      <c r="G646" s="38">
        <v>347</v>
      </c>
      <c r="H646" s="38">
        <f t="shared" si="31"/>
        <v>1073</v>
      </c>
      <c r="I646" s="38">
        <v>702</v>
      </c>
      <c r="J646" s="38">
        <v>371</v>
      </c>
      <c r="K646" s="38">
        <v>331</v>
      </c>
      <c r="L646" s="50">
        <f t="shared" ref="L646:L709" si="32">K646/H646*100</f>
        <v>30.848089468779122</v>
      </c>
      <c r="M646" s="38">
        <v>0</v>
      </c>
      <c r="N646" s="50">
        <f t="shared" ref="N646:N709" si="33">M646/H646*100</f>
        <v>0</v>
      </c>
      <c r="O646" s="38">
        <v>0</v>
      </c>
      <c r="P646" s="38">
        <v>0</v>
      </c>
    </row>
    <row r="647" spans="1:31" x14ac:dyDescent="0.25">
      <c r="A647" s="38" t="s">
        <v>36</v>
      </c>
      <c r="B647" s="38" t="s">
        <v>1349</v>
      </c>
      <c r="C647" s="38" t="s">
        <v>1467</v>
      </c>
      <c r="D647" s="38" t="s">
        <v>1470</v>
      </c>
      <c r="E647" s="38" t="s">
        <v>1471</v>
      </c>
      <c r="F647" s="38">
        <v>327</v>
      </c>
      <c r="G647" s="38">
        <v>327</v>
      </c>
      <c r="H647" s="38">
        <f t="shared" si="31"/>
        <v>627</v>
      </c>
      <c r="I647" s="38">
        <v>417</v>
      </c>
      <c r="J647" s="38">
        <v>210</v>
      </c>
      <c r="K647" s="38">
        <v>207</v>
      </c>
      <c r="L647" s="50">
        <f t="shared" si="32"/>
        <v>33.014354066985646</v>
      </c>
      <c r="M647" s="38">
        <v>0</v>
      </c>
      <c r="N647" s="50">
        <f t="shared" si="33"/>
        <v>0</v>
      </c>
      <c r="O647" s="38">
        <v>0</v>
      </c>
      <c r="P647" s="38">
        <v>0</v>
      </c>
    </row>
    <row r="648" spans="1:31" x14ac:dyDescent="0.25">
      <c r="A648" s="38" t="s">
        <v>36</v>
      </c>
      <c r="B648" s="38" t="s">
        <v>1349</v>
      </c>
      <c r="C648" s="38" t="s">
        <v>1467</v>
      </c>
      <c r="D648" s="38" t="s">
        <v>1472</v>
      </c>
      <c r="E648" s="38" t="s">
        <v>1473</v>
      </c>
      <c r="F648" s="38">
        <v>486</v>
      </c>
      <c r="G648" s="38">
        <v>486</v>
      </c>
      <c r="H648" s="38">
        <f t="shared" si="31"/>
        <v>716</v>
      </c>
      <c r="I648" s="38">
        <v>468</v>
      </c>
      <c r="J648" s="38">
        <v>248</v>
      </c>
      <c r="K648" s="38">
        <v>220</v>
      </c>
      <c r="L648" s="50">
        <f t="shared" si="32"/>
        <v>30.726256983240223</v>
      </c>
      <c r="M648" s="38">
        <v>0</v>
      </c>
      <c r="N648" s="50">
        <f t="shared" si="33"/>
        <v>0</v>
      </c>
      <c r="O648" s="38">
        <v>0</v>
      </c>
      <c r="P648" s="38">
        <v>109</v>
      </c>
    </row>
    <row r="649" spans="1:31" x14ac:dyDescent="0.25">
      <c r="A649" s="38" t="s">
        <v>36</v>
      </c>
      <c r="B649" s="38" t="s">
        <v>1349</v>
      </c>
      <c r="C649" s="38" t="s">
        <v>1467</v>
      </c>
      <c r="D649" s="38" t="s">
        <v>1474</v>
      </c>
      <c r="E649" s="38" t="s">
        <v>1475</v>
      </c>
      <c r="F649" s="38">
        <v>275</v>
      </c>
      <c r="G649" s="38">
        <v>275</v>
      </c>
      <c r="H649" s="38">
        <f t="shared" si="31"/>
        <v>579</v>
      </c>
      <c r="I649" s="38">
        <v>386</v>
      </c>
      <c r="J649" s="38">
        <v>193</v>
      </c>
      <c r="K649" s="38">
        <v>193</v>
      </c>
      <c r="L649" s="50">
        <f t="shared" si="32"/>
        <v>33.333333333333329</v>
      </c>
      <c r="M649" s="38">
        <v>0</v>
      </c>
      <c r="N649" s="50">
        <f t="shared" si="33"/>
        <v>0</v>
      </c>
      <c r="O649" s="38">
        <v>0</v>
      </c>
      <c r="P649" s="38">
        <v>0</v>
      </c>
    </row>
    <row r="650" spans="1:31" x14ac:dyDescent="0.25">
      <c r="A650" s="38" t="s">
        <v>36</v>
      </c>
      <c r="B650" s="38" t="s">
        <v>1349</v>
      </c>
      <c r="C650" s="38" t="s">
        <v>1467</v>
      </c>
      <c r="D650" s="38" t="s">
        <v>1476</v>
      </c>
      <c r="E650" s="38" t="s">
        <v>1477</v>
      </c>
      <c r="F650" s="38">
        <v>394</v>
      </c>
      <c r="G650" s="38">
        <v>394</v>
      </c>
      <c r="H650" s="38">
        <f t="shared" si="31"/>
        <v>378</v>
      </c>
      <c r="I650" s="38">
        <v>248</v>
      </c>
      <c r="J650" s="38">
        <v>130</v>
      </c>
      <c r="K650" s="38">
        <v>118</v>
      </c>
      <c r="L650" s="50">
        <f t="shared" si="32"/>
        <v>31.216931216931215</v>
      </c>
      <c r="M650" s="38">
        <v>0</v>
      </c>
      <c r="N650" s="50">
        <f t="shared" si="33"/>
        <v>0</v>
      </c>
      <c r="O650" s="38">
        <v>0</v>
      </c>
      <c r="P650" s="38">
        <v>0</v>
      </c>
    </row>
    <row r="651" spans="1:31" x14ac:dyDescent="0.25">
      <c r="A651" s="38" t="s">
        <v>36</v>
      </c>
      <c r="B651" s="38" t="s">
        <v>1349</v>
      </c>
      <c r="C651" s="38" t="s">
        <v>1467</v>
      </c>
      <c r="D651" s="38" t="s">
        <v>1478</v>
      </c>
      <c r="E651" s="38" t="s">
        <v>1479</v>
      </c>
      <c r="F651" s="38">
        <v>298</v>
      </c>
      <c r="G651" s="38">
        <v>298</v>
      </c>
      <c r="H651" s="38">
        <f t="shared" si="31"/>
        <v>574</v>
      </c>
      <c r="I651" s="38">
        <v>378</v>
      </c>
      <c r="J651" s="38">
        <v>196</v>
      </c>
      <c r="K651" s="38">
        <v>182</v>
      </c>
      <c r="L651" s="50">
        <f t="shared" si="32"/>
        <v>31.707317073170731</v>
      </c>
      <c r="M651" s="38">
        <v>0</v>
      </c>
      <c r="N651" s="50">
        <f t="shared" si="33"/>
        <v>0</v>
      </c>
      <c r="O651" s="38">
        <v>0</v>
      </c>
      <c r="P651" s="38">
        <v>0</v>
      </c>
    </row>
    <row r="652" spans="1:31" x14ac:dyDescent="0.25">
      <c r="A652" s="38" t="s">
        <v>36</v>
      </c>
      <c r="B652" s="38" t="s">
        <v>1349</v>
      </c>
      <c r="C652" s="38" t="s">
        <v>1467</v>
      </c>
      <c r="D652" s="38" t="s">
        <v>1480</v>
      </c>
      <c r="E652" s="38" t="s">
        <v>1481</v>
      </c>
      <c r="F652" s="38">
        <v>147</v>
      </c>
      <c r="G652" s="38">
        <v>147</v>
      </c>
      <c r="H652" s="38">
        <f t="shared" si="31"/>
        <v>445</v>
      </c>
      <c r="I652" s="38">
        <v>288</v>
      </c>
      <c r="J652" s="38">
        <v>157</v>
      </c>
      <c r="K652" s="38">
        <v>131</v>
      </c>
      <c r="L652" s="50">
        <f t="shared" si="32"/>
        <v>29.438202247191008</v>
      </c>
      <c r="M652" s="38">
        <v>0</v>
      </c>
      <c r="N652" s="50">
        <f t="shared" si="33"/>
        <v>0</v>
      </c>
      <c r="O652" s="38">
        <v>0</v>
      </c>
      <c r="P652" s="38">
        <v>0</v>
      </c>
    </row>
    <row r="653" spans="1:31" x14ac:dyDescent="0.25">
      <c r="A653" s="38" t="s">
        <v>36</v>
      </c>
      <c r="B653" s="38" t="s">
        <v>1349</v>
      </c>
      <c r="C653" s="38" t="s">
        <v>1482</v>
      </c>
      <c r="D653" s="38" t="s">
        <v>1483</v>
      </c>
      <c r="E653" s="38" t="s">
        <v>1484</v>
      </c>
      <c r="F653" s="38">
        <v>737.47</v>
      </c>
      <c r="G653" s="38">
        <v>737.47</v>
      </c>
      <c r="H653" s="38">
        <f t="shared" si="31"/>
        <v>912</v>
      </c>
      <c r="I653" s="38">
        <v>591</v>
      </c>
      <c r="J653" s="38">
        <v>321</v>
      </c>
      <c r="K653" s="38">
        <v>270</v>
      </c>
      <c r="L653" s="50">
        <f t="shared" si="32"/>
        <v>29.605263157894733</v>
      </c>
      <c r="M653" s="38">
        <v>19</v>
      </c>
      <c r="N653" s="50">
        <f t="shared" si="33"/>
        <v>2.083333333333333</v>
      </c>
      <c r="O653" s="38">
        <v>0</v>
      </c>
      <c r="P653" s="38">
        <v>108.07</v>
      </c>
      <c r="Q653" s="39" t="s">
        <v>44</v>
      </c>
      <c r="R653" s="25">
        <v>44531</v>
      </c>
      <c r="S653" s="40"/>
      <c r="T653" s="39">
        <v>76.16</v>
      </c>
      <c r="U653" s="39"/>
      <c r="V653" s="39"/>
      <c r="W653" s="39"/>
      <c r="X653" s="39"/>
      <c r="Y653" s="39"/>
      <c r="Z653" s="3"/>
      <c r="AB653" s="3"/>
      <c r="AC653" s="60" t="s">
        <v>1483</v>
      </c>
      <c r="AD653" s="2">
        <v>0</v>
      </c>
      <c r="AE653" s="40">
        <v>0</v>
      </c>
    </row>
    <row r="654" spans="1:31" x14ac:dyDescent="0.25">
      <c r="A654" s="38" t="s">
        <v>36</v>
      </c>
      <c r="B654" s="38" t="s">
        <v>1349</v>
      </c>
      <c r="C654" s="38" t="s">
        <v>1482</v>
      </c>
      <c r="D654" s="38" t="s">
        <v>1485</v>
      </c>
      <c r="E654" s="38" t="s">
        <v>1486</v>
      </c>
      <c r="F654" s="38">
        <v>289.42</v>
      </c>
      <c r="G654" s="38">
        <v>289.42</v>
      </c>
      <c r="H654" s="38">
        <f t="shared" si="31"/>
        <v>371</v>
      </c>
      <c r="I654" s="38">
        <v>238</v>
      </c>
      <c r="J654" s="38">
        <v>133</v>
      </c>
      <c r="K654" s="38">
        <v>105</v>
      </c>
      <c r="L654" s="50">
        <f t="shared" si="32"/>
        <v>28.30188679245283</v>
      </c>
      <c r="M654" s="38">
        <v>31</v>
      </c>
      <c r="N654" s="50">
        <f t="shared" si="33"/>
        <v>8.355795148247978</v>
      </c>
      <c r="O654" s="38">
        <v>0</v>
      </c>
      <c r="P654" s="38">
        <v>0</v>
      </c>
    </row>
    <row r="655" spans="1:31" x14ac:dyDescent="0.25">
      <c r="A655" s="38" t="s">
        <v>36</v>
      </c>
      <c r="B655" s="38" t="s">
        <v>1349</v>
      </c>
      <c r="C655" s="38" t="s">
        <v>1482</v>
      </c>
      <c r="D655" s="38" t="s">
        <v>1487</v>
      </c>
      <c r="E655" s="38" t="s">
        <v>1488</v>
      </c>
      <c r="F655" s="38">
        <v>769.37</v>
      </c>
      <c r="G655" s="38">
        <v>769.37</v>
      </c>
      <c r="H655" s="38">
        <f t="shared" si="31"/>
        <v>1020</v>
      </c>
      <c r="I655" s="38">
        <v>678</v>
      </c>
      <c r="J655" s="38">
        <v>342</v>
      </c>
      <c r="K655" s="38">
        <v>336</v>
      </c>
      <c r="L655" s="50">
        <f t="shared" si="32"/>
        <v>32.941176470588232</v>
      </c>
      <c r="M655" s="38">
        <v>15</v>
      </c>
      <c r="N655" s="50">
        <f t="shared" si="33"/>
        <v>1.4705882352941175</v>
      </c>
      <c r="O655" s="38">
        <v>0</v>
      </c>
      <c r="P655" s="38">
        <v>6.03</v>
      </c>
    </row>
    <row r="656" spans="1:31" x14ac:dyDescent="0.25">
      <c r="A656" s="38" t="s">
        <v>36</v>
      </c>
      <c r="B656" s="38" t="s">
        <v>1349</v>
      </c>
      <c r="C656" s="38" t="s">
        <v>1482</v>
      </c>
      <c r="D656" s="38" t="s">
        <v>1489</v>
      </c>
      <c r="E656" s="38" t="s">
        <v>1490</v>
      </c>
      <c r="F656" s="38">
        <v>834.48</v>
      </c>
      <c r="G656" s="38">
        <v>834.48</v>
      </c>
      <c r="H656" s="38">
        <f t="shared" si="31"/>
        <v>1008</v>
      </c>
      <c r="I656" s="38">
        <v>668</v>
      </c>
      <c r="J656" s="38">
        <v>340</v>
      </c>
      <c r="K656" s="38">
        <v>328</v>
      </c>
      <c r="L656" s="50">
        <f t="shared" si="32"/>
        <v>32.539682539682538</v>
      </c>
      <c r="M656" s="38">
        <v>0</v>
      </c>
      <c r="N656" s="50">
        <f t="shared" si="33"/>
        <v>0</v>
      </c>
      <c r="O656" s="38">
        <v>0</v>
      </c>
      <c r="P656" s="38">
        <v>1.04</v>
      </c>
    </row>
    <row r="657" spans="1:31" x14ac:dyDescent="0.25">
      <c r="A657" s="38" t="s">
        <v>36</v>
      </c>
      <c r="B657" s="38" t="s">
        <v>1349</v>
      </c>
      <c r="C657" s="38" t="s">
        <v>1482</v>
      </c>
      <c r="D657" s="38" t="s">
        <v>1491</v>
      </c>
      <c r="E657" s="38" t="s">
        <v>1492</v>
      </c>
      <c r="F657" s="38">
        <v>332.45</v>
      </c>
      <c r="G657" s="38">
        <v>332.45</v>
      </c>
      <c r="H657" s="38">
        <f t="shared" si="31"/>
        <v>656</v>
      </c>
      <c r="I657" s="38">
        <v>433</v>
      </c>
      <c r="J657" s="38">
        <v>223</v>
      </c>
      <c r="K657" s="38">
        <v>210</v>
      </c>
      <c r="L657" s="50">
        <f t="shared" si="32"/>
        <v>32.012195121951223</v>
      </c>
      <c r="M657" s="38">
        <v>0</v>
      </c>
      <c r="N657" s="50">
        <f t="shared" si="33"/>
        <v>0</v>
      </c>
      <c r="O657" s="38">
        <v>0</v>
      </c>
      <c r="P657" s="38">
        <v>0</v>
      </c>
    </row>
    <row r="658" spans="1:31" x14ac:dyDescent="0.25">
      <c r="A658" s="38" t="s">
        <v>36</v>
      </c>
      <c r="B658" s="38" t="s">
        <v>1349</v>
      </c>
      <c r="C658" s="38" t="s">
        <v>1482</v>
      </c>
      <c r="D658" s="38" t="s">
        <v>1493</v>
      </c>
      <c r="E658" s="38" t="s">
        <v>1494</v>
      </c>
      <c r="F658" s="38">
        <v>501.36</v>
      </c>
      <c r="G658" s="38">
        <v>501.36</v>
      </c>
      <c r="H658" s="38">
        <f t="shared" si="31"/>
        <v>597</v>
      </c>
      <c r="I658" s="38">
        <v>388</v>
      </c>
      <c r="J658" s="38">
        <v>209</v>
      </c>
      <c r="K658" s="38">
        <v>179</v>
      </c>
      <c r="L658" s="50">
        <f t="shared" si="32"/>
        <v>29.98324958123953</v>
      </c>
      <c r="M658" s="38">
        <v>22</v>
      </c>
      <c r="N658" s="50">
        <f t="shared" si="33"/>
        <v>3.6850921273031827</v>
      </c>
      <c r="O658" s="38">
        <v>0</v>
      </c>
      <c r="P658" s="38">
        <v>0</v>
      </c>
    </row>
    <row r="659" spans="1:31" x14ac:dyDescent="0.25">
      <c r="A659" s="38" t="s">
        <v>36</v>
      </c>
      <c r="B659" s="38" t="s">
        <v>1349</v>
      </c>
      <c r="C659" s="38" t="s">
        <v>1495</v>
      </c>
      <c r="D659" s="38" t="s">
        <v>1496</v>
      </c>
      <c r="E659" s="38" t="s">
        <v>1497</v>
      </c>
      <c r="F659" s="38">
        <v>1876.26</v>
      </c>
      <c r="G659" s="38">
        <v>1876.26</v>
      </c>
      <c r="H659" s="38">
        <f t="shared" si="31"/>
        <v>3164</v>
      </c>
      <c r="I659" s="38">
        <v>1889</v>
      </c>
      <c r="J659" s="38">
        <v>1275</v>
      </c>
      <c r="K659" s="38">
        <v>614</v>
      </c>
      <c r="L659" s="50">
        <f t="shared" si="32"/>
        <v>19.405815423514539</v>
      </c>
      <c r="M659" s="38">
        <v>33</v>
      </c>
      <c r="N659" s="50">
        <f t="shared" si="33"/>
        <v>1.0429835651074588</v>
      </c>
      <c r="O659" s="38">
        <v>0</v>
      </c>
      <c r="P659" s="38">
        <v>219.83</v>
      </c>
      <c r="Q659" s="34" t="s">
        <v>43</v>
      </c>
      <c r="R659" s="28">
        <v>44566</v>
      </c>
      <c r="S659" s="34"/>
      <c r="T659" s="34">
        <v>220</v>
      </c>
      <c r="U659" s="34"/>
      <c r="V659" s="34"/>
      <c r="W659" s="34"/>
      <c r="X659" s="34"/>
      <c r="Y659" s="34"/>
      <c r="Z659" s="109"/>
      <c r="AB659" s="109">
        <v>3</v>
      </c>
      <c r="AC659" s="34" t="s">
        <v>1498</v>
      </c>
      <c r="AD659" s="34">
        <v>25.822666000000002</v>
      </c>
      <c r="AE659" s="34">
        <v>71.399825000000007</v>
      </c>
    </row>
    <row r="660" spans="1:31" x14ac:dyDescent="0.25">
      <c r="A660" s="38" t="s">
        <v>36</v>
      </c>
      <c r="B660" s="38" t="s">
        <v>1349</v>
      </c>
      <c r="C660" s="38" t="s">
        <v>1495</v>
      </c>
      <c r="D660" s="38" t="s">
        <v>1499</v>
      </c>
      <c r="E660" s="38" t="s">
        <v>1500</v>
      </c>
      <c r="F660" s="38">
        <v>664.58</v>
      </c>
      <c r="G660" s="38">
        <v>664.58</v>
      </c>
      <c r="H660" s="38">
        <f t="shared" si="31"/>
        <v>1182</v>
      </c>
      <c r="I660" s="38">
        <v>771</v>
      </c>
      <c r="J660" s="38">
        <v>411</v>
      </c>
      <c r="K660" s="38">
        <v>360</v>
      </c>
      <c r="L660" s="50">
        <f t="shared" si="32"/>
        <v>30.456852791878177</v>
      </c>
      <c r="M660" s="38">
        <v>34</v>
      </c>
      <c r="N660" s="50">
        <f t="shared" si="33"/>
        <v>2.8764805414551606</v>
      </c>
      <c r="O660" s="38">
        <v>0</v>
      </c>
      <c r="P660" s="38">
        <v>32.85</v>
      </c>
      <c r="Q660" s="98" t="s">
        <v>160</v>
      </c>
      <c r="R660" s="7">
        <v>44566</v>
      </c>
      <c r="S660" s="99"/>
      <c r="T660" s="98">
        <v>33</v>
      </c>
      <c r="U660" s="98"/>
      <c r="V660" s="98"/>
      <c r="W660" s="98"/>
      <c r="X660" s="98"/>
      <c r="Y660" s="98"/>
      <c r="Z660" s="20"/>
      <c r="AB660" s="20"/>
      <c r="AC660" s="11" t="s">
        <v>1501</v>
      </c>
      <c r="AD660" s="61"/>
      <c r="AE660" s="99"/>
    </row>
    <row r="661" spans="1:31" x14ac:dyDescent="0.25">
      <c r="A661" s="38" t="s">
        <v>36</v>
      </c>
      <c r="B661" s="38" t="s">
        <v>1349</v>
      </c>
      <c r="C661" s="38" t="s">
        <v>1502</v>
      </c>
      <c r="D661" s="38" t="s">
        <v>1503</v>
      </c>
      <c r="E661" s="38" t="s">
        <v>1504</v>
      </c>
      <c r="F661" s="38">
        <v>3822</v>
      </c>
      <c r="G661" s="38">
        <v>3822</v>
      </c>
      <c r="H661" s="38">
        <f t="shared" si="31"/>
        <v>3339</v>
      </c>
      <c r="I661" s="38">
        <v>2187</v>
      </c>
      <c r="J661" s="38">
        <v>1152</v>
      </c>
      <c r="K661" s="38">
        <v>1035</v>
      </c>
      <c r="L661" s="50">
        <f t="shared" si="32"/>
        <v>30.997304582210244</v>
      </c>
      <c r="M661" s="38">
        <v>17</v>
      </c>
      <c r="N661" s="50">
        <f t="shared" si="33"/>
        <v>0.50913447139862233</v>
      </c>
      <c r="O661" s="38">
        <v>0</v>
      </c>
      <c r="P661" s="38">
        <v>18</v>
      </c>
      <c r="Q661" s="39" t="s">
        <v>44</v>
      </c>
      <c r="R661" s="25">
        <v>45567</v>
      </c>
      <c r="S661" s="40"/>
      <c r="T661" s="39">
        <v>5.3257000000000003</v>
      </c>
      <c r="U661" s="39"/>
      <c r="V661" s="39"/>
      <c r="W661" s="39"/>
      <c r="X661" s="39"/>
      <c r="Y661" s="39"/>
      <c r="Z661" s="3"/>
      <c r="AB661" s="3"/>
      <c r="AC661" s="42" t="s">
        <v>1503</v>
      </c>
      <c r="AD661" s="2"/>
      <c r="AE661" s="40"/>
    </row>
    <row r="662" spans="1:31" x14ac:dyDescent="0.25">
      <c r="A662" s="38" t="s">
        <v>36</v>
      </c>
      <c r="B662" s="38" t="s">
        <v>1349</v>
      </c>
      <c r="C662" s="38" t="s">
        <v>1502</v>
      </c>
      <c r="D662" s="38" t="s">
        <v>1505</v>
      </c>
      <c r="E662" s="38" t="s">
        <v>1506</v>
      </c>
      <c r="F662" s="38">
        <v>910.25</v>
      </c>
      <c r="G662" s="38">
        <v>910.25</v>
      </c>
      <c r="H662" s="38">
        <f t="shared" si="31"/>
        <v>76</v>
      </c>
      <c r="I662" s="38">
        <v>49</v>
      </c>
      <c r="J662" s="38">
        <v>27</v>
      </c>
      <c r="K662" s="38">
        <v>22</v>
      </c>
      <c r="L662" s="50">
        <f t="shared" si="32"/>
        <v>28.947368421052634</v>
      </c>
      <c r="M662" s="38">
        <v>0</v>
      </c>
      <c r="N662" s="50">
        <f t="shared" si="33"/>
        <v>0</v>
      </c>
      <c r="O662" s="38">
        <v>0</v>
      </c>
      <c r="P662" s="38">
        <v>134.55000000000001</v>
      </c>
      <c r="Q662" s="39" t="s">
        <v>44</v>
      </c>
      <c r="R662" s="25">
        <v>45567</v>
      </c>
      <c r="S662" s="40"/>
      <c r="T662" s="39">
        <v>4.8599999999999997E-2</v>
      </c>
      <c r="U662" s="39"/>
      <c r="V662" s="39"/>
      <c r="W662" s="39"/>
      <c r="X662" s="39"/>
      <c r="Y662" s="39"/>
      <c r="Z662" s="3"/>
      <c r="AB662" s="3"/>
      <c r="AC662" s="42" t="s">
        <v>1505</v>
      </c>
      <c r="AD662" s="2"/>
      <c r="AE662" s="40"/>
    </row>
    <row r="663" spans="1:31" x14ac:dyDescent="0.25">
      <c r="A663" s="38" t="s">
        <v>36</v>
      </c>
      <c r="B663" s="38" t="s">
        <v>1349</v>
      </c>
      <c r="C663" s="38" t="s">
        <v>1502</v>
      </c>
      <c r="D663" s="38" t="s">
        <v>1507</v>
      </c>
      <c r="E663" s="38" t="s">
        <v>1508</v>
      </c>
      <c r="F663" s="38">
        <v>2776.43</v>
      </c>
      <c r="G663" s="38">
        <v>2776.43</v>
      </c>
      <c r="H663" s="38">
        <f t="shared" si="31"/>
        <v>3427</v>
      </c>
      <c r="I663" s="38">
        <v>2254</v>
      </c>
      <c r="J663" s="38">
        <v>1173</v>
      </c>
      <c r="K663" s="38">
        <v>1081</v>
      </c>
      <c r="L663" s="50">
        <f t="shared" si="32"/>
        <v>31.543624161073826</v>
      </c>
      <c r="M663" s="38">
        <v>230</v>
      </c>
      <c r="N663" s="50">
        <f t="shared" si="33"/>
        <v>6.7114093959731544</v>
      </c>
      <c r="O663" s="38">
        <v>0</v>
      </c>
      <c r="P663" s="38">
        <v>293.14999999999998</v>
      </c>
      <c r="Q663" s="39" t="s">
        <v>44</v>
      </c>
      <c r="R663" s="25">
        <v>45567</v>
      </c>
      <c r="S663" s="40"/>
      <c r="T663" s="39">
        <v>194.62</v>
      </c>
      <c r="U663" s="39"/>
      <c r="V663" s="39"/>
      <c r="W663" s="39"/>
      <c r="X663" s="39"/>
      <c r="Y663" s="39"/>
      <c r="Z663" s="3"/>
      <c r="AB663" s="3"/>
      <c r="AC663" s="42" t="s">
        <v>1507</v>
      </c>
      <c r="AD663" s="2">
        <v>25.9781373</v>
      </c>
      <c r="AE663" s="40">
        <v>71.344593099999997</v>
      </c>
    </row>
    <row r="664" spans="1:31" x14ac:dyDescent="0.25">
      <c r="A664" s="38" t="s">
        <v>36</v>
      </c>
      <c r="B664" s="38" t="s">
        <v>1349</v>
      </c>
      <c r="C664" s="38" t="s">
        <v>1502</v>
      </c>
      <c r="D664" s="60" t="s">
        <v>1509</v>
      </c>
      <c r="E664" s="38"/>
      <c r="F664" s="38"/>
      <c r="G664" s="38"/>
      <c r="H664" s="38">
        <f t="shared" si="31"/>
        <v>0</v>
      </c>
      <c r="I664" s="38"/>
      <c r="J664" s="38"/>
      <c r="K664" s="38"/>
      <c r="L664" s="50"/>
      <c r="M664" s="38"/>
      <c r="N664" s="50"/>
      <c r="O664" s="38"/>
      <c r="P664" s="38"/>
      <c r="Q664" s="39" t="s">
        <v>44</v>
      </c>
      <c r="R664" s="25">
        <v>45567</v>
      </c>
      <c r="S664" s="40"/>
      <c r="T664" s="39">
        <v>8.2879000000000005</v>
      </c>
      <c r="U664" s="39"/>
      <c r="V664" s="39"/>
      <c r="W664" s="39"/>
      <c r="X664" s="39"/>
      <c r="Y664" s="39"/>
      <c r="Z664" s="3"/>
      <c r="AB664" s="3"/>
      <c r="AC664" s="60" t="s">
        <v>1509</v>
      </c>
      <c r="AD664" s="2"/>
      <c r="AE664" s="40"/>
    </row>
    <row r="665" spans="1:31" x14ac:dyDescent="0.25">
      <c r="A665" s="38" t="s">
        <v>36</v>
      </c>
      <c r="B665" s="38" t="s">
        <v>1349</v>
      </c>
      <c r="C665" s="38" t="s">
        <v>1510</v>
      </c>
      <c r="D665" s="38" t="s">
        <v>1510</v>
      </c>
      <c r="E665" s="38" t="s">
        <v>1511</v>
      </c>
      <c r="F665" s="38">
        <v>1911</v>
      </c>
      <c r="G665" s="38">
        <v>1911</v>
      </c>
      <c r="H665" s="38">
        <f t="shared" si="31"/>
        <v>2629</v>
      </c>
      <c r="I665" s="38">
        <v>1716</v>
      </c>
      <c r="J665" s="38">
        <v>913</v>
      </c>
      <c r="K665" s="38">
        <v>803</v>
      </c>
      <c r="L665" s="50">
        <f t="shared" si="32"/>
        <v>30.543933054393307</v>
      </c>
      <c r="M665" s="38">
        <v>58</v>
      </c>
      <c r="N665" s="50">
        <f t="shared" si="33"/>
        <v>2.2061620387980221</v>
      </c>
      <c r="O665" s="38">
        <v>0</v>
      </c>
      <c r="P665" s="38">
        <v>14</v>
      </c>
      <c r="Q665" s="98" t="s">
        <v>160</v>
      </c>
      <c r="R665" s="7">
        <v>44568</v>
      </c>
      <c r="S665" s="99"/>
      <c r="T665" s="98">
        <v>14</v>
      </c>
      <c r="U665" s="98"/>
      <c r="V665" s="98"/>
      <c r="W665" s="98"/>
      <c r="X665" s="98"/>
      <c r="Y665" s="98"/>
      <c r="Z665" s="20"/>
      <c r="AB665" s="20"/>
      <c r="AC665" s="11" t="s">
        <v>1512</v>
      </c>
      <c r="AD665" s="61"/>
      <c r="AE665" s="99"/>
    </row>
    <row r="666" spans="1:31" x14ac:dyDescent="0.25">
      <c r="A666" s="38" t="s">
        <v>36</v>
      </c>
      <c r="B666" s="38" t="s">
        <v>1349</v>
      </c>
      <c r="C666" s="38" t="s">
        <v>1510</v>
      </c>
      <c r="D666" s="38" t="s">
        <v>1513</v>
      </c>
      <c r="E666" s="38" t="s">
        <v>1514</v>
      </c>
      <c r="F666" s="38">
        <v>466</v>
      </c>
      <c r="G666" s="38">
        <v>466</v>
      </c>
      <c r="H666" s="38">
        <f t="shared" si="31"/>
        <v>555</v>
      </c>
      <c r="I666" s="38">
        <v>373</v>
      </c>
      <c r="J666" s="38">
        <v>182</v>
      </c>
      <c r="K666" s="38">
        <v>191</v>
      </c>
      <c r="L666" s="50">
        <f t="shared" si="32"/>
        <v>34.414414414414409</v>
      </c>
      <c r="M666" s="38">
        <v>0</v>
      </c>
      <c r="N666" s="50">
        <f t="shared" si="33"/>
        <v>0</v>
      </c>
      <c r="O666" s="38">
        <v>0</v>
      </c>
      <c r="P666" s="38">
        <v>0</v>
      </c>
    </row>
    <row r="667" spans="1:31" x14ac:dyDescent="0.25">
      <c r="A667" s="38" t="s">
        <v>36</v>
      </c>
      <c r="B667" s="38" t="s">
        <v>1349</v>
      </c>
      <c r="C667" s="38" t="s">
        <v>1510</v>
      </c>
      <c r="D667" s="38" t="s">
        <v>1515</v>
      </c>
      <c r="E667" s="38" t="s">
        <v>1516</v>
      </c>
      <c r="F667" s="38">
        <v>516</v>
      </c>
      <c r="G667" s="38">
        <v>516</v>
      </c>
      <c r="H667" s="38">
        <f t="shared" si="31"/>
        <v>742</v>
      </c>
      <c r="I667" s="38">
        <v>492</v>
      </c>
      <c r="J667" s="38">
        <v>250</v>
      </c>
      <c r="K667" s="38">
        <v>242</v>
      </c>
      <c r="L667" s="50">
        <f t="shared" si="32"/>
        <v>32.614555256064691</v>
      </c>
      <c r="M667" s="38">
        <v>19</v>
      </c>
      <c r="N667" s="50">
        <f t="shared" si="33"/>
        <v>2.5606469002695418</v>
      </c>
      <c r="O667" s="38">
        <v>0</v>
      </c>
      <c r="P667" s="38">
        <v>0</v>
      </c>
    </row>
    <row r="668" spans="1:31" x14ac:dyDescent="0.25">
      <c r="A668" s="38" t="s">
        <v>36</v>
      </c>
      <c r="B668" s="38" t="s">
        <v>1349</v>
      </c>
      <c r="C668" s="38" t="s">
        <v>1517</v>
      </c>
      <c r="D668" s="38" t="s">
        <v>1518</v>
      </c>
      <c r="E668" s="38" t="s">
        <v>1519</v>
      </c>
      <c r="F668" s="38">
        <v>443</v>
      </c>
      <c r="G668" s="38">
        <v>443</v>
      </c>
      <c r="H668" s="38">
        <f t="shared" si="31"/>
        <v>3652</v>
      </c>
      <c r="I668" s="38">
        <v>2401</v>
      </c>
      <c r="J668" s="38">
        <v>1251</v>
      </c>
      <c r="K668" s="38">
        <v>1150</v>
      </c>
      <c r="L668" s="50">
        <f t="shared" si="32"/>
        <v>31.489594742606791</v>
      </c>
      <c r="M668" s="38">
        <v>212</v>
      </c>
      <c r="N668" s="50">
        <f t="shared" si="33"/>
        <v>5.8050383351588168</v>
      </c>
      <c r="O668" s="38">
        <v>0</v>
      </c>
      <c r="P668" s="38">
        <v>0</v>
      </c>
      <c r="Q668" s="39" t="s">
        <v>44</v>
      </c>
      <c r="R668" s="25">
        <v>44545</v>
      </c>
      <c r="S668" s="40"/>
      <c r="T668" s="39">
        <v>0</v>
      </c>
      <c r="U668" s="39"/>
      <c r="V668" s="39"/>
      <c r="W668" s="39"/>
      <c r="X668" s="39"/>
      <c r="Y668" s="39"/>
      <c r="Z668" s="3"/>
      <c r="AB668" s="3"/>
      <c r="AC668" s="42" t="s">
        <v>1520</v>
      </c>
      <c r="AD668" s="2"/>
      <c r="AE668" s="40"/>
    </row>
    <row r="669" spans="1:31" x14ac:dyDescent="0.25">
      <c r="A669" s="38" t="s">
        <v>36</v>
      </c>
      <c r="B669" s="38" t="s">
        <v>1349</v>
      </c>
      <c r="C669" s="38" t="s">
        <v>1517</v>
      </c>
      <c r="D669" s="38" t="s">
        <v>1521</v>
      </c>
      <c r="E669" s="38" t="s">
        <v>1522</v>
      </c>
      <c r="F669" s="38">
        <v>302</v>
      </c>
      <c r="G669" s="38">
        <v>302</v>
      </c>
      <c r="H669" s="38">
        <f t="shared" si="31"/>
        <v>1274</v>
      </c>
      <c r="I669" s="38">
        <v>845</v>
      </c>
      <c r="J669" s="38">
        <v>429</v>
      </c>
      <c r="K669" s="38">
        <v>416</v>
      </c>
      <c r="L669" s="50">
        <f t="shared" si="32"/>
        <v>32.653061224489797</v>
      </c>
      <c r="M669" s="38">
        <v>4</v>
      </c>
      <c r="N669" s="50">
        <f t="shared" si="33"/>
        <v>0.31397174254317112</v>
      </c>
      <c r="O669" s="38">
        <v>0</v>
      </c>
      <c r="P669" s="38">
        <v>0</v>
      </c>
      <c r="Q669" s="39" t="s">
        <v>44</v>
      </c>
      <c r="R669" s="25">
        <v>44545</v>
      </c>
      <c r="S669" s="40"/>
      <c r="T669" s="39">
        <v>0</v>
      </c>
      <c r="U669" s="39"/>
      <c r="V669" s="39"/>
      <c r="W669" s="39"/>
      <c r="X669" s="39"/>
      <c r="Y669" s="39"/>
      <c r="Z669" s="3"/>
      <c r="AB669" s="3"/>
      <c r="AC669" s="42" t="s">
        <v>1523</v>
      </c>
      <c r="AD669" s="2"/>
      <c r="AE669" s="40"/>
    </row>
    <row r="670" spans="1:31" x14ac:dyDescent="0.25">
      <c r="A670" s="38" t="s">
        <v>36</v>
      </c>
      <c r="B670" s="38" t="s">
        <v>1349</v>
      </c>
      <c r="C670" s="38" t="s">
        <v>1524</v>
      </c>
      <c r="D670" s="38" t="s">
        <v>1524</v>
      </c>
      <c r="E670" s="38" t="s">
        <v>1525</v>
      </c>
      <c r="F670" s="38">
        <v>1071.8900000000001</v>
      </c>
      <c r="G670" s="38">
        <v>1071.8900000000001</v>
      </c>
      <c r="H670" s="38">
        <f t="shared" si="31"/>
        <v>861</v>
      </c>
      <c r="I670" s="38">
        <v>561</v>
      </c>
      <c r="J670" s="38">
        <v>300</v>
      </c>
      <c r="K670" s="38">
        <v>261</v>
      </c>
      <c r="L670" s="50">
        <f t="shared" si="32"/>
        <v>30.313588850174217</v>
      </c>
      <c r="M670" s="38">
        <v>30</v>
      </c>
      <c r="N670" s="50">
        <f t="shared" si="33"/>
        <v>3.484320557491289</v>
      </c>
      <c r="O670" s="38">
        <v>0</v>
      </c>
      <c r="P670" s="38">
        <v>0</v>
      </c>
      <c r="Q670" s="39" t="s">
        <v>44</v>
      </c>
      <c r="R670" s="25">
        <v>44511</v>
      </c>
      <c r="S670" s="40"/>
      <c r="T670" s="39">
        <v>0</v>
      </c>
      <c r="U670" s="39"/>
      <c r="V670" s="39"/>
      <c r="W670" s="39"/>
      <c r="X670" s="39"/>
      <c r="Y670" s="39"/>
      <c r="Z670" s="3"/>
      <c r="AB670" s="3"/>
      <c r="AC670" s="42" t="s">
        <v>1524</v>
      </c>
      <c r="AD670" s="2"/>
      <c r="AE670" s="40"/>
    </row>
    <row r="671" spans="1:31" x14ac:dyDescent="0.25">
      <c r="A671" s="38" t="s">
        <v>36</v>
      </c>
      <c r="B671" s="38" t="s">
        <v>1349</v>
      </c>
      <c r="C671" s="38" t="s">
        <v>1524</v>
      </c>
      <c r="D671" s="38" t="s">
        <v>1526</v>
      </c>
      <c r="E671" s="38" t="s">
        <v>1527</v>
      </c>
      <c r="F671" s="38">
        <v>618.77</v>
      </c>
      <c r="G671" s="38">
        <v>618.77</v>
      </c>
      <c r="H671" s="38">
        <f t="shared" si="31"/>
        <v>753</v>
      </c>
      <c r="I671" s="38">
        <v>495</v>
      </c>
      <c r="J671" s="38">
        <v>258</v>
      </c>
      <c r="K671" s="38">
        <v>237</v>
      </c>
      <c r="L671" s="50">
        <f t="shared" si="32"/>
        <v>31.474103585657371</v>
      </c>
      <c r="M671" s="38">
        <v>26</v>
      </c>
      <c r="N671" s="50">
        <f t="shared" si="33"/>
        <v>3.4528552456839305</v>
      </c>
      <c r="O671" s="38">
        <v>0</v>
      </c>
      <c r="P671" s="38">
        <v>0</v>
      </c>
      <c r="Q671" s="39" t="s">
        <v>44</v>
      </c>
      <c r="R671" s="25">
        <v>44511</v>
      </c>
      <c r="S671" s="40"/>
      <c r="T671" s="39">
        <v>0</v>
      </c>
      <c r="U671" s="39"/>
      <c r="V671" s="39"/>
      <c r="W671" s="39"/>
      <c r="X671" s="39"/>
      <c r="Y671" s="39"/>
      <c r="Z671" s="3"/>
      <c r="AB671" s="3"/>
      <c r="AC671" s="42" t="s">
        <v>1526</v>
      </c>
      <c r="AD671" s="2"/>
      <c r="AE671" s="40"/>
    </row>
    <row r="672" spans="1:31" x14ac:dyDescent="0.25">
      <c r="A672" s="38" t="s">
        <v>36</v>
      </c>
      <c r="B672" s="38" t="s">
        <v>1349</v>
      </c>
      <c r="C672" s="38" t="s">
        <v>1524</v>
      </c>
      <c r="D672" s="38" t="s">
        <v>1528</v>
      </c>
      <c r="E672" s="38" t="s">
        <v>1529</v>
      </c>
      <c r="F672" s="38">
        <v>986.29</v>
      </c>
      <c r="G672" s="38">
        <v>986.29</v>
      </c>
      <c r="H672" s="38">
        <f t="shared" si="31"/>
        <v>1321</v>
      </c>
      <c r="I672" s="38">
        <v>866</v>
      </c>
      <c r="J672" s="38">
        <v>455</v>
      </c>
      <c r="K672" s="38">
        <v>411</v>
      </c>
      <c r="L672" s="50">
        <f t="shared" si="32"/>
        <v>31.112793338380012</v>
      </c>
      <c r="M672" s="38">
        <v>68</v>
      </c>
      <c r="N672" s="50">
        <f t="shared" si="33"/>
        <v>5.1476154428463285</v>
      </c>
      <c r="O672" s="38">
        <v>0</v>
      </c>
      <c r="P672" s="38">
        <v>0</v>
      </c>
      <c r="Q672" s="39" t="s">
        <v>44</v>
      </c>
      <c r="R672" s="25">
        <v>44511</v>
      </c>
      <c r="S672" s="40"/>
      <c r="T672" s="39">
        <v>0</v>
      </c>
      <c r="U672" s="39"/>
      <c r="V672" s="39"/>
      <c r="W672" s="39"/>
      <c r="X672" s="39"/>
      <c r="Y672" s="39"/>
      <c r="Z672" s="3"/>
      <c r="AB672" s="3"/>
      <c r="AC672" s="42" t="s">
        <v>1528</v>
      </c>
      <c r="AD672" s="2"/>
      <c r="AE672" s="40"/>
    </row>
    <row r="673" spans="1:31" x14ac:dyDescent="0.25">
      <c r="A673" s="38" t="s">
        <v>36</v>
      </c>
      <c r="B673" s="38" t="s">
        <v>1349</v>
      </c>
      <c r="C673" s="38" t="s">
        <v>1524</v>
      </c>
      <c r="D673" s="38" t="s">
        <v>1530</v>
      </c>
      <c r="E673" s="38" t="s">
        <v>1531</v>
      </c>
      <c r="F673" s="38">
        <v>498.83</v>
      </c>
      <c r="G673" s="38">
        <v>498.83</v>
      </c>
      <c r="H673" s="38">
        <f t="shared" si="31"/>
        <v>577</v>
      </c>
      <c r="I673" s="38">
        <v>381</v>
      </c>
      <c r="J673" s="38">
        <v>196</v>
      </c>
      <c r="K673" s="38">
        <v>185</v>
      </c>
      <c r="L673" s="50">
        <f t="shared" si="32"/>
        <v>32.06239168110919</v>
      </c>
      <c r="M673" s="38">
        <v>0</v>
      </c>
      <c r="N673" s="50">
        <f t="shared" si="33"/>
        <v>0</v>
      </c>
      <c r="O673" s="38">
        <v>0</v>
      </c>
      <c r="P673" s="38">
        <v>0</v>
      </c>
      <c r="Q673" s="39" t="s">
        <v>44</v>
      </c>
      <c r="R673" s="25">
        <v>44511</v>
      </c>
      <c r="S673" s="40"/>
      <c r="T673" s="39">
        <v>0</v>
      </c>
      <c r="U673" s="39"/>
      <c r="V673" s="39"/>
      <c r="W673" s="39"/>
      <c r="X673" s="39"/>
      <c r="Y673" s="39"/>
      <c r="Z673" s="3"/>
      <c r="AB673" s="3"/>
      <c r="AC673" s="42" t="s">
        <v>1530</v>
      </c>
      <c r="AD673" s="2"/>
      <c r="AE673" s="40"/>
    </row>
    <row r="674" spans="1:31" x14ac:dyDescent="0.25">
      <c r="A674" s="38" t="s">
        <v>36</v>
      </c>
      <c r="B674" s="38" t="s">
        <v>1349</v>
      </c>
      <c r="C674" s="38" t="s">
        <v>1524</v>
      </c>
      <c r="D674" s="38" t="s">
        <v>1532</v>
      </c>
      <c r="E674" s="38" t="s">
        <v>1533</v>
      </c>
      <c r="F674" s="38">
        <v>1461.56</v>
      </c>
      <c r="G674" s="38">
        <v>1461.56</v>
      </c>
      <c r="H674" s="38">
        <f t="shared" si="31"/>
        <v>1039</v>
      </c>
      <c r="I674" s="38">
        <v>682</v>
      </c>
      <c r="J674" s="38">
        <v>357</v>
      </c>
      <c r="K674" s="38">
        <v>325</v>
      </c>
      <c r="L674" s="50">
        <f t="shared" si="32"/>
        <v>31.280076997112609</v>
      </c>
      <c r="M674" s="38">
        <v>7</v>
      </c>
      <c r="N674" s="50">
        <f t="shared" si="33"/>
        <v>0.67372473532242538</v>
      </c>
      <c r="O674" s="38">
        <v>0</v>
      </c>
      <c r="P674" s="38">
        <v>5.1100000000000003</v>
      </c>
      <c r="Q674" s="98" t="s">
        <v>160</v>
      </c>
      <c r="R674" s="7">
        <v>44511</v>
      </c>
      <c r="S674" s="99"/>
      <c r="T674" s="98">
        <v>31.25</v>
      </c>
      <c r="U674" s="98"/>
      <c r="V674" s="98"/>
      <c r="W674" s="98"/>
      <c r="X674" s="98"/>
      <c r="Y674" s="98"/>
      <c r="Z674" s="20"/>
      <c r="AB674" s="20"/>
      <c r="AC674" s="11" t="s">
        <v>1534</v>
      </c>
      <c r="AD674" s="61"/>
      <c r="AE674" s="99"/>
    </row>
    <row r="675" spans="1:31" x14ac:dyDescent="0.25">
      <c r="A675" s="38" t="s">
        <v>36</v>
      </c>
      <c r="B675" s="38" t="s">
        <v>1349</v>
      </c>
      <c r="C675" s="38" t="s">
        <v>1524</v>
      </c>
      <c r="D675" s="38" t="s">
        <v>1535</v>
      </c>
      <c r="E675" s="38" t="s">
        <v>1536</v>
      </c>
      <c r="F675" s="38">
        <v>1024.28</v>
      </c>
      <c r="G675" s="38">
        <v>1024.28</v>
      </c>
      <c r="H675" s="38">
        <f t="shared" si="31"/>
        <v>1534</v>
      </c>
      <c r="I675" s="38">
        <v>993</v>
      </c>
      <c r="J675" s="38">
        <v>541</v>
      </c>
      <c r="K675" s="38">
        <v>452</v>
      </c>
      <c r="L675" s="50">
        <f t="shared" si="32"/>
        <v>29.465449804432854</v>
      </c>
      <c r="M675" s="38">
        <v>0</v>
      </c>
      <c r="N675" s="50">
        <f t="shared" si="33"/>
        <v>0</v>
      </c>
      <c r="O675" s="38">
        <v>0</v>
      </c>
      <c r="P675" s="38">
        <v>2.56</v>
      </c>
      <c r="Q675" s="98" t="s">
        <v>160</v>
      </c>
      <c r="R675" s="7">
        <v>44511</v>
      </c>
      <c r="S675" s="99"/>
      <c r="T675" s="98">
        <v>18.75</v>
      </c>
      <c r="U675" s="98"/>
      <c r="V675" s="98"/>
      <c r="W675" s="98"/>
      <c r="X675" s="98"/>
      <c r="Y675" s="98"/>
      <c r="Z675" s="20"/>
      <c r="AB675" s="20"/>
      <c r="AC675" s="11" t="s">
        <v>1537</v>
      </c>
      <c r="AD675" s="61"/>
      <c r="AE675" s="99"/>
    </row>
    <row r="676" spans="1:31" x14ac:dyDescent="0.25">
      <c r="A676" s="38" t="s">
        <v>36</v>
      </c>
      <c r="B676" s="38" t="s">
        <v>1349</v>
      </c>
      <c r="C676" s="38" t="s">
        <v>1538</v>
      </c>
      <c r="D676" s="38" t="s">
        <v>1539</v>
      </c>
      <c r="E676" s="38" t="s">
        <v>1540</v>
      </c>
      <c r="F676" s="38">
        <v>1466</v>
      </c>
      <c r="G676" s="38">
        <v>1466</v>
      </c>
      <c r="H676" s="38">
        <f t="shared" si="31"/>
        <v>2107</v>
      </c>
      <c r="I676" s="38">
        <v>1392</v>
      </c>
      <c r="J676" s="38">
        <v>715</v>
      </c>
      <c r="K676" s="38">
        <v>677</v>
      </c>
      <c r="L676" s="50">
        <f t="shared" si="32"/>
        <v>32.130991931656382</v>
      </c>
      <c r="M676" s="38">
        <v>129</v>
      </c>
      <c r="N676" s="50">
        <f t="shared" si="33"/>
        <v>6.1224489795918364</v>
      </c>
      <c r="O676" s="38">
        <v>0</v>
      </c>
      <c r="P676" s="38">
        <v>9</v>
      </c>
      <c r="Q676" s="98" t="s">
        <v>160</v>
      </c>
      <c r="R676" s="10">
        <v>44539</v>
      </c>
      <c r="S676" s="99"/>
      <c r="T676" s="98">
        <v>8.16</v>
      </c>
      <c r="U676" s="98"/>
      <c r="V676" s="98"/>
      <c r="W676" s="98"/>
      <c r="X676" s="98"/>
      <c r="Y676" s="98"/>
      <c r="Z676" s="20"/>
      <c r="AB676" s="20"/>
      <c r="AC676" s="11" t="s">
        <v>1539</v>
      </c>
      <c r="AD676" s="61"/>
      <c r="AE676" s="99"/>
    </row>
    <row r="677" spans="1:31" x14ac:dyDescent="0.25">
      <c r="A677" s="38" t="s">
        <v>36</v>
      </c>
      <c r="B677" s="38" t="s">
        <v>1349</v>
      </c>
      <c r="C677" s="38" t="s">
        <v>1538</v>
      </c>
      <c r="D677" s="38" t="s">
        <v>1541</v>
      </c>
      <c r="E677" s="38" t="s">
        <v>1542</v>
      </c>
      <c r="F677" s="38">
        <v>978</v>
      </c>
      <c r="G677" s="38">
        <v>978</v>
      </c>
      <c r="H677" s="38">
        <f t="shared" si="31"/>
        <v>1342</v>
      </c>
      <c r="I677" s="38">
        <v>883</v>
      </c>
      <c r="J677" s="38">
        <v>459</v>
      </c>
      <c r="K677" s="38">
        <v>424</v>
      </c>
      <c r="L677" s="50">
        <f t="shared" si="32"/>
        <v>31.594634873323397</v>
      </c>
      <c r="M677" s="38">
        <v>125</v>
      </c>
      <c r="N677" s="50">
        <f t="shared" si="33"/>
        <v>9.3144560357675115</v>
      </c>
      <c r="O677" s="38">
        <v>0</v>
      </c>
      <c r="P677" s="38">
        <v>0</v>
      </c>
      <c r="Q677" s="61" t="s">
        <v>43</v>
      </c>
      <c r="R677" s="7">
        <v>44539</v>
      </c>
      <c r="S677" s="61"/>
      <c r="T677" s="61">
        <v>0</v>
      </c>
      <c r="U677" s="61"/>
      <c r="V677" s="61"/>
      <c r="W677" s="61"/>
      <c r="X677" s="61"/>
      <c r="Y677" s="61"/>
      <c r="Z677" s="20"/>
      <c r="AB677" s="20"/>
      <c r="AC677" s="11" t="s">
        <v>1543</v>
      </c>
      <c r="AD677" s="61">
        <v>0</v>
      </c>
      <c r="AE677" s="61"/>
    </row>
    <row r="678" spans="1:31" x14ac:dyDescent="0.25">
      <c r="A678" s="38" t="s">
        <v>36</v>
      </c>
      <c r="B678" s="38" t="s">
        <v>1349</v>
      </c>
      <c r="C678" s="38" t="s">
        <v>1538</v>
      </c>
      <c r="D678" s="38" t="s">
        <v>1544</v>
      </c>
      <c r="E678" s="38" t="s">
        <v>1545</v>
      </c>
      <c r="F678" s="38">
        <v>656</v>
      </c>
      <c r="G678" s="38">
        <v>656</v>
      </c>
      <c r="H678" s="38">
        <f t="shared" si="31"/>
        <v>1019</v>
      </c>
      <c r="I678" s="38">
        <v>673</v>
      </c>
      <c r="J678" s="38">
        <v>346</v>
      </c>
      <c r="K678" s="38">
        <v>327</v>
      </c>
      <c r="L678" s="50">
        <f t="shared" si="32"/>
        <v>32.09028459273798</v>
      </c>
      <c r="M678" s="38">
        <v>9</v>
      </c>
      <c r="N678" s="50">
        <f t="shared" si="33"/>
        <v>0.88321884200196277</v>
      </c>
      <c r="O678" s="38">
        <v>0</v>
      </c>
      <c r="P678" s="38">
        <v>0</v>
      </c>
      <c r="Q678" s="61" t="s">
        <v>43</v>
      </c>
      <c r="R678" s="7">
        <v>44539</v>
      </c>
      <c r="S678" s="61"/>
      <c r="T678" s="61">
        <v>0</v>
      </c>
      <c r="U678" s="61"/>
      <c r="V678" s="61"/>
      <c r="W678" s="61"/>
      <c r="X678" s="61"/>
      <c r="Y678" s="61"/>
      <c r="Z678" s="20"/>
      <c r="AB678" s="20"/>
      <c r="AC678" s="11" t="s">
        <v>1546</v>
      </c>
      <c r="AD678" s="61">
        <v>0</v>
      </c>
      <c r="AE678" s="61"/>
    </row>
    <row r="679" spans="1:31" x14ac:dyDescent="0.25">
      <c r="A679" s="38" t="s">
        <v>36</v>
      </c>
      <c r="B679" s="38" t="s">
        <v>1349</v>
      </c>
      <c r="C679" s="38" t="s">
        <v>1538</v>
      </c>
      <c r="D679" s="38" t="s">
        <v>1547</v>
      </c>
      <c r="E679" s="38" t="s">
        <v>1548</v>
      </c>
      <c r="F679" s="38">
        <v>724</v>
      </c>
      <c r="G679" s="38">
        <v>724</v>
      </c>
      <c r="H679" s="38">
        <f t="shared" si="31"/>
        <v>950</v>
      </c>
      <c r="I679" s="38">
        <v>627</v>
      </c>
      <c r="J679" s="38">
        <v>323</v>
      </c>
      <c r="K679" s="38">
        <v>304</v>
      </c>
      <c r="L679" s="50">
        <f t="shared" si="32"/>
        <v>32</v>
      </c>
      <c r="M679" s="38">
        <v>0</v>
      </c>
      <c r="N679" s="50">
        <f t="shared" si="33"/>
        <v>0</v>
      </c>
      <c r="O679" s="38">
        <v>0</v>
      </c>
      <c r="P679" s="38">
        <v>0</v>
      </c>
      <c r="Q679" s="61" t="s">
        <v>43</v>
      </c>
      <c r="R679" s="7">
        <v>44539</v>
      </c>
      <c r="S679" s="61"/>
      <c r="T679" s="61">
        <v>0</v>
      </c>
      <c r="U679" s="61"/>
      <c r="V679" s="61"/>
      <c r="W679" s="61"/>
      <c r="X679" s="61"/>
      <c r="Y679" s="61"/>
      <c r="Z679" s="20"/>
      <c r="AB679" s="20"/>
      <c r="AC679" s="124" t="s">
        <v>1549</v>
      </c>
      <c r="AD679" s="61">
        <v>0</v>
      </c>
      <c r="AE679" s="61"/>
    </row>
    <row r="680" spans="1:31" x14ac:dyDescent="0.25">
      <c r="A680" s="38" t="s">
        <v>36</v>
      </c>
      <c r="B680" s="38" t="s">
        <v>1349</v>
      </c>
      <c r="C680" s="38" t="s">
        <v>1538</v>
      </c>
      <c r="D680" s="11" t="s">
        <v>1550</v>
      </c>
      <c r="E680" s="38"/>
      <c r="F680" s="38"/>
      <c r="G680" s="38"/>
      <c r="H680" s="38">
        <f t="shared" si="31"/>
        <v>0</v>
      </c>
      <c r="I680" s="38"/>
      <c r="J680" s="38"/>
      <c r="K680" s="38"/>
      <c r="L680" s="50"/>
      <c r="M680" s="38"/>
      <c r="N680" s="50"/>
      <c r="O680" s="38"/>
      <c r="P680" s="38"/>
      <c r="Q680" s="98" t="s">
        <v>160</v>
      </c>
      <c r="R680" s="7">
        <v>44522</v>
      </c>
      <c r="S680" s="99"/>
      <c r="T680" s="98">
        <v>32.799999999999997</v>
      </c>
      <c r="U680" s="98"/>
      <c r="V680" s="98"/>
      <c r="W680" s="98"/>
      <c r="X680" s="98"/>
      <c r="Y680" s="98"/>
      <c r="Z680" s="20"/>
      <c r="AB680" s="20"/>
      <c r="AC680" s="11" t="s">
        <v>1550</v>
      </c>
      <c r="AD680" s="61"/>
      <c r="AE680" s="99"/>
    </row>
    <row r="681" spans="1:31" x14ac:dyDescent="0.25">
      <c r="A681" s="38" t="s">
        <v>36</v>
      </c>
      <c r="B681" s="38" t="s">
        <v>1349</v>
      </c>
      <c r="C681" s="38" t="s">
        <v>1538</v>
      </c>
      <c r="D681" s="60" t="s">
        <v>1436</v>
      </c>
      <c r="E681" s="38"/>
      <c r="F681" s="38"/>
      <c r="G681" s="38"/>
      <c r="H681" s="38">
        <f t="shared" si="31"/>
        <v>0</v>
      </c>
      <c r="I681" s="38"/>
      <c r="J681" s="38"/>
      <c r="K681" s="38"/>
      <c r="L681" s="50"/>
      <c r="M681" s="38"/>
      <c r="N681" s="50"/>
      <c r="O681" s="38"/>
      <c r="P681" s="38"/>
      <c r="Q681" s="39" t="s">
        <v>44</v>
      </c>
      <c r="R681" s="25">
        <v>44522</v>
      </c>
      <c r="S681" s="40"/>
      <c r="T681" s="39">
        <v>99.04</v>
      </c>
      <c r="U681" s="39"/>
      <c r="V681" s="39"/>
      <c r="W681" s="39"/>
      <c r="X681" s="39"/>
      <c r="Y681" s="39"/>
      <c r="Z681" s="3"/>
      <c r="AB681" s="3"/>
      <c r="AC681" s="60" t="s">
        <v>1436</v>
      </c>
      <c r="AD681" s="2">
        <v>0</v>
      </c>
      <c r="AE681" s="40">
        <v>0</v>
      </c>
    </row>
    <row r="682" spans="1:31" x14ac:dyDescent="0.25">
      <c r="A682" s="38" t="s">
        <v>36</v>
      </c>
      <c r="B682" s="38" t="s">
        <v>1349</v>
      </c>
      <c r="C682" s="38" t="s">
        <v>1551</v>
      </c>
      <c r="D682" s="38" t="s">
        <v>1552</v>
      </c>
      <c r="E682" s="38" t="s">
        <v>1553</v>
      </c>
      <c r="F682" s="38">
        <v>1272.24</v>
      </c>
      <c r="G682" s="38">
        <v>1272.24</v>
      </c>
      <c r="H682" s="38">
        <f t="shared" si="31"/>
        <v>1798</v>
      </c>
      <c r="I682" s="38">
        <v>1180</v>
      </c>
      <c r="J682" s="38">
        <v>618</v>
      </c>
      <c r="K682" s="38">
        <v>562</v>
      </c>
      <c r="L682" s="50">
        <f t="shared" si="32"/>
        <v>31.256952169076751</v>
      </c>
      <c r="M682" s="38">
        <v>0</v>
      </c>
      <c r="N682" s="50">
        <f t="shared" si="33"/>
        <v>0</v>
      </c>
      <c r="O682" s="38">
        <v>0</v>
      </c>
      <c r="P682" s="38">
        <v>56.19</v>
      </c>
      <c r="Q682" s="34" t="s">
        <v>43</v>
      </c>
      <c r="R682" s="88">
        <v>44553</v>
      </c>
      <c r="S682" s="34"/>
      <c r="T682" s="34">
        <v>179.09</v>
      </c>
      <c r="U682" s="34"/>
      <c r="V682" s="34"/>
      <c r="W682" s="34"/>
      <c r="X682" s="34"/>
      <c r="Y682" s="34"/>
      <c r="Z682" s="89"/>
      <c r="AB682" s="89"/>
      <c r="AC682" s="34" t="s">
        <v>1554</v>
      </c>
      <c r="AD682" s="34">
        <v>71.470915000000005</v>
      </c>
      <c r="AE682" s="34">
        <v>25.730334500000001</v>
      </c>
    </row>
    <row r="683" spans="1:31" x14ac:dyDescent="0.25">
      <c r="A683" s="38" t="s">
        <v>36</v>
      </c>
      <c r="B683" s="38" t="s">
        <v>1349</v>
      </c>
      <c r="C683" s="38" t="s">
        <v>1551</v>
      </c>
      <c r="D683" s="38" t="s">
        <v>1555</v>
      </c>
      <c r="E683" s="38" t="s">
        <v>1556</v>
      </c>
      <c r="F683" s="38">
        <v>1502.26</v>
      </c>
      <c r="G683" s="38">
        <v>1502.26</v>
      </c>
      <c r="H683" s="38">
        <f t="shared" si="31"/>
        <v>1790</v>
      </c>
      <c r="I683" s="38">
        <v>1171</v>
      </c>
      <c r="J683" s="38">
        <v>619</v>
      </c>
      <c r="K683" s="38">
        <v>552</v>
      </c>
      <c r="L683" s="50">
        <f t="shared" si="32"/>
        <v>30.837988826815643</v>
      </c>
      <c r="M683" s="38">
        <v>0</v>
      </c>
      <c r="N683" s="50">
        <f t="shared" si="33"/>
        <v>0</v>
      </c>
      <c r="O683" s="38">
        <v>0</v>
      </c>
      <c r="P683" s="38">
        <v>32.479999999999997</v>
      </c>
      <c r="Q683" s="34" t="s">
        <v>43</v>
      </c>
      <c r="R683" s="88">
        <v>44553</v>
      </c>
      <c r="S683" s="34"/>
      <c r="T683" s="34">
        <v>194.15</v>
      </c>
      <c r="U683" s="34"/>
      <c r="V683" s="34"/>
      <c r="W683" s="34"/>
      <c r="X683" s="34"/>
      <c r="Y683" s="34"/>
      <c r="Z683" s="89"/>
      <c r="AB683" s="89"/>
      <c r="AC683" s="34" t="s">
        <v>1557</v>
      </c>
      <c r="AD683" s="34">
        <v>71.563771000000003</v>
      </c>
      <c r="AE683" s="34">
        <v>25.662838000000001</v>
      </c>
    </row>
    <row r="684" spans="1:31" x14ac:dyDescent="0.25">
      <c r="A684" s="38" t="s">
        <v>36</v>
      </c>
      <c r="B684" s="38" t="s">
        <v>1349</v>
      </c>
      <c r="C684" s="38" t="s">
        <v>1551</v>
      </c>
      <c r="D684" s="60" t="s">
        <v>1558</v>
      </c>
      <c r="E684" s="38"/>
      <c r="F684" s="38"/>
      <c r="G684" s="38"/>
      <c r="H684" s="38">
        <f t="shared" si="31"/>
        <v>0</v>
      </c>
      <c r="I684" s="38"/>
      <c r="J684" s="38"/>
      <c r="K684" s="38"/>
      <c r="L684" s="50"/>
      <c r="M684" s="38"/>
      <c r="N684" s="50"/>
      <c r="O684" s="38"/>
      <c r="P684" s="38"/>
      <c r="Q684" s="39" t="s">
        <v>44</v>
      </c>
      <c r="R684" s="60" t="s">
        <v>1559</v>
      </c>
      <c r="S684" s="40"/>
      <c r="T684" s="39">
        <v>0</v>
      </c>
      <c r="U684" s="39"/>
      <c r="V684" s="39"/>
      <c r="W684" s="39"/>
      <c r="X684" s="39"/>
      <c r="Y684" s="39"/>
      <c r="Z684" s="3"/>
      <c r="AB684" s="3"/>
      <c r="AC684" s="60" t="s">
        <v>1558</v>
      </c>
      <c r="AD684" s="2"/>
      <c r="AE684" s="40"/>
    </row>
    <row r="685" spans="1:31" x14ac:dyDescent="0.25">
      <c r="A685" s="38" t="s">
        <v>36</v>
      </c>
      <c r="B685" s="38" t="s">
        <v>1349</v>
      </c>
      <c r="C685" s="38" t="s">
        <v>1560</v>
      </c>
      <c r="D685" s="38" t="s">
        <v>1560</v>
      </c>
      <c r="E685" s="38" t="s">
        <v>1561</v>
      </c>
      <c r="F685" s="38">
        <v>1091</v>
      </c>
      <c r="G685" s="38">
        <v>1091</v>
      </c>
      <c r="H685" s="38">
        <f t="shared" si="31"/>
        <v>1444</v>
      </c>
      <c r="I685" s="38">
        <v>955</v>
      </c>
      <c r="J685" s="38">
        <v>489</v>
      </c>
      <c r="K685" s="38">
        <v>466</v>
      </c>
      <c r="L685" s="50">
        <f t="shared" si="32"/>
        <v>32.271468144044327</v>
      </c>
      <c r="M685" s="38">
        <v>0</v>
      </c>
      <c r="N685" s="50">
        <f t="shared" si="33"/>
        <v>0</v>
      </c>
      <c r="O685" s="38">
        <v>0</v>
      </c>
      <c r="P685" s="38">
        <v>250</v>
      </c>
      <c r="Q685" s="34" t="s">
        <v>43</v>
      </c>
      <c r="R685" s="28">
        <v>44558</v>
      </c>
      <c r="S685" s="34"/>
      <c r="T685" s="34">
        <v>226.08</v>
      </c>
      <c r="U685" s="34"/>
      <c r="V685" s="34"/>
      <c r="W685" s="34"/>
      <c r="X685" s="34"/>
      <c r="Y685" s="34"/>
      <c r="Z685" s="109"/>
      <c r="AB685" s="109">
        <v>3</v>
      </c>
      <c r="AC685" s="34" t="s">
        <v>1562</v>
      </c>
      <c r="AD685" s="34">
        <v>25.886794999999999</v>
      </c>
      <c r="AE685" s="34">
        <v>71.401977000000002</v>
      </c>
    </row>
    <row r="686" spans="1:31" x14ac:dyDescent="0.25">
      <c r="A686" s="38" t="s">
        <v>36</v>
      </c>
      <c r="B686" s="38" t="s">
        <v>1349</v>
      </c>
      <c r="C686" s="38" t="s">
        <v>1560</v>
      </c>
      <c r="D686" s="38" t="s">
        <v>1563</v>
      </c>
      <c r="E686" s="38" t="s">
        <v>1564</v>
      </c>
      <c r="F686" s="38">
        <v>405.52</v>
      </c>
      <c r="G686" s="38">
        <v>405.52</v>
      </c>
      <c r="H686" s="38">
        <f t="shared" si="31"/>
        <v>882</v>
      </c>
      <c r="I686" s="38">
        <v>581</v>
      </c>
      <c r="J686" s="38">
        <v>301</v>
      </c>
      <c r="K686" s="38">
        <v>280</v>
      </c>
      <c r="L686" s="50">
        <f t="shared" si="32"/>
        <v>31.746031746031743</v>
      </c>
      <c r="M686" s="38">
        <v>15</v>
      </c>
      <c r="N686" s="50">
        <f t="shared" si="33"/>
        <v>1.7006802721088436</v>
      </c>
      <c r="O686" s="38">
        <v>0</v>
      </c>
      <c r="P686" s="38">
        <v>0</v>
      </c>
    </row>
    <row r="687" spans="1:31" x14ac:dyDescent="0.25">
      <c r="A687" s="38" t="s">
        <v>36</v>
      </c>
      <c r="B687" s="38" t="s">
        <v>1349</v>
      </c>
      <c r="C687" s="38" t="s">
        <v>1560</v>
      </c>
      <c r="D687" s="38" t="s">
        <v>1565</v>
      </c>
      <c r="E687" s="38" t="s">
        <v>1566</v>
      </c>
      <c r="F687" s="38">
        <v>1011</v>
      </c>
      <c r="G687" s="38">
        <v>1011</v>
      </c>
      <c r="H687" s="38">
        <f t="shared" si="31"/>
        <v>1472</v>
      </c>
      <c r="I687" s="38">
        <v>978</v>
      </c>
      <c r="J687" s="38">
        <v>494</v>
      </c>
      <c r="K687" s="38">
        <v>484</v>
      </c>
      <c r="L687" s="50">
        <f t="shared" si="32"/>
        <v>32.880434782608695</v>
      </c>
      <c r="M687" s="38">
        <v>156</v>
      </c>
      <c r="N687" s="50">
        <f t="shared" si="33"/>
        <v>10.597826086956522</v>
      </c>
      <c r="O687" s="38">
        <v>0</v>
      </c>
      <c r="P687" s="38">
        <v>0</v>
      </c>
    </row>
    <row r="688" spans="1:31" x14ac:dyDescent="0.25">
      <c r="A688" s="38" t="s">
        <v>36</v>
      </c>
      <c r="B688" s="38" t="s">
        <v>1349</v>
      </c>
      <c r="C688" s="38" t="s">
        <v>1567</v>
      </c>
      <c r="D688" s="38" t="s">
        <v>1567</v>
      </c>
      <c r="E688" s="38" t="s">
        <v>1568</v>
      </c>
      <c r="F688" s="38">
        <v>843.34</v>
      </c>
      <c r="G688" s="38">
        <v>843.34</v>
      </c>
      <c r="H688" s="38">
        <f t="shared" si="31"/>
        <v>1093</v>
      </c>
      <c r="I688" s="38">
        <v>728</v>
      </c>
      <c r="J688" s="38">
        <v>365</v>
      </c>
      <c r="K688" s="38">
        <v>363</v>
      </c>
      <c r="L688" s="50">
        <f t="shared" si="32"/>
        <v>33.211344922232385</v>
      </c>
      <c r="M688" s="38">
        <v>0</v>
      </c>
      <c r="N688" s="50">
        <f t="shared" si="33"/>
        <v>0</v>
      </c>
      <c r="O688" s="38">
        <v>0</v>
      </c>
      <c r="P688" s="38">
        <v>0</v>
      </c>
    </row>
    <row r="689" spans="1:31" x14ac:dyDescent="0.25">
      <c r="A689" s="38" t="s">
        <v>36</v>
      </c>
      <c r="B689" s="38" t="s">
        <v>1349</v>
      </c>
      <c r="C689" s="38" t="s">
        <v>1567</v>
      </c>
      <c r="D689" s="38" t="s">
        <v>1569</v>
      </c>
      <c r="E689" s="38" t="s">
        <v>1570</v>
      </c>
      <c r="F689" s="38">
        <v>1164.55</v>
      </c>
      <c r="G689" s="38">
        <v>1164.55</v>
      </c>
      <c r="H689" s="38">
        <f t="shared" si="31"/>
        <v>1360</v>
      </c>
      <c r="I689" s="38">
        <v>895</v>
      </c>
      <c r="J689" s="38">
        <v>465</v>
      </c>
      <c r="K689" s="38">
        <v>430</v>
      </c>
      <c r="L689" s="50">
        <f t="shared" si="32"/>
        <v>31.617647058823529</v>
      </c>
      <c r="M689" s="38">
        <v>0</v>
      </c>
      <c r="N689" s="50">
        <f t="shared" si="33"/>
        <v>0</v>
      </c>
      <c r="O689" s="38">
        <v>0</v>
      </c>
      <c r="P689" s="38">
        <v>0</v>
      </c>
    </row>
    <row r="690" spans="1:31" x14ac:dyDescent="0.25">
      <c r="A690" s="38" t="s">
        <v>36</v>
      </c>
      <c r="B690" s="38" t="s">
        <v>1349</v>
      </c>
      <c r="C690" s="38" t="s">
        <v>1567</v>
      </c>
      <c r="D690" s="38" t="s">
        <v>1571</v>
      </c>
      <c r="E690" s="38" t="s">
        <v>1572</v>
      </c>
      <c r="F690" s="38">
        <v>649.35</v>
      </c>
      <c r="G690" s="38">
        <v>649.35</v>
      </c>
      <c r="H690" s="38">
        <f t="shared" si="31"/>
        <v>1005</v>
      </c>
      <c r="I690" s="38">
        <v>657</v>
      </c>
      <c r="J690" s="38">
        <v>348</v>
      </c>
      <c r="K690" s="38">
        <v>309</v>
      </c>
      <c r="L690" s="50">
        <f t="shared" si="32"/>
        <v>30.746268656716421</v>
      </c>
      <c r="M690" s="38">
        <v>33</v>
      </c>
      <c r="N690" s="50">
        <f t="shared" si="33"/>
        <v>3.2835820895522385</v>
      </c>
      <c r="O690" s="38">
        <v>0</v>
      </c>
      <c r="P690" s="38">
        <v>1.01</v>
      </c>
      <c r="Q690" s="98" t="s">
        <v>160</v>
      </c>
      <c r="R690" s="7">
        <v>44520</v>
      </c>
      <c r="S690" s="99"/>
      <c r="T690" s="98">
        <v>0.96</v>
      </c>
      <c r="U690" s="98"/>
      <c r="V690" s="98"/>
      <c r="W690" s="98"/>
      <c r="X690" s="98"/>
      <c r="Y690" s="98"/>
      <c r="Z690" s="20"/>
      <c r="AB690" s="20"/>
      <c r="AC690" s="11" t="s">
        <v>1573</v>
      </c>
      <c r="AD690" s="61"/>
      <c r="AE690" s="99"/>
    </row>
    <row r="691" spans="1:31" x14ac:dyDescent="0.25">
      <c r="A691" s="38" t="s">
        <v>36</v>
      </c>
      <c r="B691" s="38" t="s">
        <v>1349</v>
      </c>
      <c r="C691" s="38" t="s">
        <v>1567</v>
      </c>
      <c r="D691" s="38" t="s">
        <v>1574</v>
      </c>
      <c r="E691" s="38" t="s">
        <v>1575</v>
      </c>
      <c r="F691" s="38">
        <v>767.64</v>
      </c>
      <c r="G691" s="38">
        <v>767.64</v>
      </c>
      <c r="H691" s="38">
        <f t="shared" si="31"/>
        <v>1332</v>
      </c>
      <c r="I691" s="38">
        <v>870</v>
      </c>
      <c r="J691" s="38">
        <v>462</v>
      </c>
      <c r="K691" s="38">
        <v>408</v>
      </c>
      <c r="L691" s="50">
        <f t="shared" si="32"/>
        <v>30.630630630630627</v>
      </c>
      <c r="M691" s="38">
        <v>76</v>
      </c>
      <c r="N691" s="50">
        <f t="shared" si="33"/>
        <v>5.7057057057057055</v>
      </c>
      <c r="O691" s="38">
        <v>0</v>
      </c>
      <c r="P691" s="38">
        <v>0</v>
      </c>
    </row>
    <row r="692" spans="1:31" x14ac:dyDescent="0.25">
      <c r="A692" s="38" t="s">
        <v>36</v>
      </c>
      <c r="B692" s="38" t="s">
        <v>1349</v>
      </c>
      <c r="C692" s="38" t="s">
        <v>1567</v>
      </c>
      <c r="D692" s="11" t="s">
        <v>1576</v>
      </c>
      <c r="E692" s="38"/>
      <c r="F692" s="38"/>
      <c r="G692" s="38"/>
      <c r="H692" s="38">
        <f t="shared" si="31"/>
        <v>0</v>
      </c>
      <c r="I692" s="38"/>
      <c r="J692" s="38"/>
      <c r="K692" s="38"/>
      <c r="L692" s="50"/>
      <c r="M692" s="38"/>
      <c r="N692" s="50"/>
      <c r="O692" s="38"/>
      <c r="P692" s="38"/>
      <c r="Q692" s="61" t="s">
        <v>43</v>
      </c>
      <c r="R692" s="7">
        <v>44520</v>
      </c>
      <c r="S692" s="61"/>
      <c r="T692" s="61">
        <v>0</v>
      </c>
      <c r="U692" s="61"/>
      <c r="V692" s="61"/>
      <c r="W692" s="61"/>
      <c r="X692" s="61"/>
      <c r="Y692" s="61"/>
      <c r="Z692" s="20"/>
      <c r="AB692" s="20"/>
      <c r="AC692" s="11" t="s">
        <v>1576</v>
      </c>
      <c r="AD692" s="61">
        <v>0</v>
      </c>
      <c r="AE692" s="61"/>
    </row>
    <row r="693" spans="1:31" x14ac:dyDescent="0.25">
      <c r="A693" s="38" t="s">
        <v>36</v>
      </c>
      <c r="B693" s="38" t="s">
        <v>1349</v>
      </c>
      <c r="C693" s="38" t="s">
        <v>1577</v>
      </c>
      <c r="D693" s="38" t="s">
        <v>1577</v>
      </c>
      <c r="E693" s="38" t="s">
        <v>1578</v>
      </c>
      <c r="F693" s="38">
        <v>610</v>
      </c>
      <c r="G693" s="38">
        <v>610</v>
      </c>
      <c r="H693" s="38">
        <f t="shared" si="31"/>
        <v>1252</v>
      </c>
      <c r="I693" s="38">
        <v>827</v>
      </c>
      <c r="J693" s="38">
        <v>425</v>
      </c>
      <c r="K693" s="38">
        <v>402</v>
      </c>
      <c r="L693" s="50">
        <f t="shared" si="32"/>
        <v>32.108626198083066</v>
      </c>
      <c r="M693" s="38">
        <v>243</v>
      </c>
      <c r="N693" s="50">
        <f t="shared" si="33"/>
        <v>19.408945686900957</v>
      </c>
      <c r="O693" s="38">
        <v>0</v>
      </c>
      <c r="P693" s="38">
        <v>4</v>
      </c>
      <c r="Q693" s="98" t="s">
        <v>160</v>
      </c>
      <c r="R693" s="10">
        <v>44557</v>
      </c>
      <c r="S693" s="99"/>
      <c r="T693" s="98">
        <v>0.04</v>
      </c>
      <c r="U693" s="98"/>
      <c r="V693" s="98"/>
      <c r="W693" s="98"/>
      <c r="X693" s="98"/>
      <c r="Y693" s="98"/>
      <c r="Z693" s="20"/>
      <c r="AB693" s="20"/>
      <c r="AC693" s="11" t="s">
        <v>1577</v>
      </c>
      <c r="AD693" s="61"/>
      <c r="AE693" s="99"/>
    </row>
    <row r="694" spans="1:31" x14ac:dyDescent="0.25">
      <c r="A694" s="38" t="s">
        <v>36</v>
      </c>
      <c r="B694" s="38" t="s">
        <v>1349</v>
      </c>
      <c r="C694" s="38" t="s">
        <v>1577</v>
      </c>
      <c r="D694" s="38" t="s">
        <v>1579</v>
      </c>
      <c r="E694" s="38" t="s">
        <v>1580</v>
      </c>
      <c r="F694" s="38">
        <v>1199</v>
      </c>
      <c r="G694" s="38">
        <v>1199</v>
      </c>
      <c r="H694" s="38">
        <f t="shared" si="31"/>
        <v>1499</v>
      </c>
      <c r="I694" s="38">
        <v>987</v>
      </c>
      <c r="J694" s="38">
        <v>512</v>
      </c>
      <c r="K694" s="38">
        <v>475</v>
      </c>
      <c r="L694" s="50">
        <f t="shared" si="32"/>
        <v>31.687791861240829</v>
      </c>
      <c r="M694" s="38">
        <v>17</v>
      </c>
      <c r="N694" s="50">
        <f t="shared" si="33"/>
        <v>1.1340893929286191</v>
      </c>
      <c r="O694" s="38">
        <v>0</v>
      </c>
      <c r="P694" s="38">
        <v>4</v>
      </c>
      <c r="Q694" s="98" t="s">
        <v>160</v>
      </c>
      <c r="R694" s="7">
        <v>44557</v>
      </c>
      <c r="S694" s="99"/>
      <c r="T694" s="98">
        <v>6.16</v>
      </c>
      <c r="U694" s="98"/>
      <c r="V694" s="98"/>
      <c r="W694" s="98"/>
      <c r="X694" s="98"/>
      <c r="Y694" s="98"/>
      <c r="Z694" s="20"/>
      <c r="AB694" s="20"/>
      <c r="AC694" s="11" t="s">
        <v>1581</v>
      </c>
      <c r="AD694" s="61"/>
      <c r="AE694" s="99"/>
    </row>
    <row r="695" spans="1:31" x14ac:dyDescent="0.25">
      <c r="A695" s="38" t="s">
        <v>36</v>
      </c>
      <c r="B695" s="38" t="s">
        <v>1349</v>
      </c>
      <c r="C695" s="38" t="s">
        <v>1577</v>
      </c>
      <c r="D695" s="38" t="s">
        <v>1582</v>
      </c>
      <c r="E695" s="38" t="s">
        <v>1583</v>
      </c>
      <c r="F695" s="38">
        <v>984</v>
      </c>
      <c r="G695" s="38">
        <v>984</v>
      </c>
      <c r="H695" s="38">
        <f t="shared" si="31"/>
        <v>1107</v>
      </c>
      <c r="I695" s="38">
        <v>725</v>
      </c>
      <c r="J695" s="38">
        <v>382</v>
      </c>
      <c r="K695" s="38">
        <v>343</v>
      </c>
      <c r="L695" s="50">
        <f t="shared" si="32"/>
        <v>30.984643179765133</v>
      </c>
      <c r="M695" s="38">
        <v>60</v>
      </c>
      <c r="N695" s="50">
        <f t="shared" si="33"/>
        <v>5.4200542005420056</v>
      </c>
      <c r="O695" s="38">
        <v>0</v>
      </c>
      <c r="P695" s="38">
        <v>0</v>
      </c>
      <c r="Q695" s="39" t="s">
        <v>44</v>
      </c>
      <c r="R695" s="25">
        <v>44557</v>
      </c>
      <c r="S695" s="40"/>
      <c r="T695" s="39">
        <v>0</v>
      </c>
      <c r="U695" s="39"/>
      <c r="V695" s="39"/>
      <c r="W695" s="39"/>
      <c r="X695" s="39"/>
      <c r="Y695" s="39"/>
      <c r="Z695" s="3"/>
      <c r="AB695" s="3"/>
      <c r="AC695" s="42" t="s">
        <v>1584</v>
      </c>
      <c r="AD695" s="2"/>
      <c r="AE695" s="40"/>
    </row>
    <row r="696" spans="1:31" x14ac:dyDescent="0.25">
      <c r="A696" s="38" t="s">
        <v>36</v>
      </c>
      <c r="B696" s="38" t="s">
        <v>1349</v>
      </c>
      <c r="C696" s="38" t="s">
        <v>1577</v>
      </c>
      <c r="D696" s="38" t="s">
        <v>1585</v>
      </c>
      <c r="E696" s="38" t="s">
        <v>1586</v>
      </c>
      <c r="F696" s="38">
        <v>868</v>
      </c>
      <c r="G696" s="38">
        <v>868</v>
      </c>
      <c r="H696" s="38">
        <f t="shared" si="31"/>
        <v>1112</v>
      </c>
      <c r="I696" s="38">
        <v>726</v>
      </c>
      <c r="J696" s="38">
        <v>386</v>
      </c>
      <c r="K696" s="38">
        <v>340</v>
      </c>
      <c r="L696" s="50">
        <f t="shared" si="32"/>
        <v>30.575539568345324</v>
      </c>
      <c r="M696" s="38">
        <v>81</v>
      </c>
      <c r="N696" s="50">
        <f t="shared" si="33"/>
        <v>7.2841726618705041</v>
      </c>
      <c r="O696" s="38">
        <v>0</v>
      </c>
      <c r="P696" s="38">
        <v>14</v>
      </c>
      <c r="Q696" s="39" t="s">
        <v>44</v>
      </c>
      <c r="R696" s="25">
        <v>44557</v>
      </c>
      <c r="S696" s="40"/>
      <c r="T696" s="39">
        <v>0</v>
      </c>
      <c r="U696" s="39"/>
      <c r="V696" s="39"/>
      <c r="W696" s="39"/>
      <c r="X696" s="39"/>
      <c r="Y696" s="39"/>
      <c r="Z696" s="3"/>
      <c r="AB696" s="3"/>
      <c r="AC696" s="42" t="s">
        <v>1587</v>
      </c>
      <c r="AD696" s="2"/>
      <c r="AE696" s="40"/>
    </row>
    <row r="697" spans="1:31" x14ac:dyDescent="0.25">
      <c r="A697" s="38" t="s">
        <v>36</v>
      </c>
      <c r="B697" s="38" t="s">
        <v>1349</v>
      </c>
      <c r="C697" s="38" t="s">
        <v>1577</v>
      </c>
      <c r="D697" s="38" t="s">
        <v>233</v>
      </c>
      <c r="E697" s="38" t="s">
        <v>1588</v>
      </c>
      <c r="F697" s="38">
        <v>617</v>
      </c>
      <c r="G697" s="38">
        <v>617</v>
      </c>
      <c r="H697" s="38">
        <f t="shared" si="31"/>
        <v>905</v>
      </c>
      <c r="I697" s="38">
        <v>596</v>
      </c>
      <c r="J697" s="38">
        <v>309</v>
      </c>
      <c r="K697" s="38">
        <v>287</v>
      </c>
      <c r="L697" s="50">
        <f t="shared" si="32"/>
        <v>31.712707182320443</v>
      </c>
      <c r="M697" s="38">
        <v>0</v>
      </c>
      <c r="N697" s="50">
        <f t="shared" si="33"/>
        <v>0</v>
      </c>
      <c r="O697" s="38">
        <v>0</v>
      </c>
      <c r="P697" s="38">
        <v>3</v>
      </c>
      <c r="Q697" s="98" t="s">
        <v>160</v>
      </c>
      <c r="R697" s="7">
        <v>44557</v>
      </c>
      <c r="S697" s="99"/>
      <c r="T697" s="98">
        <v>19</v>
      </c>
      <c r="U697" s="98"/>
      <c r="V697" s="98"/>
      <c r="W697" s="98"/>
      <c r="X697" s="98"/>
      <c r="Y697" s="98"/>
      <c r="Z697" s="20"/>
      <c r="AB697" s="20"/>
      <c r="AC697" s="11" t="s">
        <v>1589</v>
      </c>
      <c r="AD697" s="61"/>
      <c r="AE697" s="99"/>
    </row>
    <row r="698" spans="1:31" x14ac:dyDescent="0.25">
      <c r="A698" s="38" t="s">
        <v>36</v>
      </c>
      <c r="B698" s="38" t="s">
        <v>1349</v>
      </c>
      <c r="C698" s="38" t="s">
        <v>1590</v>
      </c>
      <c r="D698" s="38" t="s">
        <v>1591</v>
      </c>
      <c r="E698" s="38" t="s">
        <v>1592</v>
      </c>
      <c r="F698" s="38">
        <v>889.18</v>
      </c>
      <c r="G698" s="38">
        <v>889.18</v>
      </c>
      <c r="H698" s="38">
        <f t="shared" si="31"/>
        <v>958</v>
      </c>
      <c r="I698" s="38">
        <v>629</v>
      </c>
      <c r="J698" s="38">
        <v>329</v>
      </c>
      <c r="K698" s="38">
        <v>300</v>
      </c>
      <c r="L698" s="50">
        <f t="shared" si="32"/>
        <v>31.315240083507305</v>
      </c>
      <c r="M698" s="38">
        <v>29</v>
      </c>
      <c r="N698" s="50">
        <f t="shared" si="33"/>
        <v>3.0271398747390399</v>
      </c>
      <c r="O698" s="38">
        <v>0</v>
      </c>
      <c r="P698" s="38">
        <v>0</v>
      </c>
      <c r="Q698" s="34" t="s">
        <v>43</v>
      </c>
      <c r="R698" s="28">
        <v>44546</v>
      </c>
      <c r="S698" s="34"/>
      <c r="T698" s="34">
        <v>186</v>
      </c>
      <c r="U698" s="34"/>
      <c r="V698" s="34"/>
      <c r="W698" s="34"/>
      <c r="X698" s="34"/>
      <c r="Y698" s="34"/>
      <c r="Z698" s="109"/>
      <c r="AB698" s="109">
        <v>5</v>
      </c>
      <c r="AC698" s="34" t="s">
        <v>1593</v>
      </c>
      <c r="AD698" s="34">
        <v>25.901147999999999</v>
      </c>
      <c r="AE698" s="34">
        <v>71.428392000000002</v>
      </c>
    </row>
    <row r="699" spans="1:31" x14ac:dyDescent="0.25">
      <c r="A699" s="38" t="s">
        <v>36</v>
      </c>
      <c r="B699" s="38" t="s">
        <v>1349</v>
      </c>
      <c r="C699" s="38" t="s">
        <v>1590</v>
      </c>
      <c r="D699" s="38" t="s">
        <v>1594</v>
      </c>
      <c r="E699" s="38" t="s">
        <v>1595</v>
      </c>
      <c r="F699" s="38">
        <v>1259</v>
      </c>
      <c r="G699" s="38">
        <v>1259</v>
      </c>
      <c r="H699" s="38">
        <f t="shared" si="31"/>
        <v>1934</v>
      </c>
      <c r="I699" s="38">
        <v>1268</v>
      </c>
      <c r="J699" s="38">
        <v>666</v>
      </c>
      <c r="K699" s="38">
        <v>602</v>
      </c>
      <c r="L699" s="50">
        <f t="shared" si="32"/>
        <v>31.127197518097212</v>
      </c>
      <c r="M699" s="38">
        <v>112</v>
      </c>
      <c r="N699" s="50">
        <f t="shared" si="33"/>
        <v>5.7911065149948291</v>
      </c>
      <c r="O699" s="38">
        <v>0</v>
      </c>
      <c r="P699" s="38">
        <v>0</v>
      </c>
      <c r="Q699" s="34" t="s">
        <v>43</v>
      </c>
      <c r="R699" s="28">
        <v>44546</v>
      </c>
      <c r="S699" s="34"/>
      <c r="T699" s="34">
        <v>316</v>
      </c>
      <c r="U699" s="34"/>
      <c r="V699" s="34"/>
      <c r="W699" s="34"/>
      <c r="X699" s="34"/>
      <c r="Y699" s="34"/>
      <c r="Z699" s="109"/>
      <c r="AB699" s="109">
        <v>4</v>
      </c>
      <c r="AC699" s="34" t="s">
        <v>1596</v>
      </c>
      <c r="AD699" s="34">
        <v>25.856657999999999</v>
      </c>
      <c r="AE699" s="34">
        <v>71454745</v>
      </c>
    </row>
    <row r="700" spans="1:31" x14ac:dyDescent="0.25">
      <c r="A700" s="38" t="s">
        <v>36</v>
      </c>
      <c r="B700" s="38" t="s">
        <v>1349</v>
      </c>
      <c r="C700" s="38" t="s">
        <v>1590</v>
      </c>
      <c r="D700" s="38" t="s">
        <v>1597</v>
      </c>
      <c r="E700" s="38" t="s">
        <v>1598</v>
      </c>
      <c r="F700" s="38">
        <v>377</v>
      </c>
      <c r="G700" s="38">
        <v>377</v>
      </c>
      <c r="H700" s="38">
        <f t="shared" si="31"/>
        <v>667</v>
      </c>
      <c r="I700" s="38">
        <v>439</v>
      </c>
      <c r="J700" s="38">
        <v>228</v>
      </c>
      <c r="K700" s="38">
        <v>211</v>
      </c>
      <c r="L700" s="50">
        <f t="shared" si="32"/>
        <v>31.634182908545728</v>
      </c>
      <c r="M700" s="38">
        <v>24</v>
      </c>
      <c r="N700" s="50">
        <f t="shared" si="33"/>
        <v>3.5982008995502248</v>
      </c>
      <c r="O700" s="38">
        <v>0</v>
      </c>
      <c r="P700" s="38">
        <v>0</v>
      </c>
      <c r="Q700" s="61" t="s">
        <v>43</v>
      </c>
      <c r="R700" s="7">
        <v>44546</v>
      </c>
      <c r="S700" s="61"/>
      <c r="T700" s="61">
        <v>0</v>
      </c>
      <c r="U700" s="61"/>
      <c r="V700" s="61"/>
      <c r="W700" s="61"/>
      <c r="X700" s="61"/>
      <c r="Y700" s="61"/>
      <c r="Z700" s="20"/>
      <c r="AB700" s="20"/>
      <c r="AC700" s="11" t="s">
        <v>1599</v>
      </c>
      <c r="AD700" s="61">
        <v>0</v>
      </c>
      <c r="AE700" s="61"/>
    </row>
    <row r="701" spans="1:31" x14ac:dyDescent="0.25">
      <c r="A701" s="38" t="s">
        <v>36</v>
      </c>
      <c r="B701" s="38" t="s">
        <v>1349</v>
      </c>
      <c r="C701" s="38" t="s">
        <v>1590</v>
      </c>
      <c r="D701" s="38" t="s">
        <v>1600</v>
      </c>
      <c r="E701" s="38" t="s">
        <v>1601</v>
      </c>
      <c r="F701" s="38">
        <v>1840</v>
      </c>
      <c r="G701" s="38">
        <v>1840</v>
      </c>
      <c r="H701" s="38">
        <f t="shared" si="31"/>
        <v>1651</v>
      </c>
      <c r="I701" s="38">
        <v>1089</v>
      </c>
      <c r="J701" s="38">
        <v>562</v>
      </c>
      <c r="K701" s="38">
        <v>527</v>
      </c>
      <c r="L701" s="50">
        <f t="shared" si="32"/>
        <v>31.920048455481524</v>
      </c>
      <c r="M701" s="38">
        <v>73</v>
      </c>
      <c r="N701" s="50">
        <f t="shared" si="33"/>
        <v>4.4215626892792246</v>
      </c>
      <c r="O701" s="38">
        <v>0</v>
      </c>
      <c r="P701" s="38">
        <v>31</v>
      </c>
      <c r="Q701" s="98" t="s">
        <v>160</v>
      </c>
      <c r="R701" s="7">
        <v>44546</v>
      </c>
      <c r="S701" s="99"/>
      <c r="T701" s="98">
        <v>18.190000000000001</v>
      </c>
      <c r="U701" s="98"/>
      <c r="V701" s="98"/>
      <c r="W701" s="98"/>
      <c r="X701" s="98"/>
      <c r="Y701" s="98"/>
      <c r="Z701" s="20"/>
      <c r="AB701" s="20"/>
      <c r="AC701" s="11" t="s">
        <v>1600</v>
      </c>
      <c r="AD701" s="61"/>
      <c r="AE701" s="99"/>
    </row>
    <row r="702" spans="1:31" x14ac:dyDescent="0.25">
      <c r="A702" s="38" t="s">
        <v>36</v>
      </c>
      <c r="B702" s="38" t="s">
        <v>1349</v>
      </c>
      <c r="C702" s="38" t="s">
        <v>1590</v>
      </c>
      <c r="D702" s="38" t="s">
        <v>1602</v>
      </c>
      <c r="E702" s="38" t="s">
        <v>1603</v>
      </c>
      <c r="F702" s="38">
        <v>411</v>
      </c>
      <c r="G702" s="38">
        <v>411</v>
      </c>
      <c r="H702" s="38">
        <f t="shared" si="31"/>
        <v>704</v>
      </c>
      <c r="I702" s="38">
        <v>454</v>
      </c>
      <c r="J702" s="38">
        <v>250</v>
      </c>
      <c r="K702" s="38">
        <v>204</v>
      </c>
      <c r="L702" s="50">
        <f t="shared" si="32"/>
        <v>28.97727272727273</v>
      </c>
      <c r="M702" s="38">
        <v>21</v>
      </c>
      <c r="N702" s="50">
        <f t="shared" si="33"/>
        <v>2.9829545454545454</v>
      </c>
      <c r="O702" s="38">
        <v>0</v>
      </c>
      <c r="P702" s="38">
        <v>0</v>
      </c>
      <c r="Q702" s="98" t="s">
        <v>160</v>
      </c>
      <c r="R702" s="7">
        <v>44546</v>
      </c>
      <c r="S702" s="99"/>
      <c r="T702" s="98">
        <v>32.049999999999997</v>
      </c>
      <c r="U702" s="98"/>
      <c r="V702" s="98"/>
      <c r="W702" s="98"/>
      <c r="X702" s="98"/>
      <c r="Y702" s="98"/>
      <c r="Z702" s="20"/>
      <c r="AB702" s="20"/>
      <c r="AC702" s="11" t="s">
        <v>1604</v>
      </c>
      <c r="AD702" s="61"/>
      <c r="AE702" s="99"/>
    </row>
    <row r="703" spans="1:31" x14ac:dyDescent="0.25">
      <c r="A703" s="38" t="s">
        <v>36</v>
      </c>
      <c r="B703" s="38" t="s">
        <v>1349</v>
      </c>
      <c r="C703" s="38" t="s">
        <v>1590</v>
      </c>
      <c r="D703" s="51" t="s">
        <v>1067</v>
      </c>
      <c r="E703" s="38"/>
      <c r="F703" s="38"/>
      <c r="G703" s="38"/>
      <c r="H703" s="38">
        <f t="shared" si="31"/>
        <v>0</v>
      </c>
      <c r="I703" s="38"/>
      <c r="J703" s="38"/>
      <c r="K703" s="38"/>
      <c r="L703" s="50"/>
      <c r="M703" s="38"/>
      <c r="N703" s="50"/>
      <c r="O703" s="38"/>
      <c r="P703" s="38"/>
      <c r="Q703" s="34" t="s">
        <v>43</v>
      </c>
      <c r="R703" s="28">
        <v>44546</v>
      </c>
      <c r="S703" s="34"/>
      <c r="T703" s="34">
        <v>192</v>
      </c>
      <c r="U703" s="34"/>
      <c r="V703" s="34"/>
      <c r="W703" s="34"/>
      <c r="X703" s="34"/>
      <c r="Y703" s="34"/>
      <c r="Z703" s="109"/>
      <c r="AB703" s="109"/>
      <c r="AC703" s="34" t="s">
        <v>1605</v>
      </c>
      <c r="AD703" s="34">
        <v>25.904381999999998</v>
      </c>
      <c r="AE703" s="34">
        <v>71.439966999999996</v>
      </c>
    </row>
    <row r="704" spans="1:31" x14ac:dyDescent="0.25">
      <c r="A704" s="38" t="s">
        <v>36</v>
      </c>
      <c r="B704" s="38" t="s">
        <v>1349</v>
      </c>
      <c r="C704" s="38" t="s">
        <v>1590</v>
      </c>
      <c r="D704" s="11" t="s">
        <v>1606</v>
      </c>
      <c r="E704" s="38"/>
      <c r="F704" s="38"/>
      <c r="G704" s="38"/>
      <c r="H704" s="38">
        <f t="shared" si="31"/>
        <v>0</v>
      </c>
      <c r="I704" s="38"/>
      <c r="J704" s="38"/>
      <c r="K704" s="38"/>
      <c r="L704" s="50"/>
      <c r="M704" s="38"/>
      <c r="N704" s="50"/>
      <c r="O704" s="38"/>
      <c r="P704" s="38"/>
      <c r="Q704" s="61" t="s">
        <v>43</v>
      </c>
      <c r="R704" s="7">
        <v>44546</v>
      </c>
      <c r="S704" s="61"/>
      <c r="T704" s="61">
        <v>0</v>
      </c>
      <c r="U704" s="61"/>
      <c r="V704" s="61"/>
      <c r="W704" s="61"/>
      <c r="X704" s="61"/>
      <c r="Y704" s="61"/>
      <c r="Z704" s="20"/>
      <c r="AB704" s="20"/>
      <c r="AC704" s="11" t="s">
        <v>1606</v>
      </c>
      <c r="AD704" s="61">
        <v>0</v>
      </c>
      <c r="AE704" s="61"/>
    </row>
    <row r="705" spans="1:31" x14ac:dyDescent="0.25">
      <c r="A705" s="38" t="s">
        <v>36</v>
      </c>
      <c r="B705" s="38" t="s">
        <v>1349</v>
      </c>
      <c r="C705" s="38" t="s">
        <v>1607</v>
      </c>
      <c r="D705" s="38" t="s">
        <v>1607</v>
      </c>
      <c r="E705" s="38" t="s">
        <v>1608</v>
      </c>
      <c r="F705" s="38">
        <v>970.71</v>
      </c>
      <c r="G705" s="38">
        <v>970.71</v>
      </c>
      <c r="H705" s="38">
        <f t="shared" si="31"/>
        <v>1523</v>
      </c>
      <c r="I705" s="38">
        <v>991</v>
      </c>
      <c r="J705" s="38">
        <v>532</v>
      </c>
      <c r="K705" s="38">
        <v>459</v>
      </c>
      <c r="L705" s="50">
        <f t="shared" si="32"/>
        <v>30.137885751805648</v>
      </c>
      <c r="M705" s="38">
        <v>0</v>
      </c>
      <c r="N705" s="50">
        <f t="shared" si="33"/>
        <v>0</v>
      </c>
      <c r="O705" s="38">
        <v>0</v>
      </c>
      <c r="P705" s="38">
        <v>25.18</v>
      </c>
      <c r="Q705" s="39" t="s">
        <v>44</v>
      </c>
      <c r="R705" s="25">
        <v>44513</v>
      </c>
      <c r="S705" s="40"/>
      <c r="T705" s="39">
        <v>24.808000000000003</v>
      </c>
      <c r="U705" s="39"/>
      <c r="V705" s="39"/>
      <c r="W705" s="39"/>
      <c r="X705" s="39"/>
      <c r="Y705" s="39"/>
      <c r="Z705" s="3"/>
      <c r="AB705" s="3"/>
      <c r="AC705" s="60" t="s">
        <v>1609</v>
      </c>
      <c r="AD705" s="2">
        <v>0</v>
      </c>
      <c r="AE705" s="40">
        <v>0</v>
      </c>
    </row>
    <row r="706" spans="1:31" x14ac:dyDescent="0.25">
      <c r="A706" s="38" t="s">
        <v>36</v>
      </c>
      <c r="B706" s="38" t="s">
        <v>1349</v>
      </c>
      <c r="C706" s="38" t="s">
        <v>1607</v>
      </c>
      <c r="D706" s="38" t="s">
        <v>1610</v>
      </c>
      <c r="E706" s="38" t="s">
        <v>1611</v>
      </c>
      <c r="F706" s="38">
        <v>1269.46</v>
      </c>
      <c r="G706" s="38">
        <v>1269.46</v>
      </c>
      <c r="H706" s="38">
        <f t="shared" si="31"/>
        <v>1615</v>
      </c>
      <c r="I706" s="38">
        <v>1058</v>
      </c>
      <c r="J706" s="38">
        <v>557</v>
      </c>
      <c r="K706" s="38">
        <v>501</v>
      </c>
      <c r="L706" s="50">
        <f t="shared" si="32"/>
        <v>31.021671826625386</v>
      </c>
      <c r="M706" s="38">
        <v>7</v>
      </c>
      <c r="N706" s="50">
        <f t="shared" si="33"/>
        <v>0.43343653250773995</v>
      </c>
      <c r="O706" s="38">
        <v>0</v>
      </c>
      <c r="P706" s="38">
        <v>32.049999999999997</v>
      </c>
    </row>
    <row r="707" spans="1:31" x14ac:dyDescent="0.25">
      <c r="A707" s="38" t="s">
        <v>36</v>
      </c>
      <c r="B707" s="38" t="s">
        <v>1349</v>
      </c>
      <c r="C707" s="38" t="s">
        <v>1607</v>
      </c>
      <c r="D707" s="38" t="s">
        <v>1612</v>
      </c>
      <c r="E707" s="38" t="s">
        <v>1613</v>
      </c>
      <c r="F707" s="38">
        <v>480.02</v>
      </c>
      <c r="G707" s="38">
        <v>480.02</v>
      </c>
      <c r="H707" s="38">
        <f t="shared" si="31"/>
        <v>797</v>
      </c>
      <c r="I707" s="38">
        <v>521</v>
      </c>
      <c r="J707" s="38">
        <v>276</v>
      </c>
      <c r="K707" s="38">
        <v>245</v>
      </c>
      <c r="L707" s="50">
        <f t="shared" si="32"/>
        <v>30.740276035131743</v>
      </c>
      <c r="M707" s="38">
        <v>0</v>
      </c>
      <c r="N707" s="50">
        <f t="shared" si="33"/>
        <v>0</v>
      </c>
      <c r="O707" s="38">
        <v>0</v>
      </c>
      <c r="P707" s="38">
        <v>0</v>
      </c>
    </row>
    <row r="708" spans="1:31" x14ac:dyDescent="0.25">
      <c r="A708" s="38" t="s">
        <v>36</v>
      </c>
      <c r="B708" s="38" t="s">
        <v>1349</v>
      </c>
      <c r="C708" s="38" t="s">
        <v>1614</v>
      </c>
      <c r="D708" s="38" t="s">
        <v>1614</v>
      </c>
      <c r="E708" s="38" t="s">
        <v>1615</v>
      </c>
      <c r="F708" s="38">
        <v>534</v>
      </c>
      <c r="G708" s="38">
        <v>534</v>
      </c>
      <c r="H708" s="38">
        <f t="shared" si="31"/>
        <v>1153</v>
      </c>
      <c r="I708" s="38">
        <v>759</v>
      </c>
      <c r="J708" s="38">
        <v>394</v>
      </c>
      <c r="K708" s="38">
        <v>365</v>
      </c>
      <c r="L708" s="50">
        <f t="shared" si="32"/>
        <v>31.656548135299218</v>
      </c>
      <c r="M708" s="38">
        <v>154</v>
      </c>
      <c r="N708" s="50">
        <f t="shared" si="33"/>
        <v>13.356461405030357</v>
      </c>
      <c r="O708" s="38">
        <v>0</v>
      </c>
      <c r="P708" s="38">
        <v>9</v>
      </c>
      <c r="Q708" s="98" t="s">
        <v>160</v>
      </c>
      <c r="R708" s="10">
        <v>44526</v>
      </c>
      <c r="S708" s="99"/>
      <c r="T708" s="98">
        <v>8.17</v>
      </c>
      <c r="U708" s="98"/>
      <c r="V708" s="98"/>
      <c r="W708" s="98"/>
      <c r="X708" s="98"/>
      <c r="Y708" s="98"/>
      <c r="Z708" s="20"/>
      <c r="AB708" s="20"/>
      <c r="AC708" s="11" t="s">
        <v>1616</v>
      </c>
      <c r="AD708" s="61"/>
      <c r="AE708" s="99"/>
    </row>
    <row r="709" spans="1:31" x14ac:dyDescent="0.25">
      <c r="A709" s="38" t="s">
        <v>36</v>
      </c>
      <c r="B709" s="38" t="s">
        <v>1349</v>
      </c>
      <c r="C709" s="38" t="s">
        <v>1614</v>
      </c>
      <c r="D709" s="38" t="s">
        <v>1617</v>
      </c>
      <c r="E709" s="38" t="s">
        <v>1618</v>
      </c>
      <c r="F709" s="38">
        <v>762</v>
      </c>
      <c r="G709" s="38">
        <v>762</v>
      </c>
      <c r="H709" s="38">
        <f t="shared" ref="H709:H772" si="34">I709+J709</f>
        <v>1213</v>
      </c>
      <c r="I709" s="38">
        <v>785</v>
      </c>
      <c r="J709" s="38">
        <v>428</v>
      </c>
      <c r="K709" s="38">
        <v>357</v>
      </c>
      <c r="L709" s="50">
        <f t="shared" si="32"/>
        <v>29.431162407254739</v>
      </c>
      <c r="M709" s="38">
        <v>0</v>
      </c>
      <c r="N709" s="50">
        <f t="shared" si="33"/>
        <v>0</v>
      </c>
      <c r="O709" s="38">
        <v>8</v>
      </c>
      <c r="P709" s="38">
        <v>69</v>
      </c>
      <c r="Q709" s="39" t="s">
        <v>44</v>
      </c>
      <c r="R709" s="25">
        <v>44526</v>
      </c>
      <c r="S709" s="40"/>
      <c r="T709" s="39">
        <v>66.728000000000009</v>
      </c>
      <c r="U709" s="39"/>
      <c r="V709" s="39"/>
      <c r="W709" s="39"/>
      <c r="X709" s="39"/>
      <c r="Y709" s="39"/>
      <c r="Z709" s="3"/>
      <c r="AB709" s="3"/>
      <c r="AC709" s="60" t="s">
        <v>1619</v>
      </c>
      <c r="AD709" s="2">
        <v>0</v>
      </c>
      <c r="AE709" s="40">
        <v>0</v>
      </c>
    </row>
    <row r="710" spans="1:31" x14ac:dyDescent="0.25">
      <c r="A710" s="38" t="s">
        <v>36</v>
      </c>
      <c r="B710" s="38" t="s">
        <v>1349</v>
      </c>
      <c r="C710" s="38" t="s">
        <v>1614</v>
      </c>
      <c r="D710" s="38" t="s">
        <v>1620</v>
      </c>
      <c r="E710" s="38" t="s">
        <v>1621</v>
      </c>
      <c r="F710" s="38">
        <v>836</v>
      </c>
      <c r="G710" s="38">
        <v>836</v>
      </c>
      <c r="H710" s="38">
        <f t="shared" si="34"/>
        <v>1164</v>
      </c>
      <c r="I710" s="38">
        <v>758</v>
      </c>
      <c r="J710" s="38">
        <v>406</v>
      </c>
      <c r="K710" s="38">
        <v>352</v>
      </c>
      <c r="L710" s="50">
        <f t="shared" ref="L710:L773" si="35">K710/H710*100</f>
        <v>30.240549828178693</v>
      </c>
      <c r="M710" s="38">
        <v>2</v>
      </c>
      <c r="N710" s="50">
        <f t="shared" ref="N710:N773" si="36">M710/H710*100</f>
        <v>0.1718213058419244</v>
      </c>
      <c r="O710" s="38">
        <v>0</v>
      </c>
      <c r="P710" s="38">
        <v>0</v>
      </c>
    </row>
    <row r="711" spans="1:31" x14ac:dyDescent="0.25">
      <c r="A711" s="38" t="s">
        <v>36</v>
      </c>
      <c r="B711" s="38" t="s">
        <v>1349</v>
      </c>
      <c r="C711" s="38" t="s">
        <v>1614</v>
      </c>
      <c r="D711" s="38" t="s">
        <v>1622</v>
      </c>
      <c r="E711" s="38" t="s">
        <v>1623</v>
      </c>
      <c r="F711" s="38">
        <v>1149</v>
      </c>
      <c r="G711" s="38">
        <v>1149</v>
      </c>
      <c r="H711" s="38">
        <f t="shared" si="34"/>
        <v>1188</v>
      </c>
      <c r="I711" s="38">
        <v>773</v>
      </c>
      <c r="J711" s="38">
        <v>415</v>
      </c>
      <c r="K711" s="38">
        <v>358</v>
      </c>
      <c r="L711" s="50">
        <f t="shared" si="35"/>
        <v>30.134680134680135</v>
      </c>
      <c r="M711" s="38">
        <v>6</v>
      </c>
      <c r="N711" s="50">
        <f t="shared" si="36"/>
        <v>0.50505050505050508</v>
      </c>
      <c r="O711" s="38">
        <v>0</v>
      </c>
      <c r="P711" s="38">
        <v>0</v>
      </c>
    </row>
    <row r="712" spans="1:31" x14ac:dyDescent="0.25">
      <c r="A712" s="38" t="s">
        <v>36</v>
      </c>
      <c r="B712" s="38" t="s">
        <v>1349</v>
      </c>
      <c r="C712" s="38" t="s">
        <v>1624</v>
      </c>
      <c r="D712" s="38" t="s">
        <v>1625</v>
      </c>
      <c r="E712" s="38" t="s">
        <v>1626</v>
      </c>
      <c r="F712" s="38">
        <v>1161.03</v>
      </c>
      <c r="G712" s="38">
        <v>1161.03</v>
      </c>
      <c r="H712" s="38">
        <f t="shared" si="34"/>
        <v>2106</v>
      </c>
      <c r="I712" s="38">
        <v>1373</v>
      </c>
      <c r="J712" s="38">
        <v>733</v>
      </c>
      <c r="K712" s="38">
        <v>640</v>
      </c>
      <c r="L712" s="50">
        <f t="shared" si="35"/>
        <v>30.389363722697055</v>
      </c>
      <c r="M712" s="38">
        <v>40</v>
      </c>
      <c r="N712" s="50">
        <f t="shared" si="36"/>
        <v>1.899335232668566</v>
      </c>
      <c r="O712" s="38">
        <v>0</v>
      </c>
      <c r="P712" s="38">
        <v>17.559999999999999</v>
      </c>
      <c r="Q712" s="98" t="s">
        <v>160</v>
      </c>
      <c r="R712" s="7">
        <v>44517</v>
      </c>
      <c r="S712" s="99"/>
      <c r="T712" s="98">
        <v>108</v>
      </c>
      <c r="U712" s="98"/>
      <c r="V712" s="98"/>
      <c r="W712" s="98"/>
      <c r="X712" s="98"/>
      <c r="Y712" s="98"/>
      <c r="Z712" s="20"/>
      <c r="AB712" s="20"/>
      <c r="AC712" s="11" t="s">
        <v>861</v>
      </c>
      <c r="AD712" s="61"/>
      <c r="AE712" s="99"/>
    </row>
    <row r="713" spans="1:31" x14ac:dyDescent="0.25">
      <c r="A713" s="38" t="s">
        <v>36</v>
      </c>
      <c r="B713" s="38" t="s">
        <v>1349</v>
      </c>
      <c r="C713" s="38" t="s">
        <v>1624</v>
      </c>
      <c r="D713" s="38" t="s">
        <v>1627</v>
      </c>
      <c r="E713" s="38" t="s">
        <v>1628</v>
      </c>
      <c r="F713" s="38">
        <v>684.1</v>
      </c>
      <c r="G713" s="38">
        <v>684.1</v>
      </c>
      <c r="H713" s="38">
        <f t="shared" si="34"/>
        <v>1102</v>
      </c>
      <c r="I713" s="38">
        <v>729</v>
      </c>
      <c r="J713" s="38">
        <v>373</v>
      </c>
      <c r="K713" s="38">
        <v>356</v>
      </c>
      <c r="L713" s="50">
        <f t="shared" si="35"/>
        <v>32.304900181488208</v>
      </c>
      <c r="M713" s="38">
        <v>0</v>
      </c>
      <c r="N713" s="50">
        <f t="shared" si="36"/>
        <v>0</v>
      </c>
      <c r="O713" s="38">
        <v>0</v>
      </c>
      <c r="P713" s="38">
        <v>10.6</v>
      </c>
      <c r="Q713" s="98" t="s">
        <v>160</v>
      </c>
      <c r="R713" s="7">
        <v>44517</v>
      </c>
      <c r="S713" s="99"/>
      <c r="T713" s="98">
        <v>65</v>
      </c>
      <c r="U713" s="98"/>
      <c r="V713" s="98"/>
      <c r="W713" s="98"/>
      <c r="X713" s="98"/>
      <c r="Y713" s="98"/>
      <c r="Z713" s="20"/>
      <c r="AB713" s="20"/>
      <c r="AC713" s="11" t="s">
        <v>1627</v>
      </c>
      <c r="AD713" s="61"/>
      <c r="AE713" s="99"/>
    </row>
    <row r="714" spans="1:31" x14ac:dyDescent="0.25">
      <c r="A714" s="38" t="s">
        <v>36</v>
      </c>
      <c r="B714" s="38" t="s">
        <v>1349</v>
      </c>
      <c r="C714" s="38" t="s">
        <v>1624</v>
      </c>
      <c r="D714" s="38" t="s">
        <v>1629</v>
      </c>
      <c r="E714" s="38" t="s">
        <v>1630</v>
      </c>
      <c r="F714" s="38">
        <v>511.38</v>
      </c>
      <c r="G714" s="38">
        <v>511.38</v>
      </c>
      <c r="H714" s="38">
        <f t="shared" si="34"/>
        <v>915</v>
      </c>
      <c r="I714" s="38">
        <v>597</v>
      </c>
      <c r="J714" s="38">
        <v>318</v>
      </c>
      <c r="K714" s="38">
        <v>279</v>
      </c>
      <c r="L714" s="50">
        <f t="shared" si="35"/>
        <v>30.491803278688522</v>
      </c>
      <c r="M714" s="38">
        <v>58</v>
      </c>
      <c r="N714" s="50">
        <f t="shared" si="36"/>
        <v>6.3387978142076502</v>
      </c>
      <c r="O714" s="38">
        <v>0</v>
      </c>
      <c r="P714" s="38">
        <v>5.04</v>
      </c>
      <c r="Q714" s="98" t="s">
        <v>160</v>
      </c>
      <c r="R714" s="7">
        <v>44517</v>
      </c>
      <c r="S714" s="99"/>
      <c r="T714" s="98">
        <v>29</v>
      </c>
      <c r="U714" s="98"/>
      <c r="V714" s="98"/>
      <c r="W714" s="98"/>
      <c r="X714" s="98"/>
      <c r="Y714" s="98"/>
      <c r="Z714" s="20"/>
      <c r="AB714" s="20"/>
      <c r="AC714" s="11" t="s">
        <v>1631</v>
      </c>
      <c r="AD714" s="61"/>
      <c r="AE714" s="99"/>
    </row>
    <row r="715" spans="1:31" x14ac:dyDescent="0.25">
      <c r="A715" s="38" t="s">
        <v>36</v>
      </c>
      <c r="B715" s="38" t="s">
        <v>1349</v>
      </c>
      <c r="C715" s="38" t="s">
        <v>1624</v>
      </c>
      <c r="D715" s="38" t="s">
        <v>1632</v>
      </c>
      <c r="E715" s="38" t="s">
        <v>1633</v>
      </c>
      <c r="F715" s="38">
        <v>948.47</v>
      </c>
      <c r="G715" s="38">
        <v>948.47</v>
      </c>
      <c r="H715" s="38">
        <f t="shared" si="34"/>
        <v>1322</v>
      </c>
      <c r="I715" s="38">
        <v>863</v>
      </c>
      <c r="J715" s="38">
        <v>459</v>
      </c>
      <c r="K715" s="38">
        <v>404</v>
      </c>
      <c r="L715" s="50">
        <f t="shared" si="35"/>
        <v>30.559757942511347</v>
      </c>
      <c r="M715" s="38">
        <v>0</v>
      </c>
      <c r="N715" s="50">
        <f t="shared" si="36"/>
        <v>0</v>
      </c>
      <c r="O715" s="38">
        <v>0</v>
      </c>
      <c r="P715" s="38">
        <v>8.9</v>
      </c>
      <c r="Q715" s="98" t="s">
        <v>160</v>
      </c>
      <c r="R715" s="7">
        <v>44517</v>
      </c>
      <c r="S715" s="99"/>
      <c r="T715" s="98">
        <v>55</v>
      </c>
      <c r="U715" s="98"/>
      <c r="V715" s="98"/>
      <c r="W715" s="98"/>
      <c r="X715" s="98"/>
      <c r="Y715" s="98"/>
      <c r="Z715" s="20"/>
      <c r="AB715" s="20"/>
      <c r="AC715" s="11" t="s">
        <v>1634</v>
      </c>
      <c r="AD715" s="61"/>
      <c r="AE715" s="99"/>
    </row>
    <row r="716" spans="1:31" x14ac:dyDescent="0.25">
      <c r="A716" s="38" t="s">
        <v>36</v>
      </c>
      <c r="B716" s="38" t="s">
        <v>1349</v>
      </c>
      <c r="C716" s="38" t="s">
        <v>1635</v>
      </c>
      <c r="D716" s="38" t="s">
        <v>1466</v>
      </c>
      <c r="E716" s="38" t="s">
        <v>1636</v>
      </c>
      <c r="F716" s="38">
        <v>631.67999999999995</v>
      </c>
      <c r="G716" s="38">
        <v>631.67999999999995</v>
      </c>
      <c r="H716" s="38">
        <f t="shared" si="34"/>
        <v>1359</v>
      </c>
      <c r="I716" s="38">
        <v>897</v>
      </c>
      <c r="J716" s="38">
        <v>462</v>
      </c>
      <c r="K716" s="38">
        <v>435</v>
      </c>
      <c r="L716" s="50">
        <f t="shared" si="35"/>
        <v>32.00883002207506</v>
      </c>
      <c r="M716" s="38">
        <v>191</v>
      </c>
      <c r="N716" s="50">
        <f t="shared" si="36"/>
        <v>14.054451802796173</v>
      </c>
      <c r="O716" s="38">
        <v>0</v>
      </c>
      <c r="P716" s="38">
        <v>35.880000000000003</v>
      </c>
      <c r="Q716" s="98" t="s">
        <v>43</v>
      </c>
      <c r="R716" s="7">
        <v>44532</v>
      </c>
      <c r="S716" s="99"/>
      <c r="T716" s="98">
        <v>19.212800000000001</v>
      </c>
      <c r="U716" s="98"/>
      <c r="V716" s="98"/>
      <c r="W716" s="98"/>
      <c r="X716" s="98"/>
      <c r="Y716" s="98"/>
      <c r="Z716" s="20"/>
      <c r="AB716" s="20"/>
      <c r="AC716" s="11" t="s">
        <v>1637</v>
      </c>
      <c r="AD716" s="61"/>
      <c r="AE716" s="99"/>
    </row>
    <row r="717" spans="1:31" x14ac:dyDescent="0.25">
      <c r="A717" s="38" t="s">
        <v>36</v>
      </c>
      <c r="B717" s="38" t="s">
        <v>1349</v>
      </c>
      <c r="C717" s="38" t="s">
        <v>1635</v>
      </c>
      <c r="D717" s="38" t="s">
        <v>1638</v>
      </c>
      <c r="E717" s="38" t="s">
        <v>1639</v>
      </c>
      <c r="F717" s="38">
        <v>688.68</v>
      </c>
      <c r="G717" s="38">
        <v>688.68</v>
      </c>
      <c r="H717" s="38">
        <f t="shared" si="34"/>
        <v>1790</v>
      </c>
      <c r="I717" s="38">
        <v>1166</v>
      </c>
      <c r="J717" s="38">
        <v>624</v>
      </c>
      <c r="K717" s="38">
        <v>542</v>
      </c>
      <c r="L717" s="50">
        <f t="shared" si="35"/>
        <v>30.27932960893855</v>
      </c>
      <c r="M717" s="38">
        <v>234</v>
      </c>
      <c r="N717" s="50">
        <f t="shared" si="36"/>
        <v>13.072625698324023</v>
      </c>
      <c r="O717" s="38">
        <v>0</v>
      </c>
      <c r="P717" s="38">
        <v>24.07</v>
      </c>
      <c r="Q717" s="98" t="s">
        <v>43</v>
      </c>
      <c r="R717" s="7">
        <v>44532</v>
      </c>
      <c r="S717" s="99"/>
      <c r="T717" s="98">
        <v>23.702399999999997</v>
      </c>
      <c r="U717" s="98"/>
      <c r="V717" s="98"/>
      <c r="W717" s="98"/>
      <c r="X717" s="98"/>
      <c r="Y717" s="98"/>
      <c r="Z717" s="20"/>
      <c r="AB717" s="20"/>
      <c r="AC717" s="11" t="s">
        <v>1638</v>
      </c>
      <c r="AD717" s="61"/>
      <c r="AE717" s="99"/>
    </row>
    <row r="718" spans="1:31" x14ac:dyDescent="0.25">
      <c r="A718" s="38" t="s">
        <v>36</v>
      </c>
      <c r="B718" s="38" t="s">
        <v>1349</v>
      </c>
      <c r="C718" s="38" t="s">
        <v>1635</v>
      </c>
      <c r="D718" s="38" t="s">
        <v>1640</v>
      </c>
      <c r="E718" s="38" t="s">
        <v>1641</v>
      </c>
      <c r="F718" s="38">
        <v>774.92</v>
      </c>
      <c r="G718" s="38">
        <v>774.92</v>
      </c>
      <c r="H718" s="38">
        <f t="shared" si="34"/>
        <v>1332</v>
      </c>
      <c r="I718" s="38">
        <v>867</v>
      </c>
      <c r="J718" s="38">
        <v>465</v>
      </c>
      <c r="K718" s="38">
        <v>402</v>
      </c>
      <c r="L718" s="50">
        <f t="shared" si="35"/>
        <v>30.180180180180184</v>
      </c>
      <c r="M718" s="38">
        <v>0</v>
      </c>
      <c r="N718" s="50">
        <f t="shared" si="36"/>
        <v>0</v>
      </c>
      <c r="O718" s="38">
        <v>0</v>
      </c>
      <c r="P718" s="38">
        <v>5</v>
      </c>
    </row>
    <row r="719" spans="1:31" x14ac:dyDescent="0.25">
      <c r="A719" s="38" t="s">
        <v>36</v>
      </c>
      <c r="B719" s="38" t="s">
        <v>1349</v>
      </c>
      <c r="C719" s="38" t="s">
        <v>1635</v>
      </c>
      <c r="D719" s="38" t="s">
        <v>1642</v>
      </c>
      <c r="E719" s="38" t="s">
        <v>1643</v>
      </c>
      <c r="F719" s="38">
        <v>584.32000000000005</v>
      </c>
      <c r="G719" s="38">
        <v>584.32000000000005</v>
      </c>
      <c r="H719" s="38">
        <f t="shared" si="34"/>
        <v>1617</v>
      </c>
      <c r="I719" s="38">
        <v>1062</v>
      </c>
      <c r="J719" s="38">
        <v>555</v>
      </c>
      <c r="K719" s="38">
        <v>507</v>
      </c>
      <c r="L719" s="50">
        <f t="shared" si="35"/>
        <v>31.354359925788501</v>
      </c>
      <c r="M719" s="38">
        <v>84</v>
      </c>
      <c r="N719" s="50">
        <f t="shared" si="36"/>
        <v>5.1948051948051948</v>
      </c>
      <c r="O719" s="38">
        <v>0</v>
      </c>
      <c r="P719" s="38">
        <v>0</v>
      </c>
    </row>
    <row r="720" spans="1:31" x14ac:dyDescent="0.25">
      <c r="A720" s="38" t="s">
        <v>36</v>
      </c>
      <c r="B720" s="38" t="s">
        <v>1349</v>
      </c>
      <c r="C720" s="38" t="s">
        <v>1644</v>
      </c>
      <c r="D720" s="38" t="s">
        <v>1645</v>
      </c>
      <c r="E720" s="38" t="s">
        <v>1646</v>
      </c>
      <c r="F720" s="38">
        <v>4435.75</v>
      </c>
      <c r="G720" s="38">
        <v>4435.75</v>
      </c>
      <c r="H720" s="38">
        <f t="shared" si="34"/>
        <v>5615</v>
      </c>
      <c r="I720" s="38">
        <v>3699</v>
      </c>
      <c r="J720" s="38">
        <v>1916</v>
      </c>
      <c r="K720" s="38">
        <v>1783</v>
      </c>
      <c r="L720" s="50">
        <f t="shared" si="35"/>
        <v>31.754229741763133</v>
      </c>
      <c r="M720" s="38">
        <v>71</v>
      </c>
      <c r="N720" s="50">
        <f t="shared" si="36"/>
        <v>1.2644701691896707</v>
      </c>
      <c r="O720" s="38">
        <v>0</v>
      </c>
      <c r="P720" s="38">
        <v>82.07</v>
      </c>
      <c r="Q720" s="34" t="s">
        <v>43</v>
      </c>
      <c r="R720" s="28">
        <v>44547</v>
      </c>
      <c r="S720" s="34"/>
      <c r="T720" s="34">
        <v>81.92</v>
      </c>
      <c r="U720" s="34"/>
      <c r="V720" s="34"/>
      <c r="W720" s="34"/>
      <c r="X720" s="34"/>
      <c r="Y720" s="34"/>
      <c r="Z720" s="109"/>
      <c r="AB720" s="109">
        <v>4</v>
      </c>
      <c r="AC720" s="34" t="s">
        <v>1647</v>
      </c>
      <c r="AD720" s="34">
        <v>25.969816000000002</v>
      </c>
      <c r="AE720" s="34">
        <v>71.400519000000003</v>
      </c>
    </row>
    <row r="721" spans="1:31" x14ac:dyDescent="0.25">
      <c r="A721" s="38" t="s">
        <v>36</v>
      </c>
      <c r="B721" s="38" t="s">
        <v>1349</v>
      </c>
      <c r="C721" s="38" t="s">
        <v>1648</v>
      </c>
      <c r="D721" s="38" t="s">
        <v>1649</v>
      </c>
      <c r="E721" s="38" t="s">
        <v>1650</v>
      </c>
      <c r="F721" s="38">
        <v>1561.86</v>
      </c>
      <c r="G721" s="38">
        <v>1561.86</v>
      </c>
      <c r="H721" s="38">
        <f t="shared" si="34"/>
        <v>3033</v>
      </c>
      <c r="I721" s="38">
        <v>1997</v>
      </c>
      <c r="J721" s="38">
        <v>1036</v>
      </c>
      <c r="K721" s="38">
        <v>961</v>
      </c>
      <c r="L721" s="50">
        <f t="shared" si="35"/>
        <v>31.684800527530498</v>
      </c>
      <c r="M721" s="38">
        <v>247</v>
      </c>
      <c r="N721" s="50">
        <f t="shared" si="36"/>
        <v>8.1437520606660065</v>
      </c>
      <c r="O721" s="38">
        <v>10.01</v>
      </c>
      <c r="P721" s="38">
        <v>24.71</v>
      </c>
      <c r="Q721" s="34" t="s">
        <v>43</v>
      </c>
      <c r="R721" s="9">
        <v>44603</v>
      </c>
      <c r="S721" s="34"/>
      <c r="T721" s="34">
        <v>25</v>
      </c>
      <c r="U721" s="34"/>
      <c r="V721" s="34"/>
      <c r="W721" s="34"/>
      <c r="X721" s="34"/>
      <c r="Y721" s="34"/>
      <c r="Z721" s="109"/>
      <c r="AB721" s="109">
        <v>5</v>
      </c>
      <c r="AC721" s="34" t="s">
        <v>1651</v>
      </c>
      <c r="AD721" s="34">
        <v>25.570083</v>
      </c>
      <c r="AE721" s="34">
        <v>71.663627000000005</v>
      </c>
    </row>
    <row r="722" spans="1:31" x14ac:dyDescent="0.25">
      <c r="A722" s="38" t="s">
        <v>36</v>
      </c>
      <c r="B722" s="38" t="s">
        <v>1349</v>
      </c>
      <c r="C722" s="38" t="s">
        <v>1648</v>
      </c>
      <c r="D722" s="38" t="s">
        <v>1652</v>
      </c>
      <c r="E722" s="38" t="s">
        <v>1653</v>
      </c>
      <c r="F722" s="38">
        <v>614.71</v>
      </c>
      <c r="G722" s="38">
        <v>614.71</v>
      </c>
      <c r="H722" s="38">
        <f t="shared" si="34"/>
        <v>701</v>
      </c>
      <c r="I722" s="38">
        <v>449</v>
      </c>
      <c r="J722" s="38">
        <v>252</v>
      </c>
      <c r="K722" s="38">
        <v>197</v>
      </c>
      <c r="L722" s="50">
        <f t="shared" si="35"/>
        <v>28.102710413694719</v>
      </c>
      <c r="M722" s="38">
        <v>0</v>
      </c>
      <c r="N722" s="50">
        <f t="shared" si="36"/>
        <v>0</v>
      </c>
      <c r="O722" s="38">
        <v>0</v>
      </c>
      <c r="P722" s="38">
        <v>0</v>
      </c>
    </row>
    <row r="723" spans="1:31" x14ac:dyDescent="0.25">
      <c r="A723" s="38" t="s">
        <v>36</v>
      </c>
      <c r="B723" s="38" t="s">
        <v>1349</v>
      </c>
      <c r="C723" s="38" t="s">
        <v>1648</v>
      </c>
      <c r="D723" s="38" t="s">
        <v>1654</v>
      </c>
      <c r="E723" s="38" t="s">
        <v>1655</v>
      </c>
      <c r="F723" s="38">
        <v>573.26</v>
      </c>
      <c r="G723" s="38">
        <v>573.26</v>
      </c>
      <c r="H723" s="38">
        <f t="shared" si="34"/>
        <v>1172</v>
      </c>
      <c r="I723" s="38">
        <v>768</v>
      </c>
      <c r="J723" s="38">
        <v>404</v>
      </c>
      <c r="K723" s="38">
        <v>364</v>
      </c>
      <c r="L723" s="50">
        <f t="shared" si="35"/>
        <v>31.058020477815703</v>
      </c>
      <c r="M723" s="38">
        <v>182</v>
      </c>
      <c r="N723" s="50">
        <f t="shared" si="36"/>
        <v>15.529010238907851</v>
      </c>
      <c r="O723" s="38">
        <v>0</v>
      </c>
      <c r="P723" s="38">
        <v>0</v>
      </c>
    </row>
    <row r="724" spans="1:31" x14ac:dyDescent="0.25">
      <c r="A724" s="38" t="s">
        <v>36</v>
      </c>
      <c r="B724" s="38" t="s">
        <v>1349</v>
      </c>
      <c r="C724" s="38" t="s">
        <v>1648</v>
      </c>
      <c r="D724" s="38" t="s">
        <v>1244</v>
      </c>
      <c r="E724" s="38" t="s">
        <v>1656</v>
      </c>
      <c r="F724" s="38">
        <v>556.47</v>
      </c>
      <c r="G724" s="38">
        <v>556.47</v>
      </c>
      <c r="H724" s="38">
        <f t="shared" si="34"/>
        <v>1469</v>
      </c>
      <c r="I724" s="38">
        <v>960</v>
      </c>
      <c r="J724" s="38">
        <v>509</v>
      </c>
      <c r="K724" s="38">
        <v>451</v>
      </c>
      <c r="L724" s="50">
        <f t="shared" si="35"/>
        <v>30.701157249829812</v>
      </c>
      <c r="M724" s="38">
        <v>0</v>
      </c>
      <c r="N724" s="50">
        <f t="shared" si="36"/>
        <v>0</v>
      </c>
      <c r="O724" s="38">
        <v>0</v>
      </c>
      <c r="P724" s="38">
        <v>0</v>
      </c>
    </row>
    <row r="725" spans="1:31" x14ac:dyDescent="0.25">
      <c r="A725" s="38" t="s">
        <v>36</v>
      </c>
      <c r="B725" s="38" t="s">
        <v>1349</v>
      </c>
      <c r="C725" s="38" t="s">
        <v>1657</v>
      </c>
      <c r="D725" s="38" t="s">
        <v>1658</v>
      </c>
      <c r="E725" s="38" t="s">
        <v>1659</v>
      </c>
      <c r="F725" s="38">
        <v>767.32</v>
      </c>
      <c r="G725" s="38">
        <v>767.32</v>
      </c>
      <c r="H725" s="38">
        <f t="shared" si="34"/>
        <v>1367</v>
      </c>
      <c r="I725" s="38">
        <v>886</v>
      </c>
      <c r="J725" s="38">
        <v>481</v>
      </c>
      <c r="K725" s="38">
        <v>405</v>
      </c>
      <c r="L725" s="50">
        <f t="shared" si="35"/>
        <v>29.626920263350403</v>
      </c>
      <c r="M725" s="38">
        <v>44</v>
      </c>
      <c r="N725" s="50">
        <f t="shared" si="36"/>
        <v>3.2187271397220192</v>
      </c>
      <c r="O725" s="38">
        <v>0</v>
      </c>
      <c r="P725" s="38">
        <v>2.0499999999999998</v>
      </c>
      <c r="Q725" s="34" t="s">
        <v>43</v>
      </c>
      <c r="R725" s="88">
        <v>44554</v>
      </c>
      <c r="S725" s="34"/>
      <c r="T725" s="34">
        <v>13.06</v>
      </c>
      <c r="U725" s="34"/>
      <c r="V725" s="34"/>
      <c r="W725" s="34"/>
      <c r="X725" s="34"/>
      <c r="Y725" s="34"/>
      <c r="Z725" s="109"/>
      <c r="AB725" s="89">
        <v>10</v>
      </c>
      <c r="AC725" s="34" t="s">
        <v>1660</v>
      </c>
      <c r="AD725" s="34">
        <v>71.612938999999997</v>
      </c>
      <c r="AE725" s="34">
        <v>25.56409</v>
      </c>
    </row>
    <row r="726" spans="1:31" x14ac:dyDescent="0.25">
      <c r="A726" s="38" t="s">
        <v>36</v>
      </c>
      <c r="B726" s="38" t="s">
        <v>1349</v>
      </c>
      <c r="C726" s="38" t="s">
        <v>1657</v>
      </c>
      <c r="D726" s="38" t="s">
        <v>1661</v>
      </c>
      <c r="E726" s="38" t="s">
        <v>1662</v>
      </c>
      <c r="F726" s="38">
        <v>1079.47</v>
      </c>
      <c r="G726" s="38">
        <v>1079.47</v>
      </c>
      <c r="H726" s="38">
        <f t="shared" si="34"/>
        <v>1521</v>
      </c>
      <c r="I726" s="38">
        <v>1005</v>
      </c>
      <c r="J726" s="38">
        <v>516</v>
      </c>
      <c r="K726" s="38">
        <v>489</v>
      </c>
      <c r="L726" s="50">
        <f t="shared" si="35"/>
        <v>32.149901380670606</v>
      </c>
      <c r="M726" s="38">
        <v>83</v>
      </c>
      <c r="N726" s="50">
        <f t="shared" si="36"/>
        <v>5.4569362261669951</v>
      </c>
      <c r="O726" s="38">
        <v>0</v>
      </c>
      <c r="P726" s="38">
        <v>0</v>
      </c>
      <c r="Q726" s="98" t="s">
        <v>44</v>
      </c>
      <c r="R726" s="7">
        <v>44554</v>
      </c>
      <c r="S726" s="99"/>
      <c r="T726" s="98">
        <v>0</v>
      </c>
      <c r="U726" s="98"/>
      <c r="V726" s="98"/>
      <c r="W726" s="98"/>
      <c r="X726" s="98"/>
      <c r="Y726" s="98"/>
      <c r="Z726" s="20"/>
      <c r="AB726" s="20"/>
      <c r="AC726" s="11" t="s">
        <v>1663</v>
      </c>
      <c r="AD726" s="61"/>
      <c r="AE726" s="99"/>
    </row>
    <row r="727" spans="1:31" x14ac:dyDescent="0.25">
      <c r="A727" s="38" t="s">
        <v>36</v>
      </c>
      <c r="B727" s="38" t="s">
        <v>1349</v>
      </c>
      <c r="C727" s="38" t="s">
        <v>1657</v>
      </c>
      <c r="D727" s="38" t="s">
        <v>1664</v>
      </c>
      <c r="E727" s="38" t="s">
        <v>1665</v>
      </c>
      <c r="F727" s="38">
        <v>500.41</v>
      </c>
      <c r="G727" s="38">
        <v>500.41</v>
      </c>
      <c r="H727" s="38">
        <f t="shared" si="34"/>
        <v>780</v>
      </c>
      <c r="I727" s="38">
        <v>513</v>
      </c>
      <c r="J727" s="38">
        <v>267</v>
      </c>
      <c r="K727" s="38">
        <v>246</v>
      </c>
      <c r="L727" s="50">
        <f t="shared" si="35"/>
        <v>31.538461538461537</v>
      </c>
      <c r="M727" s="38">
        <v>56</v>
      </c>
      <c r="N727" s="50">
        <f t="shared" si="36"/>
        <v>7.1794871794871788</v>
      </c>
      <c r="O727" s="38">
        <v>0</v>
      </c>
      <c r="P727" s="38">
        <v>0</v>
      </c>
      <c r="Q727" s="98" t="s">
        <v>44</v>
      </c>
      <c r="R727" s="7">
        <v>44554</v>
      </c>
      <c r="S727" s="99"/>
      <c r="T727" s="98">
        <v>0</v>
      </c>
      <c r="U727" s="98"/>
      <c r="V727" s="98"/>
      <c r="W727" s="98"/>
      <c r="X727" s="98"/>
      <c r="Y727" s="98"/>
      <c r="Z727" s="20"/>
      <c r="AB727" s="20"/>
      <c r="AC727" s="11" t="s">
        <v>1666</v>
      </c>
      <c r="AD727" s="61"/>
      <c r="AE727" s="99"/>
    </row>
    <row r="728" spans="1:31" x14ac:dyDescent="0.25">
      <c r="A728" s="38" t="s">
        <v>36</v>
      </c>
      <c r="B728" s="38" t="s">
        <v>1349</v>
      </c>
      <c r="C728" s="38" t="s">
        <v>1657</v>
      </c>
      <c r="D728" s="38" t="s">
        <v>1667</v>
      </c>
      <c r="E728" s="38" t="s">
        <v>1668</v>
      </c>
      <c r="F728" s="38">
        <v>316.14</v>
      </c>
      <c r="G728" s="38">
        <v>316.14</v>
      </c>
      <c r="H728" s="38">
        <f t="shared" si="34"/>
        <v>431</v>
      </c>
      <c r="I728" s="38">
        <v>282</v>
      </c>
      <c r="J728" s="38">
        <v>149</v>
      </c>
      <c r="K728" s="38">
        <v>133</v>
      </c>
      <c r="L728" s="50">
        <f t="shared" si="35"/>
        <v>30.858468677494201</v>
      </c>
      <c r="M728" s="38">
        <v>5</v>
      </c>
      <c r="N728" s="50">
        <f t="shared" si="36"/>
        <v>1.160092807424594</v>
      </c>
      <c r="O728" s="38">
        <v>0</v>
      </c>
      <c r="P728" s="38">
        <v>0</v>
      </c>
      <c r="Q728" s="98" t="s">
        <v>44</v>
      </c>
      <c r="R728" s="7">
        <v>44554</v>
      </c>
      <c r="S728" s="99"/>
      <c r="T728" s="98">
        <v>0</v>
      </c>
      <c r="U728" s="98"/>
      <c r="V728" s="98"/>
      <c r="W728" s="98"/>
      <c r="X728" s="98"/>
      <c r="Y728" s="98"/>
      <c r="Z728" s="20"/>
      <c r="AB728" s="20"/>
      <c r="AC728" s="11" t="s">
        <v>1669</v>
      </c>
      <c r="AD728" s="61"/>
      <c r="AE728" s="99"/>
    </row>
    <row r="729" spans="1:31" x14ac:dyDescent="0.25">
      <c r="A729" s="38" t="s">
        <v>36</v>
      </c>
      <c r="B729" s="38" t="s">
        <v>1349</v>
      </c>
      <c r="C729" s="38" t="s">
        <v>1657</v>
      </c>
      <c r="D729" s="38" t="s">
        <v>1670</v>
      </c>
      <c r="E729" s="38" t="s">
        <v>1671</v>
      </c>
      <c r="F729" s="38">
        <v>375.42</v>
      </c>
      <c r="G729" s="38">
        <v>375.42</v>
      </c>
      <c r="H729" s="38">
        <f t="shared" si="34"/>
        <v>452</v>
      </c>
      <c r="I729" s="38">
        <v>295</v>
      </c>
      <c r="J729" s="38">
        <v>157</v>
      </c>
      <c r="K729" s="38">
        <v>138</v>
      </c>
      <c r="L729" s="50">
        <f t="shared" si="35"/>
        <v>30.53097345132743</v>
      </c>
      <c r="M729" s="38">
        <v>0</v>
      </c>
      <c r="N729" s="50">
        <f t="shared" si="36"/>
        <v>0</v>
      </c>
      <c r="O729" s="38">
        <v>0</v>
      </c>
      <c r="P729" s="38">
        <v>0</v>
      </c>
      <c r="Q729" s="98" t="s">
        <v>44</v>
      </c>
      <c r="R729" s="7">
        <v>44554</v>
      </c>
      <c r="S729" s="99"/>
      <c r="T729" s="98">
        <v>0</v>
      </c>
      <c r="U729" s="98"/>
      <c r="V729" s="98"/>
      <c r="W729" s="98"/>
      <c r="X729" s="98"/>
      <c r="Y729" s="98"/>
      <c r="Z729" s="20"/>
      <c r="AB729" s="20"/>
      <c r="AC729" s="11" t="s">
        <v>1672</v>
      </c>
      <c r="AD729" s="61"/>
      <c r="AE729" s="99"/>
    </row>
    <row r="730" spans="1:31" x14ac:dyDescent="0.25">
      <c r="A730" s="38" t="s">
        <v>36</v>
      </c>
      <c r="B730" s="38" t="s">
        <v>1349</v>
      </c>
      <c r="C730" s="38" t="s">
        <v>1657</v>
      </c>
      <c r="D730" s="38" t="s">
        <v>1673</v>
      </c>
      <c r="E730" s="38" t="s">
        <v>1674</v>
      </c>
      <c r="F730" s="38">
        <v>1180.46</v>
      </c>
      <c r="G730" s="38">
        <v>1180.46</v>
      </c>
      <c r="H730" s="38">
        <f t="shared" si="34"/>
        <v>2546</v>
      </c>
      <c r="I730" s="38">
        <v>1670</v>
      </c>
      <c r="J730" s="38">
        <v>876</v>
      </c>
      <c r="K730" s="38">
        <v>794</v>
      </c>
      <c r="L730" s="50">
        <f t="shared" si="35"/>
        <v>31.186174391201888</v>
      </c>
      <c r="M730" s="38">
        <v>96</v>
      </c>
      <c r="N730" s="50">
        <f t="shared" si="36"/>
        <v>3.7706205813040063</v>
      </c>
      <c r="O730" s="38">
        <v>0</v>
      </c>
      <c r="P730" s="38">
        <v>18.11</v>
      </c>
      <c r="Q730" s="98" t="s">
        <v>44</v>
      </c>
      <c r="R730" s="7">
        <v>44554</v>
      </c>
      <c r="S730" s="99"/>
      <c r="T730" s="98">
        <v>0</v>
      </c>
      <c r="U730" s="98"/>
      <c r="V730" s="98"/>
      <c r="W730" s="98"/>
      <c r="X730" s="98"/>
      <c r="Y730" s="98"/>
      <c r="Z730" s="20"/>
      <c r="AB730" s="20"/>
      <c r="AC730" s="11" t="s">
        <v>1675</v>
      </c>
      <c r="AD730" s="61"/>
      <c r="AE730" s="99"/>
    </row>
    <row r="731" spans="1:31" x14ac:dyDescent="0.25">
      <c r="A731" s="38" t="s">
        <v>36</v>
      </c>
      <c r="B731" s="38" t="s">
        <v>1349</v>
      </c>
      <c r="C731" s="38" t="s">
        <v>1657</v>
      </c>
      <c r="D731" s="38" t="s">
        <v>1676</v>
      </c>
      <c r="E731" s="38" t="s">
        <v>1677</v>
      </c>
      <c r="F731" s="38">
        <v>458.38</v>
      </c>
      <c r="G731" s="38">
        <v>458.38</v>
      </c>
      <c r="H731" s="38">
        <f t="shared" si="34"/>
        <v>433</v>
      </c>
      <c r="I731" s="38">
        <v>282</v>
      </c>
      <c r="J731" s="38">
        <v>151</v>
      </c>
      <c r="K731" s="38">
        <v>131</v>
      </c>
      <c r="L731" s="50">
        <f t="shared" si="35"/>
        <v>30.254041570438801</v>
      </c>
      <c r="M731" s="38">
        <v>24</v>
      </c>
      <c r="N731" s="50">
        <f t="shared" si="36"/>
        <v>5.5427251732101617</v>
      </c>
      <c r="O731" s="38">
        <v>0</v>
      </c>
      <c r="P731" s="38">
        <v>0</v>
      </c>
      <c r="Q731" s="98" t="s">
        <v>44</v>
      </c>
      <c r="R731" s="7">
        <v>44554</v>
      </c>
      <c r="S731" s="99"/>
      <c r="T731" s="98">
        <v>0</v>
      </c>
      <c r="U731" s="98"/>
      <c r="V731" s="98"/>
      <c r="W731" s="98"/>
      <c r="X731" s="98"/>
      <c r="Y731" s="98"/>
      <c r="Z731" s="20"/>
      <c r="AB731" s="20"/>
      <c r="AC731" s="11" t="s">
        <v>1678</v>
      </c>
      <c r="AD731" s="61"/>
      <c r="AE731" s="99"/>
    </row>
    <row r="732" spans="1:31" x14ac:dyDescent="0.25">
      <c r="A732" s="38" t="s">
        <v>36</v>
      </c>
      <c r="B732" s="38" t="s">
        <v>1349</v>
      </c>
      <c r="C732" s="38" t="s">
        <v>1657</v>
      </c>
      <c r="D732" s="38" t="s">
        <v>1679</v>
      </c>
      <c r="E732" s="38" t="s">
        <v>1680</v>
      </c>
      <c r="F732" s="38">
        <v>948.34</v>
      </c>
      <c r="G732" s="38">
        <v>948.34</v>
      </c>
      <c r="H732" s="38">
        <f t="shared" si="34"/>
        <v>1574</v>
      </c>
      <c r="I732" s="38">
        <v>1045</v>
      </c>
      <c r="J732" s="38">
        <v>529</v>
      </c>
      <c r="K732" s="38">
        <v>516</v>
      </c>
      <c r="L732" s="50">
        <f t="shared" si="35"/>
        <v>32.782719186785258</v>
      </c>
      <c r="M732" s="38">
        <v>72</v>
      </c>
      <c r="N732" s="50">
        <f t="shared" si="36"/>
        <v>4.5743329097839895</v>
      </c>
      <c r="O732" s="38">
        <v>0</v>
      </c>
      <c r="P732" s="38">
        <v>2.0099999999999998</v>
      </c>
      <c r="Q732" s="98" t="s">
        <v>160</v>
      </c>
      <c r="R732" s="10">
        <v>44554</v>
      </c>
      <c r="S732" s="99"/>
      <c r="T732" s="98">
        <v>7</v>
      </c>
      <c r="U732" s="98"/>
      <c r="V732" s="98"/>
      <c r="W732" s="98"/>
      <c r="X732" s="98"/>
      <c r="Y732" s="98"/>
      <c r="Z732" s="20"/>
      <c r="AB732" s="20"/>
      <c r="AC732" s="11" t="s">
        <v>1681</v>
      </c>
      <c r="AD732" s="61"/>
      <c r="AE732" s="99"/>
    </row>
    <row r="733" spans="1:31" x14ac:dyDescent="0.25">
      <c r="A733" s="38" t="s">
        <v>36</v>
      </c>
      <c r="B733" s="38" t="s">
        <v>1349</v>
      </c>
      <c r="C733" s="38" t="s">
        <v>1657</v>
      </c>
      <c r="D733" s="11" t="s">
        <v>1682</v>
      </c>
      <c r="H733" s="38">
        <f t="shared" si="34"/>
        <v>0</v>
      </c>
      <c r="L733" s="50"/>
      <c r="N733" s="50"/>
      <c r="Q733" s="98" t="s">
        <v>44</v>
      </c>
      <c r="R733" s="7">
        <v>44554</v>
      </c>
      <c r="S733" s="99"/>
      <c r="T733" s="98">
        <v>0</v>
      </c>
      <c r="U733" s="98"/>
      <c r="V733" s="98"/>
      <c r="W733" s="98"/>
      <c r="X733" s="98"/>
      <c r="Y733" s="98"/>
      <c r="Z733" s="20"/>
      <c r="AB733" s="20"/>
      <c r="AC733" s="11" t="s">
        <v>1682</v>
      </c>
      <c r="AD733" s="61"/>
      <c r="AE733" s="99"/>
    </row>
    <row r="734" spans="1:31" x14ac:dyDescent="0.25">
      <c r="A734" s="38" t="s">
        <v>36</v>
      </c>
      <c r="B734" s="38" t="s">
        <v>1349</v>
      </c>
      <c r="C734" s="38" t="s">
        <v>1657</v>
      </c>
      <c r="D734" s="11" t="s">
        <v>1683</v>
      </c>
      <c r="E734" s="38"/>
      <c r="F734" s="38"/>
      <c r="G734" s="38"/>
      <c r="H734" s="38">
        <f t="shared" si="34"/>
        <v>0</v>
      </c>
      <c r="I734" s="38"/>
      <c r="J734" s="38"/>
      <c r="K734" s="38"/>
      <c r="L734" s="50"/>
      <c r="M734" s="38"/>
      <c r="N734" s="50"/>
      <c r="O734" s="38"/>
      <c r="P734" s="38"/>
      <c r="Q734" s="98" t="s">
        <v>44</v>
      </c>
      <c r="R734" s="7">
        <v>44554</v>
      </c>
      <c r="S734" s="99"/>
      <c r="T734" s="98">
        <v>0</v>
      </c>
      <c r="U734" s="98"/>
      <c r="V734" s="98"/>
      <c r="W734" s="98"/>
      <c r="X734" s="98"/>
      <c r="Y734" s="98"/>
      <c r="Z734" s="20"/>
      <c r="AB734" s="20"/>
      <c r="AC734" s="11" t="s">
        <v>1683</v>
      </c>
      <c r="AD734" s="61"/>
      <c r="AE734" s="99"/>
    </row>
    <row r="735" spans="1:31" x14ac:dyDescent="0.25">
      <c r="A735" s="38" t="s">
        <v>36</v>
      </c>
      <c r="B735" s="38" t="s">
        <v>1349</v>
      </c>
      <c r="C735" s="38" t="s">
        <v>1657</v>
      </c>
      <c r="D735" s="11" t="s">
        <v>1684</v>
      </c>
      <c r="E735" s="38"/>
      <c r="F735" s="38"/>
      <c r="G735" s="38"/>
      <c r="H735" s="38">
        <f t="shared" si="34"/>
        <v>0</v>
      </c>
      <c r="I735" s="38"/>
      <c r="J735" s="38"/>
      <c r="K735" s="38"/>
      <c r="L735" s="50"/>
      <c r="M735" s="38"/>
      <c r="N735" s="50"/>
      <c r="O735" s="38"/>
      <c r="P735" s="38"/>
      <c r="Q735" s="98" t="s">
        <v>44</v>
      </c>
      <c r="R735" s="7">
        <v>44554</v>
      </c>
      <c r="S735" s="99"/>
      <c r="T735" s="98">
        <v>0</v>
      </c>
      <c r="U735" s="98"/>
      <c r="V735" s="98"/>
      <c r="W735" s="98"/>
      <c r="X735" s="98"/>
      <c r="Y735" s="98"/>
      <c r="Z735" s="20"/>
      <c r="AB735" s="20"/>
      <c r="AC735" s="11" t="s">
        <v>1684</v>
      </c>
      <c r="AD735" s="61"/>
      <c r="AE735" s="99"/>
    </row>
    <row r="736" spans="1:31" x14ac:dyDescent="0.25">
      <c r="A736" s="38" t="s">
        <v>36</v>
      </c>
      <c r="B736" s="38" t="s">
        <v>1349</v>
      </c>
      <c r="C736" s="38" t="s">
        <v>1657</v>
      </c>
      <c r="D736" s="11" t="s">
        <v>1685</v>
      </c>
      <c r="E736" s="38"/>
      <c r="F736" s="38"/>
      <c r="G736" s="38"/>
      <c r="H736" s="38">
        <f t="shared" si="34"/>
        <v>0</v>
      </c>
      <c r="I736" s="38"/>
      <c r="J736" s="38"/>
      <c r="K736" s="38"/>
      <c r="L736" s="50"/>
      <c r="M736" s="38"/>
      <c r="N736" s="50"/>
      <c r="O736" s="38"/>
      <c r="P736" s="38"/>
      <c r="Q736" s="98" t="s">
        <v>44</v>
      </c>
      <c r="R736" s="7">
        <v>44554</v>
      </c>
      <c r="S736" s="99"/>
      <c r="T736" s="98">
        <v>0</v>
      </c>
      <c r="U736" s="98"/>
      <c r="V736" s="98"/>
      <c r="W736" s="98"/>
      <c r="X736" s="98"/>
      <c r="Y736" s="98"/>
      <c r="Z736" s="20"/>
      <c r="AB736" s="20"/>
      <c r="AC736" s="11" t="s">
        <v>1685</v>
      </c>
      <c r="AD736" s="61"/>
      <c r="AE736" s="99"/>
    </row>
    <row r="737" spans="1:31" x14ac:dyDescent="0.25">
      <c r="A737" s="38" t="s">
        <v>36</v>
      </c>
      <c r="B737" s="38" t="s">
        <v>1349</v>
      </c>
      <c r="C737" s="38" t="s">
        <v>1657</v>
      </c>
      <c r="D737" s="11" t="s">
        <v>1686</v>
      </c>
      <c r="E737" s="38"/>
      <c r="F737" s="38"/>
      <c r="G737" s="38"/>
      <c r="H737" s="38">
        <f t="shared" si="34"/>
        <v>0</v>
      </c>
      <c r="I737" s="38"/>
      <c r="J737" s="38"/>
      <c r="K737" s="38"/>
      <c r="L737" s="50"/>
      <c r="M737" s="38"/>
      <c r="N737" s="50"/>
      <c r="O737" s="38"/>
      <c r="P737" s="38"/>
      <c r="Q737" s="98" t="s">
        <v>44</v>
      </c>
      <c r="R737" s="7">
        <v>44554</v>
      </c>
      <c r="S737" s="99"/>
      <c r="T737" s="98">
        <v>0</v>
      </c>
      <c r="U737" s="98"/>
      <c r="V737" s="98"/>
      <c r="W737" s="98"/>
      <c r="X737" s="98"/>
      <c r="Y737" s="98"/>
      <c r="Z737" s="20"/>
      <c r="AB737" s="20"/>
      <c r="AC737" s="11" t="s">
        <v>1686</v>
      </c>
      <c r="AD737" s="61"/>
      <c r="AE737" s="99"/>
    </row>
    <row r="738" spans="1:31" x14ac:dyDescent="0.25">
      <c r="A738" s="38" t="s">
        <v>36</v>
      </c>
      <c r="B738" s="38" t="s">
        <v>1349</v>
      </c>
      <c r="C738" s="38" t="s">
        <v>1687</v>
      </c>
      <c r="D738" s="38" t="s">
        <v>1688</v>
      </c>
      <c r="E738" s="38" t="s">
        <v>1689</v>
      </c>
      <c r="F738" s="38">
        <v>843.23</v>
      </c>
      <c r="G738" s="38">
        <v>843.23</v>
      </c>
      <c r="H738" s="38">
        <f t="shared" si="34"/>
        <v>1995</v>
      </c>
      <c r="I738" s="38">
        <v>1307</v>
      </c>
      <c r="J738" s="38">
        <v>688</v>
      </c>
      <c r="K738" s="38">
        <v>619</v>
      </c>
      <c r="L738" s="50">
        <f t="shared" si="35"/>
        <v>31.027568922305765</v>
      </c>
      <c r="M738" s="38">
        <v>102</v>
      </c>
      <c r="N738" s="50">
        <f t="shared" si="36"/>
        <v>5.1127819548872182</v>
      </c>
      <c r="O738" s="38">
        <v>0</v>
      </c>
      <c r="P738" s="38">
        <v>3.39</v>
      </c>
      <c r="Q738" s="34" t="s">
        <v>43</v>
      </c>
      <c r="R738" s="9">
        <v>44550</v>
      </c>
      <c r="S738" s="34"/>
      <c r="T738" s="34">
        <v>20.190000000000001</v>
      </c>
      <c r="U738" s="34"/>
      <c r="V738" s="34"/>
      <c r="W738" s="34"/>
      <c r="X738" s="34"/>
      <c r="Y738" s="34"/>
      <c r="Z738" s="109"/>
      <c r="AB738" s="109"/>
      <c r="AC738" s="34" t="s">
        <v>1690</v>
      </c>
      <c r="AD738" s="34">
        <v>25.673373999999999</v>
      </c>
      <c r="AE738" s="34">
        <v>71.780107999999998</v>
      </c>
    </row>
    <row r="739" spans="1:31" x14ac:dyDescent="0.25">
      <c r="A739" s="38" t="s">
        <v>36</v>
      </c>
      <c r="B739" s="38" t="s">
        <v>1349</v>
      </c>
      <c r="C739" s="38" t="s">
        <v>1687</v>
      </c>
      <c r="D739" s="38" t="s">
        <v>1691</v>
      </c>
      <c r="E739" s="38" t="s">
        <v>1692</v>
      </c>
      <c r="F739" s="38">
        <v>1035.33</v>
      </c>
      <c r="G739" s="38">
        <v>1035.33</v>
      </c>
      <c r="H739" s="38">
        <f t="shared" si="34"/>
        <v>964</v>
      </c>
      <c r="I739" s="38">
        <v>621</v>
      </c>
      <c r="J739" s="38">
        <v>343</v>
      </c>
      <c r="K739" s="38">
        <v>278</v>
      </c>
      <c r="L739" s="50">
        <f t="shared" si="35"/>
        <v>28.838174273858918</v>
      </c>
      <c r="M739" s="38">
        <v>0</v>
      </c>
      <c r="N739" s="50">
        <f t="shared" si="36"/>
        <v>0</v>
      </c>
      <c r="O739" s="38">
        <v>0</v>
      </c>
      <c r="P739" s="38">
        <v>0</v>
      </c>
      <c r="Q739" s="61" t="s">
        <v>43</v>
      </c>
      <c r="R739" s="7">
        <v>44550</v>
      </c>
      <c r="S739" s="61"/>
      <c r="T739" s="61">
        <v>0</v>
      </c>
      <c r="U739" s="61"/>
      <c r="V739" s="61"/>
      <c r="W739" s="61"/>
      <c r="X739" s="61"/>
      <c r="Y739" s="61"/>
      <c r="Z739" s="20"/>
      <c r="AB739" s="20"/>
      <c r="AC739" s="11" t="s">
        <v>1693</v>
      </c>
      <c r="AD739" s="61">
        <v>0</v>
      </c>
      <c r="AE739" s="61"/>
    </row>
    <row r="740" spans="1:31" x14ac:dyDescent="0.25">
      <c r="A740" s="38" t="s">
        <v>36</v>
      </c>
      <c r="B740" s="38" t="s">
        <v>1349</v>
      </c>
      <c r="C740" s="38" t="s">
        <v>1687</v>
      </c>
      <c r="D740" s="38" t="s">
        <v>1694</v>
      </c>
      <c r="E740" s="38" t="s">
        <v>1695</v>
      </c>
      <c r="F740" s="38">
        <v>401.88</v>
      </c>
      <c r="G740" s="38">
        <v>401.88</v>
      </c>
      <c r="H740" s="38">
        <f t="shared" si="34"/>
        <v>618</v>
      </c>
      <c r="I740" s="38">
        <v>403</v>
      </c>
      <c r="J740" s="38">
        <v>215</v>
      </c>
      <c r="K740" s="38">
        <v>188</v>
      </c>
      <c r="L740" s="50">
        <f t="shared" si="35"/>
        <v>30.420711974110031</v>
      </c>
      <c r="M740" s="38">
        <v>41</v>
      </c>
      <c r="N740" s="50">
        <f t="shared" si="36"/>
        <v>6.6343042071197411</v>
      </c>
      <c r="O740" s="38">
        <v>0</v>
      </c>
      <c r="P740" s="38">
        <v>0</v>
      </c>
      <c r="Q740" s="61" t="s">
        <v>43</v>
      </c>
      <c r="R740" s="7">
        <v>44550</v>
      </c>
      <c r="S740" s="61"/>
      <c r="T740" s="61">
        <v>0</v>
      </c>
      <c r="U740" s="61"/>
      <c r="V740" s="61"/>
      <c r="W740" s="61"/>
      <c r="X740" s="61"/>
      <c r="Y740" s="61"/>
      <c r="Z740" s="20"/>
      <c r="AB740" s="20"/>
      <c r="AC740" s="11" t="s">
        <v>1694</v>
      </c>
      <c r="AD740" s="61">
        <v>0</v>
      </c>
      <c r="AE740" s="61"/>
    </row>
    <row r="741" spans="1:31" x14ac:dyDescent="0.25">
      <c r="A741" s="38" t="s">
        <v>36</v>
      </c>
      <c r="B741" s="38" t="s">
        <v>1349</v>
      </c>
      <c r="C741" s="38" t="s">
        <v>1687</v>
      </c>
      <c r="D741" s="38" t="s">
        <v>1696</v>
      </c>
      <c r="E741" s="38" t="s">
        <v>1697</v>
      </c>
      <c r="F741" s="38">
        <v>593.86</v>
      </c>
      <c r="G741" s="38">
        <v>593.86</v>
      </c>
      <c r="H741" s="38">
        <f t="shared" si="34"/>
        <v>1888</v>
      </c>
      <c r="I741" s="38">
        <v>1255</v>
      </c>
      <c r="J741" s="38">
        <v>633</v>
      </c>
      <c r="K741" s="38">
        <v>622</v>
      </c>
      <c r="L741" s="50">
        <f t="shared" si="35"/>
        <v>32.944915254237287</v>
      </c>
      <c r="M741" s="38">
        <v>88</v>
      </c>
      <c r="N741" s="50">
        <f t="shared" si="36"/>
        <v>4.6610169491525424</v>
      </c>
      <c r="O741" s="38">
        <v>0</v>
      </c>
      <c r="P741" s="38">
        <v>46.39</v>
      </c>
      <c r="Q741" s="39" t="s">
        <v>44</v>
      </c>
      <c r="R741" s="25">
        <v>44550</v>
      </c>
      <c r="S741" s="40"/>
      <c r="T741" s="39">
        <v>283</v>
      </c>
      <c r="U741" s="39"/>
      <c r="V741" s="39"/>
      <c r="W741" s="39"/>
      <c r="X741" s="39"/>
      <c r="Y741" s="39"/>
      <c r="Z741" s="3"/>
      <c r="AB741" s="3"/>
      <c r="AC741" s="60" t="s">
        <v>1698</v>
      </c>
      <c r="AD741" s="2">
        <v>0</v>
      </c>
      <c r="AE741" s="40">
        <v>0</v>
      </c>
    </row>
    <row r="742" spans="1:31" x14ac:dyDescent="0.25">
      <c r="A742" s="38" t="s">
        <v>36</v>
      </c>
      <c r="B742" s="38" t="s">
        <v>1349</v>
      </c>
      <c r="C742" s="38" t="s">
        <v>1699</v>
      </c>
      <c r="D742" s="38" t="s">
        <v>1700</v>
      </c>
      <c r="E742" s="38" t="s">
        <v>1701</v>
      </c>
      <c r="F742" s="38">
        <v>1300.5</v>
      </c>
      <c r="G742" s="38">
        <v>1300.5</v>
      </c>
      <c r="H742" s="38">
        <f t="shared" si="34"/>
        <v>1758</v>
      </c>
      <c r="I742" s="38">
        <v>1150</v>
      </c>
      <c r="J742" s="38">
        <v>608</v>
      </c>
      <c r="K742" s="38">
        <v>542</v>
      </c>
      <c r="L742" s="50">
        <f t="shared" si="35"/>
        <v>30.830489192263936</v>
      </c>
      <c r="M742" s="38">
        <v>16</v>
      </c>
      <c r="N742" s="50">
        <f t="shared" si="36"/>
        <v>0.91012514220705343</v>
      </c>
      <c r="O742" s="38">
        <v>0</v>
      </c>
      <c r="P742" s="38">
        <v>13.01</v>
      </c>
      <c r="Q742" s="39" t="s">
        <v>44</v>
      </c>
      <c r="R742" s="25">
        <v>44536</v>
      </c>
      <c r="S742" s="40"/>
      <c r="T742" s="39">
        <v>13</v>
      </c>
      <c r="U742" s="39"/>
      <c r="V742" s="39"/>
      <c r="W742" s="39"/>
      <c r="X742" s="39"/>
      <c r="Y742" s="39"/>
      <c r="Z742" s="3"/>
      <c r="AB742" s="3"/>
      <c r="AC742" s="42" t="s">
        <v>1702</v>
      </c>
      <c r="AD742" s="2"/>
      <c r="AE742" s="40"/>
    </row>
    <row r="743" spans="1:31" x14ac:dyDescent="0.25">
      <c r="A743" s="38" t="s">
        <v>36</v>
      </c>
      <c r="B743" s="38" t="s">
        <v>1349</v>
      </c>
      <c r="C743" s="38" t="s">
        <v>1699</v>
      </c>
      <c r="D743" s="38" t="s">
        <v>1703</v>
      </c>
      <c r="E743" s="38" t="s">
        <v>1704</v>
      </c>
      <c r="F743" s="38">
        <v>641.16999999999996</v>
      </c>
      <c r="G743" s="38">
        <v>641.16999999999996</v>
      </c>
      <c r="H743" s="38">
        <f t="shared" si="34"/>
        <v>1026</v>
      </c>
      <c r="I743" s="38">
        <v>681</v>
      </c>
      <c r="J743" s="38">
        <v>345</v>
      </c>
      <c r="K743" s="38">
        <v>336</v>
      </c>
      <c r="L743" s="50">
        <f t="shared" si="35"/>
        <v>32.748538011695906</v>
      </c>
      <c r="M743" s="38">
        <v>0</v>
      </c>
      <c r="N743" s="50">
        <f t="shared" si="36"/>
        <v>0</v>
      </c>
      <c r="O743" s="38">
        <v>0</v>
      </c>
      <c r="P743" s="38">
        <v>59.15</v>
      </c>
      <c r="Q743" s="34" t="s">
        <v>43</v>
      </c>
      <c r="R743" s="9">
        <v>44536</v>
      </c>
      <c r="S743" s="34"/>
      <c r="T743" s="34">
        <v>59</v>
      </c>
      <c r="U743" s="34"/>
      <c r="V743" s="34"/>
      <c r="W743" s="34"/>
      <c r="X743" s="34"/>
      <c r="Y743" s="34"/>
      <c r="Z743" s="109"/>
      <c r="AB743" s="109">
        <v>9</v>
      </c>
      <c r="AC743" s="34" t="s">
        <v>1705</v>
      </c>
      <c r="AD743" s="34">
        <v>25.644386999999998</v>
      </c>
      <c r="AE743" s="34">
        <v>71.727217999999993</v>
      </c>
    </row>
    <row r="744" spans="1:31" x14ac:dyDescent="0.25">
      <c r="A744" s="38" t="s">
        <v>36</v>
      </c>
      <c r="B744" s="38" t="s">
        <v>1349</v>
      </c>
      <c r="C744" s="38" t="s">
        <v>1699</v>
      </c>
      <c r="D744" s="38" t="s">
        <v>1707</v>
      </c>
      <c r="E744" s="38" t="s">
        <v>1708</v>
      </c>
      <c r="F744" s="38">
        <v>621.1</v>
      </c>
      <c r="G744" s="38">
        <v>621.1</v>
      </c>
      <c r="H744" s="38">
        <f t="shared" si="34"/>
        <v>982</v>
      </c>
      <c r="I744" s="38">
        <v>659</v>
      </c>
      <c r="J744" s="38">
        <v>323</v>
      </c>
      <c r="K744" s="38">
        <v>336</v>
      </c>
      <c r="L744" s="50">
        <f t="shared" si="35"/>
        <v>34.215885947046843</v>
      </c>
      <c r="M744" s="38">
        <v>0</v>
      </c>
      <c r="N744" s="50">
        <f t="shared" si="36"/>
        <v>0</v>
      </c>
      <c r="O744" s="38">
        <v>0</v>
      </c>
      <c r="P744" s="38">
        <v>0</v>
      </c>
    </row>
    <row r="745" spans="1:31" x14ac:dyDescent="0.25">
      <c r="A745" s="38" t="s">
        <v>36</v>
      </c>
      <c r="B745" s="38" t="s">
        <v>1349</v>
      </c>
      <c r="C745" s="38" t="s">
        <v>1699</v>
      </c>
      <c r="D745" s="38" t="s">
        <v>1709</v>
      </c>
      <c r="E745" s="38" t="s">
        <v>1710</v>
      </c>
      <c r="F745" s="38">
        <v>1481.62</v>
      </c>
      <c r="G745" s="38">
        <v>1481.62</v>
      </c>
      <c r="H745" s="38">
        <f t="shared" si="34"/>
        <v>2144</v>
      </c>
      <c r="I745" s="38">
        <v>1408</v>
      </c>
      <c r="J745" s="38">
        <v>736</v>
      </c>
      <c r="K745" s="38">
        <v>672</v>
      </c>
      <c r="L745" s="50">
        <f t="shared" si="35"/>
        <v>31.343283582089555</v>
      </c>
      <c r="M745" s="38">
        <v>0</v>
      </c>
      <c r="N745" s="50">
        <f t="shared" si="36"/>
        <v>0</v>
      </c>
      <c r="O745" s="38">
        <v>0</v>
      </c>
      <c r="P745" s="38">
        <v>0</v>
      </c>
    </row>
    <row r="746" spans="1:31" x14ac:dyDescent="0.25">
      <c r="A746" s="38" t="s">
        <v>36</v>
      </c>
      <c r="B746" s="38" t="s">
        <v>1349</v>
      </c>
      <c r="C746" s="38" t="s">
        <v>1699</v>
      </c>
      <c r="D746" s="38" t="s">
        <v>1711</v>
      </c>
      <c r="E746" s="38" t="s">
        <v>1712</v>
      </c>
      <c r="F746" s="38">
        <v>1034</v>
      </c>
      <c r="G746" s="38">
        <v>1034</v>
      </c>
      <c r="H746" s="38">
        <f t="shared" si="34"/>
        <v>1117</v>
      </c>
      <c r="I746" s="38">
        <v>726</v>
      </c>
      <c r="J746" s="38">
        <v>391</v>
      </c>
      <c r="K746" s="38">
        <v>335</v>
      </c>
      <c r="L746" s="50">
        <f t="shared" si="35"/>
        <v>29.991047448522828</v>
      </c>
      <c r="M746" s="38">
        <v>50</v>
      </c>
      <c r="N746" s="50">
        <f t="shared" si="36"/>
        <v>4.476275738585497</v>
      </c>
      <c r="O746" s="38">
        <v>0</v>
      </c>
      <c r="P746" s="38">
        <v>0</v>
      </c>
    </row>
    <row r="747" spans="1:31" x14ac:dyDescent="0.25">
      <c r="A747" s="38" t="s">
        <v>36</v>
      </c>
      <c r="B747" s="38" t="s">
        <v>1349</v>
      </c>
      <c r="C747" s="38" t="s">
        <v>1713</v>
      </c>
      <c r="D747" s="38" t="s">
        <v>1714</v>
      </c>
      <c r="E747" s="38" t="s">
        <v>1715</v>
      </c>
      <c r="F747" s="38">
        <v>557</v>
      </c>
      <c r="G747" s="38">
        <v>557</v>
      </c>
      <c r="H747" s="38">
        <f t="shared" si="34"/>
        <v>1798</v>
      </c>
      <c r="I747" s="38">
        <v>1174</v>
      </c>
      <c r="J747" s="38">
        <v>624</v>
      </c>
      <c r="K747" s="38">
        <v>550</v>
      </c>
      <c r="L747" s="50">
        <f t="shared" si="35"/>
        <v>30.589543937708562</v>
      </c>
      <c r="M747" s="38">
        <v>4</v>
      </c>
      <c r="N747" s="50">
        <f t="shared" si="36"/>
        <v>0.22246941045606228</v>
      </c>
      <c r="O747" s="38">
        <v>0</v>
      </c>
      <c r="P747" s="38">
        <v>0</v>
      </c>
      <c r="Q747" s="34" t="s">
        <v>43</v>
      </c>
      <c r="R747" s="88">
        <v>44552</v>
      </c>
      <c r="S747" s="34"/>
      <c r="T747" s="34">
        <v>14</v>
      </c>
      <c r="U747" s="34"/>
      <c r="V747" s="34"/>
      <c r="W747" s="34"/>
      <c r="X747" s="34"/>
      <c r="Y747" s="34"/>
      <c r="Z747" s="89"/>
      <c r="AB747" s="89">
        <v>4</v>
      </c>
      <c r="AC747" s="34" t="s">
        <v>1716</v>
      </c>
      <c r="AD747" s="34">
        <v>71.478926000000001</v>
      </c>
      <c r="AE747" s="34">
        <v>25.706092999999999</v>
      </c>
    </row>
    <row r="748" spans="1:31" x14ac:dyDescent="0.25">
      <c r="A748" s="38" t="s">
        <v>36</v>
      </c>
      <c r="B748" s="38" t="s">
        <v>1349</v>
      </c>
      <c r="C748" s="38" t="s">
        <v>1713</v>
      </c>
      <c r="D748" s="38" t="s">
        <v>1717</v>
      </c>
      <c r="E748" s="38" t="s">
        <v>1718</v>
      </c>
      <c r="F748" s="38">
        <v>203</v>
      </c>
      <c r="G748" s="38">
        <v>203</v>
      </c>
      <c r="H748" s="38">
        <f t="shared" si="34"/>
        <v>274</v>
      </c>
      <c r="I748" s="38">
        <v>175</v>
      </c>
      <c r="J748" s="38">
        <v>99</v>
      </c>
      <c r="K748" s="38">
        <v>76</v>
      </c>
      <c r="L748" s="50">
        <f t="shared" si="35"/>
        <v>27.737226277372262</v>
      </c>
      <c r="M748" s="38">
        <v>27</v>
      </c>
      <c r="N748" s="50">
        <f t="shared" si="36"/>
        <v>9.8540145985401466</v>
      </c>
      <c r="O748" s="38">
        <v>0</v>
      </c>
      <c r="P748" s="38">
        <v>0</v>
      </c>
    </row>
    <row r="749" spans="1:31" x14ac:dyDescent="0.25">
      <c r="A749" s="38" t="s">
        <v>36</v>
      </c>
      <c r="B749" s="38" t="s">
        <v>1349</v>
      </c>
      <c r="C749" s="38" t="s">
        <v>1713</v>
      </c>
      <c r="D749" s="38" t="s">
        <v>727</v>
      </c>
      <c r="E749" s="38" t="s">
        <v>1719</v>
      </c>
      <c r="F749" s="38">
        <v>345</v>
      </c>
      <c r="G749" s="38">
        <v>345</v>
      </c>
      <c r="H749" s="38">
        <f t="shared" si="34"/>
        <v>507</v>
      </c>
      <c r="I749" s="38">
        <v>337</v>
      </c>
      <c r="J749" s="38">
        <v>170</v>
      </c>
      <c r="K749" s="38">
        <v>167</v>
      </c>
      <c r="L749" s="50">
        <f t="shared" si="35"/>
        <v>32.938856015779095</v>
      </c>
      <c r="M749" s="38">
        <v>0</v>
      </c>
      <c r="N749" s="50">
        <f t="shared" si="36"/>
        <v>0</v>
      </c>
      <c r="O749" s="38">
        <v>0</v>
      </c>
      <c r="P749" s="38">
        <v>0</v>
      </c>
    </row>
    <row r="750" spans="1:31" x14ac:dyDescent="0.25">
      <c r="A750" s="38" t="s">
        <v>36</v>
      </c>
      <c r="B750" s="38" t="s">
        <v>1349</v>
      </c>
      <c r="C750" s="38" t="s">
        <v>1713</v>
      </c>
      <c r="D750" s="38" t="s">
        <v>1720</v>
      </c>
      <c r="E750" s="38" t="s">
        <v>1721</v>
      </c>
      <c r="F750" s="38">
        <v>313</v>
      </c>
      <c r="G750" s="38">
        <v>313</v>
      </c>
      <c r="H750" s="38">
        <f t="shared" si="34"/>
        <v>800</v>
      </c>
      <c r="I750" s="38">
        <v>526</v>
      </c>
      <c r="J750" s="38">
        <v>274</v>
      </c>
      <c r="K750" s="38">
        <v>252</v>
      </c>
      <c r="L750" s="50">
        <f t="shared" si="35"/>
        <v>31.5</v>
      </c>
      <c r="M750" s="38">
        <v>252</v>
      </c>
      <c r="N750" s="50">
        <f t="shared" si="36"/>
        <v>31.5</v>
      </c>
      <c r="O750" s="38">
        <v>0</v>
      </c>
      <c r="P750" s="38">
        <v>0</v>
      </c>
    </row>
    <row r="751" spans="1:31" x14ac:dyDescent="0.25">
      <c r="A751" s="38" t="s">
        <v>36</v>
      </c>
      <c r="B751" s="38" t="s">
        <v>1349</v>
      </c>
      <c r="C751" s="38" t="s">
        <v>1713</v>
      </c>
      <c r="D751" s="38" t="s">
        <v>1722</v>
      </c>
      <c r="E751" s="38" t="s">
        <v>1723</v>
      </c>
      <c r="F751" s="38">
        <v>486</v>
      </c>
      <c r="G751" s="38">
        <v>486</v>
      </c>
      <c r="H751" s="38">
        <f t="shared" si="34"/>
        <v>434</v>
      </c>
      <c r="I751" s="38">
        <v>278</v>
      </c>
      <c r="J751" s="38">
        <v>156</v>
      </c>
      <c r="K751" s="38">
        <v>122</v>
      </c>
      <c r="L751" s="50">
        <f t="shared" si="35"/>
        <v>28.110599078341014</v>
      </c>
      <c r="M751" s="38">
        <v>0</v>
      </c>
      <c r="N751" s="50">
        <f t="shared" si="36"/>
        <v>0</v>
      </c>
      <c r="O751" s="38">
        <v>0</v>
      </c>
      <c r="P751" s="38">
        <v>0</v>
      </c>
    </row>
    <row r="752" spans="1:31" x14ac:dyDescent="0.25">
      <c r="A752" s="38" t="s">
        <v>36</v>
      </c>
      <c r="B752" s="38" t="s">
        <v>1349</v>
      </c>
      <c r="C752" s="38" t="s">
        <v>1724</v>
      </c>
      <c r="D752" s="38" t="s">
        <v>1725</v>
      </c>
      <c r="E752" s="38" t="s">
        <v>1726</v>
      </c>
      <c r="F752" s="38">
        <v>992</v>
      </c>
      <c r="G752" s="38">
        <v>992</v>
      </c>
      <c r="H752" s="38">
        <f t="shared" si="34"/>
        <v>3661</v>
      </c>
      <c r="I752" s="38">
        <v>2252</v>
      </c>
      <c r="J752" s="38">
        <v>1409</v>
      </c>
      <c r="K752" s="38">
        <v>843</v>
      </c>
      <c r="L752" s="50">
        <f t="shared" si="35"/>
        <v>23.026495493034691</v>
      </c>
      <c r="M752" s="38">
        <v>18</v>
      </c>
      <c r="N752" s="50">
        <f t="shared" si="36"/>
        <v>0.49166894291177277</v>
      </c>
      <c r="O752" s="38">
        <v>0</v>
      </c>
      <c r="P752" s="38">
        <v>0</v>
      </c>
      <c r="Q752" s="61" t="s">
        <v>43</v>
      </c>
      <c r="R752" s="7">
        <v>44540</v>
      </c>
      <c r="S752" s="61"/>
      <c r="T752" s="61">
        <v>0</v>
      </c>
      <c r="U752" s="61"/>
      <c r="V752" s="61"/>
      <c r="W752" s="61"/>
      <c r="X752" s="61"/>
      <c r="Y752" s="61"/>
      <c r="Z752" s="20"/>
      <c r="AB752" s="20"/>
      <c r="AC752" s="11" t="s">
        <v>1724</v>
      </c>
      <c r="AD752" s="61">
        <v>0</v>
      </c>
      <c r="AE752" s="61"/>
    </row>
    <row r="753" spans="1:31" x14ac:dyDescent="0.25">
      <c r="A753" s="38" t="s">
        <v>36</v>
      </c>
      <c r="B753" s="38" t="s">
        <v>1727</v>
      </c>
      <c r="C753" s="38" t="s">
        <v>1728</v>
      </c>
      <c r="D753" s="38" t="s">
        <v>1729</v>
      </c>
      <c r="E753" s="38" t="s">
        <v>1730</v>
      </c>
      <c r="F753" s="38">
        <v>1993</v>
      </c>
      <c r="G753" s="38">
        <v>1993</v>
      </c>
      <c r="H753" s="38">
        <f t="shared" si="34"/>
        <v>1039</v>
      </c>
      <c r="I753" s="38">
        <v>658</v>
      </c>
      <c r="J753" s="38">
        <v>381</v>
      </c>
      <c r="K753" s="38">
        <v>277</v>
      </c>
      <c r="L753" s="50">
        <f t="shared" si="35"/>
        <v>26.66025024061598</v>
      </c>
      <c r="M753" s="38">
        <v>120</v>
      </c>
      <c r="N753" s="50">
        <f t="shared" si="36"/>
        <v>11.549566891241577</v>
      </c>
      <c r="O753" s="38">
        <v>0</v>
      </c>
      <c r="P753" s="38">
        <v>232</v>
      </c>
      <c r="Q753" s="125" t="s">
        <v>43</v>
      </c>
      <c r="R753" s="91">
        <v>44543</v>
      </c>
      <c r="S753" s="126"/>
      <c r="T753" s="125">
        <v>38.659999999999997</v>
      </c>
      <c r="U753" s="125"/>
      <c r="V753" s="125"/>
      <c r="W753" s="125"/>
      <c r="X753" s="125"/>
      <c r="Y753" s="125"/>
      <c r="Z753" s="92"/>
      <c r="AB753" s="92"/>
      <c r="AC753" s="71" t="s">
        <v>1731</v>
      </c>
      <c r="AD753" s="90"/>
      <c r="AE753" s="126"/>
    </row>
    <row r="754" spans="1:31" x14ac:dyDescent="0.25">
      <c r="A754" s="38" t="s">
        <v>36</v>
      </c>
      <c r="B754" s="38" t="s">
        <v>1727</v>
      </c>
      <c r="C754" s="38" t="s">
        <v>1728</v>
      </c>
      <c r="D754" s="38" t="s">
        <v>1733</v>
      </c>
      <c r="E754" s="38" t="s">
        <v>1734</v>
      </c>
      <c r="F754" s="38">
        <v>1973</v>
      </c>
      <c r="G754" s="38">
        <v>1973</v>
      </c>
      <c r="H754" s="38">
        <f t="shared" si="34"/>
        <v>2423</v>
      </c>
      <c r="I754" s="38">
        <v>1562</v>
      </c>
      <c r="J754" s="38">
        <v>861</v>
      </c>
      <c r="K754" s="38">
        <v>701</v>
      </c>
      <c r="L754" s="50">
        <f t="shared" si="35"/>
        <v>28.93107717705324</v>
      </c>
      <c r="M754" s="38">
        <v>272</v>
      </c>
      <c r="N754" s="50">
        <f t="shared" si="36"/>
        <v>11.225753198514239</v>
      </c>
      <c r="O754" s="38">
        <v>0</v>
      </c>
      <c r="P754" s="38">
        <v>389</v>
      </c>
      <c r="Q754" s="127" t="s">
        <v>43</v>
      </c>
      <c r="R754" s="128">
        <v>44543</v>
      </c>
      <c r="S754" s="129"/>
      <c r="T754" s="127">
        <v>64.83</v>
      </c>
      <c r="U754" s="127"/>
      <c r="V754" s="127"/>
      <c r="W754" s="127"/>
      <c r="X754" s="127"/>
      <c r="Y754" s="127"/>
      <c r="Z754" s="130"/>
      <c r="AB754" s="130"/>
      <c r="AC754" s="131" t="s">
        <v>1735</v>
      </c>
      <c r="AD754" s="132"/>
      <c r="AE754" s="129"/>
    </row>
    <row r="755" spans="1:31" x14ac:dyDescent="0.25">
      <c r="A755" s="38" t="s">
        <v>36</v>
      </c>
      <c r="B755" s="38" t="s">
        <v>1727</v>
      </c>
      <c r="C755" s="38" t="s">
        <v>1728</v>
      </c>
      <c r="D755" s="38" t="s">
        <v>1736</v>
      </c>
      <c r="E755" s="38" t="s">
        <v>1737</v>
      </c>
      <c r="F755" s="38">
        <v>379</v>
      </c>
      <c r="G755" s="38">
        <v>379</v>
      </c>
      <c r="H755" s="38">
        <f t="shared" si="34"/>
        <v>253</v>
      </c>
      <c r="I755" s="38">
        <v>159</v>
      </c>
      <c r="J755" s="38">
        <v>94</v>
      </c>
      <c r="K755" s="38">
        <v>65</v>
      </c>
      <c r="L755" s="50">
        <f t="shared" si="35"/>
        <v>25.691699604743086</v>
      </c>
      <c r="M755" s="38">
        <v>5</v>
      </c>
      <c r="N755" s="50">
        <f t="shared" si="36"/>
        <v>1.9762845849802373</v>
      </c>
      <c r="O755" s="38">
        <v>0</v>
      </c>
      <c r="P755" s="38">
        <v>0</v>
      </c>
      <c r="Q755" s="132" t="s">
        <v>43</v>
      </c>
      <c r="R755" s="128">
        <v>44543</v>
      </c>
      <c r="S755" s="132"/>
      <c r="T755" s="132">
        <v>0</v>
      </c>
      <c r="U755" s="132"/>
      <c r="V755" s="132"/>
      <c r="W755" s="132"/>
      <c r="X755" s="132"/>
      <c r="Y755" s="132"/>
      <c r="Z755" s="130"/>
      <c r="AB755" s="130"/>
      <c r="AC755" s="131" t="s">
        <v>1736</v>
      </c>
      <c r="AD755" s="132">
        <v>0</v>
      </c>
      <c r="AE755" s="132"/>
    </row>
    <row r="756" spans="1:31" x14ac:dyDescent="0.25">
      <c r="A756" s="38" t="s">
        <v>36</v>
      </c>
      <c r="B756" s="38" t="s">
        <v>1727</v>
      </c>
      <c r="C756" s="38" t="s">
        <v>1728</v>
      </c>
      <c r="D756" s="38" t="s">
        <v>1738</v>
      </c>
      <c r="E756" s="38" t="s">
        <v>1739</v>
      </c>
      <c r="F756" s="38">
        <v>1086</v>
      </c>
      <c r="G756" s="38">
        <v>1086</v>
      </c>
      <c r="H756" s="38">
        <f t="shared" si="34"/>
        <v>895</v>
      </c>
      <c r="I756" s="38">
        <v>577</v>
      </c>
      <c r="J756" s="38">
        <v>318</v>
      </c>
      <c r="K756" s="38">
        <v>259</v>
      </c>
      <c r="L756" s="50">
        <f t="shared" si="35"/>
        <v>28.938547486033517</v>
      </c>
      <c r="M756" s="38">
        <v>77</v>
      </c>
      <c r="N756" s="50">
        <f t="shared" si="36"/>
        <v>8.6033519553072626</v>
      </c>
      <c r="O756" s="38">
        <v>0</v>
      </c>
      <c r="P756" s="38">
        <v>0</v>
      </c>
      <c r="Q756" s="61" t="s">
        <v>43</v>
      </c>
      <c r="R756" s="7">
        <v>44543</v>
      </c>
      <c r="S756" s="61"/>
      <c r="T756" s="61">
        <v>0</v>
      </c>
      <c r="U756" s="61"/>
      <c r="V756" s="61"/>
      <c r="W756" s="61"/>
      <c r="X756" s="61"/>
      <c r="Y756" s="61"/>
      <c r="Z756" s="20"/>
      <c r="AB756" s="20"/>
      <c r="AC756" s="11" t="s">
        <v>1738</v>
      </c>
      <c r="AD756" s="61">
        <v>0</v>
      </c>
      <c r="AE756" s="61"/>
    </row>
    <row r="757" spans="1:31" x14ac:dyDescent="0.25">
      <c r="A757" s="38" t="s">
        <v>36</v>
      </c>
      <c r="B757" s="38" t="s">
        <v>1727</v>
      </c>
      <c r="C757" s="38" t="s">
        <v>1740</v>
      </c>
      <c r="D757" s="38" t="s">
        <v>1741</v>
      </c>
      <c r="E757" s="38" t="s">
        <v>1742</v>
      </c>
      <c r="F757" s="38">
        <v>781.4</v>
      </c>
      <c r="G757" s="38">
        <v>781.4</v>
      </c>
      <c r="H757" s="38">
        <f t="shared" si="34"/>
        <v>1510</v>
      </c>
      <c r="I757" s="38">
        <v>997</v>
      </c>
      <c r="J757" s="38">
        <v>513</v>
      </c>
      <c r="K757" s="38">
        <v>484</v>
      </c>
      <c r="L757" s="50">
        <f t="shared" si="35"/>
        <v>32.05298013245033</v>
      </c>
      <c r="M757" s="38">
        <v>54</v>
      </c>
      <c r="N757" s="50">
        <f t="shared" si="36"/>
        <v>3.576158940397351</v>
      </c>
      <c r="O757" s="38">
        <v>0</v>
      </c>
      <c r="P757" s="38">
        <v>21.36</v>
      </c>
      <c r="Q757" s="98" t="s">
        <v>160</v>
      </c>
      <c r="R757" s="11" t="s">
        <v>1744</v>
      </c>
      <c r="S757" s="99"/>
      <c r="T757" s="98">
        <v>11.295999999999999</v>
      </c>
      <c r="U757" s="98"/>
      <c r="V757" s="98"/>
      <c r="W757" s="98"/>
      <c r="X757" s="98"/>
      <c r="Y757" s="98"/>
      <c r="Z757" s="20"/>
      <c r="AB757" s="20"/>
      <c r="AC757" s="11" t="s">
        <v>1743</v>
      </c>
      <c r="AD757" s="61"/>
      <c r="AE757" s="99"/>
    </row>
    <row r="758" spans="1:31" x14ac:dyDescent="0.25">
      <c r="A758" s="38" t="s">
        <v>36</v>
      </c>
      <c r="B758" s="38" t="s">
        <v>1727</v>
      </c>
      <c r="C758" s="38" t="s">
        <v>1740</v>
      </c>
      <c r="D758" s="38" t="s">
        <v>1745</v>
      </c>
      <c r="E758" s="38" t="s">
        <v>1746</v>
      </c>
      <c r="F758" s="38">
        <v>545.09</v>
      </c>
      <c r="G758" s="38">
        <v>545.09</v>
      </c>
      <c r="H758" s="38">
        <f t="shared" si="34"/>
        <v>824</v>
      </c>
      <c r="I758" s="38">
        <v>539</v>
      </c>
      <c r="J758" s="38">
        <v>285</v>
      </c>
      <c r="K758" s="38">
        <v>254</v>
      </c>
      <c r="L758" s="50">
        <f t="shared" si="35"/>
        <v>30.825242718446599</v>
      </c>
      <c r="M758" s="38">
        <v>0</v>
      </c>
      <c r="N758" s="50">
        <f t="shared" si="36"/>
        <v>0</v>
      </c>
      <c r="O758" s="38">
        <v>0</v>
      </c>
      <c r="P758" s="38">
        <v>0</v>
      </c>
      <c r="Q758" s="98" t="s">
        <v>160</v>
      </c>
      <c r="R758" s="11" t="s">
        <v>1744</v>
      </c>
      <c r="S758" s="99"/>
      <c r="T758" s="98">
        <v>0</v>
      </c>
      <c r="U758" s="98"/>
      <c r="V758" s="98"/>
      <c r="W758" s="98"/>
      <c r="X758" s="98"/>
      <c r="Y758" s="98"/>
      <c r="Z758" s="20"/>
      <c r="AB758" s="20"/>
      <c r="AC758" s="11" t="s">
        <v>1747</v>
      </c>
      <c r="AD758" s="61"/>
      <c r="AE758" s="99"/>
    </row>
    <row r="759" spans="1:31" x14ac:dyDescent="0.25">
      <c r="A759" s="38" t="s">
        <v>36</v>
      </c>
      <c r="B759" s="37" t="s">
        <v>1727</v>
      </c>
      <c r="C759" s="38" t="s">
        <v>1740</v>
      </c>
      <c r="D759" s="38" t="s">
        <v>1748</v>
      </c>
      <c r="E759" s="38" t="s">
        <v>1749</v>
      </c>
      <c r="F759" s="38">
        <v>956.85</v>
      </c>
      <c r="G759" s="38">
        <v>956.85</v>
      </c>
      <c r="H759" s="38">
        <f t="shared" si="34"/>
        <v>1566</v>
      </c>
      <c r="I759" s="38">
        <v>1030</v>
      </c>
      <c r="J759" s="38">
        <v>536</v>
      </c>
      <c r="K759" s="38">
        <v>494</v>
      </c>
      <c r="L759" s="50">
        <f t="shared" si="35"/>
        <v>31.545338441890163</v>
      </c>
      <c r="M759" s="38">
        <v>77</v>
      </c>
      <c r="N759" s="50">
        <f t="shared" si="36"/>
        <v>4.9169859514687104</v>
      </c>
      <c r="O759" s="38">
        <v>0</v>
      </c>
      <c r="P759" s="38">
        <v>0</v>
      </c>
      <c r="Q759" s="39" t="s">
        <v>44</v>
      </c>
      <c r="R759" s="11" t="s">
        <v>1744</v>
      </c>
      <c r="S759" s="40"/>
      <c r="T759" s="39">
        <v>9.9456000000000007</v>
      </c>
      <c r="U759" s="39"/>
      <c r="V759" s="39"/>
      <c r="W759" s="39"/>
      <c r="X759" s="39"/>
      <c r="Y759" s="39"/>
      <c r="Z759" s="3"/>
      <c r="AB759" s="3"/>
      <c r="AC759" s="11" t="s">
        <v>1750</v>
      </c>
      <c r="AD759" s="2"/>
      <c r="AE759" s="40"/>
    </row>
    <row r="760" spans="1:31" x14ac:dyDescent="0.25">
      <c r="A760" s="38" t="s">
        <v>36</v>
      </c>
      <c r="B760" s="37" t="s">
        <v>1727</v>
      </c>
      <c r="C760" s="64" t="s">
        <v>1751</v>
      </c>
      <c r="D760" s="62" t="s">
        <v>1752</v>
      </c>
      <c r="E760" s="38"/>
      <c r="F760" s="38"/>
      <c r="G760" s="38"/>
      <c r="H760" s="38">
        <f t="shared" si="34"/>
        <v>0</v>
      </c>
      <c r="I760" s="38"/>
      <c r="J760" s="38"/>
      <c r="K760" s="38"/>
      <c r="L760" s="50"/>
      <c r="M760" s="38"/>
      <c r="N760" s="50"/>
      <c r="O760" s="38"/>
      <c r="P760" s="38"/>
      <c r="Q760" s="63" t="s">
        <v>43</v>
      </c>
      <c r="R760" s="133">
        <v>44550</v>
      </c>
      <c r="S760" s="63"/>
      <c r="T760" s="63">
        <v>57</v>
      </c>
      <c r="U760" s="63"/>
      <c r="V760" s="63"/>
      <c r="W760" s="63"/>
      <c r="X760" s="63"/>
      <c r="Y760" s="63"/>
      <c r="Z760" s="134"/>
      <c r="AB760" s="134"/>
      <c r="AC760" s="63" t="s">
        <v>1753</v>
      </c>
      <c r="AD760" s="63">
        <v>25.420919000000001</v>
      </c>
      <c r="AE760" s="63">
        <v>71.348828999999995</v>
      </c>
    </row>
    <row r="761" spans="1:31" x14ac:dyDescent="0.25">
      <c r="A761" s="38" t="s">
        <v>36</v>
      </c>
      <c r="B761" s="37" t="s">
        <v>1727</v>
      </c>
      <c r="C761" s="64" t="s">
        <v>1751</v>
      </c>
      <c r="D761" s="64" t="s">
        <v>1754</v>
      </c>
      <c r="E761" s="38"/>
      <c r="F761" s="38"/>
      <c r="G761" s="38"/>
      <c r="H761" s="38">
        <f t="shared" si="34"/>
        <v>0</v>
      </c>
      <c r="I761" s="38"/>
      <c r="J761" s="38"/>
      <c r="K761" s="38"/>
      <c r="L761" s="50"/>
      <c r="M761" s="38"/>
      <c r="N761" s="50"/>
      <c r="O761" s="38"/>
      <c r="P761" s="38"/>
      <c r="Q761" s="135" t="s">
        <v>160</v>
      </c>
      <c r="R761" s="136">
        <v>45202</v>
      </c>
      <c r="S761" s="137"/>
      <c r="T761" s="135">
        <v>3.22</v>
      </c>
      <c r="U761" s="135"/>
      <c r="V761" s="135"/>
      <c r="W761" s="135"/>
      <c r="X761" s="135"/>
      <c r="Y761" s="135"/>
      <c r="Z761" s="138"/>
      <c r="AB761" s="138"/>
      <c r="AC761" s="64" t="s">
        <v>1754</v>
      </c>
      <c r="AD761" s="137"/>
      <c r="AE761" s="137"/>
    </row>
    <row r="762" spans="1:31" x14ac:dyDescent="0.25">
      <c r="A762" s="38" t="s">
        <v>36</v>
      </c>
      <c r="B762" s="37" t="s">
        <v>1727</v>
      </c>
      <c r="C762" s="64" t="s">
        <v>1751</v>
      </c>
      <c r="D762" s="64" t="s">
        <v>1755</v>
      </c>
      <c r="E762" s="38"/>
      <c r="F762" s="38"/>
      <c r="G762" s="38"/>
      <c r="H762" s="38">
        <f t="shared" si="34"/>
        <v>0</v>
      </c>
      <c r="I762" s="38"/>
      <c r="J762" s="38"/>
      <c r="K762" s="38"/>
      <c r="L762" s="50"/>
      <c r="M762" s="38"/>
      <c r="N762" s="50"/>
      <c r="O762" s="38"/>
      <c r="P762" s="38"/>
      <c r="Q762" s="135" t="s">
        <v>160</v>
      </c>
      <c r="R762" s="136">
        <v>45202</v>
      </c>
      <c r="S762" s="137"/>
      <c r="T762" s="135">
        <v>0</v>
      </c>
      <c r="U762" s="135"/>
      <c r="V762" s="135"/>
      <c r="W762" s="135"/>
      <c r="X762" s="135"/>
      <c r="Y762" s="135"/>
      <c r="Z762" s="138"/>
      <c r="AB762" s="138"/>
      <c r="AC762" s="64" t="s">
        <v>1755</v>
      </c>
      <c r="AD762" s="137"/>
      <c r="AE762" s="137"/>
    </row>
    <row r="763" spans="1:31" x14ac:dyDescent="0.25">
      <c r="A763" s="38" t="s">
        <v>36</v>
      </c>
      <c r="B763" s="37" t="s">
        <v>1727</v>
      </c>
      <c r="C763" s="64" t="s">
        <v>1751</v>
      </c>
      <c r="D763" s="64" t="s">
        <v>1756</v>
      </c>
      <c r="E763" s="38"/>
      <c r="F763" s="38"/>
      <c r="G763" s="38"/>
      <c r="H763" s="38">
        <f t="shared" si="34"/>
        <v>0</v>
      </c>
      <c r="I763" s="38"/>
      <c r="J763" s="38"/>
      <c r="K763" s="38"/>
      <c r="L763" s="50"/>
      <c r="M763" s="38"/>
      <c r="N763" s="50"/>
      <c r="O763" s="38"/>
      <c r="P763" s="38"/>
      <c r="Q763" s="135" t="s">
        <v>160</v>
      </c>
      <c r="R763" s="136">
        <v>45202</v>
      </c>
      <c r="S763" s="137"/>
      <c r="T763" s="135">
        <v>0</v>
      </c>
      <c r="U763" s="135"/>
      <c r="V763" s="135"/>
      <c r="W763" s="135"/>
      <c r="X763" s="135"/>
      <c r="Y763" s="135"/>
      <c r="Z763" s="138"/>
      <c r="AB763" s="138"/>
      <c r="AC763" s="64" t="s">
        <v>1756</v>
      </c>
      <c r="AD763" s="137"/>
      <c r="AE763" s="137"/>
    </row>
    <row r="764" spans="1:31" ht="22.5" customHeight="1" x14ac:dyDescent="0.25">
      <c r="A764" s="38" t="s">
        <v>36</v>
      </c>
      <c r="B764" s="37" t="s">
        <v>1727</v>
      </c>
      <c r="C764" s="65" t="s">
        <v>1751</v>
      </c>
      <c r="D764" s="65" t="s">
        <v>1754</v>
      </c>
      <c r="E764" s="38"/>
      <c r="F764" s="38"/>
      <c r="G764" s="38"/>
      <c r="H764" s="38">
        <f t="shared" si="34"/>
        <v>0</v>
      </c>
      <c r="I764" s="38"/>
      <c r="J764" s="38"/>
      <c r="K764" s="38"/>
      <c r="L764" s="50"/>
      <c r="M764" s="38"/>
      <c r="N764" s="50"/>
      <c r="O764" s="38"/>
      <c r="P764" s="38"/>
      <c r="Q764" s="139" t="s">
        <v>43</v>
      </c>
      <c r="R764" s="140">
        <v>45568</v>
      </c>
      <c r="S764" s="141"/>
      <c r="T764" s="139">
        <v>47.558700000000002</v>
      </c>
      <c r="U764" s="139"/>
      <c r="V764" s="139"/>
      <c r="W764" s="139"/>
      <c r="X764" s="139"/>
      <c r="Y764" s="139"/>
      <c r="Z764" s="142"/>
      <c r="AB764" s="142">
        <v>10</v>
      </c>
      <c r="AC764" s="65" t="s">
        <v>1754</v>
      </c>
      <c r="AD764" s="141">
        <v>25.390060999999999</v>
      </c>
      <c r="AE764" s="141">
        <v>71.362696999999997</v>
      </c>
    </row>
    <row r="765" spans="1:31" ht="21" customHeight="1" x14ac:dyDescent="0.25">
      <c r="A765" s="38" t="s">
        <v>36</v>
      </c>
      <c r="B765" s="37" t="s">
        <v>1727</v>
      </c>
      <c r="C765" s="65" t="s">
        <v>1751</v>
      </c>
      <c r="D765" s="65" t="s">
        <v>1755</v>
      </c>
      <c r="E765" s="38"/>
      <c r="F765" s="38"/>
      <c r="G765" s="38"/>
      <c r="H765" s="38">
        <f t="shared" si="34"/>
        <v>0</v>
      </c>
      <c r="I765" s="38"/>
      <c r="J765" s="38"/>
      <c r="K765" s="38"/>
      <c r="L765" s="50"/>
      <c r="M765" s="38"/>
      <c r="N765" s="50"/>
      <c r="O765" s="38"/>
      <c r="P765" s="38"/>
      <c r="Q765" s="139" t="s">
        <v>43</v>
      </c>
      <c r="R765" s="140">
        <v>45568</v>
      </c>
      <c r="S765" s="141"/>
      <c r="T765" s="139">
        <v>3.0836999999999999</v>
      </c>
      <c r="U765" s="139"/>
      <c r="V765" s="139"/>
      <c r="W765" s="139"/>
      <c r="X765" s="139"/>
      <c r="Y765" s="139"/>
      <c r="Z765" s="142"/>
      <c r="AB765" s="142">
        <v>10</v>
      </c>
      <c r="AC765" s="65" t="s">
        <v>1755</v>
      </c>
      <c r="AD765" s="141">
        <v>25.372534000000002</v>
      </c>
      <c r="AE765" s="141">
        <v>71.352924999999999</v>
      </c>
    </row>
    <row r="766" spans="1:31" x14ac:dyDescent="0.25">
      <c r="A766" s="38" t="s">
        <v>36</v>
      </c>
      <c r="B766" s="37" t="s">
        <v>1727</v>
      </c>
      <c r="C766" s="65" t="s">
        <v>1751</v>
      </c>
      <c r="D766" s="65" t="s">
        <v>1756</v>
      </c>
      <c r="E766" s="38"/>
      <c r="F766" s="38"/>
      <c r="G766" s="38"/>
      <c r="H766" s="38">
        <f t="shared" si="34"/>
        <v>0</v>
      </c>
      <c r="I766" s="38"/>
      <c r="J766" s="38"/>
      <c r="K766" s="38"/>
      <c r="L766" s="50"/>
      <c r="M766" s="38"/>
      <c r="N766" s="50"/>
      <c r="O766" s="38"/>
      <c r="P766" s="38"/>
      <c r="Q766" s="139" t="s">
        <v>43</v>
      </c>
      <c r="R766" s="140">
        <v>45568</v>
      </c>
      <c r="S766" s="141"/>
      <c r="T766" s="139">
        <v>3.7717000000000001</v>
      </c>
      <c r="U766" s="139"/>
      <c r="V766" s="139"/>
      <c r="W766" s="139"/>
      <c r="X766" s="139"/>
      <c r="Y766" s="139"/>
      <c r="Z766" s="142"/>
      <c r="AB766" s="142"/>
      <c r="AC766" s="65" t="s">
        <v>1756</v>
      </c>
      <c r="AD766" s="141"/>
      <c r="AE766" s="141"/>
    </row>
    <row r="767" spans="1:31" x14ac:dyDescent="0.25">
      <c r="A767" s="38" t="s">
        <v>36</v>
      </c>
      <c r="B767" s="38" t="s">
        <v>1727</v>
      </c>
      <c r="C767" s="38" t="s">
        <v>1757</v>
      </c>
      <c r="D767" s="38" t="s">
        <v>1757</v>
      </c>
      <c r="E767" s="38" t="s">
        <v>1758</v>
      </c>
      <c r="F767" s="38">
        <v>1732</v>
      </c>
      <c r="G767" s="38">
        <v>1732</v>
      </c>
      <c r="H767" s="38">
        <f t="shared" si="34"/>
        <v>1899</v>
      </c>
      <c r="I767" s="38">
        <v>1230</v>
      </c>
      <c r="J767" s="38">
        <v>669</v>
      </c>
      <c r="K767" s="38">
        <v>561</v>
      </c>
      <c r="L767" s="50">
        <f t="shared" si="35"/>
        <v>29.541864139020536</v>
      </c>
      <c r="M767" s="38">
        <v>160</v>
      </c>
      <c r="N767" s="50">
        <f t="shared" si="36"/>
        <v>8.42548709847288</v>
      </c>
      <c r="O767" s="38">
        <v>0</v>
      </c>
      <c r="P767" s="38">
        <v>198</v>
      </c>
      <c r="Q767" s="34"/>
      <c r="R767" s="34"/>
      <c r="S767" s="34"/>
      <c r="T767" s="34"/>
      <c r="U767" s="34"/>
      <c r="V767" s="34"/>
      <c r="W767" s="34"/>
      <c r="X767" s="34"/>
      <c r="Y767" s="34"/>
      <c r="Z767" s="89"/>
      <c r="AB767" s="89"/>
      <c r="AC767" s="34"/>
      <c r="AD767" s="34"/>
      <c r="AE767" s="34"/>
    </row>
    <row r="768" spans="1:31" x14ac:dyDescent="0.25">
      <c r="A768" s="38" t="s">
        <v>36</v>
      </c>
      <c r="B768" s="38" t="s">
        <v>1727</v>
      </c>
      <c r="C768" s="38" t="s">
        <v>1757</v>
      </c>
      <c r="D768" s="38" t="s">
        <v>1759</v>
      </c>
      <c r="E768" s="38" t="s">
        <v>1760</v>
      </c>
      <c r="F768" s="38">
        <v>151</v>
      </c>
      <c r="G768" s="38">
        <v>151</v>
      </c>
      <c r="H768" s="38">
        <f t="shared" si="34"/>
        <v>89</v>
      </c>
      <c r="I768" s="38">
        <v>59</v>
      </c>
      <c r="J768" s="38">
        <v>30</v>
      </c>
      <c r="K768" s="38">
        <v>29</v>
      </c>
      <c r="L768" s="50">
        <f t="shared" si="35"/>
        <v>32.584269662921351</v>
      </c>
      <c r="M768" s="38">
        <v>17</v>
      </c>
      <c r="N768" s="50">
        <f t="shared" si="36"/>
        <v>19.101123595505616</v>
      </c>
      <c r="O768" s="38">
        <v>0</v>
      </c>
      <c r="P768" s="38">
        <v>0</v>
      </c>
    </row>
    <row r="769" spans="1:31" x14ac:dyDescent="0.25">
      <c r="A769" s="38" t="s">
        <v>36</v>
      </c>
      <c r="B769" s="38" t="s">
        <v>1727</v>
      </c>
      <c r="C769" s="38" t="s">
        <v>1757</v>
      </c>
      <c r="D769" s="38" t="s">
        <v>1761</v>
      </c>
      <c r="E769" s="38" t="s">
        <v>1762</v>
      </c>
      <c r="F769" s="38">
        <v>1386</v>
      </c>
      <c r="G769" s="38">
        <v>1386</v>
      </c>
      <c r="H769" s="38">
        <f t="shared" si="34"/>
        <v>1178</v>
      </c>
      <c r="I769" s="38">
        <v>762</v>
      </c>
      <c r="J769" s="38">
        <v>416</v>
      </c>
      <c r="K769" s="38">
        <v>346</v>
      </c>
      <c r="L769" s="50">
        <f t="shared" si="35"/>
        <v>29.37181663837012</v>
      </c>
      <c r="M769" s="38">
        <v>0</v>
      </c>
      <c r="N769" s="50">
        <f t="shared" si="36"/>
        <v>0</v>
      </c>
      <c r="O769" s="38">
        <v>0</v>
      </c>
      <c r="P769" s="38">
        <v>87</v>
      </c>
    </row>
    <row r="770" spans="1:31" x14ac:dyDescent="0.25">
      <c r="A770" s="38" t="s">
        <v>36</v>
      </c>
      <c r="B770" s="38" t="s">
        <v>1727</v>
      </c>
      <c r="C770" s="38" t="s">
        <v>1757</v>
      </c>
      <c r="D770" s="38" t="s">
        <v>1763</v>
      </c>
      <c r="E770" s="38" t="s">
        <v>1764</v>
      </c>
      <c r="F770" s="38">
        <v>363</v>
      </c>
      <c r="G770" s="38">
        <v>363</v>
      </c>
      <c r="H770" s="38">
        <f t="shared" si="34"/>
        <v>556</v>
      </c>
      <c r="I770" s="38">
        <v>361</v>
      </c>
      <c r="J770" s="38">
        <v>195</v>
      </c>
      <c r="K770" s="38">
        <v>166</v>
      </c>
      <c r="L770" s="50">
        <f t="shared" si="35"/>
        <v>29.856115107913666</v>
      </c>
      <c r="M770" s="38">
        <v>90</v>
      </c>
      <c r="N770" s="50">
        <f t="shared" si="36"/>
        <v>16.187050359712231</v>
      </c>
      <c r="O770" s="38">
        <v>0</v>
      </c>
      <c r="P770" s="38">
        <v>0</v>
      </c>
    </row>
    <row r="771" spans="1:31" x14ac:dyDescent="0.25">
      <c r="A771" s="38" t="s">
        <v>36</v>
      </c>
      <c r="B771" s="38" t="s">
        <v>1727</v>
      </c>
      <c r="C771" s="38" t="s">
        <v>1757</v>
      </c>
      <c r="D771" s="38" t="s">
        <v>1765</v>
      </c>
      <c r="E771" s="38" t="s">
        <v>1766</v>
      </c>
      <c r="F771" s="38">
        <v>448</v>
      </c>
      <c r="G771" s="38">
        <v>448</v>
      </c>
      <c r="H771" s="38">
        <f t="shared" si="34"/>
        <v>819</v>
      </c>
      <c r="I771" s="38">
        <v>539</v>
      </c>
      <c r="J771" s="38">
        <v>280</v>
      </c>
      <c r="K771" s="38">
        <v>259</v>
      </c>
      <c r="L771" s="50">
        <f t="shared" si="35"/>
        <v>31.623931623931622</v>
      </c>
      <c r="M771" s="38">
        <v>3</v>
      </c>
      <c r="N771" s="50">
        <f t="shared" si="36"/>
        <v>0.36630036630036628</v>
      </c>
      <c r="O771" s="38">
        <v>0</v>
      </c>
      <c r="P771" s="38">
        <v>77</v>
      </c>
    </row>
    <row r="772" spans="1:31" x14ac:dyDescent="0.25">
      <c r="A772" s="38" t="s">
        <v>36</v>
      </c>
      <c r="B772" s="38" t="s">
        <v>1727</v>
      </c>
      <c r="C772" s="38" t="s">
        <v>1767</v>
      </c>
      <c r="D772" s="38" t="s">
        <v>1768</v>
      </c>
      <c r="E772" s="38" t="s">
        <v>1769</v>
      </c>
      <c r="F772" s="38">
        <v>3760.28</v>
      </c>
      <c r="G772" s="38">
        <v>3760.28</v>
      </c>
      <c r="H772" s="38">
        <f t="shared" si="34"/>
        <v>5184</v>
      </c>
      <c r="I772" s="38">
        <v>3336</v>
      </c>
      <c r="J772" s="38">
        <v>1848</v>
      </c>
      <c r="K772" s="38">
        <v>1488</v>
      </c>
      <c r="L772" s="50">
        <f t="shared" si="35"/>
        <v>28.703703703703702</v>
      </c>
      <c r="M772" s="38">
        <v>634</v>
      </c>
      <c r="N772" s="50">
        <f t="shared" si="36"/>
        <v>12.229938271604938</v>
      </c>
      <c r="O772" s="38">
        <v>0</v>
      </c>
      <c r="P772" s="38">
        <v>95.12</v>
      </c>
    </row>
    <row r="773" spans="1:31" x14ac:dyDescent="0.25">
      <c r="A773" s="38" t="s">
        <v>36</v>
      </c>
      <c r="B773" s="38" t="s">
        <v>1727</v>
      </c>
      <c r="C773" s="38" t="s">
        <v>1767</v>
      </c>
      <c r="D773" s="38" t="s">
        <v>1770</v>
      </c>
      <c r="E773" s="38" t="s">
        <v>1771</v>
      </c>
      <c r="F773" s="38">
        <v>1142.17</v>
      </c>
      <c r="G773" s="38">
        <v>1142.17</v>
      </c>
      <c r="H773" s="38">
        <f t="shared" ref="H773:H836" si="37">I773+J773</f>
        <v>1437</v>
      </c>
      <c r="I773" s="38">
        <v>946</v>
      </c>
      <c r="J773" s="38">
        <v>491</v>
      </c>
      <c r="K773" s="38">
        <v>455</v>
      </c>
      <c r="L773" s="50">
        <f t="shared" si="35"/>
        <v>31.663187195546278</v>
      </c>
      <c r="M773" s="38">
        <v>16</v>
      </c>
      <c r="N773" s="50">
        <f t="shared" si="36"/>
        <v>1.1134307585247043</v>
      </c>
      <c r="O773" s="38">
        <v>0</v>
      </c>
      <c r="P773" s="38">
        <v>0</v>
      </c>
    </row>
    <row r="774" spans="1:31" x14ac:dyDescent="0.25">
      <c r="A774" s="38" t="s">
        <v>36</v>
      </c>
      <c r="B774" s="38" t="s">
        <v>1727</v>
      </c>
      <c r="C774" s="38" t="s">
        <v>1772</v>
      </c>
      <c r="D774" s="38" t="s">
        <v>1773</v>
      </c>
      <c r="E774" s="38" t="s">
        <v>1774</v>
      </c>
      <c r="F774" s="38">
        <v>1312.06</v>
      </c>
      <c r="G774" s="38">
        <v>1312.06</v>
      </c>
      <c r="H774" s="38">
        <f t="shared" si="37"/>
        <v>2451</v>
      </c>
      <c r="I774" s="38">
        <v>1597</v>
      </c>
      <c r="J774" s="38">
        <v>854</v>
      </c>
      <c r="K774" s="38">
        <v>743</v>
      </c>
      <c r="L774" s="50">
        <f t="shared" ref="L774:L837" si="38">K774/H774*100</f>
        <v>30.314157486740108</v>
      </c>
      <c r="M774" s="38">
        <v>420</v>
      </c>
      <c r="N774" s="50">
        <f t="shared" ref="N774:N837" si="39">M774/H774*100</f>
        <v>17.135862913096695</v>
      </c>
      <c r="O774" s="38">
        <v>0</v>
      </c>
      <c r="P774" s="38">
        <v>6.78</v>
      </c>
      <c r="Q774" s="127" t="s">
        <v>160</v>
      </c>
      <c r="R774" s="128">
        <v>45175</v>
      </c>
      <c r="S774" s="129"/>
      <c r="T774" s="127">
        <v>5.64</v>
      </c>
      <c r="U774" s="127"/>
      <c r="V774" s="127"/>
      <c r="W774" s="127"/>
      <c r="X774" s="127"/>
      <c r="Y774" s="127"/>
      <c r="Z774" s="130"/>
      <c r="AB774" s="130"/>
      <c r="AC774" s="66" t="s">
        <v>1773</v>
      </c>
      <c r="AD774" s="132"/>
      <c r="AE774" s="129"/>
    </row>
    <row r="775" spans="1:31" x14ac:dyDescent="0.25">
      <c r="A775" s="38" t="s">
        <v>36</v>
      </c>
      <c r="B775" s="38" t="s">
        <v>1727</v>
      </c>
      <c r="C775" s="38" t="s">
        <v>1772</v>
      </c>
      <c r="D775" s="38" t="s">
        <v>1775</v>
      </c>
      <c r="E775" s="38" t="s">
        <v>1776</v>
      </c>
      <c r="F775" s="38">
        <v>1037.6500000000001</v>
      </c>
      <c r="G775" s="38">
        <v>1037.6500000000001</v>
      </c>
      <c r="H775" s="38">
        <f t="shared" si="37"/>
        <v>734</v>
      </c>
      <c r="I775" s="38">
        <v>486</v>
      </c>
      <c r="J775" s="38">
        <v>248</v>
      </c>
      <c r="K775" s="38">
        <v>238</v>
      </c>
      <c r="L775" s="50">
        <f t="shared" si="38"/>
        <v>32.425068119891009</v>
      </c>
      <c r="M775" s="38">
        <v>60</v>
      </c>
      <c r="N775" s="50">
        <f t="shared" si="39"/>
        <v>8.1743869209809272</v>
      </c>
      <c r="O775" s="38">
        <v>0</v>
      </c>
      <c r="P775" s="38">
        <v>48.14</v>
      </c>
      <c r="Q775" s="127" t="s">
        <v>160</v>
      </c>
      <c r="R775" s="128">
        <v>45175</v>
      </c>
      <c r="S775" s="129"/>
      <c r="T775" s="127">
        <v>0</v>
      </c>
      <c r="U775" s="127"/>
      <c r="V775" s="127"/>
      <c r="W775" s="127"/>
      <c r="X775" s="127"/>
      <c r="Y775" s="127"/>
      <c r="Z775" s="130"/>
      <c r="AB775" s="130"/>
      <c r="AC775" s="66" t="s">
        <v>1775</v>
      </c>
      <c r="AD775" s="132"/>
      <c r="AE775" s="129"/>
    </row>
    <row r="776" spans="1:31" x14ac:dyDescent="0.25">
      <c r="A776" s="38" t="s">
        <v>36</v>
      </c>
      <c r="B776" s="38" t="s">
        <v>1727</v>
      </c>
      <c r="C776" s="38" t="s">
        <v>1772</v>
      </c>
      <c r="D776" s="38" t="s">
        <v>1777</v>
      </c>
      <c r="E776" s="38" t="s">
        <v>1778</v>
      </c>
      <c r="F776" s="38">
        <v>702.12</v>
      </c>
      <c r="G776" s="38">
        <v>702.12</v>
      </c>
      <c r="H776" s="38">
        <f t="shared" si="37"/>
        <v>709</v>
      </c>
      <c r="I776" s="38">
        <v>471</v>
      </c>
      <c r="J776" s="38">
        <v>238</v>
      </c>
      <c r="K776" s="38">
        <v>233</v>
      </c>
      <c r="L776" s="50">
        <f t="shared" si="38"/>
        <v>32.863187588152329</v>
      </c>
      <c r="M776" s="38">
        <v>11</v>
      </c>
      <c r="N776" s="50">
        <f t="shared" si="39"/>
        <v>1.5514809590973202</v>
      </c>
      <c r="O776" s="38">
        <v>0</v>
      </c>
      <c r="P776" s="38">
        <v>0</v>
      </c>
      <c r="Q776" s="143" t="s">
        <v>44</v>
      </c>
      <c r="R776" s="144">
        <v>45175</v>
      </c>
      <c r="S776" s="145"/>
      <c r="T776" s="143"/>
      <c r="U776" s="143"/>
      <c r="V776" s="143"/>
      <c r="W776" s="143"/>
      <c r="X776" s="143"/>
      <c r="Y776" s="143"/>
      <c r="Z776" s="146"/>
      <c r="AB776" s="146">
        <v>25</v>
      </c>
      <c r="AC776" s="67" t="s">
        <v>1777</v>
      </c>
      <c r="AD776" s="145">
        <v>25.496112799999999</v>
      </c>
      <c r="AE776" s="145">
        <v>70.756215499999996</v>
      </c>
    </row>
    <row r="777" spans="1:31" x14ac:dyDescent="0.25">
      <c r="A777" s="38" t="s">
        <v>36</v>
      </c>
      <c r="B777" s="38" t="s">
        <v>1727</v>
      </c>
      <c r="C777" s="38" t="s">
        <v>1772</v>
      </c>
      <c r="D777" s="38" t="s">
        <v>1779</v>
      </c>
      <c r="E777" s="38" t="s">
        <v>1780</v>
      </c>
      <c r="F777" s="38">
        <v>1142.52</v>
      </c>
      <c r="G777" s="38">
        <v>1142.52</v>
      </c>
      <c r="H777" s="38">
        <f t="shared" si="37"/>
        <v>1046</v>
      </c>
      <c r="I777" s="38">
        <v>678</v>
      </c>
      <c r="J777" s="38">
        <v>368</v>
      </c>
      <c r="K777" s="38">
        <v>310</v>
      </c>
      <c r="L777" s="50">
        <f t="shared" si="38"/>
        <v>29.636711281070742</v>
      </c>
      <c r="M777" s="38">
        <v>2</v>
      </c>
      <c r="N777" s="50">
        <f t="shared" si="39"/>
        <v>0.19120458891013384</v>
      </c>
      <c r="O777" s="38">
        <v>0</v>
      </c>
      <c r="P777" s="38">
        <v>75.13</v>
      </c>
      <c r="Q777" s="143" t="s">
        <v>44</v>
      </c>
      <c r="R777" s="144">
        <v>45175</v>
      </c>
      <c r="S777" s="164"/>
      <c r="T777" s="143"/>
      <c r="U777" s="143"/>
      <c r="V777" s="143"/>
      <c r="W777" s="143"/>
      <c r="X777" s="143"/>
      <c r="Y777" s="143"/>
      <c r="Z777" s="164"/>
      <c r="AB777" s="164"/>
      <c r="AC777" s="67" t="s">
        <v>1779</v>
      </c>
      <c r="AD777" s="164"/>
      <c r="AE777" s="164"/>
    </row>
    <row r="778" spans="1:31" x14ac:dyDescent="0.25">
      <c r="A778" s="38" t="s">
        <v>36</v>
      </c>
      <c r="B778" s="38" t="s">
        <v>1727</v>
      </c>
      <c r="C778" s="38" t="s">
        <v>1781</v>
      </c>
      <c r="D778" s="38" t="s">
        <v>1782</v>
      </c>
      <c r="E778" s="38" t="s">
        <v>1783</v>
      </c>
      <c r="F778" s="38">
        <v>3032.12</v>
      </c>
      <c r="G778" s="38">
        <v>3032.12</v>
      </c>
      <c r="H778" s="38">
        <f t="shared" si="37"/>
        <v>4023</v>
      </c>
      <c r="I778" s="38">
        <v>2615</v>
      </c>
      <c r="J778" s="38">
        <v>1408</v>
      </c>
      <c r="K778" s="38">
        <v>1207</v>
      </c>
      <c r="L778" s="50">
        <f t="shared" si="38"/>
        <v>30.002485707183695</v>
      </c>
      <c r="M778" s="38">
        <v>341</v>
      </c>
      <c r="N778" s="50">
        <f t="shared" si="39"/>
        <v>8.4762614963957255</v>
      </c>
      <c r="O778" s="38">
        <v>98.36</v>
      </c>
      <c r="P778" s="38">
        <v>20.13</v>
      </c>
      <c r="Q778" s="98" t="s">
        <v>160</v>
      </c>
      <c r="R778" s="7">
        <v>44553</v>
      </c>
      <c r="S778" s="99"/>
      <c r="T778" s="98">
        <v>120</v>
      </c>
      <c r="U778" s="98"/>
      <c r="V778" s="98"/>
      <c r="W778" s="98"/>
      <c r="X778" s="98"/>
      <c r="Y778" s="98"/>
      <c r="Z778" s="109"/>
      <c r="AB778" s="20">
        <v>100</v>
      </c>
      <c r="AC778" s="11" t="s">
        <v>1784</v>
      </c>
      <c r="AD778" s="61">
        <v>25.666515</v>
      </c>
      <c r="AE778" s="99">
        <v>71.063762999999994</v>
      </c>
    </row>
    <row r="779" spans="1:31" x14ac:dyDescent="0.25">
      <c r="A779" s="38" t="s">
        <v>36</v>
      </c>
      <c r="B779" s="38" t="s">
        <v>1727</v>
      </c>
      <c r="C779" s="38" t="s">
        <v>1781</v>
      </c>
      <c r="D779" s="11" t="s">
        <v>1785</v>
      </c>
      <c r="E779" s="38"/>
      <c r="F779" s="38"/>
      <c r="G779" s="38"/>
      <c r="H779" s="38">
        <f t="shared" si="37"/>
        <v>0</v>
      </c>
      <c r="I779" s="38"/>
      <c r="J779" s="38"/>
      <c r="K779" s="38"/>
      <c r="L779" s="50"/>
      <c r="M779" s="38"/>
      <c r="N779" s="50"/>
      <c r="O779" s="38"/>
      <c r="P779" s="38"/>
      <c r="Q779" s="61" t="s">
        <v>43</v>
      </c>
      <c r="R779" s="7">
        <v>44553</v>
      </c>
      <c r="S779" s="61"/>
      <c r="T779" s="61">
        <v>0</v>
      </c>
      <c r="U779" s="61"/>
      <c r="V779" s="61"/>
      <c r="W779" s="61"/>
      <c r="X779" s="61"/>
      <c r="Y779" s="61"/>
      <c r="Z779" s="20"/>
      <c r="AB779" s="20"/>
      <c r="AC779" s="11" t="s">
        <v>1785</v>
      </c>
      <c r="AD779" s="61">
        <v>0</v>
      </c>
      <c r="AE779" s="61"/>
    </row>
    <row r="780" spans="1:31" x14ac:dyDescent="0.25">
      <c r="A780" s="38" t="s">
        <v>36</v>
      </c>
      <c r="B780" s="38" t="s">
        <v>1727</v>
      </c>
      <c r="C780" s="38" t="s">
        <v>1781</v>
      </c>
      <c r="D780" s="38" t="s">
        <v>1786</v>
      </c>
      <c r="E780" s="38" t="s">
        <v>1787</v>
      </c>
      <c r="F780" s="38">
        <v>390.25</v>
      </c>
      <c r="G780" s="38">
        <v>390.25</v>
      </c>
      <c r="H780" s="38">
        <f t="shared" si="37"/>
        <v>571</v>
      </c>
      <c r="I780" s="38">
        <v>369</v>
      </c>
      <c r="J780" s="38">
        <v>202</v>
      </c>
      <c r="K780" s="38">
        <v>167</v>
      </c>
      <c r="L780" s="50">
        <f t="shared" si="38"/>
        <v>29.246935201401055</v>
      </c>
      <c r="M780" s="38">
        <v>0</v>
      </c>
      <c r="N780" s="50">
        <f t="shared" si="39"/>
        <v>0</v>
      </c>
      <c r="O780" s="38">
        <v>0</v>
      </c>
      <c r="P780" s="38">
        <v>0</v>
      </c>
      <c r="Q780" s="39" t="s">
        <v>44</v>
      </c>
      <c r="R780" s="25">
        <v>44553</v>
      </c>
      <c r="S780" s="40"/>
      <c r="T780" s="39">
        <v>0</v>
      </c>
      <c r="U780" s="39"/>
      <c r="V780" s="39"/>
      <c r="W780" s="39"/>
      <c r="X780" s="39"/>
      <c r="Y780" s="39"/>
      <c r="Z780" s="3"/>
      <c r="AB780" s="3"/>
      <c r="AC780" s="60" t="s">
        <v>1788</v>
      </c>
      <c r="AD780" s="2"/>
      <c r="AE780" s="40"/>
    </row>
    <row r="781" spans="1:31" x14ac:dyDescent="0.25">
      <c r="A781" s="38" t="s">
        <v>36</v>
      </c>
      <c r="B781" s="38" t="s">
        <v>1727</v>
      </c>
      <c r="C781" s="38" t="s">
        <v>1781</v>
      </c>
      <c r="D781" s="38" t="s">
        <v>1789</v>
      </c>
      <c r="E781" s="38" t="s">
        <v>1790</v>
      </c>
      <c r="F781" s="38">
        <v>466.13</v>
      </c>
      <c r="G781" s="38">
        <v>466.13</v>
      </c>
      <c r="H781" s="38">
        <f t="shared" si="37"/>
        <v>495</v>
      </c>
      <c r="I781" s="38">
        <v>328</v>
      </c>
      <c r="J781" s="38">
        <v>167</v>
      </c>
      <c r="K781" s="38">
        <v>161</v>
      </c>
      <c r="L781" s="50">
        <f t="shared" si="38"/>
        <v>32.525252525252526</v>
      </c>
      <c r="M781" s="38">
        <v>0</v>
      </c>
      <c r="N781" s="50">
        <f t="shared" si="39"/>
        <v>0</v>
      </c>
      <c r="O781" s="38">
        <v>0</v>
      </c>
      <c r="P781" s="38">
        <v>0</v>
      </c>
      <c r="Q781" s="98" t="s">
        <v>160</v>
      </c>
      <c r="R781" s="7">
        <v>44553</v>
      </c>
      <c r="S781" s="99"/>
      <c r="T781" s="98">
        <v>17.079999999999998</v>
      </c>
      <c r="U781" s="98"/>
      <c r="V781" s="98"/>
      <c r="W781" s="98"/>
      <c r="X781" s="98"/>
      <c r="Y781" s="98"/>
      <c r="Z781" s="20"/>
      <c r="AB781" s="20"/>
      <c r="AC781" s="11" t="s">
        <v>1791</v>
      </c>
      <c r="AD781" s="61"/>
      <c r="AE781" s="99"/>
    </row>
    <row r="782" spans="1:31" x14ac:dyDescent="0.25">
      <c r="A782" s="38" t="s">
        <v>36</v>
      </c>
      <c r="B782" s="38" t="s">
        <v>1727</v>
      </c>
      <c r="C782" s="38" t="s">
        <v>1781</v>
      </c>
      <c r="D782" s="38" t="s">
        <v>1792</v>
      </c>
      <c r="E782" s="38" t="s">
        <v>1793</v>
      </c>
      <c r="F782" s="38">
        <v>2259.11</v>
      </c>
      <c r="G782" s="38">
        <v>2259.11</v>
      </c>
      <c r="H782" s="38">
        <f t="shared" si="37"/>
        <v>2132</v>
      </c>
      <c r="I782" s="38">
        <v>1394</v>
      </c>
      <c r="J782" s="38">
        <v>738</v>
      </c>
      <c r="K782" s="38">
        <v>656</v>
      </c>
      <c r="L782" s="50">
        <f t="shared" si="38"/>
        <v>30.76923076923077</v>
      </c>
      <c r="M782" s="38">
        <v>29</v>
      </c>
      <c r="N782" s="50">
        <f t="shared" si="39"/>
        <v>1.3602251407129455</v>
      </c>
      <c r="O782" s="38">
        <v>0</v>
      </c>
      <c r="P782" s="38">
        <v>23.17</v>
      </c>
      <c r="Q782" s="39" t="s">
        <v>44</v>
      </c>
      <c r="R782" s="25">
        <v>44553</v>
      </c>
      <c r="S782" s="40"/>
      <c r="T782" s="39">
        <v>1.59</v>
      </c>
      <c r="U782" s="39"/>
      <c r="V782" s="39"/>
      <c r="W782" s="39"/>
      <c r="X782" s="39"/>
      <c r="Y782" s="39"/>
      <c r="Z782" s="3"/>
      <c r="AB782" s="3"/>
      <c r="AC782" s="60" t="s">
        <v>1792</v>
      </c>
      <c r="AD782" s="2"/>
      <c r="AE782" s="40"/>
    </row>
    <row r="783" spans="1:31" x14ac:dyDescent="0.25">
      <c r="A783" s="38" t="s">
        <v>36</v>
      </c>
      <c r="B783" s="38" t="s">
        <v>1727</v>
      </c>
      <c r="C783" s="38" t="s">
        <v>1781</v>
      </c>
      <c r="D783" s="38" t="s">
        <v>1794</v>
      </c>
      <c r="E783" s="38" t="s">
        <v>1795</v>
      </c>
      <c r="F783" s="38">
        <v>356.88</v>
      </c>
      <c r="G783" s="38">
        <v>356.88</v>
      </c>
      <c r="H783" s="38">
        <f t="shared" si="37"/>
        <v>235</v>
      </c>
      <c r="I783" s="38">
        <v>151</v>
      </c>
      <c r="J783" s="38">
        <v>84</v>
      </c>
      <c r="K783" s="38">
        <v>67</v>
      </c>
      <c r="L783" s="50">
        <f t="shared" si="38"/>
        <v>28.510638297872344</v>
      </c>
      <c r="M783" s="38">
        <v>0</v>
      </c>
      <c r="N783" s="50">
        <f t="shared" si="39"/>
        <v>0</v>
      </c>
      <c r="O783" s="38">
        <v>1.36</v>
      </c>
      <c r="P783" s="38">
        <v>0</v>
      </c>
      <c r="Q783" s="98" t="s">
        <v>160</v>
      </c>
      <c r="R783" s="7">
        <v>44553</v>
      </c>
      <c r="S783" s="99"/>
      <c r="T783" s="98">
        <v>6</v>
      </c>
      <c r="U783" s="98"/>
      <c r="V783" s="98"/>
      <c r="W783" s="98"/>
      <c r="X783" s="98"/>
      <c r="Y783" s="98"/>
      <c r="Z783" s="20"/>
      <c r="AB783" s="20"/>
      <c r="AC783" s="11" t="s">
        <v>1796</v>
      </c>
      <c r="AD783" s="61"/>
      <c r="AE783" s="99"/>
    </row>
    <row r="784" spans="1:31" x14ac:dyDescent="0.25">
      <c r="A784" s="38" t="s">
        <v>36</v>
      </c>
      <c r="B784" s="38" t="s">
        <v>1727</v>
      </c>
      <c r="C784" s="38" t="s">
        <v>1781</v>
      </c>
      <c r="D784" s="38" t="s">
        <v>1797</v>
      </c>
      <c r="E784" s="38" t="s">
        <v>1798</v>
      </c>
      <c r="F784" s="38">
        <v>289.64</v>
      </c>
      <c r="G784" s="38">
        <v>289.64</v>
      </c>
      <c r="H784" s="38">
        <f t="shared" si="37"/>
        <v>310</v>
      </c>
      <c r="I784" s="38">
        <v>204</v>
      </c>
      <c r="J784" s="38">
        <v>106</v>
      </c>
      <c r="K784" s="38">
        <v>98</v>
      </c>
      <c r="L784" s="50">
        <f t="shared" si="38"/>
        <v>31.612903225806448</v>
      </c>
      <c r="M784" s="38">
        <v>0</v>
      </c>
      <c r="N784" s="50">
        <f t="shared" si="39"/>
        <v>0</v>
      </c>
      <c r="O784" s="38">
        <v>0</v>
      </c>
      <c r="P784" s="38">
        <v>0</v>
      </c>
      <c r="Q784" s="61" t="s">
        <v>43</v>
      </c>
      <c r="R784" s="7">
        <v>44553</v>
      </c>
      <c r="S784" s="61"/>
      <c r="T784" s="61">
        <v>0</v>
      </c>
      <c r="U784" s="61"/>
      <c r="V784" s="61"/>
      <c r="W784" s="61"/>
      <c r="X784" s="61"/>
      <c r="Y784" s="61"/>
      <c r="Z784" s="20"/>
      <c r="AB784" s="20"/>
      <c r="AC784" s="11" t="s">
        <v>1799</v>
      </c>
      <c r="AD784" s="61">
        <v>0</v>
      </c>
      <c r="AE784" s="61"/>
    </row>
    <row r="785" spans="1:30" x14ac:dyDescent="0.25">
      <c r="A785" s="38" t="s">
        <v>36</v>
      </c>
      <c r="B785" s="38" t="s">
        <v>1727</v>
      </c>
      <c r="C785" s="38" t="s">
        <v>1800</v>
      </c>
      <c r="D785" s="38" t="s">
        <v>1801</v>
      </c>
      <c r="E785" s="38" t="s">
        <v>1802</v>
      </c>
      <c r="F785" s="38"/>
      <c r="G785" s="38"/>
      <c r="H785" s="38">
        <f t="shared" si="37"/>
        <v>0</v>
      </c>
      <c r="I785" s="38"/>
      <c r="J785" s="38"/>
      <c r="K785" s="38"/>
      <c r="L785" s="50"/>
      <c r="M785" s="38"/>
      <c r="N785" s="50"/>
      <c r="O785" s="38">
        <v>0</v>
      </c>
      <c r="P785" s="38">
        <v>104</v>
      </c>
      <c r="AC785" s="117"/>
      <c r="AD785" s="117"/>
    </row>
    <row r="786" spans="1:30" x14ac:dyDescent="0.25">
      <c r="A786" s="38" t="s">
        <v>36</v>
      </c>
      <c r="B786" s="38" t="s">
        <v>1727</v>
      </c>
      <c r="C786" s="38" t="s">
        <v>1800</v>
      </c>
      <c r="D786" s="38" t="s">
        <v>1803</v>
      </c>
      <c r="E786" s="38" t="s">
        <v>1804</v>
      </c>
      <c r="F786" s="38">
        <v>455</v>
      </c>
      <c r="G786" s="38">
        <v>455</v>
      </c>
      <c r="H786" s="38">
        <f t="shared" si="37"/>
        <v>507</v>
      </c>
      <c r="I786" s="38">
        <v>328</v>
      </c>
      <c r="J786" s="38">
        <v>179</v>
      </c>
      <c r="K786" s="38">
        <v>149</v>
      </c>
      <c r="L786" s="50">
        <f t="shared" si="38"/>
        <v>29.388560157790927</v>
      </c>
      <c r="M786" s="38">
        <v>0</v>
      </c>
      <c r="N786" s="50">
        <f t="shared" si="39"/>
        <v>0</v>
      </c>
      <c r="O786" s="38">
        <v>0</v>
      </c>
      <c r="P786" s="38">
        <v>0</v>
      </c>
    </row>
    <row r="787" spans="1:30" x14ac:dyDescent="0.25">
      <c r="A787" s="38" t="s">
        <v>36</v>
      </c>
      <c r="B787" s="38" t="s">
        <v>1727</v>
      </c>
      <c r="C787" s="38" t="s">
        <v>1800</v>
      </c>
      <c r="D787" s="38" t="s">
        <v>1805</v>
      </c>
      <c r="E787" s="38" t="s">
        <v>1806</v>
      </c>
      <c r="F787" s="38">
        <v>719</v>
      </c>
      <c r="G787" s="38">
        <v>719</v>
      </c>
      <c r="H787" s="38">
        <f t="shared" si="37"/>
        <v>693</v>
      </c>
      <c r="I787" s="38">
        <v>446</v>
      </c>
      <c r="J787" s="38">
        <v>247</v>
      </c>
      <c r="K787" s="38">
        <v>199</v>
      </c>
      <c r="L787" s="50">
        <f t="shared" si="38"/>
        <v>28.715728715728716</v>
      </c>
      <c r="M787" s="38">
        <v>44</v>
      </c>
      <c r="N787" s="50">
        <f t="shared" si="39"/>
        <v>6.3492063492063489</v>
      </c>
      <c r="O787" s="38">
        <v>0</v>
      </c>
      <c r="P787" s="38">
        <v>0</v>
      </c>
    </row>
    <row r="788" spans="1:30" x14ac:dyDescent="0.25">
      <c r="A788" s="38" t="s">
        <v>36</v>
      </c>
      <c r="B788" s="38" t="s">
        <v>1727</v>
      </c>
      <c r="C788" s="38" t="s">
        <v>1800</v>
      </c>
      <c r="D788" s="38" t="s">
        <v>1807</v>
      </c>
      <c r="E788" s="38" t="s">
        <v>1808</v>
      </c>
      <c r="F788" s="38">
        <v>593</v>
      </c>
      <c r="G788" s="38">
        <v>593</v>
      </c>
      <c r="H788" s="38">
        <f t="shared" si="37"/>
        <v>370</v>
      </c>
      <c r="I788" s="38">
        <v>250</v>
      </c>
      <c r="J788" s="38">
        <v>120</v>
      </c>
      <c r="K788" s="38">
        <v>130</v>
      </c>
      <c r="L788" s="50">
        <f t="shared" si="38"/>
        <v>35.135135135135137</v>
      </c>
      <c r="M788" s="38">
        <v>58</v>
      </c>
      <c r="N788" s="50">
        <f t="shared" si="39"/>
        <v>15.675675675675677</v>
      </c>
      <c r="O788" s="38">
        <v>0</v>
      </c>
      <c r="P788" s="38">
        <v>0</v>
      </c>
    </row>
    <row r="789" spans="1:30" x14ac:dyDescent="0.25">
      <c r="A789" s="38" t="s">
        <v>36</v>
      </c>
      <c r="B789" s="38" t="s">
        <v>1727</v>
      </c>
      <c r="C789" s="38" t="s">
        <v>1800</v>
      </c>
      <c r="D789" s="38" t="s">
        <v>1809</v>
      </c>
      <c r="E789" s="38" t="s">
        <v>1810</v>
      </c>
      <c r="F789" s="38">
        <v>922</v>
      </c>
      <c r="G789" s="38">
        <v>922</v>
      </c>
      <c r="H789" s="38">
        <f t="shared" si="37"/>
        <v>737</v>
      </c>
      <c r="I789" s="38">
        <v>482</v>
      </c>
      <c r="J789" s="38">
        <v>255</v>
      </c>
      <c r="K789" s="38">
        <v>227</v>
      </c>
      <c r="L789" s="50">
        <f t="shared" si="38"/>
        <v>30.800542740841248</v>
      </c>
      <c r="M789" s="38">
        <v>24</v>
      </c>
      <c r="N789" s="50">
        <f t="shared" si="39"/>
        <v>3.2564450474898234</v>
      </c>
      <c r="O789" s="38">
        <v>0</v>
      </c>
      <c r="P789" s="38">
        <v>0</v>
      </c>
    </row>
    <row r="790" spans="1:30" x14ac:dyDescent="0.25">
      <c r="A790" s="38" t="s">
        <v>36</v>
      </c>
      <c r="B790" s="38" t="s">
        <v>1727</v>
      </c>
      <c r="C790" s="38" t="s">
        <v>1800</v>
      </c>
      <c r="D790" s="38" t="s">
        <v>1811</v>
      </c>
      <c r="E790" s="38" t="s">
        <v>1812</v>
      </c>
      <c r="F790" s="38">
        <v>558</v>
      </c>
      <c r="G790" s="38">
        <v>558</v>
      </c>
      <c r="H790" s="38">
        <f t="shared" si="37"/>
        <v>507</v>
      </c>
      <c r="I790" s="38">
        <v>330</v>
      </c>
      <c r="J790" s="38">
        <v>177</v>
      </c>
      <c r="K790" s="38">
        <v>153</v>
      </c>
      <c r="L790" s="50">
        <f t="shared" si="38"/>
        <v>30.177514792899409</v>
      </c>
      <c r="M790" s="38">
        <v>11</v>
      </c>
      <c r="N790" s="50">
        <f t="shared" si="39"/>
        <v>2.1696252465483234</v>
      </c>
      <c r="O790" s="38">
        <v>0</v>
      </c>
      <c r="P790" s="38">
        <v>5</v>
      </c>
    </row>
    <row r="791" spans="1:30" x14ac:dyDescent="0.25">
      <c r="A791" s="38" t="s">
        <v>36</v>
      </c>
      <c r="B791" s="38" t="s">
        <v>1727</v>
      </c>
      <c r="C791" s="38" t="s">
        <v>1727</v>
      </c>
      <c r="D791" s="38" t="s">
        <v>1732</v>
      </c>
      <c r="E791" s="38" t="s">
        <v>1813</v>
      </c>
      <c r="F791" s="38">
        <v>3366</v>
      </c>
      <c r="G791" s="38">
        <v>3366</v>
      </c>
      <c r="H791" s="38">
        <f t="shared" si="37"/>
        <v>19068</v>
      </c>
      <c r="I791" s="38">
        <v>12465</v>
      </c>
      <c r="J791" s="38">
        <v>6603</v>
      </c>
      <c r="K791" s="38">
        <v>5862</v>
      </c>
      <c r="L791" s="50">
        <f t="shared" si="38"/>
        <v>30.742605412208935</v>
      </c>
      <c r="M791" s="38">
        <v>1124</v>
      </c>
      <c r="N791" s="50">
        <f t="shared" si="39"/>
        <v>5.894692678833648</v>
      </c>
      <c r="O791" s="38">
        <v>455</v>
      </c>
      <c r="P791" s="38">
        <v>487</v>
      </c>
    </row>
    <row r="792" spans="1:30" x14ac:dyDescent="0.25">
      <c r="A792" s="38" t="s">
        <v>36</v>
      </c>
      <c r="B792" s="38" t="s">
        <v>1727</v>
      </c>
      <c r="C792" s="38" t="s">
        <v>1814</v>
      </c>
      <c r="D792" s="38" t="s">
        <v>1815</v>
      </c>
      <c r="E792" s="38" t="s">
        <v>1816</v>
      </c>
      <c r="F792" s="38">
        <v>477.69</v>
      </c>
      <c r="G792" s="38">
        <v>477.69</v>
      </c>
      <c r="H792" s="38">
        <f t="shared" si="37"/>
        <v>552</v>
      </c>
      <c r="I792" s="38">
        <v>357</v>
      </c>
      <c r="J792" s="38">
        <v>195</v>
      </c>
      <c r="K792" s="38">
        <v>162</v>
      </c>
      <c r="L792" s="50">
        <f t="shared" si="38"/>
        <v>29.347826086956523</v>
      </c>
      <c r="M792" s="38">
        <v>0</v>
      </c>
      <c r="N792" s="50">
        <f t="shared" si="39"/>
        <v>0</v>
      </c>
      <c r="O792" s="38">
        <v>0</v>
      </c>
      <c r="P792" s="38">
        <v>0</v>
      </c>
    </row>
    <row r="793" spans="1:30" x14ac:dyDescent="0.25">
      <c r="A793" s="38" t="s">
        <v>36</v>
      </c>
      <c r="B793" s="38" t="s">
        <v>1727</v>
      </c>
      <c r="C793" s="38" t="s">
        <v>1814</v>
      </c>
      <c r="D793" s="38" t="s">
        <v>1817</v>
      </c>
      <c r="E793" s="38" t="s">
        <v>1818</v>
      </c>
      <c r="F793" s="38">
        <v>371</v>
      </c>
      <c r="G793" s="38">
        <v>371</v>
      </c>
      <c r="H793" s="38">
        <f t="shared" si="37"/>
        <v>787</v>
      </c>
      <c r="I793" s="38">
        <v>521</v>
      </c>
      <c r="J793" s="38">
        <v>266</v>
      </c>
      <c r="K793" s="38">
        <v>255</v>
      </c>
      <c r="L793" s="50">
        <f t="shared" si="38"/>
        <v>32.401524777636595</v>
      </c>
      <c r="M793" s="38">
        <v>185</v>
      </c>
      <c r="N793" s="50">
        <f t="shared" si="39"/>
        <v>23.506988564167724</v>
      </c>
      <c r="O793" s="38">
        <v>0</v>
      </c>
      <c r="P793" s="38">
        <v>0</v>
      </c>
    </row>
    <row r="794" spans="1:30" x14ac:dyDescent="0.25">
      <c r="A794" s="38" t="s">
        <v>36</v>
      </c>
      <c r="B794" s="38" t="s">
        <v>1727</v>
      </c>
      <c r="C794" s="38" t="s">
        <v>1814</v>
      </c>
      <c r="D794" s="38" t="s">
        <v>1819</v>
      </c>
      <c r="E794" s="38" t="s">
        <v>1820</v>
      </c>
      <c r="F794" s="38">
        <v>256</v>
      </c>
      <c r="G794" s="38">
        <v>256</v>
      </c>
      <c r="H794" s="38">
        <f t="shared" si="37"/>
        <v>429</v>
      </c>
      <c r="I794" s="38">
        <v>289</v>
      </c>
      <c r="J794" s="38">
        <v>140</v>
      </c>
      <c r="K794" s="38">
        <v>149</v>
      </c>
      <c r="L794" s="50">
        <f t="shared" si="38"/>
        <v>34.731934731934736</v>
      </c>
      <c r="M794" s="38">
        <v>90</v>
      </c>
      <c r="N794" s="50">
        <f t="shared" si="39"/>
        <v>20.97902097902098</v>
      </c>
      <c r="O794" s="38">
        <v>0</v>
      </c>
      <c r="P794" s="38">
        <v>0</v>
      </c>
    </row>
    <row r="795" spans="1:30" x14ac:dyDescent="0.25">
      <c r="A795" s="38" t="s">
        <v>36</v>
      </c>
      <c r="B795" s="38" t="s">
        <v>1727</v>
      </c>
      <c r="C795" s="38" t="s">
        <v>1814</v>
      </c>
      <c r="D795" s="38" t="s">
        <v>1821</v>
      </c>
      <c r="E795" s="38" t="s">
        <v>1822</v>
      </c>
      <c r="F795" s="38">
        <v>392</v>
      </c>
      <c r="G795" s="38">
        <v>392</v>
      </c>
      <c r="H795" s="38">
        <f t="shared" si="37"/>
        <v>541</v>
      </c>
      <c r="I795" s="38">
        <v>356</v>
      </c>
      <c r="J795" s="38">
        <v>185</v>
      </c>
      <c r="K795" s="38">
        <v>171</v>
      </c>
      <c r="L795" s="50">
        <f t="shared" si="38"/>
        <v>31.608133086876155</v>
      </c>
      <c r="M795" s="38">
        <v>0</v>
      </c>
      <c r="N795" s="50">
        <f t="shared" si="39"/>
        <v>0</v>
      </c>
      <c r="O795" s="38">
        <v>0</v>
      </c>
      <c r="P795" s="38">
        <v>0</v>
      </c>
      <c r="AC795" s="117"/>
      <c r="AD795" s="121"/>
    </row>
    <row r="796" spans="1:30" x14ac:dyDescent="0.25">
      <c r="A796" s="38" t="s">
        <v>36</v>
      </c>
      <c r="B796" s="38" t="s">
        <v>1727</v>
      </c>
      <c r="C796" s="38" t="s">
        <v>1814</v>
      </c>
      <c r="D796" s="38" t="s">
        <v>1814</v>
      </c>
      <c r="E796" s="38" t="s">
        <v>1823</v>
      </c>
      <c r="F796" s="38">
        <v>387</v>
      </c>
      <c r="G796" s="38">
        <v>387</v>
      </c>
      <c r="H796" s="38">
        <f t="shared" si="37"/>
        <v>779</v>
      </c>
      <c r="I796" s="38">
        <v>511</v>
      </c>
      <c r="J796" s="38">
        <v>268</v>
      </c>
      <c r="K796" s="38">
        <v>243</v>
      </c>
      <c r="L796" s="50">
        <f t="shared" si="38"/>
        <v>31.193838254172015</v>
      </c>
      <c r="M796" s="38">
        <v>0</v>
      </c>
      <c r="N796" s="50">
        <f t="shared" si="39"/>
        <v>0</v>
      </c>
      <c r="O796" s="38">
        <v>0</v>
      </c>
      <c r="P796" s="38">
        <v>0</v>
      </c>
      <c r="AC796" s="117"/>
      <c r="AD796" s="121"/>
    </row>
    <row r="797" spans="1:30" x14ac:dyDescent="0.25">
      <c r="A797" s="38" t="s">
        <v>36</v>
      </c>
      <c r="B797" s="38" t="s">
        <v>1727</v>
      </c>
      <c r="C797" s="38" t="s">
        <v>1824</v>
      </c>
      <c r="D797" s="38" t="s">
        <v>1825</v>
      </c>
      <c r="E797" s="38" t="s">
        <v>1826</v>
      </c>
      <c r="F797" s="38">
        <v>2549</v>
      </c>
      <c r="G797" s="38">
        <v>2549</v>
      </c>
      <c r="H797" s="38">
        <f t="shared" si="37"/>
        <v>4514</v>
      </c>
      <c r="I797" s="38">
        <v>2880</v>
      </c>
      <c r="J797" s="38">
        <v>1634</v>
      </c>
      <c r="K797" s="38">
        <v>1246</v>
      </c>
      <c r="L797" s="50">
        <f t="shared" si="38"/>
        <v>27.603012848914489</v>
      </c>
      <c r="M797" s="38">
        <v>584</v>
      </c>
      <c r="N797" s="50">
        <f t="shared" si="39"/>
        <v>12.937527691626052</v>
      </c>
      <c r="O797" s="38">
        <v>47</v>
      </c>
      <c r="P797" s="38">
        <v>128</v>
      </c>
    </row>
    <row r="798" spans="1:30" x14ac:dyDescent="0.25">
      <c r="A798" s="38" t="s">
        <v>36</v>
      </c>
      <c r="B798" s="38" t="s">
        <v>1727</v>
      </c>
      <c r="C798" s="38" t="s">
        <v>1824</v>
      </c>
      <c r="D798" s="38" t="s">
        <v>1827</v>
      </c>
      <c r="E798" s="38" t="s">
        <v>1828</v>
      </c>
      <c r="F798" s="38">
        <v>1250</v>
      </c>
      <c r="G798" s="38">
        <v>1250</v>
      </c>
      <c r="H798" s="38">
        <f t="shared" si="37"/>
        <v>495</v>
      </c>
      <c r="I798" s="38">
        <v>309</v>
      </c>
      <c r="J798" s="38">
        <v>186</v>
      </c>
      <c r="K798" s="38">
        <v>123</v>
      </c>
      <c r="L798" s="50">
        <f t="shared" si="38"/>
        <v>24.848484848484848</v>
      </c>
      <c r="M798" s="38">
        <v>5</v>
      </c>
      <c r="N798" s="50">
        <f t="shared" si="39"/>
        <v>1.0101010101010102</v>
      </c>
      <c r="O798" s="38">
        <v>0</v>
      </c>
      <c r="P798" s="38">
        <v>0</v>
      </c>
    </row>
    <row r="799" spans="1:30" x14ac:dyDescent="0.25">
      <c r="A799" s="38" t="s">
        <v>36</v>
      </c>
      <c r="B799" s="38" t="s">
        <v>1727</v>
      </c>
      <c r="C799" s="38" t="s">
        <v>1824</v>
      </c>
      <c r="D799" s="38" t="s">
        <v>1829</v>
      </c>
      <c r="E799" s="38" t="s">
        <v>1830</v>
      </c>
      <c r="F799" s="38">
        <v>1133</v>
      </c>
      <c r="G799" s="38">
        <v>1133</v>
      </c>
      <c r="H799" s="38">
        <f t="shared" si="37"/>
        <v>1699</v>
      </c>
      <c r="I799" s="38">
        <v>1114</v>
      </c>
      <c r="J799" s="38">
        <v>585</v>
      </c>
      <c r="K799" s="38">
        <v>529</v>
      </c>
      <c r="L799" s="50">
        <f t="shared" si="38"/>
        <v>31.135962330782814</v>
      </c>
      <c r="M799" s="38">
        <v>290</v>
      </c>
      <c r="N799" s="50">
        <f t="shared" si="39"/>
        <v>17.068864037669218</v>
      </c>
      <c r="O799" s="38">
        <v>0</v>
      </c>
      <c r="P799" s="38">
        <v>0</v>
      </c>
    </row>
    <row r="800" spans="1:30" x14ac:dyDescent="0.25">
      <c r="A800" s="38" t="s">
        <v>36</v>
      </c>
      <c r="B800" s="38" t="s">
        <v>1727</v>
      </c>
      <c r="C800" s="38" t="s">
        <v>1824</v>
      </c>
      <c r="D800" s="38" t="s">
        <v>1831</v>
      </c>
      <c r="E800" s="38" t="s">
        <v>1832</v>
      </c>
      <c r="F800" s="38">
        <v>1959</v>
      </c>
      <c r="G800" s="38">
        <v>1959</v>
      </c>
      <c r="H800" s="38">
        <f t="shared" si="37"/>
        <v>1687</v>
      </c>
      <c r="I800" s="38">
        <v>1081</v>
      </c>
      <c r="J800" s="38">
        <v>606</v>
      </c>
      <c r="K800" s="38">
        <v>475</v>
      </c>
      <c r="L800" s="50">
        <f t="shared" si="38"/>
        <v>28.156490812092471</v>
      </c>
      <c r="M800" s="38">
        <v>232</v>
      </c>
      <c r="N800" s="50">
        <f t="shared" si="39"/>
        <v>13.752222880853587</v>
      </c>
      <c r="O800" s="38">
        <v>0</v>
      </c>
      <c r="P800" s="38">
        <v>44</v>
      </c>
    </row>
    <row r="801" spans="1:31" x14ac:dyDescent="0.25">
      <c r="A801" s="38" t="s">
        <v>36</v>
      </c>
      <c r="B801" s="38" t="s">
        <v>1727</v>
      </c>
      <c r="C801" s="38" t="s">
        <v>1833</v>
      </c>
      <c r="D801" s="38" t="s">
        <v>1834</v>
      </c>
      <c r="E801" s="38" t="s">
        <v>1835</v>
      </c>
      <c r="F801" s="38">
        <v>1169</v>
      </c>
      <c r="G801" s="38">
        <v>1169</v>
      </c>
      <c r="H801" s="38">
        <f t="shared" si="37"/>
        <v>1256</v>
      </c>
      <c r="I801" s="38">
        <v>834</v>
      </c>
      <c r="J801" s="38">
        <v>422</v>
      </c>
      <c r="K801" s="38">
        <v>412</v>
      </c>
      <c r="L801" s="50">
        <f t="shared" si="38"/>
        <v>32.802547770700635</v>
      </c>
      <c r="M801" s="38">
        <v>1</v>
      </c>
      <c r="N801" s="50">
        <f t="shared" si="39"/>
        <v>7.9617834394904469E-2</v>
      </c>
      <c r="O801" s="38">
        <v>0</v>
      </c>
      <c r="P801" s="38">
        <v>4</v>
      </c>
    </row>
    <row r="802" spans="1:31" x14ac:dyDescent="0.25">
      <c r="A802" s="38" t="s">
        <v>36</v>
      </c>
      <c r="B802" s="38" t="s">
        <v>1727</v>
      </c>
      <c r="C802" s="38" t="s">
        <v>1833</v>
      </c>
      <c r="D802" s="38" t="s">
        <v>1836</v>
      </c>
      <c r="E802" s="38" t="s">
        <v>1837</v>
      </c>
      <c r="F802" s="38">
        <v>670</v>
      </c>
      <c r="G802" s="38">
        <v>670</v>
      </c>
      <c r="H802" s="38">
        <f t="shared" si="37"/>
        <v>453</v>
      </c>
      <c r="I802" s="38">
        <v>296</v>
      </c>
      <c r="J802" s="38">
        <v>157</v>
      </c>
      <c r="K802" s="38">
        <v>139</v>
      </c>
      <c r="L802" s="50">
        <f t="shared" si="38"/>
        <v>30.684326710816777</v>
      </c>
      <c r="M802" s="38">
        <v>0</v>
      </c>
      <c r="N802" s="50">
        <f t="shared" si="39"/>
        <v>0</v>
      </c>
      <c r="O802" s="38">
        <v>0</v>
      </c>
      <c r="P802" s="38">
        <v>0</v>
      </c>
    </row>
    <row r="803" spans="1:31" x14ac:dyDescent="0.25">
      <c r="A803" s="38" t="s">
        <v>36</v>
      </c>
      <c r="B803" s="38" t="s">
        <v>1727</v>
      </c>
      <c r="C803" s="38" t="s">
        <v>1833</v>
      </c>
      <c r="D803" s="38" t="s">
        <v>1838</v>
      </c>
      <c r="E803" s="38" t="s">
        <v>1839</v>
      </c>
      <c r="F803" s="38">
        <v>911</v>
      </c>
      <c r="G803" s="38">
        <v>911</v>
      </c>
      <c r="H803" s="38">
        <f t="shared" si="37"/>
        <v>996</v>
      </c>
      <c r="I803" s="38">
        <v>654</v>
      </c>
      <c r="J803" s="38">
        <v>342</v>
      </c>
      <c r="K803" s="38">
        <v>312</v>
      </c>
      <c r="L803" s="50">
        <f t="shared" si="38"/>
        <v>31.325301204819279</v>
      </c>
      <c r="M803" s="38">
        <v>0</v>
      </c>
      <c r="N803" s="50">
        <f t="shared" si="39"/>
        <v>0</v>
      </c>
      <c r="O803" s="38">
        <v>0</v>
      </c>
      <c r="P803" s="38">
        <v>0</v>
      </c>
    </row>
    <row r="804" spans="1:31" x14ac:dyDescent="0.25">
      <c r="A804" s="38" t="s">
        <v>36</v>
      </c>
      <c r="B804" s="38" t="s">
        <v>1727</v>
      </c>
      <c r="C804" s="38" t="s">
        <v>1833</v>
      </c>
      <c r="D804" s="38" t="s">
        <v>1840</v>
      </c>
      <c r="E804" s="38" t="s">
        <v>1841</v>
      </c>
      <c r="F804" s="38">
        <v>521</v>
      </c>
      <c r="G804" s="38">
        <v>521</v>
      </c>
      <c r="H804" s="38">
        <f t="shared" si="37"/>
        <v>510</v>
      </c>
      <c r="I804" s="38">
        <v>338</v>
      </c>
      <c r="J804" s="38">
        <v>172</v>
      </c>
      <c r="K804" s="38">
        <v>166</v>
      </c>
      <c r="L804" s="50">
        <f t="shared" si="38"/>
        <v>32.549019607843135</v>
      </c>
      <c r="M804" s="38">
        <v>0</v>
      </c>
      <c r="N804" s="50">
        <f t="shared" si="39"/>
        <v>0</v>
      </c>
      <c r="O804" s="38">
        <v>0</v>
      </c>
      <c r="P804" s="38">
        <v>1</v>
      </c>
    </row>
    <row r="805" spans="1:31" x14ac:dyDescent="0.25">
      <c r="A805" s="38" t="s">
        <v>36</v>
      </c>
      <c r="B805" s="38" t="s">
        <v>1727</v>
      </c>
      <c r="C805" s="38" t="s">
        <v>1833</v>
      </c>
      <c r="D805" s="38" t="s">
        <v>1842</v>
      </c>
      <c r="E805" s="38" t="s">
        <v>1843</v>
      </c>
      <c r="F805" s="38">
        <v>384</v>
      </c>
      <c r="G805" s="38">
        <v>384</v>
      </c>
      <c r="H805" s="38">
        <f t="shared" si="37"/>
        <v>322</v>
      </c>
      <c r="I805" s="38">
        <v>215</v>
      </c>
      <c r="J805" s="38">
        <v>107</v>
      </c>
      <c r="K805" s="38">
        <v>108</v>
      </c>
      <c r="L805" s="50">
        <f t="shared" si="38"/>
        <v>33.540372670807457</v>
      </c>
      <c r="M805" s="38">
        <v>0</v>
      </c>
      <c r="N805" s="50">
        <f t="shared" si="39"/>
        <v>0</v>
      </c>
      <c r="O805" s="38">
        <v>0</v>
      </c>
      <c r="P805" s="38">
        <v>0</v>
      </c>
    </row>
    <row r="806" spans="1:31" x14ac:dyDescent="0.25">
      <c r="A806" s="38" t="s">
        <v>36</v>
      </c>
      <c r="B806" s="38" t="s">
        <v>1727</v>
      </c>
      <c r="C806" s="38" t="s">
        <v>1844</v>
      </c>
      <c r="D806" s="38" t="s">
        <v>1845</v>
      </c>
      <c r="E806" s="38" t="s">
        <v>1846</v>
      </c>
      <c r="F806" s="38"/>
      <c r="G806" s="38"/>
      <c r="H806" s="38">
        <f t="shared" si="37"/>
        <v>0</v>
      </c>
      <c r="I806" s="38"/>
      <c r="J806" s="38"/>
      <c r="K806" s="38"/>
      <c r="L806" s="50"/>
      <c r="M806" s="38"/>
      <c r="N806" s="50"/>
      <c r="O806" s="38">
        <v>0</v>
      </c>
      <c r="P806" s="38">
        <v>2905</v>
      </c>
      <c r="Q806" s="147" t="s">
        <v>43</v>
      </c>
      <c r="R806" s="148">
        <v>44602</v>
      </c>
      <c r="S806" s="147"/>
      <c r="T806" s="147">
        <v>1192</v>
      </c>
      <c r="U806" s="147"/>
      <c r="V806" s="147"/>
      <c r="W806" s="147"/>
      <c r="X806" s="147"/>
      <c r="Y806" s="147"/>
      <c r="Z806" s="149"/>
      <c r="AB806" s="149">
        <v>500</v>
      </c>
      <c r="AC806" s="68" t="s">
        <v>1847</v>
      </c>
      <c r="AD806" s="147">
        <v>25.485246</v>
      </c>
      <c r="AE806" s="147">
        <v>71.039276000000001</v>
      </c>
    </row>
    <row r="807" spans="1:31" x14ac:dyDescent="0.25">
      <c r="A807" s="38" t="s">
        <v>36</v>
      </c>
      <c r="B807" s="38" t="s">
        <v>1727</v>
      </c>
      <c r="C807" s="38" t="s">
        <v>1848</v>
      </c>
      <c r="D807" s="38" t="s">
        <v>1849</v>
      </c>
      <c r="E807" s="38" t="s">
        <v>1850</v>
      </c>
      <c r="F807" s="38">
        <v>593</v>
      </c>
      <c r="G807" s="38">
        <v>593</v>
      </c>
      <c r="H807" s="38">
        <f t="shared" si="37"/>
        <v>510</v>
      </c>
      <c r="I807" s="38">
        <v>336</v>
      </c>
      <c r="J807" s="38">
        <v>174</v>
      </c>
      <c r="K807" s="38">
        <v>162</v>
      </c>
      <c r="L807" s="50">
        <f t="shared" si="38"/>
        <v>31.764705882352938</v>
      </c>
      <c r="M807" s="38">
        <v>9</v>
      </c>
      <c r="N807" s="50">
        <f t="shared" si="39"/>
        <v>1.7647058823529411</v>
      </c>
      <c r="O807" s="38">
        <v>0</v>
      </c>
      <c r="P807" s="38">
        <v>0</v>
      </c>
      <c r="Q807" s="90" t="s">
        <v>43</v>
      </c>
      <c r="R807" s="91">
        <v>44566</v>
      </c>
      <c r="S807" s="90"/>
      <c r="T807" s="90">
        <v>0</v>
      </c>
      <c r="U807" s="90"/>
      <c r="V807" s="90"/>
      <c r="W807" s="90"/>
      <c r="X807" s="90"/>
      <c r="Y807" s="90"/>
      <c r="Z807" s="92"/>
      <c r="AB807" s="92"/>
      <c r="AC807" s="71" t="s">
        <v>1851</v>
      </c>
      <c r="AD807" s="90">
        <v>0</v>
      </c>
      <c r="AE807" s="90"/>
    </row>
    <row r="808" spans="1:31" x14ac:dyDescent="0.25">
      <c r="A808" s="38" t="s">
        <v>36</v>
      </c>
      <c r="B808" s="66" t="s">
        <v>1727</v>
      </c>
      <c r="C808" s="66" t="s">
        <v>1848</v>
      </c>
      <c r="D808" s="66" t="s">
        <v>1848</v>
      </c>
      <c r="E808" s="66" t="s">
        <v>1853</v>
      </c>
      <c r="F808" s="38">
        <v>1499</v>
      </c>
      <c r="G808" s="38">
        <v>1499</v>
      </c>
      <c r="H808" s="38">
        <f t="shared" si="37"/>
        <v>2063</v>
      </c>
      <c r="I808" s="38">
        <v>1341</v>
      </c>
      <c r="J808" s="38">
        <v>722</v>
      </c>
      <c r="K808" s="38">
        <v>619</v>
      </c>
      <c r="L808" s="50">
        <f t="shared" si="38"/>
        <v>30.004847309743095</v>
      </c>
      <c r="M808" s="38">
        <v>57</v>
      </c>
      <c r="N808" s="50">
        <f t="shared" si="39"/>
        <v>2.7629665535627725</v>
      </c>
      <c r="O808" s="66">
        <v>0</v>
      </c>
      <c r="P808" s="66">
        <v>160</v>
      </c>
      <c r="Q808" s="150" t="s">
        <v>44</v>
      </c>
      <c r="R808" s="26">
        <v>44566</v>
      </c>
      <c r="S808" s="151"/>
      <c r="T808" s="150">
        <v>0</v>
      </c>
      <c r="U808" s="150"/>
      <c r="V808" s="150"/>
      <c r="W808" s="150"/>
      <c r="X808" s="150"/>
      <c r="Y808" s="150"/>
      <c r="Z808" s="152"/>
      <c r="AB808" s="152"/>
      <c r="AC808" s="153" t="s">
        <v>1852</v>
      </c>
      <c r="AD808" s="154"/>
      <c r="AE808" s="151"/>
    </row>
    <row r="809" spans="1:31" x14ac:dyDescent="0.25">
      <c r="A809" s="38" t="s">
        <v>36</v>
      </c>
      <c r="B809" s="37" t="s">
        <v>1727</v>
      </c>
      <c r="C809" s="37" t="s">
        <v>1848</v>
      </c>
      <c r="D809" s="71" t="s">
        <v>1854</v>
      </c>
      <c r="E809" s="37"/>
      <c r="F809" s="37"/>
      <c r="G809" s="37"/>
      <c r="H809" s="38">
        <f t="shared" si="37"/>
        <v>0</v>
      </c>
      <c r="I809" s="37"/>
      <c r="J809" s="37"/>
      <c r="K809" s="37"/>
      <c r="L809" s="50"/>
      <c r="M809" s="37"/>
      <c r="N809" s="50"/>
      <c r="O809" s="37"/>
      <c r="P809" s="37"/>
      <c r="Q809" s="90" t="s">
        <v>43</v>
      </c>
      <c r="R809" s="91">
        <v>44566</v>
      </c>
      <c r="S809" s="90"/>
      <c r="T809" s="90">
        <v>0</v>
      </c>
      <c r="U809" s="90"/>
      <c r="V809" s="90"/>
      <c r="W809" s="90"/>
      <c r="X809" s="90"/>
      <c r="Y809" s="90"/>
      <c r="Z809" s="92"/>
      <c r="AB809" s="92"/>
      <c r="AC809" s="71" t="s">
        <v>1854</v>
      </c>
      <c r="AD809" s="90">
        <v>0</v>
      </c>
      <c r="AE809" s="90"/>
    </row>
    <row r="810" spans="1:31" x14ac:dyDescent="0.25">
      <c r="A810" s="38" t="s">
        <v>36</v>
      </c>
      <c r="B810" s="38" t="s">
        <v>1727</v>
      </c>
      <c r="C810" s="38" t="s">
        <v>1848</v>
      </c>
      <c r="D810" s="38" t="s">
        <v>1855</v>
      </c>
      <c r="E810" s="38" t="s">
        <v>1856</v>
      </c>
      <c r="F810" s="38">
        <v>736</v>
      </c>
      <c r="G810" s="38">
        <v>736</v>
      </c>
      <c r="H810" s="38">
        <f t="shared" si="37"/>
        <v>1500</v>
      </c>
      <c r="I810" s="38">
        <v>985</v>
      </c>
      <c r="J810" s="38">
        <v>515</v>
      </c>
      <c r="K810" s="38">
        <v>470</v>
      </c>
      <c r="L810" s="50">
        <f t="shared" si="38"/>
        <v>31.333333333333336</v>
      </c>
      <c r="M810" s="38">
        <v>215</v>
      </c>
      <c r="N810" s="50">
        <f t="shared" si="39"/>
        <v>14.333333333333334</v>
      </c>
      <c r="O810" s="38">
        <v>0</v>
      </c>
      <c r="P810" s="38">
        <v>2</v>
      </c>
      <c r="Q810" s="127" t="s">
        <v>160</v>
      </c>
      <c r="R810" s="128">
        <v>44566</v>
      </c>
      <c r="S810" s="129"/>
      <c r="T810" s="127">
        <v>2.08</v>
      </c>
      <c r="U810" s="127"/>
      <c r="V810" s="127"/>
      <c r="W810" s="127"/>
      <c r="X810" s="127"/>
      <c r="Y810" s="127"/>
      <c r="Z810" s="130"/>
      <c r="AB810" s="130"/>
      <c r="AC810" s="131" t="s">
        <v>1857</v>
      </c>
      <c r="AD810" s="132"/>
      <c r="AE810" s="129"/>
    </row>
    <row r="811" spans="1:31" x14ac:dyDescent="0.25">
      <c r="A811" s="38" t="s">
        <v>36</v>
      </c>
      <c r="B811" s="38" t="s">
        <v>1727</v>
      </c>
      <c r="C811" s="38" t="s">
        <v>1858</v>
      </c>
      <c r="D811" s="38" t="s">
        <v>1859</v>
      </c>
      <c r="E811" s="38" t="s">
        <v>1860</v>
      </c>
      <c r="F811" s="38">
        <v>405.66</v>
      </c>
      <c r="G811" s="38">
        <v>405.66</v>
      </c>
      <c r="H811" s="38">
        <f t="shared" si="37"/>
        <v>427</v>
      </c>
      <c r="I811" s="38">
        <v>274</v>
      </c>
      <c r="J811" s="38">
        <v>153</v>
      </c>
      <c r="K811" s="38">
        <v>121</v>
      </c>
      <c r="L811" s="50">
        <f t="shared" si="38"/>
        <v>28.337236533957842</v>
      </c>
      <c r="M811" s="38">
        <v>0</v>
      </c>
      <c r="N811" s="50">
        <f t="shared" si="39"/>
        <v>0</v>
      </c>
      <c r="O811" s="38">
        <v>0</v>
      </c>
      <c r="P811" s="38">
        <v>0</v>
      </c>
      <c r="Q811" s="98" t="s">
        <v>160</v>
      </c>
      <c r="R811" s="7">
        <v>44539</v>
      </c>
      <c r="S811" s="99"/>
      <c r="T811" s="98">
        <v>0.18</v>
      </c>
      <c r="U811" s="98"/>
      <c r="V811" s="98"/>
      <c r="W811" s="98"/>
      <c r="X811" s="98"/>
      <c r="Y811" s="98"/>
      <c r="Z811" s="20"/>
      <c r="AB811" s="20"/>
      <c r="AC811" s="11" t="s">
        <v>1861</v>
      </c>
      <c r="AD811" s="61"/>
      <c r="AE811" s="99"/>
    </row>
    <row r="812" spans="1:31" x14ac:dyDescent="0.25">
      <c r="A812" s="38" t="s">
        <v>36</v>
      </c>
      <c r="B812" s="38" t="s">
        <v>1727</v>
      </c>
      <c r="C812" s="38" t="s">
        <v>1858</v>
      </c>
      <c r="D812" s="38" t="s">
        <v>1863</v>
      </c>
      <c r="E812" s="38" t="s">
        <v>1864</v>
      </c>
      <c r="F812" s="38">
        <v>1182</v>
      </c>
      <c r="G812" s="38">
        <v>1182</v>
      </c>
      <c r="H812" s="38">
        <f t="shared" si="37"/>
        <v>1402</v>
      </c>
      <c r="I812" s="38">
        <v>920</v>
      </c>
      <c r="J812" s="38">
        <v>482</v>
      </c>
      <c r="K812" s="38">
        <v>438</v>
      </c>
      <c r="L812" s="50">
        <f t="shared" si="38"/>
        <v>31.24108416547789</v>
      </c>
      <c r="M812" s="38">
        <v>45</v>
      </c>
      <c r="N812" s="50">
        <f t="shared" si="39"/>
        <v>3.2097004279600569</v>
      </c>
      <c r="O812" s="38">
        <v>0</v>
      </c>
      <c r="P812" s="38">
        <v>0</v>
      </c>
      <c r="Q812" s="39" t="s">
        <v>860</v>
      </c>
      <c r="R812" s="25">
        <v>44539</v>
      </c>
      <c r="S812" s="40"/>
      <c r="T812" s="39">
        <v>89.1</v>
      </c>
      <c r="U812" s="39"/>
      <c r="V812" s="39"/>
      <c r="W812" s="39"/>
      <c r="X812" s="39"/>
      <c r="Y812" s="39"/>
      <c r="Z812" s="3"/>
      <c r="AB812" s="3"/>
      <c r="AC812" s="60" t="s">
        <v>1863</v>
      </c>
      <c r="AD812" s="2"/>
      <c r="AE812" s="40"/>
    </row>
    <row r="813" spans="1:31" x14ac:dyDescent="0.25">
      <c r="A813" s="38" t="s">
        <v>36</v>
      </c>
      <c r="B813" s="38" t="s">
        <v>1727</v>
      </c>
      <c r="C813" s="38" t="s">
        <v>1858</v>
      </c>
      <c r="D813" s="38" t="s">
        <v>1865</v>
      </c>
      <c r="E813" s="38" t="s">
        <v>1866</v>
      </c>
      <c r="F813" s="38">
        <v>504.04</v>
      </c>
      <c r="G813" s="38">
        <v>504.04</v>
      </c>
      <c r="H813" s="38">
        <f t="shared" si="37"/>
        <v>623</v>
      </c>
      <c r="I813" s="38">
        <v>411</v>
      </c>
      <c r="J813" s="38">
        <v>212</v>
      </c>
      <c r="K813" s="38">
        <v>199</v>
      </c>
      <c r="L813" s="50">
        <f t="shared" si="38"/>
        <v>31.942215088282506</v>
      </c>
      <c r="M813" s="38">
        <v>69</v>
      </c>
      <c r="N813" s="50">
        <f t="shared" si="39"/>
        <v>11.075441412520064</v>
      </c>
      <c r="O813" s="38">
        <v>0</v>
      </c>
      <c r="P813" s="38">
        <v>0</v>
      </c>
      <c r="Q813" s="132" t="s">
        <v>43</v>
      </c>
      <c r="R813" s="128">
        <v>44539</v>
      </c>
      <c r="S813" s="132"/>
      <c r="T813" s="132">
        <v>0</v>
      </c>
      <c r="U813" s="132"/>
      <c r="V813" s="132"/>
      <c r="W813" s="132"/>
      <c r="X813" s="132"/>
      <c r="Y813" s="132"/>
      <c r="Z813" s="130"/>
      <c r="AB813" s="130"/>
      <c r="AC813" s="131" t="s">
        <v>1865</v>
      </c>
      <c r="AD813" s="132">
        <v>0</v>
      </c>
      <c r="AE813" s="132"/>
    </row>
    <row r="814" spans="1:31" x14ac:dyDescent="0.25">
      <c r="A814" s="38" t="s">
        <v>36</v>
      </c>
      <c r="B814" s="38" t="s">
        <v>1727</v>
      </c>
      <c r="C814" s="38" t="s">
        <v>1858</v>
      </c>
      <c r="D814" s="38" t="s">
        <v>1862</v>
      </c>
      <c r="E814" s="38" t="s">
        <v>1867</v>
      </c>
      <c r="F814" s="38">
        <v>413.04</v>
      </c>
      <c r="G814" s="38">
        <v>413.04</v>
      </c>
      <c r="H814" s="38">
        <f t="shared" si="37"/>
        <v>1270</v>
      </c>
      <c r="I814" s="38">
        <v>830</v>
      </c>
      <c r="J814" s="38">
        <v>440</v>
      </c>
      <c r="K814" s="38">
        <v>390</v>
      </c>
      <c r="L814" s="50">
        <f t="shared" si="38"/>
        <v>30.708661417322837</v>
      </c>
      <c r="M814" s="38">
        <v>79</v>
      </c>
      <c r="N814" s="50">
        <f t="shared" si="39"/>
        <v>6.2204724409448815</v>
      </c>
      <c r="O814" s="38">
        <v>0</v>
      </c>
      <c r="P814" s="38">
        <v>0</v>
      </c>
      <c r="Q814" s="39" t="s">
        <v>860</v>
      </c>
      <c r="R814" s="25">
        <v>44539</v>
      </c>
      <c r="S814" s="40"/>
      <c r="T814" s="39">
        <v>57.2</v>
      </c>
      <c r="U814" s="39"/>
      <c r="V814" s="39"/>
      <c r="W814" s="39"/>
      <c r="X814" s="39"/>
      <c r="Y814" s="39"/>
      <c r="Z814" s="3"/>
      <c r="AB814" s="3"/>
      <c r="AC814" s="60" t="s">
        <v>1862</v>
      </c>
      <c r="AD814" s="2"/>
      <c r="AE814" s="40"/>
    </row>
    <row r="815" spans="1:31" x14ac:dyDescent="0.25">
      <c r="A815" s="38" t="s">
        <v>36</v>
      </c>
      <c r="B815" s="38" t="s">
        <v>1727</v>
      </c>
      <c r="C815" s="38" t="s">
        <v>1858</v>
      </c>
      <c r="D815" s="38" t="s">
        <v>1868</v>
      </c>
      <c r="E815" s="38" t="s">
        <v>1869</v>
      </c>
      <c r="F815" s="38">
        <v>615.78</v>
      </c>
      <c r="G815" s="38">
        <v>615.78</v>
      </c>
      <c r="H815" s="38">
        <f t="shared" si="37"/>
        <v>834</v>
      </c>
      <c r="I815" s="38">
        <v>547</v>
      </c>
      <c r="J815" s="38">
        <v>287</v>
      </c>
      <c r="K815" s="38">
        <v>260</v>
      </c>
      <c r="L815" s="50">
        <f t="shared" si="38"/>
        <v>31.175059952038371</v>
      </c>
      <c r="M815" s="38">
        <v>0</v>
      </c>
      <c r="N815" s="50">
        <f t="shared" si="39"/>
        <v>0</v>
      </c>
      <c r="O815" s="38">
        <v>0</v>
      </c>
      <c r="P815" s="38">
        <v>53.36</v>
      </c>
      <c r="Q815" s="132" t="s">
        <v>43</v>
      </c>
      <c r="R815" s="128">
        <v>44539</v>
      </c>
      <c r="S815" s="132"/>
      <c r="T815" s="132">
        <v>0</v>
      </c>
      <c r="U815" s="132"/>
      <c r="V815" s="132"/>
      <c r="W815" s="132"/>
      <c r="X815" s="132"/>
      <c r="Y815" s="132"/>
      <c r="Z815" s="130"/>
      <c r="AB815" s="130"/>
      <c r="AC815" s="131" t="s">
        <v>1870</v>
      </c>
      <c r="AD815" s="132">
        <v>0</v>
      </c>
      <c r="AE815" s="132"/>
    </row>
    <row r="816" spans="1:31" x14ac:dyDescent="0.25">
      <c r="A816" s="38" t="s">
        <v>36</v>
      </c>
      <c r="B816" s="38" t="s">
        <v>1727</v>
      </c>
      <c r="C816" s="38" t="s">
        <v>1858</v>
      </c>
      <c r="D816" s="38" t="s">
        <v>1871</v>
      </c>
      <c r="E816" s="38" t="s">
        <v>1872</v>
      </c>
      <c r="F816" s="38">
        <v>696.92</v>
      </c>
      <c r="G816" s="38">
        <v>696.92</v>
      </c>
      <c r="H816" s="38">
        <f t="shared" si="37"/>
        <v>1228</v>
      </c>
      <c r="I816" s="38">
        <v>804</v>
      </c>
      <c r="J816" s="38">
        <v>424</v>
      </c>
      <c r="K816" s="38">
        <v>380</v>
      </c>
      <c r="L816" s="50">
        <f t="shared" si="38"/>
        <v>30.944625407166125</v>
      </c>
      <c r="M816" s="38">
        <v>55</v>
      </c>
      <c r="N816" s="50">
        <f t="shared" si="39"/>
        <v>4.4788273615635177</v>
      </c>
      <c r="O816" s="38">
        <v>0</v>
      </c>
      <c r="P816" s="38">
        <v>6.92</v>
      </c>
      <c r="Q816" s="39" t="s">
        <v>860</v>
      </c>
      <c r="R816" s="25">
        <v>44539</v>
      </c>
      <c r="S816" s="40"/>
      <c r="T816" s="39">
        <v>86.16</v>
      </c>
      <c r="U816" s="39"/>
      <c r="V816" s="39"/>
      <c r="W816" s="39"/>
      <c r="X816" s="39"/>
      <c r="Y816" s="39"/>
      <c r="Z816" s="3"/>
      <c r="AB816" s="3"/>
      <c r="AC816" s="60" t="s">
        <v>1871</v>
      </c>
      <c r="AD816" s="2"/>
      <c r="AE816" s="40"/>
    </row>
    <row r="817" spans="1:31" x14ac:dyDescent="0.25">
      <c r="A817" s="38" t="s">
        <v>36</v>
      </c>
      <c r="B817" s="38" t="s">
        <v>1727</v>
      </c>
      <c r="C817" s="38" t="s">
        <v>1873</v>
      </c>
      <c r="D817" s="38" t="s">
        <v>1874</v>
      </c>
      <c r="E817" s="38" t="s">
        <v>1875</v>
      </c>
      <c r="F817" s="38"/>
      <c r="G817" s="38"/>
      <c r="H817" s="38">
        <f t="shared" si="37"/>
        <v>0</v>
      </c>
      <c r="I817" s="38"/>
      <c r="J817" s="38"/>
      <c r="K817" s="38"/>
      <c r="L817" s="50"/>
      <c r="M817" s="38"/>
      <c r="N817" s="50"/>
      <c r="O817" s="38">
        <v>0</v>
      </c>
      <c r="P817" s="38">
        <v>596.09</v>
      </c>
      <c r="AC817" s="117"/>
      <c r="AD817" s="117"/>
    </row>
    <row r="818" spans="1:31" x14ac:dyDescent="0.25">
      <c r="A818" s="38" t="s">
        <v>36</v>
      </c>
      <c r="B818" s="38" t="s">
        <v>1727</v>
      </c>
      <c r="C818" s="38" t="s">
        <v>1873</v>
      </c>
      <c r="D818" s="38" t="s">
        <v>1874</v>
      </c>
      <c r="E818" s="38" t="s">
        <v>1875</v>
      </c>
      <c r="F818" s="38">
        <v>2826.17</v>
      </c>
      <c r="G818" s="38">
        <v>2826.17</v>
      </c>
      <c r="H818" s="38">
        <f t="shared" si="37"/>
        <v>3870</v>
      </c>
      <c r="I818" s="38">
        <v>2530</v>
      </c>
      <c r="J818" s="38">
        <v>1340</v>
      </c>
      <c r="K818" s="38">
        <v>1190</v>
      </c>
      <c r="L818" s="50">
        <f t="shared" si="38"/>
        <v>30.749354005167955</v>
      </c>
      <c r="M818" s="38">
        <v>393</v>
      </c>
      <c r="N818" s="50">
        <f t="shared" si="39"/>
        <v>10.155038759689923</v>
      </c>
      <c r="O818" s="38">
        <v>0</v>
      </c>
      <c r="P818" s="38">
        <v>596.09</v>
      </c>
      <c r="AC818" s="117"/>
      <c r="AD818" s="117"/>
    </row>
    <row r="819" spans="1:31" x14ac:dyDescent="0.25">
      <c r="A819" s="38" t="s">
        <v>36</v>
      </c>
      <c r="B819" s="38" t="s">
        <v>1727</v>
      </c>
      <c r="C819" s="38" t="s">
        <v>1876</v>
      </c>
      <c r="D819" s="38" t="s">
        <v>1876</v>
      </c>
      <c r="E819" s="38" t="s">
        <v>1877</v>
      </c>
      <c r="F819" s="38">
        <v>237</v>
      </c>
      <c r="G819" s="38">
        <v>237</v>
      </c>
      <c r="H819" s="38">
        <f t="shared" si="37"/>
        <v>425</v>
      </c>
      <c r="I819" s="38">
        <v>279</v>
      </c>
      <c r="J819" s="38">
        <v>146</v>
      </c>
      <c r="K819" s="38">
        <v>133</v>
      </c>
      <c r="L819" s="50">
        <f t="shared" si="38"/>
        <v>31.294117647058822</v>
      </c>
      <c r="M819" s="38">
        <v>0</v>
      </c>
      <c r="N819" s="50">
        <f t="shared" si="39"/>
        <v>0</v>
      </c>
      <c r="O819" s="38">
        <v>0</v>
      </c>
      <c r="P819" s="38">
        <v>4</v>
      </c>
    </row>
    <row r="820" spans="1:31" x14ac:dyDescent="0.25">
      <c r="A820" s="38" t="s">
        <v>36</v>
      </c>
      <c r="B820" s="38" t="s">
        <v>1727</v>
      </c>
      <c r="C820" s="38" t="s">
        <v>1876</v>
      </c>
      <c r="D820" s="38" t="s">
        <v>1878</v>
      </c>
      <c r="E820" s="38" t="s">
        <v>1879</v>
      </c>
      <c r="F820" s="38">
        <v>564</v>
      </c>
      <c r="G820" s="38">
        <v>564</v>
      </c>
      <c r="H820" s="38">
        <f t="shared" si="37"/>
        <v>959</v>
      </c>
      <c r="I820" s="38">
        <v>639</v>
      </c>
      <c r="J820" s="38">
        <v>320</v>
      </c>
      <c r="K820" s="38">
        <v>319</v>
      </c>
      <c r="L820" s="50">
        <f t="shared" si="38"/>
        <v>33.263816475495304</v>
      </c>
      <c r="M820" s="38">
        <v>13</v>
      </c>
      <c r="N820" s="50">
        <f t="shared" si="39"/>
        <v>1.3555787278415017</v>
      </c>
      <c r="O820" s="38">
        <v>0</v>
      </c>
      <c r="P820" s="38">
        <v>0</v>
      </c>
    </row>
    <row r="821" spans="1:31" x14ac:dyDescent="0.25">
      <c r="A821" s="38" t="s">
        <v>36</v>
      </c>
      <c r="B821" s="38" t="s">
        <v>1727</v>
      </c>
      <c r="C821" s="38" t="s">
        <v>1876</v>
      </c>
      <c r="D821" s="38" t="s">
        <v>1880</v>
      </c>
      <c r="E821" s="38" t="s">
        <v>1881</v>
      </c>
      <c r="F821" s="38">
        <v>296</v>
      </c>
      <c r="G821" s="38">
        <v>296</v>
      </c>
      <c r="H821" s="38">
        <f t="shared" si="37"/>
        <v>555</v>
      </c>
      <c r="I821" s="38">
        <v>364</v>
      </c>
      <c r="J821" s="38">
        <v>191</v>
      </c>
      <c r="K821" s="38">
        <v>173</v>
      </c>
      <c r="L821" s="50">
        <f t="shared" si="38"/>
        <v>31.171171171171171</v>
      </c>
      <c r="M821" s="38">
        <v>1</v>
      </c>
      <c r="N821" s="50">
        <f t="shared" si="39"/>
        <v>0.18018018018018017</v>
      </c>
      <c r="O821" s="38">
        <v>0</v>
      </c>
      <c r="P821" s="38">
        <v>3</v>
      </c>
    </row>
    <row r="822" spans="1:31" x14ac:dyDescent="0.25">
      <c r="A822" s="38" t="s">
        <v>36</v>
      </c>
      <c r="B822" s="38" t="s">
        <v>1727</v>
      </c>
      <c r="C822" s="38" t="s">
        <v>1876</v>
      </c>
      <c r="D822" s="38" t="s">
        <v>1882</v>
      </c>
      <c r="E822" s="38" t="s">
        <v>1883</v>
      </c>
      <c r="F822" s="38">
        <v>784</v>
      </c>
      <c r="G822" s="38">
        <v>784</v>
      </c>
      <c r="H822" s="38">
        <f t="shared" si="37"/>
        <v>928</v>
      </c>
      <c r="I822" s="38">
        <v>599</v>
      </c>
      <c r="J822" s="38">
        <v>329</v>
      </c>
      <c r="K822" s="38">
        <v>270</v>
      </c>
      <c r="L822" s="50">
        <f t="shared" si="38"/>
        <v>29.094827586206897</v>
      </c>
      <c r="M822" s="38">
        <v>0</v>
      </c>
      <c r="N822" s="50">
        <f t="shared" si="39"/>
        <v>0</v>
      </c>
      <c r="O822" s="38">
        <v>0</v>
      </c>
      <c r="P822" s="38">
        <v>0</v>
      </c>
    </row>
    <row r="823" spans="1:31" x14ac:dyDescent="0.25">
      <c r="A823" s="38" t="s">
        <v>36</v>
      </c>
      <c r="B823" s="38" t="s">
        <v>1727</v>
      </c>
      <c r="C823" s="38" t="s">
        <v>1876</v>
      </c>
      <c r="D823" s="38" t="s">
        <v>407</v>
      </c>
      <c r="E823" s="38" t="s">
        <v>1884</v>
      </c>
      <c r="F823" s="38">
        <v>691</v>
      </c>
      <c r="G823" s="38">
        <v>691</v>
      </c>
      <c r="H823" s="38">
        <f t="shared" si="37"/>
        <v>1222</v>
      </c>
      <c r="I823" s="38">
        <v>806</v>
      </c>
      <c r="J823" s="38">
        <v>416</v>
      </c>
      <c r="K823" s="38">
        <v>390</v>
      </c>
      <c r="L823" s="50">
        <f t="shared" si="38"/>
        <v>31.914893617021278</v>
      </c>
      <c r="M823" s="38">
        <v>40</v>
      </c>
      <c r="N823" s="50">
        <f t="shared" si="39"/>
        <v>3.2733224222585928</v>
      </c>
      <c r="O823" s="38">
        <v>0</v>
      </c>
      <c r="P823" s="38">
        <v>4</v>
      </c>
    </row>
    <row r="824" spans="1:31" x14ac:dyDescent="0.25">
      <c r="A824" s="38" t="s">
        <v>36</v>
      </c>
      <c r="B824" s="38" t="s">
        <v>1727</v>
      </c>
      <c r="C824" s="131" t="s">
        <v>1885</v>
      </c>
      <c r="D824" s="131" t="s">
        <v>1885</v>
      </c>
      <c r="E824" s="38"/>
      <c r="F824" s="38"/>
      <c r="G824" s="38"/>
      <c r="H824" s="38">
        <f t="shared" si="37"/>
        <v>0</v>
      </c>
      <c r="I824" s="38"/>
      <c r="J824" s="38"/>
      <c r="K824" s="38"/>
      <c r="L824" s="50"/>
      <c r="M824" s="38"/>
      <c r="N824" s="50"/>
      <c r="O824" s="38"/>
      <c r="P824" s="38"/>
      <c r="Q824" s="150" t="s">
        <v>44</v>
      </c>
      <c r="R824" s="131" t="s">
        <v>1886</v>
      </c>
      <c r="S824" s="151"/>
      <c r="T824" s="150">
        <v>2</v>
      </c>
      <c r="U824" s="150"/>
      <c r="V824" s="150"/>
      <c r="W824" s="150"/>
      <c r="X824" s="150"/>
      <c r="Y824" s="150"/>
      <c r="Z824" s="152"/>
      <c r="AB824" s="152"/>
      <c r="AC824" s="131" t="s">
        <v>1885</v>
      </c>
      <c r="AD824" s="154"/>
      <c r="AE824" s="151"/>
    </row>
    <row r="825" spans="1:31" x14ac:dyDescent="0.25">
      <c r="A825" s="38" t="s">
        <v>36</v>
      </c>
      <c r="B825" s="38" t="s">
        <v>1727</v>
      </c>
      <c r="C825" s="38" t="s">
        <v>1887</v>
      </c>
      <c r="D825" s="38" t="s">
        <v>1888</v>
      </c>
      <c r="E825" s="38" t="s">
        <v>1889</v>
      </c>
      <c r="F825" s="38"/>
      <c r="G825" s="38"/>
      <c r="H825" s="38">
        <f t="shared" si="37"/>
        <v>0</v>
      </c>
      <c r="I825" s="38"/>
      <c r="J825" s="38"/>
      <c r="K825" s="38"/>
      <c r="L825" s="50"/>
      <c r="M825" s="38"/>
      <c r="N825" s="50"/>
      <c r="O825" s="38">
        <v>0</v>
      </c>
      <c r="P825" s="38">
        <v>139</v>
      </c>
      <c r="AC825" s="117"/>
      <c r="AD825" s="117"/>
    </row>
    <row r="826" spans="1:31" x14ac:dyDescent="0.25">
      <c r="A826" s="38" t="s">
        <v>36</v>
      </c>
      <c r="B826" s="38" t="s">
        <v>1727</v>
      </c>
      <c r="C826" s="38" t="s">
        <v>1887</v>
      </c>
      <c r="D826" s="38" t="s">
        <v>1890</v>
      </c>
      <c r="E826" s="38" t="s">
        <v>1891</v>
      </c>
      <c r="F826" s="38">
        <v>620</v>
      </c>
      <c r="G826" s="38">
        <v>620</v>
      </c>
      <c r="H826" s="38">
        <f t="shared" si="37"/>
        <v>1186</v>
      </c>
      <c r="I826" s="38">
        <v>778</v>
      </c>
      <c r="J826" s="38">
        <v>408</v>
      </c>
      <c r="K826" s="38">
        <v>370</v>
      </c>
      <c r="L826" s="50">
        <f t="shared" si="38"/>
        <v>31.197301854974707</v>
      </c>
      <c r="M826" s="38">
        <v>18</v>
      </c>
      <c r="N826" s="50">
        <f t="shared" si="39"/>
        <v>1.5177065767284992</v>
      </c>
      <c r="O826" s="38">
        <v>0</v>
      </c>
      <c r="P826" s="38">
        <v>0</v>
      </c>
      <c r="AC826" s="117"/>
      <c r="AD826" s="117"/>
    </row>
    <row r="827" spans="1:31" x14ac:dyDescent="0.25">
      <c r="A827" s="38" t="s">
        <v>36</v>
      </c>
      <c r="B827" s="38" t="s">
        <v>1727</v>
      </c>
      <c r="C827" s="38" t="s">
        <v>1887</v>
      </c>
      <c r="D827" s="38" t="s">
        <v>1717</v>
      </c>
      <c r="E827" s="38" t="s">
        <v>1892</v>
      </c>
      <c r="F827" s="38">
        <v>488</v>
      </c>
      <c r="G827" s="38">
        <v>488</v>
      </c>
      <c r="H827" s="38">
        <f t="shared" si="37"/>
        <v>762</v>
      </c>
      <c r="I827" s="38">
        <v>495</v>
      </c>
      <c r="J827" s="38">
        <v>267</v>
      </c>
      <c r="K827" s="38">
        <v>228</v>
      </c>
      <c r="L827" s="50">
        <f t="shared" si="38"/>
        <v>29.921259842519689</v>
      </c>
      <c r="M827" s="38">
        <v>0</v>
      </c>
      <c r="N827" s="50">
        <f t="shared" si="39"/>
        <v>0</v>
      </c>
      <c r="O827" s="38">
        <v>0</v>
      </c>
      <c r="P827" s="38">
        <v>0</v>
      </c>
    </row>
    <row r="828" spans="1:31" x14ac:dyDescent="0.25">
      <c r="A828" s="38" t="s">
        <v>36</v>
      </c>
      <c r="B828" s="38" t="s">
        <v>1727</v>
      </c>
      <c r="C828" s="38" t="s">
        <v>1887</v>
      </c>
      <c r="D828" s="38" t="s">
        <v>1893</v>
      </c>
      <c r="E828" s="38" t="s">
        <v>1894</v>
      </c>
      <c r="F828" s="38">
        <v>611</v>
      </c>
      <c r="G828" s="38">
        <v>611</v>
      </c>
      <c r="H828" s="38">
        <f t="shared" si="37"/>
        <v>875</v>
      </c>
      <c r="I828" s="38">
        <v>574</v>
      </c>
      <c r="J828" s="38">
        <v>301</v>
      </c>
      <c r="K828" s="38">
        <v>273</v>
      </c>
      <c r="L828" s="50">
        <f t="shared" si="38"/>
        <v>31.2</v>
      </c>
      <c r="M828" s="38">
        <v>0</v>
      </c>
      <c r="N828" s="50">
        <f t="shared" si="39"/>
        <v>0</v>
      </c>
      <c r="O828" s="38">
        <v>0</v>
      </c>
      <c r="P828" s="38">
        <v>0</v>
      </c>
    </row>
    <row r="829" spans="1:31" x14ac:dyDescent="0.25">
      <c r="A829" s="38" t="s">
        <v>36</v>
      </c>
      <c r="B829" s="38" t="s">
        <v>1727</v>
      </c>
      <c r="C829" s="38" t="s">
        <v>1887</v>
      </c>
      <c r="D829" s="38" t="s">
        <v>1895</v>
      </c>
      <c r="E829" s="38" t="s">
        <v>1896</v>
      </c>
      <c r="F829" s="38">
        <v>370</v>
      </c>
      <c r="G829" s="38">
        <v>370</v>
      </c>
      <c r="H829" s="38">
        <f t="shared" si="37"/>
        <v>689</v>
      </c>
      <c r="I829" s="38">
        <v>445</v>
      </c>
      <c r="J829" s="38">
        <v>244</v>
      </c>
      <c r="K829" s="38">
        <v>201</v>
      </c>
      <c r="L829" s="50">
        <f t="shared" si="38"/>
        <v>29.172714078374458</v>
      </c>
      <c r="M829" s="38">
        <v>159</v>
      </c>
      <c r="N829" s="50">
        <f t="shared" si="39"/>
        <v>23.076923076923077</v>
      </c>
      <c r="O829" s="38">
        <v>0</v>
      </c>
      <c r="P829" s="38">
        <v>0</v>
      </c>
    </row>
    <row r="830" spans="1:31" x14ac:dyDescent="0.25">
      <c r="A830" s="38" t="s">
        <v>36</v>
      </c>
      <c r="B830" s="38" t="s">
        <v>1727</v>
      </c>
      <c r="C830" s="38" t="s">
        <v>1887</v>
      </c>
      <c r="D830" s="38" t="s">
        <v>1480</v>
      </c>
      <c r="E830" s="38" t="s">
        <v>1897</v>
      </c>
      <c r="F830" s="38">
        <v>391</v>
      </c>
      <c r="G830" s="38">
        <v>391</v>
      </c>
      <c r="H830" s="38">
        <f t="shared" si="37"/>
        <v>769</v>
      </c>
      <c r="I830" s="38">
        <v>513</v>
      </c>
      <c r="J830" s="38">
        <v>256</v>
      </c>
      <c r="K830" s="38">
        <v>257</v>
      </c>
      <c r="L830" s="50">
        <f t="shared" si="38"/>
        <v>33.420026007802342</v>
      </c>
      <c r="M830" s="38">
        <v>0</v>
      </c>
      <c r="N830" s="50">
        <f t="shared" si="39"/>
        <v>0</v>
      </c>
      <c r="O830" s="38">
        <v>0</v>
      </c>
      <c r="P830" s="38">
        <v>0</v>
      </c>
    </row>
    <row r="831" spans="1:31" x14ac:dyDescent="0.25">
      <c r="A831" s="38" t="s">
        <v>36</v>
      </c>
      <c r="B831" s="38" t="s">
        <v>1727</v>
      </c>
      <c r="C831" s="38" t="s">
        <v>1898</v>
      </c>
      <c r="D831" s="38" t="s">
        <v>1898</v>
      </c>
      <c r="E831" s="38" t="s">
        <v>1899</v>
      </c>
      <c r="F831" s="38">
        <v>1015.92</v>
      </c>
      <c r="G831" s="38">
        <v>1015.92</v>
      </c>
      <c r="H831" s="38">
        <f t="shared" si="37"/>
        <v>1409</v>
      </c>
      <c r="I831" s="38">
        <v>932</v>
      </c>
      <c r="J831" s="38">
        <v>477</v>
      </c>
      <c r="K831" s="38">
        <v>455</v>
      </c>
      <c r="L831" s="50">
        <f t="shared" si="38"/>
        <v>32.292405961674945</v>
      </c>
      <c r="M831" s="38">
        <v>125</v>
      </c>
      <c r="N831" s="50">
        <f t="shared" si="39"/>
        <v>8.8715400993612494</v>
      </c>
      <c r="O831" s="38">
        <v>0</v>
      </c>
      <c r="P831" s="38">
        <v>0</v>
      </c>
      <c r="Q831" s="132" t="s">
        <v>43</v>
      </c>
      <c r="R831" s="128">
        <v>44537</v>
      </c>
      <c r="S831" s="132"/>
      <c r="T831" s="132">
        <v>0</v>
      </c>
      <c r="U831" s="132"/>
      <c r="V831" s="132"/>
      <c r="W831" s="132"/>
      <c r="X831" s="132"/>
      <c r="Y831" s="132"/>
      <c r="Z831" s="130"/>
      <c r="AB831" s="130"/>
      <c r="AC831" s="131" t="s">
        <v>1900</v>
      </c>
      <c r="AD831" s="132">
        <v>0</v>
      </c>
      <c r="AE831" s="132"/>
    </row>
    <row r="832" spans="1:31" x14ac:dyDescent="0.25">
      <c r="A832" s="38" t="s">
        <v>36</v>
      </c>
      <c r="B832" s="38" t="s">
        <v>1727</v>
      </c>
      <c r="C832" s="38" t="s">
        <v>1898</v>
      </c>
      <c r="D832" s="38" t="s">
        <v>1599</v>
      </c>
      <c r="E832" s="38" t="s">
        <v>1901</v>
      </c>
      <c r="F832" s="38">
        <v>258.08</v>
      </c>
      <c r="G832" s="38">
        <v>258.08</v>
      </c>
      <c r="H832" s="38">
        <f t="shared" si="37"/>
        <v>524</v>
      </c>
      <c r="I832" s="38">
        <v>343</v>
      </c>
      <c r="J832" s="38">
        <v>181</v>
      </c>
      <c r="K832" s="38">
        <v>162</v>
      </c>
      <c r="L832" s="50">
        <f t="shared" si="38"/>
        <v>30.916030534351147</v>
      </c>
      <c r="M832" s="38">
        <v>0</v>
      </c>
      <c r="N832" s="50">
        <f t="shared" si="39"/>
        <v>0</v>
      </c>
      <c r="O832" s="38">
        <v>0</v>
      </c>
      <c r="P832" s="38">
        <v>0</v>
      </c>
    </row>
    <row r="833" spans="1:31" x14ac:dyDescent="0.25">
      <c r="A833" s="38" t="s">
        <v>36</v>
      </c>
      <c r="B833" s="38" t="s">
        <v>1727</v>
      </c>
      <c r="C833" s="38" t="s">
        <v>1898</v>
      </c>
      <c r="D833" s="38" t="s">
        <v>1902</v>
      </c>
      <c r="E833" s="38" t="s">
        <v>1903</v>
      </c>
      <c r="F833" s="38">
        <v>869.02</v>
      </c>
      <c r="G833" s="38">
        <v>869.02</v>
      </c>
      <c r="H833" s="38">
        <f t="shared" si="37"/>
        <v>1518</v>
      </c>
      <c r="I833" s="38">
        <v>983</v>
      </c>
      <c r="J833" s="38">
        <v>535</v>
      </c>
      <c r="K833" s="38">
        <v>448</v>
      </c>
      <c r="L833" s="50">
        <f t="shared" si="38"/>
        <v>29.512516469038207</v>
      </c>
      <c r="M833" s="38">
        <v>29</v>
      </c>
      <c r="N833" s="50">
        <f t="shared" si="39"/>
        <v>1.9104084321475625</v>
      </c>
      <c r="O833" s="38">
        <v>0</v>
      </c>
      <c r="P833" s="38">
        <v>0</v>
      </c>
      <c r="Q833" s="132" t="s">
        <v>43</v>
      </c>
      <c r="R833" s="128">
        <v>44537</v>
      </c>
      <c r="S833" s="132"/>
      <c r="T833" s="132">
        <v>0</v>
      </c>
      <c r="U833" s="132"/>
      <c r="V833" s="132"/>
      <c r="W833" s="132"/>
      <c r="X833" s="132"/>
      <c r="Y833" s="132"/>
      <c r="Z833" s="130"/>
      <c r="AB833" s="130"/>
      <c r="AC833" s="131" t="s">
        <v>1904</v>
      </c>
      <c r="AD833" s="132">
        <v>0</v>
      </c>
      <c r="AE833" s="132"/>
    </row>
    <row r="834" spans="1:31" x14ac:dyDescent="0.25">
      <c r="A834" s="38" t="s">
        <v>36</v>
      </c>
      <c r="B834" s="38" t="s">
        <v>1727</v>
      </c>
      <c r="C834" s="38" t="s">
        <v>1898</v>
      </c>
      <c r="D834" s="38" t="s">
        <v>1905</v>
      </c>
      <c r="E834" s="38" t="s">
        <v>1906</v>
      </c>
      <c r="F834" s="38">
        <v>1045.67</v>
      </c>
      <c r="G834" s="38">
        <v>1045.67</v>
      </c>
      <c r="H834" s="38">
        <f t="shared" si="37"/>
        <v>1716</v>
      </c>
      <c r="I834" s="38">
        <v>1130</v>
      </c>
      <c r="J834" s="38">
        <v>586</v>
      </c>
      <c r="K834" s="38">
        <v>544</v>
      </c>
      <c r="L834" s="50">
        <f t="shared" si="38"/>
        <v>31.701631701631701</v>
      </c>
      <c r="M834" s="38">
        <v>245</v>
      </c>
      <c r="N834" s="50">
        <f t="shared" si="39"/>
        <v>14.277389277389277</v>
      </c>
      <c r="O834" s="38">
        <v>0</v>
      </c>
      <c r="P834" s="38">
        <v>0</v>
      </c>
      <c r="Q834" s="155" t="s">
        <v>160</v>
      </c>
      <c r="R834" s="91">
        <v>44537</v>
      </c>
      <c r="S834" s="156"/>
      <c r="T834" s="155">
        <v>0.5</v>
      </c>
      <c r="U834" s="155"/>
      <c r="V834" s="155"/>
      <c r="W834" s="155"/>
      <c r="X834" s="155"/>
      <c r="Y834" s="155"/>
      <c r="Z834" s="92"/>
      <c r="AB834" s="92"/>
      <c r="AC834" s="71" t="s">
        <v>1907</v>
      </c>
      <c r="AD834" s="155"/>
      <c r="AE834" s="156"/>
    </row>
    <row r="835" spans="1:31" x14ac:dyDescent="0.25">
      <c r="A835" s="38" t="s">
        <v>36</v>
      </c>
      <c r="B835" s="38" t="s">
        <v>1727</v>
      </c>
      <c r="C835" s="38" t="s">
        <v>1908</v>
      </c>
      <c r="D835" s="38" t="s">
        <v>1909</v>
      </c>
      <c r="E835" s="38" t="s">
        <v>1910</v>
      </c>
      <c r="F835" s="38">
        <v>1115.6500000000001</v>
      </c>
      <c r="G835" s="38">
        <v>1115.6500000000001</v>
      </c>
      <c r="H835" s="38">
        <f t="shared" si="37"/>
        <v>2435</v>
      </c>
      <c r="I835" s="38">
        <v>1590</v>
      </c>
      <c r="J835" s="38">
        <v>845</v>
      </c>
      <c r="K835" s="38">
        <v>745</v>
      </c>
      <c r="L835" s="50">
        <f t="shared" si="38"/>
        <v>30.595482546201229</v>
      </c>
      <c r="M835" s="38">
        <v>53</v>
      </c>
      <c r="N835" s="50">
        <f t="shared" si="39"/>
        <v>2.1765913757700206</v>
      </c>
      <c r="O835" s="38">
        <v>0</v>
      </c>
      <c r="P835" s="38">
        <v>17.3</v>
      </c>
    </row>
    <row r="836" spans="1:31" x14ac:dyDescent="0.25">
      <c r="A836" s="38" t="s">
        <v>36</v>
      </c>
      <c r="B836" s="38" t="s">
        <v>1727</v>
      </c>
      <c r="C836" s="38" t="s">
        <v>1908</v>
      </c>
      <c r="D836" s="38" t="s">
        <v>1911</v>
      </c>
      <c r="E836" s="38" t="s">
        <v>1912</v>
      </c>
      <c r="F836" s="38">
        <v>407.13</v>
      </c>
      <c r="G836" s="38">
        <v>407.13</v>
      </c>
      <c r="H836" s="38">
        <f t="shared" si="37"/>
        <v>818</v>
      </c>
      <c r="I836" s="38">
        <v>533</v>
      </c>
      <c r="J836" s="38">
        <v>285</v>
      </c>
      <c r="K836" s="38">
        <v>248</v>
      </c>
      <c r="L836" s="50">
        <f t="shared" si="38"/>
        <v>30.317848410757946</v>
      </c>
      <c r="M836" s="38">
        <v>6</v>
      </c>
      <c r="N836" s="50">
        <f t="shared" si="39"/>
        <v>0.73349633251833746</v>
      </c>
      <c r="O836" s="38">
        <v>0</v>
      </c>
      <c r="P836" s="38">
        <v>0</v>
      </c>
    </row>
    <row r="837" spans="1:31" x14ac:dyDescent="0.25">
      <c r="A837" s="38" t="s">
        <v>36</v>
      </c>
      <c r="B837" s="38" t="s">
        <v>1727</v>
      </c>
      <c r="C837" s="38" t="s">
        <v>1908</v>
      </c>
      <c r="D837" s="38" t="s">
        <v>1913</v>
      </c>
      <c r="E837" s="38" t="s">
        <v>1914</v>
      </c>
      <c r="F837" s="38">
        <v>539.79999999999995</v>
      </c>
      <c r="G837" s="38">
        <v>539.79999999999995</v>
      </c>
      <c r="H837" s="38">
        <f t="shared" ref="H837:H900" si="40">I837+J837</f>
        <v>1342</v>
      </c>
      <c r="I837" s="38">
        <v>868</v>
      </c>
      <c r="J837" s="38">
        <v>474</v>
      </c>
      <c r="K837" s="38">
        <v>394</v>
      </c>
      <c r="L837" s="50">
        <f t="shared" si="38"/>
        <v>29.359165424739196</v>
      </c>
      <c r="M837" s="38">
        <v>118</v>
      </c>
      <c r="N837" s="50">
        <f t="shared" si="39"/>
        <v>8.7928464977645309</v>
      </c>
      <c r="O837" s="38">
        <v>0</v>
      </c>
      <c r="P837" s="38">
        <v>0</v>
      </c>
    </row>
    <row r="838" spans="1:31" x14ac:dyDescent="0.25">
      <c r="A838" s="38" t="s">
        <v>36</v>
      </c>
      <c r="B838" s="38" t="s">
        <v>1727</v>
      </c>
      <c r="C838" s="38" t="s">
        <v>1908</v>
      </c>
      <c r="D838" s="38" t="s">
        <v>1915</v>
      </c>
      <c r="E838" s="38" t="s">
        <v>1916</v>
      </c>
      <c r="F838" s="38">
        <v>392.87</v>
      </c>
      <c r="G838" s="38">
        <v>392.87</v>
      </c>
      <c r="H838" s="38">
        <f t="shared" si="40"/>
        <v>661</v>
      </c>
      <c r="I838" s="38">
        <v>441</v>
      </c>
      <c r="J838" s="38">
        <v>220</v>
      </c>
      <c r="K838" s="38">
        <v>221</v>
      </c>
      <c r="L838" s="50">
        <f t="shared" ref="L838:L895" si="41">K838/H838*100</f>
        <v>33.434190620272311</v>
      </c>
      <c r="M838" s="38">
        <v>6</v>
      </c>
      <c r="N838" s="50">
        <f t="shared" ref="N838:N867" si="42">M838/H838*100</f>
        <v>0.90771558245083206</v>
      </c>
      <c r="O838" s="38">
        <v>0</v>
      </c>
      <c r="P838" s="38">
        <v>0</v>
      </c>
    </row>
    <row r="839" spans="1:31" x14ac:dyDescent="0.25">
      <c r="A839" s="38" t="s">
        <v>36</v>
      </c>
      <c r="B839" s="38" t="s">
        <v>1727</v>
      </c>
      <c r="C839" s="38" t="s">
        <v>1908</v>
      </c>
      <c r="D839" s="38" t="s">
        <v>1917</v>
      </c>
      <c r="E839" s="38" t="s">
        <v>1918</v>
      </c>
      <c r="F839" s="38">
        <v>1198.68</v>
      </c>
      <c r="G839" s="38">
        <v>1198.68</v>
      </c>
      <c r="H839" s="38">
        <f t="shared" si="40"/>
        <v>1746</v>
      </c>
      <c r="I839" s="38">
        <v>1138</v>
      </c>
      <c r="J839" s="38">
        <v>608</v>
      </c>
      <c r="K839" s="38">
        <v>530</v>
      </c>
      <c r="L839" s="50">
        <f t="shared" si="41"/>
        <v>30.355097365406642</v>
      </c>
      <c r="M839" s="38">
        <v>140</v>
      </c>
      <c r="N839" s="50">
        <f t="shared" si="42"/>
        <v>8.0183276059564719</v>
      </c>
      <c r="O839" s="38">
        <v>0</v>
      </c>
      <c r="P839" s="38">
        <v>0</v>
      </c>
    </row>
    <row r="840" spans="1:31" x14ac:dyDescent="0.25">
      <c r="A840" s="38" t="s">
        <v>36</v>
      </c>
      <c r="B840" s="38" t="s">
        <v>1727</v>
      </c>
      <c r="C840" s="38" t="s">
        <v>1908</v>
      </c>
      <c r="D840" s="38" t="s">
        <v>1919</v>
      </c>
      <c r="E840" s="38" t="s">
        <v>1920</v>
      </c>
      <c r="F840" s="38">
        <v>354.32</v>
      </c>
      <c r="G840" s="38">
        <v>354.32</v>
      </c>
      <c r="H840" s="38">
        <f t="shared" si="40"/>
        <v>630</v>
      </c>
      <c r="I840" s="38">
        <v>411</v>
      </c>
      <c r="J840" s="38">
        <v>219</v>
      </c>
      <c r="K840" s="38">
        <v>192</v>
      </c>
      <c r="L840" s="50">
        <f t="shared" si="41"/>
        <v>30.476190476190478</v>
      </c>
      <c r="M840" s="38">
        <v>0</v>
      </c>
      <c r="N840" s="50">
        <f t="shared" si="42"/>
        <v>0</v>
      </c>
      <c r="O840" s="38">
        <v>0</v>
      </c>
      <c r="P840" s="38">
        <v>0</v>
      </c>
    </row>
    <row r="841" spans="1:31" x14ac:dyDescent="0.25">
      <c r="A841" s="38" t="s">
        <v>36</v>
      </c>
      <c r="B841" s="38" t="s">
        <v>1727</v>
      </c>
      <c r="C841" s="38" t="s">
        <v>1908</v>
      </c>
      <c r="D841" s="11" t="s">
        <v>1921</v>
      </c>
      <c r="E841" s="38"/>
      <c r="F841" s="38"/>
      <c r="G841" s="38"/>
      <c r="H841" s="38">
        <f t="shared" si="40"/>
        <v>0</v>
      </c>
      <c r="I841" s="38"/>
      <c r="J841" s="38"/>
      <c r="K841" s="38"/>
      <c r="L841" s="50"/>
      <c r="M841" s="38"/>
      <c r="N841" s="50"/>
      <c r="O841" s="38"/>
      <c r="P841" s="38"/>
      <c r="Q841" s="39" t="s">
        <v>44</v>
      </c>
      <c r="R841" s="11" t="s">
        <v>1922</v>
      </c>
      <c r="S841" s="40"/>
      <c r="T841" s="39">
        <v>38.200000000000003</v>
      </c>
      <c r="U841" s="39"/>
      <c r="V841" s="39"/>
      <c r="W841" s="39"/>
      <c r="X841" s="39"/>
      <c r="Y841" s="39"/>
      <c r="Z841" s="3"/>
      <c r="AB841" s="2"/>
      <c r="AC841" s="11" t="s">
        <v>1921</v>
      </c>
      <c r="AD841" s="2"/>
      <c r="AE841" s="40"/>
    </row>
    <row r="842" spans="1:31" x14ac:dyDescent="0.25">
      <c r="A842" s="38" t="s">
        <v>36</v>
      </c>
      <c r="B842" s="38" t="s">
        <v>1727</v>
      </c>
      <c r="C842" s="38" t="s">
        <v>1908</v>
      </c>
      <c r="D842" s="11" t="s">
        <v>1923</v>
      </c>
      <c r="E842" s="38"/>
      <c r="F842" s="38"/>
      <c r="G842" s="38"/>
      <c r="H842" s="38">
        <f t="shared" si="40"/>
        <v>0</v>
      </c>
      <c r="I842" s="38"/>
      <c r="J842" s="38"/>
      <c r="K842" s="38"/>
      <c r="L842" s="50"/>
      <c r="M842" s="38"/>
      <c r="N842" s="50"/>
      <c r="O842" s="38"/>
      <c r="P842" s="38"/>
      <c r="Q842" s="39" t="s">
        <v>44</v>
      </c>
      <c r="R842" s="11" t="s">
        <v>1922</v>
      </c>
      <c r="S842" s="40"/>
      <c r="T842" s="39">
        <v>40.61</v>
      </c>
      <c r="U842" s="39"/>
      <c r="V842" s="39"/>
      <c r="W842" s="39"/>
      <c r="X842" s="39"/>
      <c r="Y842" s="39"/>
      <c r="Z842" s="3"/>
      <c r="AB842" s="2"/>
      <c r="AC842" s="11" t="s">
        <v>1923</v>
      </c>
      <c r="AD842" s="2"/>
      <c r="AE842" s="40"/>
    </row>
    <row r="843" spans="1:31" x14ac:dyDescent="0.25">
      <c r="A843" s="38" t="s">
        <v>36</v>
      </c>
      <c r="B843" s="38" t="s">
        <v>1727</v>
      </c>
      <c r="C843" s="38" t="s">
        <v>1924</v>
      </c>
      <c r="D843" s="38" t="s">
        <v>1925</v>
      </c>
      <c r="E843" s="38" t="s">
        <v>1926</v>
      </c>
      <c r="F843" s="38">
        <v>3764</v>
      </c>
      <c r="G843" s="38">
        <v>3764</v>
      </c>
      <c r="H843" s="38">
        <f t="shared" si="40"/>
        <v>2640</v>
      </c>
      <c r="I843" s="38">
        <v>1712</v>
      </c>
      <c r="J843" s="38">
        <v>928</v>
      </c>
      <c r="K843" s="38">
        <v>784</v>
      </c>
      <c r="L843" s="50">
        <f t="shared" si="41"/>
        <v>29.696969696969699</v>
      </c>
      <c r="M843" s="38">
        <v>136</v>
      </c>
      <c r="N843" s="50">
        <f t="shared" si="42"/>
        <v>5.1515151515151514</v>
      </c>
      <c r="O843" s="38">
        <v>16</v>
      </c>
      <c r="P843" s="38">
        <v>399</v>
      </c>
      <c r="AC843" s="117"/>
      <c r="AD843" s="121"/>
    </row>
    <row r="844" spans="1:31" x14ac:dyDescent="0.25">
      <c r="A844" s="38" t="s">
        <v>36</v>
      </c>
      <c r="B844" s="38" t="s">
        <v>1727</v>
      </c>
      <c r="C844" s="38" t="s">
        <v>1924</v>
      </c>
      <c r="D844" s="38" t="s">
        <v>1927</v>
      </c>
      <c r="E844" s="38" t="s">
        <v>1928</v>
      </c>
      <c r="F844" s="38">
        <v>1698</v>
      </c>
      <c r="G844" s="38">
        <v>1698</v>
      </c>
      <c r="H844" s="38">
        <f t="shared" si="40"/>
        <v>728</v>
      </c>
      <c r="I844" s="38">
        <v>472</v>
      </c>
      <c r="J844" s="38">
        <v>256</v>
      </c>
      <c r="K844" s="38">
        <v>216</v>
      </c>
      <c r="L844" s="50">
        <f t="shared" si="41"/>
        <v>29.670329670329672</v>
      </c>
      <c r="M844" s="38">
        <v>84</v>
      </c>
      <c r="N844" s="50">
        <f t="shared" si="42"/>
        <v>11.538461538461538</v>
      </c>
      <c r="O844" s="38">
        <v>0</v>
      </c>
      <c r="P844" s="38">
        <v>17</v>
      </c>
      <c r="AC844" s="117"/>
      <c r="AD844" s="121"/>
    </row>
    <row r="845" spans="1:31" x14ac:dyDescent="0.25">
      <c r="A845" s="38" t="s">
        <v>36</v>
      </c>
      <c r="B845" s="38" t="s">
        <v>1727</v>
      </c>
      <c r="C845" s="38" t="s">
        <v>1924</v>
      </c>
      <c r="D845" s="38" t="s">
        <v>1927</v>
      </c>
      <c r="E845" s="38" t="s">
        <v>1928</v>
      </c>
      <c r="F845" s="38"/>
      <c r="G845" s="38"/>
      <c r="H845" s="38">
        <f t="shared" si="40"/>
        <v>0</v>
      </c>
      <c r="I845" s="38"/>
      <c r="J845" s="38"/>
      <c r="K845" s="38"/>
      <c r="L845" s="50"/>
      <c r="M845" s="38"/>
      <c r="N845" s="50"/>
      <c r="O845" s="38">
        <v>0</v>
      </c>
      <c r="P845" s="38">
        <v>17</v>
      </c>
      <c r="AC845" s="117"/>
      <c r="AD845" s="117"/>
    </row>
    <row r="846" spans="1:31" x14ac:dyDescent="0.25">
      <c r="A846" s="38" t="s">
        <v>36</v>
      </c>
      <c r="B846" s="38" t="s">
        <v>1727</v>
      </c>
      <c r="C846" s="38" t="s">
        <v>1924</v>
      </c>
      <c r="D846" s="38" t="s">
        <v>1929</v>
      </c>
      <c r="E846" s="38" t="s">
        <v>1930</v>
      </c>
      <c r="F846" s="38">
        <v>1244</v>
      </c>
      <c r="G846" s="38">
        <v>1244</v>
      </c>
      <c r="H846" s="38">
        <f t="shared" si="40"/>
        <v>641</v>
      </c>
      <c r="I846" s="38">
        <v>405</v>
      </c>
      <c r="J846" s="38">
        <v>236</v>
      </c>
      <c r="K846" s="38">
        <v>169</v>
      </c>
      <c r="L846" s="50">
        <f t="shared" si="41"/>
        <v>26.365054602184085</v>
      </c>
      <c r="M846" s="38">
        <v>45</v>
      </c>
      <c r="N846" s="50">
        <f t="shared" si="42"/>
        <v>7.0202808112324488</v>
      </c>
      <c r="O846" s="38">
        <v>0</v>
      </c>
      <c r="P846" s="38">
        <v>74</v>
      </c>
      <c r="AC846" s="117"/>
      <c r="AD846" s="121"/>
    </row>
    <row r="847" spans="1:31" x14ac:dyDescent="0.25">
      <c r="A847" s="38" t="s">
        <v>36</v>
      </c>
      <c r="B847" s="38" t="s">
        <v>1727</v>
      </c>
      <c r="C847" s="38" t="s">
        <v>1924</v>
      </c>
      <c r="D847" s="38" t="s">
        <v>1929</v>
      </c>
      <c r="E847" s="38" t="s">
        <v>1930</v>
      </c>
      <c r="F847" s="38"/>
      <c r="G847" s="38"/>
      <c r="H847" s="38">
        <f t="shared" si="40"/>
        <v>0</v>
      </c>
      <c r="I847" s="38"/>
      <c r="J847" s="38"/>
      <c r="K847" s="38"/>
      <c r="L847" s="50"/>
      <c r="M847" s="38"/>
      <c r="N847" s="50"/>
      <c r="O847" s="38">
        <v>0</v>
      </c>
      <c r="P847" s="38">
        <v>74</v>
      </c>
      <c r="AC847" s="117"/>
      <c r="AD847" s="117"/>
    </row>
    <row r="848" spans="1:31" x14ac:dyDescent="0.25">
      <c r="A848" s="38" t="s">
        <v>36</v>
      </c>
      <c r="B848" s="38" t="s">
        <v>1727</v>
      </c>
      <c r="C848" s="38" t="s">
        <v>1924</v>
      </c>
      <c r="D848" s="38" t="s">
        <v>1931</v>
      </c>
      <c r="E848" s="38" t="s">
        <v>1932</v>
      </c>
      <c r="F848" s="38">
        <v>870</v>
      </c>
      <c r="G848" s="38">
        <v>870</v>
      </c>
      <c r="H848" s="38">
        <f t="shared" si="40"/>
        <v>339</v>
      </c>
      <c r="I848" s="38">
        <v>223</v>
      </c>
      <c r="J848" s="38">
        <v>116</v>
      </c>
      <c r="K848" s="38">
        <v>107</v>
      </c>
      <c r="L848" s="50">
        <f t="shared" si="41"/>
        <v>31.563421828908556</v>
      </c>
      <c r="M848" s="38">
        <v>0</v>
      </c>
      <c r="N848" s="50">
        <f t="shared" si="42"/>
        <v>0</v>
      </c>
      <c r="O848" s="38">
        <v>0</v>
      </c>
      <c r="P848" s="38">
        <v>192</v>
      </c>
      <c r="AC848" s="117"/>
      <c r="AD848" s="121"/>
    </row>
    <row r="849" spans="1:31" x14ac:dyDescent="0.25">
      <c r="A849" s="38" t="s">
        <v>36</v>
      </c>
      <c r="B849" s="38" t="s">
        <v>1727</v>
      </c>
      <c r="C849" s="38" t="s">
        <v>1924</v>
      </c>
      <c r="D849" s="38" t="s">
        <v>1931</v>
      </c>
      <c r="E849" s="38" t="s">
        <v>1932</v>
      </c>
      <c r="F849" s="38"/>
      <c r="G849" s="38"/>
      <c r="H849" s="38">
        <f t="shared" si="40"/>
        <v>0</v>
      </c>
      <c r="I849" s="38"/>
      <c r="J849" s="38"/>
      <c r="K849" s="38"/>
      <c r="L849" s="50"/>
      <c r="M849" s="38"/>
      <c r="N849" s="50"/>
      <c r="O849" s="38">
        <v>0</v>
      </c>
      <c r="P849" s="38">
        <v>192</v>
      </c>
      <c r="AC849" s="117"/>
      <c r="AD849" s="117"/>
    </row>
    <row r="850" spans="1:31" x14ac:dyDescent="0.25">
      <c r="A850" s="38" t="s">
        <v>36</v>
      </c>
      <c r="B850" s="38" t="s">
        <v>1727</v>
      </c>
      <c r="C850" s="38" t="s">
        <v>1924</v>
      </c>
      <c r="D850" s="38" t="s">
        <v>1933</v>
      </c>
      <c r="E850" s="38" t="s">
        <v>1934</v>
      </c>
      <c r="F850" s="38">
        <v>1257</v>
      </c>
      <c r="G850" s="38">
        <v>1257</v>
      </c>
      <c r="H850" s="38">
        <f t="shared" si="40"/>
        <v>1145</v>
      </c>
      <c r="I850" s="38">
        <v>754</v>
      </c>
      <c r="J850" s="38">
        <v>391</v>
      </c>
      <c r="K850" s="38">
        <v>363</v>
      </c>
      <c r="L850" s="50">
        <f t="shared" si="41"/>
        <v>31.703056768558952</v>
      </c>
      <c r="M850" s="38">
        <v>0</v>
      </c>
      <c r="N850" s="50">
        <f t="shared" si="42"/>
        <v>0</v>
      </c>
      <c r="O850" s="38">
        <v>0</v>
      </c>
      <c r="P850" s="38">
        <v>12</v>
      </c>
    </row>
    <row r="851" spans="1:31" x14ac:dyDescent="0.25">
      <c r="A851" s="38" t="s">
        <v>36</v>
      </c>
      <c r="B851" s="38" t="s">
        <v>1727</v>
      </c>
      <c r="C851" s="38" t="s">
        <v>1935</v>
      </c>
      <c r="D851" s="38" t="s">
        <v>1936</v>
      </c>
      <c r="E851" s="38" t="s">
        <v>1937</v>
      </c>
      <c r="F851" s="38">
        <v>689.34</v>
      </c>
      <c r="G851" s="38">
        <v>689.34</v>
      </c>
      <c r="H851" s="38">
        <f t="shared" si="40"/>
        <v>1527</v>
      </c>
      <c r="I851" s="38">
        <v>1015</v>
      </c>
      <c r="J851" s="38">
        <v>512</v>
      </c>
      <c r="K851" s="38">
        <v>503</v>
      </c>
      <c r="L851" s="50">
        <f t="shared" si="41"/>
        <v>32.940406024885391</v>
      </c>
      <c r="M851" s="38">
        <v>54</v>
      </c>
      <c r="N851" s="50">
        <f t="shared" si="42"/>
        <v>3.5363457760314341</v>
      </c>
      <c r="O851" s="38">
        <v>0</v>
      </c>
      <c r="P851" s="38">
        <v>21</v>
      </c>
      <c r="Q851" s="96" t="s">
        <v>44</v>
      </c>
      <c r="R851" s="14">
        <v>44547</v>
      </c>
      <c r="S851" s="97"/>
      <c r="T851" s="96">
        <v>21.254100000000001</v>
      </c>
      <c r="U851" s="96"/>
      <c r="V851" s="96"/>
      <c r="W851" s="96"/>
      <c r="X851" s="96"/>
      <c r="Y851" s="96"/>
      <c r="Z851" s="85"/>
      <c r="AB851" s="85">
        <v>21.254100000000001</v>
      </c>
      <c r="AC851" s="15" t="s">
        <v>1938</v>
      </c>
      <c r="AD851" s="36">
        <v>25.516459999999999</v>
      </c>
      <c r="AE851" s="97">
        <v>71.058752999999996</v>
      </c>
    </row>
    <row r="852" spans="1:31" x14ac:dyDescent="0.25">
      <c r="A852" s="38" t="s">
        <v>36</v>
      </c>
      <c r="B852" s="38" t="s">
        <v>1727</v>
      </c>
      <c r="C852" s="38" t="s">
        <v>1935</v>
      </c>
      <c r="D852" s="11" t="s">
        <v>1939</v>
      </c>
      <c r="E852" s="38"/>
      <c r="F852" s="38"/>
      <c r="G852" s="38"/>
      <c r="H852" s="38">
        <f t="shared" si="40"/>
        <v>0</v>
      </c>
      <c r="I852" s="38"/>
      <c r="J852" s="38"/>
      <c r="K852" s="38"/>
      <c r="L852" s="50"/>
      <c r="M852" s="38"/>
      <c r="N852" s="50"/>
      <c r="O852" s="38"/>
      <c r="P852" s="38"/>
      <c r="Q852" s="61" t="s">
        <v>43</v>
      </c>
      <c r="R852" s="7">
        <v>44547</v>
      </c>
      <c r="S852" s="61"/>
      <c r="T852" s="61">
        <v>0</v>
      </c>
      <c r="U852" s="61"/>
      <c r="V852" s="61"/>
      <c r="W852" s="61"/>
      <c r="X852" s="61"/>
      <c r="Y852" s="61"/>
      <c r="Z852" s="20"/>
      <c r="AB852" s="20"/>
      <c r="AC852" s="11" t="s">
        <v>1939</v>
      </c>
      <c r="AD852" s="61">
        <v>0</v>
      </c>
      <c r="AE852" s="61"/>
    </row>
    <row r="853" spans="1:31" x14ac:dyDescent="0.25">
      <c r="A853" s="38" t="s">
        <v>36</v>
      </c>
      <c r="B853" s="38" t="s">
        <v>1727</v>
      </c>
      <c r="C853" s="38" t="s">
        <v>1935</v>
      </c>
      <c r="D853" s="38" t="s">
        <v>1940</v>
      </c>
      <c r="E853" s="38" t="s">
        <v>1941</v>
      </c>
      <c r="F853" s="38">
        <v>514.41</v>
      </c>
      <c r="G853" s="38">
        <v>514.41</v>
      </c>
      <c r="H853" s="38">
        <f t="shared" si="40"/>
        <v>769</v>
      </c>
      <c r="I853" s="38">
        <v>505</v>
      </c>
      <c r="J853" s="38">
        <v>264</v>
      </c>
      <c r="K853" s="38">
        <v>241</v>
      </c>
      <c r="L853" s="50">
        <f t="shared" si="41"/>
        <v>31.339401820546165</v>
      </c>
      <c r="M853" s="38">
        <v>40</v>
      </c>
      <c r="N853" s="50">
        <f t="shared" si="42"/>
        <v>5.2015604681404417</v>
      </c>
      <c r="O853" s="38">
        <v>0</v>
      </c>
      <c r="P853" s="38">
        <v>0</v>
      </c>
      <c r="Q853" s="90" t="s">
        <v>43</v>
      </c>
      <c r="R853" s="91">
        <v>44547</v>
      </c>
      <c r="S853" s="90"/>
      <c r="T853" s="90">
        <v>0</v>
      </c>
      <c r="U853" s="90"/>
      <c r="V853" s="90"/>
      <c r="W853" s="90"/>
      <c r="X853" s="90"/>
      <c r="Y853" s="90"/>
      <c r="Z853" s="92"/>
      <c r="AB853" s="92"/>
      <c r="AC853" s="71" t="s">
        <v>1942</v>
      </c>
      <c r="AD853" s="90">
        <v>0</v>
      </c>
      <c r="AE853" s="90"/>
    </row>
    <row r="854" spans="1:31" x14ac:dyDescent="0.25">
      <c r="A854" s="38" t="s">
        <v>36</v>
      </c>
      <c r="B854" s="38" t="s">
        <v>1727</v>
      </c>
      <c r="C854" s="38" t="s">
        <v>1935</v>
      </c>
      <c r="D854" s="38" t="s">
        <v>1943</v>
      </c>
      <c r="E854" s="38" t="s">
        <v>1944</v>
      </c>
      <c r="F854" s="38">
        <v>522.20000000000005</v>
      </c>
      <c r="G854" s="38">
        <v>522.20000000000005</v>
      </c>
      <c r="H854" s="38">
        <f t="shared" si="40"/>
        <v>1074</v>
      </c>
      <c r="I854" s="38">
        <v>705</v>
      </c>
      <c r="J854" s="38">
        <v>369</v>
      </c>
      <c r="K854" s="38">
        <v>336</v>
      </c>
      <c r="L854" s="50">
        <f t="shared" si="41"/>
        <v>31.284916201117319</v>
      </c>
      <c r="M854" s="38">
        <v>43</v>
      </c>
      <c r="N854" s="50">
        <f t="shared" si="42"/>
        <v>4.0037243947858476</v>
      </c>
      <c r="O854" s="38">
        <v>0</v>
      </c>
      <c r="P854" s="38">
        <v>0</v>
      </c>
      <c r="Q854" s="61" t="s">
        <v>43</v>
      </c>
      <c r="R854" s="7">
        <v>44547</v>
      </c>
      <c r="S854" s="61"/>
      <c r="T854" s="61">
        <v>0</v>
      </c>
      <c r="U854" s="61"/>
      <c r="V854" s="61"/>
      <c r="W854" s="61"/>
      <c r="X854" s="61"/>
      <c r="Y854" s="61"/>
      <c r="Z854" s="20"/>
      <c r="AB854" s="20"/>
      <c r="AC854" s="11" t="s">
        <v>1945</v>
      </c>
      <c r="AD854" s="61">
        <v>0</v>
      </c>
      <c r="AE854" s="61"/>
    </row>
    <row r="855" spans="1:31" x14ac:dyDescent="0.25">
      <c r="A855" s="38" t="s">
        <v>36</v>
      </c>
      <c r="B855" s="38" t="s">
        <v>1727</v>
      </c>
      <c r="C855" s="38" t="s">
        <v>1935</v>
      </c>
      <c r="D855" s="38" t="s">
        <v>1946</v>
      </c>
      <c r="E855" s="38" t="s">
        <v>1947</v>
      </c>
      <c r="F855" s="38">
        <v>1100.77</v>
      </c>
      <c r="G855" s="38">
        <v>1100.77</v>
      </c>
      <c r="H855" s="38">
        <f t="shared" si="40"/>
        <v>1113</v>
      </c>
      <c r="I855" s="38">
        <v>730</v>
      </c>
      <c r="J855" s="38">
        <v>383</v>
      </c>
      <c r="K855" s="38">
        <v>347</v>
      </c>
      <c r="L855" s="50">
        <f t="shared" si="41"/>
        <v>31.176999101527404</v>
      </c>
      <c r="M855" s="38">
        <v>94</v>
      </c>
      <c r="N855" s="50">
        <f t="shared" si="42"/>
        <v>8.4456424079065595</v>
      </c>
      <c r="O855" s="38">
        <v>101.5</v>
      </c>
      <c r="P855" s="38">
        <v>41</v>
      </c>
      <c r="Q855" s="125" t="s">
        <v>160</v>
      </c>
      <c r="R855" s="91">
        <v>44547</v>
      </c>
      <c r="S855" s="126"/>
      <c r="T855" s="125">
        <v>6.17</v>
      </c>
      <c r="U855" s="125"/>
      <c r="V855" s="125"/>
      <c r="W855" s="125"/>
      <c r="X855" s="125"/>
      <c r="Y855" s="125"/>
      <c r="Z855" s="92"/>
      <c r="AB855" s="92"/>
      <c r="AC855" s="71" t="s">
        <v>1948</v>
      </c>
      <c r="AD855" s="90"/>
      <c r="AE855" s="126"/>
    </row>
    <row r="856" spans="1:31" x14ac:dyDescent="0.25">
      <c r="A856" s="38" t="s">
        <v>36</v>
      </c>
      <c r="B856" s="38" t="s">
        <v>1727</v>
      </c>
      <c r="C856" s="38" t="s">
        <v>1949</v>
      </c>
      <c r="D856" s="38" t="s">
        <v>1950</v>
      </c>
      <c r="E856" s="38" t="s">
        <v>1951</v>
      </c>
      <c r="F856" s="38">
        <v>1752.82</v>
      </c>
      <c r="G856" s="38">
        <v>1752.82</v>
      </c>
      <c r="H856" s="38">
        <f t="shared" si="40"/>
        <v>5713</v>
      </c>
      <c r="I856" s="38">
        <v>3767</v>
      </c>
      <c r="J856" s="38">
        <v>1946</v>
      </c>
      <c r="K856" s="38">
        <v>1821</v>
      </c>
      <c r="L856" s="50">
        <f t="shared" si="41"/>
        <v>31.874671801155259</v>
      </c>
      <c r="M856" s="38">
        <v>227</v>
      </c>
      <c r="N856" s="50">
        <f t="shared" si="42"/>
        <v>3.9733940136530719</v>
      </c>
      <c r="O856" s="38">
        <v>0</v>
      </c>
      <c r="P856" s="38">
        <v>440.69</v>
      </c>
      <c r="AC856" s="117"/>
      <c r="AD856" s="117"/>
    </row>
    <row r="857" spans="1:31" x14ac:dyDescent="0.25">
      <c r="A857" s="38" t="s">
        <v>36</v>
      </c>
      <c r="B857" s="38" t="s">
        <v>1727</v>
      </c>
      <c r="C857" s="38" t="s">
        <v>1949</v>
      </c>
      <c r="D857" s="38" t="s">
        <v>1952</v>
      </c>
      <c r="E857" s="38" t="s">
        <v>1953</v>
      </c>
      <c r="F857" s="38">
        <v>468</v>
      </c>
      <c r="G857" s="38">
        <v>468</v>
      </c>
      <c r="H857" s="38">
        <f t="shared" si="40"/>
        <v>459</v>
      </c>
      <c r="I857" s="38">
        <v>298</v>
      </c>
      <c r="J857" s="38">
        <v>161</v>
      </c>
      <c r="K857" s="38">
        <v>137</v>
      </c>
      <c r="L857" s="50">
        <f t="shared" si="41"/>
        <v>29.847494553376908</v>
      </c>
      <c r="M857" s="38">
        <v>53</v>
      </c>
      <c r="N857" s="50">
        <f t="shared" si="42"/>
        <v>11.546840958605664</v>
      </c>
      <c r="O857" s="38">
        <v>0</v>
      </c>
      <c r="P857" s="38">
        <v>0</v>
      </c>
    </row>
    <row r="858" spans="1:31" x14ac:dyDescent="0.25">
      <c r="A858" s="38" t="s">
        <v>36</v>
      </c>
      <c r="B858" s="38" t="s">
        <v>1727</v>
      </c>
      <c r="C858" s="38" t="s">
        <v>1949</v>
      </c>
      <c r="D858" s="38" t="s">
        <v>1954</v>
      </c>
      <c r="E858" s="38" t="s">
        <v>1955</v>
      </c>
      <c r="F858" s="38">
        <v>1050.79</v>
      </c>
      <c r="G858" s="38">
        <v>1050.79</v>
      </c>
      <c r="H858" s="38">
        <f t="shared" si="40"/>
        <v>1552</v>
      </c>
      <c r="I858" s="38">
        <v>1019</v>
      </c>
      <c r="J858" s="38">
        <v>533</v>
      </c>
      <c r="K858" s="38">
        <v>486</v>
      </c>
      <c r="L858" s="50">
        <f t="shared" si="41"/>
        <v>31.314432989690722</v>
      </c>
      <c r="M858" s="38">
        <v>29</v>
      </c>
      <c r="N858" s="50">
        <f t="shared" si="42"/>
        <v>1.8685567010309279</v>
      </c>
      <c r="O858" s="38">
        <v>0</v>
      </c>
      <c r="P858" s="38">
        <v>131.19</v>
      </c>
    </row>
    <row r="859" spans="1:31" x14ac:dyDescent="0.25">
      <c r="A859" s="38" t="s">
        <v>36</v>
      </c>
      <c r="B859" s="38" t="s">
        <v>1727</v>
      </c>
      <c r="C859" s="38" t="s">
        <v>1949</v>
      </c>
      <c r="D859" s="38" t="s">
        <v>1956</v>
      </c>
      <c r="E859" s="38" t="s">
        <v>1957</v>
      </c>
      <c r="F859" s="38">
        <v>356</v>
      </c>
      <c r="G859" s="38">
        <v>356</v>
      </c>
      <c r="H859" s="38">
        <f t="shared" si="40"/>
        <v>591</v>
      </c>
      <c r="I859" s="38">
        <v>385</v>
      </c>
      <c r="J859" s="38">
        <v>206</v>
      </c>
      <c r="K859" s="38">
        <v>179</v>
      </c>
      <c r="L859" s="50">
        <f t="shared" si="41"/>
        <v>30.287648054145517</v>
      </c>
      <c r="M859" s="38">
        <v>0</v>
      </c>
      <c r="N859" s="50">
        <f t="shared" si="42"/>
        <v>0</v>
      </c>
      <c r="O859" s="38">
        <v>0</v>
      </c>
      <c r="P859" s="38">
        <v>0</v>
      </c>
    </row>
    <row r="860" spans="1:31" x14ac:dyDescent="0.25">
      <c r="A860" s="38" t="s">
        <v>36</v>
      </c>
      <c r="B860" s="38" t="s">
        <v>1727</v>
      </c>
      <c r="C860" s="38" t="s">
        <v>1949</v>
      </c>
      <c r="D860" s="38" t="s">
        <v>1958</v>
      </c>
      <c r="E860" s="38" t="s">
        <v>1959</v>
      </c>
      <c r="F860" s="38">
        <v>503.08</v>
      </c>
      <c r="G860" s="38">
        <v>503.08</v>
      </c>
      <c r="H860" s="38">
        <f t="shared" si="40"/>
        <v>496</v>
      </c>
      <c r="I860" s="38">
        <v>326</v>
      </c>
      <c r="J860" s="38">
        <v>170</v>
      </c>
      <c r="K860" s="38">
        <v>156</v>
      </c>
      <c r="L860" s="50">
        <f t="shared" si="41"/>
        <v>31.451612903225808</v>
      </c>
      <c r="M860" s="38">
        <v>61</v>
      </c>
      <c r="N860" s="50">
        <f t="shared" si="42"/>
        <v>12.298387096774194</v>
      </c>
      <c r="O860" s="38">
        <v>0</v>
      </c>
      <c r="P860" s="38">
        <v>2.91</v>
      </c>
    </row>
    <row r="861" spans="1:31" x14ac:dyDescent="0.25">
      <c r="A861" s="38" t="s">
        <v>36</v>
      </c>
      <c r="B861" s="38" t="s">
        <v>1727</v>
      </c>
      <c r="C861" s="38" t="s">
        <v>1949</v>
      </c>
      <c r="D861" s="38" t="s">
        <v>1960</v>
      </c>
      <c r="E861" s="38" t="s">
        <v>1961</v>
      </c>
      <c r="F861" s="38">
        <v>312.17</v>
      </c>
      <c r="G861" s="38">
        <v>312.17</v>
      </c>
      <c r="H861" s="38">
        <f t="shared" si="40"/>
        <v>582</v>
      </c>
      <c r="I861" s="38">
        <v>381</v>
      </c>
      <c r="J861" s="38">
        <v>201</v>
      </c>
      <c r="K861" s="38">
        <v>180</v>
      </c>
      <c r="L861" s="50">
        <f t="shared" si="41"/>
        <v>30.927835051546392</v>
      </c>
      <c r="M861" s="38">
        <v>140</v>
      </c>
      <c r="N861" s="50">
        <f t="shared" si="42"/>
        <v>24.054982817869416</v>
      </c>
      <c r="O861" s="38">
        <v>0</v>
      </c>
      <c r="P861" s="38">
        <v>0</v>
      </c>
    </row>
    <row r="862" spans="1:31" x14ac:dyDescent="0.25">
      <c r="A862" s="38" t="s">
        <v>36</v>
      </c>
      <c r="B862" s="38" t="s">
        <v>1727</v>
      </c>
      <c r="C862" s="38" t="s">
        <v>1949</v>
      </c>
      <c r="D862" s="11" t="s">
        <v>1962</v>
      </c>
      <c r="E862" s="38"/>
      <c r="F862" s="38"/>
      <c r="G862" s="38"/>
      <c r="H862" s="38">
        <f t="shared" si="40"/>
        <v>0</v>
      </c>
      <c r="I862" s="38"/>
      <c r="J862" s="38"/>
      <c r="K862" s="38"/>
      <c r="L862" s="50"/>
      <c r="M862" s="38"/>
      <c r="N862" s="50"/>
      <c r="O862" s="38"/>
      <c r="P862" s="38"/>
      <c r="Q862" s="39" t="s">
        <v>44</v>
      </c>
      <c r="R862" s="11" t="s">
        <v>1963</v>
      </c>
      <c r="S862" s="40"/>
      <c r="T862" s="39">
        <v>9.3887</v>
      </c>
      <c r="U862" s="39"/>
      <c r="V862" s="39"/>
      <c r="W862" s="39"/>
      <c r="X862" s="39"/>
      <c r="Y862" s="39"/>
      <c r="Z862" s="3"/>
      <c r="AB862" s="3"/>
      <c r="AC862" s="11" t="s">
        <v>1962</v>
      </c>
      <c r="AD862" s="2"/>
      <c r="AE862" s="40"/>
    </row>
    <row r="863" spans="1:31" x14ac:dyDescent="0.25">
      <c r="A863" s="38" t="s">
        <v>36</v>
      </c>
      <c r="B863" s="38" t="s">
        <v>1727</v>
      </c>
      <c r="C863" s="38" t="s">
        <v>1964</v>
      </c>
      <c r="D863" s="38" t="s">
        <v>1964</v>
      </c>
      <c r="H863" s="38">
        <f t="shared" si="40"/>
        <v>0</v>
      </c>
      <c r="L863" s="50"/>
      <c r="N863" s="50"/>
      <c r="O863" s="38"/>
      <c r="P863" s="38"/>
      <c r="Q863" s="98" t="s">
        <v>160</v>
      </c>
      <c r="R863" s="7">
        <v>45188</v>
      </c>
      <c r="S863" s="157"/>
      <c r="T863" s="98"/>
      <c r="U863" s="98"/>
      <c r="V863" s="98"/>
      <c r="W863" s="98"/>
      <c r="X863" s="98"/>
      <c r="Y863" s="98"/>
      <c r="Z863" s="20"/>
      <c r="AB863" s="61">
        <v>18</v>
      </c>
      <c r="AC863" s="38" t="s">
        <v>1964</v>
      </c>
      <c r="AD863" s="157">
        <v>25.376739000000001</v>
      </c>
      <c r="AE863" s="157">
        <v>71.041584</v>
      </c>
    </row>
    <row r="864" spans="1:31" x14ac:dyDescent="0.25">
      <c r="A864" s="38" t="s">
        <v>36</v>
      </c>
      <c r="B864" s="38" t="s">
        <v>1727</v>
      </c>
      <c r="C864" s="38" t="s">
        <v>1964</v>
      </c>
      <c r="D864" s="60" t="s">
        <v>1965</v>
      </c>
      <c r="H864" s="38">
        <f t="shared" si="40"/>
        <v>0</v>
      </c>
      <c r="L864" s="50"/>
      <c r="N864" s="50"/>
      <c r="O864" s="38"/>
      <c r="P864" s="38"/>
      <c r="Q864" s="39" t="s">
        <v>44</v>
      </c>
      <c r="R864" s="25">
        <v>45188</v>
      </c>
      <c r="S864" s="40"/>
      <c r="T864" s="39">
        <v>0.123</v>
      </c>
      <c r="U864" s="39"/>
      <c r="V864" s="39"/>
      <c r="W864" s="39"/>
      <c r="X864" s="39"/>
      <c r="Y864" s="39"/>
      <c r="Z864" s="3"/>
      <c r="AB864" s="3"/>
      <c r="AC864" s="60" t="s">
        <v>1965</v>
      </c>
      <c r="AD864" s="2"/>
      <c r="AE864" s="40"/>
    </row>
    <row r="865" spans="1:31" x14ac:dyDescent="0.25">
      <c r="A865" s="38" t="s">
        <v>36</v>
      </c>
      <c r="B865" s="38" t="s">
        <v>1727</v>
      </c>
      <c r="C865" s="38" t="s">
        <v>1964</v>
      </c>
      <c r="D865" s="38" t="s">
        <v>1966</v>
      </c>
      <c r="E865" s="38" t="s">
        <v>1967</v>
      </c>
      <c r="F865" s="38">
        <v>757</v>
      </c>
      <c r="G865" s="38">
        <v>757</v>
      </c>
      <c r="H865" s="38">
        <f t="shared" si="40"/>
        <v>750</v>
      </c>
      <c r="I865" s="38">
        <v>488</v>
      </c>
      <c r="J865" s="38">
        <v>262</v>
      </c>
      <c r="K865" s="38">
        <v>226</v>
      </c>
      <c r="L865" s="50">
        <f t="shared" si="41"/>
        <v>30.133333333333333</v>
      </c>
      <c r="M865" s="38">
        <v>0</v>
      </c>
      <c r="N865" s="50">
        <f t="shared" si="42"/>
        <v>0</v>
      </c>
      <c r="O865" s="38">
        <v>0</v>
      </c>
      <c r="P865" s="38">
        <v>131</v>
      </c>
      <c r="Q865" s="158" t="s">
        <v>44</v>
      </c>
      <c r="R865" s="159">
        <v>45188</v>
      </c>
      <c r="S865" s="160"/>
      <c r="T865" s="158">
        <v>129.5</v>
      </c>
      <c r="U865" s="158"/>
      <c r="V865" s="158"/>
      <c r="W865" s="158"/>
      <c r="X865" s="158"/>
      <c r="Y865" s="158"/>
      <c r="Z865" s="16"/>
      <c r="AB865" s="16">
        <v>16</v>
      </c>
      <c r="AC865" s="69" t="s">
        <v>1966</v>
      </c>
      <c r="AD865" s="161">
        <v>25.366796999999998</v>
      </c>
      <c r="AE865" s="160">
        <v>71.161987999999994</v>
      </c>
    </row>
    <row r="866" spans="1:31" x14ac:dyDescent="0.25">
      <c r="A866" s="38" t="s">
        <v>36</v>
      </c>
      <c r="B866" s="38" t="s">
        <v>1727</v>
      </c>
      <c r="C866" s="38" t="s">
        <v>1964</v>
      </c>
      <c r="D866" s="38" t="s">
        <v>1968</v>
      </c>
      <c r="E866" s="38" t="s">
        <v>1969</v>
      </c>
      <c r="F866" s="38">
        <v>727</v>
      </c>
      <c r="G866" s="38">
        <v>727</v>
      </c>
      <c r="H866" s="38">
        <f t="shared" si="40"/>
        <v>1266</v>
      </c>
      <c r="I866" s="38">
        <v>836</v>
      </c>
      <c r="J866" s="38">
        <v>430</v>
      </c>
      <c r="K866" s="38">
        <v>406</v>
      </c>
      <c r="L866" s="50">
        <f t="shared" si="41"/>
        <v>32.069510268562404</v>
      </c>
      <c r="M866" s="38">
        <v>0</v>
      </c>
      <c r="N866" s="50">
        <f t="shared" si="42"/>
        <v>0</v>
      </c>
      <c r="O866" s="38">
        <v>0</v>
      </c>
      <c r="P866" s="38">
        <v>0</v>
      </c>
      <c r="Q866" s="98" t="s">
        <v>160</v>
      </c>
      <c r="R866" s="7">
        <v>45188</v>
      </c>
      <c r="S866" s="99"/>
      <c r="T866" s="98">
        <v>0</v>
      </c>
      <c r="U866" s="98"/>
      <c r="V866" s="98"/>
      <c r="W866" s="98"/>
      <c r="X866" s="98"/>
      <c r="Y866" s="98"/>
      <c r="Z866" s="20"/>
      <c r="AB866" s="20"/>
      <c r="AC866" s="38" t="s">
        <v>1968</v>
      </c>
      <c r="AD866" s="61"/>
      <c r="AE866" s="99"/>
    </row>
    <row r="867" spans="1:31" x14ac:dyDescent="0.25">
      <c r="A867" s="38" t="s">
        <v>36</v>
      </c>
      <c r="B867" s="38" t="s">
        <v>1727</v>
      </c>
      <c r="C867" s="38" t="s">
        <v>1964</v>
      </c>
      <c r="D867" s="38" t="s">
        <v>1970</v>
      </c>
      <c r="E867" s="38" t="s">
        <v>1971</v>
      </c>
      <c r="F867" s="38">
        <v>506.11</v>
      </c>
      <c r="G867" s="38">
        <v>506.11</v>
      </c>
      <c r="H867" s="38">
        <f t="shared" si="40"/>
        <v>712</v>
      </c>
      <c r="I867" s="38">
        <v>465</v>
      </c>
      <c r="J867" s="38">
        <v>247</v>
      </c>
      <c r="K867" s="38">
        <v>218</v>
      </c>
      <c r="L867" s="50">
        <f t="shared" si="41"/>
        <v>30.617977528089892</v>
      </c>
      <c r="M867" s="38">
        <v>0</v>
      </c>
      <c r="N867" s="50">
        <f t="shared" si="42"/>
        <v>0</v>
      </c>
      <c r="O867" s="38">
        <v>0</v>
      </c>
      <c r="P867" s="38">
        <v>4.12</v>
      </c>
      <c r="Q867" s="98" t="s">
        <v>160</v>
      </c>
      <c r="R867" s="7">
        <v>45188</v>
      </c>
      <c r="S867" s="99"/>
      <c r="T867" s="98">
        <v>3.99</v>
      </c>
      <c r="U867" s="98"/>
      <c r="V867" s="98"/>
      <c r="W867" s="98"/>
      <c r="X867" s="98"/>
      <c r="Y867" s="98"/>
      <c r="Z867" s="20"/>
      <c r="AB867" s="20"/>
      <c r="AC867" s="38" t="s">
        <v>1970</v>
      </c>
      <c r="AD867" s="61"/>
      <c r="AE867" s="99"/>
    </row>
    <row r="868" spans="1:31" x14ac:dyDescent="0.25">
      <c r="A868" s="38" t="s">
        <v>36</v>
      </c>
      <c r="B868" s="38" t="s">
        <v>1727</v>
      </c>
      <c r="C868" s="51" t="s">
        <v>1972</v>
      </c>
      <c r="D868" s="11" t="s">
        <v>1973</v>
      </c>
      <c r="E868" s="38"/>
      <c r="F868" s="38"/>
      <c r="G868" s="38"/>
      <c r="H868" s="38">
        <f t="shared" si="40"/>
        <v>0</v>
      </c>
      <c r="I868" s="38"/>
      <c r="J868" s="38"/>
      <c r="K868" s="38"/>
      <c r="L868" s="50"/>
      <c r="M868" s="38"/>
      <c r="N868" s="50"/>
      <c r="O868" s="38"/>
      <c r="P868" s="38"/>
      <c r="Q868" s="98" t="s">
        <v>160</v>
      </c>
      <c r="R868" s="11" t="s">
        <v>1974</v>
      </c>
      <c r="S868" s="99"/>
      <c r="T868" s="98">
        <v>15.8</v>
      </c>
      <c r="U868" s="98"/>
      <c r="V868" s="98"/>
      <c r="W868" s="98"/>
      <c r="X868" s="98"/>
      <c r="Y868" s="98"/>
      <c r="Z868" s="20"/>
      <c r="AB868" s="20"/>
      <c r="AC868" s="11" t="s">
        <v>1973</v>
      </c>
      <c r="AD868" s="61"/>
      <c r="AE868" s="99"/>
    </row>
    <row r="869" spans="1:31" x14ac:dyDescent="0.25">
      <c r="A869" s="38" t="s">
        <v>36</v>
      </c>
      <c r="B869" s="38" t="s">
        <v>1727</v>
      </c>
      <c r="C869" s="51" t="s">
        <v>1972</v>
      </c>
      <c r="D869" s="11" t="s">
        <v>1975</v>
      </c>
      <c r="E869" s="38"/>
      <c r="F869" s="38"/>
      <c r="G869" s="38"/>
      <c r="H869" s="38">
        <f t="shared" si="40"/>
        <v>0</v>
      </c>
      <c r="I869" s="38"/>
      <c r="J869" s="38"/>
      <c r="K869" s="38"/>
      <c r="L869" s="50"/>
      <c r="M869" s="38"/>
      <c r="N869" s="50"/>
      <c r="O869" s="38"/>
      <c r="P869" s="38"/>
      <c r="Q869" s="98" t="s">
        <v>160</v>
      </c>
      <c r="R869" s="11" t="s">
        <v>1974</v>
      </c>
      <c r="S869" s="99"/>
      <c r="T869" s="98">
        <v>0</v>
      </c>
      <c r="U869" s="98"/>
      <c r="V869" s="98"/>
      <c r="W869" s="98"/>
      <c r="X869" s="98"/>
      <c r="Y869" s="98"/>
      <c r="Z869" s="20"/>
      <c r="AB869" s="20"/>
      <c r="AC869" s="11" t="s">
        <v>1975</v>
      </c>
      <c r="AD869" s="61"/>
      <c r="AE869" s="99"/>
    </row>
    <row r="870" spans="1:31" x14ac:dyDescent="0.25">
      <c r="A870" s="38" t="s">
        <v>36</v>
      </c>
      <c r="B870" s="38" t="s">
        <v>1727</v>
      </c>
      <c r="C870" s="51" t="s">
        <v>1972</v>
      </c>
      <c r="D870" s="11" t="s">
        <v>1976</v>
      </c>
      <c r="E870" s="38"/>
      <c r="F870" s="38"/>
      <c r="G870" s="38"/>
      <c r="H870" s="38">
        <f t="shared" si="40"/>
        <v>0</v>
      </c>
      <c r="I870" s="38"/>
      <c r="J870" s="38"/>
      <c r="K870" s="38"/>
      <c r="L870" s="50"/>
      <c r="M870" s="38"/>
      <c r="N870" s="50"/>
      <c r="O870" s="38"/>
      <c r="P870" s="38"/>
      <c r="Q870" s="98" t="s">
        <v>160</v>
      </c>
      <c r="R870" s="11" t="s">
        <v>1974</v>
      </c>
      <c r="S870" s="99"/>
      <c r="T870" s="98">
        <v>0</v>
      </c>
      <c r="U870" s="98"/>
      <c r="V870" s="98"/>
      <c r="W870" s="98"/>
      <c r="X870" s="98"/>
      <c r="Y870" s="98"/>
      <c r="Z870" s="20"/>
      <c r="AB870" s="20"/>
      <c r="AC870" s="11" t="s">
        <v>1976</v>
      </c>
      <c r="AD870" s="61"/>
      <c r="AE870" s="99"/>
    </row>
    <row r="871" spans="1:31" x14ac:dyDescent="0.25">
      <c r="A871" s="38" t="s">
        <v>36</v>
      </c>
      <c r="B871" s="38" t="s">
        <v>1727</v>
      </c>
      <c r="C871" s="51" t="s">
        <v>1972</v>
      </c>
      <c r="D871" s="11" t="s">
        <v>1977</v>
      </c>
      <c r="E871" s="38"/>
      <c r="F871" s="38"/>
      <c r="G871" s="38"/>
      <c r="H871" s="38">
        <f t="shared" si="40"/>
        <v>0</v>
      </c>
      <c r="I871" s="38"/>
      <c r="J871" s="38"/>
      <c r="K871" s="38"/>
      <c r="L871" s="50"/>
      <c r="M871" s="38"/>
      <c r="N871" s="50"/>
      <c r="O871" s="38"/>
      <c r="P871" s="38"/>
      <c r="Q871" s="98" t="s">
        <v>160</v>
      </c>
      <c r="R871" s="11" t="s">
        <v>1974</v>
      </c>
      <c r="S871" s="99"/>
      <c r="T871" s="98">
        <v>0</v>
      </c>
      <c r="U871" s="98"/>
      <c r="V871" s="98"/>
      <c r="W871" s="98"/>
      <c r="X871" s="98"/>
      <c r="Y871" s="98"/>
      <c r="Z871" s="20"/>
      <c r="AB871" s="20"/>
      <c r="AC871" s="11" t="s">
        <v>1977</v>
      </c>
      <c r="AD871" s="61"/>
      <c r="AE871" s="99"/>
    </row>
    <row r="872" spans="1:31" x14ac:dyDescent="0.25">
      <c r="A872" s="38" t="s">
        <v>36</v>
      </c>
      <c r="B872" s="38" t="s">
        <v>1727</v>
      </c>
      <c r="C872" s="51" t="s">
        <v>1972</v>
      </c>
      <c r="D872" s="60" t="s">
        <v>1978</v>
      </c>
      <c r="E872" s="38"/>
      <c r="F872" s="38"/>
      <c r="G872" s="38"/>
      <c r="H872" s="38">
        <f t="shared" si="40"/>
        <v>0</v>
      </c>
      <c r="I872" s="38"/>
      <c r="J872" s="38"/>
      <c r="K872" s="38"/>
      <c r="L872" s="50"/>
      <c r="M872" s="38"/>
      <c r="N872" s="50"/>
      <c r="O872" s="38"/>
      <c r="P872" s="38"/>
      <c r="Q872" s="39" t="s">
        <v>860</v>
      </c>
      <c r="R872" s="60" t="s">
        <v>1974</v>
      </c>
      <c r="S872" s="40"/>
      <c r="T872" s="39">
        <v>184.1</v>
      </c>
      <c r="U872" s="39"/>
      <c r="V872" s="39"/>
      <c r="W872" s="39"/>
      <c r="X872" s="39"/>
      <c r="Y872" s="39"/>
      <c r="Z872" s="3"/>
      <c r="AB872" s="3"/>
      <c r="AC872" s="60" t="s">
        <v>1978</v>
      </c>
      <c r="AD872" s="2"/>
      <c r="AE872" s="40"/>
    </row>
    <row r="873" spans="1:31" x14ac:dyDescent="0.25">
      <c r="A873" s="38" t="s">
        <v>36</v>
      </c>
      <c r="B873" s="38" t="s">
        <v>1727</v>
      </c>
      <c r="C873" s="51" t="s">
        <v>1972</v>
      </c>
      <c r="D873" s="60" t="s">
        <v>1972</v>
      </c>
      <c r="E873" s="38"/>
      <c r="F873" s="38"/>
      <c r="G873" s="38"/>
      <c r="H873" s="38">
        <f t="shared" si="40"/>
        <v>0</v>
      </c>
      <c r="I873" s="38"/>
      <c r="J873" s="38"/>
      <c r="K873" s="38"/>
      <c r="L873" s="50"/>
      <c r="M873" s="38"/>
      <c r="N873" s="50"/>
      <c r="O873" s="38"/>
      <c r="P873" s="38"/>
      <c r="Q873" s="39" t="s">
        <v>860</v>
      </c>
      <c r="R873" s="60" t="s">
        <v>1974</v>
      </c>
      <c r="S873" s="40"/>
      <c r="T873" s="39">
        <v>33.15</v>
      </c>
      <c r="U873" s="39"/>
      <c r="V873" s="39"/>
      <c r="W873" s="39"/>
      <c r="X873" s="39"/>
      <c r="Y873" s="39"/>
      <c r="Z873" s="3"/>
      <c r="AB873" s="3"/>
      <c r="AC873" s="60" t="s">
        <v>1972</v>
      </c>
      <c r="AD873" s="2"/>
      <c r="AE873" s="40"/>
    </row>
    <row r="874" spans="1:31" x14ac:dyDescent="0.25">
      <c r="A874" s="38" t="s">
        <v>36</v>
      </c>
      <c r="B874" s="38" t="s">
        <v>1727</v>
      </c>
      <c r="C874" s="38" t="s">
        <v>1979</v>
      </c>
      <c r="D874" s="38" t="s">
        <v>1980</v>
      </c>
      <c r="E874" s="38" t="s">
        <v>1981</v>
      </c>
      <c r="F874" s="38">
        <v>1780</v>
      </c>
      <c r="G874" s="38">
        <v>1780</v>
      </c>
      <c r="H874" s="38">
        <f t="shared" si="40"/>
        <v>3416</v>
      </c>
      <c r="I874" s="38">
        <v>2215</v>
      </c>
      <c r="J874" s="38">
        <v>1201</v>
      </c>
      <c r="K874" s="38">
        <v>1014</v>
      </c>
      <c r="L874" s="50">
        <f t="shared" si="41"/>
        <v>29.683840749414518</v>
      </c>
      <c r="M874" s="38">
        <v>299</v>
      </c>
      <c r="N874" s="50">
        <f t="shared" ref="N874:N934" si="43">M874/H874*100</f>
        <v>8.7529274004683835</v>
      </c>
      <c r="O874" s="38">
        <v>0</v>
      </c>
      <c r="P874" s="38">
        <v>83</v>
      </c>
      <c r="Q874" s="39" t="s">
        <v>44</v>
      </c>
      <c r="R874" s="25">
        <v>44582</v>
      </c>
      <c r="S874" s="40"/>
      <c r="T874" s="39">
        <v>0</v>
      </c>
      <c r="U874" s="39"/>
      <c r="V874" s="39"/>
      <c r="W874" s="39"/>
      <c r="X874" s="39"/>
      <c r="Y874" s="39"/>
      <c r="Z874" s="3"/>
      <c r="AB874" s="3"/>
      <c r="AC874" s="60" t="s">
        <v>1982</v>
      </c>
      <c r="AD874" s="2"/>
      <c r="AE874" s="40"/>
    </row>
    <row r="875" spans="1:31" x14ac:dyDescent="0.25">
      <c r="A875" s="38" t="s">
        <v>36</v>
      </c>
      <c r="B875" s="38" t="s">
        <v>1727</v>
      </c>
      <c r="C875" s="38" t="s">
        <v>1979</v>
      </c>
      <c r="D875" s="38" t="s">
        <v>1983</v>
      </c>
      <c r="E875" s="38" t="s">
        <v>1984</v>
      </c>
      <c r="F875" s="38">
        <v>1903</v>
      </c>
      <c r="G875" s="38">
        <v>1903</v>
      </c>
      <c r="H875" s="38">
        <f t="shared" si="40"/>
        <v>1999</v>
      </c>
      <c r="I875" s="38">
        <v>1300</v>
      </c>
      <c r="J875" s="38">
        <v>699</v>
      </c>
      <c r="K875" s="38">
        <v>601</v>
      </c>
      <c r="L875" s="50">
        <f t="shared" si="41"/>
        <v>30.065032516258128</v>
      </c>
      <c r="M875" s="38">
        <v>174</v>
      </c>
      <c r="N875" s="50">
        <f t="shared" si="43"/>
        <v>8.7043521760880438</v>
      </c>
      <c r="O875" s="38">
        <v>0</v>
      </c>
      <c r="P875" s="38">
        <v>15</v>
      </c>
      <c r="Q875" s="98" t="s">
        <v>160</v>
      </c>
      <c r="R875" s="7">
        <v>44582</v>
      </c>
      <c r="S875" s="99"/>
      <c r="T875" s="98">
        <v>15</v>
      </c>
      <c r="U875" s="98"/>
      <c r="V875" s="98"/>
      <c r="W875" s="98"/>
      <c r="X875" s="98"/>
      <c r="Y875" s="98"/>
      <c r="Z875" s="20"/>
      <c r="AB875" s="20"/>
      <c r="AC875" s="11" t="s">
        <v>1985</v>
      </c>
      <c r="AD875" s="61"/>
      <c r="AE875" s="99"/>
    </row>
    <row r="876" spans="1:31" x14ac:dyDescent="0.25">
      <c r="A876" s="38" t="s">
        <v>36</v>
      </c>
      <c r="B876" s="38" t="s">
        <v>1727</v>
      </c>
      <c r="C876" s="70" t="s">
        <v>1986</v>
      </c>
      <c r="D876" s="11" t="s">
        <v>1987</v>
      </c>
      <c r="E876" s="38"/>
      <c r="F876" s="38"/>
      <c r="G876" s="38"/>
      <c r="H876" s="38">
        <f t="shared" si="40"/>
        <v>0</v>
      </c>
      <c r="I876" s="38"/>
      <c r="J876" s="38"/>
      <c r="K876" s="38"/>
      <c r="L876" s="50"/>
      <c r="M876" s="38"/>
      <c r="N876" s="50"/>
      <c r="O876" s="38"/>
      <c r="P876" s="38"/>
      <c r="Q876" s="61" t="s">
        <v>43</v>
      </c>
      <c r="R876" s="7">
        <v>44586</v>
      </c>
      <c r="S876" s="61"/>
      <c r="T876" s="61">
        <v>0</v>
      </c>
      <c r="U876" s="61"/>
      <c r="V876" s="61"/>
      <c r="W876" s="61"/>
      <c r="X876" s="61"/>
      <c r="Y876" s="61"/>
      <c r="Z876" s="20"/>
      <c r="AB876" s="20"/>
      <c r="AC876" s="11" t="s">
        <v>1987</v>
      </c>
      <c r="AD876" s="61">
        <v>0</v>
      </c>
      <c r="AE876" s="61"/>
    </row>
    <row r="877" spans="1:31" x14ac:dyDescent="0.25">
      <c r="A877" s="38" t="s">
        <v>36</v>
      </c>
      <c r="B877" s="38" t="s">
        <v>1727</v>
      </c>
      <c r="C877" s="70" t="s">
        <v>1986</v>
      </c>
      <c r="D877" s="60" t="s">
        <v>1986</v>
      </c>
      <c r="E877" s="38"/>
      <c r="F877" s="38"/>
      <c r="G877" s="38"/>
      <c r="H877" s="38">
        <f t="shared" si="40"/>
        <v>0</v>
      </c>
      <c r="I877" s="38"/>
      <c r="J877" s="38"/>
      <c r="K877" s="38"/>
      <c r="L877" s="50"/>
      <c r="M877" s="38"/>
      <c r="N877" s="50"/>
      <c r="O877" s="38"/>
      <c r="P877" s="38"/>
      <c r="Q877" s="39" t="s">
        <v>44</v>
      </c>
      <c r="R877" s="25">
        <v>44586</v>
      </c>
      <c r="S877" s="40"/>
      <c r="T877" s="39">
        <v>0.17</v>
      </c>
      <c r="U877" s="39"/>
      <c r="V877" s="39"/>
      <c r="W877" s="39"/>
      <c r="X877" s="39"/>
      <c r="Y877" s="39"/>
      <c r="Z877" s="3"/>
      <c r="AB877" s="3"/>
      <c r="AC877" s="60" t="s">
        <v>1986</v>
      </c>
      <c r="AD877" s="2"/>
      <c r="AE877" s="40"/>
    </row>
    <row r="878" spans="1:31" x14ac:dyDescent="0.25">
      <c r="A878" s="38" t="s">
        <v>36</v>
      </c>
      <c r="B878" s="38" t="s">
        <v>1727</v>
      </c>
      <c r="C878" s="70" t="s">
        <v>1986</v>
      </c>
      <c r="D878" s="60" t="s">
        <v>1988</v>
      </c>
      <c r="E878" s="38"/>
      <c r="F878" s="38"/>
      <c r="G878" s="38"/>
      <c r="H878" s="38">
        <f t="shared" si="40"/>
        <v>0</v>
      </c>
      <c r="I878" s="38"/>
      <c r="J878" s="38"/>
      <c r="K878" s="38"/>
      <c r="L878" s="50"/>
      <c r="M878" s="38"/>
      <c r="N878" s="50"/>
      <c r="O878" s="38"/>
      <c r="P878" s="38"/>
      <c r="Q878" s="39" t="s">
        <v>44</v>
      </c>
      <c r="R878" s="25">
        <v>44586</v>
      </c>
      <c r="S878" s="40"/>
      <c r="T878" s="39">
        <v>0</v>
      </c>
      <c r="U878" s="39"/>
      <c r="V878" s="39"/>
      <c r="W878" s="39"/>
      <c r="X878" s="39"/>
      <c r="Y878" s="39"/>
      <c r="Z878" s="3"/>
      <c r="AB878" s="3"/>
      <c r="AC878" s="60" t="s">
        <v>1988</v>
      </c>
      <c r="AD878" s="2"/>
      <c r="AE878" s="40"/>
    </row>
    <row r="879" spans="1:31" x14ac:dyDescent="0.25">
      <c r="A879" s="38" t="s">
        <v>36</v>
      </c>
      <c r="B879" s="38" t="s">
        <v>1727</v>
      </c>
      <c r="C879" s="162" t="s">
        <v>1989</v>
      </c>
      <c r="D879" s="38" t="s">
        <v>1990</v>
      </c>
      <c r="E879" s="38" t="s">
        <v>1991</v>
      </c>
      <c r="F879" s="38">
        <v>3728.11</v>
      </c>
      <c r="G879" s="38">
        <v>3728.11</v>
      </c>
      <c r="H879" s="38">
        <f t="shared" si="40"/>
        <v>6050</v>
      </c>
      <c r="I879" s="38">
        <v>3956</v>
      </c>
      <c r="J879" s="38">
        <v>2094</v>
      </c>
      <c r="K879" s="38">
        <v>1862</v>
      </c>
      <c r="L879" s="50">
        <f t="shared" si="41"/>
        <v>30.776859504132233</v>
      </c>
      <c r="M879" s="38">
        <v>1776</v>
      </c>
      <c r="N879" s="50">
        <f t="shared" si="43"/>
        <v>29.355371900826444</v>
      </c>
      <c r="O879" s="38">
        <v>0</v>
      </c>
      <c r="P879" s="38">
        <v>324</v>
      </c>
      <c r="Q879" s="158" t="s">
        <v>44</v>
      </c>
      <c r="R879" s="163" t="s">
        <v>1993</v>
      </c>
      <c r="S879" s="160"/>
      <c r="T879" s="158"/>
      <c r="U879" s="158"/>
      <c r="V879" s="158"/>
      <c r="W879" s="158"/>
      <c r="X879" s="158"/>
      <c r="Y879" s="158"/>
      <c r="Z879" s="16"/>
      <c r="AB879" s="16">
        <v>20</v>
      </c>
      <c r="AC879" s="163" t="s">
        <v>1992</v>
      </c>
      <c r="AD879" s="161"/>
      <c r="AE879" s="160"/>
    </row>
    <row r="880" spans="1:31" x14ac:dyDescent="0.25">
      <c r="A880" s="38" t="s">
        <v>36</v>
      </c>
      <c r="B880" s="38" t="s">
        <v>1727</v>
      </c>
      <c r="C880" s="164" t="s">
        <v>1994</v>
      </c>
      <c r="D880" s="165" t="s">
        <v>1995</v>
      </c>
      <c r="E880" s="38"/>
      <c r="F880" s="38"/>
      <c r="G880" s="38"/>
      <c r="H880" s="38">
        <f t="shared" si="40"/>
        <v>0</v>
      </c>
      <c r="I880" s="38"/>
      <c r="J880" s="38"/>
      <c r="K880" s="38"/>
      <c r="L880" s="50"/>
      <c r="M880" s="38"/>
      <c r="N880" s="50"/>
      <c r="O880" s="38"/>
      <c r="P880" s="38"/>
      <c r="Q880" s="96" t="s">
        <v>160</v>
      </c>
      <c r="R880" s="14">
        <v>44592</v>
      </c>
      <c r="S880" s="97"/>
      <c r="T880" s="96">
        <v>6.26</v>
      </c>
      <c r="U880" s="96"/>
      <c r="V880" s="96"/>
      <c r="W880" s="96"/>
      <c r="X880" s="96"/>
      <c r="Y880" s="96"/>
      <c r="Z880" s="85"/>
      <c r="AB880" s="85"/>
      <c r="AC880" s="15" t="s">
        <v>1995</v>
      </c>
      <c r="AD880" s="36"/>
      <c r="AE880" s="97"/>
    </row>
    <row r="881" spans="1:31" x14ac:dyDescent="0.25">
      <c r="A881" s="38" t="s">
        <v>36</v>
      </c>
      <c r="B881" s="38" t="s">
        <v>1727</v>
      </c>
      <c r="C881" s="164" t="s">
        <v>1994</v>
      </c>
      <c r="D881" s="164" t="s">
        <v>1994</v>
      </c>
      <c r="E881" s="38"/>
      <c r="F881" s="38"/>
      <c r="G881" s="38"/>
      <c r="H881" s="38">
        <f t="shared" si="40"/>
        <v>0</v>
      </c>
      <c r="I881" s="38"/>
      <c r="J881" s="38"/>
      <c r="K881" s="38"/>
      <c r="L881" s="50"/>
      <c r="M881" s="38"/>
      <c r="N881" s="50"/>
      <c r="O881" s="38"/>
      <c r="P881" s="38"/>
      <c r="Q881" s="158" t="s">
        <v>44</v>
      </c>
      <c r="R881" s="159">
        <v>44592</v>
      </c>
      <c r="S881" s="160"/>
      <c r="T881" s="158">
        <v>169.02</v>
      </c>
      <c r="U881" s="158"/>
      <c r="V881" s="158"/>
      <c r="W881" s="158"/>
      <c r="X881" s="158"/>
      <c r="Y881" s="158"/>
      <c r="Z881" s="16"/>
      <c r="AB881" s="16">
        <v>16</v>
      </c>
      <c r="AC881" s="163" t="s">
        <v>1994</v>
      </c>
      <c r="AD881" s="161">
        <v>25.409936999999999</v>
      </c>
      <c r="AE881" s="160">
        <v>71.126649</v>
      </c>
    </row>
    <row r="882" spans="1:31" x14ac:dyDescent="0.25">
      <c r="A882" s="38" t="s">
        <v>36</v>
      </c>
      <c r="B882" s="38" t="s">
        <v>1727</v>
      </c>
      <c r="C882" s="164" t="s">
        <v>1994</v>
      </c>
      <c r="D882" s="164" t="s">
        <v>1996</v>
      </c>
      <c r="E882" s="38"/>
      <c r="F882" s="38"/>
      <c r="G882" s="38"/>
      <c r="H882" s="38">
        <f t="shared" si="40"/>
        <v>0</v>
      </c>
      <c r="I882" s="38"/>
      <c r="J882" s="38"/>
      <c r="K882" s="38"/>
      <c r="L882" s="50"/>
      <c r="M882" s="38"/>
      <c r="N882" s="50"/>
      <c r="O882" s="38"/>
      <c r="P882" s="38"/>
      <c r="Q882" s="158" t="s">
        <v>44</v>
      </c>
      <c r="R882" s="159">
        <v>44592</v>
      </c>
      <c r="S882" s="160"/>
      <c r="T882" s="158">
        <v>354</v>
      </c>
      <c r="U882" s="158"/>
      <c r="V882" s="158"/>
      <c r="W882" s="158"/>
      <c r="X882" s="158"/>
      <c r="Y882" s="158"/>
      <c r="Z882" s="16"/>
      <c r="AB882" s="16"/>
      <c r="AC882" s="163" t="s">
        <v>1996</v>
      </c>
      <c r="AD882" s="161"/>
      <c r="AE882" s="160"/>
    </row>
    <row r="883" spans="1:31" x14ac:dyDescent="0.25">
      <c r="A883" s="38" t="s">
        <v>36</v>
      </c>
      <c r="B883" s="38" t="s">
        <v>1727</v>
      </c>
      <c r="C883" s="164" t="s">
        <v>1994</v>
      </c>
      <c r="D883" s="164" t="s">
        <v>1997</v>
      </c>
      <c r="E883" s="38"/>
      <c r="F883" s="38"/>
      <c r="G883" s="38"/>
      <c r="H883" s="38">
        <f t="shared" si="40"/>
        <v>0</v>
      </c>
      <c r="I883" s="38"/>
      <c r="J883" s="38"/>
      <c r="K883" s="38"/>
      <c r="L883" s="50"/>
      <c r="M883" s="38"/>
      <c r="N883" s="50"/>
      <c r="O883" s="38"/>
      <c r="P883" s="38"/>
      <c r="Q883" s="158" t="s">
        <v>44</v>
      </c>
      <c r="R883" s="159">
        <v>44592</v>
      </c>
      <c r="S883" s="160"/>
      <c r="T883" s="158">
        <v>485</v>
      </c>
      <c r="U883" s="158"/>
      <c r="V883" s="158"/>
      <c r="W883" s="158"/>
      <c r="X883" s="158"/>
      <c r="Y883" s="158"/>
      <c r="Z883" s="16"/>
      <c r="AB883" s="16"/>
      <c r="AC883" s="163" t="s">
        <v>1997</v>
      </c>
      <c r="AD883" s="161"/>
      <c r="AE883" s="160"/>
    </row>
    <row r="884" spans="1:31" x14ac:dyDescent="0.25">
      <c r="A884" s="38" t="s">
        <v>36</v>
      </c>
      <c r="B884" s="38" t="s">
        <v>1727</v>
      </c>
      <c r="C884" s="164" t="s">
        <v>1994</v>
      </c>
      <c r="D884" s="164" t="s">
        <v>1998</v>
      </c>
      <c r="E884" s="38"/>
      <c r="F884" s="38"/>
      <c r="G884" s="38"/>
      <c r="H884" s="38">
        <f t="shared" si="40"/>
        <v>0</v>
      </c>
      <c r="I884" s="38"/>
      <c r="J884" s="38"/>
      <c r="K884" s="38"/>
      <c r="L884" s="50"/>
      <c r="M884" s="38"/>
      <c r="N884" s="50"/>
      <c r="O884" s="38"/>
      <c r="P884" s="38"/>
      <c r="Q884" s="158" t="s">
        <v>44</v>
      </c>
      <c r="R884" s="159">
        <v>44592</v>
      </c>
      <c r="S884" s="160"/>
      <c r="T884" s="158">
        <v>510.33</v>
      </c>
      <c r="U884" s="158"/>
      <c r="V884" s="158"/>
      <c r="W884" s="158"/>
      <c r="X884" s="158"/>
      <c r="Y884" s="158"/>
      <c r="Z884" s="16"/>
      <c r="AB884" s="16"/>
      <c r="AC884" s="163" t="s">
        <v>1998</v>
      </c>
      <c r="AD884" s="161"/>
      <c r="AE884" s="160"/>
    </row>
    <row r="885" spans="1:31" x14ac:dyDescent="0.25">
      <c r="A885" s="38" t="s">
        <v>36</v>
      </c>
      <c r="B885" s="38" t="s">
        <v>1727</v>
      </c>
      <c r="C885" s="38" t="s">
        <v>1999</v>
      </c>
      <c r="D885" s="11" t="s">
        <v>1784</v>
      </c>
      <c r="E885" s="38" t="s">
        <v>2000</v>
      </c>
      <c r="F885" s="38">
        <v>2202</v>
      </c>
      <c r="G885" s="38">
        <v>2202</v>
      </c>
      <c r="H885" s="38">
        <f t="shared" si="40"/>
        <v>4827</v>
      </c>
      <c r="I885" s="38">
        <v>3153</v>
      </c>
      <c r="J885" s="38">
        <v>1674</v>
      </c>
      <c r="K885" s="38">
        <v>1479</v>
      </c>
      <c r="L885" s="50">
        <f t="shared" si="41"/>
        <v>30.64014916096955</v>
      </c>
      <c r="M885" s="38">
        <v>692</v>
      </c>
      <c r="N885" s="50">
        <f t="shared" si="43"/>
        <v>14.336026517505699</v>
      </c>
      <c r="O885" s="38">
        <v>0</v>
      </c>
      <c r="P885" s="38">
        <v>409</v>
      </c>
      <c r="AC885" s="117"/>
      <c r="AD885" s="121"/>
    </row>
    <row r="886" spans="1:31" x14ac:dyDescent="0.25">
      <c r="A886" s="38" t="s">
        <v>36</v>
      </c>
      <c r="B886" s="38" t="s">
        <v>1727</v>
      </c>
      <c r="C886" s="38" t="s">
        <v>1999</v>
      </c>
      <c r="D886" s="11" t="s">
        <v>2001</v>
      </c>
      <c r="E886" s="38" t="s">
        <v>2000</v>
      </c>
      <c r="F886" s="38"/>
      <c r="G886" s="38"/>
      <c r="H886" s="38">
        <f t="shared" si="40"/>
        <v>0</v>
      </c>
      <c r="I886" s="38"/>
      <c r="J886" s="38"/>
      <c r="K886" s="38"/>
      <c r="L886" s="50"/>
      <c r="M886" s="38"/>
      <c r="N886" s="50"/>
      <c r="O886" s="38">
        <v>0</v>
      </c>
      <c r="P886" s="38">
        <v>409</v>
      </c>
      <c r="AC886" s="117"/>
      <c r="AD886" s="117"/>
    </row>
    <row r="887" spans="1:31" x14ac:dyDescent="0.25">
      <c r="A887" s="38" t="s">
        <v>36</v>
      </c>
      <c r="B887" s="38" t="s">
        <v>1727</v>
      </c>
      <c r="C887" s="38" t="s">
        <v>1999</v>
      </c>
      <c r="D887" s="11" t="s">
        <v>2002</v>
      </c>
      <c r="E887" s="38" t="s">
        <v>2000</v>
      </c>
      <c r="F887" s="38">
        <v>2202</v>
      </c>
      <c r="G887" s="38">
        <v>2202</v>
      </c>
      <c r="H887" s="38">
        <f t="shared" si="40"/>
        <v>4827</v>
      </c>
      <c r="I887" s="38">
        <v>3153</v>
      </c>
      <c r="J887" s="38">
        <v>1674</v>
      </c>
      <c r="K887" s="38">
        <v>1479</v>
      </c>
      <c r="L887" s="50">
        <f t="shared" si="41"/>
        <v>30.64014916096955</v>
      </c>
      <c r="M887" s="38">
        <v>692</v>
      </c>
      <c r="N887" s="50">
        <f>M887/H887*100</f>
        <v>14.336026517505699</v>
      </c>
      <c r="O887" s="38">
        <v>0</v>
      </c>
      <c r="P887" s="38">
        <v>409</v>
      </c>
      <c r="AC887" s="117"/>
      <c r="AD887" s="121"/>
    </row>
    <row r="888" spans="1:31" x14ac:dyDescent="0.25">
      <c r="A888" s="38" t="s">
        <v>36</v>
      </c>
      <c r="B888" s="38" t="s">
        <v>1727</v>
      </c>
      <c r="C888" s="38" t="s">
        <v>1999</v>
      </c>
      <c r="D888" s="11" t="s">
        <v>2003</v>
      </c>
      <c r="E888" s="38" t="s">
        <v>2000</v>
      </c>
      <c r="F888" s="38">
        <v>2202</v>
      </c>
      <c r="G888" s="38">
        <v>2202</v>
      </c>
      <c r="H888" s="38">
        <f t="shared" si="40"/>
        <v>4827</v>
      </c>
      <c r="I888" s="38">
        <v>3153</v>
      </c>
      <c r="J888" s="38">
        <v>1674</v>
      </c>
      <c r="K888" s="38">
        <v>1479</v>
      </c>
      <c r="L888" s="50">
        <f t="shared" si="41"/>
        <v>30.64014916096955</v>
      </c>
      <c r="M888" s="38">
        <v>692</v>
      </c>
      <c r="N888" s="50">
        <f t="shared" si="43"/>
        <v>14.336026517505699</v>
      </c>
      <c r="O888" s="38">
        <v>0</v>
      </c>
      <c r="P888" s="38">
        <v>409</v>
      </c>
      <c r="AC888" s="117"/>
      <c r="AD888" s="121"/>
    </row>
    <row r="889" spans="1:31" x14ac:dyDescent="0.25">
      <c r="A889" s="38" t="s">
        <v>36</v>
      </c>
      <c r="B889" s="38" t="s">
        <v>1727</v>
      </c>
      <c r="C889" s="38" t="s">
        <v>1999</v>
      </c>
      <c r="D889" s="11" t="s">
        <v>1970</v>
      </c>
      <c r="E889" s="38" t="s">
        <v>2000</v>
      </c>
      <c r="F889" s="38">
        <v>2202</v>
      </c>
      <c r="G889" s="38">
        <v>2202</v>
      </c>
      <c r="H889" s="38">
        <f t="shared" si="40"/>
        <v>4827</v>
      </c>
      <c r="I889" s="38">
        <v>3153</v>
      </c>
      <c r="J889" s="38">
        <v>1674</v>
      </c>
      <c r="K889" s="38">
        <v>1479</v>
      </c>
      <c r="L889" s="50">
        <f t="shared" si="41"/>
        <v>30.64014916096955</v>
      </c>
      <c r="M889" s="38">
        <v>692</v>
      </c>
      <c r="N889" s="50">
        <f t="shared" si="43"/>
        <v>14.336026517505699</v>
      </c>
      <c r="O889" s="38">
        <v>0</v>
      </c>
      <c r="P889" s="38">
        <v>409</v>
      </c>
      <c r="AC889" s="117"/>
      <c r="AD889" s="121"/>
    </row>
    <row r="890" spans="1:31" x14ac:dyDescent="0.25">
      <c r="A890" s="38" t="s">
        <v>36</v>
      </c>
      <c r="B890" s="38" t="s">
        <v>1727</v>
      </c>
      <c r="C890" s="38" t="s">
        <v>1999</v>
      </c>
      <c r="D890" s="11" t="s">
        <v>2004</v>
      </c>
      <c r="E890" s="38" t="s">
        <v>2000</v>
      </c>
      <c r="F890" s="38">
        <v>2202</v>
      </c>
      <c r="G890" s="38">
        <v>2202</v>
      </c>
      <c r="H890" s="38">
        <f t="shared" si="40"/>
        <v>4827</v>
      </c>
      <c r="I890" s="38">
        <v>3153</v>
      </c>
      <c r="J890" s="38">
        <v>1674</v>
      </c>
      <c r="K890" s="38">
        <v>1479</v>
      </c>
      <c r="L890" s="50">
        <f t="shared" si="41"/>
        <v>30.64014916096955</v>
      </c>
      <c r="M890" s="38">
        <v>692</v>
      </c>
      <c r="N890" s="50">
        <f t="shared" si="43"/>
        <v>14.336026517505699</v>
      </c>
      <c r="O890" s="38">
        <v>0</v>
      </c>
      <c r="P890" s="38">
        <v>409</v>
      </c>
      <c r="AC890" s="117"/>
      <c r="AD890" s="121"/>
    </row>
    <row r="891" spans="1:31" x14ac:dyDescent="0.25">
      <c r="A891" s="38" t="s">
        <v>36</v>
      </c>
      <c r="B891" s="38" t="s">
        <v>1727</v>
      </c>
      <c r="C891" s="38" t="s">
        <v>1999</v>
      </c>
      <c r="D891" s="11" t="s">
        <v>2005</v>
      </c>
      <c r="E891" s="38" t="s">
        <v>2000</v>
      </c>
      <c r="F891" s="38">
        <v>2202</v>
      </c>
      <c r="G891" s="38">
        <v>2202</v>
      </c>
      <c r="H891" s="38">
        <f t="shared" si="40"/>
        <v>4827</v>
      </c>
      <c r="I891" s="38">
        <v>3153</v>
      </c>
      <c r="J891" s="38">
        <v>1674</v>
      </c>
      <c r="K891" s="38">
        <v>1479</v>
      </c>
      <c r="L891" s="50">
        <f t="shared" si="41"/>
        <v>30.64014916096955</v>
      </c>
      <c r="M891" s="38">
        <v>692</v>
      </c>
      <c r="N891" s="50">
        <f t="shared" si="43"/>
        <v>14.336026517505699</v>
      </c>
      <c r="O891" s="38">
        <v>0</v>
      </c>
      <c r="P891" s="38">
        <v>409</v>
      </c>
      <c r="AC891" s="117"/>
      <c r="AD891" s="121"/>
    </row>
    <row r="892" spans="1:31" x14ac:dyDescent="0.25">
      <c r="A892" s="38" t="s">
        <v>36</v>
      </c>
      <c r="B892" s="38" t="s">
        <v>1727</v>
      </c>
      <c r="C892" s="38" t="s">
        <v>1999</v>
      </c>
      <c r="D892" s="11" t="s">
        <v>2006</v>
      </c>
      <c r="E892" s="38" t="s">
        <v>2000</v>
      </c>
      <c r="F892" s="38">
        <v>2202</v>
      </c>
      <c r="G892" s="38">
        <v>2202</v>
      </c>
      <c r="H892" s="38">
        <f t="shared" si="40"/>
        <v>4827</v>
      </c>
      <c r="I892" s="38">
        <v>3153</v>
      </c>
      <c r="J892" s="38">
        <v>1674</v>
      </c>
      <c r="K892" s="38">
        <v>1479</v>
      </c>
      <c r="L892" s="50">
        <f t="shared" si="41"/>
        <v>30.64014916096955</v>
      </c>
      <c r="M892" s="38">
        <v>692</v>
      </c>
      <c r="N892" s="50">
        <f t="shared" si="43"/>
        <v>14.336026517505699</v>
      </c>
      <c r="O892" s="38">
        <v>0</v>
      </c>
      <c r="P892" s="38">
        <v>409</v>
      </c>
      <c r="AC892" s="117"/>
      <c r="AD892" s="121"/>
    </row>
    <row r="893" spans="1:31" x14ac:dyDescent="0.25">
      <c r="A893" s="38" t="s">
        <v>36</v>
      </c>
      <c r="B893" s="38" t="s">
        <v>1727</v>
      </c>
      <c r="C893" s="38" t="s">
        <v>1999</v>
      </c>
      <c r="D893" s="11" t="s">
        <v>2007</v>
      </c>
      <c r="E893" s="38" t="s">
        <v>2008</v>
      </c>
      <c r="F893" s="38">
        <v>1315</v>
      </c>
      <c r="G893" s="38">
        <v>1315</v>
      </c>
      <c r="H893" s="38">
        <f t="shared" si="40"/>
        <v>1280</v>
      </c>
      <c r="I893" s="38">
        <v>834</v>
      </c>
      <c r="J893" s="38">
        <v>446</v>
      </c>
      <c r="K893" s="38">
        <v>388</v>
      </c>
      <c r="L893" s="50">
        <f t="shared" si="41"/>
        <v>30.312499999999996</v>
      </c>
      <c r="M893" s="38">
        <v>376</v>
      </c>
      <c r="N893" s="50">
        <f t="shared" si="43"/>
        <v>29.375</v>
      </c>
      <c r="O893" s="38">
        <v>0</v>
      </c>
      <c r="P893" s="38">
        <v>71</v>
      </c>
    </row>
    <row r="894" spans="1:31" x14ac:dyDescent="0.25">
      <c r="A894" s="38" t="s">
        <v>36</v>
      </c>
      <c r="B894" s="38" t="s">
        <v>1727</v>
      </c>
      <c r="C894" s="38" t="s">
        <v>1999</v>
      </c>
      <c r="D894" s="11" t="s">
        <v>2009</v>
      </c>
      <c r="E894" s="38" t="s">
        <v>2010</v>
      </c>
      <c r="F894" s="38">
        <v>750</v>
      </c>
      <c r="G894" s="38">
        <v>750</v>
      </c>
      <c r="H894" s="38">
        <f t="shared" si="40"/>
        <v>1283</v>
      </c>
      <c r="I894" s="38">
        <v>827</v>
      </c>
      <c r="J894" s="38">
        <v>456</v>
      </c>
      <c r="K894" s="38">
        <v>371</v>
      </c>
      <c r="L894" s="50">
        <f t="shared" si="41"/>
        <v>28.916601714731101</v>
      </c>
      <c r="M894" s="38">
        <v>163</v>
      </c>
      <c r="N894" s="50">
        <f t="shared" si="43"/>
        <v>12.704598597038192</v>
      </c>
      <c r="O894" s="38">
        <v>0</v>
      </c>
      <c r="P894" s="38">
        <v>0</v>
      </c>
    </row>
    <row r="895" spans="1:31" x14ac:dyDescent="0.25">
      <c r="A895" s="38" t="s">
        <v>36</v>
      </c>
      <c r="B895" s="38" t="s">
        <v>1727</v>
      </c>
      <c r="C895" s="38" t="s">
        <v>1999</v>
      </c>
      <c r="D895" s="11" t="s">
        <v>2011</v>
      </c>
      <c r="E895" s="38" t="s">
        <v>2012</v>
      </c>
      <c r="F895" s="38">
        <v>449</v>
      </c>
      <c r="G895" s="38">
        <v>449</v>
      </c>
      <c r="H895" s="38">
        <f t="shared" si="40"/>
        <v>470</v>
      </c>
      <c r="I895" s="38">
        <v>318</v>
      </c>
      <c r="J895" s="38">
        <v>152</v>
      </c>
      <c r="K895" s="38">
        <v>166</v>
      </c>
      <c r="L895" s="50">
        <f t="shared" si="41"/>
        <v>35.319148936170215</v>
      </c>
      <c r="M895" s="38">
        <v>0</v>
      </c>
      <c r="N895" s="50">
        <f t="shared" si="43"/>
        <v>0</v>
      </c>
      <c r="O895" s="38">
        <v>0</v>
      </c>
      <c r="P895" s="38">
        <v>7</v>
      </c>
    </row>
    <row r="896" spans="1:31" x14ac:dyDescent="0.25">
      <c r="A896" s="38" t="s">
        <v>36</v>
      </c>
      <c r="B896" s="38" t="s">
        <v>1727</v>
      </c>
      <c r="C896" s="38" t="s">
        <v>2013</v>
      </c>
      <c r="D896" s="11" t="s">
        <v>2014</v>
      </c>
      <c r="H896" s="38">
        <f t="shared" si="40"/>
        <v>0</v>
      </c>
      <c r="L896" s="50"/>
      <c r="N896" s="50"/>
      <c r="O896" s="38"/>
      <c r="P896" s="38"/>
    </row>
    <row r="897" spans="1:31" x14ac:dyDescent="0.25">
      <c r="A897" s="38" t="s">
        <v>36</v>
      </c>
      <c r="B897" s="38" t="s">
        <v>1727</v>
      </c>
      <c r="C897" s="11" t="s">
        <v>2015</v>
      </c>
      <c r="D897" s="11" t="s">
        <v>2016</v>
      </c>
      <c r="H897" s="38">
        <f t="shared" si="40"/>
        <v>0</v>
      </c>
      <c r="L897" s="50"/>
      <c r="N897" s="50"/>
      <c r="O897" s="38"/>
      <c r="P897" s="38"/>
      <c r="Q897" s="98" t="s">
        <v>160</v>
      </c>
      <c r="R897" s="11" t="s">
        <v>2017</v>
      </c>
      <c r="S897" s="99"/>
      <c r="T897" s="98">
        <v>15</v>
      </c>
      <c r="U897" s="98"/>
      <c r="V897" s="98"/>
      <c r="W897" s="98"/>
      <c r="X897" s="98"/>
      <c r="Y897" s="98"/>
      <c r="Z897" s="20"/>
      <c r="AB897" s="20"/>
      <c r="AC897" s="11" t="s">
        <v>2016</v>
      </c>
      <c r="AD897" s="61"/>
      <c r="AE897" s="99"/>
    </row>
    <row r="898" spans="1:31" x14ac:dyDescent="0.25">
      <c r="A898" s="38" t="s">
        <v>36</v>
      </c>
      <c r="B898" s="38" t="s">
        <v>1727</v>
      </c>
      <c r="C898" s="11" t="s">
        <v>2015</v>
      </c>
      <c r="D898" s="11" t="s">
        <v>2018</v>
      </c>
      <c r="H898" s="38">
        <f t="shared" si="40"/>
        <v>0</v>
      </c>
      <c r="L898" s="50"/>
      <c r="N898" s="50"/>
      <c r="O898" s="38"/>
      <c r="P898" s="38"/>
      <c r="Q898" s="98" t="s">
        <v>160</v>
      </c>
      <c r="R898" s="11" t="s">
        <v>2017</v>
      </c>
      <c r="S898" s="99"/>
      <c r="T898" s="98">
        <v>0</v>
      </c>
      <c r="U898" s="98"/>
      <c r="V898" s="98"/>
      <c r="W898" s="98"/>
      <c r="X898" s="98"/>
      <c r="Y898" s="98"/>
      <c r="Z898" s="20"/>
      <c r="AB898" s="20"/>
      <c r="AC898" s="11" t="s">
        <v>2018</v>
      </c>
      <c r="AD898" s="61"/>
      <c r="AE898" s="99"/>
    </row>
    <row r="899" spans="1:31" x14ac:dyDescent="0.25">
      <c r="A899" s="38" t="s">
        <v>36</v>
      </c>
      <c r="B899" s="38" t="s">
        <v>1727</v>
      </c>
      <c r="C899" s="11" t="s">
        <v>2015</v>
      </c>
      <c r="D899" s="11" t="s">
        <v>2019</v>
      </c>
      <c r="H899" s="38">
        <f t="shared" si="40"/>
        <v>0</v>
      </c>
      <c r="L899" s="50"/>
      <c r="N899" s="50"/>
      <c r="O899" s="38"/>
      <c r="P899" s="38"/>
      <c r="Q899" s="98" t="s">
        <v>160</v>
      </c>
      <c r="R899" s="11" t="s">
        <v>2017</v>
      </c>
      <c r="S899" s="99"/>
      <c r="T899" s="98">
        <v>0</v>
      </c>
      <c r="U899" s="98"/>
      <c r="V899" s="98"/>
      <c r="W899" s="98"/>
      <c r="X899" s="98"/>
      <c r="Y899" s="98"/>
      <c r="Z899" s="20"/>
      <c r="AB899" s="20"/>
      <c r="AC899" s="11" t="s">
        <v>2019</v>
      </c>
      <c r="AD899" s="61"/>
      <c r="AE899" s="99"/>
    </row>
    <row r="900" spans="1:31" x14ac:dyDescent="0.25">
      <c r="A900" s="38" t="s">
        <v>36</v>
      </c>
      <c r="B900" s="38" t="s">
        <v>1727</v>
      </c>
      <c r="C900" s="11" t="s">
        <v>2015</v>
      </c>
      <c r="D900" s="11" t="s">
        <v>2020</v>
      </c>
      <c r="H900" s="38">
        <f t="shared" si="40"/>
        <v>0</v>
      </c>
      <c r="L900" s="50"/>
      <c r="N900" s="50"/>
      <c r="O900" s="38"/>
      <c r="P900" s="38"/>
      <c r="Q900" s="98" t="s">
        <v>160</v>
      </c>
      <c r="R900" s="11" t="s">
        <v>2017</v>
      </c>
      <c r="S900" s="99"/>
      <c r="T900" s="98">
        <v>0</v>
      </c>
      <c r="U900" s="98"/>
      <c r="V900" s="98"/>
      <c r="W900" s="98"/>
      <c r="X900" s="98"/>
      <c r="Y900" s="98"/>
      <c r="Z900" s="20"/>
      <c r="AB900" s="20"/>
      <c r="AC900" s="11" t="s">
        <v>2020</v>
      </c>
      <c r="AD900" s="61"/>
      <c r="AE900" s="99"/>
    </row>
    <row r="901" spans="1:31" x14ac:dyDescent="0.25">
      <c r="A901" s="38" t="s">
        <v>36</v>
      </c>
      <c r="B901" s="38" t="s">
        <v>1727</v>
      </c>
      <c r="C901" s="11" t="s">
        <v>2015</v>
      </c>
      <c r="D901" s="11" t="s">
        <v>2021</v>
      </c>
      <c r="H901" s="38">
        <f t="shared" ref="H901:H964" si="44">I901+J901</f>
        <v>0</v>
      </c>
      <c r="L901" s="50"/>
      <c r="N901" s="50"/>
      <c r="O901" s="38"/>
      <c r="P901" s="38"/>
      <c r="Q901" s="98" t="s">
        <v>160</v>
      </c>
      <c r="R901" s="11" t="s">
        <v>2017</v>
      </c>
      <c r="S901" s="99"/>
      <c r="T901" s="98">
        <v>0</v>
      </c>
      <c r="U901" s="98"/>
      <c r="V901" s="98"/>
      <c r="W901" s="98"/>
      <c r="X901" s="98"/>
      <c r="Y901" s="98"/>
      <c r="Z901" s="20"/>
      <c r="AB901" s="20"/>
      <c r="AC901" s="11" t="s">
        <v>2021</v>
      </c>
      <c r="AD901" s="61"/>
      <c r="AE901" s="99"/>
    </row>
    <row r="902" spans="1:31" x14ac:dyDescent="0.25">
      <c r="A902" s="38" t="s">
        <v>36</v>
      </c>
      <c r="B902" s="38" t="s">
        <v>1727</v>
      </c>
      <c r="C902" s="11" t="s">
        <v>2015</v>
      </c>
      <c r="D902" s="11" t="s">
        <v>2022</v>
      </c>
      <c r="H902" s="38">
        <f t="shared" si="44"/>
        <v>0</v>
      </c>
      <c r="L902" s="50"/>
      <c r="N902" s="50"/>
      <c r="O902" s="38"/>
      <c r="P902" s="38"/>
      <c r="Q902" s="98" t="s">
        <v>160</v>
      </c>
      <c r="R902" s="11" t="s">
        <v>2017</v>
      </c>
      <c r="S902" s="99"/>
      <c r="T902" s="98">
        <v>0</v>
      </c>
      <c r="U902" s="98"/>
      <c r="V902" s="98"/>
      <c r="W902" s="98"/>
      <c r="X902" s="98"/>
      <c r="Y902" s="98"/>
      <c r="Z902" s="20"/>
      <c r="AB902" s="20"/>
      <c r="AC902" s="11" t="s">
        <v>2022</v>
      </c>
      <c r="AD902" s="61"/>
      <c r="AE902" s="99"/>
    </row>
    <row r="903" spans="1:31" x14ac:dyDescent="0.25">
      <c r="A903" s="38" t="s">
        <v>36</v>
      </c>
      <c r="B903" s="38" t="s">
        <v>1727</v>
      </c>
      <c r="C903" s="11" t="s">
        <v>2015</v>
      </c>
      <c r="D903" s="11" t="s">
        <v>2023</v>
      </c>
      <c r="H903" s="38">
        <f t="shared" si="44"/>
        <v>0</v>
      </c>
      <c r="L903" s="50"/>
      <c r="N903" s="50"/>
      <c r="O903" s="38"/>
      <c r="P903" s="38"/>
      <c r="Q903" s="98" t="s">
        <v>160</v>
      </c>
      <c r="R903" s="11" t="s">
        <v>2017</v>
      </c>
      <c r="S903" s="99"/>
      <c r="T903" s="98">
        <v>0</v>
      </c>
      <c r="U903" s="98"/>
      <c r="V903" s="98"/>
      <c r="W903" s="98"/>
      <c r="X903" s="98"/>
      <c r="Y903" s="98"/>
      <c r="Z903" s="20"/>
      <c r="AB903" s="20"/>
      <c r="AC903" s="11" t="s">
        <v>2023</v>
      </c>
      <c r="AD903" s="61"/>
      <c r="AE903" s="99"/>
    </row>
    <row r="904" spans="1:31" x14ac:dyDescent="0.25">
      <c r="A904" s="38" t="s">
        <v>36</v>
      </c>
      <c r="B904" s="38" t="s">
        <v>1727</v>
      </c>
      <c r="C904" s="11" t="s">
        <v>2015</v>
      </c>
      <c r="D904" s="11" t="s">
        <v>2024</v>
      </c>
      <c r="H904" s="38">
        <f t="shared" si="44"/>
        <v>0</v>
      </c>
      <c r="L904" s="50"/>
      <c r="N904" s="50"/>
      <c r="O904" s="38"/>
      <c r="P904" s="38"/>
      <c r="Q904" s="98" t="s">
        <v>160</v>
      </c>
      <c r="R904" s="11" t="s">
        <v>2017</v>
      </c>
      <c r="S904" s="99"/>
      <c r="T904" s="98">
        <v>0</v>
      </c>
      <c r="U904" s="98"/>
      <c r="V904" s="98"/>
      <c r="W904" s="98"/>
      <c r="X904" s="98"/>
      <c r="Y904" s="98"/>
      <c r="Z904" s="20"/>
      <c r="AB904" s="20"/>
      <c r="AC904" s="11" t="s">
        <v>2024</v>
      </c>
      <c r="AD904" s="61"/>
      <c r="AE904" s="99"/>
    </row>
    <row r="905" spans="1:31" x14ac:dyDescent="0.25">
      <c r="A905" s="38" t="s">
        <v>36</v>
      </c>
      <c r="B905" s="38" t="s">
        <v>1727</v>
      </c>
      <c r="C905" s="11" t="s">
        <v>2015</v>
      </c>
      <c r="D905" s="11" t="s">
        <v>2025</v>
      </c>
      <c r="H905" s="38">
        <f t="shared" si="44"/>
        <v>0</v>
      </c>
      <c r="L905" s="50"/>
      <c r="N905" s="50"/>
      <c r="O905" s="38"/>
      <c r="P905" s="38"/>
      <c r="Q905" s="98" t="s">
        <v>160</v>
      </c>
      <c r="R905" s="11" t="s">
        <v>2017</v>
      </c>
      <c r="S905" s="99"/>
      <c r="T905" s="98">
        <v>0</v>
      </c>
      <c r="U905" s="98"/>
      <c r="V905" s="98"/>
      <c r="W905" s="98"/>
      <c r="X905" s="98"/>
      <c r="Y905" s="98"/>
      <c r="Z905" s="20"/>
      <c r="AB905" s="20"/>
      <c r="AC905" s="11" t="s">
        <v>2025</v>
      </c>
      <c r="AD905" s="61"/>
      <c r="AE905" s="99"/>
    </row>
    <row r="906" spans="1:31" x14ac:dyDescent="0.25">
      <c r="A906" s="38" t="s">
        <v>36</v>
      </c>
      <c r="B906" s="38" t="s">
        <v>1727</v>
      </c>
      <c r="C906" s="11" t="s">
        <v>2015</v>
      </c>
      <c r="D906" s="11" t="s">
        <v>2026</v>
      </c>
      <c r="H906" s="38">
        <f t="shared" si="44"/>
        <v>0</v>
      </c>
      <c r="L906" s="50"/>
      <c r="N906" s="50"/>
      <c r="O906" s="38"/>
      <c r="P906" s="38"/>
      <c r="Q906" s="98" t="s">
        <v>160</v>
      </c>
      <c r="R906" s="11" t="s">
        <v>2017</v>
      </c>
      <c r="S906" s="99"/>
      <c r="T906" s="98">
        <v>0</v>
      </c>
      <c r="U906" s="98"/>
      <c r="V906" s="98"/>
      <c r="W906" s="98"/>
      <c r="X906" s="98"/>
      <c r="Y906" s="98"/>
      <c r="Z906" s="20"/>
      <c r="AB906" s="20"/>
      <c r="AC906" s="11" t="s">
        <v>2026</v>
      </c>
      <c r="AD906" s="61"/>
      <c r="AE906" s="99"/>
    </row>
    <row r="907" spans="1:31" x14ac:dyDescent="0.25">
      <c r="A907" s="38" t="s">
        <v>36</v>
      </c>
      <c r="B907" s="38" t="s">
        <v>1727</v>
      </c>
      <c r="C907" s="11" t="s">
        <v>2015</v>
      </c>
      <c r="D907" s="11" t="s">
        <v>2027</v>
      </c>
      <c r="H907" s="38">
        <f t="shared" si="44"/>
        <v>0</v>
      </c>
      <c r="L907" s="50"/>
      <c r="N907" s="50"/>
      <c r="O907" s="38"/>
      <c r="P907" s="38"/>
      <c r="Q907" s="98" t="s">
        <v>160</v>
      </c>
      <c r="R907" s="11" t="s">
        <v>2017</v>
      </c>
      <c r="S907" s="99"/>
      <c r="T907" s="98">
        <v>0</v>
      </c>
      <c r="U907" s="98"/>
      <c r="V907" s="98"/>
      <c r="W907" s="98"/>
      <c r="X907" s="98"/>
      <c r="Y907" s="98"/>
      <c r="Z907" s="20"/>
      <c r="AB907" s="20"/>
      <c r="AC907" s="11" t="s">
        <v>2027</v>
      </c>
      <c r="AD907" s="61"/>
      <c r="AE907" s="99"/>
    </row>
    <row r="908" spans="1:31" x14ac:dyDescent="0.25">
      <c r="A908" s="38" t="s">
        <v>36</v>
      </c>
      <c r="B908" s="38" t="s">
        <v>1727</v>
      </c>
      <c r="C908" s="11" t="s">
        <v>2015</v>
      </c>
      <c r="D908" s="11" t="s">
        <v>2015</v>
      </c>
      <c r="H908" s="38">
        <f t="shared" si="44"/>
        <v>0</v>
      </c>
      <c r="L908" s="50"/>
      <c r="N908" s="50"/>
      <c r="O908" s="38"/>
      <c r="P908" s="38"/>
      <c r="Q908" s="39" t="s">
        <v>44</v>
      </c>
      <c r="R908" s="11" t="s">
        <v>2017</v>
      </c>
      <c r="S908" s="40"/>
      <c r="T908" s="39">
        <v>0</v>
      </c>
      <c r="U908" s="39"/>
      <c r="V908" s="39"/>
      <c r="W908" s="39"/>
      <c r="X908" s="39"/>
      <c r="Y908" s="39"/>
      <c r="Z908" s="3"/>
      <c r="AB908" s="3"/>
      <c r="AC908" s="11" t="s">
        <v>2015</v>
      </c>
      <c r="AD908" s="2"/>
      <c r="AE908" s="40"/>
    </row>
    <row r="909" spans="1:31" x14ac:dyDescent="0.25">
      <c r="A909" s="38" t="s">
        <v>36</v>
      </c>
      <c r="B909" s="38" t="s">
        <v>1727</v>
      </c>
      <c r="C909" s="11" t="s">
        <v>2015</v>
      </c>
      <c r="D909" s="11" t="s">
        <v>2028</v>
      </c>
      <c r="H909" s="38">
        <f t="shared" si="44"/>
        <v>0</v>
      </c>
      <c r="L909" s="50"/>
      <c r="N909" s="50"/>
      <c r="O909" s="38"/>
      <c r="P909" s="38"/>
      <c r="Q909" s="39" t="s">
        <v>44</v>
      </c>
      <c r="R909" s="11" t="s">
        <v>2017</v>
      </c>
      <c r="S909" s="40"/>
      <c r="T909" s="39">
        <v>0</v>
      </c>
      <c r="U909" s="39"/>
      <c r="V909" s="39"/>
      <c r="W909" s="39"/>
      <c r="X909" s="39"/>
      <c r="Y909" s="39"/>
      <c r="Z909" s="3"/>
      <c r="AB909" s="3"/>
      <c r="AC909" s="11" t="s">
        <v>2028</v>
      </c>
      <c r="AD909" s="2"/>
      <c r="AE909" s="40"/>
    </row>
    <row r="910" spans="1:31" x14ac:dyDescent="0.25">
      <c r="A910" s="38" t="s">
        <v>36</v>
      </c>
      <c r="B910" s="38" t="s">
        <v>1727</v>
      </c>
      <c r="C910" s="11" t="s">
        <v>2029</v>
      </c>
      <c r="D910" s="11" t="s">
        <v>2029</v>
      </c>
      <c r="H910" s="38">
        <f t="shared" si="44"/>
        <v>0</v>
      </c>
      <c r="L910" s="50"/>
      <c r="N910" s="50"/>
      <c r="O910" s="38"/>
      <c r="P910" s="38"/>
      <c r="Q910" s="39" t="s">
        <v>44</v>
      </c>
      <c r="R910" s="11" t="s">
        <v>2030</v>
      </c>
      <c r="S910" s="40"/>
      <c r="T910" s="39">
        <v>41.415500000000002</v>
      </c>
      <c r="U910" s="39"/>
      <c r="V910" s="39"/>
      <c r="W910" s="39"/>
      <c r="X910" s="39"/>
      <c r="Y910" s="39"/>
      <c r="Z910" s="3"/>
      <c r="AB910" s="3"/>
      <c r="AC910" s="11" t="s">
        <v>2029</v>
      </c>
      <c r="AD910" s="2"/>
      <c r="AE910" s="40"/>
    </row>
    <row r="911" spans="1:31" x14ac:dyDescent="0.25">
      <c r="A911" s="38" t="s">
        <v>36</v>
      </c>
      <c r="B911" s="38" t="s">
        <v>1727</v>
      </c>
      <c r="C911" s="38" t="s">
        <v>2013</v>
      </c>
      <c r="D911" s="11" t="s">
        <v>2031</v>
      </c>
      <c r="E911" s="38" t="s">
        <v>2032</v>
      </c>
      <c r="F911" s="38">
        <v>611.29999999999995</v>
      </c>
      <c r="G911" s="38">
        <v>611.29999999999995</v>
      </c>
      <c r="H911" s="38">
        <f t="shared" si="44"/>
        <v>813</v>
      </c>
      <c r="I911" s="38">
        <v>536</v>
      </c>
      <c r="J911" s="38">
        <v>277</v>
      </c>
      <c r="K911" s="38">
        <v>259</v>
      </c>
      <c r="L911" s="50">
        <f t="shared" ref="L911:L963" si="45">K911/H911*100</f>
        <v>31.857318573185733</v>
      </c>
      <c r="M911" s="38">
        <v>41</v>
      </c>
      <c r="N911" s="50">
        <f t="shared" si="43"/>
        <v>5.0430504305043051</v>
      </c>
      <c r="O911" s="38">
        <v>0</v>
      </c>
      <c r="P911" s="38">
        <v>0</v>
      </c>
    </row>
    <row r="912" spans="1:31" x14ac:dyDescent="0.25">
      <c r="A912" s="38" t="s">
        <v>36</v>
      </c>
      <c r="B912" s="38" t="s">
        <v>1727</v>
      </c>
      <c r="C912" s="38" t="s">
        <v>2013</v>
      </c>
      <c r="D912" s="11" t="s">
        <v>2033</v>
      </c>
      <c r="E912" s="38" t="s">
        <v>2034</v>
      </c>
      <c r="F912" s="38">
        <v>596.59</v>
      </c>
      <c r="G912" s="38">
        <v>596.59</v>
      </c>
      <c r="H912" s="38">
        <f t="shared" si="44"/>
        <v>603</v>
      </c>
      <c r="I912" s="38">
        <v>397</v>
      </c>
      <c r="J912" s="38">
        <v>206</v>
      </c>
      <c r="K912" s="38">
        <v>191</v>
      </c>
      <c r="L912" s="50">
        <f t="shared" si="45"/>
        <v>31.674958540630183</v>
      </c>
      <c r="M912" s="38">
        <v>0</v>
      </c>
      <c r="N912" s="50">
        <f t="shared" si="43"/>
        <v>0</v>
      </c>
      <c r="O912" s="38">
        <v>0</v>
      </c>
      <c r="P912" s="38">
        <v>0</v>
      </c>
    </row>
    <row r="913" spans="1:31" x14ac:dyDescent="0.25">
      <c r="A913" s="38" t="s">
        <v>36</v>
      </c>
      <c r="B913" s="38" t="s">
        <v>1727</v>
      </c>
      <c r="C913" s="38" t="s">
        <v>2013</v>
      </c>
      <c r="D913" s="11" t="s">
        <v>2035</v>
      </c>
      <c r="E913" s="38" t="s">
        <v>2036</v>
      </c>
      <c r="F913" s="38">
        <v>377.37</v>
      </c>
      <c r="G913" s="38">
        <v>377.37</v>
      </c>
      <c r="H913" s="38">
        <f t="shared" si="44"/>
        <v>415</v>
      </c>
      <c r="I913" s="38">
        <v>277</v>
      </c>
      <c r="J913" s="38">
        <v>138</v>
      </c>
      <c r="K913" s="38">
        <v>139</v>
      </c>
      <c r="L913" s="50">
        <f t="shared" si="45"/>
        <v>33.493975903614462</v>
      </c>
      <c r="M913" s="38">
        <v>0</v>
      </c>
      <c r="N913" s="50">
        <f t="shared" si="43"/>
        <v>0</v>
      </c>
      <c r="O913" s="38">
        <v>0</v>
      </c>
      <c r="P913" s="38">
        <v>0</v>
      </c>
    </row>
    <row r="914" spans="1:31" x14ac:dyDescent="0.25">
      <c r="A914" s="38" t="s">
        <v>36</v>
      </c>
      <c r="B914" s="38" t="s">
        <v>1727</v>
      </c>
      <c r="C914" s="38" t="s">
        <v>2013</v>
      </c>
      <c r="D914" s="11" t="s">
        <v>2037</v>
      </c>
      <c r="E914" s="38" t="s">
        <v>2038</v>
      </c>
      <c r="F914" s="38">
        <v>228.91</v>
      </c>
      <c r="G914" s="38">
        <v>228.91</v>
      </c>
      <c r="H914" s="38">
        <f t="shared" si="44"/>
        <v>395</v>
      </c>
      <c r="I914" s="38">
        <v>256</v>
      </c>
      <c r="J914" s="38">
        <v>139</v>
      </c>
      <c r="K914" s="38">
        <v>117</v>
      </c>
      <c r="L914" s="50">
        <f t="shared" si="45"/>
        <v>29.620253164556964</v>
      </c>
      <c r="M914" s="38">
        <v>0</v>
      </c>
      <c r="N914" s="50">
        <f t="shared" si="43"/>
        <v>0</v>
      </c>
      <c r="O914" s="38">
        <v>0</v>
      </c>
      <c r="P914" s="38">
        <v>0</v>
      </c>
    </row>
    <row r="915" spans="1:31" x14ac:dyDescent="0.25">
      <c r="A915" s="38" t="s">
        <v>36</v>
      </c>
      <c r="B915" s="38" t="s">
        <v>1727</v>
      </c>
      <c r="C915" s="38" t="s">
        <v>2013</v>
      </c>
      <c r="D915" s="11" t="s">
        <v>2039</v>
      </c>
      <c r="E915" s="38" t="s">
        <v>2040</v>
      </c>
      <c r="F915" s="38">
        <v>393.71</v>
      </c>
      <c r="G915" s="38">
        <v>393.71</v>
      </c>
      <c r="H915" s="38">
        <f t="shared" si="44"/>
        <v>561</v>
      </c>
      <c r="I915" s="38">
        <v>363</v>
      </c>
      <c r="J915" s="38">
        <v>198</v>
      </c>
      <c r="K915" s="38">
        <v>165</v>
      </c>
      <c r="L915" s="50">
        <f t="shared" si="45"/>
        <v>29.411764705882355</v>
      </c>
      <c r="M915" s="38">
        <v>12</v>
      </c>
      <c r="N915" s="50">
        <f t="shared" si="43"/>
        <v>2.1390374331550799</v>
      </c>
      <c r="O915" s="38">
        <v>0</v>
      </c>
      <c r="P915" s="38">
        <v>0</v>
      </c>
    </row>
    <row r="916" spans="1:31" x14ac:dyDescent="0.25">
      <c r="A916" s="38" t="s">
        <v>36</v>
      </c>
      <c r="B916" s="38" t="s">
        <v>1727</v>
      </c>
      <c r="C916" s="38" t="s">
        <v>2013</v>
      </c>
      <c r="D916" s="11" t="s">
        <v>2041</v>
      </c>
      <c r="E916" s="38" t="s">
        <v>2042</v>
      </c>
      <c r="F916" s="38">
        <v>251.45</v>
      </c>
      <c r="G916" s="38">
        <v>251.45</v>
      </c>
      <c r="H916" s="38">
        <f t="shared" si="44"/>
        <v>414</v>
      </c>
      <c r="I916" s="38">
        <v>267</v>
      </c>
      <c r="J916" s="38">
        <v>147</v>
      </c>
      <c r="K916" s="38">
        <v>120</v>
      </c>
      <c r="L916" s="50">
        <f t="shared" si="45"/>
        <v>28.985507246376812</v>
      </c>
      <c r="M916" s="38">
        <v>0</v>
      </c>
      <c r="N916" s="50">
        <f t="shared" si="43"/>
        <v>0</v>
      </c>
      <c r="O916" s="38">
        <v>0</v>
      </c>
      <c r="P916" s="38">
        <v>0</v>
      </c>
    </row>
    <row r="917" spans="1:31" x14ac:dyDescent="0.25">
      <c r="A917" s="38" t="s">
        <v>36</v>
      </c>
      <c r="B917" s="38" t="s">
        <v>1727</v>
      </c>
      <c r="C917" s="38" t="s">
        <v>2013</v>
      </c>
      <c r="D917" s="38" t="s">
        <v>2043</v>
      </c>
      <c r="E917" s="38" t="s">
        <v>2044</v>
      </c>
      <c r="F917" s="38">
        <v>511.69</v>
      </c>
      <c r="G917" s="38">
        <v>511.69</v>
      </c>
      <c r="H917" s="38">
        <f t="shared" si="44"/>
        <v>647</v>
      </c>
      <c r="I917" s="38">
        <v>422</v>
      </c>
      <c r="J917" s="38">
        <v>225</v>
      </c>
      <c r="K917" s="38">
        <v>197</v>
      </c>
      <c r="L917" s="50">
        <f t="shared" si="45"/>
        <v>30.448222565687789</v>
      </c>
      <c r="M917" s="38">
        <v>48</v>
      </c>
      <c r="N917" s="50">
        <f t="shared" si="43"/>
        <v>7.418856259659969</v>
      </c>
      <c r="O917" s="38">
        <v>0</v>
      </c>
      <c r="P917" s="38">
        <v>0</v>
      </c>
    </row>
    <row r="918" spans="1:31" x14ac:dyDescent="0.25">
      <c r="A918" s="38" t="s">
        <v>36</v>
      </c>
      <c r="B918" s="38" t="s">
        <v>1727</v>
      </c>
      <c r="C918" s="38" t="s">
        <v>2013</v>
      </c>
      <c r="D918" s="11" t="s">
        <v>2045</v>
      </c>
      <c r="E918" s="38" t="s">
        <v>2046</v>
      </c>
      <c r="F918" s="38">
        <v>321.66000000000003</v>
      </c>
      <c r="G918" s="38">
        <v>321.66000000000003</v>
      </c>
      <c r="H918" s="38">
        <f t="shared" si="44"/>
        <v>351</v>
      </c>
      <c r="I918" s="38">
        <v>229</v>
      </c>
      <c r="J918" s="38">
        <v>122</v>
      </c>
      <c r="K918" s="38">
        <v>107</v>
      </c>
      <c r="L918" s="50">
        <f t="shared" si="45"/>
        <v>30.484330484330485</v>
      </c>
      <c r="M918" s="38">
        <v>37</v>
      </c>
      <c r="N918" s="50">
        <f t="shared" si="43"/>
        <v>10.541310541310542</v>
      </c>
      <c r="O918" s="38">
        <v>0</v>
      </c>
      <c r="P918" s="38">
        <v>0</v>
      </c>
    </row>
    <row r="919" spans="1:31" x14ac:dyDescent="0.25">
      <c r="A919" s="38" t="s">
        <v>36</v>
      </c>
      <c r="B919" s="38" t="s">
        <v>1727</v>
      </c>
      <c r="C919" s="38" t="s">
        <v>2013</v>
      </c>
      <c r="D919" s="11" t="s">
        <v>2047</v>
      </c>
      <c r="E919" s="38" t="s">
        <v>2048</v>
      </c>
      <c r="F919" s="38">
        <v>589.94000000000005</v>
      </c>
      <c r="G919" s="38">
        <v>589.94000000000005</v>
      </c>
      <c r="H919" s="38">
        <f t="shared" si="44"/>
        <v>935</v>
      </c>
      <c r="I919" s="38">
        <v>605</v>
      </c>
      <c r="J919" s="38">
        <v>330</v>
      </c>
      <c r="K919" s="38">
        <v>275</v>
      </c>
      <c r="L919" s="50">
        <f t="shared" si="45"/>
        <v>29.411764705882355</v>
      </c>
      <c r="M919" s="38">
        <v>0</v>
      </c>
      <c r="N919" s="50">
        <f t="shared" si="43"/>
        <v>0</v>
      </c>
      <c r="O919" s="38">
        <v>0</v>
      </c>
      <c r="P919" s="38">
        <v>0</v>
      </c>
    </row>
    <row r="920" spans="1:31" x14ac:dyDescent="0.25">
      <c r="A920" s="38" t="s">
        <v>36</v>
      </c>
      <c r="B920" s="38" t="s">
        <v>1727</v>
      </c>
      <c r="C920" s="38" t="s">
        <v>2013</v>
      </c>
      <c r="D920" s="11" t="s">
        <v>2049</v>
      </c>
      <c r="E920" s="38" t="s">
        <v>2050</v>
      </c>
      <c r="F920" s="38">
        <v>805.84</v>
      </c>
      <c r="G920" s="38">
        <v>805.84</v>
      </c>
      <c r="H920" s="38">
        <f t="shared" si="44"/>
        <v>1457</v>
      </c>
      <c r="I920" s="38">
        <v>947</v>
      </c>
      <c r="J920" s="38">
        <v>510</v>
      </c>
      <c r="K920" s="38">
        <v>437</v>
      </c>
      <c r="L920" s="50">
        <f t="shared" si="45"/>
        <v>29.993136582017843</v>
      </c>
      <c r="M920" s="38">
        <v>0</v>
      </c>
      <c r="N920" s="50">
        <f t="shared" si="43"/>
        <v>0</v>
      </c>
      <c r="O920" s="38">
        <v>0</v>
      </c>
      <c r="P920" s="38">
        <v>0</v>
      </c>
    </row>
    <row r="921" spans="1:31" x14ac:dyDescent="0.25">
      <c r="A921" s="38" t="s">
        <v>36</v>
      </c>
      <c r="B921" s="38" t="s">
        <v>1727</v>
      </c>
      <c r="C921" s="38" t="s">
        <v>2013</v>
      </c>
      <c r="D921" s="59" t="s">
        <v>2051</v>
      </c>
      <c r="E921" s="38" t="s">
        <v>2052</v>
      </c>
      <c r="F921" s="38">
        <v>331.04</v>
      </c>
      <c r="G921" s="38">
        <v>331.04</v>
      </c>
      <c r="H921" s="38">
        <f t="shared" si="44"/>
        <v>344</v>
      </c>
      <c r="I921" s="38">
        <v>221</v>
      </c>
      <c r="J921" s="38">
        <v>123</v>
      </c>
      <c r="K921" s="38">
        <v>98</v>
      </c>
      <c r="L921" s="50">
        <f t="shared" si="45"/>
        <v>28.488372093023255</v>
      </c>
      <c r="M921" s="38">
        <v>23</v>
      </c>
      <c r="N921" s="50">
        <f t="shared" si="43"/>
        <v>6.6860465116279064</v>
      </c>
      <c r="O921" s="38">
        <v>0</v>
      </c>
      <c r="P921" s="38">
        <v>0</v>
      </c>
    </row>
    <row r="922" spans="1:31" x14ac:dyDescent="0.25">
      <c r="A922" s="38" t="s">
        <v>36</v>
      </c>
      <c r="B922" s="38" t="s">
        <v>1727</v>
      </c>
      <c r="C922" s="71" t="s">
        <v>2053</v>
      </c>
      <c r="D922" s="37" t="s">
        <v>2053</v>
      </c>
      <c r="E922" s="38"/>
      <c r="F922" s="38"/>
      <c r="G922" s="38"/>
      <c r="H922" s="38">
        <f t="shared" si="44"/>
        <v>0</v>
      </c>
      <c r="I922" s="38"/>
      <c r="J922" s="38"/>
      <c r="K922" s="38"/>
      <c r="L922" s="50"/>
      <c r="M922" s="38"/>
      <c r="N922" s="50"/>
      <c r="O922" s="38"/>
      <c r="P922" s="38"/>
      <c r="Q922" s="125" t="s">
        <v>160</v>
      </c>
      <c r="R922" s="91">
        <v>45183</v>
      </c>
      <c r="S922" s="126"/>
      <c r="T922" s="125">
        <v>0</v>
      </c>
      <c r="U922" s="125"/>
      <c r="V922" s="125"/>
      <c r="W922" s="125"/>
      <c r="X922" s="125"/>
      <c r="Y922" s="125"/>
      <c r="Z922" s="92"/>
      <c r="AB922" s="92"/>
      <c r="AC922" s="37" t="s">
        <v>2053</v>
      </c>
      <c r="AD922" s="90"/>
      <c r="AE922" s="126"/>
    </row>
    <row r="923" spans="1:31" x14ac:dyDescent="0.25">
      <c r="A923" s="38" t="s">
        <v>36</v>
      </c>
      <c r="B923" s="38" t="s">
        <v>1727</v>
      </c>
      <c r="C923" s="71" t="s">
        <v>2053</v>
      </c>
      <c r="D923" s="37" t="s">
        <v>856</v>
      </c>
      <c r="E923" s="38"/>
      <c r="F923" s="38"/>
      <c r="G923" s="38"/>
      <c r="H923" s="38">
        <f t="shared" si="44"/>
        <v>0</v>
      </c>
      <c r="I923" s="38"/>
      <c r="J923" s="38"/>
      <c r="K923" s="38"/>
      <c r="L923" s="50"/>
      <c r="M923" s="38"/>
      <c r="N923" s="50"/>
      <c r="O923" s="38"/>
      <c r="P923" s="38"/>
      <c r="Q923" s="125" t="s">
        <v>160</v>
      </c>
      <c r="R923" s="91">
        <v>45183</v>
      </c>
      <c r="S923" s="126"/>
      <c r="T923" s="125">
        <v>0</v>
      </c>
      <c r="U923" s="125"/>
      <c r="V923" s="125"/>
      <c r="W923" s="125"/>
      <c r="X923" s="125"/>
      <c r="Y923" s="125"/>
      <c r="Z923" s="92"/>
      <c r="AB923" s="92"/>
      <c r="AC923" s="37" t="s">
        <v>856</v>
      </c>
      <c r="AD923" s="90"/>
      <c r="AE923" s="126"/>
    </row>
    <row r="924" spans="1:31" x14ac:dyDescent="0.25">
      <c r="A924" s="38" t="s">
        <v>36</v>
      </c>
      <c r="B924" s="38" t="s">
        <v>1727</v>
      </c>
      <c r="C924" s="71" t="s">
        <v>2053</v>
      </c>
      <c r="D924" s="37" t="s">
        <v>2054</v>
      </c>
      <c r="E924" s="38"/>
      <c r="F924" s="38"/>
      <c r="G924" s="38"/>
      <c r="H924" s="38">
        <f t="shared" si="44"/>
        <v>0</v>
      </c>
      <c r="I924" s="38"/>
      <c r="J924" s="38"/>
      <c r="K924" s="38"/>
      <c r="L924" s="50"/>
      <c r="M924" s="38"/>
      <c r="N924" s="50"/>
      <c r="O924" s="38"/>
      <c r="P924" s="38"/>
      <c r="Q924" s="125" t="s">
        <v>160</v>
      </c>
      <c r="R924" s="91">
        <v>45183</v>
      </c>
      <c r="S924" s="126"/>
      <c r="T924" s="125">
        <v>0</v>
      </c>
      <c r="U924" s="125"/>
      <c r="V924" s="125"/>
      <c r="W924" s="125"/>
      <c r="X924" s="125"/>
      <c r="Y924" s="125"/>
      <c r="Z924" s="92"/>
      <c r="AB924" s="92"/>
      <c r="AC924" s="37" t="s">
        <v>2054</v>
      </c>
      <c r="AD924" s="90"/>
      <c r="AE924" s="126"/>
    </row>
    <row r="925" spans="1:31" x14ac:dyDescent="0.25">
      <c r="A925" s="38" t="s">
        <v>36</v>
      </c>
      <c r="B925" s="38" t="s">
        <v>1727</v>
      </c>
      <c r="C925" s="71" t="s">
        <v>2053</v>
      </c>
      <c r="D925" s="37" t="s">
        <v>2055</v>
      </c>
      <c r="E925" s="38"/>
      <c r="F925" s="38"/>
      <c r="G925" s="38"/>
      <c r="H925" s="38">
        <f t="shared" si="44"/>
        <v>0</v>
      </c>
      <c r="I925" s="38"/>
      <c r="J925" s="38"/>
      <c r="K925" s="38"/>
      <c r="L925" s="50"/>
      <c r="M925" s="38"/>
      <c r="N925" s="50"/>
      <c r="O925" s="38"/>
      <c r="P925" s="38"/>
      <c r="Q925" s="125" t="s">
        <v>160</v>
      </c>
      <c r="R925" s="91">
        <v>45183</v>
      </c>
      <c r="S925" s="126"/>
      <c r="T925" s="125">
        <v>0</v>
      </c>
      <c r="U925" s="125"/>
      <c r="V925" s="125"/>
      <c r="W925" s="125"/>
      <c r="X925" s="125"/>
      <c r="Y925" s="125"/>
      <c r="Z925" s="92"/>
      <c r="AB925" s="92"/>
      <c r="AC925" s="37" t="s">
        <v>2055</v>
      </c>
      <c r="AD925" s="90"/>
      <c r="AE925" s="126"/>
    </row>
    <row r="926" spans="1:31" x14ac:dyDescent="0.25">
      <c r="A926" s="38" t="s">
        <v>36</v>
      </c>
      <c r="B926" s="38" t="s">
        <v>1727</v>
      </c>
      <c r="C926" s="71" t="s">
        <v>2053</v>
      </c>
      <c r="D926" s="71" t="s">
        <v>2053</v>
      </c>
      <c r="E926" s="38"/>
      <c r="F926" s="38"/>
      <c r="G926" s="38"/>
      <c r="H926" s="38">
        <f t="shared" si="44"/>
        <v>0</v>
      </c>
      <c r="I926" s="38"/>
      <c r="J926" s="38"/>
      <c r="K926" s="38"/>
      <c r="L926" s="50"/>
      <c r="M926" s="38"/>
      <c r="N926" s="50"/>
      <c r="O926" s="38"/>
      <c r="P926" s="38"/>
      <c r="Q926" s="125" t="s">
        <v>160</v>
      </c>
      <c r="R926" s="91">
        <v>45183</v>
      </c>
      <c r="S926" s="126"/>
      <c r="T926" s="125">
        <v>0</v>
      </c>
      <c r="U926" s="125"/>
      <c r="V926" s="125"/>
      <c r="W926" s="125"/>
      <c r="X926" s="125"/>
      <c r="Y926" s="125"/>
      <c r="Z926" s="92"/>
      <c r="AB926" s="92"/>
      <c r="AC926" s="71" t="s">
        <v>2053</v>
      </c>
      <c r="AD926" s="90"/>
      <c r="AE926" s="126"/>
    </row>
    <row r="927" spans="1:31" x14ac:dyDescent="0.25">
      <c r="A927" s="38" t="s">
        <v>36</v>
      </c>
      <c r="B927" s="38" t="s">
        <v>1727</v>
      </c>
      <c r="C927" s="11" t="s">
        <v>2056</v>
      </c>
      <c r="D927" s="11" t="s">
        <v>2056</v>
      </c>
      <c r="E927" s="38"/>
      <c r="F927" s="38">
        <v>384</v>
      </c>
      <c r="G927" s="38">
        <v>384</v>
      </c>
      <c r="H927" s="38">
        <f t="shared" si="44"/>
        <v>683</v>
      </c>
      <c r="I927" s="38">
        <v>448</v>
      </c>
      <c r="J927" s="38">
        <v>235</v>
      </c>
      <c r="K927" s="38">
        <v>213</v>
      </c>
      <c r="L927" s="50">
        <f t="shared" si="45"/>
        <v>31.18594436310395</v>
      </c>
      <c r="M927" s="38">
        <v>0</v>
      </c>
      <c r="N927" s="50">
        <f t="shared" si="43"/>
        <v>0</v>
      </c>
      <c r="O927" s="38"/>
      <c r="P927" s="38"/>
      <c r="Q927" s="98" t="s">
        <v>160</v>
      </c>
      <c r="R927" s="7">
        <v>44578</v>
      </c>
      <c r="S927" s="99"/>
      <c r="T927" s="98">
        <v>1.5</v>
      </c>
      <c r="U927" s="98"/>
      <c r="V927" s="98"/>
      <c r="W927" s="98"/>
      <c r="X927" s="98"/>
      <c r="Y927" s="98"/>
      <c r="Z927" s="20"/>
      <c r="AB927" s="20"/>
      <c r="AC927" s="11" t="s">
        <v>2056</v>
      </c>
      <c r="AD927" s="61"/>
      <c r="AE927" s="99"/>
    </row>
    <row r="928" spans="1:31" x14ac:dyDescent="0.25">
      <c r="A928" s="38" t="s">
        <v>36</v>
      </c>
      <c r="B928" s="38" t="s">
        <v>1727</v>
      </c>
      <c r="C928" s="11" t="s">
        <v>2056</v>
      </c>
      <c r="D928" s="11" t="s">
        <v>2057</v>
      </c>
      <c r="E928" s="38"/>
      <c r="F928" s="38">
        <v>988</v>
      </c>
      <c r="G928" s="38">
        <v>988</v>
      </c>
      <c r="H928" s="38">
        <f t="shared" si="44"/>
        <v>591</v>
      </c>
      <c r="I928" s="38">
        <v>381</v>
      </c>
      <c r="J928" s="38">
        <v>210</v>
      </c>
      <c r="K928" s="38">
        <v>171</v>
      </c>
      <c r="L928" s="50">
        <f t="shared" si="45"/>
        <v>28.934010152284262</v>
      </c>
      <c r="M928" s="38">
        <v>0</v>
      </c>
      <c r="N928" s="50">
        <f t="shared" si="43"/>
        <v>0</v>
      </c>
      <c r="O928" s="38"/>
      <c r="P928" s="38"/>
      <c r="Q928" s="98" t="s">
        <v>160</v>
      </c>
      <c r="R928" s="7">
        <v>44578</v>
      </c>
      <c r="S928" s="99"/>
      <c r="T928" s="98">
        <v>1.66</v>
      </c>
      <c r="U928" s="98"/>
      <c r="V928" s="98"/>
      <c r="W928" s="98"/>
      <c r="X928" s="98"/>
      <c r="Y928" s="98"/>
      <c r="Z928" s="20"/>
      <c r="AB928" s="20"/>
      <c r="AC928" s="11" t="s">
        <v>2057</v>
      </c>
      <c r="AD928" s="61"/>
      <c r="AE928" s="99"/>
    </row>
    <row r="929" spans="1:31" x14ac:dyDescent="0.25">
      <c r="A929" s="38" t="s">
        <v>36</v>
      </c>
      <c r="B929" s="38" t="s">
        <v>1727</v>
      </c>
      <c r="C929" s="11" t="s">
        <v>2056</v>
      </c>
      <c r="D929" s="11" t="s">
        <v>2001</v>
      </c>
      <c r="E929" s="38"/>
      <c r="F929" s="38">
        <v>463</v>
      </c>
      <c r="G929" s="38">
        <v>463</v>
      </c>
      <c r="H929" s="38">
        <f t="shared" si="44"/>
        <v>1031</v>
      </c>
      <c r="I929" s="38">
        <v>695</v>
      </c>
      <c r="J929" s="38">
        <v>336</v>
      </c>
      <c r="K929" s="38">
        <v>359</v>
      </c>
      <c r="L929" s="50">
        <f t="shared" si="45"/>
        <v>34.820562560620758</v>
      </c>
      <c r="M929" s="38">
        <v>53</v>
      </c>
      <c r="N929" s="50">
        <f t="shared" si="43"/>
        <v>5.1406401551891374</v>
      </c>
      <c r="O929" s="38"/>
      <c r="P929" s="38"/>
      <c r="Q929" s="98" t="s">
        <v>160</v>
      </c>
      <c r="R929" s="7">
        <v>44578</v>
      </c>
      <c r="S929" s="99"/>
      <c r="T929" s="98">
        <v>9.66</v>
      </c>
      <c r="U929" s="98"/>
      <c r="V929" s="98"/>
      <c r="W929" s="98"/>
      <c r="X929" s="98"/>
      <c r="Y929" s="98"/>
      <c r="Z929" s="20"/>
      <c r="AB929" s="20"/>
      <c r="AC929" s="11" t="s">
        <v>2001</v>
      </c>
      <c r="AD929" s="61"/>
      <c r="AE929" s="99"/>
    </row>
    <row r="930" spans="1:31" x14ac:dyDescent="0.25">
      <c r="A930" s="38" t="s">
        <v>36</v>
      </c>
      <c r="B930" s="38" t="s">
        <v>1727</v>
      </c>
      <c r="C930" s="11" t="s">
        <v>2056</v>
      </c>
      <c r="D930" s="11" t="s">
        <v>2058</v>
      </c>
      <c r="E930" s="38"/>
      <c r="F930" s="38">
        <v>238</v>
      </c>
      <c r="G930" s="38">
        <v>238</v>
      </c>
      <c r="H930" s="38">
        <f t="shared" si="44"/>
        <v>367</v>
      </c>
      <c r="I930" s="38">
        <v>242</v>
      </c>
      <c r="J930" s="38">
        <v>125</v>
      </c>
      <c r="K930" s="38">
        <v>117</v>
      </c>
      <c r="L930" s="50">
        <f t="shared" si="45"/>
        <v>31.880108991825612</v>
      </c>
      <c r="M930" s="38">
        <v>19</v>
      </c>
      <c r="N930" s="50">
        <f t="shared" si="43"/>
        <v>5.1771117166212539</v>
      </c>
      <c r="O930" s="38"/>
      <c r="P930" s="38"/>
      <c r="Q930" s="98" t="s">
        <v>160</v>
      </c>
      <c r="R930" s="7">
        <v>44578</v>
      </c>
      <c r="S930" s="99"/>
      <c r="T930" s="98">
        <v>13.33</v>
      </c>
      <c r="U930" s="98"/>
      <c r="V930" s="98"/>
      <c r="W930" s="98"/>
      <c r="X930" s="98"/>
      <c r="Y930" s="98"/>
      <c r="Z930" s="20"/>
      <c r="AB930" s="20"/>
      <c r="AC930" s="11" t="s">
        <v>2058</v>
      </c>
      <c r="AD930" s="61"/>
      <c r="AE930" s="99"/>
    </row>
    <row r="931" spans="1:31" x14ac:dyDescent="0.25">
      <c r="A931" s="38" t="s">
        <v>36</v>
      </c>
      <c r="B931" s="38" t="s">
        <v>1727</v>
      </c>
      <c r="C931" s="38" t="s">
        <v>2059</v>
      </c>
      <c r="D931" s="11" t="s">
        <v>1791</v>
      </c>
      <c r="E931" s="38" t="s">
        <v>2060</v>
      </c>
      <c r="F931" s="38">
        <v>1578.19</v>
      </c>
      <c r="G931" s="38">
        <v>1578.19</v>
      </c>
      <c r="H931" s="38">
        <f t="shared" si="44"/>
        <v>1777</v>
      </c>
      <c r="I931" s="38">
        <v>1177</v>
      </c>
      <c r="J931" s="38">
        <v>600</v>
      </c>
      <c r="K931" s="38">
        <v>577</v>
      </c>
      <c r="L931" s="50">
        <f t="shared" si="45"/>
        <v>32.470455824423183</v>
      </c>
      <c r="M931" s="38">
        <v>0</v>
      </c>
      <c r="N931" s="50">
        <f t="shared" si="43"/>
        <v>0</v>
      </c>
      <c r="O931" s="38">
        <v>0</v>
      </c>
      <c r="P931" s="38">
        <v>0</v>
      </c>
    </row>
    <row r="932" spans="1:31" x14ac:dyDescent="0.25">
      <c r="A932" s="38" t="s">
        <v>36</v>
      </c>
      <c r="B932" s="38" t="s">
        <v>1727</v>
      </c>
      <c r="C932" s="38" t="s">
        <v>2059</v>
      </c>
      <c r="D932" s="11" t="s">
        <v>2058</v>
      </c>
      <c r="E932" s="38" t="s">
        <v>2061</v>
      </c>
      <c r="F932" s="38">
        <v>516.36</v>
      </c>
      <c r="G932" s="38">
        <v>516.36</v>
      </c>
      <c r="H932" s="38">
        <f t="shared" si="44"/>
        <v>726</v>
      </c>
      <c r="I932" s="38">
        <v>476</v>
      </c>
      <c r="J932" s="38">
        <v>250</v>
      </c>
      <c r="K932" s="38">
        <v>226</v>
      </c>
      <c r="L932" s="50">
        <f t="shared" si="45"/>
        <v>31.129476584022036</v>
      </c>
      <c r="M932" s="38">
        <v>81</v>
      </c>
      <c r="N932" s="50">
        <f t="shared" si="43"/>
        <v>11.15702479338843</v>
      </c>
      <c r="O932" s="38">
        <v>0</v>
      </c>
      <c r="P932" s="38">
        <v>0</v>
      </c>
    </row>
    <row r="933" spans="1:31" x14ac:dyDescent="0.25">
      <c r="A933" s="38" t="s">
        <v>36</v>
      </c>
      <c r="B933" s="38" t="s">
        <v>1727</v>
      </c>
      <c r="C933" s="38" t="s">
        <v>2059</v>
      </c>
      <c r="D933" s="11" t="s">
        <v>2062</v>
      </c>
      <c r="E933" s="38" t="s">
        <v>2063</v>
      </c>
      <c r="F933" s="38">
        <v>986.84</v>
      </c>
      <c r="G933" s="38">
        <v>986.84</v>
      </c>
      <c r="H933" s="38">
        <f t="shared" si="44"/>
        <v>1016</v>
      </c>
      <c r="I933" s="38">
        <v>661</v>
      </c>
      <c r="J933" s="38">
        <v>355</v>
      </c>
      <c r="K933" s="38">
        <v>306</v>
      </c>
      <c r="L933" s="50">
        <f t="shared" si="45"/>
        <v>30.118110236220474</v>
      </c>
      <c r="M933" s="38">
        <v>0</v>
      </c>
      <c r="N933" s="50">
        <f t="shared" si="43"/>
        <v>0</v>
      </c>
      <c r="O933" s="38">
        <v>0</v>
      </c>
      <c r="P933" s="38">
        <v>0</v>
      </c>
    </row>
    <row r="934" spans="1:31" x14ac:dyDescent="0.25">
      <c r="A934" s="38" t="s">
        <v>36</v>
      </c>
      <c r="B934" s="38" t="s">
        <v>1727</v>
      </c>
      <c r="C934" s="38" t="s">
        <v>2059</v>
      </c>
      <c r="D934" s="11" t="s">
        <v>2064</v>
      </c>
      <c r="E934" s="38" t="s">
        <v>2065</v>
      </c>
      <c r="F934" s="38">
        <v>1155.3399999999999</v>
      </c>
      <c r="G934" s="38">
        <v>1155.3399999999999</v>
      </c>
      <c r="H934" s="38">
        <f t="shared" si="44"/>
        <v>899</v>
      </c>
      <c r="I934" s="38">
        <v>584</v>
      </c>
      <c r="J934" s="38">
        <v>315</v>
      </c>
      <c r="K934" s="38">
        <v>269</v>
      </c>
      <c r="L934" s="50">
        <f t="shared" si="45"/>
        <v>29.922135706340381</v>
      </c>
      <c r="M934" s="38">
        <v>4</v>
      </c>
      <c r="N934" s="50">
        <f t="shared" si="43"/>
        <v>0.44493882091212456</v>
      </c>
      <c r="O934" s="38">
        <v>0</v>
      </c>
      <c r="P934" s="38">
        <v>0</v>
      </c>
    </row>
    <row r="935" spans="1:31" x14ac:dyDescent="0.25">
      <c r="A935" s="38" t="s">
        <v>36</v>
      </c>
      <c r="B935" s="38" t="s">
        <v>1727</v>
      </c>
      <c r="C935" s="38" t="s">
        <v>2066</v>
      </c>
      <c r="D935" s="11" t="s">
        <v>2067</v>
      </c>
      <c r="E935" s="38" t="s">
        <v>2068</v>
      </c>
      <c r="F935" s="38">
        <v>1863</v>
      </c>
      <c r="G935" s="38">
        <v>1863</v>
      </c>
      <c r="H935" s="38">
        <f t="shared" si="44"/>
        <v>1000</v>
      </c>
      <c r="I935" s="38">
        <v>659</v>
      </c>
      <c r="J935" s="38">
        <v>341</v>
      </c>
      <c r="K935" s="38">
        <v>318</v>
      </c>
      <c r="L935" s="50">
        <f t="shared" si="45"/>
        <v>31.8</v>
      </c>
      <c r="M935" s="38">
        <v>25</v>
      </c>
      <c r="N935" s="50">
        <f t="shared" ref="N935:N998" si="46">M935/H935*100</f>
        <v>2.5</v>
      </c>
      <c r="O935" s="38">
        <v>0</v>
      </c>
      <c r="P935" s="38">
        <v>90</v>
      </c>
      <c r="AC935" s="117"/>
      <c r="AD935" s="121"/>
    </row>
    <row r="936" spans="1:31" x14ac:dyDescent="0.25">
      <c r="A936" s="38" t="s">
        <v>36</v>
      </c>
      <c r="B936" s="38" t="s">
        <v>1727</v>
      </c>
      <c r="C936" s="38" t="s">
        <v>2066</v>
      </c>
      <c r="D936" s="11" t="s">
        <v>2069</v>
      </c>
      <c r="E936" s="38" t="s">
        <v>2070</v>
      </c>
      <c r="F936" s="38">
        <v>1287</v>
      </c>
      <c r="G936" s="38">
        <v>1287</v>
      </c>
      <c r="H936" s="38">
        <f t="shared" si="44"/>
        <v>536</v>
      </c>
      <c r="I936" s="38">
        <v>351</v>
      </c>
      <c r="J936" s="38">
        <v>185</v>
      </c>
      <c r="K936" s="38">
        <v>166</v>
      </c>
      <c r="L936" s="50">
        <f t="shared" si="45"/>
        <v>30.970149253731343</v>
      </c>
      <c r="M936" s="38">
        <v>0</v>
      </c>
      <c r="N936" s="50">
        <f t="shared" si="46"/>
        <v>0</v>
      </c>
      <c r="O936" s="38">
        <v>0</v>
      </c>
      <c r="P936" s="38">
        <v>105</v>
      </c>
    </row>
    <row r="937" spans="1:31" x14ac:dyDescent="0.25">
      <c r="A937" s="38" t="s">
        <v>36</v>
      </c>
      <c r="B937" s="38" t="s">
        <v>1727</v>
      </c>
      <c r="C937" s="38" t="s">
        <v>2066</v>
      </c>
      <c r="D937" s="11" t="s">
        <v>2071</v>
      </c>
      <c r="E937" s="38" t="s">
        <v>2072</v>
      </c>
      <c r="F937" s="38">
        <v>240</v>
      </c>
      <c r="G937" s="38">
        <v>240</v>
      </c>
      <c r="H937" s="38">
        <f t="shared" si="44"/>
        <v>500</v>
      </c>
      <c r="I937" s="38">
        <v>335</v>
      </c>
      <c r="J937" s="38">
        <v>165</v>
      </c>
      <c r="K937" s="38">
        <v>170</v>
      </c>
      <c r="L937" s="50">
        <f t="shared" si="45"/>
        <v>34</v>
      </c>
      <c r="M937" s="38">
        <v>170</v>
      </c>
      <c r="N937" s="50">
        <f t="shared" si="46"/>
        <v>34</v>
      </c>
      <c r="O937" s="38">
        <v>0</v>
      </c>
      <c r="P937" s="38">
        <v>0</v>
      </c>
    </row>
    <row r="938" spans="1:31" x14ac:dyDescent="0.25">
      <c r="A938" s="38" t="s">
        <v>36</v>
      </c>
      <c r="B938" s="38" t="s">
        <v>1727</v>
      </c>
      <c r="C938" s="38" t="s">
        <v>2066</v>
      </c>
      <c r="D938" s="11" t="s">
        <v>2073</v>
      </c>
      <c r="E938" s="38" t="s">
        <v>2074</v>
      </c>
      <c r="F938" s="38">
        <v>835</v>
      </c>
      <c r="G938" s="38">
        <v>835</v>
      </c>
      <c r="H938" s="38">
        <f t="shared" si="44"/>
        <v>638</v>
      </c>
      <c r="I938" s="38">
        <v>414</v>
      </c>
      <c r="J938" s="38">
        <v>224</v>
      </c>
      <c r="K938" s="38">
        <v>190</v>
      </c>
      <c r="L938" s="50">
        <f t="shared" si="45"/>
        <v>29.780564263322884</v>
      </c>
      <c r="M938" s="38">
        <v>5</v>
      </c>
      <c r="N938" s="50">
        <f t="shared" si="46"/>
        <v>0.7836990595611284</v>
      </c>
      <c r="O938" s="38">
        <v>0</v>
      </c>
      <c r="P938" s="38">
        <v>78</v>
      </c>
    </row>
    <row r="939" spans="1:31" x14ac:dyDescent="0.25">
      <c r="A939" s="38" t="s">
        <v>36</v>
      </c>
      <c r="B939" s="38" t="s">
        <v>1727</v>
      </c>
      <c r="C939" s="38" t="s">
        <v>2066</v>
      </c>
      <c r="D939" s="11" t="s">
        <v>2075</v>
      </c>
      <c r="E939" s="38" t="s">
        <v>2076</v>
      </c>
      <c r="F939" s="38">
        <v>87</v>
      </c>
      <c r="G939" s="38">
        <v>87</v>
      </c>
      <c r="H939" s="38">
        <f t="shared" si="44"/>
        <v>0</v>
      </c>
      <c r="I939" s="38">
        <v>0</v>
      </c>
      <c r="J939" s="38">
        <v>0</v>
      </c>
      <c r="K939" s="38">
        <v>0</v>
      </c>
      <c r="L939" s="50"/>
      <c r="M939" s="38">
        <v>0</v>
      </c>
      <c r="N939" s="50"/>
      <c r="O939" s="38">
        <v>0</v>
      </c>
      <c r="P939" s="38">
        <v>0</v>
      </c>
    </row>
    <row r="940" spans="1:31" x14ac:dyDescent="0.25">
      <c r="A940" s="38" t="s">
        <v>36</v>
      </c>
      <c r="B940" s="38" t="s">
        <v>1727</v>
      </c>
      <c r="C940" s="38" t="s">
        <v>2066</v>
      </c>
      <c r="D940" s="11" t="s">
        <v>2077</v>
      </c>
      <c r="E940" s="38" t="s">
        <v>2078</v>
      </c>
      <c r="F940" s="38">
        <v>115</v>
      </c>
      <c r="G940" s="38">
        <v>115</v>
      </c>
      <c r="H940" s="38">
        <f t="shared" si="44"/>
        <v>142</v>
      </c>
      <c r="I940" s="38">
        <v>93</v>
      </c>
      <c r="J940" s="38">
        <v>49</v>
      </c>
      <c r="K940" s="38">
        <v>44</v>
      </c>
      <c r="L940" s="50">
        <f t="shared" si="45"/>
        <v>30.985915492957744</v>
      </c>
      <c r="M940" s="38">
        <v>40</v>
      </c>
      <c r="N940" s="50">
        <f t="shared" si="46"/>
        <v>28.169014084507044</v>
      </c>
      <c r="O940" s="38">
        <v>0</v>
      </c>
      <c r="P940" s="38">
        <v>6</v>
      </c>
      <c r="AC940" s="117"/>
      <c r="AD940" s="121"/>
    </row>
    <row r="941" spans="1:31" x14ac:dyDescent="0.25">
      <c r="A941" s="38" t="s">
        <v>36</v>
      </c>
      <c r="B941" s="38" t="s">
        <v>1727</v>
      </c>
      <c r="C941" s="38" t="s">
        <v>2066</v>
      </c>
      <c r="D941" s="11" t="s">
        <v>2079</v>
      </c>
      <c r="E941" s="38" t="s">
        <v>2080</v>
      </c>
      <c r="F941" s="38">
        <v>580</v>
      </c>
      <c r="G941" s="38">
        <v>580</v>
      </c>
      <c r="H941" s="38">
        <f t="shared" si="44"/>
        <v>495</v>
      </c>
      <c r="I941" s="38">
        <v>316</v>
      </c>
      <c r="J941" s="38">
        <v>179</v>
      </c>
      <c r="K941" s="38">
        <v>137</v>
      </c>
      <c r="L941" s="50">
        <f t="shared" si="45"/>
        <v>27.676767676767678</v>
      </c>
      <c r="M941" s="38">
        <v>0</v>
      </c>
      <c r="N941" s="50">
        <f t="shared" si="46"/>
        <v>0</v>
      </c>
      <c r="O941" s="38">
        <v>0</v>
      </c>
      <c r="P941" s="38">
        <v>0</v>
      </c>
    </row>
    <row r="942" spans="1:31" x14ac:dyDescent="0.25">
      <c r="A942" s="38" t="s">
        <v>36</v>
      </c>
      <c r="B942" s="38" t="s">
        <v>1727</v>
      </c>
      <c r="C942" s="38" t="s">
        <v>2066</v>
      </c>
      <c r="D942" s="11" t="s">
        <v>2081</v>
      </c>
      <c r="E942" s="38" t="s">
        <v>2082</v>
      </c>
      <c r="F942" s="38">
        <v>782</v>
      </c>
      <c r="G942" s="38">
        <v>782</v>
      </c>
      <c r="H942" s="38">
        <f t="shared" si="44"/>
        <v>584</v>
      </c>
      <c r="I942" s="38">
        <v>380</v>
      </c>
      <c r="J942" s="38">
        <v>204</v>
      </c>
      <c r="K942" s="38">
        <v>176</v>
      </c>
      <c r="L942" s="50">
        <f t="shared" si="45"/>
        <v>30.136986301369863</v>
      </c>
      <c r="M942" s="38">
        <v>0</v>
      </c>
      <c r="N942" s="50">
        <f t="shared" si="46"/>
        <v>0</v>
      </c>
      <c r="O942" s="38">
        <v>0</v>
      </c>
      <c r="P942" s="38">
        <v>0</v>
      </c>
    </row>
    <row r="943" spans="1:31" x14ac:dyDescent="0.25">
      <c r="A943" s="38" t="s">
        <v>36</v>
      </c>
      <c r="B943" s="38" t="s">
        <v>1727</v>
      </c>
      <c r="C943" s="38" t="s">
        <v>2066</v>
      </c>
      <c r="D943" s="11" t="s">
        <v>2083</v>
      </c>
      <c r="E943" s="38" t="s">
        <v>2084</v>
      </c>
      <c r="F943" s="38">
        <v>779</v>
      </c>
      <c r="G943" s="38">
        <v>779</v>
      </c>
      <c r="H943" s="38">
        <f t="shared" si="44"/>
        <v>1245</v>
      </c>
      <c r="I943" s="38">
        <v>806</v>
      </c>
      <c r="J943" s="38">
        <v>439</v>
      </c>
      <c r="K943" s="38">
        <v>367</v>
      </c>
      <c r="L943" s="50">
        <f t="shared" si="45"/>
        <v>29.477911646586346</v>
      </c>
      <c r="M943" s="38">
        <v>40</v>
      </c>
      <c r="N943" s="50">
        <f t="shared" si="46"/>
        <v>3.2128514056224895</v>
      </c>
      <c r="O943" s="38">
        <v>0</v>
      </c>
      <c r="P943" s="38">
        <v>0</v>
      </c>
    </row>
    <row r="944" spans="1:31" x14ac:dyDescent="0.25">
      <c r="A944" s="38" t="s">
        <v>36</v>
      </c>
      <c r="B944" s="38" t="s">
        <v>1727</v>
      </c>
      <c r="C944" s="38" t="s">
        <v>2085</v>
      </c>
      <c r="D944" s="11" t="s">
        <v>2086</v>
      </c>
      <c r="E944" s="38" t="s">
        <v>2087</v>
      </c>
      <c r="F944" s="38">
        <v>965.98</v>
      </c>
      <c r="G944" s="38">
        <v>965.98</v>
      </c>
      <c r="H944" s="38">
        <f t="shared" si="44"/>
        <v>952</v>
      </c>
      <c r="I944" s="38">
        <v>620</v>
      </c>
      <c r="J944" s="38">
        <v>332</v>
      </c>
      <c r="K944" s="38">
        <v>288</v>
      </c>
      <c r="L944" s="50">
        <f t="shared" si="45"/>
        <v>30.252100840336134</v>
      </c>
      <c r="M944" s="38">
        <v>26</v>
      </c>
      <c r="N944" s="50">
        <f t="shared" si="46"/>
        <v>2.73109243697479</v>
      </c>
      <c r="O944" s="38">
        <v>0</v>
      </c>
      <c r="P944" s="38">
        <v>0</v>
      </c>
      <c r="AC944" s="117"/>
      <c r="AD944" s="121"/>
    </row>
    <row r="945" spans="1:31" x14ac:dyDescent="0.25">
      <c r="A945" s="38" t="s">
        <v>36</v>
      </c>
      <c r="B945" s="38" t="s">
        <v>1727</v>
      </c>
      <c r="C945" s="38" t="s">
        <v>2085</v>
      </c>
      <c r="D945" s="11" t="s">
        <v>2088</v>
      </c>
      <c r="E945" s="38" t="s">
        <v>2089</v>
      </c>
      <c r="F945" s="38">
        <v>550</v>
      </c>
      <c r="G945" s="38">
        <v>550</v>
      </c>
      <c r="H945" s="38">
        <f t="shared" si="44"/>
        <v>812</v>
      </c>
      <c r="I945" s="38">
        <v>533</v>
      </c>
      <c r="J945" s="38">
        <v>279</v>
      </c>
      <c r="K945" s="38">
        <v>254</v>
      </c>
      <c r="L945" s="50">
        <f t="shared" si="45"/>
        <v>31.2807881773399</v>
      </c>
      <c r="M945" s="38">
        <v>0</v>
      </c>
      <c r="N945" s="50">
        <f t="shared" si="46"/>
        <v>0</v>
      </c>
      <c r="O945" s="38">
        <v>0</v>
      </c>
      <c r="P945" s="38">
        <v>3</v>
      </c>
    </row>
    <row r="946" spans="1:31" x14ac:dyDescent="0.25">
      <c r="A946" s="38" t="s">
        <v>36</v>
      </c>
      <c r="B946" s="38" t="s">
        <v>1727</v>
      </c>
      <c r="C946" s="38" t="s">
        <v>2085</v>
      </c>
      <c r="D946" s="11" t="s">
        <v>2090</v>
      </c>
      <c r="E946" s="38" t="s">
        <v>2091</v>
      </c>
      <c r="F946" s="38">
        <v>459</v>
      </c>
      <c r="G946" s="38">
        <v>459</v>
      </c>
      <c r="H946" s="38">
        <f t="shared" si="44"/>
        <v>1019</v>
      </c>
      <c r="I946" s="38">
        <v>663</v>
      </c>
      <c r="J946" s="38">
        <v>356</v>
      </c>
      <c r="K946" s="38">
        <v>307</v>
      </c>
      <c r="L946" s="50">
        <f t="shared" si="45"/>
        <v>30.127576054955838</v>
      </c>
      <c r="M946" s="38">
        <v>9</v>
      </c>
      <c r="N946" s="50">
        <f t="shared" si="46"/>
        <v>0.88321884200196277</v>
      </c>
      <c r="O946" s="38">
        <v>0</v>
      </c>
      <c r="P946" s="38">
        <v>0</v>
      </c>
    </row>
    <row r="947" spans="1:31" x14ac:dyDescent="0.25">
      <c r="A947" s="38" t="s">
        <v>36</v>
      </c>
      <c r="B947" s="38" t="s">
        <v>1727</v>
      </c>
      <c r="C947" s="38" t="s">
        <v>2085</v>
      </c>
      <c r="D947" s="11" t="s">
        <v>2092</v>
      </c>
      <c r="E947" s="38" t="s">
        <v>2093</v>
      </c>
      <c r="F947" s="38">
        <v>692</v>
      </c>
      <c r="G947" s="38">
        <v>692</v>
      </c>
      <c r="H947" s="38">
        <f t="shared" si="44"/>
        <v>1225</v>
      </c>
      <c r="I947" s="38">
        <v>809</v>
      </c>
      <c r="J947" s="38">
        <v>416</v>
      </c>
      <c r="K947" s="38">
        <v>393</v>
      </c>
      <c r="L947" s="50">
        <f t="shared" si="45"/>
        <v>32.081632653061227</v>
      </c>
      <c r="M947" s="38">
        <v>88</v>
      </c>
      <c r="N947" s="50">
        <f t="shared" si="46"/>
        <v>7.1836734693877551</v>
      </c>
      <c r="O947" s="38">
        <v>0</v>
      </c>
      <c r="P947" s="38">
        <v>0</v>
      </c>
    </row>
    <row r="948" spans="1:31" x14ac:dyDescent="0.25">
      <c r="A948" s="38" t="s">
        <v>36</v>
      </c>
      <c r="B948" s="38" t="s">
        <v>1727</v>
      </c>
      <c r="C948" s="38" t="s">
        <v>2085</v>
      </c>
      <c r="D948" s="11" t="s">
        <v>2094</v>
      </c>
      <c r="E948" s="38" t="s">
        <v>2095</v>
      </c>
      <c r="F948" s="38">
        <v>398.99</v>
      </c>
      <c r="G948" s="38">
        <v>398.99</v>
      </c>
      <c r="H948" s="38">
        <f t="shared" si="44"/>
        <v>487</v>
      </c>
      <c r="I948" s="38">
        <v>322</v>
      </c>
      <c r="J948" s="38">
        <v>165</v>
      </c>
      <c r="K948" s="38">
        <v>157</v>
      </c>
      <c r="L948" s="50">
        <f t="shared" si="45"/>
        <v>32.238193018480494</v>
      </c>
      <c r="M948" s="38">
        <v>20</v>
      </c>
      <c r="N948" s="50">
        <f t="shared" si="46"/>
        <v>4.1067761806981515</v>
      </c>
      <c r="O948" s="38">
        <v>0</v>
      </c>
      <c r="P948" s="38">
        <v>0</v>
      </c>
    </row>
    <row r="949" spans="1:31" x14ac:dyDescent="0.25">
      <c r="A949" s="38" t="s">
        <v>36</v>
      </c>
      <c r="B949" s="38" t="s">
        <v>1727</v>
      </c>
      <c r="C949" s="38" t="s">
        <v>2085</v>
      </c>
      <c r="D949" s="11" t="s">
        <v>2096</v>
      </c>
      <c r="E949" s="38" t="s">
        <v>2097</v>
      </c>
      <c r="F949" s="38">
        <v>456</v>
      </c>
      <c r="G949" s="38">
        <v>456</v>
      </c>
      <c r="H949" s="38">
        <f t="shared" si="44"/>
        <v>590</v>
      </c>
      <c r="I949" s="38">
        <v>388</v>
      </c>
      <c r="J949" s="38">
        <v>202</v>
      </c>
      <c r="K949" s="38">
        <v>186</v>
      </c>
      <c r="L949" s="50">
        <f t="shared" si="45"/>
        <v>31.525423728813561</v>
      </c>
      <c r="M949" s="38">
        <v>0</v>
      </c>
      <c r="N949" s="50">
        <f t="shared" si="46"/>
        <v>0</v>
      </c>
      <c r="O949" s="38">
        <v>0</v>
      </c>
      <c r="P949" s="38">
        <v>0</v>
      </c>
    </row>
    <row r="950" spans="1:31" x14ac:dyDescent="0.25">
      <c r="A950" s="38" t="s">
        <v>36</v>
      </c>
      <c r="B950" s="38" t="s">
        <v>1727</v>
      </c>
      <c r="C950" s="38" t="s">
        <v>2085</v>
      </c>
      <c r="D950" s="11" t="s">
        <v>2098</v>
      </c>
      <c r="E950" s="38" t="s">
        <v>2099</v>
      </c>
      <c r="F950" s="38">
        <v>469</v>
      </c>
      <c r="G950" s="38">
        <v>469</v>
      </c>
      <c r="H950" s="38">
        <f t="shared" si="44"/>
        <v>449</v>
      </c>
      <c r="I950" s="38">
        <v>294</v>
      </c>
      <c r="J950" s="38">
        <v>155</v>
      </c>
      <c r="K950" s="38">
        <v>139</v>
      </c>
      <c r="L950" s="50">
        <f t="shared" si="45"/>
        <v>30.957683741648108</v>
      </c>
      <c r="M950" s="38">
        <v>0</v>
      </c>
      <c r="N950" s="50">
        <f t="shared" si="46"/>
        <v>0</v>
      </c>
      <c r="O950" s="38">
        <v>0</v>
      </c>
      <c r="P950" s="38">
        <v>10</v>
      </c>
    </row>
    <row r="951" spans="1:31" x14ac:dyDescent="0.25">
      <c r="A951" s="38" t="s">
        <v>36</v>
      </c>
      <c r="B951" s="38" t="s">
        <v>1727</v>
      </c>
      <c r="C951" s="38" t="s">
        <v>2100</v>
      </c>
      <c r="D951" s="11" t="s">
        <v>2101</v>
      </c>
      <c r="E951" s="38" t="s">
        <v>2102</v>
      </c>
      <c r="F951" s="38">
        <v>2524</v>
      </c>
      <c r="G951" s="38">
        <v>2524</v>
      </c>
      <c r="H951" s="38">
        <f t="shared" si="44"/>
        <v>3396</v>
      </c>
      <c r="I951" s="38">
        <v>2218</v>
      </c>
      <c r="J951" s="38">
        <v>1178</v>
      </c>
      <c r="K951" s="38">
        <v>1040</v>
      </c>
      <c r="L951" s="50">
        <f t="shared" si="45"/>
        <v>30.624263839811544</v>
      </c>
      <c r="M951" s="38">
        <v>390</v>
      </c>
      <c r="N951" s="50">
        <f t="shared" si="46"/>
        <v>11.484098939929329</v>
      </c>
      <c r="O951" s="38">
        <v>0</v>
      </c>
      <c r="P951" s="38">
        <v>103</v>
      </c>
    </row>
    <row r="952" spans="1:31" x14ac:dyDescent="0.25">
      <c r="A952" s="38" t="s">
        <v>36</v>
      </c>
      <c r="B952" s="38" t="s">
        <v>1727</v>
      </c>
      <c r="C952" s="38" t="s">
        <v>2100</v>
      </c>
      <c r="D952" s="11" t="s">
        <v>2103</v>
      </c>
      <c r="E952" s="38" t="s">
        <v>2104</v>
      </c>
      <c r="F952" s="38">
        <v>702</v>
      </c>
      <c r="G952" s="38">
        <v>702</v>
      </c>
      <c r="H952" s="38">
        <f t="shared" si="44"/>
        <v>1309</v>
      </c>
      <c r="I952" s="38">
        <v>855</v>
      </c>
      <c r="J952" s="38">
        <v>454</v>
      </c>
      <c r="K952" s="38">
        <v>401</v>
      </c>
      <c r="L952" s="50">
        <f t="shared" si="45"/>
        <v>30.634071810542402</v>
      </c>
      <c r="M952" s="38">
        <v>32</v>
      </c>
      <c r="N952" s="50">
        <f t="shared" si="46"/>
        <v>2.4446142093200915</v>
      </c>
      <c r="O952" s="38">
        <v>0</v>
      </c>
      <c r="P952" s="38">
        <v>25</v>
      </c>
    </row>
    <row r="953" spans="1:31" x14ac:dyDescent="0.25">
      <c r="A953" s="38" t="s">
        <v>36</v>
      </c>
      <c r="B953" s="38" t="s">
        <v>1727</v>
      </c>
      <c r="C953" s="38" t="s">
        <v>2100</v>
      </c>
      <c r="D953" s="11" t="s">
        <v>2105</v>
      </c>
      <c r="E953" s="38" t="s">
        <v>2106</v>
      </c>
      <c r="F953" s="38">
        <v>1240</v>
      </c>
      <c r="G953" s="38">
        <v>1240</v>
      </c>
      <c r="H953" s="38">
        <f t="shared" si="44"/>
        <v>1125</v>
      </c>
      <c r="I953" s="38">
        <v>722</v>
      </c>
      <c r="J953" s="38">
        <v>403</v>
      </c>
      <c r="K953" s="38">
        <v>319</v>
      </c>
      <c r="L953" s="50">
        <f t="shared" si="45"/>
        <v>28.355555555555554</v>
      </c>
      <c r="M953" s="38">
        <v>50</v>
      </c>
      <c r="N953" s="50">
        <f t="shared" si="46"/>
        <v>4.4444444444444446</v>
      </c>
      <c r="O953" s="38">
        <v>0</v>
      </c>
      <c r="P953" s="38">
        <v>0</v>
      </c>
    </row>
    <row r="954" spans="1:31" x14ac:dyDescent="0.25">
      <c r="A954" s="38" t="s">
        <v>36</v>
      </c>
      <c r="B954" s="38" t="s">
        <v>1727</v>
      </c>
      <c r="C954" s="38" t="s">
        <v>2107</v>
      </c>
      <c r="D954" s="11" t="s">
        <v>2058</v>
      </c>
      <c r="E954" s="38" t="s">
        <v>2108</v>
      </c>
      <c r="F954" s="38">
        <v>448</v>
      </c>
      <c r="G954" s="38">
        <v>448</v>
      </c>
      <c r="H954" s="38">
        <f t="shared" si="44"/>
        <v>989</v>
      </c>
      <c r="I954" s="38">
        <v>645</v>
      </c>
      <c r="J954" s="38">
        <v>344</v>
      </c>
      <c r="K954" s="38">
        <v>301</v>
      </c>
      <c r="L954" s="50">
        <f t="shared" si="45"/>
        <v>30.434782608695656</v>
      </c>
      <c r="M954" s="38">
        <v>9</v>
      </c>
      <c r="N954" s="50">
        <f t="shared" si="46"/>
        <v>0.91001011122345798</v>
      </c>
      <c r="O954" s="38">
        <v>0</v>
      </c>
      <c r="P954" s="38">
        <v>0</v>
      </c>
    </row>
    <row r="955" spans="1:31" x14ac:dyDescent="0.25">
      <c r="A955" s="38" t="s">
        <v>36</v>
      </c>
      <c r="B955" s="38" t="s">
        <v>1727</v>
      </c>
      <c r="C955" s="38" t="s">
        <v>2107</v>
      </c>
      <c r="D955" s="11" t="s">
        <v>2109</v>
      </c>
      <c r="E955" s="38" t="s">
        <v>2110</v>
      </c>
      <c r="F955" s="38">
        <v>824</v>
      </c>
      <c r="G955" s="38">
        <v>824</v>
      </c>
      <c r="H955" s="38">
        <f t="shared" si="44"/>
        <v>1391</v>
      </c>
      <c r="I955" s="38">
        <v>921</v>
      </c>
      <c r="J955" s="38">
        <v>470</v>
      </c>
      <c r="K955" s="38">
        <v>451</v>
      </c>
      <c r="L955" s="50">
        <f t="shared" si="45"/>
        <v>32.422717469446447</v>
      </c>
      <c r="M955" s="38">
        <v>68</v>
      </c>
      <c r="N955" s="50">
        <f t="shared" si="46"/>
        <v>4.8885693745506833</v>
      </c>
      <c r="O955" s="38">
        <v>0</v>
      </c>
      <c r="P955" s="38">
        <v>0</v>
      </c>
    </row>
    <row r="956" spans="1:31" x14ac:dyDescent="0.25">
      <c r="A956" s="38" t="s">
        <v>36</v>
      </c>
      <c r="B956" s="38" t="s">
        <v>1727</v>
      </c>
      <c r="C956" s="38" t="s">
        <v>2107</v>
      </c>
      <c r="D956" s="11" t="s">
        <v>1973</v>
      </c>
      <c r="E956" s="38" t="s">
        <v>2111</v>
      </c>
      <c r="F956" s="38">
        <v>944</v>
      </c>
      <c r="G956" s="38">
        <v>944</v>
      </c>
      <c r="H956" s="38">
        <f t="shared" si="44"/>
        <v>1034</v>
      </c>
      <c r="I956" s="38">
        <v>669</v>
      </c>
      <c r="J956" s="38">
        <v>365</v>
      </c>
      <c r="K956" s="38">
        <v>304</v>
      </c>
      <c r="L956" s="50">
        <f t="shared" si="45"/>
        <v>29.40038684719536</v>
      </c>
      <c r="M956" s="38">
        <v>100</v>
      </c>
      <c r="N956" s="50">
        <f t="shared" si="46"/>
        <v>9.6711798839458414</v>
      </c>
      <c r="O956" s="38">
        <v>0</v>
      </c>
      <c r="P956" s="38">
        <v>44</v>
      </c>
    </row>
    <row r="957" spans="1:31" x14ac:dyDescent="0.25">
      <c r="A957" s="38" t="s">
        <v>36</v>
      </c>
      <c r="B957" s="38" t="s">
        <v>1727</v>
      </c>
      <c r="C957" s="38" t="s">
        <v>2107</v>
      </c>
      <c r="D957" s="11" t="s">
        <v>2016</v>
      </c>
      <c r="E957" s="38" t="s">
        <v>2112</v>
      </c>
      <c r="F957" s="38">
        <v>555</v>
      </c>
      <c r="G957" s="38">
        <v>555</v>
      </c>
      <c r="H957" s="38">
        <f t="shared" si="44"/>
        <v>270</v>
      </c>
      <c r="I957" s="38">
        <v>175</v>
      </c>
      <c r="J957" s="38">
        <v>95</v>
      </c>
      <c r="K957" s="38">
        <v>80</v>
      </c>
      <c r="L957" s="50">
        <f t="shared" si="45"/>
        <v>29.629629629629626</v>
      </c>
      <c r="M957" s="38">
        <v>0</v>
      </c>
      <c r="N957" s="50">
        <f t="shared" si="46"/>
        <v>0</v>
      </c>
      <c r="O957" s="38">
        <v>0</v>
      </c>
      <c r="P957" s="38">
        <v>0</v>
      </c>
    </row>
    <row r="958" spans="1:31" x14ac:dyDescent="0.25">
      <c r="A958" s="38" t="s">
        <v>36</v>
      </c>
      <c r="B958" s="38" t="s">
        <v>1727</v>
      </c>
      <c r="C958" s="38" t="s">
        <v>2107</v>
      </c>
      <c r="D958" s="11" t="s">
        <v>1743</v>
      </c>
      <c r="E958" s="38" t="s">
        <v>2113</v>
      </c>
      <c r="F958" s="38">
        <v>425</v>
      </c>
      <c r="G958" s="38">
        <v>425</v>
      </c>
      <c r="H958" s="38">
        <f t="shared" si="44"/>
        <v>896</v>
      </c>
      <c r="I958" s="38">
        <v>575</v>
      </c>
      <c r="J958" s="38">
        <v>321</v>
      </c>
      <c r="K958" s="38">
        <v>254</v>
      </c>
      <c r="L958" s="50">
        <f t="shared" si="45"/>
        <v>28.348214285714285</v>
      </c>
      <c r="M958" s="38">
        <v>0</v>
      </c>
      <c r="N958" s="50">
        <f t="shared" si="46"/>
        <v>0</v>
      </c>
      <c r="O958" s="38">
        <v>0</v>
      </c>
      <c r="P958" s="38">
        <v>0</v>
      </c>
    </row>
    <row r="959" spans="1:31" x14ac:dyDescent="0.25">
      <c r="A959" s="38" t="s">
        <v>36</v>
      </c>
      <c r="B959" s="38" t="s">
        <v>1727</v>
      </c>
      <c r="C959" s="33" t="s">
        <v>2114</v>
      </c>
      <c r="D959" s="33" t="s">
        <v>2114</v>
      </c>
      <c r="E959" s="38" t="s">
        <v>2115</v>
      </c>
      <c r="F959" s="38">
        <v>2497</v>
      </c>
      <c r="G959" s="38">
        <v>2497</v>
      </c>
      <c r="H959" s="38">
        <f t="shared" si="44"/>
        <v>2896</v>
      </c>
      <c r="I959" s="38">
        <v>1896</v>
      </c>
      <c r="J959" s="38">
        <v>1000</v>
      </c>
      <c r="K959" s="38">
        <v>896</v>
      </c>
      <c r="L959" s="50">
        <f t="shared" si="45"/>
        <v>30.939226519337016</v>
      </c>
      <c r="M959" s="38">
        <v>87</v>
      </c>
      <c r="N959" s="50">
        <f t="shared" si="46"/>
        <v>3.0041436464088398</v>
      </c>
      <c r="O959" s="38">
        <v>0</v>
      </c>
      <c r="P959" s="38">
        <v>116</v>
      </c>
      <c r="Q959" s="158" t="s">
        <v>44</v>
      </c>
      <c r="R959" s="15" t="s">
        <v>2116</v>
      </c>
      <c r="S959" s="160"/>
      <c r="T959" s="158">
        <v>148.25</v>
      </c>
      <c r="U959" s="158"/>
      <c r="V959" s="158"/>
      <c r="W959" s="158"/>
      <c r="X959" s="158"/>
      <c r="Y959" s="158"/>
      <c r="Z959" s="16"/>
      <c r="AB959" s="161">
        <v>16</v>
      </c>
      <c r="AC959" s="33" t="s">
        <v>2114</v>
      </c>
      <c r="AD959" s="161">
        <v>25.344158</v>
      </c>
      <c r="AE959" s="160">
        <v>71.465541999999999</v>
      </c>
    </row>
    <row r="960" spans="1:31" x14ac:dyDescent="0.25">
      <c r="A960" s="38" t="s">
        <v>36</v>
      </c>
      <c r="B960" s="38" t="s">
        <v>1727</v>
      </c>
      <c r="C960" s="33" t="s">
        <v>2114</v>
      </c>
      <c r="D960" s="33" t="s">
        <v>2117</v>
      </c>
      <c r="E960" s="38" t="s">
        <v>2118</v>
      </c>
      <c r="F960" s="38">
        <v>445</v>
      </c>
      <c r="G960" s="38">
        <v>445</v>
      </c>
      <c r="H960" s="38">
        <f t="shared" si="44"/>
        <v>291</v>
      </c>
      <c r="I960" s="38">
        <v>189</v>
      </c>
      <c r="J960" s="38">
        <v>102</v>
      </c>
      <c r="K960" s="38">
        <v>87</v>
      </c>
      <c r="L960" s="50">
        <f t="shared" si="45"/>
        <v>29.896907216494846</v>
      </c>
      <c r="M960" s="38">
        <v>26</v>
      </c>
      <c r="N960" s="50">
        <f t="shared" si="46"/>
        <v>8.934707903780069</v>
      </c>
      <c r="O960" s="38">
        <v>0</v>
      </c>
      <c r="P960" s="38">
        <v>0</v>
      </c>
      <c r="Q960" s="158" t="s">
        <v>44</v>
      </c>
      <c r="R960" s="15" t="s">
        <v>2116</v>
      </c>
      <c r="S960" s="160"/>
      <c r="T960" s="158">
        <v>1.1088</v>
      </c>
      <c r="U960" s="158"/>
      <c r="V960" s="158"/>
      <c r="W960" s="158"/>
      <c r="X960" s="158"/>
      <c r="Y960" s="158"/>
      <c r="Z960" s="16"/>
      <c r="AB960" s="161"/>
      <c r="AC960" s="33" t="s">
        <v>2117</v>
      </c>
      <c r="AD960" s="161"/>
      <c r="AE960" s="160"/>
    </row>
    <row r="961" spans="1:31" x14ac:dyDescent="0.25">
      <c r="A961" s="38" t="s">
        <v>36</v>
      </c>
      <c r="B961" s="38" t="s">
        <v>1727</v>
      </c>
      <c r="C961" s="33" t="s">
        <v>2114</v>
      </c>
      <c r="D961" s="33" t="s">
        <v>2119</v>
      </c>
      <c r="E961" s="38" t="s">
        <v>2120</v>
      </c>
      <c r="F961" s="38">
        <v>429</v>
      </c>
      <c r="G961" s="38">
        <v>429</v>
      </c>
      <c r="H961" s="38">
        <f t="shared" si="44"/>
        <v>542</v>
      </c>
      <c r="I961" s="38">
        <v>354</v>
      </c>
      <c r="J961" s="38">
        <v>188</v>
      </c>
      <c r="K961" s="38">
        <v>166</v>
      </c>
      <c r="L961" s="50">
        <f t="shared" si="45"/>
        <v>30.627306273062732</v>
      </c>
      <c r="M961" s="38">
        <v>148</v>
      </c>
      <c r="N961" s="50">
        <f t="shared" si="46"/>
        <v>27.306273062730629</v>
      </c>
      <c r="O961" s="38">
        <v>0</v>
      </c>
      <c r="P961" s="38">
        <v>0</v>
      </c>
      <c r="Q961" s="158" t="s">
        <v>44</v>
      </c>
      <c r="R961" s="15" t="s">
        <v>2116</v>
      </c>
      <c r="S961" s="160"/>
      <c r="T961" s="158">
        <v>0.8</v>
      </c>
      <c r="U961" s="158"/>
      <c r="V961" s="158"/>
      <c r="W961" s="158"/>
      <c r="X961" s="158"/>
      <c r="Y961" s="158"/>
      <c r="Z961" s="16"/>
      <c r="AB961" s="161"/>
      <c r="AC961" s="33" t="s">
        <v>2119</v>
      </c>
      <c r="AD961" s="161"/>
      <c r="AE961" s="160"/>
    </row>
    <row r="962" spans="1:31" x14ac:dyDescent="0.25">
      <c r="A962" s="38" t="s">
        <v>36</v>
      </c>
      <c r="B962" s="38" t="s">
        <v>1727</v>
      </c>
      <c r="C962" s="33" t="s">
        <v>2114</v>
      </c>
      <c r="D962" s="33" t="s">
        <v>2121</v>
      </c>
      <c r="E962" s="38" t="s">
        <v>2122</v>
      </c>
      <c r="F962" s="38">
        <v>1526</v>
      </c>
      <c r="G962" s="38">
        <v>1526</v>
      </c>
      <c r="H962" s="38">
        <f t="shared" si="44"/>
        <v>1325</v>
      </c>
      <c r="I962" s="38">
        <v>869</v>
      </c>
      <c r="J962" s="38">
        <v>456</v>
      </c>
      <c r="K962" s="38">
        <v>413</v>
      </c>
      <c r="L962" s="50">
        <f t="shared" si="45"/>
        <v>31.169811320754715</v>
      </c>
      <c r="M962" s="38">
        <v>8</v>
      </c>
      <c r="N962" s="50">
        <f t="shared" si="46"/>
        <v>0.60377358490566035</v>
      </c>
      <c r="O962" s="38">
        <v>0</v>
      </c>
      <c r="P962" s="38">
        <v>75</v>
      </c>
      <c r="Q962" s="158" t="s">
        <v>44</v>
      </c>
      <c r="R962" s="15" t="s">
        <v>2116</v>
      </c>
      <c r="S962" s="160"/>
      <c r="T962" s="158">
        <v>72</v>
      </c>
      <c r="U962" s="158"/>
      <c r="V962" s="158"/>
      <c r="W962" s="158"/>
      <c r="X962" s="158"/>
      <c r="Y962" s="158"/>
      <c r="Z962" s="16"/>
      <c r="AB962" s="161"/>
      <c r="AC962" s="33" t="s">
        <v>2121</v>
      </c>
      <c r="AD962" s="161"/>
      <c r="AE962" s="160"/>
    </row>
    <row r="963" spans="1:31" x14ac:dyDescent="0.25">
      <c r="A963" s="38" t="s">
        <v>36</v>
      </c>
      <c r="B963" s="38" t="s">
        <v>1727</v>
      </c>
      <c r="C963" s="33" t="s">
        <v>2114</v>
      </c>
      <c r="D963" s="33" t="s">
        <v>2123</v>
      </c>
      <c r="E963" s="38" t="s">
        <v>2124</v>
      </c>
      <c r="F963" s="38">
        <v>1700</v>
      </c>
      <c r="G963" s="38">
        <v>1700</v>
      </c>
      <c r="H963" s="38">
        <f t="shared" si="44"/>
        <v>1932</v>
      </c>
      <c r="I963" s="38">
        <v>1241</v>
      </c>
      <c r="J963" s="38">
        <v>691</v>
      </c>
      <c r="K963" s="38">
        <v>550</v>
      </c>
      <c r="L963" s="50">
        <f t="shared" si="45"/>
        <v>28.467908902691512</v>
      </c>
      <c r="M963" s="38">
        <v>275</v>
      </c>
      <c r="N963" s="50">
        <f t="shared" si="46"/>
        <v>14.233954451345756</v>
      </c>
      <c r="O963" s="38">
        <v>70</v>
      </c>
      <c r="P963" s="38">
        <v>119</v>
      </c>
      <c r="Q963" s="158" t="s">
        <v>44</v>
      </c>
      <c r="R963" s="15" t="s">
        <v>2116</v>
      </c>
      <c r="S963" s="160"/>
      <c r="T963" s="158">
        <v>184.53</v>
      </c>
      <c r="U963" s="158"/>
      <c r="V963" s="158"/>
      <c r="W963" s="158"/>
      <c r="X963" s="158"/>
      <c r="Y963" s="158"/>
      <c r="Z963" s="16"/>
      <c r="AB963" s="161"/>
      <c r="AC963" s="33" t="s">
        <v>2123</v>
      </c>
      <c r="AD963" s="161"/>
      <c r="AE963" s="160"/>
    </row>
    <row r="964" spans="1:31" x14ac:dyDescent="0.25">
      <c r="A964" s="38" t="s">
        <v>36</v>
      </c>
      <c r="B964" s="38" t="s">
        <v>1727</v>
      </c>
      <c r="C964" s="15" t="s">
        <v>2125</v>
      </c>
      <c r="D964" s="74" t="s">
        <v>2126</v>
      </c>
      <c r="E964" s="38"/>
      <c r="F964" s="38"/>
      <c r="G964" s="38"/>
      <c r="H964" s="38">
        <f t="shared" si="44"/>
        <v>0</v>
      </c>
      <c r="I964" s="38"/>
      <c r="J964" s="38"/>
      <c r="K964" s="38"/>
      <c r="L964" s="50"/>
      <c r="M964" s="38"/>
      <c r="N964" s="50"/>
      <c r="O964" s="38"/>
      <c r="P964" s="38"/>
      <c r="Q964" s="35" t="s">
        <v>43</v>
      </c>
      <c r="R964" s="100">
        <v>44239</v>
      </c>
      <c r="S964" s="35"/>
      <c r="T964" s="35">
        <v>5</v>
      </c>
      <c r="U964" s="35"/>
      <c r="V964" s="35"/>
      <c r="W964" s="35"/>
      <c r="X964" s="35"/>
      <c r="Y964" s="35"/>
      <c r="Z964" s="87"/>
      <c r="AB964" s="87"/>
      <c r="AC964" s="35" t="s">
        <v>2127</v>
      </c>
      <c r="AD964" s="35">
        <v>25.430592000000001</v>
      </c>
      <c r="AE964" s="35">
        <v>71.329076000000001</v>
      </c>
    </row>
    <row r="965" spans="1:31" x14ac:dyDescent="0.25">
      <c r="A965" s="38" t="s">
        <v>36</v>
      </c>
      <c r="B965" s="38" t="s">
        <v>1727</v>
      </c>
      <c r="C965" s="15" t="s">
        <v>2125</v>
      </c>
      <c r="D965" s="33" t="s">
        <v>2126</v>
      </c>
      <c r="E965" s="38"/>
      <c r="F965" s="38"/>
      <c r="G965" s="38"/>
      <c r="H965" s="38">
        <f t="shared" ref="H965:H1028" si="47">I965+J965</f>
        <v>0</v>
      </c>
      <c r="I965" s="38"/>
      <c r="J965" s="38"/>
      <c r="K965" s="38"/>
      <c r="L965" s="50"/>
      <c r="M965" s="38"/>
      <c r="N965" s="50"/>
      <c r="O965" s="38"/>
      <c r="P965" s="38"/>
      <c r="Q965" s="96" t="s">
        <v>160</v>
      </c>
      <c r="R965" s="14">
        <v>45180</v>
      </c>
      <c r="S965" s="97"/>
      <c r="T965" s="96">
        <v>0</v>
      </c>
      <c r="U965" s="96"/>
      <c r="V965" s="96"/>
      <c r="W965" s="96"/>
      <c r="X965" s="96"/>
      <c r="Y965" s="96"/>
      <c r="Z965" s="85"/>
      <c r="AB965" s="85"/>
      <c r="AC965" s="33" t="s">
        <v>2126</v>
      </c>
      <c r="AD965" s="36"/>
      <c r="AE965" s="97"/>
    </row>
    <row r="966" spans="1:31" x14ac:dyDescent="0.25">
      <c r="A966" s="38" t="s">
        <v>36</v>
      </c>
      <c r="B966" s="38" t="s">
        <v>1727</v>
      </c>
      <c r="C966" s="15" t="s">
        <v>2125</v>
      </c>
      <c r="D966" s="33" t="s">
        <v>2128</v>
      </c>
      <c r="E966" s="38"/>
      <c r="F966" s="38"/>
      <c r="G966" s="38"/>
      <c r="H966" s="38">
        <f t="shared" si="47"/>
        <v>0</v>
      </c>
      <c r="I966" s="38"/>
      <c r="J966" s="38"/>
      <c r="K966" s="38"/>
      <c r="L966" s="50"/>
      <c r="M966" s="38"/>
      <c r="N966" s="50"/>
      <c r="O966" s="38"/>
      <c r="P966" s="38"/>
      <c r="Q966" s="96" t="s">
        <v>160</v>
      </c>
      <c r="R966" s="14">
        <v>45180</v>
      </c>
      <c r="S966" s="97"/>
      <c r="T966" s="96">
        <v>0</v>
      </c>
      <c r="U966" s="96"/>
      <c r="V966" s="96"/>
      <c r="W966" s="96"/>
      <c r="X966" s="96"/>
      <c r="Y966" s="96"/>
      <c r="Z966" s="85"/>
      <c r="AB966" s="85"/>
      <c r="AC966" s="33" t="s">
        <v>2128</v>
      </c>
      <c r="AD966" s="36"/>
      <c r="AE966" s="97"/>
    </row>
    <row r="967" spans="1:31" x14ac:dyDescent="0.25">
      <c r="A967" s="38" t="s">
        <v>36</v>
      </c>
      <c r="B967" s="38" t="s">
        <v>1727</v>
      </c>
      <c r="C967" s="38" t="s">
        <v>2129</v>
      </c>
      <c r="D967" s="166" t="s">
        <v>2130</v>
      </c>
      <c r="E967" s="38" t="s">
        <v>2131</v>
      </c>
      <c r="F967" s="38">
        <v>1338.54</v>
      </c>
      <c r="G967" s="38">
        <v>1338.54</v>
      </c>
      <c r="H967" s="38">
        <f t="shared" si="47"/>
        <v>3811</v>
      </c>
      <c r="I967" s="38">
        <v>2490</v>
      </c>
      <c r="J967" s="38">
        <v>1321</v>
      </c>
      <c r="K967" s="38">
        <v>1169</v>
      </c>
      <c r="L967" s="50">
        <f t="shared" ref="L967:L1029" si="48">K967/H967*100</f>
        <v>30.674363684072421</v>
      </c>
      <c r="M967" s="38">
        <v>179</v>
      </c>
      <c r="N967" s="50">
        <f t="shared" si="46"/>
        <v>4.6969299396483866</v>
      </c>
      <c r="O967" s="38">
        <v>0</v>
      </c>
      <c r="P967" s="38">
        <v>0</v>
      </c>
      <c r="Q967" s="72" t="s">
        <v>43</v>
      </c>
      <c r="R967" s="167">
        <v>44540</v>
      </c>
      <c r="S967" s="72"/>
      <c r="T967" s="72">
        <v>6</v>
      </c>
      <c r="U967" s="72"/>
      <c r="V967" s="72"/>
      <c r="W967" s="72"/>
      <c r="X967" s="72"/>
      <c r="Y967" s="72"/>
      <c r="Z967" s="168"/>
      <c r="AB967" s="168"/>
      <c r="AC967" s="72" t="s">
        <v>2132</v>
      </c>
      <c r="AD967" s="72">
        <v>25.571932</v>
      </c>
      <c r="AE967" s="72">
        <v>71.246606</v>
      </c>
    </row>
    <row r="968" spans="1:31" x14ac:dyDescent="0.25">
      <c r="A968" s="38" t="s">
        <v>36</v>
      </c>
      <c r="B968" s="38" t="s">
        <v>1727</v>
      </c>
      <c r="C968" s="38" t="s">
        <v>2129</v>
      </c>
      <c r="D968" s="11" t="s">
        <v>2133</v>
      </c>
      <c r="E968" s="38" t="s">
        <v>2134</v>
      </c>
      <c r="F968" s="38">
        <v>1027.3800000000001</v>
      </c>
      <c r="G968" s="38">
        <v>1027.3800000000001</v>
      </c>
      <c r="H968" s="38">
        <f t="shared" si="47"/>
        <v>1233</v>
      </c>
      <c r="I968" s="38">
        <v>792</v>
      </c>
      <c r="J968" s="38">
        <v>441</v>
      </c>
      <c r="K968" s="38">
        <v>351</v>
      </c>
      <c r="L968" s="50">
        <f t="shared" si="48"/>
        <v>28.467153284671532</v>
      </c>
      <c r="M968" s="38">
        <v>0</v>
      </c>
      <c r="N968" s="50">
        <f t="shared" si="46"/>
        <v>0</v>
      </c>
      <c r="O968" s="38">
        <v>0</v>
      </c>
      <c r="P968" s="38">
        <v>0</v>
      </c>
    </row>
    <row r="969" spans="1:31" x14ac:dyDescent="0.25">
      <c r="A969" s="38" t="s">
        <v>36</v>
      </c>
      <c r="B969" s="38" t="s">
        <v>1727</v>
      </c>
      <c r="C969" s="38" t="s">
        <v>2129</v>
      </c>
      <c r="D969" s="11" t="s">
        <v>2135</v>
      </c>
      <c r="E969" s="38" t="s">
        <v>2136</v>
      </c>
      <c r="F969" s="38">
        <v>637.02</v>
      </c>
      <c r="G969" s="38">
        <v>637.02</v>
      </c>
      <c r="H969" s="38">
        <f t="shared" si="47"/>
        <v>1138</v>
      </c>
      <c r="I969" s="38">
        <v>724</v>
      </c>
      <c r="J969" s="38">
        <v>414</v>
      </c>
      <c r="K969" s="38">
        <v>310</v>
      </c>
      <c r="L969" s="50">
        <f t="shared" si="48"/>
        <v>27.240773286467483</v>
      </c>
      <c r="M969" s="38">
        <v>5</v>
      </c>
      <c r="N969" s="50">
        <f t="shared" si="46"/>
        <v>0.43936731107205629</v>
      </c>
      <c r="O969" s="38">
        <v>0</v>
      </c>
      <c r="P969" s="38">
        <v>10.039999999999999</v>
      </c>
      <c r="AC969" s="117"/>
      <c r="AD969" s="121"/>
    </row>
    <row r="970" spans="1:31" x14ac:dyDescent="0.25">
      <c r="A970" s="38" t="s">
        <v>36</v>
      </c>
      <c r="B970" s="38" t="s">
        <v>1727</v>
      </c>
      <c r="C970" s="38" t="s">
        <v>2129</v>
      </c>
      <c r="D970" s="11" t="s">
        <v>2137</v>
      </c>
      <c r="E970" s="38" t="s">
        <v>2138</v>
      </c>
      <c r="F970" s="38">
        <v>919.72</v>
      </c>
      <c r="G970" s="38">
        <v>919.72</v>
      </c>
      <c r="H970" s="38">
        <f t="shared" si="47"/>
        <v>1030</v>
      </c>
      <c r="I970" s="38">
        <v>670</v>
      </c>
      <c r="J970" s="38">
        <v>360</v>
      </c>
      <c r="K970" s="38">
        <v>310</v>
      </c>
      <c r="L970" s="50">
        <f t="shared" si="48"/>
        <v>30.097087378640776</v>
      </c>
      <c r="M970" s="38">
        <v>84</v>
      </c>
      <c r="N970" s="50">
        <f t="shared" si="46"/>
        <v>8.1553398058252426</v>
      </c>
      <c r="O970" s="38">
        <v>0</v>
      </c>
      <c r="P970" s="38">
        <v>0</v>
      </c>
    </row>
    <row r="971" spans="1:31" x14ac:dyDescent="0.25">
      <c r="A971" s="38" t="s">
        <v>36</v>
      </c>
      <c r="B971" s="38" t="s">
        <v>1727</v>
      </c>
      <c r="C971" s="38" t="s">
        <v>2129</v>
      </c>
      <c r="D971" s="11" t="s">
        <v>2139</v>
      </c>
      <c r="E971" s="38" t="s">
        <v>2140</v>
      </c>
      <c r="F971" s="38">
        <v>2372.23</v>
      </c>
      <c r="G971" s="38">
        <v>2372.23</v>
      </c>
      <c r="H971" s="38">
        <f t="shared" si="47"/>
        <v>1570</v>
      </c>
      <c r="I971" s="38">
        <v>1027</v>
      </c>
      <c r="J971" s="38">
        <v>543</v>
      </c>
      <c r="K971" s="38">
        <v>484</v>
      </c>
      <c r="L971" s="50">
        <f t="shared" si="48"/>
        <v>30.828025477707005</v>
      </c>
      <c r="M971" s="38">
        <v>0</v>
      </c>
      <c r="N971" s="50">
        <f t="shared" si="46"/>
        <v>0</v>
      </c>
      <c r="O971" s="38">
        <v>379.43</v>
      </c>
      <c r="P971" s="38">
        <v>1019.49</v>
      </c>
      <c r="AC971" s="117"/>
      <c r="AD971" s="121"/>
    </row>
    <row r="972" spans="1:31" x14ac:dyDescent="0.25">
      <c r="A972" s="38" t="s">
        <v>36</v>
      </c>
      <c r="B972" s="33" t="s">
        <v>1727</v>
      </c>
      <c r="C972" s="33" t="s">
        <v>2141</v>
      </c>
      <c r="D972" s="165" t="s">
        <v>2142</v>
      </c>
      <c r="E972" s="33" t="s">
        <v>2143</v>
      </c>
      <c r="F972" s="38">
        <v>1239</v>
      </c>
      <c r="G972" s="38">
        <v>1239</v>
      </c>
      <c r="H972" s="38">
        <f t="shared" si="47"/>
        <v>2575</v>
      </c>
      <c r="I972" s="38">
        <v>1678</v>
      </c>
      <c r="J972" s="38">
        <v>897</v>
      </c>
      <c r="K972" s="38">
        <v>781</v>
      </c>
      <c r="L972" s="50">
        <f t="shared" si="48"/>
        <v>30.330097087378643</v>
      </c>
      <c r="M972" s="38">
        <v>168</v>
      </c>
      <c r="N972" s="50">
        <f t="shared" si="46"/>
        <v>6.5242718446601939</v>
      </c>
      <c r="O972" s="33">
        <v>0</v>
      </c>
      <c r="P972" s="33">
        <v>66</v>
      </c>
      <c r="Q972" s="169" t="s">
        <v>44</v>
      </c>
      <c r="R972" s="170">
        <v>44546</v>
      </c>
      <c r="S972" s="171"/>
      <c r="T972" s="169">
        <v>24.572500000000002</v>
      </c>
      <c r="U972" s="169"/>
      <c r="V972" s="169"/>
      <c r="W972" s="169"/>
      <c r="X972" s="169"/>
      <c r="Y972" s="169"/>
      <c r="Z972" s="172"/>
      <c r="AB972" s="172">
        <v>24.572500000000002</v>
      </c>
      <c r="AC972" s="165" t="s">
        <v>2142</v>
      </c>
      <c r="AD972" s="171">
        <v>25.556075</v>
      </c>
      <c r="AE972" s="171">
        <v>71.112089999999995</v>
      </c>
    </row>
    <row r="973" spans="1:31" x14ac:dyDescent="0.25">
      <c r="A973" s="38" t="s">
        <v>36</v>
      </c>
      <c r="B973" s="38" t="s">
        <v>1727</v>
      </c>
      <c r="C973" s="38" t="s">
        <v>2141</v>
      </c>
      <c r="D973" s="163" t="s">
        <v>2144</v>
      </c>
      <c r="E973" s="38" t="s">
        <v>2143</v>
      </c>
      <c r="F973" s="38">
        <v>1239</v>
      </c>
      <c r="G973" s="38">
        <v>1239</v>
      </c>
      <c r="H973" s="38">
        <f t="shared" si="47"/>
        <v>2575</v>
      </c>
      <c r="I973" s="38">
        <v>1678</v>
      </c>
      <c r="J973" s="38">
        <v>897</v>
      </c>
      <c r="K973" s="38">
        <v>781</v>
      </c>
      <c r="L973" s="50">
        <f t="shared" si="48"/>
        <v>30.330097087378643</v>
      </c>
      <c r="M973" s="38">
        <v>168</v>
      </c>
      <c r="N973" s="50">
        <f t="shared" si="46"/>
        <v>6.5242718446601939</v>
      </c>
      <c r="O973" s="38">
        <v>0</v>
      </c>
      <c r="P973" s="38">
        <v>66</v>
      </c>
      <c r="Q973" s="158" t="s">
        <v>44</v>
      </c>
      <c r="R973" s="159">
        <v>44546</v>
      </c>
      <c r="S973" s="160"/>
      <c r="T973" s="158">
        <v>0</v>
      </c>
      <c r="U973" s="158"/>
      <c r="V973" s="158"/>
      <c r="W973" s="158"/>
      <c r="X973" s="158"/>
      <c r="Y973" s="158"/>
      <c r="Z973" s="16"/>
      <c r="AB973" s="234">
        <v>30.54</v>
      </c>
      <c r="AC973" s="163" t="s">
        <v>2144</v>
      </c>
      <c r="AD973" s="161">
        <v>25.537656900000002</v>
      </c>
      <c r="AE973" s="160">
        <v>71.124721199999996</v>
      </c>
    </row>
    <row r="974" spans="1:31" x14ac:dyDescent="0.25">
      <c r="A974" s="38" t="s">
        <v>36</v>
      </c>
      <c r="B974" s="38" t="s">
        <v>1727</v>
      </c>
      <c r="C974" s="38" t="s">
        <v>2141</v>
      </c>
      <c r="D974" s="11" t="s">
        <v>2145</v>
      </c>
      <c r="E974" s="38" t="s">
        <v>2146</v>
      </c>
      <c r="F974" s="38">
        <v>412</v>
      </c>
      <c r="G974" s="38">
        <v>412</v>
      </c>
      <c r="H974" s="38">
        <f t="shared" si="47"/>
        <v>986</v>
      </c>
      <c r="I974" s="38">
        <v>642</v>
      </c>
      <c r="J974" s="38">
        <v>344</v>
      </c>
      <c r="K974" s="38">
        <v>298</v>
      </c>
      <c r="L974" s="50">
        <f t="shared" si="48"/>
        <v>30.223123732251523</v>
      </c>
      <c r="M974" s="38">
        <v>5</v>
      </c>
      <c r="N974" s="50">
        <f t="shared" si="46"/>
        <v>0.50709939148073024</v>
      </c>
      <c r="O974" s="38">
        <v>0</v>
      </c>
      <c r="P974" s="38">
        <v>31</v>
      </c>
    </row>
    <row r="975" spans="1:31" x14ac:dyDescent="0.25">
      <c r="A975" s="38" t="s">
        <v>36</v>
      </c>
      <c r="B975" s="38" t="s">
        <v>2147</v>
      </c>
      <c r="C975" s="38" t="s">
        <v>2148</v>
      </c>
      <c r="D975" s="38" t="s">
        <v>2149</v>
      </c>
      <c r="E975" s="38" t="s">
        <v>2150</v>
      </c>
      <c r="F975" s="38">
        <v>384</v>
      </c>
      <c r="G975" s="38">
        <v>384</v>
      </c>
      <c r="H975" s="38">
        <f t="shared" si="47"/>
        <v>595</v>
      </c>
      <c r="I975" s="38">
        <v>390</v>
      </c>
      <c r="J975" s="38">
        <v>205</v>
      </c>
      <c r="K975" s="38">
        <v>185</v>
      </c>
      <c r="L975" s="50">
        <f t="shared" si="48"/>
        <v>31.092436974789916</v>
      </c>
      <c r="M975" s="38">
        <v>0</v>
      </c>
      <c r="N975" s="50">
        <f t="shared" si="46"/>
        <v>0</v>
      </c>
      <c r="O975" s="38">
        <v>4</v>
      </c>
      <c r="P975" s="38">
        <v>0</v>
      </c>
    </row>
    <row r="976" spans="1:31" x14ac:dyDescent="0.25">
      <c r="A976" s="38" t="s">
        <v>36</v>
      </c>
      <c r="B976" s="37" t="s">
        <v>2147</v>
      </c>
      <c r="C976" s="37" t="s">
        <v>2148</v>
      </c>
      <c r="D976" s="37" t="s">
        <v>2151</v>
      </c>
      <c r="E976" s="38"/>
      <c r="F976" s="38"/>
      <c r="G976" s="38"/>
      <c r="H976" s="38">
        <f t="shared" si="47"/>
        <v>0</v>
      </c>
      <c r="I976" s="38"/>
      <c r="J976" s="38"/>
      <c r="K976" s="38"/>
      <c r="L976" s="50"/>
      <c r="M976" s="38"/>
      <c r="N976" s="50"/>
      <c r="O976" s="38"/>
      <c r="P976" s="38"/>
      <c r="Q976" s="35" t="s">
        <v>43</v>
      </c>
      <c r="R976" s="100">
        <v>44226</v>
      </c>
      <c r="S976" s="35"/>
      <c r="T976" s="35">
        <v>6.52</v>
      </c>
      <c r="U976" s="35"/>
      <c r="V976" s="35"/>
      <c r="W976" s="35"/>
      <c r="X976" s="35"/>
      <c r="Y976" s="35"/>
      <c r="AB976" s="87"/>
      <c r="AC976" s="35" t="s">
        <v>2152</v>
      </c>
      <c r="AD976" s="35">
        <v>25.342838</v>
      </c>
      <c r="AE976" s="35">
        <v>71.085331999999994</v>
      </c>
    </row>
    <row r="977" spans="1:31" x14ac:dyDescent="0.25">
      <c r="A977" s="38" t="s">
        <v>36</v>
      </c>
      <c r="B977" s="37" t="s">
        <v>2147</v>
      </c>
      <c r="C977" s="37" t="s">
        <v>2148</v>
      </c>
      <c r="D977" s="37" t="s">
        <v>2151</v>
      </c>
      <c r="E977" s="38"/>
      <c r="F977" s="38"/>
      <c r="G977" s="38"/>
      <c r="H977" s="38">
        <f t="shared" si="47"/>
        <v>0</v>
      </c>
      <c r="I977" s="38"/>
      <c r="J977" s="38"/>
      <c r="K977" s="38"/>
      <c r="L977" s="50"/>
      <c r="M977" s="38"/>
      <c r="N977" s="50"/>
      <c r="O977" s="38"/>
      <c r="P977" s="38"/>
      <c r="Q977" s="173"/>
      <c r="R977" s="174">
        <v>44226</v>
      </c>
      <c r="S977" s="173"/>
      <c r="T977" s="173"/>
      <c r="U977" s="173"/>
      <c r="V977" s="173"/>
      <c r="W977" s="173"/>
      <c r="X977" s="173"/>
      <c r="Y977" s="173"/>
      <c r="AB977" s="239">
        <v>18</v>
      </c>
      <c r="AC977" s="173" t="s">
        <v>2153</v>
      </c>
      <c r="AD977" s="173">
        <v>25.342838</v>
      </c>
      <c r="AE977" s="173">
        <v>71.085331999999994</v>
      </c>
    </row>
    <row r="978" spans="1:31" x14ac:dyDescent="0.25">
      <c r="A978" s="38" t="s">
        <v>36</v>
      </c>
      <c r="B978" s="37" t="s">
        <v>2147</v>
      </c>
      <c r="C978" s="37" t="s">
        <v>2148</v>
      </c>
      <c r="D978" s="37" t="s">
        <v>2151</v>
      </c>
      <c r="E978" s="38"/>
      <c r="F978" s="38"/>
      <c r="G978" s="38"/>
      <c r="H978" s="38">
        <f t="shared" si="47"/>
        <v>0</v>
      </c>
      <c r="I978" s="38"/>
      <c r="J978" s="38"/>
      <c r="K978" s="38"/>
      <c r="L978" s="50"/>
      <c r="M978" s="38"/>
      <c r="N978" s="50"/>
      <c r="O978" s="38"/>
      <c r="P978" s="38"/>
      <c r="Q978" s="173"/>
      <c r="R978" s="174">
        <v>44227</v>
      </c>
      <c r="S978" s="173"/>
      <c r="T978" s="173"/>
      <c r="U978" s="173"/>
      <c r="V978" s="173"/>
      <c r="W978" s="173"/>
      <c r="X978" s="173"/>
      <c r="Y978" s="173"/>
      <c r="AB978" s="239">
        <v>17</v>
      </c>
      <c r="AC978" s="173" t="s">
        <v>2154</v>
      </c>
      <c r="AD978" s="173">
        <v>25.352841000000002</v>
      </c>
      <c r="AE978" s="173">
        <v>71.085431</v>
      </c>
    </row>
    <row r="979" spans="1:31" x14ac:dyDescent="0.25">
      <c r="A979" s="38" t="s">
        <v>36</v>
      </c>
      <c r="B979" s="38" t="s">
        <v>2147</v>
      </c>
      <c r="C979" s="38" t="s">
        <v>2148</v>
      </c>
      <c r="D979" s="38" t="s">
        <v>2151</v>
      </c>
      <c r="E979" s="38" t="s">
        <v>2155</v>
      </c>
      <c r="F979" s="38">
        <v>2591</v>
      </c>
      <c r="G979" s="38">
        <v>2591</v>
      </c>
      <c r="H979" s="38">
        <f t="shared" si="47"/>
        <v>6482</v>
      </c>
      <c r="I979" s="38">
        <v>4270</v>
      </c>
      <c r="J979" s="38">
        <v>2212</v>
      </c>
      <c r="K979" s="38">
        <v>2058</v>
      </c>
      <c r="L979" s="50">
        <f t="shared" si="48"/>
        <v>31.749460043196542</v>
      </c>
      <c r="M979" s="38">
        <v>414</v>
      </c>
      <c r="N979" s="50">
        <f t="shared" si="46"/>
        <v>6.3869176180191296</v>
      </c>
      <c r="O979" s="38">
        <v>24</v>
      </c>
      <c r="P979" s="38">
        <v>89</v>
      </c>
      <c r="Q979" s="175" t="s">
        <v>44</v>
      </c>
      <c r="R979" s="12">
        <v>44226</v>
      </c>
      <c r="S979" s="176"/>
      <c r="T979" s="175">
        <v>0</v>
      </c>
      <c r="U979" s="175"/>
      <c r="V979" s="175"/>
      <c r="W979" s="175"/>
      <c r="X979" s="175"/>
      <c r="Y979" s="175"/>
      <c r="AB979" s="240"/>
      <c r="AC979" s="13" t="s">
        <v>2156</v>
      </c>
      <c r="AD979" s="177"/>
      <c r="AE979" s="176"/>
    </row>
    <row r="980" spans="1:31" x14ac:dyDescent="0.25">
      <c r="A980" s="38" t="s">
        <v>36</v>
      </c>
      <c r="B980" s="38" t="s">
        <v>2147</v>
      </c>
      <c r="C980" s="15" t="s">
        <v>2157</v>
      </c>
      <c r="D980" s="15" t="s">
        <v>2157</v>
      </c>
      <c r="E980" s="38"/>
      <c r="F980" s="38"/>
      <c r="G980" s="38"/>
      <c r="H980" s="38">
        <f t="shared" si="47"/>
        <v>0</v>
      </c>
      <c r="I980" s="38"/>
      <c r="J980" s="38"/>
      <c r="K980" s="38"/>
      <c r="L980" s="50"/>
      <c r="M980" s="38"/>
      <c r="N980" s="50"/>
      <c r="O980" s="38"/>
      <c r="P980" s="38"/>
      <c r="Q980" s="36" t="s">
        <v>43</v>
      </c>
      <c r="R980" s="14">
        <v>44571</v>
      </c>
      <c r="S980" s="36"/>
      <c r="T980" s="36">
        <v>0</v>
      </c>
      <c r="U980" s="36"/>
      <c r="V980" s="36"/>
      <c r="W980" s="36"/>
      <c r="X980" s="36"/>
      <c r="Y980" s="36"/>
      <c r="AB980" s="85"/>
      <c r="AC980" s="15" t="s">
        <v>2157</v>
      </c>
      <c r="AD980" s="36">
        <v>0</v>
      </c>
      <c r="AE980" s="36"/>
    </row>
    <row r="981" spans="1:31" x14ac:dyDescent="0.25">
      <c r="A981" s="38" t="s">
        <v>36</v>
      </c>
      <c r="B981" s="38" t="s">
        <v>2147</v>
      </c>
      <c r="C981" s="15" t="s">
        <v>2157</v>
      </c>
      <c r="D981" s="15" t="s">
        <v>2158</v>
      </c>
      <c r="E981" s="38"/>
      <c r="F981" s="38"/>
      <c r="G981" s="38"/>
      <c r="H981" s="38">
        <f t="shared" si="47"/>
        <v>0</v>
      </c>
      <c r="I981" s="38"/>
      <c r="J981" s="38"/>
      <c r="K981" s="38"/>
      <c r="L981" s="50"/>
      <c r="M981" s="38"/>
      <c r="N981" s="50"/>
      <c r="O981" s="38"/>
      <c r="P981" s="38"/>
      <c r="Q981" s="36" t="s">
        <v>43</v>
      </c>
      <c r="R981" s="14">
        <v>44571</v>
      </c>
      <c r="S981" s="36"/>
      <c r="T981" s="36">
        <v>26.230399999999999</v>
      </c>
      <c r="U981" s="36"/>
      <c r="V981" s="36"/>
      <c r="W981" s="36"/>
      <c r="X981" s="36"/>
      <c r="Y981" s="36"/>
      <c r="AB981" s="85"/>
      <c r="AC981" s="15" t="s">
        <v>2158</v>
      </c>
      <c r="AD981" s="36"/>
      <c r="AE981" s="36"/>
    </row>
    <row r="982" spans="1:31" x14ac:dyDescent="0.25">
      <c r="A982" s="38" t="s">
        <v>36</v>
      </c>
      <c r="B982" s="38" t="s">
        <v>2147</v>
      </c>
      <c r="C982" s="15" t="s">
        <v>2157</v>
      </c>
      <c r="D982" s="15" t="s">
        <v>2159</v>
      </c>
      <c r="E982" s="38"/>
      <c r="F982" s="38"/>
      <c r="G982" s="38"/>
      <c r="H982" s="38">
        <f t="shared" si="47"/>
        <v>0</v>
      </c>
      <c r="I982" s="38"/>
      <c r="J982" s="38"/>
      <c r="K982" s="38"/>
      <c r="L982" s="50"/>
      <c r="M982" s="38"/>
      <c r="N982" s="50"/>
      <c r="O982" s="38"/>
      <c r="P982" s="38"/>
      <c r="Q982" s="36" t="s">
        <v>43</v>
      </c>
      <c r="R982" s="14">
        <v>44571</v>
      </c>
      <c r="S982" s="36"/>
      <c r="T982" s="36">
        <v>4.8</v>
      </c>
      <c r="U982" s="36"/>
      <c r="V982" s="36"/>
      <c r="W982" s="36"/>
      <c r="X982" s="36"/>
      <c r="Y982" s="36"/>
      <c r="AB982" s="85"/>
      <c r="AC982" s="15" t="s">
        <v>2159</v>
      </c>
      <c r="AD982" s="36"/>
      <c r="AE982" s="36"/>
    </row>
    <row r="983" spans="1:31" x14ac:dyDescent="0.25">
      <c r="A983" s="38" t="s">
        <v>36</v>
      </c>
      <c r="B983" s="38" t="s">
        <v>2147</v>
      </c>
      <c r="C983" s="38" t="s">
        <v>2160</v>
      </c>
      <c r="D983" s="38" t="s">
        <v>2161</v>
      </c>
      <c r="E983" s="38" t="s">
        <v>2162</v>
      </c>
      <c r="F983" s="38">
        <v>590.59</v>
      </c>
      <c r="G983" s="38">
        <v>590.59</v>
      </c>
      <c r="H983" s="38">
        <f t="shared" si="47"/>
        <v>1066</v>
      </c>
      <c r="I983" s="38">
        <v>714</v>
      </c>
      <c r="J983" s="38">
        <v>352</v>
      </c>
      <c r="K983" s="38">
        <v>362</v>
      </c>
      <c r="L983" s="50">
        <f t="shared" si="48"/>
        <v>33.958724202626641</v>
      </c>
      <c r="M983" s="38">
        <v>5</v>
      </c>
      <c r="N983" s="50">
        <f t="shared" si="46"/>
        <v>0.46904315196998125</v>
      </c>
      <c r="O983" s="38">
        <v>0</v>
      </c>
      <c r="P983" s="38">
        <v>0</v>
      </c>
      <c r="Q983" s="35" t="s">
        <v>43</v>
      </c>
      <c r="R983" s="14">
        <v>44547</v>
      </c>
      <c r="S983" s="35"/>
      <c r="T983" s="35">
        <v>85</v>
      </c>
      <c r="U983" s="35"/>
      <c r="V983" s="35"/>
      <c r="W983" s="35"/>
      <c r="X983" s="35"/>
      <c r="Y983" s="35"/>
      <c r="AB983" s="94"/>
      <c r="AC983" s="35" t="s">
        <v>2163</v>
      </c>
      <c r="AD983" s="35">
        <v>25.311689000000001</v>
      </c>
      <c r="AE983" s="35">
        <v>71.320014999999998</v>
      </c>
    </row>
    <row r="984" spans="1:31" x14ac:dyDescent="0.25">
      <c r="A984" s="38" t="s">
        <v>36</v>
      </c>
      <c r="B984" s="38" t="s">
        <v>2147</v>
      </c>
      <c r="C984" s="38" t="s">
        <v>2160</v>
      </c>
      <c r="D984" s="38" t="s">
        <v>2164</v>
      </c>
      <c r="E984" s="38" t="s">
        <v>2165</v>
      </c>
      <c r="F984" s="38">
        <v>614.99</v>
      </c>
      <c r="G984" s="38">
        <v>614.99</v>
      </c>
      <c r="H984" s="38">
        <f t="shared" si="47"/>
        <v>780</v>
      </c>
      <c r="I984" s="38">
        <v>508</v>
      </c>
      <c r="J984" s="38">
        <v>272</v>
      </c>
      <c r="K984" s="38">
        <v>236</v>
      </c>
      <c r="L984" s="50">
        <f t="shared" si="48"/>
        <v>30.256410256410255</v>
      </c>
      <c r="M984" s="38">
        <v>0</v>
      </c>
      <c r="N984" s="50">
        <f t="shared" si="46"/>
        <v>0</v>
      </c>
      <c r="O984" s="38">
        <v>0</v>
      </c>
      <c r="P984" s="38">
        <v>0</v>
      </c>
      <c r="Q984" s="36" t="s">
        <v>43</v>
      </c>
      <c r="R984" s="14">
        <v>44547</v>
      </c>
      <c r="S984" s="36"/>
      <c r="T984" s="36">
        <v>0</v>
      </c>
      <c r="U984" s="36"/>
      <c r="V984" s="36"/>
      <c r="W984" s="36"/>
      <c r="X984" s="36"/>
      <c r="Y984" s="36"/>
      <c r="AB984" s="85"/>
      <c r="AC984" s="15" t="s">
        <v>2166</v>
      </c>
      <c r="AD984" s="36">
        <v>0</v>
      </c>
      <c r="AE984" s="36"/>
    </row>
    <row r="985" spans="1:31" x14ac:dyDescent="0.25">
      <c r="A985" s="38" t="s">
        <v>36</v>
      </c>
      <c r="B985" s="38" t="s">
        <v>2147</v>
      </c>
      <c r="C985" s="38" t="s">
        <v>2160</v>
      </c>
      <c r="D985" s="15" t="s">
        <v>2167</v>
      </c>
      <c r="E985" s="38"/>
      <c r="F985" s="38"/>
      <c r="G985" s="38"/>
      <c r="H985" s="38">
        <f t="shared" si="47"/>
        <v>0</v>
      </c>
      <c r="I985" s="38"/>
      <c r="J985" s="38"/>
      <c r="K985" s="38"/>
      <c r="L985" s="50"/>
      <c r="M985" s="38"/>
      <c r="N985" s="50"/>
      <c r="O985" s="38"/>
      <c r="P985" s="38"/>
      <c r="Q985" s="36" t="s">
        <v>43</v>
      </c>
      <c r="R985" s="14">
        <v>44547</v>
      </c>
      <c r="S985" s="36"/>
      <c r="T985" s="36">
        <v>6.08</v>
      </c>
      <c r="U985" s="36"/>
      <c r="V985" s="36"/>
      <c r="W985" s="36"/>
      <c r="X985" s="36"/>
      <c r="Y985" s="36"/>
      <c r="AB985" s="85"/>
      <c r="AC985" s="15" t="s">
        <v>2167</v>
      </c>
      <c r="AD985" s="36"/>
      <c r="AE985" s="36"/>
    </row>
    <row r="986" spans="1:31" x14ac:dyDescent="0.25">
      <c r="A986" s="38" t="s">
        <v>36</v>
      </c>
      <c r="B986" s="38" t="s">
        <v>2147</v>
      </c>
      <c r="C986" s="38" t="s">
        <v>2160</v>
      </c>
      <c r="D986" s="38" t="s">
        <v>2168</v>
      </c>
      <c r="E986" s="38" t="s">
        <v>2169</v>
      </c>
      <c r="F986" s="38">
        <v>314.37</v>
      </c>
      <c r="G986" s="38">
        <v>314.37</v>
      </c>
      <c r="H986" s="38">
        <f t="shared" si="47"/>
        <v>834</v>
      </c>
      <c r="I986" s="38">
        <v>550</v>
      </c>
      <c r="J986" s="38">
        <v>284</v>
      </c>
      <c r="K986" s="38">
        <v>266</v>
      </c>
      <c r="L986" s="50">
        <f t="shared" si="48"/>
        <v>31.894484412470025</v>
      </c>
      <c r="M986" s="38">
        <v>0</v>
      </c>
      <c r="N986" s="50">
        <f t="shared" si="46"/>
        <v>0</v>
      </c>
      <c r="O986" s="38">
        <v>0</v>
      </c>
      <c r="P986" s="38">
        <v>4.0999999999999996</v>
      </c>
      <c r="Q986" s="36" t="s">
        <v>43</v>
      </c>
      <c r="R986" s="14">
        <v>44547</v>
      </c>
      <c r="S986" s="36"/>
      <c r="T986" s="36">
        <v>3.8639999999999999</v>
      </c>
      <c r="U986" s="36"/>
      <c r="V986" s="36"/>
      <c r="W986" s="36"/>
      <c r="X986" s="36"/>
      <c r="Y986" s="36"/>
      <c r="AB986" s="85"/>
      <c r="AC986" s="15" t="s">
        <v>2170</v>
      </c>
      <c r="AD986" s="36"/>
      <c r="AE986" s="36"/>
    </row>
    <row r="987" spans="1:31" x14ac:dyDescent="0.25">
      <c r="A987" s="38" t="s">
        <v>36</v>
      </c>
      <c r="B987" s="38" t="s">
        <v>2147</v>
      </c>
      <c r="C987" s="38" t="s">
        <v>2160</v>
      </c>
      <c r="D987" s="38" t="s">
        <v>1817</v>
      </c>
      <c r="E987" s="38" t="s">
        <v>2171</v>
      </c>
      <c r="F987" s="38">
        <v>419.29</v>
      </c>
      <c r="G987" s="38">
        <v>419.29</v>
      </c>
      <c r="H987" s="38">
        <f t="shared" si="47"/>
        <v>1067</v>
      </c>
      <c r="I987" s="38">
        <v>696</v>
      </c>
      <c r="J987" s="38">
        <v>371</v>
      </c>
      <c r="K987" s="38">
        <v>325</v>
      </c>
      <c r="L987" s="50">
        <f t="shared" si="48"/>
        <v>30.459231490159329</v>
      </c>
      <c r="M987" s="38">
        <v>216</v>
      </c>
      <c r="N987" s="50">
        <f t="shared" si="46"/>
        <v>20.243673851921272</v>
      </c>
      <c r="O987" s="38">
        <v>0</v>
      </c>
      <c r="P987" s="38">
        <v>0</v>
      </c>
      <c r="Q987" s="36" t="s">
        <v>43</v>
      </c>
      <c r="R987" s="14">
        <v>44547</v>
      </c>
      <c r="S987" s="36"/>
      <c r="T987" s="36">
        <v>0</v>
      </c>
      <c r="U987" s="36"/>
      <c r="V987" s="36"/>
      <c r="W987" s="36"/>
      <c r="X987" s="36"/>
      <c r="Y987" s="36"/>
      <c r="AB987" s="85"/>
      <c r="AC987" s="15" t="s">
        <v>2172</v>
      </c>
      <c r="AD987" s="36">
        <v>0</v>
      </c>
      <c r="AE987" s="36"/>
    </row>
    <row r="988" spans="1:31" x14ac:dyDescent="0.25">
      <c r="A988" s="38" t="s">
        <v>36</v>
      </c>
      <c r="B988" s="38" t="s">
        <v>2147</v>
      </c>
      <c r="C988" s="38" t="s">
        <v>2160</v>
      </c>
      <c r="D988" s="38" t="s">
        <v>2173</v>
      </c>
      <c r="E988" s="38" t="s">
        <v>2174</v>
      </c>
      <c r="F988" s="38"/>
      <c r="G988" s="38"/>
      <c r="H988" s="38">
        <f t="shared" si="47"/>
        <v>0</v>
      </c>
      <c r="I988" s="38"/>
      <c r="J988" s="38"/>
      <c r="K988" s="38"/>
      <c r="L988" s="50"/>
      <c r="M988" s="38"/>
      <c r="N988" s="50"/>
      <c r="O988" s="38">
        <v>0</v>
      </c>
      <c r="P988" s="38">
        <v>2.16</v>
      </c>
      <c r="Q988" s="36" t="s">
        <v>43</v>
      </c>
      <c r="R988" s="14">
        <v>44547</v>
      </c>
      <c r="S988" s="36"/>
      <c r="T988" s="36">
        <v>1.92</v>
      </c>
      <c r="U988" s="36"/>
      <c r="V988" s="36"/>
      <c r="W988" s="36"/>
      <c r="X988" s="36"/>
      <c r="Y988" s="36"/>
      <c r="AB988" s="85"/>
      <c r="AC988" s="15" t="s">
        <v>2175</v>
      </c>
      <c r="AD988" s="36"/>
      <c r="AE988" s="36"/>
    </row>
    <row r="989" spans="1:31" x14ac:dyDescent="0.25">
      <c r="A989" s="38" t="s">
        <v>36</v>
      </c>
      <c r="B989" s="38" t="s">
        <v>2147</v>
      </c>
      <c r="C989" s="38" t="s">
        <v>2160</v>
      </c>
      <c r="D989" s="38" t="s">
        <v>2176</v>
      </c>
      <c r="E989" s="38" t="s">
        <v>2177</v>
      </c>
      <c r="F989" s="38">
        <v>648.22</v>
      </c>
      <c r="G989" s="38">
        <v>648.22</v>
      </c>
      <c r="H989" s="38">
        <f t="shared" si="47"/>
        <v>1273</v>
      </c>
      <c r="I989" s="38">
        <v>837</v>
      </c>
      <c r="J989" s="38">
        <v>436</v>
      </c>
      <c r="K989" s="38">
        <v>401</v>
      </c>
      <c r="L989" s="50">
        <f t="shared" si="48"/>
        <v>31.500392772977222</v>
      </c>
      <c r="M989" s="38">
        <v>0</v>
      </c>
      <c r="N989" s="50">
        <f t="shared" si="46"/>
        <v>0</v>
      </c>
      <c r="O989" s="38">
        <v>0</v>
      </c>
      <c r="P989" s="38">
        <v>0</v>
      </c>
      <c r="Q989" s="36" t="s">
        <v>43</v>
      </c>
      <c r="R989" s="14">
        <v>44547</v>
      </c>
      <c r="S989" s="36"/>
      <c r="T989" s="36">
        <v>0</v>
      </c>
      <c r="U989" s="36"/>
      <c r="V989" s="36"/>
      <c r="W989" s="36"/>
      <c r="X989" s="36"/>
      <c r="Y989" s="36"/>
      <c r="AB989" s="85"/>
      <c r="AC989" s="15" t="s">
        <v>2178</v>
      </c>
      <c r="AD989" s="36">
        <v>0</v>
      </c>
      <c r="AE989" s="36"/>
    </row>
    <row r="990" spans="1:31" x14ac:dyDescent="0.25">
      <c r="A990" s="38" t="s">
        <v>36</v>
      </c>
      <c r="B990" s="38" t="s">
        <v>2147</v>
      </c>
      <c r="C990" s="38" t="s">
        <v>2160</v>
      </c>
      <c r="D990" s="38" t="s">
        <v>2179</v>
      </c>
      <c r="E990" s="38" t="s">
        <v>2180</v>
      </c>
      <c r="F990" s="38">
        <v>1139.1400000000001</v>
      </c>
      <c r="G990" s="38">
        <v>1139.1400000000001</v>
      </c>
      <c r="H990" s="38">
        <f t="shared" si="47"/>
        <v>1478</v>
      </c>
      <c r="I990" s="38">
        <v>967</v>
      </c>
      <c r="J990" s="38">
        <v>511</v>
      </c>
      <c r="K990" s="38">
        <v>456</v>
      </c>
      <c r="L990" s="50">
        <f t="shared" si="48"/>
        <v>30.85250338294993</v>
      </c>
      <c r="M990" s="38">
        <v>27</v>
      </c>
      <c r="N990" s="50">
        <f t="shared" si="46"/>
        <v>1.8267929634641407</v>
      </c>
      <c r="O990" s="38">
        <v>0</v>
      </c>
      <c r="P990" s="38">
        <v>17.23</v>
      </c>
      <c r="Q990" s="36" t="s">
        <v>43</v>
      </c>
      <c r="R990" s="14">
        <v>44547</v>
      </c>
      <c r="S990" s="36"/>
      <c r="T990" s="36">
        <v>19.36</v>
      </c>
      <c r="U990" s="36"/>
      <c r="V990" s="36"/>
      <c r="W990" s="36"/>
      <c r="X990" s="36"/>
      <c r="Y990" s="36"/>
      <c r="AB990" s="85"/>
      <c r="AC990" s="15" t="s">
        <v>2179</v>
      </c>
      <c r="AD990" s="36"/>
      <c r="AE990" s="36"/>
    </row>
    <row r="991" spans="1:31" x14ac:dyDescent="0.25">
      <c r="A991" s="38" t="s">
        <v>36</v>
      </c>
      <c r="B991" s="38" t="s">
        <v>2147</v>
      </c>
      <c r="C991" s="38" t="s">
        <v>2181</v>
      </c>
      <c r="D991" s="38" t="s">
        <v>2182</v>
      </c>
      <c r="E991" s="38" t="s">
        <v>2183</v>
      </c>
      <c r="F991" s="38">
        <v>2131.06</v>
      </c>
      <c r="G991" s="38">
        <v>2131.06</v>
      </c>
      <c r="H991" s="38">
        <f t="shared" si="47"/>
        <v>5068</v>
      </c>
      <c r="I991" s="38">
        <v>3317</v>
      </c>
      <c r="J991" s="38">
        <v>1751</v>
      </c>
      <c r="K991" s="38">
        <v>1566</v>
      </c>
      <c r="L991" s="50">
        <f t="shared" si="48"/>
        <v>30.899763220205205</v>
      </c>
      <c r="M991" s="38">
        <v>339</v>
      </c>
      <c r="N991" s="50">
        <f t="shared" si="46"/>
        <v>6.6890292028413585</v>
      </c>
      <c r="O991" s="38">
        <v>0</v>
      </c>
      <c r="P991" s="38">
        <v>56.65</v>
      </c>
      <c r="AC991" s="117"/>
      <c r="AD991" s="121"/>
    </row>
    <row r="992" spans="1:31" x14ac:dyDescent="0.25">
      <c r="A992" s="38" t="s">
        <v>36</v>
      </c>
      <c r="B992" s="38" t="s">
        <v>2147</v>
      </c>
      <c r="C992" s="38" t="s">
        <v>2181</v>
      </c>
      <c r="D992" s="38" t="s">
        <v>2182</v>
      </c>
      <c r="E992" s="38" t="s">
        <v>2183</v>
      </c>
      <c r="F992" s="38">
        <v>455.52</v>
      </c>
      <c r="G992" s="38"/>
      <c r="H992" s="38">
        <f t="shared" si="47"/>
        <v>0</v>
      </c>
      <c r="I992" s="38"/>
      <c r="J992" s="38"/>
      <c r="K992" s="38"/>
      <c r="L992" s="50"/>
      <c r="M992" s="38"/>
      <c r="N992" s="50"/>
      <c r="O992" s="38">
        <v>0</v>
      </c>
      <c r="P992" s="38">
        <v>3.08</v>
      </c>
      <c r="AC992" s="117"/>
      <c r="AD992" s="117"/>
    </row>
    <row r="993" spans="1:31" x14ac:dyDescent="0.25">
      <c r="A993" s="38" t="s">
        <v>36</v>
      </c>
      <c r="B993" s="38" t="s">
        <v>2147</v>
      </c>
      <c r="C993" s="38" t="s">
        <v>2181</v>
      </c>
      <c r="D993" s="38" t="s">
        <v>2182</v>
      </c>
      <c r="E993" s="38" t="s">
        <v>2183</v>
      </c>
      <c r="F993" s="38">
        <v>884.8</v>
      </c>
      <c r="G993" s="38"/>
      <c r="H993" s="38">
        <f t="shared" si="47"/>
        <v>0</v>
      </c>
      <c r="I993" s="38"/>
      <c r="J993" s="38"/>
      <c r="K993" s="38"/>
      <c r="L993" s="50"/>
      <c r="M993" s="38"/>
      <c r="N993" s="50"/>
      <c r="O993" s="38">
        <v>0</v>
      </c>
      <c r="P993" s="38">
        <v>47.85</v>
      </c>
      <c r="T993" s="11">
        <v>43</v>
      </c>
      <c r="AB993" s="87"/>
      <c r="AC993" s="117"/>
      <c r="AD993" s="117"/>
    </row>
    <row r="994" spans="1:31" x14ac:dyDescent="0.25">
      <c r="A994" s="38" t="s">
        <v>36</v>
      </c>
      <c r="B994" s="38" t="s">
        <v>2147</v>
      </c>
      <c r="C994" s="38" t="s">
        <v>2181</v>
      </c>
      <c r="D994" s="38" t="s">
        <v>2182</v>
      </c>
      <c r="E994" s="38" t="s">
        <v>2183</v>
      </c>
      <c r="F994" s="38"/>
      <c r="G994" s="38"/>
      <c r="H994" s="38">
        <f t="shared" si="47"/>
        <v>0</v>
      </c>
      <c r="I994" s="38"/>
      <c r="J994" s="38"/>
      <c r="K994" s="38"/>
      <c r="L994" s="50"/>
      <c r="M994" s="38"/>
      <c r="N994" s="50"/>
      <c r="O994" s="38">
        <v>0</v>
      </c>
      <c r="P994" s="38"/>
      <c r="T994" s="11">
        <v>16.32</v>
      </c>
      <c r="AB994" s="85"/>
      <c r="AC994" s="117"/>
      <c r="AD994" s="117"/>
    </row>
    <row r="995" spans="1:31" x14ac:dyDescent="0.25">
      <c r="A995" s="38" t="s">
        <v>36</v>
      </c>
      <c r="B995" s="38" t="s">
        <v>2147</v>
      </c>
      <c r="C995" s="38" t="s">
        <v>2181</v>
      </c>
      <c r="D995" s="38" t="s">
        <v>2182</v>
      </c>
      <c r="E995" s="38" t="s">
        <v>2183</v>
      </c>
      <c r="F995" s="38">
        <v>504.18</v>
      </c>
      <c r="G995" s="38"/>
      <c r="H995" s="38">
        <f t="shared" si="47"/>
        <v>0</v>
      </c>
      <c r="I995" s="38"/>
      <c r="J995" s="38"/>
      <c r="K995" s="38"/>
      <c r="L995" s="50"/>
      <c r="M995" s="38"/>
      <c r="N995" s="50"/>
      <c r="O995" s="38">
        <v>0</v>
      </c>
      <c r="P995" s="38">
        <v>0</v>
      </c>
      <c r="T995" s="11">
        <v>0.8</v>
      </c>
      <c r="AB995" s="85"/>
      <c r="AC995" s="117"/>
      <c r="AD995" s="117"/>
    </row>
    <row r="996" spans="1:31" x14ac:dyDescent="0.25">
      <c r="A996" s="38" t="s">
        <v>36</v>
      </c>
      <c r="B996" s="38" t="s">
        <v>2147</v>
      </c>
      <c r="C996" s="38" t="s">
        <v>2181</v>
      </c>
      <c r="D996" s="38" t="s">
        <v>2182</v>
      </c>
      <c r="E996" s="38" t="s">
        <v>2183</v>
      </c>
      <c r="F996" s="38">
        <v>1866.17</v>
      </c>
      <c r="G996" s="38"/>
      <c r="H996" s="38">
        <f t="shared" si="47"/>
        <v>0</v>
      </c>
      <c r="I996" s="38"/>
      <c r="J996" s="38"/>
      <c r="K996" s="38"/>
      <c r="L996" s="50"/>
      <c r="M996" s="38"/>
      <c r="N996" s="50"/>
      <c r="O996" s="38">
        <v>0</v>
      </c>
      <c r="P996" s="38">
        <v>40.03</v>
      </c>
      <c r="T996" s="11">
        <v>21.6</v>
      </c>
      <c r="AB996" s="85"/>
      <c r="AC996" s="117"/>
      <c r="AD996" s="117"/>
    </row>
    <row r="997" spans="1:31" x14ac:dyDescent="0.25">
      <c r="A997" s="38" t="s">
        <v>36</v>
      </c>
      <c r="B997" s="38" t="s">
        <v>2147</v>
      </c>
      <c r="C997" s="38" t="s">
        <v>2181</v>
      </c>
      <c r="D997" s="38" t="s">
        <v>2184</v>
      </c>
      <c r="E997" s="38" t="s">
        <v>2185</v>
      </c>
      <c r="F997" s="38">
        <v>1232.8399999999999</v>
      </c>
      <c r="G997" s="38">
        <v>455.52</v>
      </c>
      <c r="H997" s="38">
        <f t="shared" si="47"/>
        <v>991</v>
      </c>
      <c r="I997" s="38">
        <v>653</v>
      </c>
      <c r="J997" s="38">
        <v>338</v>
      </c>
      <c r="K997" s="38">
        <v>315</v>
      </c>
      <c r="L997" s="50">
        <f t="shared" si="48"/>
        <v>31.786074672048436</v>
      </c>
      <c r="M997" s="38">
        <v>199</v>
      </c>
      <c r="N997" s="50">
        <f t="shared" si="46"/>
        <v>20.080726538849646</v>
      </c>
      <c r="O997" s="38">
        <v>0</v>
      </c>
      <c r="P997" s="38">
        <v>6.2</v>
      </c>
      <c r="T997" s="11">
        <v>0</v>
      </c>
      <c r="AB997" s="85"/>
    </row>
    <row r="998" spans="1:31" x14ac:dyDescent="0.25">
      <c r="A998" s="38" t="s">
        <v>36</v>
      </c>
      <c r="B998" s="38" t="s">
        <v>2147</v>
      </c>
      <c r="C998" s="38" t="s">
        <v>2186</v>
      </c>
      <c r="D998" s="38" t="s">
        <v>2187</v>
      </c>
      <c r="E998" s="38" t="s">
        <v>2188</v>
      </c>
      <c r="F998" s="38"/>
      <c r="G998" s="38">
        <v>884.8</v>
      </c>
      <c r="H998" s="38">
        <f t="shared" si="47"/>
        <v>1710</v>
      </c>
      <c r="I998" s="38">
        <v>1120</v>
      </c>
      <c r="J998" s="38">
        <v>590</v>
      </c>
      <c r="K998" s="38">
        <v>530</v>
      </c>
      <c r="L998" s="50">
        <f t="shared" si="48"/>
        <v>30.994152046783626</v>
      </c>
      <c r="M998" s="38">
        <v>18</v>
      </c>
      <c r="N998" s="50">
        <f t="shared" si="46"/>
        <v>1.0526315789473684</v>
      </c>
      <c r="O998" s="38">
        <v>0</v>
      </c>
      <c r="P998" s="38"/>
      <c r="Q998" s="35" t="s">
        <v>43</v>
      </c>
      <c r="R998" s="100">
        <v>44546</v>
      </c>
      <c r="S998" s="35"/>
      <c r="T998" s="35">
        <v>28</v>
      </c>
      <c r="U998" s="35"/>
      <c r="V998" s="35"/>
      <c r="W998" s="35"/>
      <c r="X998" s="35"/>
      <c r="Y998" s="35"/>
      <c r="AB998" s="85"/>
      <c r="AC998" s="35" t="s">
        <v>2189</v>
      </c>
      <c r="AD998" s="35">
        <v>25.308505</v>
      </c>
      <c r="AE998" s="35">
        <v>71.313269000000005</v>
      </c>
    </row>
    <row r="999" spans="1:31" x14ac:dyDescent="0.25">
      <c r="A999" s="38" t="s">
        <v>36</v>
      </c>
      <c r="B999" s="38" t="s">
        <v>2147</v>
      </c>
      <c r="C999" s="38" t="s">
        <v>2186</v>
      </c>
      <c r="D999" s="15" t="s">
        <v>2190</v>
      </c>
      <c r="E999" s="38" t="s">
        <v>2188</v>
      </c>
      <c r="F999" s="38">
        <v>835.08</v>
      </c>
      <c r="G999" s="38"/>
      <c r="H999" s="38">
        <f t="shared" si="47"/>
        <v>0</v>
      </c>
      <c r="I999" s="38"/>
      <c r="J999" s="38"/>
      <c r="K999" s="38"/>
      <c r="L999" s="50"/>
      <c r="M999" s="38"/>
      <c r="N999" s="50"/>
      <c r="O999" s="38"/>
      <c r="P999" s="38">
        <v>28.2</v>
      </c>
      <c r="Q999" s="36" t="s">
        <v>43</v>
      </c>
      <c r="R999" s="14">
        <v>44546</v>
      </c>
      <c r="S999" s="36"/>
      <c r="T999" s="36">
        <v>0</v>
      </c>
      <c r="U999" s="36"/>
      <c r="V999" s="36"/>
      <c r="W999" s="36"/>
      <c r="X999" s="36"/>
      <c r="Y999" s="36"/>
      <c r="AB999" s="85"/>
      <c r="AC999" s="15" t="s">
        <v>2190</v>
      </c>
      <c r="AD999" s="36"/>
      <c r="AE999" s="36"/>
    </row>
    <row r="1000" spans="1:31" x14ac:dyDescent="0.25">
      <c r="A1000" s="38" t="s">
        <v>36</v>
      </c>
      <c r="B1000" s="38" t="s">
        <v>2147</v>
      </c>
      <c r="C1000" s="38" t="s">
        <v>2186</v>
      </c>
      <c r="D1000" s="38" t="s">
        <v>2191</v>
      </c>
      <c r="E1000" s="38" t="s">
        <v>2192</v>
      </c>
      <c r="F1000" s="38">
        <v>680</v>
      </c>
      <c r="G1000" s="38">
        <v>504.18</v>
      </c>
      <c r="H1000" s="38">
        <f t="shared" si="47"/>
        <v>808</v>
      </c>
      <c r="I1000" s="38">
        <v>532</v>
      </c>
      <c r="J1000" s="38">
        <v>276</v>
      </c>
      <c r="K1000" s="38">
        <v>256</v>
      </c>
      <c r="L1000" s="50">
        <f t="shared" si="48"/>
        <v>31.683168316831683</v>
      </c>
      <c r="M1000" s="38">
        <v>0</v>
      </c>
      <c r="N1000" s="50">
        <f t="shared" ref="N1000:N1062" si="49">M1000/H1000*100</f>
        <v>0</v>
      </c>
      <c r="O1000" s="38">
        <v>0</v>
      </c>
      <c r="P1000" s="38">
        <v>134</v>
      </c>
      <c r="Q1000" s="36" t="s">
        <v>43</v>
      </c>
      <c r="R1000" s="14">
        <v>44546</v>
      </c>
      <c r="S1000" s="36"/>
      <c r="T1000" s="36">
        <v>132.47999999999999</v>
      </c>
      <c r="U1000" s="36"/>
      <c r="V1000" s="36"/>
      <c r="W1000" s="36"/>
      <c r="X1000" s="36"/>
      <c r="Y1000" s="36"/>
      <c r="AB1000" s="20"/>
      <c r="AC1000" s="15" t="s">
        <v>2193</v>
      </c>
      <c r="AD1000" s="36"/>
      <c r="AE1000" s="36"/>
    </row>
    <row r="1001" spans="1:31" x14ac:dyDescent="0.25">
      <c r="A1001" s="38" t="s">
        <v>36</v>
      </c>
      <c r="B1001" s="38" t="s">
        <v>2147</v>
      </c>
      <c r="C1001" s="38" t="s">
        <v>2186</v>
      </c>
      <c r="D1001" s="38" t="s">
        <v>2194</v>
      </c>
      <c r="E1001" s="38" t="s">
        <v>2195</v>
      </c>
      <c r="F1001" s="38">
        <v>599.97</v>
      </c>
      <c r="G1001" s="38">
        <v>1866.17</v>
      </c>
      <c r="H1001" s="38">
        <f t="shared" si="47"/>
        <v>3279</v>
      </c>
      <c r="I1001" s="38">
        <v>2165</v>
      </c>
      <c r="J1001" s="38">
        <v>1114</v>
      </c>
      <c r="K1001" s="38">
        <v>1051</v>
      </c>
      <c r="L1001" s="50">
        <f t="shared" si="48"/>
        <v>32.052455016773408</v>
      </c>
      <c r="M1001" s="38">
        <v>235</v>
      </c>
      <c r="N1001" s="50">
        <f t="shared" si="49"/>
        <v>7.1668191521805422</v>
      </c>
      <c r="O1001" s="38">
        <v>0</v>
      </c>
      <c r="P1001" s="38">
        <v>34.79</v>
      </c>
      <c r="Q1001" s="36" t="s">
        <v>43</v>
      </c>
      <c r="R1001" s="14">
        <v>44546</v>
      </c>
      <c r="S1001" s="36"/>
      <c r="T1001" s="36"/>
      <c r="U1001" s="36"/>
      <c r="V1001" s="36"/>
      <c r="W1001" s="36"/>
      <c r="X1001" s="36"/>
      <c r="Y1001" s="36"/>
      <c r="AB1001" s="85"/>
      <c r="AC1001" s="15" t="s">
        <v>2196</v>
      </c>
      <c r="AD1001" s="36"/>
      <c r="AE1001" s="36"/>
    </row>
    <row r="1002" spans="1:31" x14ac:dyDescent="0.25">
      <c r="A1002" s="38" t="s">
        <v>36</v>
      </c>
      <c r="B1002" s="38" t="s">
        <v>2147</v>
      </c>
      <c r="C1002" s="38" t="s">
        <v>2197</v>
      </c>
      <c r="D1002" s="38" t="s">
        <v>2197</v>
      </c>
      <c r="E1002" s="38" t="s">
        <v>2198</v>
      </c>
      <c r="F1002" s="38">
        <v>648</v>
      </c>
      <c r="G1002" s="38">
        <v>1232.8399999999999</v>
      </c>
      <c r="H1002" s="38">
        <f t="shared" si="47"/>
        <v>2662</v>
      </c>
      <c r="I1002" s="38">
        <v>1743</v>
      </c>
      <c r="J1002" s="38">
        <v>919</v>
      </c>
      <c r="K1002" s="38">
        <v>824</v>
      </c>
      <c r="L1002" s="50">
        <f t="shared" si="48"/>
        <v>30.954169797145003</v>
      </c>
      <c r="M1002" s="38">
        <v>6</v>
      </c>
      <c r="N1002" s="50">
        <f t="shared" si="49"/>
        <v>0.22539444027047331</v>
      </c>
      <c r="O1002" s="38">
        <v>0</v>
      </c>
      <c r="P1002" s="38">
        <v>0</v>
      </c>
      <c r="Q1002" s="36" t="s">
        <v>43</v>
      </c>
      <c r="R1002" s="14">
        <v>44209</v>
      </c>
      <c r="S1002" s="36"/>
      <c r="T1002" s="36">
        <v>4.2880000000000003</v>
      </c>
      <c r="U1002" s="36"/>
      <c r="V1002" s="36"/>
      <c r="W1002" s="36"/>
      <c r="X1002" s="36"/>
      <c r="Y1002" s="36"/>
      <c r="AB1002" s="20"/>
      <c r="AC1002" s="15" t="s">
        <v>2199</v>
      </c>
      <c r="AD1002" s="36">
        <v>0</v>
      </c>
      <c r="AE1002" s="36"/>
    </row>
    <row r="1003" spans="1:31" x14ac:dyDescent="0.25">
      <c r="A1003" s="38" t="s">
        <v>36</v>
      </c>
      <c r="B1003" s="38" t="s">
        <v>2147</v>
      </c>
      <c r="C1003" s="38" t="s">
        <v>2197</v>
      </c>
      <c r="D1003" s="15" t="s">
        <v>2200</v>
      </c>
      <c r="E1003" s="38"/>
      <c r="F1003" s="38">
        <v>272</v>
      </c>
      <c r="G1003" s="38"/>
      <c r="H1003" s="38">
        <f t="shared" si="47"/>
        <v>0</v>
      </c>
      <c r="I1003" s="38"/>
      <c r="J1003" s="38"/>
      <c r="K1003" s="38"/>
      <c r="L1003" s="50"/>
      <c r="M1003" s="38"/>
      <c r="N1003" s="50"/>
      <c r="O1003" s="38"/>
      <c r="P1003" s="38">
        <v>0</v>
      </c>
      <c r="Q1003" s="36" t="s">
        <v>43</v>
      </c>
      <c r="R1003" s="14">
        <v>44209</v>
      </c>
      <c r="S1003" s="36"/>
      <c r="T1003" s="36">
        <v>0</v>
      </c>
      <c r="U1003" s="36"/>
      <c r="V1003" s="36"/>
      <c r="W1003" s="36"/>
      <c r="X1003" s="36"/>
      <c r="Y1003" s="36"/>
      <c r="AB1003" s="20"/>
      <c r="AC1003" s="15" t="s">
        <v>2200</v>
      </c>
      <c r="AD1003" s="36"/>
      <c r="AE1003" s="36"/>
    </row>
    <row r="1004" spans="1:31" x14ac:dyDescent="0.25">
      <c r="A1004" s="38" t="s">
        <v>36</v>
      </c>
      <c r="B1004" s="38" t="s">
        <v>2147</v>
      </c>
      <c r="C1004" s="38" t="s">
        <v>2197</v>
      </c>
      <c r="D1004" s="38" t="s">
        <v>2201</v>
      </c>
      <c r="E1004" s="38" t="s">
        <v>2202</v>
      </c>
      <c r="F1004" s="38">
        <v>484</v>
      </c>
      <c r="G1004" s="38">
        <v>835.08</v>
      </c>
      <c r="H1004" s="38">
        <f t="shared" si="47"/>
        <v>1330</v>
      </c>
      <c r="I1004" s="38">
        <v>887</v>
      </c>
      <c r="J1004" s="38">
        <v>443</v>
      </c>
      <c r="K1004" s="38">
        <v>444</v>
      </c>
      <c r="L1004" s="50">
        <f t="shared" si="48"/>
        <v>33.383458646616546</v>
      </c>
      <c r="M1004" s="38">
        <v>27</v>
      </c>
      <c r="N1004" s="50">
        <f t="shared" si="49"/>
        <v>2.030075187969925</v>
      </c>
      <c r="O1004" s="38">
        <v>0</v>
      </c>
      <c r="P1004" s="38">
        <v>0</v>
      </c>
      <c r="Q1004" s="36" t="s">
        <v>43</v>
      </c>
      <c r="R1004" s="14">
        <v>44209</v>
      </c>
      <c r="S1004" s="36"/>
      <c r="T1004" s="36">
        <v>0</v>
      </c>
      <c r="U1004" s="36"/>
      <c r="V1004" s="36"/>
      <c r="W1004" s="36"/>
      <c r="X1004" s="36"/>
      <c r="Y1004" s="36"/>
      <c r="AB1004" s="20"/>
      <c r="AC1004" s="15" t="s">
        <v>2203</v>
      </c>
      <c r="AD1004" s="36">
        <v>0</v>
      </c>
      <c r="AE1004" s="36"/>
    </row>
    <row r="1005" spans="1:31" x14ac:dyDescent="0.25">
      <c r="A1005" s="38" t="s">
        <v>36</v>
      </c>
      <c r="B1005" s="38" t="s">
        <v>2147</v>
      </c>
      <c r="C1005" s="38" t="s">
        <v>2204</v>
      </c>
      <c r="D1005" s="38" t="s">
        <v>2205</v>
      </c>
      <c r="E1005" s="38" t="s">
        <v>2206</v>
      </c>
      <c r="F1005" s="38">
        <v>676</v>
      </c>
      <c r="G1005" s="38">
        <v>680</v>
      </c>
      <c r="H1005" s="38">
        <f t="shared" si="47"/>
        <v>2159</v>
      </c>
      <c r="I1005" s="38">
        <v>1415</v>
      </c>
      <c r="J1005" s="38">
        <v>744</v>
      </c>
      <c r="K1005" s="38">
        <v>671</v>
      </c>
      <c r="L1005" s="50">
        <f t="shared" si="48"/>
        <v>31.07920333487726</v>
      </c>
      <c r="M1005" s="38">
        <v>154</v>
      </c>
      <c r="N1005" s="50">
        <f t="shared" si="49"/>
        <v>7.1329319129226496</v>
      </c>
      <c r="O1005" s="38">
        <v>0</v>
      </c>
      <c r="P1005" s="38">
        <v>0</v>
      </c>
      <c r="Q1005" s="61" t="s">
        <v>43</v>
      </c>
      <c r="R1005" s="7">
        <v>44540</v>
      </c>
      <c r="S1005" s="61"/>
      <c r="T1005" s="61">
        <v>2.9056000000000002</v>
      </c>
      <c r="U1005" s="61"/>
      <c r="V1005" s="61"/>
      <c r="W1005" s="61"/>
      <c r="X1005" s="61"/>
      <c r="Y1005" s="61"/>
      <c r="AB1005" s="20"/>
      <c r="AC1005" s="11" t="s">
        <v>2207</v>
      </c>
      <c r="AD1005" s="61"/>
      <c r="AE1005" s="61"/>
    </row>
    <row r="1006" spans="1:31" x14ac:dyDescent="0.25">
      <c r="A1006" s="38" t="s">
        <v>36</v>
      </c>
      <c r="B1006" s="38" t="s">
        <v>2147</v>
      </c>
      <c r="C1006" s="38" t="s">
        <v>2204</v>
      </c>
      <c r="D1006" s="38" t="s">
        <v>2208</v>
      </c>
      <c r="E1006" s="38" t="s">
        <v>2209</v>
      </c>
      <c r="F1006" s="38">
        <v>793</v>
      </c>
      <c r="G1006" s="38">
        <v>599.97</v>
      </c>
      <c r="H1006" s="38">
        <f t="shared" si="47"/>
        <v>739</v>
      </c>
      <c r="I1006" s="38">
        <v>486</v>
      </c>
      <c r="J1006" s="38">
        <v>253</v>
      </c>
      <c r="K1006" s="38">
        <v>233</v>
      </c>
      <c r="L1006" s="50">
        <f t="shared" si="48"/>
        <v>31.529093369418131</v>
      </c>
      <c r="M1006" s="38">
        <v>26</v>
      </c>
      <c r="N1006" s="50">
        <f t="shared" si="49"/>
        <v>3.5182679296346415</v>
      </c>
      <c r="O1006" s="38">
        <v>0</v>
      </c>
      <c r="P1006" s="38">
        <v>0</v>
      </c>
      <c r="Q1006" s="36"/>
      <c r="R1006" s="14"/>
      <c r="S1006" s="36"/>
      <c r="T1006" s="36">
        <v>0.17760000000000001</v>
      </c>
      <c r="U1006" s="36"/>
      <c r="V1006" s="36"/>
      <c r="W1006" s="36"/>
      <c r="X1006" s="36"/>
      <c r="Y1006" s="36"/>
      <c r="AB1006" s="20"/>
      <c r="AC1006" s="15"/>
      <c r="AD1006" s="36"/>
      <c r="AE1006" s="36"/>
    </row>
    <row r="1007" spans="1:31" x14ac:dyDescent="0.25">
      <c r="A1007" s="38" t="s">
        <v>36</v>
      </c>
      <c r="B1007" s="38" t="s">
        <v>2147</v>
      </c>
      <c r="C1007" s="38" t="s">
        <v>2204</v>
      </c>
      <c r="D1007" s="38" t="s">
        <v>2210</v>
      </c>
      <c r="E1007" s="38" t="s">
        <v>2211</v>
      </c>
      <c r="F1007" s="38">
        <v>603</v>
      </c>
      <c r="G1007" s="38">
        <v>648</v>
      </c>
      <c r="H1007" s="38">
        <f t="shared" si="47"/>
        <v>1113</v>
      </c>
      <c r="I1007" s="38">
        <v>733</v>
      </c>
      <c r="J1007" s="38">
        <v>380</v>
      </c>
      <c r="K1007" s="38">
        <v>353</v>
      </c>
      <c r="L1007" s="50">
        <f t="shared" si="48"/>
        <v>31.716082659478882</v>
      </c>
      <c r="M1007" s="38">
        <v>0</v>
      </c>
      <c r="N1007" s="50">
        <f t="shared" si="49"/>
        <v>0</v>
      </c>
      <c r="O1007" s="38">
        <v>0</v>
      </c>
      <c r="P1007" s="38">
        <v>0</v>
      </c>
      <c r="Q1007" s="61" t="s">
        <v>43</v>
      </c>
      <c r="R1007" s="7">
        <v>44540</v>
      </c>
      <c r="S1007" s="61"/>
      <c r="T1007" s="61">
        <v>6.5760000000000005</v>
      </c>
      <c r="U1007" s="61"/>
      <c r="V1007" s="61"/>
      <c r="W1007" s="61"/>
      <c r="X1007" s="61"/>
      <c r="Y1007" s="61"/>
      <c r="AB1007" s="20"/>
      <c r="AC1007" s="11" t="s">
        <v>2212</v>
      </c>
      <c r="AD1007" s="61"/>
      <c r="AE1007" s="61"/>
    </row>
    <row r="1008" spans="1:31" x14ac:dyDescent="0.25">
      <c r="A1008" s="38" t="s">
        <v>36</v>
      </c>
      <c r="B1008" s="38" t="s">
        <v>2147</v>
      </c>
      <c r="C1008" s="38" t="s">
        <v>2204</v>
      </c>
      <c r="D1008" s="38" t="s">
        <v>770</v>
      </c>
      <c r="E1008" s="38" t="s">
        <v>2213</v>
      </c>
      <c r="F1008" s="38"/>
      <c r="G1008" s="38">
        <v>272</v>
      </c>
      <c r="H1008" s="38">
        <f t="shared" si="47"/>
        <v>801</v>
      </c>
      <c r="I1008" s="38">
        <v>518</v>
      </c>
      <c r="J1008" s="38">
        <v>283</v>
      </c>
      <c r="K1008" s="38">
        <v>235</v>
      </c>
      <c r="L1008" s="50">
        <f t="shared" si="48"/>
        <v>29.33832709113608</v>
      </c>
      <c r="M1008" s="38">
        <v>8</v>
      </c>
      <c r="N1008" s="50">
        <f t="shared" si="49"/>
        <v>0.99875156054931336</v>
      </c>
      <c r="O1008" s="38">
        <v>0</v>
      </c>
      <c r="P1008" s="38"/>
      <c r="Q1008" s="61" t="s">
        <v>43</v>
      </c>
      <c r="R1008" s="7">
        <v>44540</v>
      </c>
      <c r="S1008" s="61"/>
      <c r="T1008" s="61">
        <v>59.36</v>
      </c>
      <c r="U1008" s="61"/>
      <c r="V1008" s="61"/>
      <c r="W1008" s="61"/>
      <c r="X1008" s="61"/>
      <c r="Y1008" s="61"/>
      <c r="AB1008" s="85"/>
      <c r="AC1008" s="11" t="s">
        <v>1410</v>
      </c>
      <c r="AD1008" s="61">
        <v>0</v>
      </c>
      <c r="AE1008" s="61"/>
    </row>
    <row r="1009" spans="1:31" x14ac:dyDescent="0.25">
      <c r="A1009" s="38" t="s">
        <v>36</v>
      </c>
      <c r="B1009" s="38" t="s">
        <v>2147</v>
      </c>
      <c r="C1009" s="38" t="s">
        <v>2204</v>
      </c>
      <c r="D1009" s="38" t="s">
        <v>2214</v>
      </c>
      <c r="E1009" s="38" t="s">
        <v>2215</v>
      </c>
      <c r="F1009" s="38"/>
      <c r="G1009" s="38">
        <v>484</v>
      </c>
      <c r="H1009" s="38">
        <f t="shared" si="47"/>
        <v>849</v>
      </c>
      <c r="I1009" s="38">
        <v>559</v>
      </c>
      <c r="J1009" s="38">
        <v>290</v>
      </c>
      <c r="K1009" s="38">
        <v>269</v>
      </c>
      <c r="L1009" s="50">
        <f t="shared" si="48"/>
        <v>31.684334511189633</v>
      </c>
      <c r="M1009" s="38">
        <v>0</v>
      </c>
      <c r="N1009" s="50">
        <f t="shared" si="49"/>
        <v>0</v>
      </c>
      <c r="O1009" s="38">
        <v>0</v>
      </c>
      <c r="P1009" s="38"/>
      <c r="Q1009" s="61" t="s">
        <v>43</v>
      </c>
      <c r="R1009" s="7">
        <v>44540</v>
      </c>
      <c r="S1009" s="61"/>
      <c r="T1009" s="61">
        <v>43.04</v>
      </c>
      <c r="U1009" s="61"/>
      <c r="V1009" s="61"/>
      <c r="W1009" s="61"/>
      <c r="X1009" s="61"/>
      <c r="Y1009" s="61"/>
      <c r="AB1009" s="85"/>
      <c r="AC1009" s="11" t="s">
        <v>2216</v>
      </c>
      <c r="AD1009" s="61">
        <v>0</v>
      </c>
      <c r="AE1009" s="61"/>
    </row>
    <row r="1010" spans="1:31" x14ac:dyDescent="0.25">
      <c r="A1010" s="38" t="s">
        <v>36</v>
      </c>
      <c r="B1010" s="38" t="s">
        <v>2147</v>
      </c>
      <c r="C1010" s="38" t="s">
        <v>2204</v>
      </c>
      <c r="D1010" s="38" t="s">
        <v>2217</v>
      </c>
      <c r="E1010" s="38" t="s">
        <v>2218</v>
      </c>
      <c r="F1010" s="38"/>
      <c r="G1010" s="38">
        <v>676</v>
      </c>
      <c r="H1010" s="38">
        <f t="shared" si="47"/>
        <v>1106</v>
      </c>
      <c r="I1010" s="38">
        <v>728</v>
      </c>
      <c r="J1010" s="38">
        <v>378</v>
      </c>
      <c r="K1010" s="38">
        <v>350</v>
      </c>
      <c r="L1010" s="50">
        <f t="shared" si="48"/>
        <v>31.645569620253166</v>
      </c>
      <c r="M1010" s="38">
        <v>0</v>
      </c>
      <c r="N1010" s="50">
        <f t="shared" si="49"/>
        <v>0</v>
      </c>
      <c r="O1010" s="38">
        <v>0</v>
      </c>
      <c r="P1010" s="38"/>
      <c r="Q1010" s="61" t="s">
        <v>43</v>
      </c>
      <c r="R1010" s="7">
        <v>44540</v>
      </c>
      <c r="S1010" s="61"/>
      <c r="T1010" s="61">
        <v>59</v>
      </c>
      <c r="U1010" s="61"/>
      <c r="V1010" s="61"/>
      <c r="W1010" s="61"/>
      <c r="X1010" s="61"/>
      <c r="Y1010" s="61"/>
      <c r="AB1010" s="87">
        <v>15</v>
      </c>
      <c r="AC1010" s="11" t="s">
        <v>2219</v>
      </c>
      <c r="AD1010" s="61"/>
      <c r="AE1010" s="61"/>
    </row>
    <row r="1011" spans="1:31" x14ac:dyDescent="0.25">
      <c r="A1011" s="38" t="s">
        <v>36</v>
      </c>
      <c r="B1011" s="38" t="s">
        <v>2147</v>
      </c>
      <c r="C1011" s="38" t="s">
        <v>2204</v>
      </c>
      <c r="D1011" s="38" t="s">
        <v>2220</v>
      </c>
      <c r="E1011" s="38" t="s">
        <v>2221</v>
      </c>
      <c r="F1011" s="38"/>
      <c r="G1011" s="38">
        <v>793</v>
      </c>
      <c r="H1011" s="38">
        <f t="shared" si="47"/>
        <v>1536</v>
      </c>
      <c r="I1011" s="38">
        <v>1011</v>
      </c>
      <c r="J1011" s="38">
        <v>525</v>
      </c>
      <c r="K1011" s="38">
        <v>486</v>
      </c>
      <c r="L1011" s="50">
        <f t="shared" si="48"/>
        <v>31.640625</v>
      </c>
      <c r="M1011" s="38">
        <v>0</v>
      </c>
      <c r="N1011" s="50">
        <f t="shared" si="49"/>
        <v>0</v>
      </c>
      <c r="O1011" s="38">
        <v>0</v>
      </c>
      <c r="P1011" s="38"/>
      <c r="Q1011" s="61" t="s">
        <v>43</v>
      </c>
      <c r="R1011" s="7">
        <v>44540</v>
      </c>
      <c r="S1011" s="61"/>
      <c r="T1011" s="61">
        <v>112</v>
      </c>
      <c r="U1011" s="61"/>
      <c r="V1011" s="61"/>
      <c r="W1011" s="61"/>
      <c r="X1011" s="61"/>
      <c r="Y1011" s="61"/>
      <c r="AB1011" s="87">
        <v>41</v>
      </c>
      <c r="AC1011" s="11" t="s">
        <v>2222</v>
      </c>
      <c r="AD1011" s="61"/>
      <c r="AE1011" s="61"/>
    </row>
    <row r="1012" spans="1:31" x14ac:dyDescent="0.25">
      <c r="A1012" s="38" t="s">
        <v>36</v>
      </c>
      <c r="B1012" s="38" t="s">
        <v>2147</v>
      </c>
      <c r="C1012" s="38" t="s">
        <v>2204</v>
      </c>
      <c r="D1012" s="38" t="s">
        <v>2223</v>
      </c>
      <c r="E1012" s="38" t="s">
        <v>2224</v>
      </c>
      <c r="F1012" s="38">
        <v>6279.3</v>
      </c>
      <c r="G1012" s="38">
        <v>603</v>
      </c>
      <c r="H1012" s="38">
        <f t="shared" si="47"/>
        <v>1042</v>
      </c>
      <c r="I1012" s="38">
        <v>678</v>
      </c>
      <c r="J1012" s="38">
        <v>364</v>
      </c>
      <c r="K1012" s="38">
        <v>314</v>
      </c>
      <c r="L1012" s="50">
        <f t="shared" si="48"/>
        <v>30.134357005758154</v>
      </c>
      <c r="M1012" s="38">
        <v>0</v>
      </c>
      <c r="N1012" s="50">
        <f t="shared" si="49"/>
        <v>0</v>
      </c>
      <c r="O1012" s="38">
        <v>0</v>
      </c>
      <c r="P1012" s="38">
        <v>610.04999999999995</v>
      </c>
      <c r="Q1012" s="61" t="s">
        <v>43</v>
      </c>
      <c r="R1012" s="7">
        <v>44540</v>
      </c>
      <c r="S1012" s="61"/>
      <c r="T1012" s="61">
        <v>60</v>
      </c>
      <c r="U1012" s="61"/>
      <c r="V1012" s="61"/>
      <c r="W1012" s="61"/>
      <c r="X1012" s="61"/>
      <c r="Y1012" s="61"/>
      <c r="AB1012" s="87">
        <v>20</v>
      </c>
      <c r="AC1012" s="11" t="s">
        <v>2225</v>
      </c>
      <c r="AD1012" s="61"/>
      <c r="AE1012" s="61"/>
    </row>
    <row r="1013" spans="1:31" x14ac:dyDescent="0.25">
      <c r="A1013" s="38" t="s">
        <v>36</v>
      </c>
      <c r="B1013" s="38" t="s">
        <v>2147</v>
      </c>
      <c r="C1013" s="38" t="s">
        <v>2226</v>
      </c>
      <c r="D1013" s="15" t="s">
        <v>2227</v>
      </c>
      <c r="E1013" s="38"/>
      <c r="F1013" s="38">
        <v>6279.3</v>
      </c>
      <c r="G1013" s="38"/>
      <c r="H1013" s="38">
        <f t="shared" si="47"/>
        <v>0</v>
      </c>
      <c r="I1013" s="38"/>
      <c r="J1013" s="38"/>
      <c r="K1013" s="38"/>
      <c r="L1013" s="50"/>
      <c r="M1013" s="38"/>
      <c r="N1013" s="50"/>
      <c r="O1013" s="38"/>
      <c r="P1013" s="38">
        <v>610.04999999999995</v>
      </c>
      <c r="Q1013" s="36" t="s">
        <v>43</v>
      </c>
      <c r="R1013" s="14">
        <v>44544</v>
      </c>
      <c r="S1013" s="36"/>
      <c r="T1013" s="36">
        <v>2</v>
      </c>
      <c r="U1013" s="36"/>
      <c r="V1013" s="36"/>
      <c r="W1013" s="36"/>
      <c r="X1013" s="36"/>
      <c r="Y1013" s="36"/>
      <c r="AB1013" s="87">
        <v>1</v>
      </c>
      <c r="AC1013" s="15" t="s">
        <v>2227</v>
      </c>
      <c r="AD1013" s="36"/>
      <c r="AE1013" s="36"/>
    </row>
    <row r="1014" spans="1:31" x14ac:dyDescent="0.25">
      <c r="A1014" s="38" t="s">
        <v>36</v>
      </c>
      <c r="B1014" s="38" t="s">
        <v>2147</v>
      </c>
      <c r="C1014" s="38" t="s">
        <v>2226</v>
      </c>
      <c r="D1014" s="15" t="s">
        <v>2229</v>
      </c>
      <c r="E1014" s="38"/>
      <c r="F1014" s="38">
        <v>6279.3</v>
      </c>
      <c r="G1014" s="38"/>
      <c r="H1014" s="38">
        <f t="shared" si="47"/>
        <v>0</v>
      </c>
      <c r="I1014" s="38"/>
      <c r="J1014" s="38"/>
      <c r="K1014" s="38"/>
      <c r="L1014" s="50"/>
      <c r="M1014" s="38"/>
      <c r="N1014" s="50"/>
      <c r="O1014" s="38"/>
      <c r="P1014" s="38">
        <v>610.04999999999995</v>
      </c>
      <c r="Q1014" s="36" t="s">
        <v>43</v>
      </c>
      <c r="R1014" s="14">
        <v>44544</v>
      </c>
      <c r="S1014" s="36"/>
      <c r="T1014" s="36">
        <v>482.4</v>
      </c>
      <c r="U1014" s="36"/>
      <c r="V1014" s="36"/>
      <c r="W1014" s="36"/>
      <c r="X1014" s="36"/>
      <c r="Y1014" s="36"/>
      <c r="AB1014" s="94"/>
      <c r="AC1014" s="15" t="s">
        <v>2229</v>
      </c>
      <c r="AD1014" s="36"/>
      <c r="AE1014" s="36"/>
    </row>
    <row r="1015" spans="1:31" x14ac:dyDescent="0.25">
      <c r="A1015" s="38" t="s">
        <v>36</v>
      </c>
      <c r="B1015" s="38" t="s">
        <v>2147</v>
      </c>
      <c r="C1015" s="38" t="s">
        <v>2226</v>
      </c>
      <c r="D1015" s="38" t="s">
        <v>2228</v>
      </c>
      <c r="E1015" s="38"/>
      <c r="F1015" s="38"/>
      <c r="G1015" s="38"/>
      <c r="H1015" s="38">
        <f t="shared" si="47"/>
        <v>0</v>
      </c>
      <c r="I1015" s="38"/>
      <c r="J1015" s="38"/>
      <c r="K1015" s="38"/>
      <c r="L1015" s="50"/>
      <c r="M1015" s="38"/>
      <c r="N1015" s="50"/>
      <c r="O1015" s="38"/>
      <c r="P1015" s="38"/>
      <c r="Q1015" s="35" t="s">
        <v>43</v>
      </c>
      <c r="R1015" s="100">
        <v>44544</v>
      </c>
      <c r="S1015" s="35"/>
      <c r="T1015" s="35">
        <v>25.92</v>
      </c>
      <c r="U1015" s="35"/>
      <c r="V1015" s="35"/>
      <c r="W1015" s="35"/>
      <c r="X1015" s="35"/>
      <c r="Y1015" s="35"/>
      <c r="AB1015" s="94"/>
      <c r="AC1015" s="73" t="s">
        <v>2230</v>
      </c>
      <c r="AD1015" s="35">
        <v>25.247572000000002</v>
      </c>
      <c r="AE1015" s="35">
        <v>70.897648000000004</v>
      </c>
    </row>
    <row r="1016" spans="1:31" x14ac:dyDescent="0.25">
      <c r="A1016" s="38" t="s">
        <v>36</v>
      </c>
      <c r="B1016" s="38" t="s">
        <v>2147</v>
      </c>
      <c r="C1016" s="38" t="s">
        <v>2226</v>
      </c>
      <c r="D1016" s="38" t="s">
        <v>2228</v>
      </c>
      <c r="E1016" s="38"/>
      <c r="F1016" s="38"/>
      <c r="G1016" s="38"/>
      <c r="H1016" s="38">
        <f t="shared" si="47"/>
        <v>0</v>
      </c>
      <c r="I1016" s="38"/>
      <c r="J1016" s="38"/>
      <c r="K1016" s="38"/>
      <c r="L1016" s="50"/>
      <c r="M1016" s="38"/>
      <c r="N1016" s="50"/>
      <c r="O1016" s="38"/>
      <c r="P1016" s="38"/>
      <c r="Q1016" s="35" t="s">
        <v>43</v>
      </c>
      <c r="R1016" s="100">
        <v>44544</v>
      </c>
      <c r="S1016" s="35"/>
      <c r="T1016" s="35">
        <v>7.2</v>
      </c>
      <c r="U1016" s="35"/>
      <c r="V1016" s="35"/>
      <c r="W1016" s="35"/>
      <c r="X1016" s="35"/>
      <c r="Y1016" s="35"/>
      <c r="AB1016" s="94"/>
      <c r="AC1016" s="73" t="s">
        <v>2231</v>
      </c>
      <c r="AD1016" s="35">
        <v>25.247373</v>
      </c>
      <c r="AE1016" s="35">
        <v>70.898520000000005</v>
      </c>
    </row>
    <row r="1017" spans="1:31" x14ac:dyDescent="0.25">
      <c r="A1017" s="38" t="s">
        <v>36</v>
      </c>
      <c r="B1017" s="38" t="s">
        <v>2147</v>
      </c>
      <c r="C1017" s="38" t="s">
        <v>2226</v>
      </c>
      <c r="D1017" s="38" t="s">
        <v>2228</v>
      </c>
      <c r="E1017" s="38" t="s">
        <v>2232</v>
      </c>
      <c r="F1017" s="38"/>
      <c r="G1017" s="38">
        <v>6279.3</v>
      </c>
      <c r="H1017" s="38">
        <f t="shared" si="47"/>
        <v>7336</v>
      </c>
      <c r="I1017" s="38">
        <v>4797</v>
      </c>
      <c r="J1017" s="38">
        <v>2539</v>
      </c>
      <c r="K1017" s="38">
        <v>2258</v>
      </c>
      <c r="L1017" s="50">
        <f t="shared" si="48"/>
        <v>30.779716466739366</v>
      </c>
      <c r="M1017" s="38">
        <v>664</v>
      </c>
      <c r="N1017" s="50">
        <f t="shared" si="49"/>
        <v>9.051254089422029</v>
      </c>
      <c r="O1017" s="38">
        <v>202</v>
      </c>
      <c r="P1017" s="38"/>
      <c r="Q1017" s="35" t="s">
        <v>43</v>
      </c>
      <c r="R1017" s="100">
        <v>44544</v>
      </c>
      <c r="S1017" s="35"/>
      <c r="T1017" s="35">
        <v>16.8</v>
      </c>
      <c r="U1017" s="35"/>
      <c r="V1017" s="35"/>
      <c r="W1017" s="35"/>
      <c r="X1017" s="35"/>
      <c r="Y1017" s="35"/>
      <c r="AB1017" s="85"/>
      <c r="AC1017" s="73" t="s">
        <v>2233</v>
      </c>
      <c r="AD1017" s="35">
        <v>25.244465000000002</v>
      </c>
      <c r="AE1017" s="35">
        <v>70.899377999999999</v>
      </c>
    </row>
    <row r="1018" spans="1:31" x14ac:dyDescent="0.25">
      <c r="A1018" s="38" t="s">
        <v>36</v>
      </c>
      <c r="B1018" s="38" t="s">
        <v>2147</v>
      </c>
      <c r="C1018" s="38" t="s">
        <v>2226</v>
      </c>
      <c r="D1018" s="38" t="s">
        <v>2228</v>
      </c>
      <c r="E1018" s="38" t="s">
        <v>2232</v>
      </c>
      <c r="F1018" s="38">
        <v>462</v>
      </c>
      <c r="G1018" s="38">
        <v>6279.3</v>
      </c>
      <c r="H1018" s="38">
        <f t="shared" si="47"/>
        <v>7336</v>
      </c>
      <c r="I1018" s="38">
        <v>4797</v>
      </c>
      <c r="J1018" s="38">
        <v>2539</v>
      </c>
      <c r="K1018" s="38">
        <v>2258</v>
      </c>
      <c r="L1018" s="50">
        <f t="shared" si="48"/>
        <v>30.779716466739366</v>
      </c>
      <c r="M1018" s="38">
        <v>664</v>
      </c>
      <c r="N1018" s="50">
        <f t="shared" si="49"/>
        <v>9.051254089422029</v>
      </c>
      <c r="O1018" s="38">
        <v>202</v>
      </c>
      <c r="P1018" s="38">
        <v>8</v>
      </c>
      <c r="Q1018" s="35" t="s">
        <v>43</v>
      </c>
      <c r="R1018" s="100">
        <v>44544</v>
      </c>
      <c r="S1018" s="35"/>
      <c r="T1018" s="35"/>
      <c r="U1018" s="35"/>
      <c r="V1018" s="35"/>
      <c r="W1018" s="35"/>
      <c r="X1018" s="35"/>
      <c r="Y1018" s="35"/>
      <c r="AC1018" s="73" t="s">
        <v>2234</v>
      </c>
      <c r="AD1018" s="35">
        <v>25.248070999999999</v>
      </c>
      <c r="AE1018" s="35">
        <v>70.898242999999994</v>
      </c>
    </row>
    <row r="1019" spans="1:31" x14ac:dyDescent="0.25">
      <c r="A1019" s="38" t="s">
        <v>36</v>
      </c>
      <c r="B1019" s="38" t="s">
        <v>2147</v>
      </c>
      <c r="C1019" s="38" t="s">
        <v>2226</v>
      </c>
      <c r="D1019" s="38" t="s">
        <v>2228</v>
      </c>
      <c r="E1019" s="38" t="s">
        <v>2232</v>
      </c>
      <c r="F1019" s="38">
        <v>664.51</v>
      </c>
      <c r="G1019" s="38">
        <v>6279.3</v>
      </c>
      <c r="H1019" s="38">
        <f t="shared" si="47"/>
        <v>7336</v>
      </c>
      <c r="I1019" s="38">
        <v>4797</v>
      </c>
      <c r="J1019" s="38">
        <v>2539</v>
      </c>
      <c r="K1019" s="38">
        <v>2258</v>
      </c>
      <c r="L1019" s="50">
        <f t="shared" si="48"/>
        <v>30.779716466739366</v>
      </c>
      <c r="M1019" s="38">
        <v>664</v>
      </c>
      <c r="N1019" s="50">
        <f t="shared" si="49"/>
        <v>9.051254089422029</v>
      </c>
      <c r="O1019" s="38">
        <v>202</v>
      </c>
      <c r="P1019" s="38">
        <v>0</v>
      </c>
      <c r="Q1019" s="35" t="s">
        <v>43</v>
      </c>
      <c r="R1019" s="14">
        <v>44544</v>
      </c>
      <c r="S1019" s="35"/>
      <c r="T1019" s="35"/>
      <c r="U1019" s="35"/>
      <c r="V1019" s="35"/>
      <c r="W1019" s="35"/>
      <c r="X1019" s="35"/>
      <c r="Y1019" s="35"/>
      <c r="AC1019" s="35" t="s">
        <v>2235</v>
      </c>
      <c r="AD1019" s="35">
        <v>25.258233000000001</v>
      </c>
      <c r="AE1019" s="35">
        <v>70.917660999999995</v>
      </c>
    </row>
    <row r="1020" spans="1:31" x14ac:dyDescent="0.25">
      <c r="A1020" s="38" t="s">
        <v>36</v>
      </c>
      <c r="B1020" s="38" t="s">
        <v>2147</v>
      </c>
      <c r="C1020" s="77" t="s">
        <v>2236</v>
      </c>
      <c r="D1020" s="77" t="s">
        <v>2236</v>
      </c>
      <c r="E1020" s="38"/>
      <c r="F1020" s="38">
        <v>610.99</v>
      </c>
      <c r="G1020" s="38"/>
      <c r="H1020" s="38">
        <f t="shared" si="47"/>
        <v>0</v>
      </c>
      <c r="I1020" s="38"/>
      <c r="J1020" s="38"/>
      <c r="K1020" s="38"/>
      <c r="L1020" s="50"/>
      <c r="M1020" s="38"/>
      <c r="N1020" s="50"/>
      <c r="O1020" s="38"/>
      <c r="P1020" s="38">
        <v>13.12</v>
      </c>
      <c r="Q1020" s="35" t="s">
        <v>43</v>
      </c>
      <c r="R1020" s="14">
        <v>44581</v>
      </c>
      <c r="S1020" s="35"/>
      <c r="T1020" s="35"/>
      <c r="U1020" s="35"/>
      <c r="V1020" s="35"/>
      <c r="W1020" s="35"/>
      <c r="X1020" s="35"/>
      <c r="Y1020" s="35"/>
      <c r="AC1020" s="35" t="s">
        <v>2237</v>
      </c>
      <c r="AD1020" s="35">
        <v>25.052465999999999</v>
      </c>
      <c r="AE1020" s="35">
        <v>70.993933999999996</v>
      </c>
    </row>
    <row r="1021" spans="1:31" x14ac:dyDescent="0.25">
      <c r="A1021" s="38" t="s">
        <v>36</v>
      </c>
      <c r="B1021" s="38" t="s">
        <v>2147</v>
      </c>
      <c r="C1021" s="77" t="s">
        <v>2236</v>
      </c>
      <c r="D1021" s="77" t="s">
        <v>2238</v>
      </c>
      <c r="E1021" s="38"/>
      <c r="F1021" s="38">
        <v>610.99</v>
      </c>
      <c r="G1021" s="38"/>
      <c r="H1021" s="38">
        <f t="shared" si="47"/>
        <v>0</v>
      </c>
      <c r="I1021" s="38"/>
      <c r="J1021" s="38"/>
      <c r="K1021" s="38"/>
      <c r="L1021" s="50"/>
      <c r="M1021" s="38"/>
      <c r="N1021" s="50"/>
      <c r="O1021" s="38"/>
      <c r="P1021" s="38">
        <v>13.12</v>
      </c>
      <c r="Q1021" s="35" t="s">
        <v>43</v>
      </c>
      <c r="R1021" s="14">
        <v>44581</v>
      </c>
      <c r="S1021" s="35"/>
      <c r="T1021" s="35"/>
      <c r="U1021" s="35"/>
      <c r="V1021" s="35"/>
      <c r="W1021" s="35"/>
      <c r="X1021" s="35"/>
      <c r="Y1021" s="35"/>
      <c r="AC1021" s="35" t="s">
        <v>2239</v>
      </c>
      <c r="AD1021" s="35">
        <v>25.065200999999998</v>
      </c>
      <c r="AE1021" s="35">
        <v>70.994792000000004</v>
      </c>
    </row>
    <row r="1022" spans="1:31" x14ac:dyDescent="0.25">
      <c r="A1022" s="38" t="s">
        <v>36</v>
      </c>
      <c r="B1022" s="38" t="s">
        <v>2147</v>
      </c>
      <c r="C1022" s="77" t="s">
        <v>2236</v>
      </c>
      <c r="D1022" s="15" t="s">
        <v>2240</v>
      </c>
      <c r="E1022" s="38"/>
      <c r="F1022" s="38">
        <v>400.05</v>
      </c>
      <c r="G1022" s="38"/>
      <c r="H1022" s="38">
        <f t="shared" si="47"/>
        <v>0</v>
      </c>
      <c r="I1022" s="38"/>
      <c r="J1022" s="38"/>
      <c r="K1022" s="38"/>
      <c r="L1022" s="50"/>
      <c r="M1022" s="38"/>
      <c r="N1022" s="50"/>
      <c r="O1022" s="38"/>
      <c r="P1022" s="38">
        <v>0</v>
      </c>
      <c r="Q1022" s="36" t="s">
        <v>43</v>
      </c>
      <c r="R1022" s="14">
        <v>44581</v>
      </c>
      <c r="S1022" s="36"/>
      <c r="T1022" s="36"/>
      <c r="U1022" s="36"/>
      <c r="V1022" s="36"/>
      <c r="W1022" s="36"/>
      <c r="X1022" s="36"/>
      <c r="Y1022" s="36"/>
      <c r="AC1022" s="15" t="s">
        <v>2240</v>
      </c>
      <c r="AD1022" s="36"/>
      <c r="AE1022" s="36"/>
    </row>
    <row r="1023" spans="1:31" x14ac:dyDescent="0.25">
      <c r="A1023" s="38" t="s">
        <v>36</v>
      </c>
      <c r="B1023" s="38" t="s">
        <v>2147</v>
      </c>
      <c r="C1023" s="38" t="s">
        <v>2241</v>
      </c>
      <c r="D1023" s="38" t="s">
        <v>2242</v>
      </c>
      <c r="E1023" s="38" t="s">
        <v>2243</v>
      </c>
      <c r="F1023" s="38">
        <v>4453.03</v>
      </c>
      <c r="G1023" s="38">
        <v>462</v>
      </c>
      <c r="H1023" s="38">
        <f t="shared" si="47"/>
        <v>865</v>
      </c>
      <c r="I1023" s="38">
        <v>567</v>
      </c>
      <c r="J1023" s="38">
        <v>298</v>
      </c>
      <c r="K1023" s="38">
        <v>269</v>
      </c>
      <c r="L1023" s="50">
        <f t="shared" si="48"/>
        <v>31.098265895953759</v>
      </c>
      <c r="M1023" s="38">
        <v>7</v>
      </c>
      <c r="N1023" s="50">
        <f t="shared" si="49"/>
        <v>0.80924855491329473</v>
      </c>
      <c r="O1023" s="38">
        <v>40</v>
      </c>
      <c r="P1023" s="38">
        <v>139.97</v>
      </c>
      <c r="T1023" s="11">
        <v>55.52</v>
      </c>
      <c r="AB1023" s="85"/>
    </row>
    <row r="1024" spans="1:31" x14ac:dyDescent="0.25">
      <c r="A1024" s="38" t="s">
        <v>36</v>
      </c>
      <c r="B1024" s="38" t="s">
        <v>2147</v>
      </c>
      <c r="C1024" s="38" t="s">
        <v>2241</v>
      </c>
      <c r="D1024" s="38" t="s">
        <v>2244</v>
      </c>
      <c r="E1024" s="38" t="s">
        <v>2245</v>
      </c>
      <c r="F1024" s="38">
        <v>2127</v>
      </c>
      <c r="G1024" s="38">
        <v>664.51</v>
      </c>
      <c r="H1024" s="38">
        <f t="shared" si="47"/>
        <v>1666</v>
      </c>
      <c r="I1024" s="38">
        <v>1097</v>
      </c>
      <c r="J1024" s="38">
        <v>569</v>
      </c>
      <c r="K1024" s="38">
        <v>528</v>
      </c>
      <c r="L1024" s="50">
        <f t="shared" si="48"/>
        <v>31.692677070828328</v>
      </c>
      <c r="M1024" s="38">
        <v>149</v>
      </c>
      <c r="N1024" s="50">
        <f t="shared" si="49"/>
        <v>8.9435774309723897</v>
      </c>
      <c r="O1024" s="38">
        <v>0</v>
      </c>
      <c r="P1024" s="38">
        <v>7</v>
      </c>
      <c r="T1024" s="11">
        <v>40</v>
      </c>
      <c r="AB1024" s="94"/>
    </row>
    <row r="1025" spans="1:31" x14ac:dyDescent="0.25">
      <c r="A1025" s="38" t="s">
        <v>36</v>
      </c>
      <c r="B1025" s="38" t="s">
        <v>2147</v>
      </c>
      <c r="C1025" s="38" t="s">
        <v>2241</v>
      </c>
      <c r="D1025" s="38" t="s">
        <v>2246</v>
      </c>
      <c r="E1025" s="38" t="s">
        <v>2247</v>
      </c>
      <c r="F1025" s="38">
        <v>665</v>
      </c>
      <c r="G1025" s="38">
        <v>610.99</v>
      </c>
      <c r="H1025" s="38">
        <f t="shared" si="47"/>
        <v>1959</v>
      </c>
      <c r="I1025" s="38">
        <v>1286</v>
      </c>
      <c r="J1025" s="38">
        <v>673</v>
      </c>
      <c r="K1025" s="38">
        <v>613</v>
      </c>
      <c r="L1025" s="50">
        <f t="shared" si="48"/>
        <v>31.29147524247065</v>
      </c>
      <c r="M1025" s="38">
        <v>186</v>
      </c>
      <c r="N1025" s="50">
        <f t="shared" si="49"/>
        <v>9.4946401225114858</v>
      </c>
      <c r="O1025" s="38">
        <v>0</v>
      </c>
      <c r="P1025" s="38">
        <v>0</v>
      </c>
      <c r="AC1025" s="117"/>
      <c r="AD1025" s="121"/>
    </row>
    <row r="1026" spans="1:31" x14ac:dyDescent="0.25">
      <c r="A1026" s="38" t="s">
        <v>36</v>
      </c>
      <c r="B1026" s="38" t="s">
        <v>2147</v>
      </c>
      <c r="C1026" s="38" t="s">
        <v>2241</v>
      </c>
      <c r="D1026" s="38" t="s">
        <v>2246</v>
      </c>
      <c r="E1026" s="38" t="s">
        <v>2247</v>
      </c>
      <c r="F1026" s="38">
        <v>351</v>
      </c>
      <c r="G1026" s="38">
        <v>610.99</v>
      </c>
      <c r="H1026" s="38">
        <f t="shared" si="47"/>
        <v>1959</v>
      </c>
      <c r="I1026" s="38">
        <v>1286</v>
      </c>
      <c r="J1026" s="38">
        <v>673</v>
      </c>
      <c r="K1026" s="38">
        <v>613</v>
      </c>
      <c r="L1026" s="50">
        <f t="shared" si="48"/>
        <v>31.29147524247065</v>
      </c>
      <c r="M1026" s="38">
        <v>186</v>
      </c>
      <c r="N1026" s="50">
        <f t="shared" si="49"/>
        <v>9.4946401225114858</v>
      </c>
      <c r="O1026" s="38">
        <v>0</v>
      </c>
      <c r="P1026" s="38">
        <v>0</v>
      </c>
      <c r="AC1026" s="117"/>
      <c r="AD1026" s="121"/>
    </row>
    <row r="1027" spans="1:31" x14ac:dyDescent="0.25">
      <c r="A1027" s="38" t="s">
        <v>36</v>
      </c>
      <c r="B1027" s="38" t="s">
        <v>2147</v>
      </c>
      <c r="C1027" s="38" t="s">
        <v>2241</v>
      </c>
      <c r="D1027" s="38" t="s">
        <v>1691</v>
      </c>
      <c r="E1027" s="38" t="s">
        <v>2248</v>
      </c>
      <c r="F1027" s="38">
        <v>563</v>
      </c>
      <c r="G1027" s="38">
        <v>400.05</v>
      </c>
      <c r="H1027" s="38">
        <f t="shared" si="47"/>
        <v>504</v>
      </c>
      <c r="I1027" s="38">
        <v>324</v>
      </c>
      <c r="J1027" s="38">
        <v>180</v>
      </c>
      <c r="K1027" s="38">
        <v>144</v>
      </c>
      <c r="L1027" s="50">
        <f t="shared" si="48"/>
        <v>28.571428571428569</v>
      </c>
      <c r="M1027" s="38">
        <v>0</v>
      </c>
      <c r="N1027" s="50">
        <f t="shared" si="49"/>
        <v>0</v>
      </c>
      <c r="O1027" s="38">
        <v>2.12</v>
      </c>
      <c r="P1027" s="38">
        <v>0</v>
      </c>
    </row>
    <row r="1028" spans="1:31" x14ac:dyDescent="0.25">
      <c r="A1028" s="38" t="s">
        <v>36</v>
      </c>
      <c r="B1028" s="38" t="s">
        <v>2147</v>
      </c>
      <c r="C1028" s="38" t="s">
        <v>2249</v>
      </c>
      <c r="D1028" s="38" t="s">
        <v>2250</v>
      </c>
      <c r="E1028" s="38" t="s">
        <v>2251</v>
      </c>
      <c r="F1028" s="38">
        <v>848</v>
      </c>
      <c r="G1028" s="38">
        <v>4453.03</v>
      </c>
      <c r="H1028" s="38">
        <f t="shared" si="47"/>
        <v>7648</v>
      </c>
      <c r="I1028" s="38">
        <v>5065</v>
      </c>
      <c r="J1028" s="38">
        <v>2583</v>
      </c>
      <c r="K1028" s="38">
        <v>2482</v>
      </c>
      <c r="L1028" s="50">
        <f t="shared" si="48"/>
        <v>32.452928870292887</v>
      </c>
      <c r="M1028" s="38">
        <v>300</v>
      </c>
      <c r="N1028" s="50">
        <f t="shared" si="49"/>
        <v>3.9225941422594142</v>
      </c>
      <c r="O1028" s="38">
        <v>11.33</v>
      </c>
      <c r="P1028" s="38">
        <v>77</v>
      </c>
      <c r="Q1028" s="36" t="s">
        <v>43</v>
      </c>
      <c r="R1028" s="14">
        <v>44581</v>
      </c>
      <c r="S1028" s="36"/>
      <c r="T1028" s="36">
        <v>32</v>
      </c>
      <c r="U1028" s="36"/>
      <c r="V1028" s="36"/>
      <c r="W1028" s="36"/>
      <c r="X1028" s="36"/>
      <c r="Y1028" s="36"/>
      <c r="AB1028" s="85"/>
      <c r="AC1028" s="15" t="s">
        <v>2252</v>
      </c>
      <c r="AD1028" s="36"/>
      <c r="AE1028" s="36"/>
    </row>
    <row r="1029" spans="1:31" x14ac:dyDescent="0.25">
      <c r="A1029" s="38" t="s">
        <v>36</v>
      </c>
      <c r="B1029" s="38" t="s">
        <v>2147</v>
      </c>
      <c r="C1029" s="38" t="s">
        <v>2253</v>
      </c>
      <c r="D1029" s="38" t="s">
        <v>2254</v>
      </c>
      <c r="E1029" s="38" t="s">
        <v>2255</v>
      </c>
      <c r="F1029" s="38">
        <v>757.73</v>
      </c>
      <c r="G1029" s="38">
        <v>2127</v>
      </c>
      <c r="H1029" s="38">
        <f t="shared" ref="H1029:H1092" si="50">I1029+J1029</f>
        <v>3160</v>
      </c>
      <c r="I1029" s="38">
        <v>2082</v>
      </c>
      <c r="J1029" s="38">
        <v>1078</v>
      </c>
      <c r="K1029" s="38">
        <v>1004</v>
      </c>
      <c r="L1029" s="50">
        <f t="shared" si="48"/>
        <v>31.772151898734176</v>
      </c>
      <c r="M1029" s="38">
        <v>115</v>
      </c>
      <c r="N1029" s="50">
        <f t="shared" si="49"/>
        <v>3.6392405063291138</v>
      </c>
      <c r="O1029" s="38">
        <v>0</v>
      </c>
      <c r="P1029" s="38">
        <v>4.0599999999999996</v>
      </c>
      <c r="Q1029" s="35" t="s">
        <v>43</v>
      </c>
      <c r="R1029" s="14">
        <v>44566</v>
      </c>
      <c r="S1029" s="35"/>
      <c r="T1029" s="35"/>
      <c r="U1029" s="35"/>
      <c r="V1029" s="35"/>
      <c r="W1029" s="35"/>
      <c r="X1029" s="35"/>
      <c r="Y1029" s="35"/>
      <c r="AC1029" s="35" t="s">
        <v>2256</v>
      </c>
      <c r="AD1029" s="35">
        <v>25.307997</v>
      </c>
      <c r="AE1029" s="35">
        <v>71.114215999999999</v>
      </c>
    </row>
    <row r="1030" spans="1:31" x14ac:dyDescent="0.25">
      <c r="A1030" s="38" t="s">
        <v>36</v>
      </c>
      <c r="B1030" s="38" t="s">
        <v>2147</v>
      </c>
      <c r="C1030" s="38" t="s">
        <v>2253</v>
      </c>
      <c r="D1030" s="38" t="s">
        <v>2257</v>
      </c>
      <c r="E1030" s="38" t="s">
        <v>2258</v>
      </c>
      <c r="F1030" s="38">
        <v>415.1</v>
      </c>
      <c r="G1030" s="38">
        <v>665</v>
      </c>
      <c r="H1030" s="38">
        <f t="shared" si="50"/>
        <v>1001</v>
      </c>
      <c r="I1030" s="38">
        <v>650</v>
      </c>
      <c r="J1030" s="38">
        <v>351</v>
      </c>
      <c r="K1030" s="38">
        <v>299</v>
      </c>
      <c r="L1030" s="50">
        <f t="shared" ref="L1030:L1093" si="51">K1030/H1030*100</f>
        <v>29.870129870129869</v>
      </c>
      <c r="M1030" s="38">
        <v>38</v>
      </c>
      <c r="N1030" s="50">
        <f t="shared" si="49"/>
        <v>3.796203796203796</v>
      </c>
      <c r="O1030" s="38">
        <v>0</v>
      </c>
      <c r="P1030" s="38">
        <v>0</v>
      </c>
    </row>
    <row r="1031" spans="1:31" x14ac:dyDescent="0.25">
      <c r="A1031" s="38" t="s">
        <v>36</v>
      </c>
      <c r="B1031" s="38" t="s">
        <v>2147</v>
      </c>
      <c r="C1031" s="38" t="s">
        <v>2253</v>
      </c>
      <c r="D1031" s="38" t="s">
        <v>2259</v>
      </c>
      <c r="E1031" s="38" t="s">
        <v>2260</v>
      </c>
      <c r="F1031" s="38">
        <v>575.53</v>
      </c>
      <c r="G1031" s="38">
        <v>351</v>
      </c>
      <c r="H1031" s="38">
        <f t="shared" si="50"/>
        <v>609</v>
      </c>
      <c r="I1031" s="38">
        <v>403</v>
      </c>
      <c r="J1031" s="38">
        <v>206</v>
      </c>
      <c r="K1031" s="38">
        <v>197</v>
      </c>
      <c r="L1031" s="50">
        <f t="shared" si="51"/>
        <v>32.348111658456489</v>
      </c>
      <c r="M1031" s="38">
        <v>75</v>
      </c>
      <c r="N1031" s="50">
        <f t="shared" si="49"/>
        <v>12.315270935960591</v>
      </c>
      <c r="O1031" s="38">
        <v>0</v>
      </c>
      <c r="P1031" s="38">
        <v>247.96</v>
      </c>
    </row>
    <row r="1032" spans="1:31" x14ac:dyDescent="0.25">
      <c r="A1032" s="38" t="s">
        <v>36</v>
      </c>
      <c r="B1032" s="38" t="s">
        <v>2147</v>
      </c>
      <c r="C1032" s="38" t="s">
        <v>2253</v>
      </c>
      <c r="D1032" s="38" t="s">
        <v>2261</v>
      </c>
      <c r="E1032" s="38" t="s">
        <v>2262</v>
      </c>
      <c r="F1032" s="38">
        <v>733.04</v>
      </c>
      <c r="G1032" s="38">
        <v>563</v>
      </c>
      <c r="H1032" s="38">
        <f t="shared" si="50"/>
        <v>922</v>
      </c>
      <c r="I1032" s="38">
        <v>602</v>
      </c>
      <c r="J1032" s="38">
        <v>320</v>
      </c>
      <c r="K1032" s="38">
        <v>282</v>
      </c>
      <c r="L1032" s="50">
        <f t="shared" si="51"/>
        <v>30.585683297180044</v>
      </c>
      <c r="M1032" s="38">
        <v>0</v>
      </c>
      <c r="N1032" s="50">
        <f t="shared" si="49"/>
        <v>0</v>
      </c>
      <c r="O1032" s="38">
        <v>0</v>
      </c>
      <c r="P1032" s="38">
        <v>0</v>
      </c>
    </row>
    <row r="1033" spans="1:31" x14ac:dyDescent="0.25">
      <c r="A1033" s="38" t="s">
        <v>36</v>
      </c>
      <c r="B1033" s="38" t="s">
        <v>2147</v>
      </c>
      <c r="C1033" s="38" t="s">
        <v>2253</v>
      </c>
      <c r="D1033" s="38" t="s">
        <v>2263</v>
      </c>
      <c r="E1033" s="38" t="s">
        <v>2264</v>
      </c>
      <c r="F1033" s="38">
        <v>806.2</v>
      </c>
      <c r="G1033" s="38">
        <v>848</v>
      </c>
      <c r="H1033" s="38">
        <f t="shared" si="50"/>
        <v>1020</v>
      </c>
      <c r="I1033" s="38">
        <v>678</v>
      </c>
      <c r="J1033" s="38">
        <v>342</v>
      </c>
      <c r="K1033" s="38">
        <v>336</v>
      </c>
      <c r="L1033" s="50">
        <f t="shared" si="51"/>
        <v>32.941176470588232</v>
      </c>
      <c r="M1033" s="38">
        <v>67</v>
      </c>
      <c r="N1033" s="50">
        <f t="shared" si="49"/>
        <v>6.5686274509803928</v>
      </c>
      <c r="O1033" s="38">
        <v>0</v>
      </c>
      <c r="P1033" s="38">
        <v>317.04000000000002</v>
      </c>
      <c r="Q1033" s="36" t="s">
        <v>43</v>
      </c>
      <c r="R1033" s="14">
        <v>44566</v>
      </c>
      <c r="S1033" s="36"/>
      <c r="T1033" s="36">
        <v>310.56</v>
      </c>
      <c r="U1033" s="36"/>
      <c r="V1033" s="36"/>
      <c r="W1033" s="36"/>
      <c r="X1033" s="36"/>
      <c r="Y1033" s="36"/>
      <c r="AB1033" s="94"/>
      <c r="AC1033" s="15" t="s">
        <v>2265</v>
      </c>
      <c r="AD1033" s="36"/>
      <c r="AE1033" s="36"/>
    </row>
    <row r="1034" spans="1:31" x14ac:dyDescent="0.25">
      <c r="A1034" s="38" t="s">
        <v>36</v>
      </c>
      <c r="B1034" s="38" t="s">
        <v>2147</v>
      </c>
      <c r="C1034" s="38" t="s">
        <v>2266</v>
      </c>
      <c r="D1034" s="38" t="s">
        <v>2266</v>
      </c>
      <c r="E1034" s="38" t="s">
        <v>2267</v>
      </c>
      <c r="F1034" s="38">
        <v>1485.32</v>
      </c>
      <c r="G1034" s="38">
        <v>757.73</v>
      </c>
      <c r="H1034" s="38">
        <f t="shared" si="50"/>
        <v>1555</v>
      </c>
      <c r="I1034" s="38">
        <v>1022</v>
      </c>
      <c r="J1034" s="38">
        <v>533</v>
      </c>
      <c r="K1034" s="38">
        <v>489</v>
      </c>
      <c r="L1034" s="50">
        <f t="shared" si="51"/>
        <v>31.44694533762058</v>
      </c>
      <c r="M1034" s="38">
        <v>1</v>
      </c>
      <c r="N1034" s="50">
        <f t="shared" si="49"/>
        <v>6.4308681672025719E-2</v>
      </c>
      <c r="O1034" s="38">
        <v>0</v>
      </c>
      <c r="P1034" s="38">
        <v>86.14</v>
      </c>
      <c r="AC1034" s="117"/>
      <c r="AD1034" s="121"/>
    </row>
    <row r="1035" spans="1:31" x14ac:dyDescent="0.25">
      <c r="A1035" s="38" t="s">
        <v>36</v>
      </c>
      <c r="B1035" s="38" t="s">
        <v>2147</v>
      </c>
      <c r="C1035" s="38" t="s">
        <v>2266</v>
      </c>
      <c r="D1035" s="38" t="s">
        <v>2268</v>
      </c>
      <c r="E1035" s="38" t="s">
        <v>2269</v>
      </c>
      <c r="F1035" s="38">
        <v>1084.68</v>
      </c>
      <c r="G1035" s="38">
        <v>415.1</v>
      </c>
      <c r="H1035" s="38">
        <f t="shared" si="50"/>
        <v>1034</v>
      </c>
      <c r="I1035" s="38">
        <v>679</v>
      </c>
      <c r="J1035" s="38">
        <v>355</v>
      </c>
      <c r="K1035" s="38">
        <v>324</v>
      </c>
      <c r="L1035" s="50">
        <f t="shared" si="51"/>
        <v>31.334622823984525</v>
      </c>
      <c r="M1035" s="38">
        <v>0</v>
      </c>
      <c r="N1035" s="50">
        <f t="shared" si="49"/>
        <v>0</v>
      </c>
      <c r="O1035" s="38">
        <v>0</v>
      </c>
      <c r="P1035" s="38">
        <v>8</v>
      </c>
      <c r="T1035" s="11">
        <v>8</v>
      </c>
      <c r="AB1035" s="87"/>
    </row>
    <row r="1036" spans="1:31" x14ac:dyDescent="0.25">
      <c r="A1036" s="38" t="s">
        <v>36</v>
      </c>
      <c r="B1036" s="38" t="s">
        <v>2147</v>
      </c>
      <c r="C1036" s="38" t="s">
        <v>2266</v>
      </c>
      <c r="D1036" s="38" t="s">
        <v>2270</v>
      </c>
      <c r="E1036" s="38" t="s">
        <v>2271</v>
      </c>
      <c r="F1036" s="38">
        <v>525.08000000000004</v>
      </c>
      <c r="G1036" s="38">
        <v>575.53</v>
      </c>
      <c r="H1036" s="38">
        <f t="shared" si="50"/>
        <v>492</v>
      </c>
      <c r="I1036" s="38">
        <v>323</v>
      </c>
      <c r="J1036" s="38">
        <v>169</v>
      </c>
      <c r="K1036" s="38">
        <v>154</v>
      </c>
      <c r="L1036" s="50">
        <f t="shared" si="51"/>
        <v>31.300813008130078</v>
      </c>
      <c r="M1036" s="38">
        <v>0</v>
      </c>
      <c r="N1036" s="50">
        <f t="shared" si="49"/>
        <v>0</v>
      </c>
      <c r="O1036" s="38">
        <v>0</v>
      </c>
      <c r="P1036" s="38">
        <v>0</v>
      </c>
      <c r="T1036" s="11">
        <v>13.771199999999999</v>
      </c>
      <c r="AB1036" s="94"/>
    </row>
    <row r="1037" spans="1:31" x14ac:dyDescent="0.25">
      <c r="A1037" s="38" t="s">
        <v>36</v>
      </c>
      <c r="B1037" s="38" t="s">
        <v>2147</v>
      </c>
      <c r="C1037" s="38" t="s">
        <v>2266</v>
      </c>
      <c r="D1037" s="38" t="s">
        <v>2272</v>
      </c>
      <c r="E1037" s="38" t="s">
        <v>2273</v>
      </c>
      <c r="F1037" s="38">
        <v>989.11</v>
      </c>
      <c r="G1037" s="38">
        <v>733.04</v>
      </c>
      <c r="H1037" s="38">
        <f t="shared" si="50"/>
        <v>1088</v>
      </c>
      <c r="I1037" s="38">
        <v>728</v>
      </c>
      <c r="J1037" s="38">
        <v>360</v>
      </c>
      <c r="K1037" s="38">
        <v>368</v>
      </c>
      <c r="L1037" s="50">
        <f t="shared" si="51"/>
        <v>33.82352941176471</v>
      </c>
      <c r="M1037" s="38">
        <v>0</v>
      </c>
      <c r="N1037" s="50">
        <f t="shared" si="49"/>
        <v>0</v>
      </c>
      <c r="O1037" s="38">
        <v>0</v>
      </c>
      <c r="P1037" s="38">
        <v>74.02</v>
      </c>
      <c r="T1037" s="11">
        <v>72.959999999999994</v>
      </c>
      <c r="AB1037" s="20"/>
    </row>
    <row r="1038" spans="1:31" x14ac:dyDescent="0.25">
      <c r="A1038" s="38" t="s">
        <v>36</v>
      </c>
      <c r="B1038" s="38" t="s">
        <v>2147</v>
      </c>
      <c r="C1038" s="38" t="s">
        <v>2147</v>
      </c>
      <c r="D1038" s="38" t="s">
        <v>2274</v>
      </c>
      <c r="E1038" s="38" t="s">
        <v>2275</v>
      </c>
      <c r="F1038" s="38"/>
      <c r="G1038" s="38">
        <v>806.2</v>
      </c>
      <c r="H1038" s="38">
        <f t="shared" si="50"/>
        <v>4330</v>
      </c>
      <c r="I1038" s="38">
        <v>2837</v>
      </c>
      <c r="J1038" s="38">
        <v>1493</v>
      </c>
      <c r="K1038" s="38">
        <v>1344</v>
      </c>
      <c r="L1038" s="50">
        <f t="shared" si="51"/>
        <v>31.039260969976905</v>
      </c>
      <c r="M1038" s="38">
        <v>477</v>
      </c>
      <c r="N1038" s="50">
        <f t="shared" si="49"/>
        <v>11.016166281755197</v>
      </c>
      <c r="O1038" s="38">
        <v>0</v>
      </c>
      <c r="P1038" s="38"/>
      <c r="Q1038" s="35" t="s">
        <v>43</v>
      </c>
      <c r="R1038" s="14">
        <v>44553</v>
      </c>
      <c r="S1038" s="35"/>
      <c r="T1038" s="35">
        <v>72.959999999999994</v>
      </c>
      <c r="U1038" s="35"/>
      <c r="V1038" s="35"/>
      <c r="W1038" s="35"/>
      <c r="X1038" s="35"/>
      <c r="Y1038" s="35"/>
      <c r="AB1038" s="85">
        <v>25</v>
      </c>
      <c r="AC1038" s="35" t="s">
        <v>2276</v>
      </c>
      <c r="AD1038" s="35">
        <v>25.236597</v>
      </c>
      <c r="AE1038" s="35">
        <v>71.130191999999994</v>
      </c>
    </row>
    <row r="1039" spans="1:31" x14ac:dyDescent="0.25">
      <c r="A1039" s="38" t="s">
        <v>36</v>
      </c>
      <c r="B1039" s="38" t="s">
        <v>2147</v>
      </c>
      <c r="C1039" s="33" t="s">
        <v>2147</v>
      </c>
      <c r="D1039" s="38" t="s">
        <v>2277</v>
      </c>
      <c r="E1039" s="38" t="s">
        <v>2278</v>
      </c>
      <c r="F1039" s="38">
        <v>875.08</v>
      </c>
      <c r="G1039" s="38">
        <v>1485.32</v>
      </c>
      <c r="H1039" s="38">
        <f t="shared" si="50"/>
        <v>2682</v>
      </c>
      <c r="I1039" s="38">
        <v>1748</v>
      </c>
      <c r="J1039" s="38">
        <v>934</v>
      </c>
      <c r="K1039" s="38">
        <v>814</v>
      </c>
      <c r="L1039" s="50">
        <f t="shared" si="51"/>
        <v>30.350484712900823</v>
      </c>
      <c r="M1039" s="38">
        <v>410</v>
      </c>
      <c r="N1039" s="50">
        <f t="shared" si="49"/>
        <v>15.287099179716629</v>
      </c>
      <c r="O1039" s="38">
        <v>0</v>
      </c>
      <c r="P1039" s="38">
        <v>0</v>
      </c>
      <c r="T1039" s="11">
        <v>189.6</v>
      </c>
      <c r="AB1039" s="94"/>
    </row>
    <row r="1040" spans="1:31" x14ac:dyDescent="0.25">
      <c r="A1040" s="38" t="s">
        <v>36</v>
      </c>
      <c r="B1040" s="38" t="s">
        <v>2147</v>
      </c>
      <c r="C1040" s="38" t="s">
        <v>2147</v>
      </c>
      <c r="D1040" s="38" t="s">
        <v>2279</v>
      </c>
      <c r="E1040" s="38" t="s">
        <v>2280</v>
      </c>
      <c r="G1040" s="38">
        <v>1084.68</v>
      </c>
      <c r="H1040" s="38">
        <f t="shared" si="50"/>
        <v>1758</v>
      </c>
      <c r="I1040" s="38">
        <v>1166</v>
      </c>
      <c r="J1040" s="38">
        <v>592</v>
      </c>
      <c r="K1040" s="38">
        <v>574</v>
      </c>
      <c r="L1040" s="50">
        <f t="shared" si="51"/>
        <v>32.650739476678041</v>
      </c>
      <c r="M1040" s="38">
        <v>152</v>
      </c>
      <c r="N1040" s="50">
        <f t="shared" si="49"/>
        <v>8.6461888509670093</v>
      </c>
      <c r="O1040" s="38">
        <v>0</v>
      </c>
      <c r="P1040" s="38"/>
      <c r="Q1040" s="35" t="s">
        <v>43</v>
      </c>
      <c r="R1040" s="100">
        <v>44553</v>
      </c>
      <c r="S1040" s="35"/>
      <c r="T1040" s="35"/>
      <c r="U1040" s="35"/>
      <c r="V1040" s="35"/>
      <c r="W1040" s="35"/>
      <c r="X1040" s="35"/>
      <c r="Y1040" s="35"/>
      <c r="AC1040" s="35" t="s">
        <v>2281</v>
      </c>
      <c r="AD1040" s="35">
        <v>25.223264</v>
      </c>
      <c r="AE1040" s="35">
        <v>71.118746999999999</v>
      </c>
    </row>
    <row r="1041" spans="1:31" x14ac:dyDescent="0.25">
      <c r="A1041" s="38" t="s">
        <v>36</v>
      </c>
      <c r="B1041" s="38" t="s">
        <v>2147</v>
      </c>
      <c r="C1041" s="38" t="s">
        <v>2147</v>
      </c>
      <c r="D1041" s="38" t="s">
        <v>2282</v>
      </c>
      <c r="E1041" s="38" t="s">
        <v>2283</v>
      </c>
      <c r="F1041" s="38">
        <v>1343.88</v>
      </c>
      <c r="G1041" s="38">
        <v>525.08000000000004</v>
      </c>
      <c r="H1041" s="38">
        <f t="shared" si="50"/>
        <v>1480</v>
      </c>
      <c r="I1041" s="38">
        <v>986</v>
      </c>
      <c r="J1041" s="38">
        <v>494</v>
      </c>
      <c r="K1041" s="38">
        <v>492</v>
      </c>
      <c r="L1041" s="50">
        <f t="shared" si="51"/>
        <v>33.243243243243242</v>
      </c>
      <c r="M1041" s="38">
        <v>356</v>
      </c>
      <c r="N1041" s="50">
        <f t="shared" si="49"/>
        <v>24.054054054054056</v>
      </c>
      <c r="O1041" s="38">
        <v>0</v>
      </c>
      <c r="P1041" s="38">
        <v>20.56</v>
      </c>
      <c r="Q1041" s="35" t="s">
        <v>43</v>
      </c>
      <c r="R1041" s="14">
        <v>44553</v>
      </c>
      <c r="S1041" s="35"/>
      <c r="T1041" s="35"/>
      <c r="U1041" s="35"/>
      <c r="V1041" s="35"/>
      <c r="W1041" s="35"/>
      <c r="X1041" s="35"/>
      <c r="Y1041" s="35"/>
      <c r="AC1041" s="35" t="s">
        <v>2284</v>
      </c>
      <c r="AD1041" s="35">
        <v>25.222145999999999</v>
      </c>
      <c r="AE1041" s="35">
        <v>71.140170999999995</v>
      </c>
    </row>
    <row r="1042" spans="1:31" x14ac:dyDescent="0.25">
      <c r="A1042" s="38" t="s">
        <v>36</v>
      </c>
      <c r="B1042" s="38" t="s">
        <v>2147</v>
      </c>
      <c r="C1042" s="38" t="s">
        <v>2147</v>
      </c>
      <c r="D1042" s="38" t="s">
        <v>2285</v>
      </c>
      <c r="E1042" s="38" t="s">
        <v>2286</v>
      </c>
      <c r="F1042" s="38"/>
      <c r="G1042" s="38">
        <v>989.11</v>
      </c>
      <c r="H1042" s="38">
        <f t="shared" si="50"/>
        <v>1692</v>
      </c>
      <c r="I1042" s="38">
        <v>1112</v>
      </c>
      <c r="J1042" s="38">
        <v>580</v>
      </c>
      <c r="K1042" s="38">
        <v>532</v>
      </c>
      <c r="L1042" s="50">
        <f t="shared" si="51"/>
        <v>31.442080378250591</v>
      </c>
      <c r="M1042" s="38">
        <v>61</v>
      </c>
      <c r="N1042" s="50">
        <f t="shared" si="49"/>
        <v>3.605200945626478</v>
      </c>
      <c r="O1042" s="38">
        <v>0</v>
      </c>
      <c r="P1042" s="38"/>
      <c r="Q1042" s="61" t="s">
        <v>43</v>
      </c>
      <c r="R1042" s="7">
        <v>44207</v>
      </c>
      <c r="S1042" s="61"/>
      <c r="T1042" s="61">
        <v>0</v>
      </c>
      <c r="U1042" s="61"/>
      <c r="V1042" s="61"/>
      <c r="W1042" s="61"/>
      <c r="X1042" s="61"/>
      <c r="Y1042" s="61"/>
      <c r="AB1042" s="85"/>
      <c r="AC1042" s="11" t="s">
        <v>2287</v>
      </c>
      <c r="AD1042" s="61">
        <v>25.214293000000001</v>
      </c>
      <c r="AE1042" s="61">
        <v>71.152079999999998</v>
      </c>
    </row>
    <row r="1043" spans="1:31" x14ac:dyDescent="0.25">
      <c r="A1043" s="38" t="s">
        <v>36</v>
      </c>
      <c r="B1043" s="38" t="s">
        <v>2147</v>
      </c>
      <c r="C1043" s="38" t="s">
        <v>2147</v>
      </c>
      <c r="D1043" s="38" t="s">
        <v>2285</v>
      </c>
      <c r="E1043" s="38"/>
      <c r="F1043" s="38"/>
      <c r="G1043" s="38"/>
      <c r="H1043" s="38">
        <f t="shared" si="50"/>
        <v>0</v>
      </c>
      <c r="I1043" s="38"/>
      <c r="J1043" s="38"/>
      <c r="K1043" s="38"/>
      <c r="L1043" s="50"/>
      <c r="M1043" s="38"/>
      <c r="N1043" s="50"/>
      <c r="O1043" s="38"/>
      <c r="P1043" s="38"/>
      <c r="Q1043" s="7" t="s">
        <v>43</v>
      </c>
      <c r="R1043" s="36"/>
      <c r="S1043" s="36"/>
      <c r="T1043" s="251">
        <v>0</v>
      </c>
      <c r="U1043" s="86"/>
      <c r="V1043" s="86"/>
      <c r="W1043" s="86"/>
      <c r="X1043" s="86"/>
      <c r="Y1043" s="86"/>
      <c r="AB1043" s="85"/>
      <c r="AC1043" s="15" t="s">
        <v>2287</v>
      </c>
      <c r="AD1043" s="36">
        <v>25.214293000000001</v>
      </c>
      <c r="AE1043" s="36">
        <v>71.152079999999998</v>
      </c>
    </row>
    <row r="1044" spans="1:31" x14ac:dyDescent="0.25">
      <c r="A1044" s="38" t="s">
        <v>36</v>
      </c>
      <c r="B1044" s="38" t="s">
        <v>2147</v>
      </c>
      <c r="C1044" s="38" t="s">
        <v>2147</v>
      </c>
      <c r="D1044" s="38" t="s">
        <v>1670</v>
      </c>
      <c r="E1044" s="38" t="s">
        <v>2288</v>
      </c>
      <c r="F1044" s="38"/>
      <c r="G1044" s="38">
        <v>875.08</v>
      </c>
      <c r="H1044" s="38">
        <f t="shared" si="50"/>
        <v>1434</v>
      </c>
      <c r="I1044" s="38">
        <v>942</v>
      </c>
      <c r="J1044" s="38">
        <v>492</v>
      </c>
      <c r="K1044" s="38">
        <v>450</v>
      </c>
      <c r="L1044" s="50">
        <f t="shared" si="51"/>
        <v>31.380753138075313</v>
      </c>
      <c r="M1044" s="38">
        <v>0</v>
      </c>
      <c r="N1044" s="50">
        <f t="shared" si="49"/>
        <v>0</v>
      </c>
      <c r="O1044" s="38">
        <v>192.08</v>
      </c>
      <c r="P1044" s="38"/>
      <c r="Q1044" s="35" t="s">
        <v>43</v>
      </c>
      <c r="R1044" s="14">
        <v>44207</v>
      </c>
      <c r="S1044" s="35"/>
      <c r="T1044" s="35">
        <v>0</v>
      </c>
      <c r="U1044" s="35"/>
      <c r="V1044" s="35"/>
      <c r="W1044" s="35"/>
      <c r="X1044" s="35"/>
      <c r="Y1044" s="35"/>
      <c r="AB1044" s="85"/>
      <c r="AC1044" s="35" t="s">
        <v>2289</v>
      </c>
      <c r="AD1044" s="35">
        <v>25.272777000000001</v>
      </c>
      <c r="AE1044" s="35">
        <v>71.121831</v>
      </c>
    </row>
    <row r="1045" spans="1:31" x14ac:dyDescent="0.25">
      <c r="A1045" s="38" t="s">
        <v>36</v>
      </c>
      <c r="B1045" s="38" t="s">
        <v>2147</v>
      </c>
      <c r="C1045" s="38" t="s">
        <v>2290</v>
      </c>
      <c r="D1045" s="38" t="s">
        <v>2290</v>
      </c>
      <c r="F1045" s="38"/>
      <c r="H1045" s="38">
        <f t="shared" si="50"/>
        <v>0</v>
      </c>
      <c r="L1045" s="50"/>
      <c r="N1045" s="50"/>
      <c r="O1045" s="38"/>
      <c r="P1045" s="38"/>
      <c r="T1045" s="11">
        <v>0</v>
      </c>
      <c r="AB1045" s="85"/>
      <c r="AC1045" s="117"/>
      <c r="AD1045" s="117"/>
    </row>
    <row r="1046" spans="1:31" x14ac:dyDescent="0.25">
      <c r="A1046" s="38" t="s">
        <v>36</v>
      </c>
      <c r="B1046" s="38" t="s">
        <v>2147</v>
      </c>
      <c r="C1046" s="38" t="s">
        <v>2290</v>
      </c>
      <c r="D1046" s="38" t="s">
        <v>2291</v>
      </c>
      <c r="E1046" s="38" t="s">
        <v>2292</v>
      </c>
      <c r="F1046" s="38"/>
      <c r="G1046" s="38">
        <v>1343.88</v>
      </c>
      <c r="H1046" s="38">
        <f t="shared" si="50"/>
        <v>2234</v>
      </c>
      <c r="I1046" s="38">
        <v>1441</v>
      </c>
      <c r="J1046" s="38">
        <v>793</v>
      </c>
      <c r="K1046" s="38">
        <v>648</v>
      </c>
      <c r="L1046" s="50">
        <f t="shared" si="51"/>
        <v>29.006266786034018</v>
      </c>
      <c r="M1046" s="38">
        <v>291</v>
      </c>
      <c r="N1046" s="50">
        <f t="shared" si="49"/>
        <v>13.025962399283797</v>
      </c>
      <c r="O1046" s="38">
        <v>0</v>
      </c>
      <c r="P1046" s="38"/>
      <c r="T1046" s="11">
        <v>0</v>
      </c>
      <c r="AB1046" s="85"/>
    </row>
    <row r="1047" spans="1:31" x14ac:dyDescent="0.25">
      <c r="A1047" s="38" t="s">
        <v>36</v>
      </c>
      <c r="B1047" s="38" t="s">
        <v>2147</v>
      </c>
      <c r="C1047" s="15" t="s">
        <v>2293</v>
      </c>
      <c r="D1047" s="15" t="s">
        <v>2294</v>
      </c>
      <c r="E1047" s="38"/>
      <c r="F1047" s="38"/>
      <c r="G1047" s="38"/>
      <c r="H1047" s="38">
        <f t="shared" si="50"/>
        <v>0</v>
      </c>
      <c r="I1047" s="38"/>
      <c r="J1047" s="38"/>
      <c r="K1047" s="38"/>
      <c r="L1047" s="50"/>
      <c r="M1047" s="38"/>
      <c r="N1047" s="50"/>
      <c r="O1047" s="38"/>
      <c r="P1047" s="38"/>
      <c r="Q1047" s="36" t="s">
        <v>43</v>
      </c>
      <c r="R1047" s="14">
        <v>44557</v>
      </c>
      <c r="S1047" s="36"/>
      <c r="T1047" s="36">
        <v>0</v>
      </c>
      <c r="U1047" s="36"/>
      <c r="V1047" s="36"/>
      <c r="W1047" s="36"/>
      <c r="X1047" s="36"/>
      <c r="Y1047" s="36"/>
      <c r="AB1047" s="85"/>
      <c r="AC1047" s="15" t="s">
        <v>2294</v>
      </c>
      <c r="AD1047" s="36">
        <v>0</v>
      </c>
      <c r="AE1047" s="36"/>
    </row>
    <row r="1048" spans="1:31" x14ac:dyDescent="0.25">
      <c r="A1048" s="38" t="s">
        <v>36</v>
      </c>
      <c r="B1048" s="38" t="s">
        <v>2147</v>
      </c>
      <c r="C1048" s="15" t="s">
        <v>2293</v>
      </c>
      <c r="D1048" s="15" t="s">
        <v>2295</v>
      </c>
      <c r="E1048" s="38"/>
      <c r="F1048" s="38"/>
      <c r="G1048" s="38"/>
      <c r="H1048" s="38">
        <f t="shared" si="50"/>
        <v>0</v>
      </c>
      <c r="I1048" s="38"/>
      <c r="J1048" s="38"/>
      <c r="K1048" s="38"/>
      <c r="L1048" s="50"/>
      <c r="M1048" s="38"/>
      <c r="N1048" s="50"/>
      <c r="O1048" s="38"/>
      <c r="P1048" s="38"/>
      <c r="Q1048" s="36" t="s">
        <v>43</v>
      </c>
      <c r="R1048" s="14">
        <v>44557</v>
      </c>
      <c r="S1048" s="36"/>
      <c r="T1048" s="36">
        <v>0</v>
      </c>
      <c r="U1048" s="36"/>
      <c r="V1048" s="36"/>
      <c r="W1048" s="36"/>
      <c r="X1048" s="36"/>
      <c r="Y1048" s="36"/>
      <c r="AB1048" s="87">
        <v>16</v>
      </c>
      <c r="AC1048" s="15" t="s">
        <v>2295</v>
      </c>
      <c r="AD1048" s="36">
        <v>0</v>
      </c>
      <c r="AE1048" s="36"/>
    </row>
    <row r="1049" spans="1:31" x14ac:dyDescent="0.25">
      <c r="A1049" s="38" t="s">
        <v>36</v>
      </c>
      <c r="B1049" s="38" t="s">
        <v>2147</v>
      </c>
      <c r="C1049" s="15" t="s">
        <v>2293</v>
      </c>
      <c r="D1049" s="15" t="s">
        <v>2296</v>
      </c>
      <c r="E1049" s="38"/>
      <c r="F1049" s="38"/>
      <c r="G1049" s="38"/>
      <c r="H1049" s="38">
        <f t="shared" si="50"/>
        <v>0</v>
      </c>
      <c r="I1049" s="38"/>
      <c r="J1049" s="38"/>
      <c r="K1049" s="38"/>
      <c r="L1049" s="50"/>
      <c r="M1049" s="38"/>
      <c r="N1049" s="50"/>
      <c r="O1049" s="38"/>
      <c r="P1049" s="38"/>
      <c r="Q1049" s="36" t="s">
        <v>43</v>
      </c>
      <c r="R1049" s="14">
        <v>44557</v>
      </c>
      <c r="S1049" s="36"/>
      <c r="T1049" s="36">
        <v>47.27</v>
      </c>
      <c r="U1049" s="36"/>
      <c r="V1049" s="36"/>
      <c r="W1049" s="36"/>
      <c r="X1049" s="36"/>
      <c r="Y1049" s="36"/>
      <c r="AB1049" s="87">
        <v>6</v>
      </c>
      <c r="AC1049" s="15" t="s">
        <v>2296</v>
      </c>
      <c r="AD1049" s="36">
        <v>0</v>
      </c>
      <c r="AE1049" s="36"/>
    </row>
    <row r="1050" spans="1:31" x14ac:dyDescent="0.25">
      <c r="A1050" s="38" t="s">
        <v>36</v>
      </c>
      <c r="B1050" s="38" t="s">
        <v>2147</v>
      </c>
      <c r="C1050" s="15" t="s">
        <v>2293</v>
      </c>
      <c r="D1050" s="15" t="s">
        <v>2297</v>
      </c>
      <c r="E1050" s="38"/>
      <c r="F1050" s="38"/>
      <c r="G1050" s="38"/>
      <c r="H1050" s="38">
        <f t="shared" si="50"/>
        <v>0</v>
      </c>
      <c r="I1050" s="38"/>
      <c r="J1050" s="38"/>
      <c r="K1050" s="38"/>
      <c r="L1050" s="50"/>
      <c r="M1050" s="38"/>
      <c r="N1050" s="50"/>
      <c r="O1050" s="38"/>
      <c r="P1050" s="38"/>
      <c r="Q1050" s="36" t="s">
        <v>43</v>
      </c>
      <c r="R1050" s="14">
        <v>44557</v>
      </c>
      <c r="S1050" s="36"/>
      <c r="T1050" s="36">
        <v>51.65</v>
      </c>
      <c r="U1050" s="36"/>
      <c r="V1050" s="36"/>
      <c r="W1050" s="36"/>
      <c r="X1050" s="36"/>
      <c r="Y1050" s="36"/>
      <c r="AB1050" s="87">
        <v>20</v>
      </c>
      <c r="AC1050" s="15" t="s">
        <v>2297</v>
      </c>
      <c r="AD1050" s="36">
        <v>0</v>
      </c>
      <c r="AE1050" s="36"/>
    </row>
    <row r="1051" spans="1:31" x14ac:dyDescent="0.25">
      <c r="A1051" s="38" t="s">
        <v>36</v>
      </c>
      <c r="B1051" s="38" t="s">
        <v>2147</v>
      </c>
      <c r="C1051" s="15" t="s">
        <v>2293</v>
      </c>
      <c r="D1051" s="15" t="s">
        <v>2298</v>
      </c>
      <c r="E1051" s="38"/>
      <c r="F1051" s="38">
        <v>2844.8</v>
      </c>
      <c r="G1051" s="38"/>
      <c r="H1051" s="38">
        <f t="shared" si="50"/>
        <v>0</v>
      </c>
      <c r="I1051" s="38"/>
      <c r="J1051" s="38"/>
      <c r="K1051" s="38"/>
      <c r="L1051" s="50"/>
      <c r="M1051" s="38"/>
      <c r="N1051" s="50"/>
      <c r="O1051" s="38"/>
      <c r="P1051" s="38">
        <v>182.23</v>
      </c>
      <c r="Q1051" s="36" t="s">
        <v>43</v>
      </c>
      <c r="R1051" s="14">
        <v>44557</v>
      </c>
      <c r="S1051" s="36"/>
      <c r="T1051" s="36">
        <v>156.47999999999999</v>
      </c>
      <c r="U1051" s="36"/>
      <c r="V1051" s="36"/>
      <c r="W1051" s="36"/>
      <c r="X1051" s="36"/>
      <c r="Y1051" s="36"/>
      <c r="AB1051" s="87"/>
      <c r="AC1051" s="15" t="s">
        <v>2298</v>
      </c>
      <c r="AD1051" s="36">
        <v>0</v>
      </c>
      <c r="AE1051" s="36"/>
    </row>
    <row r="1052" spans="1:31" x14ac:dyDescent="0.25">
      <c r="A1052" s="38" t="s">
        <v>36</v>
      </c>
      <c r="B1052" s="38" t="s">
        <v>2147</v>
      </c>
      <c r="C1052" s="15" t="s">
        <v>2293</v>
      </c>
      <c r="D1052" s="15" t="s">
        <v>2299</v>
      </c>
      <c r="E1052" s="38"/>
      <c r="F1052" s="38">
        <v>864.75</v>
      </c>
      <c r="G1052" s="38"/>
      <c r="H1052" s="38">
        <f t="shared" si="50"/>
        <v>0</v>
      </c>
      <c r="I1052" s="38"/>
      <c r="J1052" s="38"/>
      <c r="K1052" s="38"/>
      <c r="L1052" s="50"/>
      <c r="M1052" s="38"/>
      <c r="N1052" s="50"/>
      <c r="O1052" s="38"/>
      <c r="P1052" s="38">
        <v>6.9</v>
      </c>
      <c r="Q1052" s="36" t="s">
        <v>43</v>
      </c>
      <c r="R1052" s="14">
        <v>44557</v>
      </c>
      <c r="S1052" s="36"/>
      <c r="T1052" s="36"/>
      <c r="U1052" s="36"/>
      <c r="V1052" s="36"/>
      <c r="W1052" s="36"/>
      <c r="X1052" s="36"/>
      <c r="Y1052" s="36"/>
      <c r="AC1052" s="15" t="s">
        <v>2299</v>
      </c>
      <c r="AD1052" s="36">
        <v>0</v>
      </c>
      <c r="AE1052" s="36"/>
    </row>
    <row r="1053" spans="1:31" x14ac:dyDescent="0.25">
      <c r="A1053" s="38" t="s">
        <v>36</v>
      </c>
      <c r="B1053" s="38" t="s">
        <v>2147</v>
      </c>
      <c r="C1053" s="38" t="s">
        <v>2300</v>
      </c>
      <c r="D1053" s="74" t="s">
        <v>2301</v>
      </c>
      <c r="E1053" s="38"/>
      <c r="F1053" s="38">
        <v>864.75</v>
      </c>
      <c r="G1053" s="38"/>
      <c r="H1053" s="38">
        <f t="shared" si="50"/>
        <v>0</v>
      </c>
      <c r="I1053" s="38"/>
      <c r="J1053" s="38"/>
      <c r="K1053" s="38"/>
      <c r="L1053" s="50"/>
      <c r="M1053" s="38"/>
      <c r="N1053" s="50"/>
      <c r="O1053" s="38"/>
      <c r="P1053" s="38">
        <v>6.9</v>
      </c>
      <c r="Q1053" s="35"/>
      <c r="R1053" s="100">
        <v>44573</v>
      </c>
      <c r="S1053" s="35"/>
      <c r="T1053" s="35"/>
      <c r="U1053" s="35"/>
      <c r="V1053" s="35"/>
      <c r="W1053" s="35"/>
      <c r="X1053" s="35"/>
      <c r="Y1053" s="35"/>
      <c r="AC1053" s="35" t="s">
        <v>2302</v>
      </c>
      <c r="AD1053" s="35">
        <v>25.196304999999999</v>
      </c>
      <c r="AE1053" s="35">
        <v>70.945948000000001</v>
      </c>
    </row>
    <row r="1054" spans="1:31" x14ac:dyDescent="0.25">
      <c r="A1054" s="38" t="s">
        <v>36</v>
      </c>
      <c r="B1054" s="38" t="s">
        <v>2147</v>
      </c>
      <c r="C1054" s="38" t="s">
        <v>2300</v>
      </c>
      <c r="D1054" s="35" t="s">
        <v>2303</v>
      </c>
      <c r="E1054" s="38"/>
      <c r="F1054" s="38">
        <v>932.28</v>
      </c>
      <c r="G1054" s="38"/>
      <c r="H1054" s="38">
        <f t="shared" si="50"/>
        <v>0</v>
      </c>
      <c r="I1054" s="38"/>
      <c r="J1054" s="38"/>
      <c r="K1054" s="38"/>
      <c r="L1054" s="50"/>
      <c r="M1054" s="38"/>
      <c r="N1054" s="50"/>
      <c r="O1054" s="38"/>
      <c r="P1054" s="38">
        <v>0</v>
      </c>
      <c r="Q1054" s="35"/>
      <c r="R1054" s="100">
        <v>44573</v>
      </c>
      <c r="S1054" s="35"/>
      <c r="T1054" s="35"/>
      <c r="U1054" s="35"/>
      <c r="V1054" s="35"/>
      <c r="W1054" s="35"/>
      <c r="X1054" s="35"/>
      <c r="Y1054" s="35"/>
      <c r="AC1054" s="35" t="s">
        <v>2303</v>
      </c>
      <c r="AD1054" s="35">
        <v>25.182773999999998</v>
      </c>
      <c r="AE1054" s="35">
        <v>70.930957000000006</v>
      </c>
    </row>
    <row r="1055" spans="1:31" x14ac:dyDescent="0.25">
      <c r="A1055" s="38" t="s">
        <v>36</v>
      </c>
      <c r="B1055" s="38" t="s">
        <v>2147</v>
      </c>
      <c r="C1055" s="38" t="s">
        <v>2300</v>
      </c>
      <c r="D1055" s="35" t="s">
        <v>2304</v>
      </c>
      <c r="E1055" s="38"/>
      <c r="F1055" s="38">
        <v>881.46</v>
      </c>
      <c r="G1055" s="38"/>
      <c r="H1055" s="38">
        <f t="shared" si="50"/>
        <v>0</v>
      </c>
      <c r="I1055" s="38"/>
      <c r="J1055" s="38"/>
      <c r="K1055" s="38"/>
      <c r="L1055" s="50"/>
      <c r="M1055" s="38"/>
      <c r="N1055" s="50"/>
      <c r="O1055" s="38"/>
      <c r="P1055" s="38">
        <v>0</v>
      </c>
      <c r="Q1055" s="35"/>
      <c r="R1055" s="100">
        <v>44573</v>
      </c>
      <c r="S1055" s="35"/>
      <c r="T1055" s="35"/>
      <c r="U1055" s="35"/>
      <c r="V1055" s="35"/>
      <c r="W1055" s="35"/>
      <c r="X1055" s="35"/>
      <c r="Y1055" s="35"/>
      <c r="AC1055" s="35" t="s">
        <v>2304</v>
      </c>
      <c r="AD1055" s="35">
        <v>25.174424999999999</v>
      </c>
      <c r="AE1055" s="35">
        <v>70.958222000000006</v>
      </c>
    </row>
    <row r="1056" spans="1:31" x14ac:dyDescent="0.25">
      <c r="A1056" s="38" t="s">
        <v>36</v>
      </c>
      <c r="B1056" s="38" t="s">
        <v>2147</v>
      </c>
      <c r="C1056" s="38" t="s">
        <v>2300</v>
      </c>
      <c r="D1056" s="38" t="s">
        <v>2305</v>
      </c>
      <c r="E1056" s="38" t="s">
        <v>2306</v>
      </c>
      <c r="F1056" s="38">
        <v>3043.99</v>
      </c>
      <c r="G1056" s="38">
        <v>2844.8</v>
      </c>
      <c r="H1056" s="38">
        <f t="shared" si="50"/>
        <v>4578</v>
      </c>
      <c r="I1056" s="38">
        <v>2969</v>
      </c>
      <c r="J1056" s="38">
        <v>1609</v>
      </c>
      <c r="K1056" s="38">
        <v>1360</v>
      </c>
      <c r="L1056" s="50">
        <f t="shared" si="51"/>
        <v>29.707295762341634</v>
      </c>
      <c r="M1056" s="38">
        <v>880</v>
      </c>
      <c r="N1056" s="50">
        <f t="shared" si="49"/>
        <v>19.222367846221058</v>
      </c>
      <c r="O1056" s="38">
        <v>66</v>
      </c>
      <c r="P1056" s="38">
        <v>0</v>
      </c>
      <c r="Q1056" s="35" t="s">
        <v>43</v>
      </c>
      <c r="R1056" s="100">
        <v>44573</v>
      </c>
      <c r="S1056" s="35"/>
      <c r="T1056" s="35">
        <v>72</v>
      </c>
      <c r="U1056" s="35"/>
      <c r="V1056" s="35"/>
      <c r="W1056" s="35"/>
      <c r="X1056" s="35"/>
      <c r="Y1056" s="35"/>
      <c r="AB1056" s="87"/>
      <c r="AC1056" s="35" t="s">
        <v>2302</v>
      </c>
      <c r="AD1056" s="35">
        <v>25.194976</v>
      </c>
      <c r="AE1056" s="35">
        <v>70.945981000000003</v>
      </c>
    </row>
    <row r="1057" spans="1:31" x14ac:dyDescent="0.25">
      <c r="A1057" s="38" t="s">
        <v>36</v>
      </c>
      <c r="B1057" s="38" t="s">
        <v>2147</v>
      </c>
      <c r="C1057" s="38" t="s">
        <v>2307</v>
      </c>
      <c r="D1057" s="38" t="s">
        <v>2308</v>
      </c>
      <c r="E1057" s="38" t="s">
        <v>2309</v>
      </c>
      <c r="F1057" s="38">
        <v>577.99</v>
      </c>
      <c r="G1057" s="38">
        <v>864.75</v>
      </c>
      <c r="H1057" s="38">
        <f t="shared" si="50"/>
        <v>1623</v>
      </c>
      <c r="I1057" s="38">
        <v>1059</v>
      </c>
      <c r="J1057" s="38">
        <v>564</v>
      </c>
      <c r="K1057" s="38">
        <v>495</v>
      </c>
      <c r="L1057" s="50">
        <f t="shared" si="51"/>
        <v>30.499075785582253</v>
      </c>
      <c r="M1057" s="38">
        <v>46</v>
      </c>
      <c r="N1057" s="50">
        <f t="shared" si="49"/>
        <v>2.8342575477510783</v>
      </c>
      <c r="O1057" s="38">
        <v>0</v>
      </c>
      <c r="P1057" s="38">
        <v>0</v>
      </c>
      <c r="AC1057" s="117"/>
      <c r="AD1057" s="121"/>
    </row>
    <row r="1058" spans="1:31" x14ac:dyDescent="0.25">
      <c r="A1058" s="38" t="s">
        <v>36</v>
      </c>
      <c r="B1058" s="38" t="s">
        <v>2147</v>
      </c>
      <c r="C1058" s="38" t="s">
        <v>2307</v>
      </c>
      <c r="D1058" s="38" t="s">
        <v>2308</v>
      </c>
      <c r="E1058" s="38" t="s">
        <v>2309</v>
      </c>
      <c r="F1058" s="38">
        <v>842.99</v>
      </c>
      <c r="G1058" s="38">
        <v>864.75</v>
      </c>
      <c r="H1058" s="38">
        <f t="shared" si="50"/>
        <v>1623</v>
      </c>
      <c r="I1058" s="38">
        <v>1059</v>
      </c>
      <c r="J1058" s="38">
        <v>564</v>
      </c>
      <c r="K1058" s="38">
        <v>495</v>
      </c>
      <c r="L1058" s="50">
        <f t="shared" si="51"/>
        <v>30.499075785582253</v>
      </c>
      <c r="M1058" s="38">
        <v>46</v>
      </c>
      <c r="N1058" s="50">
        <f t="shared" si="49"/>
        <v>2.8342575477510783</v>
      </c>
      <c r="O1058" s="38">
        <v>0</v>
      </c>
      <c r="P1058" s="38">
        <v>0</v>
      </c>
      <c r="AC1058" s="117"/>
      <c r="AD1058" s="121"/>
    </row>
    <row r="1059" spans="1:31" x14ac:dyDescent="0.25">
      <c r="A1059" s="38" t="s">
        <v>36</v>
      </c>
      <c r="B1059" s="38" t="s">
        <v>2147</v>
      </c>
      <c r="C1059" s="38" t="s">
        <v>2307</v>
      </c>
      <c r="D1059" s="38" t="s">
        <v>1167</v>
      </c>
      <c r="E1059" s="38" t="s">
        <v>2310</v>
      </c>
      <c r="F1059" s="38"/>
      <c r="G1059" s="38">
        <v>932.28</v>
      </c>
      <c r="H1059" s="38">
        <f t="shared" si="50"/>
        <v>1528</v>
      </c>
      <c r="I1059" s="38">
        <v>1015</v>
      </c>
      <c r="J1059" s="38">
        <v>513</v>
      </c>
      <c r="K1059" s="38">
        <v>502</v>
      </c>
      <c r="L1059" s="50">
        <f t="shared" si="51"/>
        <v>32.853403141361262</v>
      </c>
      <c r="M1059" s="38">
        <v>65</v>
      </c>
      <c r="N1059" s="50">
        <f t="shared" si="49"/>
        <v>4.2539267015706805</v>
      </c>
      <c r="O1059" s="38">
        <v>0</v>
      </c>
      <c r="P1059" s="38"/>
      <c r="T1059" s="11">
        <v>91.68</v>
      </c>
      <c r="AB1059" s="20">
        <v>18</v>
      </c>
    </row>
    <row r="1060" spans="1:31" x14ac:dyDescent="0.25">
      <c r="A1060" s="38" t="s">
        <v>36</v>
      </c>
      <c r="B1060" s="38" t="s">
        <v>2147</v>
      </c>
      <c r="C1060" s="38" t="s">
        <v>2307</v>
      </c>
      <c r="D1060" s="38" t="s">
        <v>594</v>
      </c>
      <c r="E1060" s="38" t="s">
        <v>2311</v>
      </c>
      <c r="F1060" s="38">
        <v>2802.34</v>
      </c>
      <c r="G1060" s="38">
        <v>881.46</v>
      </c>
      <c r="H1060" s="38">
        <f t="shared" si="50"/>
        <v>1773</v>
      </c>
      <c r="I1060" s="38">
        <v>1148</v>
      </c>
      <c r="J1060" s="38">
        <v>625</v>
      </c>
      <c r="K1060" s="38">
        <v>523</v>
      </c>
      <c r="L1060" s="50">
        <f t="shared" si="51"/>
        <v>29.498025944726454</v>
      </c>
      <c r="M1060" s="38">
        <v>187</v>
      </c>
      <c r="N1060" s="50">
        <f t="shared" si="49"/>
        <v>10.547095318668923</v>
      </c>
      <c r="O1060" s="38">
        <v>0</v>
      </c>
      <c r="P1060" s="38">
        <v>92.22</v>
      </c>
      <c r="T1060" s="11">
        <v>91.68</v>
      </c>
      <c r="AB1060" s="20"/>
    </row>
    <row r="1061" spans="1:31" x14ac:dyDescent="0.25">
      <c r="A1061" s="38" t="s">
        <v>36</v>
      </c>
      <c r="B1061" s="38" t="s">
        <v>2147</v>
      </c>
      <c r="C1061" s="38" t="s">
        <v>2312</v>
      </c>
      <c r="D1061" s="38" t="s">
        <v>2313</v>
      </c>
      <c r="E1061" s="38" t="s">
        <v>2314</v>
      </c>
      <c r="F1061" s="38"/>
      <c r="G1061" s="38">
        <v>3043.99</v>
      </c>
      <c r="H1061" s="38">
        <f t="shared" si="50"/>
        <v>4963</v>
      </c>
      <c r="I1061" s="38">
        <v>3239</v>
      </c>
      <c r="J1061" s="38">
        <v>1724</v>
      </c>
      <c r="K1061" s="38">
        <v>1515</v>
      </c>
      <c r="L1061" s="50">
        <f t="shared" si="51"/>
        <v>30.525891597823897</v>
      </c>
      <c r="M1061" s="38">
        <v>249</v>
      </c>
      <c r="N1061" s="50">
        <f t="shared" si="49"/>
        <v>5.0171267378601652</v>
      </c>
      <c r="O1061" s="38">
        <v>0</v>
      </c>
      <c r="P1061" s="38"/>
      <c r="Q1061" s="35" t="s">
        <v>43</v>
      </c>
      <c r="R1061" s="100">
        <v>44537</v>
      </c>
      <c r="S1061" s="35"/>
      <c r="T1061" s="35">
        <v>31.537600000000001</v>
      </c>
      <c r="U1061" s="35"/>
      <c r="V1061" s="35"/>
      <c r="W1061" s="35"/>
      <c r="X1061" s="35"/>
      <c r="Y1061" s="35"/>
      <c r="AB1061" s="94"/>
      <c r="AC1061" s="35" t="s">
        <v>2315</v>
      </c>
      <c r="AD1061" s="35">
        <v>25.277771000000001</v>
      </c>
      <c r="AE1061" s="35">
        <v>71.002602999999993</v>
      </c>
    </row>
    <row r="1062" spans="1:31" x14ac:dyDescent="0.25">
      <c r="A1062" s="38" t="s">
        <v>36</v>
      </c>
      <c r="B1062" s="38" t="s">
        <v>2147</v>
      </c>
      <c r="C1062" s="38" t="s">
        <v>2312</v>
      </c>
      <c r="D1062" s="38" t="s">
        <v>412</v>
      </c>
      <c r="E1062" s="38" t="s">
        <v>2316</v>
      </c>
      <c r="F1062" s="38"/>
      <c r="G1062" s="38">
        <v>577.99</v>
      </c>
      <c r="H1062" s="38">
        <f t="shared" si="50"/>
        <v>860</v>
      </c>
      <c r="I1062" s="38">
        <v>566</v>
      </c>
      <c r="J1062" s="38">
        <v>294</v>
      </c>
      <c r="K1062" s="38">
        <v>272</v>
      </c>
      <c r="L1062" s="50">
        <f t="shared" si="51"/>
        <v>31.627906976744185</v>
      </c>
      <c r="M1062" s="38">
        <v>81</v>
      </c>
      <c r="N1062" s="50">
        <f t="shared" si="49"/>
        <v>9.4186046511627897</v>
      </c>
      <c r="O1062" s="38">
        <v>0</v>
      </c>
      <c r="P1062" s="38"/>
      <c r="T1062" s="11">
        <v>15.36</v>
      </c>
      <c r="AB1062" s="94"/>
    </row>
    <row r="1063" spans="1:31" x14ac:dyDescent="0.25">
      <c r="A1063" s="38" t="s">
        <v>36</v>
      </c>
      <c r="B1063" s="38" t="s">
        <v>2147</v>
      </c>
      <c r="C1063" s="38" t="s">
        <v>2312</v>
      </c>
      <c r="D1063" s="38" t="s">
        <v>2317</v>
      </c>
      <c r="E1063" s="38" t="s">
        <v>2318</v>
      </c>
      <c r="F1063" s="38"/>
      <c r="G1063" s="38">
        <v>842.99</v>
      </c>
      <c r="H1063" s="38">
        <f t="shared" si="50"/>
        <v>1055</v>
      </c>
      <c r="I1063" s="38">
        <v>694</v>
      </c>
      <c r="J1063" s="38">
        <v>361</v>
      </c>
      <c r="K1063" s="38">
        <v>333</v>
      </c>
      <c r="L1063" s="50">
        <f t="shared" si="51"/>
        <v>31.563981042654028</v>
      </c>
      <c r="M1063" s="38">
        <v>0</v>
      </c>
      <c r="N1063" s="50">
        <f t="shared" ref="N1063:N1073" si="52">M1063/H1063*100</f>
        <v>0</v>
      </c>
      <c r="O1063" s="38">
        <v>0</v>
      </c>
      <c r="P1063" s="38"/>
      <c r="T1063" s="11">
        <v>28.8</v>
      </c>
      <c r="AB1063" s="85"/>
    </row>
    <row r="1064" spans="1:31" x14ac:dyDescent="0.25">
      <c r="A1064" s="38" t="s">
        <v>36</v>
      </c>
      <c r="B1064" s="38" t="s">
        <v>2147</v>
      </c>
      <c r="C1064" s="38" t="s">
        <v>2319</v>
      </c>
      <c r="D1064" s="6" t="s">
        <v>2319</v>
      </c>
      <c r="E1064" s="38"/>
      <c r="F1064" s="38">
        <v>578.89</v>
      </c>
      <c r="G1064" s="38"/>
      <c r="H1064" s="38">
        <f t="shared" si="50"/>
        <v>0</v>
      </c>
      <c r="I1064" s="38"/>
      <c r="J1064" s="38"/>
      <c r="K1064" s="38"/>
      <c r="L1064" s="50"/>
      <c r="M1064" s="38"/>
      <c r="N1064" s="50"/>
      <c r="O1064" s="38"/>
      <c r="P1064" s="38">
        <v>0</v>
      </c>
      <c r="Q1064" s="98" t="s">
        <v>43</v>
      </c>
      <c r="R1064" s="10">
        <v>44543</v>
      </c>
      <c r="S1064" s="61"/>
      <c r="T1064" s="98">
        <v>11.6</v>
      </c>
      <c r="U1064" s="98"/>
      <c r="V1064" s="98"/>
      <c r="W1064" s="98"/>
      <c r="X1064" s="98"/>
      <c r="Y1064" s="98"/>
      <c r="AB1064" s="85"/>
      <c r="AC1064" s="61" t="s">
        <v>2320</v>
      </c>
      <c r="AD1064" s="61">
        <v>25.276465000000002</v>
      </c>
      <c r="AE1064" s="61">
        <v>71.011927</v>
      </c>
    </row>
    <row r="1065" spans="1:31" x14ac:dyDescent="0.25">
      <c r="A1065" s="38" t="s">
        <v>36</v>
      </c>
      <c r="B1065" s="38" t="s">
        <v>2147</v>
      </c>
      <c r="C1065" s="38" t="s">
        <v>2319</v>
      </c>
      <c r="D1065" s="38" t="s">
        <v>2319</v>
      </c>
      <c r="E1065" s="38" t="s">
        <v>2321</v>
      </c>
      <c r="F1065" s="38">
        <v>463.54</v>
      </c>
      <c r="G1065" s="38">
        <v>2802.34</v>
      </c>
      <c r="H1065" s="38">
        <f t="shared" si="50"/>
        <v>4013</v>
      </c>
      <c r="I1065" s="38">
        <v>2620</v>
      </c>
      <c r="J1065" s="38">
        <v>1393</v>
      </c>
      <c r="K1065" s="38">
        <v>1227</v>
      </c>
      <c r="L1065" s="50">
        <f t="shared" si="51"/>
        <v>30.575629205083477</v>
      </c>
      <c r="M1065" s="38">
        <v>48</v>
      </c>
      <c r="N1065" s="50">
        <f t="shared" si="52"/>
        <v>1.1961126339396959</v>
      </c>
      <c r="O1065" s="38">
        <v>0</v>
      </c>
      <c r="P1065" s="38">
        <v>62.05</v>
      </c>
      <c r="Q1065" s="61" t="s">
        <v>43</v>
      </c>
      <c r="R1065" s="7">
        <v>44543</v>
      </c>
      <c r="S1065" s="61"/>
      <c r="T1065" s="61">
        <v>128.32</v>
      </c>
      <c r="U1065" s="61"/>
      <c r="V1065" s="61"/>
      <c r="W1065" s="61"/>
      <c r="X1065" s="61"/>
      <c r="Y1065" s="61"/>
      <c r="AB1065" s="87"/>
      <c r="AC1065" s="11" t="s">
        <v>2322</v>
      </c>
      <c r="AD1065" s="61"/>
      <c r="AE1065" s="61"/>
    </row>
    <row r="1066" spans="1:31" x14ac:dyDescent="0.25">
      <c r="A1066" s="38" t="s">
        <v>36</v>
      </c>
      <c r="B1066" s="38" t="s">
        <v>2147</v>
      </c>
      <c r="C1066" s="77" t="s">
        <v>2323</v>
      </c>
      <c r="D1066" s="77" t="s">
        <v>2324</v>
      </c>
      <c r="E1066" s="38"/>
      <c r="F1066" s="38">
        <v>322.67</v>
      </c>
      <c r="G1066" s="38"/>
      <c r="H1066" s="38">
        <f t="shared" si="50"/>
        <v>0</v>
      </c>
      <c r="I1066" s="38"/>
      <c r="J1066" s="38"/>
      <c r="K1066" s="38"/>
      <c r="L1066" s="50"/>
      <c r="M1066" s="38"/>
      <c r="N1066" s="50"/>
      <c r="O1066" s="38"/>
      <c r="P1066" s="38">
        <v>0</v>
      </c>
      <c r="Q1066" s="35" t="s">
        <v>43</v>
      </c>
      <c r="R1066" s="14">
        <v>44565</v>
      </c>
      <c r="S1066" s="35"/>
      <c r="T1066" s="35">
        <v>0</v>
      </c>
      <c r="U1066" s="35"/>
      <c r="V1066" s="35"/>
      <c r="W1066" s="35"/>
      <c r="X1066" s="35"/>
      <c r="Y1066" s="35"/>
      <c r="AB1066" s="85"/>
      <c r="AC1066" s="35" t="s">
        <v>2325</v>
      </c>
      <c r="AD1066" s="35">
        <v>25.092919999999999</v>
      </c>
      <c r="AE1066" s="35">
        <v>70.998490000000004</v>
      </c>
    </row>
    <row r="1067" spans="1:31" x14ac:dyDescent="0.25">
      <c r="A1067" s="38" t="s">
        <v>36</v>
      </c>
      <c r="B1067" s="38" t="s">
        <v>2147</v>
      </c>
      <c r="C1067" s="77" t="s">
        <v>2323</v>
      </c>
      <c r="D1067" s="77" t="s">
        <v>2323</v>
      </c>
      <c r="E1067" s="38"/>
      <c r="F1067" s="38">
        <v>521.91</v>
      </c>
      <c r="G1067" s="38"/>
      <c r="H1067" s="38">
        <f t="shared" si="50"/>
        <v>0</v>
      </c>
      <c r="I1067" s="38"/>
      <c r="J1067" s="38"/>
      <c r="K1067" s="38"/>
      <c r="L1067" s="50"/>
      <c r="M1067" s="38"/>
      <c r="N1067" s="50"/>
      <c r="O1067" s="38"/>
      <c r="P1067" s="38">
        <v>0</v>
      </c>
      <c r="Q1067" s="35" t="s">
        <v>43</v>
      </c>
      <c r="R1067" s="14">
        <v>44565</v>
      </c>
      <c r="S1067" s="35"/>
      <c r="T1067" s="35">
        <v>11.6</v>
      </c>
      <c r="U1067" s="35"/>
      <c r="V1067" s="35"/>
      <c r="W1067" s="35"/>
      <c r="X1067" s="35"/>
      <c r="Y1067" s="35"/>
      <c r="AB1067" s="85"/>
      <c r="AC1067" s="35" t="s">
        <v>2326</v>
      </c>
      <c r="AD1067" s="35">
        <v>25.100997</v>
      </c>
      <c r="AE1067" s="35">
        <v>71.000307000000006</v>
      </c>
    </row>
    <row r="1068" spans="1:31" x14ac:dyDescent="0.25">
      <c r="A1068" s="38" t="s">
        <v>36</v>
      </c>
      <c r="B1068" s="38" t="s">
        <v>2147</v>
      </c>
      <c r="C1068" s="77" t="s">
        <v>2323</v>
      </c>
      <c r="D1068" s="15" t="s">
        <v>2327</v>
      </c>
      <c r="E1068" s="38"/>
      <c r="F1068" s="38">
        <v>546.5</v>
      </c>
      <c r="G1068" s="38"/>
      <c r="H1068" s="38">
        <f t="shared" si="50"/>
        <v>0</v>
      </c>
      <c r="I1068" s="38"/>
      <c r="J1068" s="38"/>
      <c r="K1068" s="38"/>
      <c r="L1068" s="50"/>
      <c r="M1068" s="38"/>
      <c r="N1068" s="50"/>
      <c r="O1068" s="38"/>
      <c r="P1068" s="38">
        <v>0</v>
      </c>
      <c r="Q1068" s="36" t="s">
        <v>43</v>
      </c>
      <c r="R1068" s="14">
        <v>44565</v>
      </c>
      <c r="S1068" s="36"/>
      <c r="T1068" s="36">
        <v>1.6</v>
      </c>
      <c r="U1068" s="36"/>
      <c r="V1068" s="36"/>
      <c r="W1068" s="36"/>
      <c r="X1068" s="36"/>
      <c r="Y1068" s="36"/>
      <c r="AB1068" s="20"/>
      <c r="AC1068" s="15" t="s">
        <v>2327</v>
      </c>
      <c r="AD1068" s="36"/>
      <c r="AE1068" s="36"/>
    </row>
    <row r="1069" spans="1:31" x14ac:dyDescent="0.25">
      <c r="A1069" s="38" t="s">
        <v>36</v>
      </c>
      <c r="B1069" s="38" t="s">
        <v>2147</v>
      </c>
      <c r="C1069" s="38" t="s">
        <v>2328</v>
      </c>
      <c r="D1069" s="38" t="s">
        <v>2328</v>
      </c>
      <c r="E1069" s="38" t="s">
        <v>2329</v>
      </c>
      <c r="F1069" s="38">
        <v>431.67</v>
      </c>
      <c r="G1069" s="38">
        <v>578.89</v>
      </c>
      <c r="H1069" s="38">
        <f t="shared" si="50"/>
        <v>751</v>
      </c>
      <c r="I1069" s="38">
        <v>498</v>
      </c>
      <c r="J1069" s="38">
        <v>253</v>
      </c>
      <c r="K1069" s="38">
        <v>245</v>
      </c>
      <c r="L1069" s="50">
        <f t="shared" si="51"/>
        <v>32.623169107856192</v>
      </c>
      <c r="M1069" s="38">
        <v>4</v>
      </c>
      <c r="N1069" s="50">
        <f t="shared" si="52"/>
        <v>0.53262316910785623</v>
      </c>
      <c r="O1069" s="38">
        <v>65.430000000000007</v>
      </c>
      <c r="P1069" s="38">
        <v>0</v>
      </c>
      <c r="Q1069" s="36" t="s">
        <v>43</v>
      </c>
      <c r="R1069" s="95">
        <v>44572</v>
      </c>
      <c r="S1069" s="36"/>
      <c r="T1069" s="36">
        <v>1.6</v>
      </c>
      <c r="U1069" s="36"/>
      <c r="V1069" s="36"/>
      <c r="W1069" s="36"/>
      <c r="X1069" s="36"/>
      <c r="Y1069" s="36"/>
      <c r="AB1069" s="20"/>
      <c r="AC1069" s="36" t="s">
        <v>2330</v>
      </c>
      <c r="AD1069" s="36">
        <v>71.269927999999993</v>
      </c>
      <c r="AE1069" s="36">
        <v>25.155678000000002</v>
      </c>
    </row>
    <row r="1070" spans="1:31" x14ac:dyDescent="0.25">
      <c r="A1070" s="38" t="s">
        <v>36</v>
      </c>
      <c r="B1070" s="38" t="s">
        <v>2147</v>
      </c>
      <c r="C1070" s="38" t="s">
        <v>2328</v>
      </c>
      <c r="D1070" s="38" t="s">
        <v>2331</v>
      </c>
      <c r="E1070" s="38" t="s">
        <v>2332</v>
      </c>
      <c r="F1070" s="38">
        <v>1523.88</v>
      </c>
      <c r="G1070" s="38">
        <v>463.54</v>
      </c>
      <c r="H1070" s="38">
        <f t="shared" si="50"/>
        <v>808</v>
      </c>
      <c r="I1070" s="38">
        <v>527</v>
      </c>
      <c r="J1070" s="38">
        <v>281</v>
      </c>
      <c r="K1070" s="38">
        <v>246</v>
      </c>
      <c r="L1070" s="50">
        <f t="shared" si="51"/>
        <v>30.445544554455445</v>
      </c>
      <c r="M1070" s="38">
        <v>86</v>
      </c>
      <c r="N1070" s="50">
        <f t="shared" si="52"/>
        <v>10.643564356435643</v>
      </c>
      <c r="O1070" s="38">
        <v>0</v>
      </c>
      <c r="P1070" s="38">
        <v>247.14</v>
      </c>
      <c r="Q1070" s="35" t="s">
        <v>43</v>
      </c>
      <c r="R1070" s="100">
        <v>44572</v>
      </c>
      <c r="S1070" s="35"/>
      <c r="T1070" s="35"/>
      <c r="U1070" s="35"/>
      <c r="V1070" s="35"/>
      <c r="W1070" s="35"/>
      <c r="X1070" s="35"/>
      <c r="Y1070" s="35"/>
      <c r="AC1070" s="35" t="s">
        <v>2333</v>
      </c>
      <c r="AD1070" s="35">
        <v>25.154836</v>
      </c>
      <c r="AE1070" s="35">
        <v>71.151959000000005</v>
      </c>
    </row>
    <row r="1071" spans="1:31" x14ac:dyDescent="0.25">
      <c r="A1071" s="38" t="s">
        <v>36</v>
      </c>
      <c r="B1071" s="38" t="s">
        <v>2147</v>
      </c>
      <c r="C1071" s="38" t="s">
        <v>2328</v>
      </c>
      <c r="D1071" s="38" t="s">
        <v>2334</v>
      </c>
      <c r="E1071" s="38" t="s">
        <v>2335</v>
      </c>
      <c r="F1071" s="38">
        <v>415.53</v>
      </c>
      <c r="G1071" s="38">
        <v>322.67</v>
      </c>
      <c r="H1071" s="38">
        <f t="shared" si="50"/>
        <v>451</v>
      </c>
      <c r="I1071" s="38">
        <v>294</v>
      </c>
      <c r="J1071" s="38">
        <v>157</v>
      </c>
      <c r="K1071" s="38">
        <v>137</v>
      </c>
      <c r="L1071" s="50">
        <f t="shared" si="51"/>
        <v>30.376940133037696</v>
      </c>
      <c r="M1071" s="38">
        <v>0</v>
      </c>
      <c r="N1071" s="50">
        <f t="shared" si="52"/>
        <v>0</v>
      </c>
      <c r="O1071" s="38">
        <v>0</v>
      </c>
      <c r="P1071" s="38">
        <v>0</v>
      </c>
      <c r="Q1071" s="36" t="s">
        <v>43</v>
      </c>
      <c r="R1071" s="14">
        <v>44572</v>
      </c>
      <c r="S1071" s="36"/>
      <c r="T1071" s="36"/>
      <c r="U1071" s="36"/>
      <c r="V1071" s="36"/>
      <c r="W1071" s="36"/>
      <c r="X1071" s="36"/>
      <c r="Y1071" s="36"/>
      <c r="AC1071" s="15" t="s">
        <v>2336</v>
      </c>
      <c r="AD1071" s="36">
        <v>0</v>
      </c>
      <c r="AE1071" s="36"/>
    </row>
    <row r="1072" spans="1:31" x14ac:dyDescent="0.25">
      <c r="A1072" s="38" t="s">
        <v>36</v>
      </c>
      <c r="B1072" s="38" t="s">
        <v>2147</v>
      </c>
      <c r="C1072" s="38" t="s">
        <v>2328</v>
      </c>
      <c r="D1072" s="38" t="s">
        <v>2337</v>
      </c>
      <c r="E1072" s="38" t="s">
        <v>2338</v>
      </c>
      <c r="F1072" s="38">
        <v>1015.18</v>
      </c>
      <c r="G1072" s="38">
        <v>521.91</v>
      </c>
      <c r="H1072" s="38">
        <f t="shared" si="50"/>
        <v>781</v>
      </c>
      <c r="I1072" s="38">
        <v>517</v>
      </c>
      <c r="J1072" s="38">
        <v>264</v>
      </c>
      <c r="K1072" s="38">
        <v>253</v>
      </c>
      <c r="L1072" s="50">
        <f t="shared" si="51"/>
        <v>32.394366197183103</v>
      </c>
      <c r="M1072" s="38">
        <v>0</v>
      </c>
      <c r="N1072" s="50">
        <f t="shared" si="52"/>
        <v>0</v>
      </c>
      <c r="O1072" s="38">
        <v>0</v>
      </c>
      <c r="P1072" s="38">
        <v>260.64</v>
      </c>
      <c r="Q1072" s="36" t="s">
        <v>43</v>
      </c>
      <c r="R1072" s="95">
        <v>44572</v>
      </c>
      <c r="S1072" s="36"/>
      <c r="T1072" s="36"/>
      <c r="U1072" s="36"/>
      <c r="V1072" s="36"/>
      <c r="W1072" s="36"/>
      <c r="X1072" s="36"/>
      <c r="Y1072" s="36"/>
      <c r="AC1072" s="36" t="s">
        <v>2330</v>
      </c>
      <c r="AD1072" s="36">
        <v>71.269927999999993</v>
      </c>
      <c r="AE1072" s="36">
        <v>25.155678000000002</v>
      </c>
    </row>
    <row r="1073" spans="1:31" x14ac:dyDescent="0.25">
      <c r="A1073" s="38" t="s">
        <v>36</v>
      </c>
      <c r="B1073" s="38" t="s">
        <v>2147</v>
      </c>
      <c r="C1073" s="38" t="s">
        <v>2328</v>
      </c>
      <c r="D1073" s="38" t="s">
        <v>2339</v>
      </c>
      <c r="E1073" s="38" t="s">
        <v>2340</v>
      </c>
      <c r="F1073" s="38">
        <v>1058.51</v>
      </c>
      <c r="G1073" s="38">
        <v>546.5</v>
      </c>
      <c r="H1073" s="38">
        <f t="shared" si="50"/>
        <v>775</v>
      </c>
      <c r="I1073" s="38">
        <v>516</v>
      </c>
      <c r="J1073" s="38">
        <v>259</v>
      </c>
      <c r="K1073" s="38">
        <v>257</v>
      </c>
      <c r="L1073" s="50">
        <f t="shared" si="51"/>
        <v>33.161290322580648</v>
      </c>
      <c r="M1073" s="38">
        <v>75</v>
      </c>
      <c r="N1073" s="50">
        <f t="shared" si="52"/>
        <v>9.67741935483871</v>
      </c>
      <c r="O1073" s="38">
        <v>0</v>
      </c>
      <c r="P1073" s="38">
        <v>9.3800000000000008</v>
      </c>
      <c r="Q1073" s="61" t="s">
        <v>43</v>
      </c>
      <c r="R1073" s="7">
        <v>44572</v>
      </c>
      <c r="S1073" s="61"/>
      <c r="T1073" s="61"/>
      <c r="U1073" s="61"/>
      <c r="V1073" s="61"/>
      <c r="W1073" s="61"/>
      <c r="X1073" s="61"/>
      <c r="Y1073" s="61"/>
      <c r="AC1073" s="11" t="s">
        <v>2341</v>
      </c>
      <c r="AD1073" s="61"/>
      <c r="AE1073" s="61"/>
    </row>
    <row r="1074" spans="1:31" x14ac:dyDescent="0.25">
      <c r="A1074" s="38" t="s">
        <v>36</v>
      </c>
      <c r="B1074" s="38" t="s">
        <v>2147</v>
      </c>
      <c r="C1074" s="38" t="s">
        <v>2328</v>
      </c>
      <c r="D1074" s="38" t="s">
        <v>2242</v>
      </c>
      <c r="E1074" s="38" t="s">
        <v>2342</v>
      </c>
      <c r="F1074" s="38">
        <v>358.9</v>
      </c>
      <c r="G1074" s="38">
        <v>431.67</v>
      </c>
      <c r="H1074" s="38">
        <f t="shared" si="50"/>
        <v>655</v>
      </c>
      <c r="I1074" s="38">
        <v>428</v>
      </c>
      <c r="J1074" s="38">
        <v>227</v>
      </c>
      <c r="K1074" s="38">
        <v>201</v>
      </c>
      <c r="L1074" s="50">
        <f t="shared" si="51"/>
        <v>30.68702290076336</v>
      </c>
      <c r="M1074" s="38">
        <v>3</v>
      </c>
      <c r="N1074" s="50">
        <f>M1074/H1074*100</f>
        <v>0.45801526717557256</v>
      </c>
      <c r="O1074" s="38">
        <v>0</v>
      </c>
      <c r="P1074" s="38">
        <v>5.38</v>
      </c>
      <c r="Q1074" s="61" t="s">
        <v>43</v>
      </c>
      <c r="R1074" s="7">
        <v>44572</v>
      </c>
      <c r="S1074" s="61"/>
      <c r="T1074" s="61"/>
      <c r="U1074" s="61"/>
      <c r="V1074" s="61"/>
      <c r="W1074" s="61"/>
      <c r="X1074" s="61"/>
      <c r="Y1074" s="61"/>
      <c r="AC1074" s="11" t="s">
        <v>2343</v>
      </c>
      <c r="AD1074" s="61"/>
      <c r="AE1074" s="61"/>
    </row>
    <row r="1075" spans="1:31" x14ac:dyDescent="0.25">
      <c r="A1075" s="38" t="s">
        <v>36</v>
      </c>
      <c r="B1075" s="38" t="s">
        <v>2147</v>
      </c>
      <c r="C1075" s="38" t="s">
        <v>2344</v>
      </c>
      <c r="D1075" s="38" t="s">
        <v>2344</v>
      </c>
      <c r="E1075" s="38" t="s">
        <v>2345</v>
      </c>
      <c r="F1075" s="38">
        <v>406.79</v>
      </c>
      <c r="G1075" s="38">
        <v>1523.88</v>
      </c>
      <c r="H1075" s="38">
        <f t="shared" si="50"/>
        <v>2292</v>
      </c>
      <c r="I1075" s="38">
        <v>1494</v>
      </c>
      <c r="J1075" s="38">
        <v>798</v>
      </c>
      <c r="K1075" s="38">
        <v>696</v>
      </c>
      <c r="L1075" s="50">
        <f t="shared" si="51"/>
        <v>30.366492146596858</v>
      </c>
      <c r="M1075" s="38">
        <v>91</v>
      </c>
      <c r="N1075" s="50">
        <f t="shared" ref="N1075:N1138" si="53">M1075/H1075*100</f>
        <v>3.9703315881326353</v>
      </c>
      <c r="O1075" s="38">
        <v>0</v>
      </c>
      <c r="P1075" s="38">
        <v>18.34</v>
      </c>
    </row>
    <row r="1076" spans="1:31" x14ac:dyDescent="0.25">
      <c r="A1076" s="38" t="s">
        <v>36</v>
      </c>
      <c r="B1076" s="38" t="s">
        <v>2147</v>
      </c>
      <c r="C1076" s="38" t="s">
        <v>2344</v>
      </c>
      <c r="D1076" s="38" t="s">
        <v>2346</v>
      </c>
      <c r="E1076" s="38" t="s">
        <v>2347</v>
      </c>
      <c r="F1076" s="38">
        <v>493.74</v>
      </c>
      <c r="G1076" s="38">
        <v>415.53</v>
      </c>
      <c r="H1076" s="38">
        <f t="shared" si="50"/>
        <v>391</v>
      </c>
      <c r="I1076" s="38">
        <v>260</v>
      </c>
      <c r="J1076" s="38">
        <v>131</v>
      </c>
      <c r="K1076" s="38">
        <v>129</v>
      </c>
      <c r="L1076" s="50">
        <f t="shared" si="51"/>
        <v>32.992327365728904</v>
      </c>
      <c r="M1076" s="38">
        <v>0</v>
      </c>
      <c r="N1076" s="50">
        <f t="shared" si="53"/>
        <v>0</v>
      </c>
      <c r="O1076" s="38">
        <v>0</v>
      </c>
      <c r="P1076" s="38">
        <v>11.44</v>
      </c>
    </row>
    <row r="1077" spans="1:31" x14ac:dyDescent="0.25">
      <c r="A1077" s="38" t="s">
        <v>36</v>
      </c>
      <c r="B1077" s="38" t="s">
        <v>2147</v>
      </c>
      <c r="C1077" s="38" t="s">
        <v>2344</v>
      </c>
      <c r="D1077" s="38" t="s">
        <v>2348</v>
      </c>
      <c r="E1077" s="38" t="s">
        <v>2349</v>
      </c>
      <c r="F1077" s="38">
        <v>1278.99</v>
      </c>
      <c r="G1077" s="38">
        <v>1015.18</v>
      </c>
      <c r="H1077" s="38">
        <f t="shared" si="50"/>
        <v>1258</v>
      </c>
      <c r="I1077" s="38">
        <v>818</v>
      </c>
      <c r="J1077" s="38">
        <v>440</v>
      </c>
      <c r="K1077" s="38">
        <v>378</v>
      </c>
      <c r="L1077" s="50">
        <f t="shared" si="51"/>
        <v>30.047694753577108</v>
      </c>
      <c r="M1077" s="38">
        <v>23</v>
      </c>
      <c r="N1077" s="50">
        <f t="shared" si="53"/>
        <v>1.8282988871224166</v>
      </c>
      <c r="O1077" s="38">
        <v>0</v>
      </c>
      <c r="P1077" s="38">
        <v>0</v>
      </c>
      <c r="T1077" s="11">
        <v>128.32</v>
      </c>
      <c r="AB1077" s="87"/>
    </row>
    <row r="1078" spans="1:31" x14ac:dyDescent="0.25">
      <c r="A1078" s="38" t="s">
        <v>36</v>
      </c>
      <c r="B1078" s="38" t="s">
        <v>2147</v>
      </c>
      <c r="C1078" s="38" t="s">
        <v>2350</v>
      </c>
      <c r="D1078" s="38" t="s">
        <v>2350</v>
      </c>
      <c r="E1078" s="38" t="s">
        <v>2351</v>
      </c>
      <c r="F1078" s="38"/>
      <c r="G1078" s="38">
        <v>1058.51</v>
      </c>
      <c r="H1078" s="38">
        <f t="shared" si="50"/>
        <v>1453</v>
      </c>
      <c r="I1078" s="38">
        <v>953</v>
      </c>
      <c r="J1078" s="38">
        <v>500</v>
      </c>
      <c r="K1078" s="38">
        <v>453</v>
      </c>
      <c r="L1078" s="50">
        <f t="shared" si="51"/>
        <v>31.176875430144531</v>
      </c>
      <c r="M1078" s="38">
        <v>0</v>
      </c>
      <c r="N1078" s="50">
        <f t="shared" si="53"/>
        <v>0</v>
      </c>
      <c r="O1078" s="38">
        <v>0</v>
      </c>
      <c r="P1078" s="38"/>
      <c r="T1078" s="11">
        <v>584</v>
      </c>
      <c r="AB1078" s="87"/>
    </row>
    <row r="1079" spans="1:31" x14ac:dyDescent="0.25">
      <c r="A1079" s="38" t="s">
        <v>36</v>
      </c>
      <c r="B1079" s="38" t="s">
        <v>2147</v>
      </c>
      <c r="C1079" s="38" t="s">
        <v>2350</v>
      </c>
      <c r="D1079" s="38" t="s">
        <v>2352</v>
      </c>
      <c r="E1079" s="38" t="s">
        <v>2353</v>
      </c>
      <c r="F1079" s="38"/>
      <c r="G1079" s="38">
        <v>358.9</v>
      </c>
      <c r="H1079" s="38">
        <f t="shared" si="50"/>
        <v>781</v>
      </c>
      <c r="I1079" s="38">
        <v>528</v>
      </c>
      <c r="J1079" s="38">
        <v>253</v>
      </c>
      <c r="K1079" s="38">
        <v>275</v>
      </c>
      <c r="L1079" s="50">
        <f t="shared" si="51"/>
        <v>35.2112676056338</v>
      </c>
      <c r="M1079" s="38">
        <v>0</v>
      </c>
      <c r="N1079" s="50">
        <f t="shared" si="53"/>
        <v>0</v>
      </c>
      <c r="O1079" s="38">
        <v>0</v>
      </c>
      <c r="P1079" s="38"/>
      <c r="T1079" s="11">
        <v>26.272099999999998</v>
      </c>
      <c r="AB1079" s="87">
        <v>25</v>
      </c>
    </row>
    <row r="1080" spans="1:31" x14ac:dyDescent="0.25">
      <c r="A1080" s="38" t="s">
        <v>36</v>
      </c>
      <c r="B1080" s="38" t="s">
        <v>2147</v>
      </c>
      <c r="C1080" s="38" t="s">
        <v>2350</v>
      </c>
      <c r="D1080" s="38" t="s">
        <v>2354</v>
      </c>
      <c r="E1080" s="38" t="s">
        <v>2355</v>
      </c>
      <c r="F1080" s="38"/>
      <c r="G1080" s="38">
        <v>406.79</v>
      </c>
      <c r="H1080" s="38">
        <f t="shared" si="50"/>
        <v>660</v>
      </c>
      <c r="I1080" s="38">
        <v>433</v>
      </c>
      <c r="J1080" s="38">
        <v>227</v>
      </c>
      <c r="K1080" s="38">
        <v>206</v>
      </c>
      <c r="L1080" s="50">
        <f t="shared" si="51"/>
        <v>31.212121212121215</v>
      </c>
      <c r="M1080" s="38">
        <v>1</v>
      </c>
      <c r="N1080" s="50">
        <f t="shared" si="53"/>
        <v>0.15151515151515152</v>
      </c>
      <c r="O1080" s="38">
        <v>0</v>
      </c>
      <c r="P1080" s="38"/>
      <c r="T1080" s="11">
        <v>0</v>
      </c>
      <c r="AB1080" s="87">
        <v>23</v>
      </c>
    </row>
    <row r="1081" spans="1:31" x14ac:dyDescent="0.25">
      <c r="A1081" s="38" t="s">
        <v>36</v>
      </c>
      <c r="B1081" s="38" t="s">
        <v>2147</v>
      </c>
      <c r="C1081" s="38" t="s">
        <v>2350</v>
      </c>
      <c r="D1081" s="38" t="s">
        <v>2356</v>
      </c>
      <c r="E1081" s="38" t="s">
        <v>2357</v>
      </c>
      <c r="F1081" s="38">
        <v>423.98</v>
      </c>
      <c r="G1081" s="38">
        <v>493.74</v>
      </c>
      <c r="H1081" s="38">
        <f t="shared" si="50"/>
        <v>1092</v>
      </c>
      <c r="I1081" s="38">
        <v>707</v>
      </c>
      <c r="J1081" s="38">
        <v>385</v>
      </c>
      <c r="K1081" s="38">
        <v>322</v>
      </c>
      <c r="L1081" s="50">
        <f t="shared" si="51"/>
        <v>29.487179487179489</v>
      </c>
      <c r="M1081" s="38">
        <v>0</v>
      </c>
      <c r="N1081" s="50">
        <f t="shared" si="53"/>
        <v>0</v>
      </c>
      <c r="O1081" s="38">
        <v>0</v>
      </c>
      <c r="P1081" s="38">
        <v>0</v>
      </c>
      <c r="T1081" s="11">
        <v>0</v>
      </c>
      <c r="AB1081" s="85"/>
    </row>
    <row r="1082" spans="1:31" x14ac:dyDescent="0.25">
      <c r="A1082" s="38" t="s">
        <v>36</v>
      </c>
      <c r="B1082" s="38" t="s">
        <v>2147</v>
      </c>
      <c r="C1082" s="38" t="s">
        <v>2358</v>
      </c>
      <c r="D1082" s="38" t="s">
        <v>2359</v>
      </c>
      <c r="E1082" s="38" t="s">
        <v>2360</v>
      </c>
      <c r="F1082" s="38">
        <v>368.87</v>
      </c>
      <c r="G1082" s="38">
        <v>1278.99</v>
      </c>
      <c r="H1082" s="38">
        <f t="shared" si="50"/>
        <v>2602</v>
      </c>
      <c r="I1082" s="38">
        <v>1731</v>
      </c>
      <c r="J1082" s="38">
        <v>871</v>
      </c>
      <c r="K1082" s="38">
        <v>860</v>
      </c>
      <c r="L1082" s="50">
        <f t="shared" si="51"/>
        <v>33.05149884704074</v>
      </c>
      <c r="M1082" s="38">
        <v>139</v>
      </c>
      <c r="N1082" s="50">
        <f t="shared" si="53"/>
        <v>5.3420445810914678</v>
      </c>
      <c r="O1082" s="38">
        <v>0</v>
      </c>
      <c r="P1082" s="38">
        <v>0</v>
      </c>
      <c r="Q1082" s="35" t="s">
        <v>43</v>
      </c>
      <c r="R1082" s="178">
        <v>44545</v>
      </c>
      <c r="S1082" s="35"/>
      <c r="T1082" s="35">
        <v>0</v>
      </c>
      <c r="U1082" s="35"/>
      <c r="V1082" s="35"/>
      <c r="W1082" s="35"/>
      <c r="X1082" s="35"/>
      <c r="Y1082" s="35"/>
      <c r="AB1082" s="85"/>
      <c r="AC1082" s="35" t="s">
        <v>2361</v>
      </c>
      <c r="AD1082" s="35">
        <v>25.185796</v>
      </c>
      <c r="AE1082" s="35">
        <v>71.148629999999997</v>
      </c>
    </row>
    <row r="1083" spans="1:31" x14ac:dyDescent="0.25">
      <c r="A1083" s="38" t="s">
        <v>36</v>
      </c>
      <c r="B1083" s="38" t="s">
        <v>2147</v>
      </c>
      <c r="C1083" s="38" t="s">
        <v>2358</v>
      </c>
      <c r="D1083" s="74" t="s">
        <v>2362</v>
      </c>
      <c r="E1083" s="38"/>
      <c r="F1083" s="38">
        <v>201.98</v>
      </c>
      <c r="G1083" s="38"/>
      <c r="H1083" s="38">
        <f t="shared" si="50"/>
        <v>0</v>
      </c>
      <c r="I1083" s="38"/>
      <c r="J1083" s="38"/>
      <c r="K1083" s="38"/>
      <c r="L1083" s="50"/>
      <c r="M1083" s="38"/>
      <c r="N1083" s="50"/>
      <c r="O1083" s="38"/>
      <c r="P1083" s="38">
        <v>0</v>
      </c>
      <c r="Q1083" s="35" t="s">
        <v>43</v>
      </c>
      <c r="R1083" s="178">
        <v>44545</v>
      </c>
      <c r="S1083" s="35"/>
      <c r="T1083" s="35">
        <v>3.67</v>
      </c>
      <c r="U1083" s="35"/>
      <c r="V1083" s="35"/>
      <c r="W1083" s="35"/>
      <c r="X1083" s="35"/>
      <c r="Y1083" s="35"/>
      <c r="AB1083" s="85"/>
      <c r="AC1083" s="35" t="s">
        <v>2363</v>
      </c>
      <c r="AD1083" s="35">
        <v>25.221617999999999</v>
      </c>
      <c r="AE1083" s="35">
        <v>71.197329999999994</v>
      </c>
    </row>
    <row r="1084" spans="1:31" x14ac:dyDescent="0.25">
      <c r="A1084" s="38" t="s">
        <v>36</v>
      </c>
      <c r="B1084" s="38" t="s">
        <v>2147</v>
      </c>
      <c r="C1084" s="38" t="s">
        <v>2358</v>
      </c>
      <c r="D1084" s="74" t="s">
        <v>2362</v>
      </c>
      <c r="E1084" s="38"/>
      <c r="F1084" s="38">
        <v>323.99</v>
      </c>
      <c r="G1084" s="38"/>
      <c r="H1084" s="38">
        <f t="shared" si="50"/>
        <v>0</v>
      </c>
      <c r="I1084" s="38"/>
      <c r="J1084" s="38"/>
      <c r="K1084" s="38"/>
      <c r="L1084" s="50"/>
      <c r="M1084" s="38"/>
      <c r="N1084" s="50"/>
      <c r="O1084" s="38"/>
      <c r="P1084" s="38">
        <v>0</v>
      </c>
      <c r="Q1084" s="35"/>
      <c r="R1084" s="178">
        <v>44545</v>
      </c>
      <c r="S1084" s="35"/>
      <c r="T1084" s="35">
        <v>0</v>
      </c>
      <c r="U1084" s="35"/>
      <c r="V1084" s="35"/>
      <c r="W1084" s="35"/>
      <c r="X1084" s="35"/>
      <c r="Y1084" s="35"/>
      <c r="AB1084" s="85"/>
      <c r="AC1084" s="35" t="s">
        <v>2363</v>
      </c>
      <c r="AD1084" s="35">
        <v>25.199489</v>
      </c>
      <c r="AE1084" s="35">
        <v>71.189813999999998</v>
      </c>
    </row>
    <row r="1085" spans="1:31" x14ac:dyDescent="0.25">
      <c r="A1085" s="38" t="s">
        <v>36</v>
      </c>
      <c r="B1085" s="38" t="s">
        <v>2147</v>
      </c>
      <c r="C1085" s="38" t="s">
        <v>2358</v>
      </c>
      <c r="D1085" s="74" t="s">
        <v>2364</v>
      </c>
      <c r="E1085" s="38"/>
      <c r="F1085" s="38">
        <v>324.89999999999998</v>
      </c>
      <c r="G1085" s="38"/>
      <c r="H1085" s="38">
        <f t="shared" si="50"/>
        <v>0</v>
      </c>
      <c r="I1085" s="38"/>
      <c r="J1085" s="38"/>
      <c r="K1085" s="38"/>
      <c r="L1085" s="50"/>
      <c r="M1085" s="38"/>
      <c r="N1085" s="50"/>
      <c r="O1085" s="38"/>
      <c r="P1085" s="38">
        <v>0</v>
      </c>
      <c r="Q1085" s="35"/>
      <c r="R1085" s="178">
        <v>44545</v>
      </c>
      <c r="S1085" s="35"/>
      <c r="T1085" s="35">
        <v>92</v>
      </c>
      <c r="U1085" s="35"/>
      <c r="V1085" s="35"/>
      <c r="W1085" s="35"/>
      <c r="X1085" s="35"/>
      <c r="Y1085" s="35"/>
      <c r="AB1085" s="87"/>
      <c r="AC1085" s="35" t="s">
        <v>2365</v>
      </c>
      <c r="AD1085" s="35">
        <v>25.216069999999998</v>
      </c>
      <c r="AE1085" s="35">
        <v>71.196337</v>
      </c>
    </row>
    <row r="1086" spans="1:31" x14ac:dyDescent="0.25">
      <c r="A1086" s="38" t="s">
        <v>36</v>
      </c>
      <c r="B1086" s="38" t="s">
        <v>2147</v>
      </c>
      <c r="C1086" s="38" t="s">
        <v>2358</v>
      </c>
      <c r="D1086" s="38" t="s">
        <v>2366</v>
      </c>
      <c r="E1086" s="38" t="s">
        <v>2367</v>
      </c>
      <c r="F1086" s="33">
        <v>1425.94</v>
      </c>
      <c r="G1086" s="38">
        <v>423.98</v>
      </c>
      <c r="H1086" s="38">
        <f t="shared" si="50"/>
        <v>549</v>
      </c>
      <c r="I1086" s="38">
        <v>355</v>
      </c>
      <c r="J1086" s="38">
        <v>194</v>
      </c>
      <c r="K1086" s="38">
        <v>161</v>
      </c>
      <c r="L1086" s="50">
        <f t="shared" si="51"/>
        <v>29.326047358834245</v>
      </c>
      <c r="M1086" s="38">
        <v>0</v>
      </c>
      <c r="N1086" s="50">
        <f t="shared" si="53"/>
        <v>0</v>
      </c>
      <c r="O1086" s="38">
        <v>0</v>
      </c>
      <c r="P1086" s="33">
        <v>122.15</v>
      </c>
      <c r="Q1086" s="36" t="s">
        <v>43</v>
      </c>
      <c r="R1086" s="14">
        <v>44545</v>
      </c>
      <c r="S1086" s="36"/>
      <c r="T1086" s="36">
        <v>112</v>
      </c>
      <c r="U1086" s="36"/>
      <c r="V1086" s="36"/>
      <c r="W1086" s="36"/>
      <c r="X1086" s="36"/>
      <c r="Y1086" s="36"/>
      <c r="AB1086" s="85"/>
      <c r="AC1086" s="15" t="s">
        <v>2368</v>
      </c>
      <c r="AD1086" s="36">
        <v>0</v>
      </c>
      <c r="AE1086" s="36"/>
    </row>
    <row r="1087" spans="1:31" x14ac:dyDescent="0.25">
      <c r="A1087" s="38" t="s">
        <v>36</v>
      </c>
      <c r="B1087" s="38" t="s">
        <v>2147</v>
      </c>
      <c r="C1087" s="38" t="s">
        <v>2358</v>
      </c>
      <c r="D1087" s="38" t="s">
        <v>2369</v>
      </c>
      <c r="E1087" s="38" t="s">
        <v>2370</v>
      </c>
      <c r="F1087" s="38">
        <v>1042.42</v>
      </c>
      <c r="G1087" s="38">
        <v>368.87</v>
      </c>
      <c r="H1087" s="38">
        <f t="shared" si="50"/>
        <v>575</v>
      </c>
      <c r="I1087" s="38">
        <v>365</v>
      </c>
      <c r="J1087" s="38">
        <v>210</v>
      </c>
      <c r="K1087" s="38">
        <v>155</v>
      </c>
      <c r="L1087" s="50">
        <f t="shared" si="51"/>
        <v>26.956521739130434</v>
      </c>
      <c r="M1087" s="38">
        <v>0</v>
      </c>
      <c r="N1087" s="50">
        <f t="shared" si="53"/>
        <v>0</v>
      </c>
      <c r="O1087" s="38">
        <v>0</v>
      </c>
      <c r="P1087" s="38">
        <v>71.849999999999994</v>
      </c>
      <c r="Q1087" s="36" t="s">
        <v>43</v>
      </c>
      <c r="R1087" s="14">
        <v>44545</v>
      </c>
      <c r="S1087" s="36"/>
      <c r="T1087" s="36">
        <v>65.28</v>
      </c>
      <c r="U1087" s="36"/>
      <c r="V1087" s="36"/>
      <c r="W1087" s="36"/>
      <c r="X1087" s="36"/>
      <c r="Y1087" s="36"/>
      <c r="AB1087" s="85"/>
      <c r="AC1087" s="15" t="s">
        <v>2371</v>
      </c>
      <c r="AD1087" s="36">
        <v>0</v>
      </c>
      <c r="AE1087" s="36"/>
    </row>
    <row r="1088" spans="1:31" x14ac:dyDescent="0.25">
      <c r="A1088" s="38" t="s">
        <v>36</v>
      </c>
      <c r="B1088" s="38" t="s">
        <v>2147</v>
      </c>
      <c r="C1088" s="38" t="s">
        <v>2358</v>
      </c>
      <c r="D1088" s="38" t="s">
        <v>2372</v>
      </c>
      <c r="E1088" s="38" t="s">
        <v>2373</v>
      </c>
      <c r="F1088" s="38">
        <v>1384.65</v>
      </c>
      <c r="G1088" s="38">
        <v>201.98</v>
      </c>
      <c r="H1088" s="38">
        <f t="shared" si="50"/>
        <v>573</v>
      </c>
      <c r="I1088" s="38">
        <v>376</v>
      </c>
      <c r="J1088" s="38">
        <v>197</v>
      </c>
      <c r="K1088" s="38">
        <v>179</v>
      </c>
      <c r="L1088" s="50">
        <f t="shared" si="51"/>
        <v>31.239092495636999</v>
      </c>
      <c r="M1088" s="38">
        <v>0</v>
      </c>
      <c r="N1088" s="50">
        <f t="shared" si="53"/>
        <v>0</v>
      </c>
      <c r="O1088" s="38">
        <v>0</v>
      </c>
      <c r="P1088" s="38">
        <v>61.04</v>
      </c>
      <c r="Q1088" s="36" t="s">
        <v>43</v>
      </c>
      <c r="R1088" s="95">
        <v>44545</v>
      </c>
      <c r="S1088" s="36"/>
      <c r="T1088" s="36">
        <v>128</v>
      </c>
      <c r="U1088" s="36"/>
      <c r="V1088" s="36"/>
      <c r="W1088" s="36"/>
      <c r="X1088" s="36"/>
      <c r="Y1088" s="36"/>
      <c r="AB1088" s="85"/>
      <c r="AC1088" s="36" t="s">
        <v>2374</v>
      </c>
      <c r="AD1088" s="36">
        <v>71.158438000000004</v>
      </c>
      <c r="AE1088" s="36">
        <v>25.178528</v>
      </c>
    </row>
    <row r="1089" spans="1:31" x14ac:dyDescent="0.25">
      <c r="A1089" s="38" t="s">
        <v>36</v>
      </c>
      <c r="B1089" s="38" t="s">
        <v>2147</v>
      </c>
      <c r="C1089" s="38" t="s">
        <v>2358</v>
      </c>
      <c r="D1089" s="38" t="s">
        <v>2375</v>
      </c>
      <c r="E1089" s="38" t="s">
        <v>2376</v>
      </c>
      <c r="F1089" s="38"/>
      <c r="G1089" s="38">
        <v>323.99</v>
      </c>
      <c r="H1089" s="38">
        <f t="shared" si="50"/>
        <v>610</v>
      </c>
      <c r="I1089" s="38">
        <v>401</v>
      </c>
      <c r="J1089" s="38">
        <v>209</v>
      </c>
      <c r="K1089" s="38">
        <v>192</v>
      </c>
      <c r="L1089" s="50">
        <f t="shared" si="51"/>
        <v>31.475409836065577</v>
      </c>
      <c r="M1089" s="38">
        <v>0</v>
      </c>
      <c r="N1089" s="50">
        <f t="shared" si="53"/>
        <v>0</v>
      </c>
      <c r="O1089" s="38">
        <v>0</v>
      </c>
      <c r="P1089" s="38"/>
      <c r="Q1089" s="36" t="s">
        <v>43</v>
      </c>
      <c r="R1089" s="14">
        <v>44545</v>
      </c>
      <c r="S1089" s="36"/>
      <c r="T1089" s="36">
        <v>288</v>
      </c>
      <c r="U1089" s="36"/>
      <c r="V1089" s="36"/>
      <c r="W1089" s="36"/>
      <c r="X1089" s="36"/>
      <c r="Y1089" s="36"/>
      <c r="AB1089" s="87"/>
      <c r="AC1089" s="15" t="s">
        <v>2377</v>
      </c>
      <c r="AD1089" s="36">
        <v>0</v>
      </c>
      <c r="AE1089" s="36"/>
    </row>
    <row r="1090" spans="1:31" x14ac:dyDescent="0.25">
      <c r="A1090" s="38" t="s">
        <v>36</v>
      </c>
      <c r="B1090" s="38" t="s">
        <v>2147</v>
      </c>
      <c r="C1090" s="38" t="s">
        <v>2358</v>
      </c>
      <c r="D1090" s="38" t="s">
        <v>2378</v>
      </c>
      <c r="E1090" s="38" t="s">
        <v>2379</v>
      </c>
      <c r="F1090" s="38"/>
      <c r="G1090" s="38">
        <v>324.89999999999998</v>
      </c>
      <c r="H1090" s="38">
        <f t="shared" si="50"/>
        <v>569</v>
      </c>
      <c r="I1090" s="38">
        <v>372</v>
      </c>
      <c r="J1090" s="38">
        <v>197</v>
      </c>
      <c r="K1090" s="38">
        <v>175</v>
      </c>
      <c r="L1090" s="50">
        <f t="shared" si="51"/>
        <v>30.755711775043938</v>
      </c>
      <c r="M1090" s="38">
        <v>0</v>
      </c>
      <c r="N1090" s="50">
        <f t="shared" si="53"/>
        <v>0</v>
      </c>
      <c r="O1090" s="38">
        <v>0</v>
      </c>
      <c r="P1090" s="38"/>
      <c r="Q1090" s="35" t="s">
        <v>43</v>
      </c>
      <c r="R1090" s="178">
        <v>44545</v>
      </c>
      <c r="S1090" s="35"/>
      <c r="T1090" s="35">
        <v>0</v>
      </c>
      <c r="U1090" s="35"/>
      <c r="V1090" s="35"/>
      <c r="W1090" s="35"/>
      <c r="X1090" s="35"/>
      <c r="Y1090" s="35"/>
      <c r="AB1090" s="85"/>
      <c r="AC1090" s="35" t="s">
        <v>2365</v>
      </c>
      <c r="AD1090" s="35">
        <v>25.218712</v>
      </c>
      <c r="AE1090" s="35">
        <v>71.200205999999994</v>
      </c>
    </row>
    <row r="1091" spans="1:31" x14ac:dyDescent="0.25">
      <c r="A1091" s="38" t="s">
        <v>36</v>
      </c>
      <c r="B1091" s="33" t="s">
        <v>2147</v>
      </c>
      <c r="C1091" s="33" t="s">
        <v>2380</v>
      </c>
      <c r="D1091" s="33" t="s">
        <v>2380</v>
      </c>
      <c r="E1091" s="38" t="s">
        <v>2381</v>
      </c>
      <c r="F1091" s="38"/>
      <c r="G1091" s="33">
        <v>1425.94</v>
      </c>
      <c r="H1091" s="38">
        <f t="shared" si="50"/>
        <v>1942</v>
      </c>
      <c r="I1091" s="38">
        <v>1258</v>
      </c>
      <c r="J1091" s="38">
        <v>684</v>
      </c>
      <c r="K1091" s="38">
        <v>574</v>
      </c>
      <c r="L1091" s="50">
        <f t="shared" si="51"/>
        <v>29.557157569515962</v>
      </c>
      <c r="M1091" s="38">
        <v>468</v>
      </c>
      <c r="N1091" s="50">
        <f>M1091/H1091*100</f>
        <v>24.098867147270855</v>
      </c>
      <c r="O1091" s="33">
        <v>0</v>
      </c>
      <c r="P1091" s="38"/>
      <c r="Q1091" s="36" t="s">
        <v>43</v>
      </c>
      <c r="R1091" s="14">
        <v>44571</v>
      </c>
      <c r="S1091" s="36"/>
      <c r="T1091" s="36">
        <v>2.88</v>
      </c>
      <c r="U1091" s="36"/>
      <c r="V1091" s="36"/>
      <c r="W1091" s="36"/>
      <c r="X1091" s="36"/>
      <c r="Y1091" s="36"/>
      <c r="Z1091" s="15"/>
      <c r="AB1091" s="85"/>
      <c r="AC1091" s="15" t="s">
        <v>2382</v>
      </c>
      <c r="AD1091" s="36"/>
      <c r="AE1091" s="36"/>
    </row>
    <row r="1092" spans="1:31" x14ac:dyDescent="0.25">
      <c r="A1092" s="38" t="s">
        <v>36</v>
      </c>
      <c r="B1092" s="38" t="s">
        <v>2147</v>
      </c>
      <c r="C1092" s="38" t="s">
        <v>2380</v>
      </c>
      <c r="D1092" s="38" t="s">
        <v>2383</v>
      </c>
      <c r="E1092" s="38" t="s">
        <v>2384</v>
      </c>
      <c r="F1092" s="38"/>
      <c r="G1092" s="38">
        <v>1042.42</v>
      </c>
      <c r="H1092" s="38">
        <f t="shared" si="50"/>
        <v>818</v>
      </c>
      <c r="I1092" s="38">
        <v>536</v>
      </c>
      <c r="J1092" s="38">
        <v>282</v>
      </c>
      <c r="K1092" s="38">
        <v>254</v>
      </c>
      <c r="L1092" s="50">
        <f t="shared" si="51"/>
        <v>31.051344743276282</v>
      </c>
      <c r="M1092" s="38">
        <v>128</v>
      </c>
      <c r="N1092" s="50">
        <f t="shared" si="53"/>
        <v>15.647921760391197</v>
      </c>
      <c r="O1092" s="38">
        <v>0</v>
      </c>
      <c r="P1092" s="38"/>
      <c r="Q1092" s="36" t="s">
        <v>43</v>
      </c>
      <c r="R1092" s="14">
        <v>44571</v>
      </c>
      <c r="S1092" s="36"/>
      <c r="T1092" s="36">
        <v>129.6</v>
      </c>
      <c r="U1092" s="36"/>
      <c r="V1092" s="36"/>
      <c r="W1092" s="36"/>
      <c r="X1092" s="36"/>
      <c r="Y1092" s="36"/>
      <c r="AB1092" s="85"/>
      <c r="AC1092" s="15" t="s">
        <v>2385</v>
      </c>
      <c r="AD1092" s="36"/>
      <c r="AE1092" s="36"/>
    </row>
    <row r="1093" spans="1:31" x14ac:dyDescent="0.25">
      <c r="A1093" s="38" t="s">
        <v>36</v>
      </c>
      <c r="B1093" s="38" t="s">
        <v>2147</v>
      </c>
      <c r="C1093" s="38" t="s">
        <v>2380</v>
      </c>
      <c r="D1093" s="38" t="s">
        <v>2386</v>
      </c>
      <c r="E1093" s="38" t="s">
        <v>2387</v>
      </c>
      <c r="F1093" s="38"/>
      <c r="G1093" s="38">
        <v>1384.65</v>
      </c>
      <c r="H1093" s="38">
        <f t="shared" ref="H1093:H1156" si="54">I1093+J1093</f>
        <v>2144</v>
      </c>
      <c r="I1093" s="38">
        <v>1396</v>
      </c>
      <c r="J1093" s="38">
        <v>748</v>
      </c>
      <c r="K1093" s="38">
        <v>648</v>
      </c>
      <c r="L1093" s="50">
        <f t="shared" si="51"/>
        <v>30.223880597014922</v>
      </c>
      <c r="M1093" s="38">
        <v>87</v>
      </c>
      <c r="N1093" s="50">
        <f t="shared" si="53"/>
        <v>4.0578358208955221</v>
      </c>
      <c r="O1093" s="38">
        <v>0</v>
      </c>
      <c r="P1093" s="38"/>
      <c r="Q1093" s="36" t="s">
        <v>43</v>
      </c>
      <c r="R1093" s="14">
        <v>44571</v>
      </c>
      <c r="S1093" s="36"/>
      <c r="T1093" s="36">
        <v>0.32</v>
      </c>
      <c r="U1093" s="36"/>
      <c r="V1093" s="36"/>
      <c r="W1093" s="36"/>
      <c r="X1093" s="36"/>
      <c r="Y1093" s="36"/>
      <c r="AB1093" s="85"/>
      <c r="AC1093" s="15" t="s">
        <v>2388</v>
      </c>
      <c r="AD1093" s="36"/>
      <c r="AE1093" s="36"/>
    </row>
    <row r="1094" spans="1:31" x14ac:dyDescent="0.25">
      <c r="A1094" s="38" t="s">
        <v>36</v>
      </c>
      <c r="B1094" s="38" t="s">
        <v>2147</v>
      </c>
      <c r="C1094" s="74" t="s">
        <v>2389</v>
      </c>
      <c r="D1094" s="74" t="s">
        <v>2389</v>
      </c>
      <c r="E1094" s="38"/>
      <c r="F1094" s="38"/>
      <c r="G1094" s="38"/>
      <c r="H1094" s="38">
        <f t="shared" si="54"/>
        <v>0</v>
      </c>
      <c r="I1094" s="38"/>
      <c r="J1094" s="38"/>
      <c r="K1094" s="38"/>
      <c r="L1094" s="50"/>
      <c r="M1094" s="38"/>
      <c r="N1094" s="50"/>
      <c r="O1094" s="38"/>
      <c r="P1094" s="38"/>
      <c r="Q1094" s="35" t="s">
        <v>43</v>
      </c>
      <c r="R1094" s="100">
        <v>44569</v>
      </c>
      <c r="S1094" s="35"/>
      <c r="T1094" s="35">
        <v>160.0044</v>
      </c>
      <c r="U1094" s="35"/>
      <c r="V1094" s="35"/>
      <c r="W1094" s="35"/>
      <c r="X1094" s="35"/>
      <c r="Y1094" s="35"/>
      <c r="AB1094" s="87">
        <v>17</v>
      </c>
      <c r="AC1094" s="35" t="s">
        <v>2390</v>
      </c>
      <c r="AD1094" s="35">
        <v>25.342901999999999</v>
      </c>
      <c r="AE1094" s="35">
        <v>71.085291999999995</v>
      </c>
    </row>
    <row r="1095" spans="1:31" x14ac:dyDescent="0.25">
      <c r="A1095" s="38" t="s">
        <v>36</v>
      </c>
      <c r="B1095" s="38" t="s">
        <v>2147</v>
      </c>
      <c r="C1095" s="74" t="s">
        <v>2389</v>
      </c>
      <c r="D1095" s="15" t="s">
        <v>2391</v>
      </c>
      <c r="E1095" s="38"/>
      <c r="F1095" s="38"/>
      <c r="G1095" s="38"/>
      <c r="H1095" s="38">
        <f t="shared" si="54"/>
        <v>0</v>
      </c>
      <c r="I1095" s="38"/>
      <c r="J1095" s="38"/>
      <c r="K1095" s="38"/>
      <c r="L1095" s="50"/>
      <c r="M1095" s="38"/>
      <c r="N1095" s="50"/>
      <c r="O1095" s="38"/>
      <c r="P1095" s="38"/>
      <c r="Q1095" s="36" t="s">
        <v>43</v>
      </c>
      <c r="R1095" s="14">
        <v>44569</v>
      </c>
      <c r="S1095" s="36"/>
      <c r="T1095" s="36">
        <v>114.3</v>
      </c>
      <c r="U1095" s="36"/>
      <c r="V1095" s="36"/>
      <c r="W1095" s="36"/>
      <c r="X1095" s="36"/>
      <c r="Y1095" s="36"/>
      <c r="AB1095" s="87">
        <v>19</v>
      </c>
      <c r="AC1095" s="15" t="s">
        <v>2391</v>
      </c>
      <c r="AD1095" s="36">
        <v>0</v>
      </c>
      <c r="AE1095" s="36"/>
    </row>
    <row r="1096" spans="1:31" x14ac:dyDescent="0.25">
      <c r="A1096" s="38" t="s">
        <v>36</v>
      </c>
      <c r="B1096" s="38" t="s">
        <v>2147</v>
      </c>
      <c r="C1096" s="74" t="s">
        <v>2389</v>
      </c>
      <c r="D1096" s="75" t="s">
        <v>2392</v>
      </c>
      <c r="E1096" s="38"/>
      <c r="F1096" s="38">
        <v>540.15</v>
      </c>
      <c r="G1096" s="38"/>
      <c r="H1096" s="38">
        <f t="shared" si="54"/>
        <v>0</v>
      </c>
      <c r="I1096" s="38"/>
      <c r="J1096" s="38"/>
      <c r="K1096" s="38"/>
      <c r="L1096" s="50"/>
      <c r="M1096" s="38"/>
      <c r="N1096" s="50"/>
      <c r="O1096" s="38"/>
      <c r="P1096" s="38">
        <v>5.19</v>
      </c>
      <c r="Q1096" s="36" t="s">
        <v>43</v>
      </c>
      <c r="R1096" s="95">
        <v>44568</v>
      </c>
      <c r="S1096" s="36"/>
      <c r="T1096" s="36"/>
      <c r="U1096" s="36"/>
      <c r="V1096" s="36"/>
      <c r="W1096" s="36"/>
      <c r="X1096" s="36"/>
      <c r="Y1096" s="36"/>
      <c r="AC1096" s="36" t="s">
        <v>2393</v>
      </c>
      <c r="AD1096" s="36">
        <v>71.032697999999996</v>
      </c>
      <c r="AE1096" s="36">
        <v>25.368789</v>
      </c>
    </row>
    <row r="1097" spans="1:31" x14ac:dyDescent="0.25">
      <c r="A1097" s="38" t="s">
        <v>36</v>
      </c>
      <c r="B1097" s="38" t="s">
        <v>2147</v>
      </c>
      <c r="C1097" s="74" t="s">
        <v>2389</v>
      </c>
      <c r="D1097" s="15" t="s">
        <v>2394</v>
      </c>
      <c r="E1097" s="38"/>
      <c r="F1097" s="38">
        <v>847.22</v>
      </c>
      <c r="G1097" s="38"/>
      <c r="H1097" s="38">
        <f t="shared" si="54"/>
        <v>0</v>
      </c>
      <c r="I1097" s="38"/>
      <c r="J1097" s="38"/>
      <c r="K1097" s="38"/>
      <c r="L1097" s="50"/>
      <c r="M1097" s="38"/>
      <c r="N1097" s="50"/>
      <c r="O1097" s="38"/>
      <c r="P1097" s="38">
        <v>0</v>
      </c>
      <c r="Q1097" s="36" t="s">
        <v>43</v>
      </c>
      <c r="R1097" s="14">
        <v>44568</v>
      </c>
      <c r="S1097" s="36"/>
      <c r="T1097" s="36"/>
      <c r="U1097" s="36"/>
      <c r="V1097" s="36"/>
      <c r="W1097" s="36"/>
      <c r="X1097" s="36"/>
      <c r="Y1097" s="36"/>
      <c r="AC1097" s="15" t="s">
        <v>2394</v>
      </c>
      <c r="AD1097" s="36"/>
      <c r="AE1097" s="36"/>
    </row>
    <row r="1098" spans="1:31" x14ac:dyDescent="0.25">
      <c r="A1098" s="38" t="s">
        <v>36</v>
      </c>
      <c r="B1098" s="38" t="s">
        <v>2147</v>
      </c>
      <c r="C1098" s="74" t="s">
        <v>2389</v>
      </c>
      <c r="D1098" s="15" t="s">
        <v>2395</v>
      </c>
      <c r="E1098" s="38"/>
      <c r="F1098" s="38">
        <v>881.68</v>
      </c>
      <c r="G1098" s="38"/>
      <c r="H1098" s="38">
        <f t="shared" si="54"/>
        <v>0</v>
      </c>
      <c r="I1098" s="38"/>
      <c r="J1098" s="38"/>
      <c r="K1098" s="38"/>
      <c r="L1098" s="50"/>
      <c r="M1098" s="38"/>
      <c r="N1098" s="50"/>
      <c r="O1098" s="38"/>
      <c r="P1098" s="38">
        <v>0</v>
      </c>
      <c r="Q1098" s="36" t="s">
        <v>43</v>
      </c>
      <c r="R1098" s="14">
        <v>44568</v>
      </c>
      <c r="S1098" s="36"/>
      <c r="T1098" s="36"/>
      <c r="U1098" s="36"/>
      <c r="V1098" s="36"/>
      <c r="W1098" s="36"/>
      <c r="X1098" s="36"/>
      <c r="Y1098" s="36"/>
      <c r="AC1098" s="15" t="s">
        <v>2395</v>
      </c>
      <c r="AD1098" s="36"/>
      <c r="AE1098" s="36"/>
    </row>
    <row r="1099" spans="1:31" x14ac:dyDescent="0.25">
      <c r="A1099" s="38" t="s">
        <v>36</v>
      </c>
      <c r="B1099" s="38" t="s">
        <v>2147</v>
      </c>
      <c r="C1099" s="74" t="s">
        <v>2389</v>
      </c>
      <c r="D1099" s="74" t="s">
        <v>2389</v>
      </c>
      <c r="E1099" s="38"/>
      <c r="F1099" s="38">
        <v>1301.3499999999999</v>
      </c>
      <c r="G1099" s="38"/>
      <c r="H1099" s="38">
        <f t="shared" si="54"/>
        <v>0</v>
      </c>
      <c r="I1099" s="38"/>
      <c r="J1099" s="38"/>
      <c r="K1099" s="38"/>
      <c r="L1099" s="50"/>
      <c r="M1099" s="38"/>
      <c r="N1099" s="50"/>
      <c r="O1099" s="38"/>
      <c r="P1099" s="38">
        <v>0</v>
      </c>
      <c r="Q1099" s="35"/>
      <c r="R1099" s="100">
        <v>44569</v>
      </c>
      <c r="S1099" s="35"/>
      <c r="T1099" s="35"/>
      <c r="U1099" s="35"/>
      <c r="V1099" s="35"/>
      <c r="W1099" s="35"/>
      <c r="X1099" s="35"/>
      <c r="Y1099" s="35"/>
      <c r="AC1099" s="35" t="s">
        <v>2390</v>
      </c>
      <c r="AD1099" s="35">
        <v>25.368649999999999</v>
      </c>
      <c r="AE1099" s="35">
        <v>71.036373999999995</v>
      </c>
    </row>
    <row r="1100" spans="1:31" x14ac:dyDescent="0.25">
      <c r="A1100" s="38" t="s">
        <v>36</v>
      </c>
      <c r="B1100" s="38" t="s">
        <v>2147</v>
      </c>
      <c r="C1100" s="74" t="s">
        <v>2389</v>
      </c>
      <c r="D1100" s="74" t="s">
        <v>2389</v>
      </c>
      <c r="E1100" s="38"/>
      <c r="F1100" s="38">
        <v>2360.9699999999998</v>
      </c>
      <c r="G1100" s="38"/>
      <c r="H1100" s="38">
        <f t="shared" si="54"/>
        <v>0</v>
      </c>
      <c r="I1100" s="38"/>
      <c r="J1100" s="38"/>
      <c r="K1100" s="38"/>
      <c r="L1100" s="50"/>
      <c r="M1100" s="38"/>
      <c r="N1100" s="50"/>
      <c r="O1100" s="38"/>
      <c r="P1100" s="38">
        <v>152.12</v>
      </c>
      <c r="Q1100" s="35"/>
      <c r="R1100" s="100">
        <v>44569</v>
      </c>
      <c r="S1100" s="35"/>
      <c r="T1100" s="35">
        <v>150.4</v>
      </c>
      <c r="U1100" s="35"/>
      <c r="V1100" s="35"/>
      <c r="W1100" s="35"/>
      <c r="X1100" s="35"/>
      <c r="Y1100" s="35"/>
      <c r="AB1100" s="94"/>
      <c r="AC1100" s="35" t="s">
        <v>2390</v>
      </c>
      <c r="AD1100" s="35">
        <v>25.363757</v>
      </c>
      <c r="AE1100" s="35">
        <v>71.04983</v>
      </c>
    </row>
    <row r="1101" spans="1:31" x14ac:dyDescent="0.25">
      <c r="A1101" s="38" t="s">
        <v>36</v>
      </c>
      <c r="B1101" s="38" t="s">
        <v>2147</v>
      </c>
      <c r="C1101" s="38" t="s">
        <v>2396</v>
      </c>
      <c r="D1101" s="38" t="s">
        <v>2397</v>
      </c>
      <c r="E1101" s="38" t="s">
        <v>2398</v>
      </c>
      <c r="F1101" s="38">
        <v>1614.89</v>
      </c>
      <c r="G1101" s="38">
        <v>540.15</v>
      </c>
      <c r="H1101" s="38">
        <f t="shared" si="54"/>
        <v>1942</v>
      </c>
      <c r="I1101" s="38">
        <v>1280</v>
      </c>
      <c r="J1101" s="38">
        <v>662</v>
      </c>
      <c r="K1101" s="38">
        <v>618</v>
      </c>
      <c r="L1101" s="50">
        <f t="shared" ref="L1101:L1157" si="55">K1101/H1101*100</f>
        <v>31.822863027806385</v>
      </c>
      <c r="M1101" s="38">
        <v>247</v>
      </c>
      <c r="N1101" s="50">
        <f t="shared" si="53"/>
        <v>12.718846549948507</v>
      </c>
      <c r="O1101" s="38">
        <v>0</v>
      </c>
      <c r="P1101" s="38">
        <v>0</v>
      </c>
    </row>
    <row r="1102" spans="1:31" x14ac:dyDescent="0.25">
      <c r="A1102" s="38" t="s">
        <v>36</v>
      </c>
      <c r="B1102" s="38" t="s">
        <v>2147</v>
      </c>
      <c r="C1102" s="38" t="s">
        <v>2396</v>
      </c>
      <c r="D1102" s="38" t="s">
        <v>559</v>
      </c>
      <c r="E1102" s="38" t="s">
        <v>2399</v>
      </c>
      <c r="F1102" s="38">
        <v>697.62</v>
      </c>
      <c r="G1102" s="38">
        <v>847.22</v>
      </c>
      <c r="H1102" s="38">
        <f t="shared" si="54"/>
        <v>1270</v>
      </c>
      <c r="I1102" s="38">
        <v>853</v>
      </c>
      <c r="J1102" s="38">
        <v>417</v>
      </c>
      <c r="K1102" s="38">
        <v>436</v>
      </c>
      <c r="L1102" s="50">
        <f t="shared" si="55"/>
        <v>34.330708661417326</v>
      </c>
      <c r="M1102" s="38">
        <v>70</v>
      </c>
      <c r="N1102" s="50">
        <f t="shared" si="53"/>
        <v>5.5118110236220472</v>
      </c>
      <c r="O1102" s="38">
        <v>0</v>
      </c>
      <c r="P1102" s="38">
        <v>0</v>
      </c>
    </row>
    <row r="1103" spans="1:31" x14ac:dyDescent="0.25">
      <c r="A1103" s="38" t="s">
        <v>36</v>
      </c>
      <c r="B1103" s="38" t="s">
        <v>2147</v>
      </c>
      <c r="C1103" s="38" t="s">
        <v>2396</v>
      </c>
      <c r="D1103" s="38" t="s">
        <v>2400</v>
      </c>
      <c r="E1103" s="38" t="s">
        <v>2401</v>
      </c>
      <c r="F1103" s="38">
        <v>937.66</v>
      </c>
      <c r="G1103" s="38">
        <v>881.68</v>
      </c>
      <c r="H1103" s="38">
        <f t="shared" si="54"/>
        <v>1612</v>
      </c>
      <c r="I1103" s="38">
        <v>1052</v>
      </c>
      <c r="J1103" s="38">
        <v>560</v>
      </c>
      <c r="K1103" s="38">
        <v>492</v>
      </c>
      <c r="L1103" s="50">
        <f t="shared" si="55"/>
        <v>30.52109181141439</v>
      </c>
      <c r="M1103" s="38">
        <v>0</v>
      </c>
      <c r="N1103" s="50">
        <f t="shared" si="53"/>
        <v>0</v>
      </c>
      <c r="O1103" s="38">
        <v>0</v>
      </c>
      <c r="P1103" s="38">
        <v>3.84</v>
      </c>
    </row>
    <row r="1104" spans="1:31" x14ac:dyDescent="0.25">
      <c r="A1104" s="38" t="s">
        <v>36</v>
      </c>
      <c r="B1104" s="38" t="s">
        <v>2147</v>
      </c>
      <c r="C1104" s="38" t="s">
        <v>2396</v>
      </c>
      <c r="D1104" s="38" t="s">
        <v>2402</v>
      </c>
      <c r="E1104" s="38" t="s">
        <v>2403</v>
      </c>
      <c r="F1104" s="38">
        <v>1230</v>
      </c>
      <c r="G1104" s="38">
        <v>1301.3499999999999</v>
      </c>
      <c r="H1104" s="38">
        <f t="shared" si="54"/>
        <v>1649</v>
      </c>
      <c r="I1104" s="38">
        <v>1088</v>
      </c>
      <c r="J1104" s="38">
        <v>561</v>
      </c>
      <c r="K1104" s="38">
        <v>527</v>
      </c>
      <c r="L1104" s="50">
        <f t="shared" si="55"/>
        <v>31.958762886597935</v>
      </c>
      <c r="M1104" s="38">
        <v>9</v>
      </c>
      <c r="N1104" s="50">
        <f t="shared" si="53"/>
        <v>0.54578532443905392</v>
      </c>
      <c r="O1104" s="38">
        <v>0</v>
      </c>
      <c r="P1104" s="38">
        <v>202</v>
      </c>
      <c r="T1104" s="11">
        <v>205.76</v>
      </c>
      <c r="AB1104" s="85"/>
    </row>
    <row r="1105" spans="1:31" x14ac:dyDescent="0.25">
      <c r="A1105" s="38" t="s">
        <v>36</v>
      </c>
      <c r="B1105" s="38" t="s">
        <v>2147</v>
      </c>
      <c r="C1105" s="38" t="s">
        <v>2404</v>
      </c>
      <c r="D1105" s="38" t="s">
        <v>2405</v>
      </c>
      <c r="E1105" s="38" t="s">
        <v>2406</v>
      </c>
      <c r="F1105" s="38">
        <v>543.04999999999995</v>
      </c>
      <c r="G1105" s="38">
        <v>2360.9699999999998</v>
      </c>
      <c r="H1105" s="38">
        <f t="shared" si="54"/>
        <v>6159</v>
      </c>
      <c r="I1105" s="38">
        <v>4014</v>
      </c>
      <c r="J1105" s="38">
        <v>2145</v>
      </c>
      <c r="K1105" s="38">
        <v>1869</v>
      </c>
      <c r="L1105" s="50">
        <f t="shared" si="55"/>
        <v>30.345835362883584</v>
      </c>
      <c r="M1105" s="38">
        <v>259</v>
      </c>
      <c r="N1105" s="50">
        <f t="shared" si="53"/>
        <v>4.2052281214482869</v>
      </c>
      <c r="O1105" s="38">
        <v>0</v>
      </c>
      <c r="P1105" s="38">
        <v>0</v>
      </c>
      <c r="Q1105" s="35" t="s">
        <v>43</v>
      </c>
      <c r="R1105" s="14">
        <v>44559</v>
      </c>
      <c r="S1105" s="35"/>
      <c r="T1105" s="35">
        <v>0</v>
      </c>
      <c r="U1105" s="35"/>
      <c r="V1105" s="35"/>
      <c r="W1105" s="35"/>
      <c r="X1105" s="35"/>
      <c r="Y1105" s="35"/>
      <c r="AB1105" s="85"/>
      <c r="AC1105" s="35" t="s">
        <v>2407</v>
      </c>
      <c r="AD1105" s="35">
        <v>25.272781999999999</v>
      </c>
      <c r="AE1105" s="35">
        <v>70.937595999999999</v>
      </c>
    </row>
    <row r="1106" spans="1:31" x14ac:dyDescent="0.25">
      <c r="A1106" s="38" t="s">
        <v>36</v>
      </c>
      <c r="B1106" s="38" t="s">
        <v>2147</v>
      </c>
      <c r="C1106" s="38" t="s">
        <v>2404</v>
      </c>
      <c r="D1106" s="38" t="s">
        <v>2408</v>
      </c>
      <c r="E1106" s="38" t="s">
        <v>2409</v>
      </c>
      <c r="F1106" s="38">
        <v>971</v>
      </c>
      <c r="G1106" s="38">
        <v>1614.89</v>
      </c>
      <c r="H1106" s="38">
        <f t="shared" si="54"/>
        <v>2357</v>
      </c>
      <c r="I1106" s="38">
        <v>1519</v>
      </c>
      <c r="J1106" s="38">
        <v>838</v>
      </c>
      <c r="K1106" s="38">
        <v>681</v>
      </c>
      <c r="L1106" s="50">
        <f t="shared" si="55"/>
        <v>28.892660161221894</v>
      </c>
      <c r="M1106" s="38">
        <v>323</v>
      </c>
      <c r="N1106" s="50">
        <f t="shared" si="53"/>
        <v>13.703860840050913</v>
      </c>
      <c r="O1106" s="38">
        <v>0</v>
      </c>
      <c r="P1106" s="38">
        <v>0</v>
      </c>
      <c r="T1106" s="11">
        <v>0</v>
      </c>
      <c r="AB1106" s="85"/>
    </row>
    <row r="1107" spans="1:31" x14ac:dyDescent="0.25">
      <c r="A1107" s="38" t="s">
        <v>36</v>
      </c>
      <c r="B1107" s="38" t="s">
        <v>2147</v>
      </c>
      <c r="C1107" s="38" t="s">
        <v>2410</v>
      </c>
      <c r="D1107" s="38" t="s">
        <v>2410</v>
      </c>
      <c r="E1107" s="38" t="s">
        <v>2411</v>
      </c>
      <c r="F1107" s="38">
        <v>899.75</v>
      </c>
      <c r="G1107" s="38">
        <v>697.62</v>
      </c>
      <c r="H1107" s="38">
        <f t="shared" si="54"/>
        <v>1409</v>
      </c>
      <c r="I1107" s="38">
        <v>931</v>
      </c>
      <c r="J1107" s="38">
        <v>478</v>
      </c>
      <c r="K1107" s="38">
        <v>453</v>
      </c>
      <c r="L1107" s="50">
        <f t="shared" si="55"/>
        <v>32.150461320085164</v>
      </c>
      <c r="M1107" s="38">
        <v>0</v>
      </c>
      <c r="N1107" s="50">
        <f t="shared" si="53"/>
        <v>0</v>
      </c>
      <c r="O1107" s="38">
        <v>0</v>
      </c>
      <c r="P1107" s="38">
        <v>0</v>
      </c>
    </row>
    <row r="1108" spans="1:31" x14ac:dyDescent="0.25">
      <c r="A1108" s="38" t="s">
        <v>36</v>
      </c>
      <c r="B1108" s="38" t="s">
        <v>2147</v>
      </c>
      <c r="C1108" s="38" t="s">
        <v>2410</v>
      </c>
      <c r="D1108" s="38" t="s">
        <v>2412</v>
      </c>
      <c r="E1108" s="38" t="s">
        <v>2413</v>
      </c>
      <c r="F1108" s="38">
        <v>731.84</v>
      </c>
      <c r="G1108" s="38">
        <v>937.66</v>
      </c>
      <c r="H1108" s="38">
        <f t="shared" si="54"/>
        <v>1767</v>
      </c>
      <c r="I1108" s="38">
        <v>1166</v>
      </c>
      <c r="J1108" s="38">
        <v>601</v>
      </c>
      <c r="K1108" s="38">
        <v>565</v>
      </c>
      <c r="L1108" s="50">
        <f t="shared" si="55"/>
        <v>31.975099037917374</v>
      </c>
      <c r="M1108" s="38">
        <v>54</v>
      </c>
      <c r="N1108" s="50">
        <f t="shared" si="53"/>
        <v>3.0560271646859083</v>
      </c>
      <c r="O1108" s="38">
        <v>0</v>
      </c>
      <c r="P1108" s="38">
        <v>0</v>
      </c>
    </row>
    <row r="1109" spans="1:31" x14ac:dyDescent="0.25">
      <c r="A1109" s="38" t="s">
        <v>36</v>
      </c>
      <c r="B1109" s="38" t="s">
        <v>2147</v>
      </c>
      <c r="C1109" s="38" t="s">
        <v>2414</v>
      </c>
      <c r="D1109" s="38" t="s">
        <v>2415</v>
      </c>
      <c r="E1109" s="38" t="s">
        <v>2416</v>
      </c>
      <c r="F1109" s="38">
        <v>748</v>
      </c>
      <c r="G1109" s="38">
        <v>1230</v>
      </c>
      <c r="H1109" s="38">
        <f t="shared" si="54"/>
        <v>1765</v>
      </c>
      <c r="I1109" s="38">
        <v>1136</v>
      </c>
      <c r="J1109" s="38">
        <v>629</v>
      </c>
      <c r="K1109" s="38">
        <v>507</v>
      </c>
      <c r="L1109" s="50">
        <f t="shared" si="55"/>
        <v>28.725212464589234</v>
      </c>
      <c r="M1109" s="38">
        <v>38</v>
      </c>
      <c r="N1109" s="50">
        <f t="shared" si="53"/>
        <v>2.152974504249292</v>
      </c>
      <c r="O1109" s="38">
        <v>0</v>
      </c>
      <c r="P1109" s="38">
        <v>0</v>
      </c>
      <c r="Q1109" s="36" t="s">
        <v>43</v>
      </c>
      <c r="R1109" s="14">
        <v>44554</v>
      </c>
      <c r="S1109" s="36"/>
      <c r="T1109" s="36"/>
      <c r="U1109" s="36"/>
      <c r="V1109" s="36"/>
      <c r="W1109" s="36"/>
      <c r="X1109" s="36"/>
      <c r="Y1109" s="36"/>
      <c r="AC1109" s="15" t="s">
        <v>2417</v>
      </c>
      <c r="AD1109" s="36"/>
      <c r="AE1109" s="36"/>
    </row>
    <row r="1110" spans="1:31" x14ac:dyDescent="0.25">
      <c r="A1110" s="38" t="s">
        <v>36</v>
      </c>
      <c r="B1110" s="38" t="s">
        <v>2147</v>
      </c>
      <c r="C1110" s="38" t="s">
        <v>2414</v>
      </c>
      <c r="D1110" s="38" t="s">
        <v>2418</v>
      </c>
      <c r="E1110" s="38" t="s">
        <v>2419</v>
      </c>
      <c r="F1110" s="38">
        <v>294.94</v>
      </c>
      <c r="G1110" s="38">
        <v>543.04999999999995</v>
      </c>
      <c r="H1110" s="38">
        <f t="shared" si="54"/>
        <v>997</v>
      </c>
      <c r="I1110" s="38">
        <v>652</v>
      </c>
      <c r="J1110" s="38">
        <v>345</v>
      </c>
      <c r="K1110" s="38">
        <v>307</v>
      </c>
      <c r="L1110" s="50">
        <f t="shared" si="55"/>
        <v>30.792377131394183</v>
      </c>
      <c r="M1110" s="38">
        <v>0</v>
      </c>
      <c r="N1110" s="50">
        <f t="shared" si="53"/>
        <v>0</v>
      </c>
      <c r="O1110" s="38">
        <v>2.1800000000000002</v>
      </c>
      <c r="P1110" s="38">
        <v>0</v>
      </c>
      <c r="Q1110" s="36" t="s">
        <v>43</v>
      </c>
      <c r="R1110" s="14">
        <v>44554</v>
      </c>
      <c r="S1110" s="36"/>
      <c r="T1110" s="36"/>
      <c r="U1110" s="36"/>
      <c r="V1110" s="36"/>
      <c r="W1110" s="36"/>
      <c r="X1110" s="36"/>
      <c r="Y1110" s="36"/>
      <c r="AC1110" s="15" t="s">
        <v>2420</v>
      </c>
      <c r="AD1110" s="36">
        <v>0</v>
      </c>
      <c r="AE1110" s="36"/>
    </row>
    <row r="1111" spans="1:31" x14ac:dyDescent="0.25">
      <c r="A1111" s="38" t="s">
        <v>36</v>
      </c>
      <c r="B1111" s="38" t="s">
        <v>2147</v>
      </c>
      <c r="C1111" s="38" t="s">
        <v>2414</v>
      </c>
      <c r="D1111" s="38" t="s">
        <v>2421</v>
      </c>
      <c r="E1111" s="38" t="s">
        <v>2422</v>
      </c>
      <c r="F1111" s="38">
        <v>442.71</v>
      </c>
      <c r="G1111" s="38">
        <v>971</v>
      </c>
      <c r="H1111" s="38">
        <f t="shared" si="54"/>
        <v>908</v>
      </c>
      <c r="I1111" s="38">
        <v>601</v>
      </c>
      <c r="J1111" s="38">
        <v>307</v>
      </c>
      <c r="K1111" s="38">
        <v>294</v>
      </c>
      <c r="L1111" s="50">
        <f t="shared" si="55"/>
        <v>32.378854625550666</v>
      </c>
      <c r="M1111" s="38">
        <v>0</v>
      </c>
      <c r="N1111" s="50">
        <f t="shared" si="53"/>
        <v>0</v>
      </c>
      <c r="O1111" s="38">
        <v>0</v>
      </c>
      <c r="P1111" s="38">
        <v>0</v>
      </c>
      <c r="Q1111" s="36" t="s">
        <v>43</v>
      </c>
      <c r="R1111" s="14">
        <v>44554</v>
      </c>
      <c r="S1111" s="36"/>
      <c r="T1111" s="36"/>
      <c r="U1111" s="36"/>
      <c r="V1111" s="36"/>
      <c r="W1111" s="36"/>
      <c r="X1111" s="36"/>
      <c r="Y1111" s="36"/>
      <c r="AC1111" s="15" t="s">
        <v>2421</v>
      </c>
      <c r="AD1111" s="36">
        <v>0</v>
      </c>
      <c r="AE1111" s="36"/>
    </row>
    <row r="1112" spans="1:31" x14ac:dyDescent="0.25">
      <c r="A1112" s="38" t="s">
        <v>36</v>
      </c>
      <c r="B1112" s="38" t="s">
        <v>2147</v>
      </c>
      <c r="C1112" s="38" t="s">
        <v>2423</v>
      </c>
      <c r="D1112" s="38" t="s">
        <v>2424</v>
      </c>
      <c r="E1112" s="38" t="s">
        <v>2425</v>
      </c>
      <c r="F1112" s="38">
        <v>565</v>
      </c>
      <c r="G1112" s="38">
        <v>899.75</v>
      </c>
      <c r="H1112" s="38">
        <f t="shared" si="54"/>
        <v>1176</v>
      </c>
      <c r="I1112" s="38">
        <v>769</v>
      </c>
      <c r="J1112" s="38">
        <v>407</v>
      </c>
      <c r="K1112" s="38">
        <v>362</v>
      </c>
      <c r="L1112" s="50">
        <f t="shared" si="55"/>
        <v>30.782312925170068</v>
      </c>
      <c r="M1112" s="38">
        <v>0</v>
      </c>
      <c r="N1112" s="50">
        <f t="shared" si="53"/>
        <v>0</v>
      </c>
      <c r="O1112" s="38">
        <v>0</v>
      </c>
      <c r="P1112" s="38">
        <v>0</v>
      </c>
    </row>
    <row r="1113" spans="1:31" x14ac:dyDescent="0.25">
      <c r="A1113" s="38" t="s">
        <v>36</v>
      </c>
      <c r="B1113" s="38" t="s">
        <v>2147</v>
      </c>
      <c r="C1113" s="38" t="s">
        <v>2423</v>
      </c>
      <c r="D1113" s="38" t="s">
        <v>2426</v>
      </c>
      <c r="E1113" s="38" t="s">
        <v>2427</v>
      </c>
      <c r="F1113" s="38">
        <v>1092.51</v>
      </c>
      <c r="G1113" s="38">
        <v>731.84</v>
      </c>
      <c r="H1113" s="38">
        <f t="shared" si="54"/>
        <v>2009</v>
      </c>
      <c r="I1113" s="38">
        <v>1321</v>
      </c>
      <c r="J1113" s="38">
        <v>688</v>
      </c>
      <c r="K1113" s="38">
        <v>633</v>
      </c>
      <c r="L1113" s="50">
        <f t="shared" si="55"/>
        <v>31.508213041314086</v>
      </c>
      <c r="M1113" s="38">
        <v>112</v>
      </c>
      <c r="N1113" s="50">
        <f t="shared" si="53"/>
        <v>5.5749128919860631</v>
      </c>
      <c r="O1113" s="38">
        <v>0</v>
      </c>
      <c r="P1113" s="38">
        <v>21.21</v>
      </c>
    </row>
    <row r="1114" spans="1:31" x14ac:dyDescent="0.25">
      <c r="A1114" s="38" t="s">
        <v>36</v>
      </c>
      <c r="B1114" s="38" t="s">
        <v>2147</v>
      </c>
      <c r="C1114" s="38" t="s">
        <v>2423</v>
      </c>
      <c r="D1114" s="38" t="s">
        <v>2428</v>
      </c>
      <c r="E1114" s="38" t="s">
        <v>2429</v>
      </c>
      <c r="F1114" s="38">
        <v>471.02</v>
      </c>
      <c r="G1114" s="38">
        <v>748</v>
      </c>
      <c r="H1114" s="38">
        <f t="shared" si="54"/>
        <v>1122</v>
      </c>
      <c r="I1114" s="38">
        <v>735</v>
      </c>
      <c r="J1114" s="38">
        <v>387</v>
      </c>
      <c r="K1114" s="38">
        <v>348</v>
      </c>
      <c r="L1114" s="50">
        <f t="shared" si="55"/>
        <v>31.016042780748666</v>
      </c>
      <c r="M1114" s="38">
        <v>0</v>
      </c>
      <c r="N1114" s="50">
        <f t="shared" si="53"/>
        <v>0</v>
      </c>
      <c r="O1114" s="38">
        <v>0</v>
      </c>
      <c r="P1114" s="38">
        <v>0</v>
      </c>
    </row>
    <row r="1115" spans="1:31" x14ac:dyDescent="0.25">
      <c r="A1115" s="38" t="s">
        <v>36</v>
      </c>
      <c r="B1115" s="38" t="s">
        <v>2147</v>
      </c>
      <c r="C1115" s="38" t="s">
        <v>2423</v>
      </c>
      <c r="D1115" s="38" t="s">
        <v>2430</v>
      </c>
      <c r="E1115" s="38" t="s">
        <v>2431</v>
      </c>
      <c r="F1115" s="38">
        <v>495.73</v>
      </c>
      <c r="G1115" s="38">
        <v>294.94</v>
      </c>
      <c r="H1115" s="38">
        <f t="shared" si="54"/>
        <v>830</v>
      </c>
      <c r="I1115" s="38">
        <v>547</v>
      </c>
      <c r="J1115" s="38">
        <v>283</v>
      </c>
      <c r="K1115" s="38">
        <v>264</v>
      </c>
      <c r="L1115" s="50">
        <f t="shared" si="55"/>
        <v>31.807228915662648</v>
      </c>
      <c r="M1115" s="38">
        <v>0</v>
      </c>
      <c r="N1115" s="50">
        <f t="shared" si="53"/>
        <v>0</v>
      </c>
      <c r="O1115" s="38">
        <v>0</v>
      </c>
      <c r="P1115" s="38">
        <v>0</v>
      </c>
    </row>
    <row r="1116" spans="1:31" x14ac:dyDescent="0.25">
      <c r="A1116" s="38" t="s">
        <v>36</v>
      </c>
      <c r="B1116" s="38" t="s">
        <v>2147</v>
      </c>
      <c r="C1116" s="38" t="s">
        <v>2423</v>
      </c>
      <c r="D1116" s="38" t="s">
        <v>2432</v>
      </c>
      <c r="E1116" s="38" t="s">
        <v>2433</v>
      </c>
      <c r="F1116" s="38">
        <v>344.28</v>
      </c>
      <c r="G1116" s="38">
        <v>442.71</v>
      </c>
      <c r="H1116" s="38">
        <f t="shared" si="54"/>
        <v>685</v>
      </c>
      <c r="I1116" s="38">
        <v>453</v>
      </c>
      <c r="J1116" s="38">
        <v>232</v>
      </c>
      <c r="K1116" s="38">
        <v>221</v>
      </c>
      <c r="L1116" s="50">
        <f t="shared" si="55"/>
        <v>32.262773722627735</v>
      </c>
      <c r="M1116" s="38">
        <v>0</v>
      </c>
      <c r="N1116" s="50">
        <f t="shared" si="53"/>
        <v>0</v>
      </c>
      <c r="O1116" s="38">
        <v>0</v>
      </c>
      <c r="P1116" s="38">
        <v>0</v>
      </c>
    </row>
    <row r="1117" spans="1:31" x14ac:dyDescent="0.25">
      <c r="A1117" s="38" t="s">
        <v>36</v>
      </c>
      <c r="B1117" s="38" t="s">
        <v>2147</v>
      </c>
      <c r="C1117" s="38" t="s">
        <v>2423</v>
      </c>
      <c r="D1117" s="38" t="s">
        <v>2434</v>
      </c>
      <c r="E1117" s="38" t="s">
        <v>2435</v>
      </c>
      <c r="F1117" s="38">
        <v>608.05999999999995</v>
      </c>
      <c r="G1117" s="38">
        <v>565</v>
      </c>
      <c r="H1117" s="38">
        <f t="shared" si="54"/>
        <v>636</v>
      </c>
      <c r="I1117" s="38">
        <v>424</v>
      </c>
      <c r="J1117" s="38">
        <v>212</v>
      </c>
      <c r="K1117" s="38">
        <v>212</v>
      </c>
      <c r="L1117" s="50">
        <f t="shared" si="55"/>
        <v>33.333333333333329</v>
      </c>
      <c r="M1117" s="38">
        <v>0</v>
      </c>
      <c r="N1117" s="50">
        <f t="shared" si="53"/>
        <v>0</v>
      </c>
      <c r="O1117" s="38">
        <v>0</v>
      </c>
      <c r="P1117" s="38">
        <v>0</v>
      </c>
    </row>
    <row r="1118" spans="1:31" x14ac:dyDescent="0.25">
      <c r="A1118" s="38" t="s">
        <v>36</v>
      </c>
      <c r="B1118" s="38" t="s">
        <v>2147</v>
      </c>
      <c r="C1118" s="38" t="s">
        <v>2436</v>
      </c>
      <c r="D1118" s="38" t="s">
        <v>2437</v>
      </c>
      <c r="E1118" s="38" t="s">
        <v>2438</v>
      </c>
      <c r="F1118" s="38">
        <v>831.53</v>
      </c>
      <c r="G1118" s="38">
        <v>1092.51</v>
      </c>
      <c r="H1118" s="38">
        <f t="shared" si="54"/>
        <v>2284</v>
      </c>
      <c r="I1118" s="38">
        <v>1512</v>
      </c>
      <c r="J1118" s="38">
        <v>772</v>
      </c>
      <c r="K1118" s="38">
        <v>740</v>
      </c>
      <c r="L1118" s="50">
        <f t="shared" si="55"/>
        <v>32.399299474605954</v>
      </c>
      <c r="M1118" s="38">
        <v>51</v>
      </c>
      <c r="N1118" s="50">
        <f t="shared" si="53"/>
        <v>2.2329246935201401</v>
      </c>
      <c r="O1118" s="38">
        <v>0</v>
      </c>
      <c r="P1118" s="38">
        <v>0</v>
      </c>
    </row>
    <row r="1119" spans="1:31" x14ac:dyDescent="0.25">
      <c r="A1119" s="38" t="s">
        <v>36</v>
      </c>
      <c r="B1119" s="38" t="s">
        <v>2147</v>
      </c>
      <c r="C1119" s="38" t="s">
        <v>2436</v>
      </c>
      <c r="D1119" s="38" t="s">
        <v>2439</v>
      </c>
      <c r="E1119" s="38" t="s">
        <v>2440</v>
      </c>
      <c r="F1119" s="38">
        <v>385.12</v>
      </c>
      <c r="G1119" s="38">
        <v>471.02</v>
      </c>
      <c r="H1119" s="38">
        <f t="shared" si="54"/>
        <v>830</v>
      </c>
      <c r="I1119" s="38">
        <v>545</v>
      </c>
      <c r="J1119" s="38">
        <v>285</v>
      </c>
      <c r="K1119" s="38">
        <v>260</v>
      </c>
      <c r="L1119" s="50">
        <f t="shared" si="55"/>
        <v>31.325301204819279</v>
      </c>
      <c r="M1119" s="38">
        <v>0</v>
      </c>
      <c r="N1119" s="50">
        <f t="shared" si="53"/>
        <v>0</v>
      </c>
      <c r="O1119" s="38">
        <v>0</v>
      </c>
      <c r="P1119" s="38">
        <v>0</v>
      </c>
    </row>
    <row r="1120" spans="1:31" x14ac:dyDescent="0.25">
      <c r="A1120" s="38" t="s">
        <v>36</v>
      </c>
      <c r="B1120" s="38" t="s">
        <v>2147</v>
      </c>
      <c r="C1120" s="38" t="s">
        <v>2436</v>
      </c>
      <c r="D1120" s="38" t="s">
        <v>2441</v>
      </c>
      <c r="E1120" s="38" t="s">
        <v>2442</v>
      </c>
      <c r="F1120" s="38">
        <v>413.3</v>
      </c>
      <c r="G1120" s="38">
        <v>495.73</v>
      </c>
      <c r="H1120" s="38">
        <f t="shared" si="54"/>
        <v>753</v>
      </c>
      <c r="I1120" s="38">
        <v>504</v>
      </c>
      <c r="J1120" s="38">
        <v>249</v>
      </c>
      <c r="K1120" s="38">
        <v>255</v>
      </c>
      <c r="L1120" s="50">
        <f t="shared" si="55"/>
        <v>33.864541832669318</v>
      </c>
      <c r="M1120" s="38">
        <v>49</v>
      </c>
      <c r="N1120" s="50">
        <f t="shared" si="53"/>
        <v>6.5073041168658694</v>
      </c>
      <c r="O1120" s="38">
        <v>0</v>
      </c>
      <c r="P1120" s="38">
        <v>2.99</v>
      </c>
    </row>
    <row r="1121" spans="1:31" x14ac:dyDescent="0.25">
      <c r="A1121" s="38" t="s">
        <v>36</v>
      </c>
      <c r="B1121" s="38" t="s">
        <v>2147</v>
      </c>
      <c r="C1121" s="38" t="s">
        <v>2436</v>
      </c>
      <c r="D1121" s="38" t="s">
        <v>2443</v>
      </c>
      <c r="E1121" s="38" t="s">
        <v>2444</v>
      </c>
      <c r="F1121" s="38">
        <v>672.62</v>
      </c>
      <c r="G1121" s="38">
        <v>344.28</v>
      </c>
      <c r="H1121" s="38">
        <f t="shared" si="54"/>
        <v>574</v>
      </c>
      <c r="I1121" s="38">
        <v>373</v>
      </c>
      <c r="J1121" s="38">
        <v>201</v>
      </c>
      <c r="K1121" s="38">
        <v>172</v>
      </c>
      <c r="L1121" s="50">
        <f t="shared" si="55"/>
        <v>29.965156794425084</v>
      </c>
      <c r="M1121" s="38">
        <v>0</v>
      </c>
      <c r="N1121" s="50">
        <f t="shared" si="53"/>
        <v>0</v>
      </c>
      <c r="O1121" s="38">
        <v>0</v>
      </c>
      <c r="P1121" s="38">
        <v>0</v>
      </c>
    </row>
    <row r="1122" spans="1:31" x14ac:dyDescent="0.25">
      <c r="A1122" s="38" t="s">
        <v>36</v>
      </c>
      <c r="B1122" s="38" t="s">
        <v>2147</v>
      </c>
      <c r="C1122" s="38" t="s">
        <v>2436</v>
      </c>
      <c r="D1122" s="38" t="s">
        <v>2445</v>
      </c>
      <c r="E1122" s="38" t="s">
        <v>2446</v>
      </c>
      <c r="F1122" s="38">
        <v>683</v>
      </c>
      <c r="G1122" s="38">
        <v>608.05999999999995</v>
      </c>
      <c r="H1122" s="38">
        <f t="shared" si="54"/>
        <v>880</v>
      </c>
      <c r="I1122" s="38">
        <v>573</v>
      </c>
      <c r="J1122" s="38">
        <v>307</v>
      </c>
      <c r="K1122" s="38">
        <v>266</v>
      </c>
      <c r="L1122" s="50">
        <f t="shared" si="55"/>
        <v>30.227272727272727</v>
      </c>
      <c r="M1122" s="38">
        <v>0</v>
      </c>
      <c r="N1122" s="50">
        <f t="shared" si="53"/>
        <v>0</v>
      </c>
      <c r="O1122" s="38">
        <v>0</v>
      </c>
      <c r="P1122" s="38">
        <v>0</v>
      </c>
    </row>
    <row r="1123" spans="1:31" x14ac:dyDescent="0.25">
      <c r="A1123" s="38" t="s">
        <v>36</v>
      </c>
      <c r="B1123" s="38" t="s">
        <v>2147</v>
      </c>
      <c r="C1123" s="38" t="s">
        <v>2447</v>
      </c>
      <c r="D1123" s="38" t="s">
        <v>2053</v>
      </c>
      <c r="E1123" s="38" t="s">
        <v>2448</v>
      </c>
      <c r="F1123" s="38">
        <v>856</v>
      </c>
      <c r="G1123" s="38">
        <v>831.53</v>
      </c>
      <c r="H1123" s="38">
        <f t="shared" si="54"/>
        <v>1653</v>
      </c>
      <c r="I1123" s="38">
        <v>1083</v>
      </c>
      <c r="J1123" s="38">
        <v>570</v>
      </c>
      <c r="K1123" s="38">
        <v>513</v>
      </c>
      <c r="L1123" s="50">
        <f t="shared" si="55"/>
        <v>31.03448275862069</v>
      </c>
      <c r="M1123" s="38">
        <v>37</v>
      </c>
      <c r="N1123" s="50">
        <f t="shared" si="53"/>
        <v>2.2383545069570481</v>
      </c>
      <c r="O1123" s="38">
        <v>0</v>
      </c>
      <c r="P1123" s="38">
        <v>0</v>
      </c>
    </row>
    <row r="1124" spans="1:31" x14ac:dyDescent="0.25">
      <c r="A1124" s="38" t="s">
        <v>36</v>
      </c>
      <c r="B1124" s="38" t="s">
        <v>2147</v>
      </c>
      <c r="C1124" s="38" t="s">
        <v>2447</v>
      </c>
      <c r="D1124" s="38" t="s">
        <v>856</v>
      </c>
      <c r="E1124" s="38" t="s">
        <v>2449</v>
      </c>
      <c r="F1124" s="38">
        <v>688</v>
      </c>
      <c r="G1124" s="38">
        <v>385.12</v>
      </c>
      <c r="H1124" s="38">
        <f t="shared" si="54"/>
        <v>750</v>
      </c>
      <c r="I1124" s="38">
        <v>486</v>
      </c>
      <c r="J1124" s="38">
        <v>264</v>
      </c>
      <c r="K1124" s="38">
        <v>222</v>
      </c>
      <c r="L1124" s="50">
        <f t="shared" si="55"/>
        <v>29.599999999999998</v>
      </c>
      <c r="M1124" s="38">
        <v>0</v>
      </c>
      <c r="N1124" s="50">
        <f t="shared" si="53"/>
        <v>0</v>
      </c>
      <c r="O1124" s="38">
        <v>0</v>
      </c>
      <c r="P1124" s="38">
        <v>0</v>
      </c>
    </row>
    <row r="1125" spans="1:31" x14ac:dyDescent="0.25">
      <c r="A1125" s="38" t="s">
        <v>36</v>
      </c>
      <c r="B1125" s="38" t="s">
        <v>2147</v>
      </c>
      <c r="C1125" s="38" t="s">
        <v>2447</v>
      </c>
      <c r="D1125" s="38" t="s">
        <v>2054</v>
      </c>
      <c r="E1125" s="38" t="s">
        <v>2450</v>
      </c>
      <c r="F1125" s="38"/>
      <c r="G1125" s="38">
        <v>413.3</v>
      </c>
      <c r="H1125" s="38">
        <f t="shared" si="54"/>
        <v>753</v>
      </c>
      <c r="I1125" s="38">
        <v>487</v>
      </c>
      <c r="J1125" s="38">
        <v>266</v>
      </c>
      <c r="K1125" s="38">
        <v>221</v>
      </c>
      <c r="L1125" s="50">
        <f t="shared" si="55"/>
        <v>29.349269588313415</v>
      </c>
      <c r="M1125" s="38">
        <v>0</v>
      </c>
      <c r="N1125" s="50">
        <f t="shared" si="53"/>
        <v>0</v>
      </c>
      <c r="O1125" s="38">
        <v>0</v>
      </c>
      <c r="P1125" s="38"/>
      <c r="T1125" s="11">
        <v>0</v>
      </c>
      <c r="AB1125" s="85"/>
    </row>
    <row r="1126" spans="1:31" x14ac:dyDescent="0.25">
      <c r="A1126" s="38" t="s">
        <v>36</v>
      </c>
      <c r="B1126" s="38" t="s">
        <v>2147</v>
      </c>
      <c r="C1126" s="38" t="s">
        <v>2447</v>
      </c>
      <c r="D1126" s="38" t="s">
        <v>2055</v>
      </c>
      <c r="E1126" s="38" t="s">
        <v>2451</v>
      </c>
      <c r="F1126" s="38"/>
      <c r="G1126" s="38">
        <v>672.62</v>
      </c>
      <c r="H1126" s="38">
        <f t="shared" si="54"/>
        <v>1111</v>
      </c>
      <c r="I1126" s="38">
        <v>721</v>
      </c>
      <c r="J1126" s="38">
        <v>390</v>
      </c>
      <c r="K1126" s="38">
        <v>331</v>
      </c>
      <c r="L1126" s="50">
        <f t="shared" si="55"/>
        <v>29.792979297929794</v>
      </c>
      <c r="M1126" s="38">
        <v>2</v>
      </c>
      <c r="N1126" s="50">
        <f t="shared" si="53"/>
        <v>0.18001800180018002</v>
      </c>
      <c r="O1126" s="38">
        <v>0</v>
      </c>
      <c r="P1126" s="38"/>
      <c r="T1126" s="11">
        <v>65.28</v>
      </c>
      <c r="AB1126" s="85"/>
    </row>
    <row r="1127" spans="1:31" x14ac:dyDescent="0.25">
      <c r="A1127" s="38" t="s">
        <v>36</v>
      </c>
      <c r="B1127" s="38" t="s">
        <v>2147</v>
      </c>
      <c r="C1127" s="38" t="s">
        <v>2452</v>
      </c>
      <c r="D1127" s="38" t="s">
        <v>2452</v>
      </c>
      <c r="E1127" s="38" t="s">
        <v>2453</v>
      </c>
      <c r="F1127" s="38">
        <v>1213.5</v>
      </c>
      <c r="G1127" s="38">
        <v>683</v>
      </c>
      <c r="H1127" s="38">
        <f t="shared" si="54"/>
        <v>1988</v>
      </c>
      <c r="I1127" s="38">
        <v>1303</v>
      </c>
      <c r="J1127" s="38">
        <v>685</v>
      </c>
      <c r="K1127" s="38">
        <v>618</v>
      </c>
      <c r="L1127" s="50">
        <f t="shared" si="55"/>
        <v>31.086519114688127</v>
      </c>
      <c r="M1127" s="38">
        <v>265</v>
      </c>
      <c r="N1127" s="50">
        <f t="shared" si="53"/>
        <v>13.329979879275655</v>
      </c>
      <c r="O1127" s="38">
        <v>0</v>
      </c>
      <c r="P1127" s="38">
        <v>0</v>
      </c>
    </row>
    <row r="1128" spans="1:31" x14ac:dyDescent="0.25">
      <c r="A1128" s="38" t="s">
        <v>36</v>
      </c>
      <c r="B1128" s="38" t="s">
        <v>2147</v>
      </c>
      <c r="C1128" s="38" t="s">
        <v>2452</v>
      </c>
      <c r="D1128" s="38" t="s">
        <v>2454</v>
      </c>
      <c r="E1128" s="38" t="s">
        <v>2455</v>
      </c>
      <c r="F1128" s="38">
        <v>426.94</v>
      </c>
      <c r="G1128" s="38">
        <v>856</v>
      </c>
      <c r="H1128" s="38">
        <f t="shared" si="54"/>
        <v>1534</v>
      </c>
      <c r="I1128" s="38">
        <v>1008</v>
      </c>
      <c r="J1128" s="38">
        <v>526</v>
      </c>
      <c r="K1128" s="38">
        <v>482</v>
      </c>
      <c r="L1128" s="50">
        <f t="shared" si="55"/>
        <v>31.421121251629724</v>
      </c>
      <c r="M1128" s="38">
        <v>0</v>
      </c>
      <c r="N1128" s="50">
        <f t="shared" si="53"/>
        <v>0</v>
      </c>
      <c r="O1128" s="38">
        <v>0</v>
      </c>
      <c r="P1128" s="38">
        <v>7.09</v>
      </c>
    </row>
    <row r="1129" spans="1:31" x14ac:dyDescent="0.25">
      <c r="A1129" s="38" t="s">
        <v>36</v>
      </c>
      <c r="B1129" s="38" t="s">
        <v>2147</v>
      </c>
      <c r="C1129" s="38" t="s">
        <v>2452</v>
      </c>
      <c r="D1129" s="38" t="s">
        <v>2456</v>
      </c>
      <c r="E1129" s="38" t="s">
        <v>2457</v>
      </c>
      <c r="F1129" s="38">
        <v>1536.28</v>
      </c>
      <c r="G1129" s="38">
        <v>688</v>
      </c>
      <c r="H1129" s="38">
        <f t="shared" si="54"/>
        <v>1953</v>
      </c>
      <c r="I1129" s="38">
        <v>1296</v>
      </c>
      <c r="J1129" s="38">
        <v>657</v>
      </c>
      <c r="K1129" s="38">
        <v>639</v>
      </c>
      <c r="L1129" s="50">
        <f t="shared" si="55"/>
        <v>32.718894009216591</v>
      </c>
      <c r="M1129" s="38">
        <v>24</v>
      </c>
      <c r="N1129" s="50">
        <f t="shared" si="53"/>
        <v>1.228878648233487</v>
      </c>
      <c r="O1129" s="38">
        <v>0</v>
      </c>
      <c r="P1129" s="38">
        <v>0</v>
      </c>
    </row>
    <row r="1130" spans="1:31" x14ac:dyDescent="0.25">
      <c r="A1130" s="38" t="s">
        <v>36</v>
      </c>
      <c r="B1130" s="38" t="s">
        <v>2147</v>
      </c>
      <c r="C1130" s="15" t="s">
        <v>2458</v>
      </c>
      <c r="D1130" s="15" t="s">
        <v>2459</v>
      </c>
      <c r="E1130" s="38"/>
      <c r="F1130" s="38">
        <v>527.55999999999995</v>
      </c>
      <c r="G1130" s="38"/>
      <c r="H1130" s="38">
        <f t="shared" si="54"/>
        <v>0</v>
      </c>
      <c r="I1130" s="38"/>
      <c r="J1130" s="38"/>
      <c r="K1130" s="38"/>
      <c r="L1130" s="50"/>
      <c r="M1130" s="38"/>
      <c r="N1130" s="50"/>
      <c r="O1130" s="38"/>
      <c r="P1130" s="38">
        <v>81.98</v>
      </c>
      <c r="Q1130" s="36" t="s">
        <v>43</v>
      </c>
      <c r="R1130" s="14">
        <v>44541</v>
      </c>
      <c r="S1130" s="36"/>
      <c r="T1130" s="36"/>
      <c r="U1130" s="36"/>
      <c r="V1130" s="36"/>
      <c r="W1130" s="36"/>
      <c r="X1130" s="36"/>
      <c r="Y1130" s="36"/>
      <c r="AC1130" s="15" t="s">
        <v>2459</v>
      </c>
      <c r="AD1130" s="36">
        <v>0</v>
      </c>
      <c r="AE1130" s="36"/>
    </row>
    <row r="1131" spans="1:31" x14ac:dyDescent="0.25">
      <c r="A1131" s="38" t="s">
        <v>36</v>
      </c>
      <c r="B1131" s="38" t="s">
        <v>2147</v>
      </c>
      <c r="C1131" s="15" t="s">
        <v>2458</v>
      </c>
      <c r="D1131" s="15" t="s">
        <v>2458</v>
      </c>
      <c r="E1131" s="38"/>
      <c r="F1131" s="38">
        <v>285.73</v>
      </c>
      <c r="G1131" s="38"/>
      <c r="H1131" s="38">
        <f t="shared" si="54"/>
        <v>0</v>
      </c>
      <c r="I1131" s="38"/>
      <c r="J1131" s="38"/>
      <c r="K1131" s="38"/>
      <c r="L1131" s="50"/>
      <c r="M1131" s="38"/>
      <c r="N1131" s="50"/>
      <c r="O1131" s="38"/>
      <c r="P1131" s="38">
        <v>0</v>
      </c>
      <c r="Q1131" s="36" t="s">
        <v>43</v>
      </c>
      <c r="R1131" s="14">
        <v>44541</v>
      </c>
      <c r="S1131" s="36"/>
      <c r="T1131" s="36"/>
      <c r="U1131" s="36"/>
      <c r="V1131" s="36"/>
      <c r="W1131" s="36"/>
      <c r="X1131" s="36"/>
      <c r="Y1131" s="36"/>
      <c r="AC1131" s="15" t="s">
        <v>2458</v>
      </c>
      <c r="AD1131" s="36"/>
      <c r="AE1131" s="36"/>
    </row>
    <row r="1132" spans="1:31" x14ac:dyDescent="0.25">
      <c r="A1132" s="38" t="s">
        <v>36</v>
      </c>
      <c r="B1132" s="38" t="s">
        <v>2147</v>
      </c>
      <c r="C1132" s="38" t="s">
        <v>2460</v>
      </c>
      <c r="D1132" s="38" t="s">
        <v>134</v>
      </c>
      <c r="E1132" s="38" t="s">
        <v>2461</v>
      </c>
      <c r="F1132" s="38">
        <v>384.58</v>
      </c>
      <c r="G1132" s="38">
        <v>1213.5</v>
      </c>
      <c r="H1132" s="38">
        <f t="shared" si="54"/>
        <v>1794</v>
      </c>
      <c r="I1132" s="38">
        <v>1180</v>
      </c>
      <c r="J1132" s="38">
        <v>614</v>
      </c>
      <c r="K1132" s="38">
        <v>566</v>
      </c>
      <c r="L1132" s="50">
        <f t="shared" si="55"/>
        <v>31.549609810479375</v>
      </c>
      <c r="M1132" s="38">
        <v>57</v>
      </c>
      <c r="N1132" s="50">
        <f t="shared" si="53"/>
        <v>3.1772575250836121</v>
      </c>
      <c r="O1132" s="38">
        <v>0</v>
      </c>
      <c r="P1132" s="38">
        <v>6.22</v>
      </c>
      <c r="AC1132" s="117"/>
      <c r="AD1132" s="121"/>
    </row>
    <row r="1133" spans="1:31" x14ac:dyDescent="0.25">
      <c r="A1133" s="38" t="s">
        <v>36</v>
      </c>
      <c r="B1133" s="38" t="s">
        <v>2147</v>
      </c>
      <c r="C1133" s="38" t="s">
        <v>2460</v>
      </c>
      <c r="D1133" s="38" t="s">
        <v>2462</v>
      </c>
      <c r="E1133" s="38" t="s">
        <v>2463</v>
      </c>
      <c r="F1133" s="38">
        <v>799.31</v>
      </c>
      <c r="G1133" s="38">
        <v>426.94</v>
      </c>
      <c r="H1133" s="38">
        <f t="shared" si="54"/>
        <v>769</v>
      </c>
      <c r="I1133" s="38">
        <v>512</v>
      </c>
      <c r="J1133" s="38">
        <v>257</v>
      </c>
      <c r="K1133" s="38">
        <v>255</v>
      </c>
      <c r="L1133" s="50">
        <f t="shared" si="55"/>
        <v>33.159947984395316</v>
      </c>
      <c r="M1133" s="38">
        <v>12</v>
      </c>
      <c r="N1133" s="50">
        <f t="shared" si="53"/>
        <v>1.5604681404421328</v>
      </c>
      <c r="O1133" s="38">
        <v>0</v>
      </c>
      <c r="P1133" s="38">
        <v>0</v>
      </c>
    </row>
    <row r="1134" spans="1:31" x14ac:dyDescent="0.25">
      <c r="A1134" s="38" t="s">
        <v>36</v>
      </c>
      <c r="B1134" s="38" t="s">
        <v>2147</v>
      </c>
      <c r="C1134" s="38" t="s">
        <v>2460</v>
      </c>
      <c r="D1134" s="38" t="s">
        <v>2464</v>
      </c>
      <c r="E1134" s="38" t="s">
        <v>2465</v>
      </c>
      <c r="F1134" s="38">
        <v>439</v>
      </c>
      <c r="G1134" s="38">
        <v>1536.28</v>
      </c>
      <c r="H1134" s="38">
        <f t="shared" si="54"/>
        <v>2269</v>
      </c>
      <c r="I1134" s="38">
        <v>1482</v>
      </c>
      <c r="J1134" s="38">
        <v>787</v>
      </c>
      <c r="K1134" s="38">
        <v>695</v>
      </c>
      <c r="L1134" s="50">
        <f t="shared" si="55"/>
        <v>30.630233583076244</v>
      </c>
      <c r="M1134" s="38">
        <v>104</v>
      </c>
      <c r="N1134" s="50">
        <f t="shared" si="53"/>
        <v>4.5835169678272365</v>
      </c>
      <c r="O1134" s="38">
        <v>0</v>
      </c>
      <c r="P1134" s="38">
        <v>0</v>
      </c>
    </row>
    <row r="1135" spans="1:31" x14ac:dyDescent="0.25">
      <c r="A1135" s="38" t="s">
        <v>36</v>
      </c>
      <c r="B1135" s="38" t="s">
        <v>2147</v>
      </c>
      <c r="C1135" s="38" t="s">
        <v>2466</v>
      </c>
      <c r="D1135" s="38" t="s">
        <v>2466</v>
      </c>
      <c r="E1135" s="38" t="s">
        <v>2467</v>
      </c>
      <c r="F1135" s="38">
        <v>3333</v>
      </c>
      <c r="G1135" s="38">
        <v>527.55999999999995</v>
      </c>
      <c r="H1135" s="38">
        <f t="shared" si="54"/>
        <v>933</v>
      </c>
      <c r="I1135" s="38">
        <v>608</v>
      </c>
      <c r="J1135" s="38">
        <v>325</v>
      </c>
      <c r="K1135" s="38">
        <v>283</v>
      </c>
      <c r="L1135" s="50">
        <f t="shared" si="55"/>
        <v>30.332261521972132</v>
      </c>
      <c r="M1135" s="38">
        <v>21</v>
      </c>
      <c r="N1135" s="50">
        <f t="shared" si="53"/>
        <v>2.2508038585209005</v>
      </c>
      <c r="O1135" s="38">
        <v>0</v>
      </c>
      <c r="P1135" s="38">
        <v>867</v>
      </c>
      <c r="T1135" s="11">
        <v>90</v>
      </c>
      <c r="AB1135" s="87">
        <v>15</v>
      </c>
    </row>
    <row r="1136" spans="1:31" x14ac:dyDescent="0.25">
      <c r="A1136" s="38" t="s">
        <v>36</v>
      </c>
      <c r="B1136" s="38" t="s">
        <v>2147</v>
      </c>
      <c r="C1136" s="38" t="s">
        <v>2466</v>
      </c>
      <c r="D1136" s="38" t="s">
        <v>2468</v>
      </c>
      <c r="E1136" s="38" t="s">
        <v>2469</v>
      </c>
      <c r="F1136" s="38"/>
      <c r="G1136" s="38">
        <v>285.73</v>
      </c>
      <c r="H1136" s="38">
        <f t="shared" si="54"/>
        <v>663</v>
      </c>
      <c r="I1136" s="38">
        <v>436</v>
      </c>
      <c r="J1136" s="38">
        <v>227</v>
      </c>
      <c r="K1136" s="38">
        <v>209</v>
      </c>
      <c r="L1136" s="50">
        <f t="shared" si="55"/>
        <v>31.52337858220211</v>
      </c>
      <c r="M1136" s="38">
        <v>11</v>
      </c>
      <c r="N1136" s="50">
        <f t="shared" si="53"/>
        <v>1.6591251885369533</v>
      </c>
      <c r="O1136" s="38">
        <v>0</v>
      </c>
      <c r="P1136" s="38"/>
      <c r="T1136" s="11">
        <v>856.64</v>
      </c>
      <c r="AB1136" s="87"/>
    </row>
    <row r="1137" spans="1:31" x14ac:dyDescent="0.25">
      <c r="A1137" s="38" t="s">
        <v>36</v>
      </c>
      <c r="B1137" s="38" t="s">
        <v>2147</v>
      </c>
      <c r="C1137" s="38" t="s">
        <v>2466</v>
      </c>
      <c r="D1137" s="38" t="s">
        <v>2470</v>
      </c>
      <c r="E1137" s="38" t="s">
        <v>2471</v>
      </c>
      <c r="F1137" s="38"/>
      <c r="G1137" s="38">
        <v>384.58</v>
      </c>
      <c r="H1137" s="38">
        <f t="shared" si="54"/>
        <v>920</v>
      </c>
      <c r="I1137" s="38">
        <v>615</v>
      </c>
      <c r="J1137" s="38">
        <v>305</v>
      </c>
      <c r="K1137" s="38">
        <v>310</v>
      </c>
      <c r="L1137" s="50">
        <f t="shared" si="55"/>
        <v>33.695652173913047</v>
      </c>
      <c r="M1137" s="38">
        <v>0</v>
      </c>
      <c r="N1137" s="50">
        <f t="shared" si="53"/>
        <v>0</v>
      </c>
      <c r="O1137" s="38">
        <v>0</v>
      </c>
      <c r="P1137" s="38"/>
      <c r="T1137" s="11">
        <v>0</v>
      </c>
      <c r="AB1137" s="85"/>
    </row>
    <row r="1138" spans="1:31" x14ac:dyDescent="0.25">
      <c r="A1138" s="38" t="s">
        <v>36</v>
      </c>
      <c r="B1138" s="38" t="s">
        <v>2147</v>
      </c>
      <c r="C1138" s="38" t="s">
        <v>2466</v>
      </c>
      <c r="D1138" s="38" t="s">
        <v>2472</v>
      </c>
      <c r="E1138" s="38" t="s">
        <v>2473</v>
      </c>
      <c r="G1138" s="38">
        <v>799.31</v>
      </c>
      <c r="H1138" s="38">
        <f t="shared" si="54"/>
        <v>1247</v>
      </c>
      <c r="I1138" s="38">
        <v>816</v>
      </c>
      <c r="J1138" s="38">
        <v>431</v>
      </c>
      <c r="K1138" s="38">
        <v>385</v>
      </c>
      <c r="L1138" s="50">
        <f t="shared" si="55"/>
        <v>30.874097834803528</v>
      </c>
      <c r="M1138" s="38">
        <v>34</v>
      </c>
      <c r="N1138" s="50">
        <f t="shared" si="53"/>
        <v>2.72654370489174</v>
      </c>
      <c r="O1138" s="38">
        <v>0</v>
      </c>
      <c r="T1138" s="11">
        <v>70.239999999999995</v>
      </c>
      <c r="AB1138" s="85"/>
    </row>
    <row r="1139" spans="1:31" x14ac:dyDescent="0.25">
      <c r="A1139" s="38" t="s">
        <v>36</v>
      </c>
      <c r="B1139" s="38" t="s">
        <v>2147</v>
      </c>
      <c r="C1139" s="38" t="s">
        <v>2466</v>
      </c>
      <c r="D1139" s="38" t="s">
        <v>2474</v>
      </c>
      <c r="E1139" s="38" t="s">
        <v>2475</v>
      </c>
      <c r="F1139" s="38">
        <v>1255.1600000000001</v>
      </c>
      <c r="G1139" s="38">
        <v>439</v>
      </c>
      <c r="H1139" s="38">
        <f t="shared" si="54"/>
        <v>460</v>
      </c>
      <c r="I1139" s="38">
        <v>302</v>
      </c>
      <c r="J1139" s="38">
        <v>158</v>
      </c>
      <c r="K1139" s="38">
        <v>144</v>
      </c>
      <c r="L1139" s="50">
        <f t="shared" si="55"/>
        <v>31.304347826086961</v>
      </c>
      <c r="M1139" s="38">
        <v>35</v>
      </c>
      <c r="N1139" s="50">
        <f t="shared" ref="N1139:N1202" si="56">M1139/H1139*100</f>
        <v>7.608695652173914</v>
      </c>
      <c r="O1139" s="38">
        <v>0</v>
      </c>
      <c r="P1139" s="38">
        <v>0</v>
      </c>
    </row>
    <row r="1140" spans="1:31" x14ac:dyDescent="0.25">
      <c r="A1140" s="38" t="s">
        <v>36</v>
      </c>
      <c r="B1140" s="38" t="s">
        <v>2147</v>
      </c>
      <c r="C1140" s="38" t="s">
        <v>2476</v>
      </c>
      <c r="D1140" s="74" t="s">
        <v>2477</v>
      </c>
      <c r="E1140" s="38">
        <v>3333</v>
      </c>
      <c r="F1140" s="38">
        <v>1477.17</v>
      </c>
      <c r="G1140" s="38">
        <v>3333</v>
      </c>
      <c r="H1140" s="38">
        <f t="shared" si="54"/>
        <v>3708</v>
      </c>
      <c r="I1140" s="38">
        <v>2430</v>
      </c>
      <c r="J1140" s="38">
        <v>1278</v>
      </c>
      <c r="K1140" s="38">
        <v>1152</v>
      </c>
      <c r="L1140" s="50">
        <f t="shared" si="55"/>
        <v>31.067961165048541</v>
      </c>
      <c r="M1140" s="38">
        <v>271</v>
      </c>
      <c r="N1140" s="50">
        <f t="shared" si="56"/>
        <v>7.3085221143473573</v>
      </c>
      <c r="O1140" s="38">
        <v>0</v>
      </c>
      <c r="P1140" s="38">
        <v>0</v>
      </c>
      <c r="Q1140" s="35" t="s">
        <v>43</v>
      </c>
      <c r="R1140" s="100">
        <v>44560</v>
      </c>
      <c r="S1140" s="35"/>
      <c r="T1140" s="35"/>
      <c r="U1140" s="35"/>
      <c r="V1140" s="35"/>
      <c r="W1140" s="35"/>
      <c r="X1140" s="35"/>
      <c r="Y1140" s="35"/>
      <c r="AC1140" s="73" t="s">
        <v>2478</v>
      </c>
      <c r="AD1140" s="35">
        <v>25.272352999999999</v>
      </c>
      <c r="AE1140" s="35">
        <v>70.936283000000003</v>
      </c>
    </row>
    <row r="1141" spans="1:31" x14ac:dyDescent="0.25">
      <c r="A1141" s="38" t="s">
        <v>36</v>
      </c>
      <c r="B1141" s="38" t="s">
        <v>2147</v>
      </c>
      <c r="C1141" s="38" t="s">
        <v>2476</v>
      </c>
      <c r="D1141" s="74" t="s">
        <v>2477</v>
      </c>
      <c r="E1141" s="38"/>
      <c r="F1141" s="38">
        <v>235.15</v>
      </c>
      <c r="G1141" s="38"/>
      <c r="H1141" s="38">
        <f t="shared" si="54"/>
        <v>0</v>
      </c>
      <c r="I1141" s="38"/>
      <c r="J1141" s="38"/>
      <c r="K1141" s="38"/>
      <c r="L1141" s="50"/>
      <c r="M1141" s="38"/>
      <c r="N1141" s="50"/>
      <c r="O1141" s="38"/>
      <c r="P1141" s="38">
        <v>0</v>
      </c>
      <c r="Q1141" s="35" t="s">
        <v>43</v>
      </c>
      <c r="R1141" s="100">
        <v>44560</v>
      </c>
      <c r="S1141" s="35"/>
      <c r="T1141" s="35"/>
      <c r="U1141" s="35"/>
      <c r="V1141" s="35"/>
      <c r="W1141" s="35"/>
      <c r="X1141" s="35"/>
      <c r="Y1141" s="35"/>
      <c r="AC1141" s="35" t="s">
        <v>2479</v>
      </c>
      <c r="AD1141" s="35">
        <v>25.238778</v>
      </c>
      <c r="AE1141" s="35">
        <v>71.013101000000006</v>
      </c>
    </row>
    <row r="1142" spans="1:31" x14ac:dyDescent="0.25">
      <c r="A1142" s="38" t="s">
        <v>36</v>
      </c>
      <c r="B1142" s="38" t="s">
        <v>2147</v>
      </c>
      <c r="C1142" s="38" t="s">
        <v>2476</v>
      </c>
      <c r="D1142" s="15" t="s">
        <v>2480</v>
      </c>
      <c r="E1142" s="38"/>
      <c r="F1142" s="38">
        <v>3041.13</v>
      </c>
      <c r="G1142" s="38"/>
      <c r="H1142" s="38">
        <f t="shared" si="54"/>
        <v>0</v>
      </c>
      <c r="I1142" s="38"/>
      <c r="J1142" s="38"/>
      <c r="K1142" s="38"/>
      <c r="L1142" s="50"/>
      <c r="M1142" s="38"/>
      <c r="N1142" s="50"/>
      <c r="O1142" s="38"/>
      <c r="P1142" s="38">
        <v>5.46</v>
      </c>
      <c r="Q1142" s="36" t="s">
        <v>43</v>
      </c>
      <c r="R1142" s="14">
        <v>44560</v>
      </c>
      <c r="S1142" s="36"/>
      <c r="T1142" s="36">
        <v>13.6</v>
      </c>
      <c r="U1142" s="36"/>
      <c r="V1142" s="36"/>
      <c r="W1142" s="36"/>
      <c r="X1142" s="36"/>
      <c r="Y1142" s="36"/>
      <c r="AB1142" s="85"/>
      <c r="AC1142" s="15" t="s">
        <v>2480</v>
      </c>
      <c r="AD1142" s="36">
        <v>0</v>
      </c>
      <c r="AE1142" s="36"/>
    </row>
    <row r="1143" spans="1:31" x14ac:dyDescent="0.25">
      <c r="A1143" s="38" t="s">
        <v>36</v>
      </c>
      <c r="B1143" s="38" t="s">
        <v>2147</v>
      </c>
      <c r="C1143" s="38" t="s">
        <v>2476</v>
      </c>
      <c r="D1143" s="15" t="s">
        <v>2481</v>
      </c>
      <c r="E1143" s="38" t="s">
        <v>2482</v>
      </c>
      <c r="F1143" s="38"/>
      <c r="H1143" s="38">
        <f t="shared" si="54"/>
        <v>0</v>
      </c>
      <c r="L1143" s="50"/>
      <c r="N1143" s="50"/>
      <c r="P1143" s="38"/>
      <c r="Q1143" s="36" t="s">
        <v>43</v>
      </c>
      <c r="R1143" s="14">
        <v>44560</v>
      </c>
      <c r="S1143" s="36"/>
      <c r="T1143" s="36">
        <v>13.6</v>
      </c>
      <c r="U1143" s="36"/>
      <c r="V1143" s="36"/>
      <c r="W1143" s="36"/>
      <c r="X1143" s="36"/>
      <c r="Y1143" s="36"/>
      <c r="AB1143" s="85"/>
      <c r="AC1143" s="15" t="s">
        <v>2481</v>
      </c>
      <c r="AD1143" s="36"/>
      <c r="AE1143" s="36"/>
    </row>
    <row r="1144" spans="1:31" x14ac:dyDescent="0.25">
      <c r="A1144" s="38" t="s">
        <v>36</v>
      </c>
      <c r="B1144" s="38" t="s">
        <v>2147</v>
      </c>
      <c r="C1144" s="38" t="s">
        <v>54</v>
      </c>
      <c r="D1144" s="38" t="s">
        <v>54</v>
      </c>
      <c r="E1144" s="38" t="s">
        <v>2483</v>
      </c>
      <c r="F1144" s="38">
        <v>395.03</v>
      </c>
      <c r="G1144" s="38">
        <v>1255.1600000000001</v>
      </c>
      <c r="H1144" s="38">
        <f t="shared" si="54"/>
        <v>1688</v>
      </c>
      <c r="I1144" s="38">
        <v>1111</v>
      </c>
      <c r="J1144" s="38">
        <v>577</v>
      </c>
      <c r="K1144" s="38">
        <v>534</v>
      </c>
      <c r="L1144" s="50">
        <f t="shared" si="55"/>
        <v>31.635071090047397</v>
      </c>
      <c r="M1144" s="38">
        <v>34</v>
      </c>
      <c r="N1144" s="50">
        <f t="shared" si="56"/>
        <v>2.014218009478673</v>
      </c>
      <c r="O1144" s="38">
        <v>0</v>
      </c>
      <c r="P1144" s="38">
        <v>0</v>
      </c>
      <c r="T1144" s="11">
        <v>0</v>
      </c>
      <c r="AB1144" s="85"/>
    </row>
    <row r="1145" spans="1:31" x14ac:dyDescent="0.25">
      <c r="A1145" s="38" t="s">
        <v>36</v>
      </c>
      <c r="B1145" s="38" t="s">
        <v>2147</v>
      </c>
      <c r="C1145" s="38" t="s">
        <v>54</v>
      </c>
      <c r="D1145" s="38" t="s">
        <v>2484</v>
      </c>
      <c r="E1145" s="38" t="s">
        <v>2485</v>
      </c>
      <c r="F1145" s="38">
        <v>760.53</v>
      </c>
      <c r="G1145" s="38">
        <v>1477.17</v>
      </c>
      <c r="H1145" s="38">
        <f t="shared" si="54"/>
        <v>2255</v>
      </c>
      <c r="I1145" s="38">
        <v>1486</v>
      </c>
      <c r="J1145" s="38">
        <v>769</v>
      </c>
      <c r="K1145" s="38">
        <v>717</v>
      </c>
      <c r="L1145" s="50">
        <f t="shared" si="55"/>
        <v>31.796008869179598</v>
      </c>
      <c r="M1145" s="38">
        <v>144</v>
      </c>
      <c r="N1145" s="50">
        <f t="shared" si="56"/>
        <v>6.3858093126385809</v>
      </c>
      <c r="O1145" s="38">
        <v>0</v>
      </c>
      <c r="P1145" s="38">
        <v>0</v>
      </c>
      <c r="T1145" s="11">
        <v>0</v>
      </c>
      <c r="AB1145" s="85"/>
    </row>
    <row r="1146" spans="1:31" x14ac:dyDescent="0.25">
      <c r="A1146" s="38" t="s">
        <v>36</v>
      </c>
      <c r="B1146" s="38" t="s">
        <v>2147</v>
      </c>
      <c r="C1146" s="38" t="s">
        <v>54</v>
      </c>
      <c r="D1146" s="38" t="s">
        <v>986</v>
      </c>
      <c r="E1146" s="38" t="s">
        <v>2486</v>
      </c>
      <c r="F1146" s="38">
        <v>245.44</v>
      </c>
      <c r="G1146" s="38">
        <v>235.15</v>
      </c>
      <c r="H1146" s="38">
        <f t="shared" si="54"/>
        <v>317</v>
      </c>
      <c r="I1146" s="38">
        <v>207</v>
      </c>
      <c r="J1146" s="38">
        <v>110</v>
      </c>
      <c r="K1146" s="38">
        <v>97</v>
      </c>
      <c r="L1146" s="50">
        <f t="shared" si="55"/>
        <v>30.5993690851735</v>
      </c>
      <c r="M1146" s="38">
        <v>0</v>
      </c>
      <c r="N1146" s="50">
        <f t="shared" si="56"/>
        <v>0</v>
      </c>
      <c r="O1146" s="38">
        <v>0</v>
      </c>
      <c r="P1146" s="38">
        <v>0</v>
      </c>
      <c r="T1146" s="11">
        <v>0</v>
      </c>
      <c r="AB1146" s="85"/>
    </row>
    <row r="1147" spans="1:31" x14ac:dyDescent="0.25">
      <c r="A1147" s="38" t="s">
        <v>36</v>
      </c>
      <c r="B1147" s="38" t="s">
        <v>2147</v>
      </c>
      <c r="C1147" s="38" t="s">
        <v>2487</v>
      </c>
      <c r="D1147" s="38" t="s">
        <v>2488</v>
      </c>
      <c r="E1147" s="38" t="s">
        <v>2489</v>
      </c>
      <c r="F1147" s="38">
        <v>954</v>
      </c>
      <c r="G1147" s="38">
        <v>3041.13</v>
      </c>
      <c r="H1147" s="38">
        <f t="shared" si="54"/>
        <v>5698</v>
      </c>
      <c r="I1147" s="38">
        <v>3745</v>
      </c>
      <c r="J1147" s="38">
        <v>1953</v>
      </c>
      <c r="K1147" s="38">
        <v>1792</v>
      </c>
      <c r="L1147" s="50">
        <f t="shared" si="55"/>
        <v>31.44963144963145</v>
      </c>
      <c r="M1147" s="38">
        <v>895</v>
      </c>
      <c r="N1147" s="50">
        <f t="shared" si="56"/>
        <v>15.707265707265709</v>
      </c>
      <c r="O1147" s="38">
        <v>0</v>
      </c>
      <c r="P1147" s="38">
        <v>85</v>
      </c>
      <c r="Q1147" s="7" t="s">
        <v>43</v>
      </c>
      <c r="R1147" s="14">
        <v>44581</v>
      </c>
      <c r="S1147" s="36"/>
      <c r="T1147" s="251">
        <v>84</v>
      </c>
      <c r="U1147" s="86"/>
      <c r="V1147" s="86"/>
      <c r="W1147" s="86"/>
      <c r="X1147" s="86"/>
      <c r="Y1147" s="86"/>
      <c r="AB1147" s="85"/>
      <c r="AC1147" s="15" t="s">
        <v>2490</v>
      </c>
      <c r="AD1147" s="36">
        <v>25.169173000000001</v>
      </c>
      <c r="AE1147" s="36">
        <v>71.096746999999993</v>
      </c>
    </row>
    <row r="1148" spans="1:31" x14ac:dyDescent="0.25">
      <c r="A1148" s="38" t="s">
        <v>36</v>
      </c>
      <c r="B1148" s="38" t="s">
        <v>2147</v>
      </c>
      <c r="C1148" s="38" t="s">
        <v>2487</v>
      </c>
      <c r="D1148" s="38" t="s">
        <v>2488</v>
      </c>
      <c r="E1148" s="38"/>
      <c r="F1148" s="38">
        <v>4756.03</v>
      </c>
      <c r="G1148" s="38"/>
      <c r="H1148" s="38">
        <f t="shared" si="54"/>
        <v>0</v>
      </c>
      <c r="I1148" s="38"/>
      <c r="J1148" s="38"/>
      <c r="K1148" s="38"/>
      <c r="L1148" s="50"/>
      <c r="M1148" s="38"/>
      <c r="N1148" s="50"/>
      <c r="O1148" s="38"/>
      <c r="P1148" s="38">
        <v>148.01</v>
      </c>
      <c r="Q1148" s="36" t="s">
        <v>43</v>
      </c>
      <c r="R1148" s="14">
        <v>44581</v>
      </c>
      <c r="S1148" s="36"/>
      <c r="T1148" s="36">
        <v>145.6</v>
      </c>
      <c r="U1148" s="36"/>
      <c r="V1148" s="36"/>
      <c r="W1148" s="36"/>
      <c r="X1148" s="36"/>
      <c r="Y1148" s="36"/>
      <c r="AB1148" s="85"/>
      <c r="AC1148" s="15" t="s">
        <v>2491</v>
      </c>
      <c r="AD1148" s="36"/>
      <c r="AE1148" s="36"/>
    </row>
    <row r="1149" spans="1:31" x14ac:dyDescent="0.25">
      <c r="A1149" s="38" t="s">
        <v>36</v>
      </c>
      <c r="B1149" s="38" t="s">
        <v>2147</v>
      </c>
      <c r="C1149" s="38" t="s">
        <v>2487</v>
      </c>
      <c r="D1149" s="38" t="s">
        <v>2492</v>
      </c>
      <c r="E1149" s="38" t="s">
        <v>2493</v>
      </c>
      <c r="F1149" s="38">
        <v>1492.41</v>
      </c>
      <c r="G1149" s="38">
        <v>395.03</v>
      </c>
      <c r="H1149" s="38">
        <f t="shared" si="54"/>
        <v>740</v>
      </c>
      <c r="I1149" s="38">
        <v>501</v>
      </c>
      <c r="J1149" s="38">
        <v>239</v>
      </c>
      <c r="K1149" s="38">
        <v>262</v>
      </c>
      <c r="L1149" s="50">
        <f t="shared" si="55"/>
        <v>35.405405405405403</v>
      </c>
      <c r="M1149" s="38">
        <v>159</v>
      </c>
      <c r="N1149" s="50">
        <f t="shared" si="56"/>
        <v>21.486486486486488</v>
      </c>
      <c r="O1149" s="38">
        <v>0</v>
      </c>
      <c r="P1149" s="38">
        <v>358.36</v>
      </c>
      <c r="Q1149" s="36" t="s">
        <v>43</v>
      </c>
      <c r="R1149" s="14">
        <v>44581</v>
      </c>
      <c r="S1149" s="36"/>
      <c r="T1149" s="36">
        <v>354.10559999999998</v>
      </c>
      <c r="U1149" s="36"/>
      <c r="V1149" s="36"/>
      <c r="W1149" s="36"/>
      <c r="X1149" s="36"/>
      <c r="Y1149" s="36"/>
      <c r="AB1149" s="85"/>
      <c r="AC1149" s="15" t="s">
        <v>2494</v>
      </c>
      <c r="AD1149" s="36">
        <v>0</v>
      </c>
      <c r="AE1149" s="36"/>
    </row>
    <row r="1150" spans="1:31" x14ac:dyDescent="0.25">
      <c r="A1150" s="38" t="s">
        <v>36</v>
      </c>
      <c r="B1150" s="38" t="s">
        <v>2147</v>
      </c>
      <c r="C1150" s="38" t="s">
        <v>2495</v>
      </c>
      <c r="D1150" s="38" t="s">
        <v>2495</v>
      </c>
      <c r="E1150" s="38" t="s">
        <v>2496</v>
      </c>
      <c r="F1150" s="38">
        <v>1889.39</v>
      </c>
      <c r="G1150" s="38">
        <v>760.53</v>
      </c>
      <c r="H1150" s="38">
        <f t="shared" si="54"/>
        <v>1410</v>
      </c>
      <c r="I1150" s="38">
        <v>934</v>
      </c>
      <c r="J1150" s="38">
        <v>476</v>
      </c>
      <c r="K1150" s="38">
        <v>458</v>
      </c>
      <c r="L1150" s="50">
        <f t="shared" si="55"/>
        <v>32.4822695035461</v>
      </c>
      <c r="M1150" s="38">
        <v>23</v>
      </c>
      <c r="N1150" s="50">
        <f t="shared" si="56"/>
        <v>1.6312056737588652</v>
      </c>
      <c r="O1150" s="38">
        <v>0</v>
      </c>
      <c r="P1150" s="38">
        <v>5</v>
      </c>
      <c r="Q1150" s="36" t="s">
        <v>43</v>
      </c>
      <c r="R1150" s="14">
        <v>44567</v>
      </c>
      <c r="S1150" s="36"/>
      <c r="T1150" s="36">
        <v>4.9888000000000003</v>
      </c>
      <c r="U1150" s="36"/>
      <c r="V1150" s="36"/>
      <c r="W1150" s="36"/>
      <c r="X1150" s="36"/>
      <c r="Y1150" s="36"/>
      <c r="AB1150" s="85"/>
      <c r="AC1150" s="15" t="s">
        <v>2497</v>
      </c>
      <c r="AD1150" s="36">
        <v>0</v>
      </c>
      <c r="AE1150" s="36"/>
    </row>
    <row r="1151" spans="1:31" x14ac:dyDescent="0.25">
      <c r="A1151" s="38" t="s">
        <v>36</v>
      </c>
      <c r="B1151" s="38" t="s">
        <v>2147</v>
      </c>
      <c r="C1151" s="38" t="s">
        <v>2495</v>
      </c>
      <c r="D1151" s="38" t="s">
        <v>2498</v>
      </c>
      <c r="E1151" s="38" t="s">
        <v>2499</v>
      </c>
      <c r="F1151" s="38">
        <v>913.09</v>
      </c>
      <c r="G1151" s="38">
        <v>245.44</v>
      </c>
      <c r="H1151" s="38">
        <f t="shared" si="54"/>
        <v>510</v>
      </c>
      <c r="I1151" s="38">
        <v>336</v>
      </c>
      <c r="J1151" s="38">
        <v>174</v>
      </c>
      <c r="K1151" s="38">
        <v>162</v>
      </c>
      <c r="L1151" s="50">
        <f t="shared" si="55"/>
        <v>31.764705882352938</v>
      </c>
      <c r="M1151" s="38">
        <v>0</v>
      </c>
      <c r="N1151" s="50">
        <f t="shared" si="56"/>
        <v>0</v>
      </c>
      <c r="O1151" s="38">
        <v>0</v>
      </c>
      <c r="P1151" s="38">
        <v>94.07</v>
      </c>
      <c r="Q1151" s="36" t="s">
        <v>43</v>
      </c>
      <c r="R1151" s="14">
        <v>44567</v>
      </c>
      <c r="S1151" s="36"/>
      <c r="T1151" s="36"/>
      <c r="U1151" s="36"/>
      <c r="V1151" s="36"/>
      <c r="W1151" s="36"/>
      <c r="X1151" s="36"/>
      <c r="Y1151" s="36"/>
      <c r="AC1151" s="15" t="s">
        <v>2500</v>
      </c>
      <c r="AD1151" s="36">
        <v>0</v>
      </c>
      <c r="AE1151" s="36"/>
    </row>
    <row r="1152" spans="1:31" x14ac:dyDescent="0.25">
      <c r="A1152" s="38" t="s">
        <v>36</v>
      </c>
      <c r="B1152" s="38" t="s">
        <v>2147</v>
      </c>
      <c r="C1152" s="38" t="s">
        <v>2495</v>
      </c>
      <c r="D1152" s="38" t="s">
        <v>2501</v>
      </c>
      <c r="E1152" s="38" t="s">
        <v>2502</v>
      </c>
      <c r="F1152" s="38">
        <v>654.79</v>
      </c>
      <c r="G1152" s="38">
        <v>954</v>
      </c>
      <c r="H1152" s="38">
        <f t="shared" si="54"/>
        <v>1779</v>
      </c>
      <c r="I1152" s="38">
        <v>1178</v>
      </c>
      <c r="J1152" s="38">
        <v>601</v>
      </c>
      <c r="K1152" s="38">
        <v>577</v>
      </c>
      <c r="L1152" s="50">
        <f t="shared" si="55"/>
        <v>32.43395165823496</v>
      </c>
      <c r="M1152" s="38">
        <v>0</v>
      </c>
      <c r="N1152" s="50">
        <f t="shared" si="56"/>
        <v>0</v>
      </c>
      <c r="O1152" s="38">
        <v>0</v>
      </c>
      <c r="P1152" s="38">
        <v>194</v>
      </c>
      <c r="Q1152" s="36" t="s">
        <v>43</v>
      </c>
      <c r="R1152" s="14">
        <v>44567</v>
      </c>
      <c r="S1152" s="36"/>
      <c r="T1152" s="36">
        <v>191.52</v>
      </c>
      <c r="U1152" s="36"/>
      <c r="V1152" s="36"/>
      <c r="W1152" s="36"/>
      <c r="X1152" s="36"/>
      <c r="Y1152" s="36"/>
      <c r="AB1152" s="94"/>
      <c r="AC1152" s="15" t="s">
        <v>2503</v>
      </c>
      <c r="AD1152" s="36"/>
      <c r="AE1152" s="36"/>
    </row>
    <row r="1153" spans="1:31" x14ac:dyDescent="0.25">
      <c r="A1153" s="38" t="s">
        <v>36</v>
      </c>
      <c r="B1153" s="38" t="s">
        <v>2147</v>
      </c>
      <c r="C1153" s="38" t="s">
        <v>2504</v>
      </c>
      <c r="D1153" s="38" t="s">
        <v>2505</v>
      </c>
      <c r="E1153" s="38" t="s">
        <v>2506</v>
      </c>
      <c r="F1153" s="38">
        <v>653.03</v>
      </c>
      <c r="G1153" s="38">
        <v>4756.03</v>
      </c>
      <c r="H1153" s="38">
        <f t="shared" si="54"/>
        <v>5841</v>
      </c>
      <c r="I1153" s="38">
        <v>3840</v>
      </c>
      <c r="J1153" s="38">
        <v>2001</v>
      </c>
      <c r="K1153" s="38">
        <v>1839</v>
      </c>
      <c r="L1153" s="50">
        <f t="shared" si="55"/>
        <v>31.484334874165381</v>
      </c>
      <c r="M1153" s="38">
        <v>600</v>
      </c>
      <c r="N1153" s="50">
        <f t="shared" si="56"/>
        <v>10.27221366204417</v>
      </c>
      <c r="O1153" s="38">
        <v>0</v>
      </c>
      <c r="P1153" s="38">
        <v>71.099999999999994</v>
      </c>
      <c r="Q1153" s="36" t="s">
        <v>43</v>
      </c>
      <c r="R1153" s="14">
        <v>44561</v>
      </c>
      <c r="S1153" s="36"/>
      <c r="T1153" s="36">
        <v>70.08</v>
      </c>
      <c r="U1153" s="36"/>
      <c r="V1153" s="36"/>
      <c r="W1153" s="36"/>
      <c r="X1153" s="36"/>
      <c r="Y1153" s="36"/>
      <c r="AB1153" s="85"/>
      <c r="AC1153" s="15" t="s">
        <v>2507</v>
      </c>
      <c r="AD1153" s="36"/>
      <c r="AE1153" s="36"/>
    </row>
    <row r="1154" spans="1:31" x14ac:dyDescent="0.25">
      <c r="A1154" s="38" t="s">
        <v>36</v>
      </c>
      <c r="B1154" s="38" t="s">
        <v>2147</v>
      </c>
      <c r="C1154" s="38" t="s">
        <v>2508</v>
      </c>
      <c r="D1154" s="38" t="s">
        <v>2508</v>
      </c>
      <c r="E1154" s="38" t="s">
        <v>2509</v>
      </c>
      <c r="F1154" s="38">
        <v>918.21</v>
      </c>
      <c r="G1154" s="38">
        <v>1492.41</v>
      </c>
      <c r="H1154" s="38">
        <f t="shared" si="54"/>
        <v>3195</v>
      </c>
      <c r="I1154" s="38">
        <v>2084</v>
      </c>
      <c r="J1154" s="38">
        <v>1111</v>
      </c>
      <c r="K1154" s="38">
        <v>973</v>
      </c>
      <c r="L1154" s="50">
        <f t="shared" si="55"/>
        <v>30.453834115805943</v>
      </c>
      <c r="M1154" s="38">
        <v>1</v>
      </c>
      <c r="N1154" s="50">
        <f t="shared" si="56"/>
        <v>3.1298904538341159E-2</v>
      </c>
      <c r="O1154" s="38">
        <v>0</v>
      </c>
      <c r="P1154" s="38">
        <v>0</v>
      </c>
      <c r="Q1154" s="36" t="s">
        <v>43</v>
      </c>
      <c r="R1154" s="14">
        <v>44568</v>
      </c>
      <c r="S1154" s="36"/>
      <c r="T1154" s="36">
        <v>0.34560000000000002</v>
      </c>
      <c r="U1154" s="36"/>
      <c r="V1154" s="36"/>
      <c r="W1154" s="36"/>
      <c r="X1154" s="36"/>
      <c r="Y1154" s="36"/>
      <c r="AB1154" s="94"/>
      <c r="AC1154" s="15" t="s">
        <v>2510</v>
      </c>
      <c r="AD1154" s="36"/>
      <c r="AE1154" s="36"/>
    </row>
    <row r="1155" spans="1:31" x14ac:dyDescent="0.25">
      <c r="A1155" s="38" t="s">
        <v>36</v>
      </c>
      <c r="B1155" s="38" t="s">
        <v>2147</v>
      </c>
      <c r="C1155" s="38" t="s">
        <v>2508</v>
      </c>
      <c r="D1155" s="38" t="s">
        <v>2511</v>
      </c>
      <c r="E1155" s="38" t="s">
        <v>2512</v>
      </c>
      <c r="F1155" s="38"/>
      <c r="G1155" s="38">
        <v>1889.39</v>
      </c>
      <c r="H1155" s="38">
        <f t="shared" si="54"/>
        <v>1331</v>
      </c>
      <c r="I1155" s="38">
        <v>878</v>
      </c>
      <c r="J1155" s="38">
        <v>453</v>
      </c>
      <c r="K1155" s="38">
        <v>425</v>
      </c>
      <c r="L1155" s="50">
        <f t="shared" si="55"/>
        <v>31.930879038317055</v>
      </c>
      <c r="M1155" s="38">
        <v>202</v>
      </c>
      <c r="N1155" s="50">
        <f t="shared" si="56"/>
        <v>15.176558978211871</v>
      </c>
      <c r="O1155" s="38">
        <v>0</v>
      </c>
      <c r="P1155" s="38"/>
      <c r="Q1155" s="36" t="s">
        <v>43</v>
      </c>
      <c r="R1155" s="14">
        <v>44568</v>
      </c>
      <c r="S1155" s="36"/>
      <c r="T1155" s="36">
        <v>2</v>
      </c>
      <c r="U1155" s="36"/>
      <c r="V1155" s="36"/>
      <c r="W1155" s="36"/>
      <c r="X1155" s="36"/>
      <c r="Y1155" s="36"/>
      <c r="AB1155" s="94"/>
      <c r="AC1155" s="15" t="s">
        <v>2513</v>
      </c>
      <c r="AD1155" s="36"/>
      <c r="AE1155" s="36"/>
    </row>
    <row r="1156" spans="1:31" x14ac:dyDescent="0.25">
      <c r="A1156" s="38" t="s">
        <v>36</v>
      </c>
      <c r="B1156" s="38" t="s">
        <v>2147</v>
      </c>
      <c r="C1156" s="38" t="s">
        <v>2514</v>
      </c>
      <c r="D1156" s="38" t="s">
        <v>2515</v>
      </c>
      <c r="E1156" s="38" t="s">
        <v>2516</v>
      </c>
      <c r="F1156" s="38"/>
      <c r="G1156" s="38">
        <v>913.09</v>
      </c>
      <c r="H1156" s="38">
        <f t="shared" si="54"/>
        <v>1329</v>
      </c>
      <c r="I1156" s="38">
        <v>875</v>
      </c>
      <c r="J1156" s="38">
        <v>454</v>
      </c>
      <c r="K1156" s="38">
        <v>421</v>
      </c>
      <c r="L1156" s="50">
        <f t="shared" si="55"/>
        <v>31.677953348382243</v>
      </c>
      <c r="M1156" s="38">
        <v>0</v>
      </c>
      <c r="N1156" s="50">
        <f t="shared" si="56"/>
        <v>0</v>
      </c>
      <c r="O1156" s="38">
        <v>0</v>
      </c>
      <c r="P1156" s="38"/>
      <c r="T1156" s="11">
        <v>99.36</v>
      </c>
      <c r="AB1156" s="94"/>
    </row>
    <row r="1157" spans="1:31" x14ac:dyDescent="0.25">
      <c r="A1157" s="38" t="s">
        <v>36</v>
      </c>
      <c r="B1157" s="38" t="s">
        <v>2147</v>
      </c>
      <c r="C1157" s="38" t="s">
        <v>2514</v>
      </c>
      <c r="D1157" s="38" t="s">
        <v>2517</v>
      </c>
      <c r="E1157" s="38" t="s">
        <v>2518</v>
      </c>
      <c r="F1157" s="38">
        <v>564.80999999999995</v>
      </c>
      <c r="G1157" s="38">
        <v>654.79</v>
      </c>
      <c r="H1157" s="38">
        <f t="shared" ref="H1157:H1220" si="57">I1157+J1157</f>
        <v>1240</v>
      </c>
      <c r="I1157" s="38">
        <v>817</v>
      </c>
      <c r="J1157" s="38">
        <v>423</v>
      </c>
      <c r="K1157" s="38">
        <v>394</v>
      </c>
      <c r="L1157" s="50">
        <f t="shared" si="55"/>
        <v>31.774193548387096</v>
      </c>
      <c r="M1157" s="38">
        <v>0</v>
      </c>
      <c r="N1157" s="50">
        <f t="shared" si="56"/>
        <v>0</v>
      </c>
      <c r="O1157" s="38">
        <v>0</v>
      </c>
      <c r="P1157" s="38">
        <v>101</v>
      </c>
      <c r="Q1157" s="35" t="s">
        <v>43</v>
      </c>
      <c r="R1157" s="14">
        <v>44538</v>
      </c>
      <c r="S1157" s="35"/>
      <c r="T1157" s="35">
        <v>93.59</v>
      </c>
      <c r="U1157" s="35"/>
      <c r="V1157" s="35"/>
      <c r="W1157" s="35"/>
      <c r="X1157" s="35"/>
      <c r="Y1157" s="35"/>
      <c r="AB1157" s="85"/>
      <c r="AC1157" s="35" t="s">
        <v>2519</v>
      </c>
      <c r="AD1157" s="35">
        <v>25.248550000000002</v>
      </c>
      <c r="AE1157" s="35">
        <v>71.118408000000002</v>
      </c>
    </row>
    <row r="1158" spans="1:31" x14ac:dyDescent="0.25">
      <c r="A1158" s="38" t="s">
        <v>36</v>
      </c>
      <c r="B1158" s="38" t="s">
        <v>2147</v>
      </c>
      <c r="C1158" s="38" t="s">
        <v>2514</v>
      </c>
      <c r="D1158" s="38" t="s">
        <v>2520</v>
      </c>
      <c r="E1158" s="38" t="s">
        <v>2521</v>
      </c>
      <c r="F1158" s="38">
        <v>518.91</v>
      </c>
      <c r="G1158" s="38">
        <v>653.03</v>
      </c>
      <c r="H1158" s="38">
        <f t="shared" si="57"/>
        <v>1205</v>
      </c>
      <c r="I1158" s="38">
        <v>795</v>
      </c>
      <c r="J1158" s="38">
        <v>410</v>
      </c>
      <c r="K1158" s="38">
        <v>385</v>
      </c>
      <c r="L1158" s="50">
        <f t="shared" ref="L1158:L1221" si="58">K1158/H1158*100</f>
        <v>31.950207468879665</v>
      </c>
      <c r="M1158" s="38">
        <v>0</v>
      </c>
      <c r="N1158" s="50">
        <f t="shared" si="56"/>
        <v>0</v>
      </c>
      <c r="O1158" s="38">
        <v>0</v>
      </c>
      <c r="P1158" s="38">
        <v>22.12</v>
      </c>
      <c r="Q1158" s="36" t="s">
        <v>43</v>
      </c>
      <c r="R1158" s="14">
        <v>44538</v>
      </c>
      <c r="S1158" s="36"/>
      <c r="T1158" s="36"/>
      <c r="U1158" s="36"/>
      <c r="V1158" s="36"/>
      <c r="W1158" s="36"/>
      <c r="X1158" s="36"/>
      <c r="Y1158" s="36"/>
      <c r="AC1158" s="15" t="s">
        <v>2522</v>
      </c>
      <c r="AD1158" s="36"/>
      <c r="AE1158" s="36"/>
    </row>
    <row r="1159" spans="1:31" x14ac:dyDescent="0.25">
      <c r="A1159" s="38" t="s">
        <v>36</v>
      </c>
      <c r="B1159" s="38" t="s">
        <v>2147</v>
      </c>
      <c r="C1159" s="38" t="s">
        <v>2514</v>
      </c>
      <c r="D1159" s="38" t="s">
        <v>2523</v>
      </c>
      <c r="E1159" s="38" t="s">
        <v>2524</v>
      </c>
      <c r="F1159" s="38">
        <v>518.91</v>
      </c>
      <c r="G1159" s="38">
        <v>918.21</v>
      </c>
      <c r="H1159" s="38">
        <f t="shared" si="57"/>
        <v>1157</v>
      </c>
      <c r="I1159" s="38">
        <v>766</v>
      </c>
      <c r="J1159" s="38">
        <v>391</v>
      </c>
      <c r="K1159" s="38">
        <v>375</v>
      </c>
      <c r="L1159" s="50">
        <f t="shared" si="58"/>
        <v>32.411408815903201</v>
      </c>
      <c r="M1159" s="38">
        <v>103</v>
      </c>
      <c r="N1159" s="50">
        <f t="shared" si="56"/>
        <v>8.9023336214347459</v>
      </c>
      <c r="O1159" s="38">
        <v>0</v>
      </c>
      <c r="P1159" s="38">
        <v>22.12</v>
      </c>
      <c r="Q1159" s="35" t="s">
        <v>43</v>
      </c>
      <c r="R1159" s="14">
        <v>44538</v>
      </c>
      <c r="S1159" s="35"/>
      <c r="T1159" s="35"/>
      <c r="U1159" s="35"/>
      <c r="V1159" s="35"/>
      <c r="W1159" s="35"/>
      <c r="X1159" s="35"/>
      <c r="Y1159" s="35"/>
      <c r="AC1159" s="35" t="s">
        <v>2525</v>
      </c>
      <c r="AD1159" s="35">
        <v>25.271008999999999</v>
      </c>
      <c r="AE1159" s="35">
        <v>71.121285999999998</v>
      </c>
    </row>
    <row r="1160" spans="1:31" x14ac:dyDescent="0.25">
      <c r="A1160" s="38" t="s">
        <v>36</v>
      </c>
      <c r="B1160" s="38" t="s">
        <v>2147</v>
      </c>
      <c r="C1160" s="38" t="s">
        <v>2514</v>
      </c>
      <c r="D1160" s="77" t="s">
        <v>2526</v>
      </c>
      <c r="E1160" s="38"/>
      <c r="F1160" s="38">
        <v>505.5</v>
      </c>
      <c r="G1160" s="38"/>
      <c r="H1160" s="38">
        <f t="shared" si="57"/>
        <v>0</v>
      </c>
      <c r="I1160" s="38"/>
      <c r="J1160" s="38"/>
      <c r="K1160" s="38"/>
      <c r="L1160" s="50"/>
      <c r="M1160" s="38"/>
      <c r="N1160" s="50"/>
      <c r="O1160" s="38"/>
      <c r="P1160" s="38">
        <v>0</v>
      </c>
      <c r="Q1160" s="35" t="s">
        <v>43</v>
      </c>
      <c r="R1160" s="14">
        <v>44538</v>
      </c>
      <c r="S1160" s="35"/>
      <c r="T1160" s="35"/>
      <c r="U1160" s="35"/>
      <c r="V1160" s="35"/>
      <c r="W1160" s="35"/>
      <c r="X1160" s="35"/>
      <c r="Y1160" s="35"/>
      <c r="AC1160" s="35" t="s">
        <v>2527</v>
      </c>
      <c r="AD1160" s="35">
        <v>25.262675999999999</v>
      </c>
      <c r="AE1160" s="35">
        <v>71.075254999999999</v>
      </c>
    </row>
    <row r="1161" spans="1:31" x14ac:dyDescent="0.25">
      <c r="A1161" s="38" t="s">
        <v>36</v>
      </c>
      <c r="B1161" s="38" t="s">
        <v>2147</v>
      </c>
      <c r="C1161" s="38" t="s">
        <v>2514</v>
      </c>
      <c r="D1161" s="77" t="s">
        <v>2528</v>
      </c>
      <c r="E1161" s="38"/>
      <c r="F1161" s="38">
        <v>560.95000000000005</v>
      </c>
      <c r="G1161" s="38"/>
      <c r="H1161" s="38">
        <f t="shared" si="57"/>
        <v>0</v>
      </c>
      <c r="I1161" s="38"/>
      <c r="J1161" s="38"/>
      <c r="K1161" s="38"/>
      <c r="L1161" s="50"/>
      <c r="M1161" s="38"/>
      <c r="N1161" s="50"/>
      <c r="O1161" s="38"/>
      <c r="P1161" s="38">
        <v>0</v>
      </c>
      <c r="Q1161" s="35" t="s">
        <v>43</v>
      </c>
      <c r="R1161" s="14">
        <v>44538</v>
      </c>
      <c r="S1161" s="35"/>
      <c r="T1161" s="35"/>
      <c r="U1161" s="35"/>
      <c r="V1161" s="35"/>
      <c r="W1161" s="35"/>
      <c r="X1161" s="35"/>
      <c r="Y1161" s="35"/>
      <c r="AC1161" s="35" t="s">
        <v>2529</v>
      </c>
      <c r="AD1161" s="35">
        <v>25.268903000000002</v>
      </c>
      <c r="AE1161" s="35">
        <v>71.064910999999995</v>
      </c>
    </row>
    <row r="1162" spans="1:31" x14ac:dyDescent="0.25">
      <c r="A1162" s="38" t="s">
        <v>36</v>
      </c>
      <c r="B1162" s="38" t="s">
        <v>2147</v>
      </c>
      <c r="C1162" s="38" t="s">
        <v>2514</v>
      </c>
      <c r="D1162" s="38" t="s">
        <v>2530</v>
      </c>
      <c r="E1162" s="38" t="s">
        <v>2531</v>
      </c>
      <c r="F1162" s="38">
        <v>922.82</v>
      </c>
      <c r="G1162" s="38">
        <v>564.80999999999995</v>
      </c>
      <c r="H1162" s="38">
        <f t="shared" si="57"/>
        <v>1111</v>
      </c>
      <c r="I1162" s="38">
        <v>719</v>
      </c>
      <c r="J1162" s="38">
        <v>392</v>
      </c>
      <c r="K1162" s="38">
        <v>327</v>
      </c>
      <c r="L1162" s="50">
        <f t="shared" si="58"/>
        <v>29.432943294329434</v>
      </c>
      <c r="M1162" s="38">
        <v>0</v>
      </c>
      <c r="N1162" s="50">
        <f t="shared" si="56"/>
        <v>0</v>
      </c>
      <c r="O1162" s="38">
        <v>0</v>
      </c>
      <c r="P1162" s="38">
        <v>0</v>
      </c>
      <c r="Q1162" s="36" t="s">
        <v>43</v>
      </c>
      <c r="R1162" s="14">
        <v>44538</v>
      </c>
      <c r="S1162" s="36"/>
      <c r="T1162" s="36"/>
      <c r="U1162" s="36"/>
      <c r="V1162" s="36"/>
      <c r="W1162" s="36"/>
      <c r="X1162" s="36"/>
      <c r="Y1162" s="36"/>
      <c r="AC1162" s="15" t="s">
        <v>2532</v>
      </c>
      <c r="AD1162" s="36"/>
      <c r="AE1162" s="36"/>
    </row>
    <row r="1163" spans="1:31" x14ac:dyDescent="0.25">
      <c r="A1163" s="38" t="s">
        <v>36</v>
      </c>
      <c r="B1163" s="38" t="s">
        <v>2147</v>
      </c>
      <c r="C1163" s="38" t="s">
        <v>2533</v>
      </c>
      <c r="D1163" s="38" t="s">
        <v>2125</v>
      </c>
      <c r="E1163" s="38" t="s">
        <v>2534</v>
      </c>
      <c r="F1163" s="38">
        <v>3275.15</v>
      </c>
      <c r="G1163" s="38">
        <v>518.91</v>
      </c>
      <c r="H1163" s="38">
        <f t="shared" si="57"/>
        <v>1132</v>
      </c>
      <c r="I1163" s="38">
        <v>740</v>
      </c>
      <c r="J1163" s="38">
        <v>392</v>
      </c>
      <c r="K1163" s="38">
        <v>348</v>
      </c>
      <c r="L1163" s="50">
        <f t="shared" si="58"/>
        <v>30.742049469964666</v>
      </c>
      <c r="M1163" s="38">
        <v>41</v>
      </c>
      <c r="N1163" s="50">
        <f t="shared" si="56"/>
        <v>3.6219081272084805</v>
      </c>
      <c r="O1163" s="38">
        <v>0</v>
      </c>
      <c r="P1163" s="38">
        <v>34.380000000000003</v>
      </c>
      <c r="T1163" s="11">
        <v>28.64</v>
      </c>
      <c r="AB1163" s="85"/>
      <c r="AC1163" s="117"/>
      <c r="AD1163" s="121"/>
    </row>
    <row r="1164" spans="1:31" x14ac:dyDescent="0.25">
      <c r="A1164" s="38" t="s">
        <v>36</v>
      </c>
      <c r="B1164" s="38" t="s">
        <v>2147</v>
      </c>
      <c r="C1164" s="38" t="s">
        <v>2533</v>
      </c>
      <c r="D1164" s="38" t="s">
        <v>2125</v>
      </c>
      <c r="E1164" s="38" t="s">
        <v>2534</v>
      </c>
      <c r="F1164" s="38">
        <v>555.92999999999995</v>
      </c>
      <c r="G1164" s="38">
        <v>518.91</v>
      </c>
      <c r="H1164" s="38">
        <f t="shared" si="57"/>
        <v>1132</v>
      </c>
      <c r="I1164" s="38">
        <v>740</v>
      </c>
      <c r="J1164" s="38">
        <v>392</v>
      </c>
      <c r="K1164" s="38">
        <v>348</v>
      </c>
      <c r="L1164" s="50">
        <f t="shared" si="58"/>
        <v>30.742049469964666</v>
      </c>
      <c r="M1164" s="38">
        <v>41</v>
      </c>
      <c r="N1164" s="50">
        <f t="shared" si="56"/>
        <v>3.6219081272084805</v>
      </c>
      <c r="O1164" s="38">
        <v>0</v>
      </c>
      <c r="P1164" s="38">
        <v>0</v>
      </c>
      <c r="T1164" s="11">
        <v>18.079999999999998</v>
      </c>
      <c r="AB1164" s="85"/>
      <c r="AC1164" s="117"/>
      <c r="AD1164" s="121"/>
    </row>
    <row r="1165" spans="1:31" x14ac:dyDescent="0.25">
      <c r="A1165" s="38" t="s">
        <v>36</v>
      </c>
      <c r="B1165" s="38" t="s">
        <v>2147</v>
      </c>
      <c r="C1165" s="38" t="s">
        <v>2533</v>
      </c>
      <c r="D1165" s="38" t="s">
        <v>2126</v>
      </c>
      <c r="E1165" s="38" t="s">
        <v>2535</v>
      </c>
      <c r="F1165" s="38"/>
      <c r="G1165" s="38">
        <v>505.5</v>
      </c>
      <c r="H1165" s="38">
        <f t="shared" si="57"/>
        <v>1162</v>
      </c>
      <c r="I1165" s="38">
        <v>750</v>
      </c>
      <c r="J1165" s="38">
        <v>412</v>
      </c>
      <c r="K1165" s="38">
        <v>338</v>
      </c>
      <c r="L1165" s="50">
        <f t="shared" si="58"/>
        <v>29.087779690189329</v>
      </c>
      <c r="M1165" s="38">
        <v>2</v>
      </c>
      <c r="N1165" s="50">
        <f t="shared" si="56"/>
        <v>0.17211703958691912</v>
      </c>
      <c r="O1165" s="38">
        <v>0</v>
      </c>
      <c r="P1165" s="38">
        <v>0</v>
      </c>
      <c r="AC1165" s="117"/>
      <c r="AD1165" s="121"/>
    </row>
    <row r="1166" spans="1:31" x14ac:dyDescent="0.25">
      <c r="A1166" s="38" t="s">
        <v>36</v>
      </c>
      <c r="B1166" s="38" t="s">
        <v>2147</v>
      </c>
      <c r="C1166" s="38" t="s">
        <v>2533</v>
      </c>
      <c r="D1166" s="38" t="s">
        <v>2536</v>
      </c>
      <c r="E1166" s="38" t="s">
        <v>2537</v>
      </c>
      <c r="F1166" s="38"/>
      <c r="G1166" s="38">
        <v>560.95000000000005</v>
      </c>
      <c r="H1166" s="38">
        <f t="shared" si="57"/>
        <v>925</v>
      </c>
      <c r="I1166" s="38">
        <v>611</v>
      </c>
      <c r="J1166" s="38">
        <v>314</v>
      </c>
      <c r="K1166" s="38">
        <v>297</v>
      </c>
      <c r="L1166" s="50">
        <f t="shared" si="58"/>
        <v>32.108108108108105</v>
      </c>
      <c r="M1166" s="38">
        <v>11</v>
      </c>
      <c r="N1166" s="50">
        <f t="shared" si="56"/>
        <v>1.1891891891891893</v>
      </c>
      <c r="O1166" s="38">
        <v>0</v>
      </c>
      <c r="P1166" s="38">
        <v>0</v>
      </c>
    </row>
    <row r="1167" spans="1:31" x14ac:dyDescent="0.25">
      <c r="A1167" s="38" t="s">
        <v>36</v>
      </c>
      <c r="B1167" s="38" t="s">
        <v>2147</v>
      </c>
      <c r="C1167" s="38" t="s">
        <v>2533</v>
      </c>
      <c r="D1167" s="38" t="s">
        <v>2128</v>
      </c>
      <c r="E1167" s="38" t="s">
        <v>2538</v>
      </c>
      <c r="F1167" s="38"/>
      <c r="G1167" s="38">
        <v>922.82</v>
      </c>
      <c r="H1167" s="38">
        <f t="shared" si="57"/>
        <v>1330</v>
      </c>
      <c r="I1167" s="38">
        <v>855</v>
      </c>
      <c r="J1167" s="38">
        <v>475</v>
      </c>
      <c r="K1167" s="38">
        <v>380</v>
      </c>
      <c r="L1167" s="50">
        <f t="shared" si="58"/>
        <v>28.571428571428569</v>
      </c>
      <c r="M1167" s="38">
        <v>21</v>
      </c>
      <c r="N1167" s="50">
        <f t="shared" si="56"/>
        <v>1.5789473684210527</v>
      </c>
      <c r="O1167" s="38">
        <v>0</v>
      </c>
      <c r="P1167" s="38">
        <v>0</v>
      </c>
      <c r="AC1167" s="117"/>
      <c r="AD1167" s="121"/>
    </row>
    <row r="1168" spans="1:31" x14ac:dyDescent="0.25">
      <c r="A1168" s="38" t="s">
        <v>36</v>
      </c>
      <c r="B1168" s="38" t="s">
        <v>2147</v>
      </c>
      <c r="C1168" s="38" t="s">
        <v>2539</v>
      </c>
      <c r="D1168" s="38" t="s">
        <v>2540</v>
      </c>
      <c r="E1168" s="38" t="s">
        <v>2541</v>
      </c>
      <c r="F1168" s="38"/>
      <c r="G1168" s="38">
        <v>3275.15</v>
      </c>
      <c r="H1168" s="38">
        <f t="shared" si="57"/>
        <v>3775</v>
      </c>
      <c r="I1168" s="38">
        <v>2479</v>
      </c>
      <c r="J1168" s="38">
        <v>1296</v>
      </c>
      <c r="K1168" s="38">
        <v>1183</v>
      </c>
      <c r="L1168" s="50">
        <f t="shared" si="58"/>
        <v>31.337748344370858</v>
      </c>
      <c r="M1168" s="38">
        <v>439</v>
      </c>
      <c r="N1168" s="50">
        <f t="shared" si="56"/>
        <v>11.629139072847682</v>
      </c>
      <c r="O1168" s="38">
        <v>0</v>
      </c>
      <c r="P1168" s="38">
        <v>34.380000000000003</v>
      </c>
      <c r="Q1168" s="36" t="s">
        <v>43</v>
      </c>
      <c r="R1168" s="14">
        <v>44541</v>
      </c>
      <c r="S1168" s="36"/>
      <c r="T1168" s="36"/>
      <c r="U1168" s="36"/>
      <c r="V1168" s="36"/>
      <c r="W1168" s="36"/>
      <c r="X1168" s="36"/>
      <c r="Y1168" s="36"/>
      <c r="AB1168" s="85"/>
      <c r="AC1168" s="15" t="s">
        <v>2540</v>
      </c>
      <c r="AD1168" s="36"/>
      <c r="AE1168" s="36"/>
    </row>
    <row r="1169" spans="1:31" x14ac:dyDescent="0.25">
      <c r="A1169" s="38" t="s">
        <v>36</v>
      </c>
      <c r="B1169" s="38" t="s">
        <v>2147</v>
      </c>
      <c r="C1169" s="38" t="s">
        <v>2539</v>
      </c>
      <c r="D1169" s="38" t="s">
        <v>2542</v>
      </c>
      <c r="E1169" s="38" t="s">
        <v>2543</v>
      </c>
      <c r="F1169" s="38"/>
      <c r="G1169" s="38">
        <v>555.92999999999995</v>
      </c>
      <c r="H1169" s="38">
        <f t="shared" si="57"/>
        <v>786</v>
      </c>
      <c r="I1169" s="38">
        <v>521</v>
      </c>
      <c r="J1169" s="38">
        <v>265</v>
      </c>
      <c r="K1169" s="38">
        <v>256</v>
      </c>
      <c r="L1169" s="50">
        <f t="shared" si="58"/>
        <v>32.569974554707379</v>
      </c>
      <c r="M1169" s="38">
        <v>214</v>
      </c>
      <c r="N1169" s="50">
        <f t="shared" si="56"/>
        <v>27.226463104325699</v>
      </c>
      <c r="O1169" s="38">
        <v>0</v>
      </c>
      <c r="P1169" s="38">
        <v>0</v>
      </c>
      <c r="Q1169" s="36" t="s">
        <v>43</v>
      </c>
      <c r="R1169" s="14">
        <v>44541</v>
      </c>
      <c r="S1169" s="36"/>
      <c r="T1169" s="36"/>
      <c r="U1169" s="36"/>
      <c r="V1169" s="36"/>
      <c r="W1169" s="36"/>
      <c r="X1169" s="36"/>
      <c r="Y1169" s="36"/>
      <c r="AB1169" s="85"/>
      <c r="AC1169" s="15" t="s">
        <v>2542</v>
      </c>
      <c r="AD1169" s="36"/>
      <c r="AE1169" s="36"/>
    </row>
    <row r="1170" spans="1:31" x14ac:dyDescent="0.25">
      <c r="A1170" s="38" t="s">
        <v>36</v>
      </c>
      <c r="B1170" s="38" t="s">
        <v>2544</v>
      </c>
      <c r="C1170" s="38" t="s">
        <v>2545</v>
      </c>
      <c r="D1170" s="38" t="s">
        <v>2545</v>
      </c>
      <c r="E1170" s="38" t="s">
        <v>2546</v>
      </c>
      <c r="F1170" s="38">
        <v>358.25</v>
      </c>
      <c r="G1170" s="38">
        <v>358.25</v>
      </c>
      <c r="H1170" s="38">
        <f t="shared" si="57"/>
        <v>711</v>
      </c>
      <c r="I1170" s="38">
        <v>463</v>
      </c>
      <c r="J1170" s="38">
        <v>248</v>
      </c>
      <c r="K1170" s="38">
        <v>215</v>
      </c>
      <c r="L1170" s="50">
        <f t="shared" si="58"/>
        <v>30.239099859353026</v>
      </c>
      <c r="M1170" s="38">
        <v>38</v>
      </c>
      <c r="N1170" s="50">
        <f t="shared" si="56"/>
        <v>5.3445850914205346</v>
      </c>
      <c r="O1170" s="38">
        <v>0</v>
      </c>
      <c r="P1170" s="38">
        <v>0</v>
      </c>
      <c r="Q1170" s="39" t="s">
        <v>44</v>
      </c>
      <c r="R1170" s="60" t="s">
        <v>2547</v>
      </c>
      <c r="S1170" s="40"/>
      <c r="T1170" s="39">
        <v>0</v>
      </c>
      <c r="U1170" s="39"/>
      <c r="V1170" s="39"/>
      <c r="W1170" s="39"/>
      <c r="X1170" s="39"/>
      <c r="Y1170" s="39"/>
      <c r="Z1170" s="3"/>
      <c r="AB1170" s="3"/>
      <c r="AC1170" s="42" t="s">
        <v>2545</v>
      </c>
      <c r="AD1170" s="2"/>
      <c r="AE1170" s="40"/>
    </row>
    <row r="1171" spans="1:31" x14ac:dyDescent="0.25">
      <c r="A1171" s="38" t="s">
        <v>36</v>
      </c>
      <c r="B1171" s="38" t="s">
        <v>2544</v>
      </c>
      <c r="C1171" s="38" t="s">
        <v>2545</v>
      </c>
      <c r="D1171" s="38" t="s">
        <v>2548</v>
      </c>
      <c r="E1171" s="38" t="s">
        <v>2549</v>
      </c>
      <c r="F1171" s="38">
        <v>487.15</v>
      </c>
      <c r="G1171" s="38">
        <v>487.15</v>
      </c>
      <c r="H1171" s="38">
        <f t="shared" si="57"/>
        <v>1005</v>
      </c>
      <c r="I1171" s="38">
        <v>650</v>
      </c>
      <c r="J1171" s="38">
        <v>355</v>
      </c>
      <c r="K1171" s="38">
        <v>295</v>
      </c>
      <c r="L1171" s="50">
        <f t="shared" si="58"/>
        <v>29.35323383084577</v>
      </c>
      <c r="M1171" s="38">
        <v>62</v>
      </c>
      <c r="N1171" s="50">
        <f t="shared" si="56"/>
        <v>6.1691542288557217</v>
      </c>
      <c r="O1171" s="38">
        <v>0</v>
      </c>
      <c r="P1171" s="38">
        <v>0</v>
      </c>
      <c r="Q1171" s="39" t="s">
        <v>44</v>
      </c>
      <c r="R1171" s="60" t="s">
        <v>2547</v>
      </c>
      <c r="S1171" s="40"/>
      <c r="T1171" s="39">
        <v>0</v>
      </c>
      <c r="U1171" s="39"/>
      <c r="V1171" s="39"/>
      <c r="W1171" s="39"/>
      <c r="X1171" s="39"/>
      <c r="Y1171" s="39"/>
      <c r="Z1171" s="3"/>
      <c r="AB1171" s="3"/>
      <c r="AC1171" s="42" t="s">
        <v>2548</v>
      </c>
      <c r="AD1171" s="2"/>
      <c r="AE1171" s="40"/>
    </row>
    <row r="1172" spans="1:31" x14ac:dyDescent="0.25">
      <c r="A1172" s="38" t="s">
        <v>36</v>
      </c>
      <c r="B1172" s="38" t="s">
        <v>2544</v>
      </c>
      <c r="C1172" s="42" t="s">
        <v>2545</v>
      </c>
      <c r="D1172" s="42" t="s">
        <v>2550</v>
      </c>
      <c r="E1172" s="38"/>
      <c r="F1172" s="38"/>
      <c r="G1172" s="38"/>
      <c r="H1172" s="38">
        <f t="shared" si="57"/>
        <v>0</v>
      </c>
      <c r="I1172" s="38"/>
      <c r="J1172" s="38"/>
      <c r="K1172" s="38"/>
      <c r="L1172" s="50"/>
      <c r="M1172" s="38"/>
      <c r="N1172" s="50"/>
      <c r="O1172" s="38"/>
      <c r="P1172" s="38"/>
      <c r="Q1172" s="39" t="s">
        <v>44</v>
      </c>
      <c r="R1172" s="60" t="s">
        <v>2547</v>
      </c>
      <c r="S1172" s="40"/>
      <c r="T1172" s="39">
        <v>0</v>
      </c>
      <c r="U1172" s="39"/>
      <c r="V1172" s="39"/>
      <c r="W1172" s="39"/>
      <c r="X1172" s="39"/>
      <c r="Y1172" s="39"/>
      <c r="Z1172" s="3"/>
      <c r="AB1172" s="3"/>
      <c r="AC1172" s="42" t="s">
        <v>2550</v>
      </c>
      <c r="AD1172" s="2"/>
      <c r="AE1172" s="40"/>
    </row>
    <row r="1173" spans="1:31" x14ac:dyDescent="0.25">
      <c r="A1173" s="38" t="s">
        <v>36</v>
      </c>
      <c r="B1173" s="38" t="s">
        <v>2544</v>
      </c>
      <c r="C1173" s="38" t="s">
        <v>2545</v>
      </c>
      <c r="D1173" s="38" t="s">
        <v>2550</v>
      </c>
      <c r="E1173" s="38" t="s">
        <v>2551</v>
      </c>
      <c r="F1173" s="38">
        <v>143.56</v>
      </c>
      <c r="G1173" s="38">
        <v>143.56</v>
      </c>
      <c r="H1173" s="38">
        <f t="shared" si="57"/>
        <v>309</v>
      </c>
      <c r="I1173" s="38">
        <v>195</v>
      </c>
      <c r="J1173" s="38">
        <v>114</v>
      </c>
      <c r="K1173" s="38">
        <v>81</v>
      </c>
      <c r="L1173" s="50">
        <f t="shared" si="58"/>
        <v>26.21359223300971</v>
      </c>
      <c r="M1173" s="38">
        <v>23</v>
      </c>
      <c r="N1173" s="50">
        <f t="shared" si="56"/>
        <v>7.4433656957928811</v>
      </c>
      <c r="O1173" s="38">
        <v>0</v>
      </c>
      <c r="P1173" s="38">
        <v>0</v>
      </c>
      <c r="Q1173" s="39" t="s">
        <v>44</v>
      </c>
      <c r="R1173" s="60" t="s">
        <v>2547</v>
      </c>
      <c r="S1173" s="40"/>
      <c r="T1173" s="39">
        <v>0</v>
      </c>
      <c r="U1173" s="39"/>
      <c r="V1173" s="39"/>
      <c r="W1173" s="39"/>
      <c r="X1173" s="39"/>
      <c r="Y1173" s="39"/>
      <c r="Z1173" s="3"/>
      <c r="AB1173" s="3"/>
      <c r="AC1173" s="42" t="s">
        <v>2552</v>
      </c>
      <c r="AD1173" s="2"/>
      <c r="AE1173" s="40"/>
    </row>
    <row r="1174" spans="1:31" x14ac:dyDescent="0.25">
      <c r="A1174" s="38" t="s">
        <v>36</v>
      </c>
      <c r="B1174" s="38" t="s">
        <v>2544</v>
      </c>
      <c r="C1174" s="38" t="s">
        <v>2545</v>
      </c>
      <c r="D1174" s="38" t="s">
        <v>2553</v>
      </c>
      <c r="E1174" s="38" t="s">
        <v>2554</v>
      </c>
      <c r="F1174" s="38">
        <v>371.92</v>
      </c>
      <c r="G1174" s="38">
        <v>371.92</v>
      </c>
      <c r="H1174" s="38">
        <f t="shared" si="57"/>
        <v>530</v>
      </c>
      <c r="I1174" s="38">
        <v>347</v>
      </c>
      <c r="J1174" s="38">
        <v>183</v>
      </c>
      <c r="K1174" s="38">
        <v>164</v>
      </c>
      <c r="L1174" s="50">
        <f t="shared" si="58"/>
        <v>30.943396226415093</v>
      </c>
      <c r="M1174" s="38">
        <v>0</v>
      </c>
      <c r="N1174" s="50">
        <f t="shared" si="56"/>
        <v>0</v>
      </c>
      <c r="O1174" s="38">
        <v>0</v>
      </c>
      <c r="P1174" s="38">
        <v>0</v>
      </c>
      <c r="Q1174" s="39" t="s">
        <v>44</v>
      </c>
      <c r="R1174" s="60" t="s">
        <v>2547</v>
      </c>
      <c r="S1174" s="40"/>
      <c r="T1174" s="39">
        <v>0</v>
      </c>
      <c r="U1174" s="39"/>
      <c r="V1174" s="39"/>
      <c r="W1174" s="39"/>
      <c r="X1174" s="39"/>
      <c r="Y1174" s="39"/>
      <c r="Z1174" s="3"/>
      <c r="AB1174" s="3"/>
      <c r="AC1174" s="42" t="s">
        <v>2553</v>
      </c>
      <c r="AD1174" s="2"/>
      <c r="AE1174" s="40"/>
    </row>
    <row r="1175" spans="1:31" x14ac:dyDescent="0.25">
      <c r="A1175" s="38" t="s">
        <v>36</v>
      </c>
      <c r="B1175" s="38" t="s">
        <v>2544</v>
      </c>
      <c r="C1175" s="38" t="s">
        <v>2545</v>
      </c>
      <c r="D1175" s="38" t="s">
        <v>2555</v>
      </c>
      <c r="E1175" s="38" t="s">
        <v>2556</v>
      </c>
      <c r="F1175" s="38">
        <v>195.73</v>
      </c>
      <c r="G1175" s="38">
        <v>195.73</v>
      </c>
      <c r="H1175" s="38">
        <f t="shared" si="57"/>
        <v>441</v>
      </c>
      <c r="I1175" s="38">
        <v>291</v>
      </c>
      <c r="J1175" s="38">
        <v>150</v>
      </c>
      <c r="K1175" s="38">
        <v>141</v>
      </c>
      <c r="L1175" s="50">
        <f t="shared" si="58"/>
        <v>31.972789115646261</v>
      </c>
      <c r="M1175" s="38">
        <v>0</v>
      </c>
      <c r="N1175" s="50">
        <f t="shared" si="56"/>
        <v>0</v>
      </c>
      <c r="O1175" s="38">
        <v>0</v>
      </c>
      <c r="P1175" s="38">
        <v>0</v>
      </c>
      <c r="Q1175" s="39" t="s">
        <v>44</v>
      </c>
      <c r="R1175" s="60" t="s">
        <v>2547</v>
      </c>
      <c r="S1175" s="40"/>
      <c r="T1175" s="39">
        <v>0</v>
      </c>
      <c r="U1175" s="39"/>
      <c r="V1175" s="39"/>
      <c r="W1175" s="39"/>
      <c r="X1175" s="39"/>
      <c r="Y1175" s="39"/>
      <c r="Z1175" s="3"/>
      <c r="AB1175" s="3"/>
      <c r="AC1175" s="42" t="s">
        <v>2555</v>
      </c>
      <c r="AD1175" s="2"/>
      <c r="AE1175" s="40"/>
    </row>
    <row r="1176" spans="1:31" x14ac:dyDescent="0.25">
      <c r="A1176" s="38" t="s">
        <v>36</v>
      </c>
      <c r="B1176" s="38" t="s">
        <v>2544</v>
      </c>
      <c r="C1176" s="38" t="s">
        <v>2545</v>
      </c>
      <c r="D1176" s="38" t="s">
        <v>2557</v>
      </c>
      <c r="E1176" s="38" t="s">
        <v>2558</v>
      </c>
      <c r="F1176" s="38">
        <v>227.23</v>
      </c>
      <c r="G1176" s="38">
        <v>227.23</v>
      </c>
      <c r="H1176" s="38">
        <f t="shared" si="57"/>
        <v>526</v>
      </c>
      <c r="I1176" s="38">
        <v>352</v>
      </c>
      <c r="J1176" s="38">
        <v>174</v>
      </c>
      <c r="K1176" s="38">
        <v>178</v>
      </c>
      <c r="L1176" s="50">
        <f t="shared" si="58"/>
        <v>33.840304182509506</v>
      </c>
      <c r="M1176" s="38">
        <v>2</v>
      </c>
      <c r="N1176" s="50">
        <f t="shared" si="56"/>
        <v>0.38022813688212925</v>
      </c>
      <c r="O1176" s="38">
        <v>0</v>
      </c>
      <c r="P1176" s="38">
        <v>0</v>
      </c>
      <c r="Q1176" s="39" t="s">
        <v>44</v>
      </c>
      <c r="R1176" s="60" t="s">
        <v>2547</v>
      </c>
      <c r="S1176" s="40"/>
      <c r="T1176" s="39">
        <v>0</v>
      </c>
      <c r="U1176" s="39"/>
      <c r="V1176" s="39"/>
      <c r="W1176" s="39"/>
      <c r="X1176" s="39"/>
      <c r="Y1176" s="39"/>
      <c r="Z1176" s="3"/>
      <c r="AB1176" s="3"/>
      <c r="AC1176" s="42" t="s">
        <v>2557</v>
      </c>
      <c r="AD1176" s="2"/>
      <c r="AE1176" s="40"/>
    </row>
    <row r="1177" spans="1:31" x14ac:dyDescent="0.25">
      <c r="A1177" s="38" t="s">
        <v>36</v>
      </c>
      <c r="B1177" s="38" t="s">
        <v>2544</v>
      </c>
      <c r="C1177" s="38" t="s">
        <v>2559</v>
      </c>
      <c r="D1177" s="38" t="s">
        <v>2559</v>
      </c>
      <c r="E1177" s="38" t="s">
        <v>2560</v>
      </c>
      <c r="F1177" s="38">
        <v>632</v>
      </c>
      <c r="G1177" s="38">
        <v>632</v>
      </c>
      <c r="H1177" s="38">
        <f t="shared" si="57"/>
        <v>1275</v>
      </c>
      <c r="I1177" s="38">
        <v>835</v>
      </c>
      <c r="J1177" s="38">
        <v>440</v>
      </c>
      <c r="K1177" s="38">
        <v>395</v>
      </c>
      <c r="L1177" s="50">
        <f t="shared" si="58"/>
        <v>30.980392156862745</v>
      </c>
      <c r="M1177" s="38">
        <v>18</v>
      </c>
      <c r="N1177" s="50">
        <f t="shared" si="56"/>
        <v>1.411764705882353</v>
      </c>
      <c r="O1177" s="38">
        <v>0</v>
      </c>
      <c r="P1177" s="38">
        <v>30</v>
      </c>
    </row>
    <row r="1178" spans="1:31" x14ac:dyDescent="0.25">
      <c r="A1178" s="38" t="s">
        <v>36</v>
      </c>
      <c r="B1178" s="38" t="s">
        <v>2544</v>
      </c>
      <c r="C1178" s="38" t="s">
        <v>2559</v>
      </c>
      <c r="D1178" s="38" t="s">
        <v>2561</v>
      </c>
      <c r="E1178" s="38" t="s">
        <v>2562</v>
      </c>
      <c r="F1178" s="38">
        <v>386.19</v>
      </c>
      <c r="G1178" s="38">
        <v>386.19</v>
      </c>
      <c r="H1178" s="38">
        <f t="shared" si="57"/>
        <v>933</v>
      </c>
      <c r="I1178" s="38">
        <v>616</v>
      </c>
      <c r="J1178" s="38">
        <v>317</v>
      </c>
      <c r="K1178" s="38">
        <v>299</v>
      </c>
      <c r="L1178" s="50">
        <f t="shared" si="58"/>
        <v>32.047159699892816</v>
      </c>
      <c r="M1178" s="38">
        <v>0</v>
      </c>
      <c r="N1178" s="50">
        <f t="shared" si="56"/>
        <v>0</v>
      </c>
      <c r="O1178" s="38">
        <v>0</v>
      </c>
      <c r="P1178" s="38">
        <v>0</v>
      </c>
    </row>
    <row r="1179" spans="1:31" x14ac:dyDescent="0.25">
      <c r="A1179" s="38" t="s">
        <v>36</v>
      </c>
      <c r="B1179" s="38" t="s">
        <v>2544</v>
      </c>
      <c r="C1179" s="38" t="s">
        <v>2559</v>
      </c>
      <c r="D1179" s="38" t="s">
        <v>2563</v>
      </c>
      <c r="E1179" s="38" t="s">
        <v>2564</v>
      </c>
      <c r="F1179" s="38">
        <v>577.42999999999995</v>
      </c>
      <c r="G1179" s="38">
        <v>577.42999999999995</v>
      </c>
      <c r="H1179" s="38">
        <f t="shared" si="57"/>
        <v>962</v>
      </c>
      <c r="I1179" s="38">
        <v>629</v>
      </c>
      <c r="J1179" s="38">
        <v>333</v>
      </c>
      <c r="K1179" s="38">
        <v>296</v>
      </c>
      <c r="L1179" s="50">
        <f t="shared" si="58"/>
        <v>30.76923076923077</v>
      </c>
      <c r="M1179" s="38">
        <v>26</v>
      </c>
      <c r="N1179" s="50">
        <f t="shared" si="56"/>
        <v>2.7027027027027026</v>
      </c>
      <c r="O1179" s="38">
        <v>0</v>
      </c>
      <c r="P1179" s="38">
        <v>113.13</v>
      </c>
    </row>
    <row r="1180" spans="1:31" x14ac:dyDescent="0.25">
      <c r="A1180" s="38" t="s">
        <v>36</v>
      </c>
      <c r="B1180" s="38" t="s">
        <v>2544</v>
      </c>
      <c r="C1180" s="38" t="s">
        <v>2559</v>
      </c>
      <c r="D1180" s="38" t="s">
        <v>2565</v>
      </c>
      <c r="E1180" s="38" t="s">
        <v>2566</v>
      </c>
      <c r="F1180" s="38">
        <v>326.64999999999998</v>
      </c>
      <c r="G1180" s="38">
        <v>326.64999999999998</v>
      </c>
      <c r="H1180" s="38">
        <f t="shared" si="57"/>
        <v>758</v>
      </c>
      <c r="I1180" s="38">
        <v>507</v>
      </c>
      <c r="J1180" s="38">
        <v>251</v>
      </c>
      <c r="K1180" s="38">
        <v>256</v>
      </c>
      <c r="L1180" s="50">
        <f t="shared" si="58"/>
        <v>33.773087071240106</v>
      </c>
      <c r="M1180" s="38">
        <v>158</v>
      </c>
      <c r="N1180" s="50">
        <f t="shared" si="56"/>
        <v>20.844327176781004</v>
      </c>
      <c r="O1180" s="38">
        <v>0</v>
      </c>
      <c r="P1180" s="38">
        <v>0</v>
      </c>
      <c r="Q1180" s="158" t="s">
        <v>44</v>
      </c>
      <c r="R1180" s="14">
        <v>45716</v>
      </c>
      <c r="S1180" s="160"/>
      <c r="T1180" s="158">
        <v>15.361800000000001</v>
      </c>
      <c r="U1180" s="158"/>
      <c r="V1180" s="158"/>
      <c r="W1180" s="158"/>
      <c r="X1180" s="158"/>
      <c r="Y1180" s="158"/>
      <c r="Z1180" s="16"/>
      <c r="AB1180" s="16">
        <v>15</v>
      </c>
      <c r="AC1180" s="33" t="s">
        <v>2565</v>
      </c>
      <c r="AD1180" s="161"/>
      <c r="AE1180" s="160"/>
    </row>
    <row r="1181" spans="1:31" x14ac:dyDescent="0.25">
      <c r="A1181" s="38" t="s">
        <v>36</v>
      </c>
      <c r="B1181" s="38" t="s">
        <v>2544</v>
      </c>
      <c r="C1181" s="38" t="s">
        <v>2567</v>
      </c>
      <c r="D1181" s="38" t="s">
        <v>2567</v>
      </c>
      <c r="E1181" s="38" t="s">
        <v>2568</v>
      </c>
      <c r="F1181" s="38">
        <v>656.83</v>
      </c>
      <c r="G1181" s="38">
        <v>656.83</v>
      </c>
      <c r="H1181" s="38">
        <f t="shared" si="57"/>
        <v>1148</v>
      </c>
      <c r="I1181" s="38">
        <v>736</v>
      </c>
      <c r="J1181" s="38">
        <v>412</v>
      </c>
      <c r="K1181" s="38">
        <v>324</v>
      </c>
      <c r="L1181" s="50">
        <f t="shared" si="58"/>
        <v>28.222996515679444</v>
      </c>
      <c r="M1181" s="38">
        <v>9</v>
      </c>
      <c r="N1181" s="50">
        <f t="shared" si="56"/>
        <v>0.78397212543554007</v>
      </c>
      <c r="O1181" s="38">
        <v>0</v>
      </c>
      <c r="P1181" s="38">
        <v>181.1</v>
      </c>
      <c r="Q1181" s="158" t="s">
        <v>44</v>
      </c>
      <c r="R1181" s="15" t="s">
        <v>2569</v>
      </c>
      <c r="S1181" s="160"/>
      <c r="T1181" s="158">
        <v>192</v>
      </c>
      <c r="U1181" s="158"/>
      <c r="V1181" s="158"/>
      <c r="W1181" s="158"/>
      <c r="X1181" s="158"/>
      <c r="Y1181" s="158"/>
      <c r="Z1181" s="16"/>
      <c r="AB1181" s="16">
        <v>22</v>
      </c>
      <c r="AC1181" s="33" t="s">
        <v>2567</v>
      </c>
      <c r="AD1181" s="161"/>
      <c r="AE1181" s="160"/>
    </row>
    <row r="1182" spans="1:31" x14ac:dyDescent="0.25">
      <c r="A1182" s="38" t="s">
        <v>36</v>
      </c>
      <c r="B1182" s="38" t="s">
        <v>2544</v>
      </c>
      <c r="C1182" s="38" t="s">
        <v>2567</v>
      </c>
      <c r="D1182" s="38" t="s">
        <v>2567</v>
      </c>
      <c r="E1182" s="38" t="s">
        <v>2568</v>
      </c>
      <c r="F1182" s="38"/>
      <c r="G1182" s="38">
        <v>656.83</v>
      </c>
      <c r="H1182" s="38">
        <f t="shared" si="57"/>
        <v>1148</v>
      </c>
      <c r="I1182" s="38">
        <v>736</v>
      </c>
      <c r="J1182" s="38">
        <v>412</v>
      </c>
      <c r="K1182" s="38">
        <v>324</v>
      </c>
      <c r="L1182" s="50">
        <f t="shared" si="58"/>
        <v>28.222996515679444</v>
      </c>
      <c r="M1182" s="38">
        <v>9</v>
      </c>
      <c r="N1182" s="50">
        <f t="shared" si="56"/>
        <v>0.78397212543554007</v>
      </c>
      <c r="O1182" s="38">
        <v>0</v>
      </c>
      <c r="P1182" s="38"/>
      <c r="Q1182" s="158" t="s">
        <v>44</v>
      </c>
      <c r="R1182" s="15" t="s">
        <v>2569</v>
      </c>
      <c r="S1182" s="160"/>
      <c r="T1182" s="158"/>
      <c r="U1182" s="158"/>
      <c r="V1182" s="158"/>
      <c r="W1182" s="158"/>
      <c r="X1182" s="158"/>
      <c r="Y1182" s="158"/>
      <c r="Z1182" s="16"/>
      <c r="AB1182" s="16">
        <v>20</v>
      </c>
      <c r="AC1182" s="33" t="s">
        <v>2567</v>
      </c>
      <c r="AD1182" s="161">
        <v>25.259637000000001</v>
      </c>
      <c r="AE1182" s="160">
        <v>71.436913000000004</v>
      </c>
    </row>
    <row r="1183" spans="1:31" x14ac:dyDescent="0.25">
      <c r="A1183" s="38" t="s">
        <v>36</v>
      </c>
      <c r="B1183" s="38" t="s">
        <v>2544</v>
      </c>
      <c r="C1183" s="38" t="s">
        <v>2567</v>
      </c>
      <c r="D1183" s="38" t="s">
        <v>2567</v>
      </c>
      <c r="E1183" s="38" t="s">
        <v>2568</v>
      </c>
      <c r="F1183" s="38"/>
      <c r="G1183" s="38">
        <v>656.83</v>
      </c>
      <c r="H1183" s="38">
        <f t="shared" si="57"/>
        <v>1148</v>
      </c>
      <c r="I1183" s="38">
        <v>736</v>
      </c>
      <c r="J1183" s="38">
        <v>412</v>
      </c>
      <c r="K1183" s="38">
        <v>324</v>
      </c>
      <c r="L1183" s="50">
        <f t="shared" si="58"/>
        <v>28.222996515679444</v>
      </c>
      <c r="M1183" s="38">
        <v>9</v>
      </c>
      <c r="N1183" s="50">
        <f t="shared" si="56"/>
        <v>0.78397212543554007</v>
      </c>
      <c r="O1183" s="38">
        <v>0</v>
      </c>
      <c r="P1183" s="38"/>
      <c r="Q1183" s="158" t="s">
        <v>44</v>
      </c>
      <c r="R1183" s="15" t="s">
        <v>2569</v>
      </c>
      <c r="S1183" s="160"/>
      <c r="T1183" s="158"/>
      <c r="U1183" s="158"/>
      <c r="V1183" s="158"/>
      <c r="W1183" s="158"/>
      <c r="X1183" s="158"/>
      <c r="Y1183" s="158"/>
      <c r="Z1183" s="16"/>
      <c r="AB1183" s="16">
        <v>19</v>
      </c>
      <c r="AC1183" s="33" t="s">
        <v>2567</v>
      </c>
      <c r="AD1183" s="161">
        <v>25.259537999999999</v>
      </c>
      <c r="AE1183" s="160">
        <v>71.436680999999993</v>
      </c>
    </row>
    <row r="1184" spans="1:31" x14ac:dyDescent="0.25">
      <c r="A1184" s="38" t="s">
        <v>36</v>
      </c>
      <c r="B1184" s="38" t="s">
        <v>2544</v>
      </c>
      <c r="C1184" s="38" t="s">
        <v>2567</v>
      </c>
      <c r="D1184" s="38" t="s">
        <v>2570</v>
      </c>
      <c r="E1184" s="38" t="s">
        <v>2571</v>
      </c>
      <c r="F1184" s="38">
        <v>323.67</v>
      </c>
      <c r="G1184" s="38">
        <v>323.67</v>
      </c>
      <c r="H1184" s="38">
        <f t="shared" si="57"/>
        <v>758</v>
      </c>
      <c r="I1184" s="38">
        <v>498</v>
      </c>
      <c r="J1184" s="38">
        <v>260</v>
      </c>
      <c r="K1184" s="38">
        <v>238</v>
      </c>
      <c r="L1184" s="50">
        <f t="shared" si="58"/>
        <v>31.398416886543533</v>
      </c>
      <c r="M1184" s="38">
        <v>0</v>
      </c>
      <c r="N1184" s="50">
        <f t="shared" si="56"/>
        <v>0</v>
      </c>
      <c r="O1184" s="38">
        <v>0</v>
      </c>
      <c r="P1184" s="38">
        <v>0</v>
      </c>
    </row>
    <row r="1185" spans="1:31" x14ac:dyDescent="0.25">
      <c r="A1185" s="38" t="s">
        <v>36</v>
      </c>
      <c r="B1185" s="38" t="s">
        <v>2544</v>
      </c>
      <c r="C1185" s="38" t="s">
        <v>2567</v>
      </c>
      <c r="D1185" s="38" t="s">
        <v>2572</v>
      </c>
      <c r="E1185" s="38" t="s">
        <v>2573</v>
      </c>
      <c r="F1185" s="38">
        <v>428.54</v>
      </c>
      <c r="G1185" s="38">
        <v>428.54</v>
      </c>
      <c r="H1185" s="38">
        <f t="shared" si="57"/>
        <v>1069</v>
      </c>
      <c r="I1185" s="38">
        <v>700</v>
      </c>
      <c r="J1185" s="38">
        <v>369</v>
      </c>
      <c r="K1185" s="38">
        <v>331</v>
      </c>
      <c r="L1185" s="50">
        <f t="shared" si="58"/>
        <v>30.963517305893358</v>
      </c>
      <c r="M1185" s="38">
        <v>0</v>
      </c>
      <c r="N1185" s="50">
        <f t="shared" si="56"/>
        <v>0</v>
      </c>
      <c r="O1185" s="38">
        <v>0</v>
      </c>
      <c r="P1185" s="38">
        <v>0</v>
      </c>
    </row>
    <row r="1186" spans="1:31" x14ac:dyDescent="0.25">
      <c r="A1186" s="38" t="s">
        <v>36</v>
      </c>
      <c r="B1186" s="38" t="s">
        <v>2544</v>
      </c>
      <c r="C1186" s="38" t="s">
        <v>2567</v>
      </c>
      <c r="D1186" s="38" t="s">
        <v>2574</v>
      </c>
      <c r="E1186" s="38" t="s">
        <v>2575</v>
      </c>
      <c r="F1186" s="38">
        <v>781.06</v>
      </c>
      <c r="G1186" s="38">
        <v>781.06</v>
      </c>
      <c r="H1186" s="38">
        <f t="shared" si="57"/>
        <v>782</v>
      </c>
      <c r="I1186" s="38">
        <v>518</v>
      </c>
      <c r="J1186" s="38">
        <v>264</v>
      </c>
      <c r="K1186" s="38">
        <v>254</v>
      </c>
      <c r="L1186" s="50">
        <f t="shared" si="58"/>
        <v>32.48081841432225</v>
      </c>
      <c r="M1186" s="38">
        <v>0</v>
      </c>
      <c r="N1186" s="50">
        <f t="shared" si="56"/>
        <v>0</v>
      </c>
      <c r="O1186" s="38">
        <v>0</v>
      </c>
      <c r="P1186" s="38">
        <v>0</v>
      </c>
    </row>
    <row r="1187" spans="1:31" x14ac:dyDescent="0.25">
      <c r="A1187" s="38" t="s">
        <v>36</v>
      </c>
      <c r="B1187" s="38" t="s">
        <v>2544</v>
      </c>
      <c r="C1187" s="38" t="s">
        <v>2576</v>
      </c>
      <c r="D1187" s="38" t="s">
        <v>2577</v>
      </c>
      <c r="E1187" s="38" t="s">
        <v>2578</v>
      </c>
      <c r="F1187" s="38">
        <v>584.05999999999995</v>
      </c>
      <c r="G1187" s="38">
        <v>584.05999999999995</v>
      </c>
      <c r="H1187" s="38">
        <f t="shared" si="57"/>
        <v>2488</v>
      </c>
      <c r="I1187" s="38">
        <v>1615</v>
      </c>
      <c r="J1187" s="38">
        <v>873</v>
      </c>
      <c r="K1187" s="38">
        <v>742</v>
      </c>
      <c r="L1187" s="50">
        <f t="shared" si="58"/>
        <v>29.823151125401932</v>
      </c>
      <c r="M1187" s="38">
        <v>122</v>
      </c>
      <c r="N1187" s="50">
        <f t="shared" si="56"/>
        <v>4.9035369774919619</v>
      </c>
      <c r="O1187" s="38">
        <v>0</v>
      </c>
      <c r="P1187" s="38">
        <v>12</v>
      </c>
    </row>
    <row r="1188" spans="1:31" x14ac:dyDescent="0.25">
      <c r="A1188" s="38" t="s">
        <v>36</v>
      </c>
      <c r="B1188" s="38" t="s">
        <v>2544</v>
      </c>
      <c r="C1188" s="38" t="s">
        <v>2576</v>
      </c>
      <c r="D1188" s="38" t="s">
        <v>2579</v>
      </c>
      <c r="E1188" s="38" t="s">
        <v>2580</v>
      </c>
      <c r="F1188" s="38">
        <v>874</v>
      </c>
      <c r="G1188" s="38">
        <v>874</v>
      </c>
      <c r="H1188" s="38">
        <f t="shared" si="57"/>
        <v>1743</v>
      </c>
      <c r="I1188" s="38">
        <v>1144</v>
      </c>
      <c r="J1188" s="38">
        <v>599</v>
      </c>
      <c r="K1188" s="38">
        <v>545</v>
      </c>
      <c r="L1188" s="50">
        <f t="shared" si="58"/>
        <v>31.267928858290304</v>
      </c>
      <c r="M1188" s="38">
        <v>51</v>
      </c>
      <c r="N1188" s="50">
        <f t="shared" si="56"/>
        <v>2.9259896729776247</v>
      </c>
      <c r="O1188" s="38">
        <v>0</v>
      </c>
      <c r="P1188" s="38">
        <v>2</v>
      </c>
    </row>
    <row r="1189" spans="1:31" x14ac:dyDescent="0.25">
      <c r="A1189" s="38" t="s">
        <v>36</v>
      </c>
      <c r="B1189" s="38" t="s">
        <v>2544</v>
      </c>
      <c r="C1189" s="38" t="s">
        <v>2581</v>
      </c>
      <c r="D1189" s="38" t="s">
        <v>2581</v>
      </c>
      <c r="E1189" s="38" t="s">
        <v>2582</v>
      </c>
      <c r="F1189" s="38">
        <v>1417</v>
      </c>
      <c r="G1189" s="38">
        <v>1417</v>
      </c>
      <c r="H1189" s="38">
        <f t="shared" si="57"/>
        <v>1377</v>
      </c>
      <c r="I1189" s="38">
        <v>900</v>
      </c>
      <c r="J1189" s="38">
        <v>477</v>
      </c>
      <c r="K1189" s="38">
        <v>423</v>
      </c>
      <c r="L1189" s="50">
        <f t="shared" si="58"/>
        <v>30.718954248366014</v>
      </c>
      <c r="M1189" s="38">
        <v>21</v>
      </c>
      <c r="N1189" s="50">
        <f t="shared" si="56"/>
        <v>1.5250544662309369</v>
      </c>
      <c r="O1189" s="38">
        <v>0</v>
      </c>
      <c r="P1189" s="38">
        <v>310</v>
      </c>
      <c r="Q1189" s="14">
        <v>45280</v>
      </c>
      <c r="R1189" s="33" t="s">
        <v>2581</v>
      </c>
      <c r="S1189" s="161"/>
      <c r="T1189" s="252">
        <v>300</v>
      </c>
      <c r="U1189" s="14"/>
      <c r="V1189" s="14"/>
      <c r="W1189" s="14"/>
      <c r="X1189" s="14"/>
      <c r="Y1189" s="14"/>
      <c r="AB1189" s="16">
        <v>25</v>
      </c>
      <c r="AC1189" s="33" t="s">
        <v>2581</v>
      </c>
      <c r="AD1189" s="160">
        <v>71.290870999999996</v>
      </c>
      <c r="AE1189" s="161">
        <v>300</v>
      </c>
    </row>
    <row r="1190" spans="1:31" x14ac:dyDescent="0.25">
      <c r="A1190" s="38" t="s">
        <v>36</v>
      </c>
      <c r="B1190" s="38" t="s">
        <v>2544</v>
      </c>
      <c r="C1190" s="38" t="s">
        <v>2581</v>
      </c>
      <c r="D1190" s="38" t="s">
        <v>2583</v>
      </c>
      <c r="E1190" s="38" t="s">
        <v>2584</v>
      </c>
      <c r="F1190" s="38">
        <v>301</v>
      </c>
      <c r="G1190" s="38">
        <v>301</v>
      </c>
      <c r="H1190" s="38">
        <f t="shared" si="57"/>
        <v>489</v>
      </c>
      <c r="I1190" s="38">
        <v>321</v>
      </c>
      <c r="J1190" s="38">
        <v>168</v>
      </c>
      <c r="K1190" s="38">
        <v>153</v>
      </c>
      <c r="L1190" s="50">
        <f t="shared" si="58"/>
        <v>31.288343558282211</v>
      </c>
      <c r="M1190" s="38">
        <v>0</v>
      </c>
      <c r="N1190" s="50">
        <f t="shared" si="56"/>
        <v>0</v>
      </c>
      <c r="O1190" s="38">
        <v>0</v>
      </c>
      <c r="P1190" s="38">
        <v>7</v>
      </c>
    </row>
    <row r="1191" spans="1:31" x14ac:dyDescent="0.25">
      <c r="A1191" s="38" t="s">
        <v>36</v>
      </c>
      <c r="B1191" s="38" t="s">
        <v>2544</v>
      </c>
      <c r="C1191" s="38" t="s">
        <v>2581</v>
      </c>
      <c r="D1191" s="38" t="s">
        <v>2585</v>
      </c>
      <c r="E1191" s="38" t="s">
        <v>2586</v>
      </c>
      <c r="F1191" s="38">
        <v>308</v>
      </c>
      <c r="G1191" s="38">
        <v>308</v>
      </c>
      <c r="H1191" s="38">
        <f t="shared" si="57"/>
        <v>1308</v>
      </c>
      <c r="I1191" s="38">
        <v>870</v>
      </c>
      <c r="J1191" s="38">
        <v>438</v>
      </c>
      <c r="K1191" s="38">
        <v>432</v>
      </c>
      <c r="L1191" s="50">
        <f t="shared" si="58"/>
        <v>33.027522935779821</v>
      </c>
      <c r="M1191" s="38">
        <v>0</v>
      </c>
      <c r="N1191" s="50">
        <f t="shared" si="56"/>
        <v>0</v>
      </c>
      <c r="O1191" s="38">
        <v>0</v>
      </c>
      <c r="P1191" s="38">
        <v>27</v>
      </c>
    </row>
    <row r="1192" spans="1:31" x14ac:dyDescent="0.25">
      <c r="A1192" s="38" t="s">
        <v>36</v>
      </c>
      <c r="B1192" s="38" t="s">
        <v>2544</v>
      </c>
      <c r="C1192" s="38" t="s">
        <v>2587</v>
      </c>
      <c r="D1192" s="38" t="s">
        <v>2588</v>
      </c>
      <c r="E1192" s="38" t="s">
        <v>2589</v>
      </c>
      <c r="F1192" s="38">
        <v>1245</v>
      </c>
      <c r="G1192" s="38">
        <v>1245</v>
      </c>
      <c r="H1192" s="38">
        <f t="shared" si="57"/>
        <v>1850</v>
      </c>
      <c r="I1192" s="38">
        <v>1206</v>
      </c>
      <c r="J1192" s="38">
        <v>644</v>
      </c>
      <c r="K1192" s="38">
        <v>562</v>
      </c>
      <c r="L1192" s="50">
        <f t="shared" si="58"/>
        <v>30.378378378378379</v>
      </c>
      <c r="M1192" s="38">
        <v>0</v>
      </c>
      <c r="N1192" s="50">
        <f t="shared" si="56"/>
        <v>0</v>
      </c>
      <c r="O1192" s="38">
        <v>0</v>
      </c>
      <c r="P1192" s="38">
        <v>7.9</v>
      </c>
    </row>
    <row r="1193" spans="1:31" x14ac:dyDescent="0.25">
      <c r="A1193" s="38" t="s">
        <v>36</v>
      </c>
      <c r="B1193" s="38" t="s">
        <v>2544</v>
      </c>
      <c r="C1193" s="38" t="s">
        <v>2587</v>
      </c>
      <c r="D1193" s="38" t="s">
        <v>2590</v>
      </c>
      <c r="E1193" s="38" t="s">
        <v>2591</v>
      </c>
      <c r="F1193" s="38">
        <v>1077.54</v>
      </c>
      <c r="G1193" s="38">
        <v>1077.54</v>
      </c>
      <c r="H1193" s="38">
        <f t="shared" si="57"/>
        <v>1791</v>
      </c>
      <c r="I1193" s="38">
        <v>1185</v>
      </c>
      <c r="J1193" s="38">
        <v>606</v>
      </c>
      <c r="K1193" s="38">
        <v>579</v>
      </c>
      <c r="L1193" s="50">
        <f t="shared" si="58"/>
        <v>32.328308207705192</v>
      </c>
      <c r="M1193" s="38">
        <v>0</v>
      </c>
      <c r="N1193" s="50">
        <f t="shared" si="56"/>
        <v>0</v>
      </c>
      <c r="O1193" s="38">
        <v>0</v>
      </c>
      <c r="P1193" s="38">
        <v>12.44</v>
      </c>
    </row>
    <row r="1194" spans="1:31" x14ac:dyDescent="0.25">
      <c r="A1194" s="38" t="s">
        <v>36</v>
      </c>
      <c r="B1194" s="38" t="s">
        <v>2544</v>
      </c>
      <c r="C1194" s="38" t="s">
        <v>2592</v>
      </c>
      <c r="D1194" s="38" t="s">
        <v>2593</v>
      </c>
      <c r="E1194" s="38" t="s">
        <v>2594</v>
      </c>
      <c r="F1194" s="38">
        <v>1309.27</v>
      </c>
      <c r="G1194" s="38">
        <v>1309.27</v>
      </c>
      <c r="H1194" s="38">
        <f t="shared" si="57"/>
        <v>2294</v>
      </c>
      <c r="I1194" s="38">
        <v>1498</v>
      </c>
      <c r="J1194" s="38">
        <v>796</v>
      </c>
      <c r="K1194" s="38">
        <v>702</v>
      </c>
      <c r="L1194" s="50">
        <f t="shared" si="58"/>
        <v>30.601569311246728</v>
      </c>
      <c r="M1194" s="38">
        <v>216</v>
      </c>
      <c r="N1194" s="50">
        <f t="shared" si="56"/>
        <v>9.4158674803836089</v>
      </c>
      <c r="O1194" s="38">
        <v>0</v>
      </c>
      <c r="P1194" s="38">
        <v>75.08</v>
      </c>
      <c r="Q1194" s="15" t="s">
        <v>2595</v>
      </c>
      <c r="R1194" s="33" t="s">
        <v>2593</v>
      </c>
      <c r="S1194" s="161"/>
      <c r="T1194" s="15">
        <v>39.861499999999999</v>
      </c>
      <c r="U1194" s="15"/>
      <c r="V1194" s="15"/>
      <c r="W1194" s="15"/>
      <c r="X1194" s="15"/>
      <c r="Y1194" s="15"/>
      <c r="AB1194" s="16">
        <v>39</v>
      </c>
      <c r="AC1194" s="33" t="s">
        <v>2593</v>
      </c>
      <c r="AD1194" s="160">
        <v>71.707719100000006</v>
      </c>
      <c r="AE1194" s="161">
        <v>39.861499999999999</v>
      </c>
    </row>
    <row r="1195" spans="1:31" x14ac:dyDescent="0.25">
      <c r="A1195" s="38" t="s">
        <v>36</v>
      </c>
      <c r="B1195" s="38" t="s">
        <v>2544</v>
      </c>
      <c r="C1195" s="38" t="s">
        <v>2592</v>
      </c>
      <c r="D1195" s="38" t="s">
        <v>2596</v>
      </c>
      <c r="E1195" s="38" t="s">
        <v>2597</v>
      </c>
      <c r="F1195" s="38">
        <v>406</v>
      </c>
      <c r="G1195" s="38">
        <v>406</v>
      </c>
      <c r="H1195" s="38">
        <f t="shared" si="57"/>
        <v>511</v>
      </c>
      <c r="I1195" s="38">
        <v>340</v>
      </c>
      <c r="J1195" s="38">
        <v>171</v>
      </c>
      <c r="K1195" s="38">
        <v>169</v>
      </c>
      <c r="L1195" s="50">
        <f t="shared" si="58"/>
        <v>33.072407045009783</v>
      </c>
      <c r="M1195" s="38">
        <v>0</v>
      </c>
      <c r="N1195" s="50">
        <f t="shared" si="56"/>
        <v>0</v>
      </c>
      <c r="O1195" s="38">
        <v>0</v>
      </c>
      <c r="P1195" s="38">
        <v>0</v>
      </c>
    </row>
    <row r="1196" spans="1:31" x14ac:dyDescent="0.25">
      <c r="A1196" s="38" t="s">
        <v>36</v>
      </c>
      <c r="B1196" s="38" t="s">
        <v>2544</v>
      </c>
      <c r="C1196" s="38" t="s">
        <v>2592</v>
      </c>
      <c r="D1196" s="38" t="s">
        <v>2598</v>
      </c>
      <c r="E1196" s="38" t="s">
        <v>2599</v>
      </c>
      <c r="F1196" s="38">
        <v>206.77</v>
      </c>
      <c r="G1196" s="38">
        <v>206.77</v>
      </c>
      <c r="H1196" s="38">
        <f t="shared" si="57"/>
        <v>505</v>
      </c>
      <c r="I1196" s="38">
        <v>330</v>
      </c>
      <c r="J1196" s="38">
        <v>175</v>
      </c>
      <c r="K1196" s="38">
        <v>155</v>
      </c>
      <c r="L1196" s="50">
        <f t="shared" si="58"/>
        <v>30.693069306930692</v>
      </c>
      <c r="M1196" s="38">
        <v>0</v>
      </c>
      <c r="N1196" s="50">
        <f t="shared" si="56"/>
        <v>0</v>
      </c>
      <c r="O1196" s="38">
        <v>0</v>
      </c>
      <c r="P1196" s="38">
        <v>0</v>
      </c>
    </row>
    <row r="1197" spans="1:31" x14ac:dyDescent="0.25">
      <c r="A1197" s="38" t="s">
        <v>36</v>
      </c>
      <c r="B1197" s="38" t="s">
        <v>2544</v>
      </c>
      <c r="C1197" s="38" t="s">
        <v>2592</v>
      </c>
      <c r="D1197" s="38" t="s">
        <v>2600</v>
      </c>
      <c r="E1197" s="38" t="s">
        <v>2601</v>
      </c>
      <c r="F1197" s="38">
        <v>344.5</v>
      </c>
      <c r="G1197" s="38">
        <v>344.5</v>
      </c>
      <c r="H1197" s="38">
        <f t="shared" si="57"/>
        <v>789</v>
      </c>
      <c r="I1197" s="38">
        <v>516</v>
      </c>
      <c r="J1197" s="38">
        <v>273</v>
      </c>
      <c r="K1197" s="38">
        <v>243</v>
      </c>
      <c r="L1197" s="50">
        <f t="shared" si="58"/>
        <v>30.798479087452474</v>
      </c>
      <c r="M1197" s="38">
        <v>65</v>
      </c>
      <c r="N1197" s="50">
        <f t="shared" si="56"/>
        <v>8.2382762991128011</v>
      </c>
      <c r="O1197" s="38">
        <v>0</v>
      </c>
      <c r="P1197" s="38">
        <v>30.92</v>
      </c>
    </row>
    <row r="1198" spans="1:31" x14ac:dyDescent="0.25">
      <c r="A1198" s="38" t="s">
        <v>36</v>
      </c>
      <c r="B1198" s="38" t="s">
        <v>2544</v>
      </c>
      <c r="C1198" s="38" t="s">
        <v>2592</v>
      </c>
      <c r="D1198" s="38" t="s">
        <v>2602</v>
      </c>
      <c r="E1198" s="38" t="s">
        <v>2603</v>
      </c>
      <c r="F1198" s="38">
        <v>320.3</v>
      </c>
      <c r="G1198" s="38">
        <v>320.3</v>
      </c>
      <c r="H1198" s="38">
        <f t="shared" si="57"/>
        <v>459</v>
      </c>
      <c r="I1198" s="38">
        <v>300</v>
      </c>
      <c r="J1198" s="38">
        <v>159</v>
      </c>
      <c r="K1198" s="38">
        <v>141</v>
      </c>
      <c r="L1198" s="50">
        <f t="shared" si="58"/>
        <v>30.718954248366014</v>
      </c>
      <c r="M1198" s="38">
        <v>0</v>
      </c>
      <c r="N1198" s="50">
        <f t="shared" si="56"/>
        <v>0</v>
      </c>
      <c r="O1198" s="38">
        <v>0</v>
      </c>
      <c r="P1198" s="38">
        <v>20.85</v>
      </c>
    </row>
    <row r="1199" spans="1:31" x14ac:dyDescent="0.25">
      <c r="A1199" s="38" t="s">
        <v>36</v>
      </c>
      <c r="B1199" s="38" t="s">
        <v>2544</v>
      </c>
      <c r="C1199" s="38" t="s">
        <v>2592</v>
      </c>
      <c r="D1199" s="38" t="s">
        <v>227</v>
      </c>
      <c r="E1199" s="38" t="s">
        <v>2604</v>
      </c>
      <c r="F1199" s="38">
        <v>206.28</v>
      </c>
      <c r="G1199" s="38">
        <v>206.28</v>
      </c>
      <c r="H1199" s="38">
        <f t="shared" si="57"/>
        <v>487</v>
      </c>
      <c r="I1199" s="38">
        <v>323</v>
      </c>
      <c r="J1199" s="38">
        <v>164</v>
      </c>
      <c r="K1199" s="38">
        <v>159</v>
      </c>
      <c r="L1199" s="50">
        <f t="shared" si="58"/>
        <v>32.648870636550306</v>
      </c>
      <c r="M1199" s="38">
        <v>111</v>
      </c>
      <c r="N1199" s="50">
        <f t="shared" si="56"/>
        <v>22.792607802874741</v>
      </c>
      <c r="O1199" s="38">
        <v>0</v>
      </c>
      <c r="P1199" s="38">
        <v>6.65</v>
      </c>
    </row>
    <row r="1200" spans="1:31" x14ac:dyDescent="0.25">
      <c r="A1200" s="38" t="s">
        <v>36</v>
      </c>
      <c r="B1200" s="38" t="s">
        <v>2544</v>
      </c>
      <c r="C1200" s="38" t="s">
        <v>2605</v>
      </c>
      <c r="D1200" s="38" t="s">
        <v>2606</v>
      </c>
      <c r="E1200" s="38" t="s">
        <v>2607</v>
      </c>
      <c r="F1200" s="38">
        <v>894</v>
      </c>
      <c r="G1200" s="38">
        <v>894</v>
      </c>
      <c r="H1200" s="38">
        <f t="shared" si="57"/>
        <v>1967</v>
      </c>
      <c r="I1200" s="38">
        <v>1275</v>
      </c>
      <c r="J1200" s="38">
        <v>692</v>
      </c>
      <c r="K1200" s="38">
        <v>583</v>
      </c>
      <c r="L1200" s="50">
        <f t="shared" si="58"/>
        <v>29.639044229791562</v>
      </c>
      <c r="M1200" s="38">
        <v>0</v>
      </c>
      <c r="N1200" s="50">
        <f t="shared" si="56"/>
        <v>0</v>
      </c>
      <c r="O1200" s="38">
        <v>0</v>
      </c>
      <c r="P1200" s="38">
        <v>0</v>
      </c>
      <c r="Q1200" s="158" t="s">
        <v>44</v>
      </c>
      <c r="R1200" s="179">
        <v>45879</v>
      </c>
      <c r="S1200" s="160"/>
      <c r="T1200" s="158">
        <v>17</v>
      </c>
      <c r="U1200" s="158"/>
      <c r="V1200" s="158"/>
      <c r="W1200" s="158"/>
      <c r="X1200" s="158"/>
      <c r="Y1200" s="158"/>
      <c r="AB1200" s="16">
        <v>17</v>
      </c>
      <c r="AC1200" s="33" t="s">
        <v>2608</v>
      </c>
      <c r="AD1200" s="161">
        <v>25.263314999999999</v>
      </c>
      <c r="AE1200" s="160">
        <v>71.522364999999994</v>
      </c>
    </row>
    <row r="1201" spans="1:31" x14ac:dyDescent="0.25">
      <c r="A1201" s="38" t="s">
        <v>36</v>
      </c>
      <c r="B1201" s="38" t="s">
        <v>2544</v>
      </c>
      <c r="C1201" s="38" t="s">
        <v>2605</v>
      </c>
      <c r="D1201" s="38" t="s">
        <v>2608</v>
      </c>
      <c r="E1201" s="38" t="s">
        <v>2609</v>
      </c>
      <c r="F1201" s="38">
        <v>671</v>
      </c>
      <c r="G1201" s="38">
        <v>671</v>
      </c>
      <c r="H1201" s="38">
        <f t="shared" si="57"/>
        <v>1505</v>
      </c>
      <c r="I1201" s="38">
        <v>988</v>
      </c>
      <c r="J1201" s="38">
        <v>517</v>
      </c>
      <c r="K1201" s="38">
        <v>471</v>
      </c>
      <c r="L1201" s="50">
        <f t="shared" si="58"/>
        <v>31.29568106312292</v>
      </c>
      <c r="M1201" s="38">
        <v>47</v>
      </c>
      <c r="N1201" s="50">
        <f t="shared" si="56"/>
        <v>3.1229235880398671</v>
      </c>
      <c r="O1201" s="38">
        <v>0</v>
      </c>
      <c r="P1201" s="38">
        <v>0</v>
      </c>
    </row>
    <row r="1202" spans="1:31" x14ac:dyDescent="0.25">
      <c r="A1202" s="38" t="s">
        <v>36</v>
      </c>
      <c r="B1202" s="38" t="s">
        <v>2544</v>
      </c>
      <c r="C1202" s="38" t="s">
        <v>2605</v>
      </c>
      <c r="D1202" s="38" t="s">
        <v>2610</v>
      </c>
      <c r="E1202" s="38" t="s">
        <v>2611</v>
      </c>
      <c r="F1202" s="38">
        <v>503</v>
      </c>
      <c r="G1202" s="38">
        <v>503</v>
      </c>
      <c r="H1202" s="38">
        <f t="shared" si="57"/>
        <v>871</v>
      </c>
      <c r="I1202" s="38">
        <v>575</v>
      </c>
      <c r="J1202" s="38">
        <v>296</v>
      </c>
      <c r="K1202" s="38">
        <v>279</v>
      </c>
      <c r="L1202" s="50">
        <f t="shared" si="58"/>
        <v>32.032146957520091</v>
      </c>
      <c r="M1202" s="38">
        <v>69</v>
      </c>
      <c r="N1202" s="50">
        <f t="shared" si="56"/>
        <v>7.9219288174512057</v>
      </c>
      <c r="O1202" s="38">
        <v>0</v>
      </c>
      <c r="P1202" s="38">
        <v>0</v>
      </c>
    </row>
    <row r="1203" spans="1:31" x14ac:dyDescent="0.25">
      <c r="A1203" s="38" t="s">
        <v>36</v>
      </c>
      <c r="B1203" s="38" t="s">
        <v>2544</v>
      </c>
      <c r="C1203" s="38" t="s">
        <v>2605</v>
      </c>
      <c r="D1203" s="38" t="s">
        <v>2612</v>
      </c>
      <c r="E1203" s="38" t="s">
        <v>2613</v>
      </c>
      <c r="F1203" s="38">
        <v>538</v>
      </c>
      <c r="G1203" s="38">
        <v>538</v>
      </c>
      <c r="H1203" s="38">
        <f t="shared" si="57"/>
        <v>862</v>
      </c>
      <c r="I1203" s="38">
        <v>561</v>
      </c>
      <c r="J1203" s="38">
        <v>301</v>
      </c>
      <c r="K1203" s="38">
        <v>260</v>
      </c>
      <c r="L1203" s="50">
        <f t="shared" si="58"/>
        <v>30.162412993039446</v>
      </c>
      <c r="M1203" s="38">
        <v>0</v>
      </c>
      <c r="N1203" s="50">
        <f t="shared" ref="N1203:N1266" si="59">M1203/H1203*100</f>
        <v>0</v>
      </c>
      <c r="O1203" s="38">
        <v>0</v>
      </c>
      <c r="P1203" s="38">
        <v>0</v>
      </c>
    </row>
    <row r="1204" spans="1:31" x14ac:dyDescent="0.25">
      <c r="A1204" s="38" t="s">
        <v>36</v>
      </c>
      <c r="B1204" s="38" t="s">
        <v>2544</v>
      </c>
      <c r="C1204" s="38" t="s">
        <v>2614</v>
      </c>
      <c r="D1204" s="38" t="s">
        <v>2615</v>
      </c>
      <c r="E1204" s="38" t="s">
        <v>2616</v>
      </c>
      <c r="F1204" s="38">
        <v>1255.3699999999999</v>
      </c>
      <c r="G1204" s="38">
        <v>1255.3699999999999</v>
      </c>
      <c r="H1204" s="38">
        <f t="shared" si="57"/>
        <v>1928</v>
      </c>
      <c r="I1204" s="38">
        <v>1277</v>
      </c>
      <c r="J1204" s="38">
        <v>651</v>
      </c>
      <c r="K1204" s="38">
        <v>626</v>
      </c>
      <c r="L1204" s="50">
        <f t="shared" si="58"/>
        <v>32.468879668049794</v>
      </c>
      <c r="M1204" s="38">
        <v>95</v>
      </c>
      <c r="N1204" s="50">
        <f t="shared" si="59"/>
        <v>4.9273858921161828</v>
      </c>
      <c r="O1204" s="38">
        <v>61</v>
      </c>
      <c r="P1204" s="38">
        <v>34.159999999999997</v>
      </c>
    </row>
    <row r="1205" spans="1:31" x14ac:dyDescent="0.25">
      <c r="A1205" s="38" t="s">
        <v>36</v>
      </c>
      <c r="B1205" s="38" t="s">
        <v>2544</v>
      </c>
      <c r="C1205" s="38" t="s">
        <v>2614</v>
      </c>
      <c r="D1205" s="38" t="s">
        <v>2617</v>
      </c>
      <c r="E1205" s="38" t="s">
        <v>2618</v>
      </c>
      <c r="F1205" s="38">
        <v>845.1</v>
      </c>
      <c r="G1205" s="38">
        <v>845.1</v>
      </c>
      <c r="H1205" s="38">
        <f t="shared" si="57"/>
        <v>1560</v>
      </c>
      <c r="I1205" s="38">
        <v>1016</v>
      </c>
      <c r="J1205" s="38">
        <v>544</v>
      </c>
      <c r="K1205" s="38">
        <v>472</v>
      </c>
      <c r="L1205" s="50">
        <f t="shared" si="58"/>
        <v>30.256410256410255</v>
      </c>
      <c r="M1205" s="38">
        <v>27</v>
      </c>
      <c r="N1205" s="50">
        <f t="shared" si="59"/>
        <v>1.7307692307692308</v>
      </c>
      <c r="O1205" s="38">
        <v>0</v>
      </c>
      <c r="P1205" s="38">
        <v>0</v>
      </c>
    </row>
    <row r="1206" spans="1:31" x14ac:dyDescent="0.25">
      <c r="A1206" s="38" t="s">
        <v>36</v>
      </c>
      <c r="B1206" s="38" t="s">
        <v>2544</v>
      </c>
      <c r="C1206" s="38" t="s">
        <v>2614</v>
      </c>
      <c r="D1206" s="38" t="s">
        <v>2619</v>
      </c>
      <c r="E1206" s="38" t="s">
        <v>2620</v>
      </c>
      <c r="F1206" s="38">
        <v>1013.97</v>
      </c>
      <c r="G1206" s="38">
        <v>1013.97</v>
      </c>
      <c r="H1206" s="38">
        <f t="shared" si="57"/>
        <v>1331</v>
      </c>
      <c r="I1206" s="38">
        <v>875</v>
      </c>
      <c r="J1206" s="38">
        <v>456</v>
      </c>
      <c r="K1206" s="38">
        <v>419</v>
      </c>
      <c r="L1206" s="50">
        <f t="shared" si="58"/>
        <v>31.480090157776107</v>
      </c>
      <c r="M1206" s="38">
        <v>48</v>
      </c>
      <c r="N1206" s="50">
        <f t="shared" si="59"/>
        <v>3.606311044327573</v>
      </c>
      <c r="O1206" s="38">
        <v>0</v>
      </c>
      <c r="P1206" s="38">
        <v>0</v>
      </c>
    </row>
    <row r="1207" spans="1:31" x14ac:dyDescent="0.25">
      <c r="A1207" s="38" t="s">
        <v>36</v>
      </c>
      <c r="B1207" s="38" t="s">
        <v>2544</v>
      </c>
      <c r="C1207" s="38" t="s">
        <v>2614</v>
      </c>
      <c r="D1207" s="38" t="s">
        <v>2339</v>
      </c>
      <c r="E1207" s="38" t="s">
        <v>2621</v>
      </c>
      <c r="F1207" s="38">
        <v>601.04999999999995</v>
      </c>
      <c r="G1207" s="38">
        <v>601.04999999999995</v>
      </c>
      <c r="H1207" s="38">
        <f t="shared" si="57"/>
        <v>1301</v>
      </c>
      <c r="I1207" s="38">
        <v>863</v>
      </c>
      <c r="J1207" s="38">
        <v>438</v>
      </c>
      <c r="K1207" s="38">
        <v>425</v>
      </c>
      <c r="L1207" s="50">
        <f t="shared" si="58"/>
        <v>32.66717909300538</v>
      </c>
      <c r="M1207" s="38">
        <v>99</v>
      </c>
      <c r="N1207" s="50">
        <f t="shared" si="59"/>
        <v>7.609531129900077</v>
      </c>
      <c r="O1207" s="38">
        <v>0</v>
      </c>
      <c r="P1207" s="38">
        <v>0</v>
      </c>
      <c r="Q1207" s="143" t="s">
        <v>44</v>
      </c>
      <c r="R1207" s="165" t="s">
        <v>2622</v>
      </c>
      <c r="S1207" s="145"/>
      <c r="T1207" s="143">
        <v>10</v>
      </c>
      <c r="U1207" s="143"/>
      <c r="V1207" s="143"/>
      <c r="W1207" s="143"/>
      <c r="X1207" s="143"/>
      <c r="Y1207" s="143"/>
      <c r="AB1207" s="241">
        <v>10</v>
      </c>
      <c r="AC1207" s="76" t="s">
        <v>2339</v>
      </c>
      <c r="AD1207" s="145">
        <v>25.225947000000001</v>
      </c>
      <c r="AE1207" s="145">
        <v>71.578092999999996</v>
      </c>
    </row>
    <row r="1208" spans="1:31" x14ac:dyDescent="0.25">
      <c r="A1208" s="38" t="s">
        <v>36</v>
      </c>
      <c r="B1208" s="38" t="s">
        <v>2544</v>
      </c>
      <c r="C1208" s="38" t="s">
        <v>2614</v>
      </c>
      <c r="D1208" s="38" t="s">
        <v>2623</v>
      </c>
      <c r="E1208" s="38" t="s">
        <v>2624</v>
      </c>
      <c r="F1208" s="38">
        <v>837</v>
      </c>
      <c r="G1208" s="38">
        <v>837</v>
      </c>
      <c r="H1208" s="38">
        <f t="shared" si="57"/>
        <v>2004</v>
      </c>
      <c r="I1208" s="38">
        <v>1315</v>
      </c>
      <c r="J1208" s="38">
        <v>689</v>
      </c>
      <c r="K1208" s="38">
        <v>626</v>
      </c>
      <c r="L1208" s="50">
        <f t="shared" si="58"/>
        <v>31.2375249500998</v>
      </c>
      <c r="M1208" s="38">
        <v>485</v>
      </c>
      <c r="N1208" s="50">
        <f t="shared" si="59"/>
        <v>24.201596806387226</v>
      </c>
      <c r="O1208" s="38">
        <v>0</v>
      </c>
      <c r="P1208" s="38">
        <v>0</v>
      </c>
    </row>
    <row r="1209" spans="1:31" x14ac:dyDescent="0.25">
      <c r="A1209" s="38" t="s">
        <v>36</v>
      </c>
      <c r="B1209" s="38" t="s">
        <v>2544</v>
      </c>
      <c r="C1209" s="38" t="s">
        <v>2625</v>
      </c>
      <c r="D1209" s="38" t="s">
        <v>2625</v>
      </c>
      <c r="E1209" s="38" t="s">
        <v>2626</v>
      </c>
      <c r="F1209" s="38">
        <v>1347</v>
      </c>
      <c r="G1209" s="38">
        <v>1347</v>
      </c>
      <c r="H1209" s="38">
        <f t="shared" si="57"/>
        <v>2110</v>
      </c>
      <c r="I1209" s="38">
        <v>1379</v>
      </c>
      <c r="J1209" s="38">
        <v>731</v>
      </c>
      <c r="K1209" s="38">
        <v>648</v>
      </c>
      <c r="L1209" s="50">
        <f t="shared" si="58"/>
        <v>30.710900473933648</v>
      </c>
      <c r="M1209" s="38">
        <v>105</v>
      </c>
      <c r="N1209" s="50">
        <f t="shared" si="59"/>
        <v>4.9763033175355451</v>
      </c>
      <c r="O1209" s="38">
        <v>0</v>
      </c>
      <c r="P1209" s="38">
        <v>81.900000000000006</v>
      </c>
      <c r="Q1209" s="158" t="s">
        <v>44</v>
      </c>
      <c r="R1209" s="163" t="s">
        <v>2627</v>
      </c>
      <c r="S1209" s="160"/>
      <c r="T1209" s="158">
        <v>0.02</v>
      </c>
      <c r="U1209" s="158"/>
      <c r="V1209" s="158"/>
      <c r="W1209" s="158"/>
      <c r="X1209" s="158"/>
      <c r="Y1209" s="158"/>
      <c r="AB1209" s="16"/>
      <c r="AC1209" s="69" t="s">
        <v>2625</v>
      </c>
      <c r="AD1209" s="161"/>
      <c r="AE1209" s="160"/>
    </row>
    <row r="1210" spans="1:31" x14ac:dyDescent="0.25">
      <c r="A1210" s="38" t="s">
        <v>36</v>
      </c>
      <c r="B1210" s="38" t="s">
        <v>2544</v>
      </c>
      <c r="C1210" s="38" t="s">
        <v>2625</v>
      </c>
      <c r="D1210" s="38" t="s">
        <v>2628</v>
      </c>
      <c r="E1210" s="38" t="s">
        <v>2629</v>
      </c>
      <c r="F1210" s="38">
        <v>1044.1199999999999</v>
      </c>
      <c r="G1210" s="38">
        <v>1044.1199999999999</v>
      </c>
      <c r="H1210" s="38">
        <f t="shared" si="57"/>
        <v>2047</v>
      </c>
      <c r="I1210" s="38">
        <v>1349</v>
      </c>
      <c r="J1210" s="38">
        <v>698</v>
      </c>
      <c r="K1210" s="38">
        <v>651</v>
      </c>
      <c r="L1210" s="50">
        <f t="shared" si="58"/>
        <v>31.802638006839278</v>
      </c>
      <c r="M1210" s="38">
        <v>0</v>
      </c>
      <c r="N1210" s="50">
        <f t="shared" si="59"/>
        <v>0</v>
      </c>
      <c r="O1210" s="38">
        <v>0</v>
      </c>
      <c r="P1210" s="38">
        <v>61.35</v>
      </c>
      <c r="Q1210" s="158" t="s">
        <v>44</v>
      </c>
      <c r="R1210" s="163" t="s">
        <v>2627</v>
      </c>
      <c r="S1210" s="160"/>
      <c r="T1210" s="158">
        <v>26</v>
      </c>
      <c r="U1210" s="158"/>
      <c r="V1210" s="158"/>
      <c r="W1210" s="158"/>
      <c r="X1210" s="158"/>
      <c r="Y1210" s="158"/>
      <c r="AB1210" s="16">
        <v>26</v>
      </c>
      <c r="AC1210" s="69" t="s">
        <v>2628</v>
      </c>
      <c r="AD1210" s="161">
        <v>25.122722</v>
      </c>
      <c r="AE1210" s="160">
        <v>71.376811000000004</v>
      </c>
    </row>
    <row r="1211" spans="1:31" x14ac:dyDescent="0.25">
      <c r="A1211" s="38" t="s">
        <v>36</v>
      </c>
      <c r="B1211" s="38" t="s">
        <v>2544</v>
      </c>
      <c r="C1211" s="38" t="s">
        <v>2625</v>
      </c>
      <c r="D1211" s="42" t="s">
        <v>2630</v>
      </c>
      <c r="E1211" s="38"/>
      <c r="F1211" s="38"/>
      <c r="G1211" s="38"/>
      <c r="H1211" s="38">
        <f t="shared" si="57"/>
        <v>0</v>
      </c>
      <c r="I1211" s="38"/>
      <c r="J1211" s="38"/>
      <c r="K1211" s="38"/>
      <c r="L1211" s="50"/>
      <c r="M1211" s="38"/>
      <c r="N1211" s="50"/>
      <c r="O1211" s="38"/>
      <c r="P1211" s="38"/>
      <c r="Q1211" s="39" t="s">
        <v>44</v>
      </c>
      <c r="R1211" s="60" t="s">
        <v>2627</v>
      </c>
      <c r="S1211" s="40"/>
      <c r="T1211" s="39">
        <v>0.03</v>
      </c>
      <c r="U1211" s="39"/>
      <c r="V1211" s="39"/>
      <c r="W1211" s="39"/>
      <c r="X1211" s="39"/>
      <c r="Y1211" s="39"/>
      <c r="AB1211" s="3"/>
      <c r="AC1211" s="42" t="s">
        <v>2630</v>
      </c>
      <c r="AD1211" s="2"/>
      <c r="AE1211" s="40"/>
    </row>
    <row r="1212" spans="1:31" x14ac:dyDescent="0.25">
      <c r="A1212" s="38" t="s">
        <v>36</v>
      </c>
      <c r="B1212" s="38" t="s">
        <v>2544</v>
      </c>
      <c r="C1212" s="38" t="s">
        <v>2625</v>
      </c>
      <c r="D1212" s="180" t="s">
        <v>2631</v>
      </c>
      <c r="E1212" s="38"/>
      <c r="F1212" s="38"/>
      <c r="G1212" s="38"/>
      <c r="H1212" s="38">
        <f t="shared" si="57"/>
        <v>0</v>
      </c>
      <c r="I1212" s="38"/>
      <c r="J1212" s="38"/>
      <c r="K1212" s="38"/>
      <c r="L1212" s="50"/>
      <c r="M1212" s="38"/>
      <c r="N1212" s="50"/>
      <c r="O1212" s="38"/>
      <c r="P1212" s="38"/>
      <c r="Q1212" s="175" t="s">
        <v>44</v>
      </c>
      <c r="R1212" s="13" t="s">
        <v>2627</v>
      </c>
      <c r="S1212" s="176"/>
      <c r="T1212" s="175">
        <v>11.07</v>
      </c>
      <c r="U1212" s="175"/>
      <c r="V1212" s="175"/>
      <c r="W1212" s="175"/>
      <c r="X1212" s="175"/>
      <c r="Y1212" s="175"/>
      <c r="AB1212" s="240"/>
      <c r="AC1212" s="180" t="s">
        <v>2631</v>
      </c>
      <c r="AD1212" s="177"/>
      <c r="AE1212" s="176"/>
    </row>
    <row r="1213" spans="1:31" x14ac:dyDescent="0.25">
      <c r="A1213" s="38" t="s">
        <v>36</v>
      </c>
      <c r="B1213" s="38" t="s">
        <v>2544</v>
      </c>
      <c r="C1213" s="38" t="s">
        <v>2625</v>
      </c>
      <c r="D1213" s="38" t="s">
        <v>2632</v>
      </c>
      <c r="E1213" s="38" t="s">
        <v>2633</v>
      </c>
      <c r="F1213" s="38">
        <v>664</v>
      </c>
      <c r="G1213" s="38">
        <v>664</v>
      </c>
      <c r="H1213" s="38">
        <f t="shared" si="57"/>
        <v>1140</v>
      </c>
      <c r="I1213" s="38">
        <v>753</v>
      </c>
      <c r="J1213" s="38">
        <v>387</v>
      </c>
      <c r="K1213" s="38">
        <v>366</v>
      </c>
      <c r="L1213" s="50">
        <f t="shared" si="58"/>
        <v>32.10526315789474</v>
      </c>
      <c r="M1213" s="38">
        <v>11</v>
      </c>
      <c r="N1213" s="50">
        <f t="shared" si="59"/>
        <v>0.96491228070175439</v>
      </c>
      <c r="O1213" s="38">
        <v>0</v>
      </c>
      <c r="P1213" s="38">
        <v>64.099999999999994</v>
      </c>
      <c r="Q1213" s="175" t="s">
        <v>44</v>
      </c>
      <c r="R1213" s="13" t="s">
        <v>2627</v>
      </c>
      <c r="S1213" s="176"/>
      <c r="T1213" s="175">
        <v>0.02</v>
      </c>
      <c r="U1213" s="175"/>
      <c r="V1213" s="175"/>
      <c r="W1213" s="175"/>
      <c r="X1213" s="175"/>
      <c r="Y1213" s="175"/>
      <c r="AB1213" s="240"/>
      <c r="AC1213" s="180" t="s">
        <v>2632</v>
      </c>
      <c r="AD1213" s="177"/>
      <c r="AE1213" s="176"/>
    </row>
    <row r="1214" spans="1:31" x14ac:dyDescent="0.25">
      <c r="A1214" s="38" t="s">
        <v>36</v>
      </c>
      <c r="B1214" s="38" t="s">
        <v>2544</v>
      </c>
      <c r="C1214" s="38" t="s">
        <v>2634</v>
      </c>
      <c r="D1214" s="38" t="s">
        <v>2635</v>
      </c>
      <c r="E1214" s="38" t="s">
        <v>2636</v>
      </c>
      <c r="F1214" s="38">
        <v>545.57000000000005</v>
      </c>
      <c r="G1214" s="38">
        <v>545.57000000000005</v>
      </c>
      <c r="H1214" s="38">
        <f t="shared" si="57"/>
        <v>698</v>
      </c>
      <c r="I1214" s="38">
        <v>459</v>
      </c>
      <c r="J1214" s="38">
        <v>239</v>
      </c>
      <c r="K1214" s="38">
        <v>220</v>
      </c>
      <c r="L1214" s="50">
        <f t="shared" si="58"/>
        <v>31.51862464183381</v>
      </c>
      <c r="M1214" s="38">
        <v>0</v>
      </c>
      <c r="N1214" s="50">
        <f t="shared" si="59"/>
        <v>0</v>
      </c>
      <c r="O1214" s="38">
        <v>0</v>
      </c>
      <c r="P1214" s="38">
        <v>15.59</v>
      </c>
    </row>
    <row r="1215" spans="1:31" x14ac:dyDescent="0.25">
      <c r="A1215" s="38" t="s">
        <v>36</v>
      </c>
      <c r="B1215" s="38" t="s">
        <v>2544</v>
      </c>
      <c r="C1215" s="38" t="s">
        <v>2634</v>
      </c>
      <c r="D1215" s="38" t="s">
        <v>754</v>
      </c>
      <c r="E1215" s="38" t="s">
        <v>2637</v>
      </c>
      <c r="F1215" s="38">
        <v>441</v>
      </c>
      <c r="G1215" s="38">
        <v>441</v>
      </c>
      <c r="H1215" s="38">
        <f t="shared" si="57"/>
        <v>514</v>
      </c>
      <c r="I1215" s="38">
        <v>329</v>
      </c>
      <c r="J1215" s="38">
        <v>185</v>
      </c>
      <c r="K1215" s="38">
        <v>144</v>
      </c>
      <c r="L1215" s="50">
        <f t="shared" si="58"/>
        <v>28.01556420233463</v>
      </c>
      <c r="M1215" s="38">
        <v>0</v>
      </c>
      <c r="N1215" s="50">
        <f t="shared" si="59"/>
        <v>0</v>
      </c>
      <c r="O1215" s="38">
        <v>0</v>
      </c>
      <c r="P1215" s="38">
        <v>10.77</v>
      </c>
    </row>
    <row r="1216" spans="1:31" x14ac:dyDescent="0.25">
      <c r="A1216" s="38" t="s">
        <v>36</v>
      </c>
      <c r="B1216" s="38" t="s">
        <v>2544</v>
      </c>
      <c r="C1216" s="38" t="s">
        <v>2634</v>
      </c>
      <c r="D1216" s="38" t="s">
        <v>2638</v>
      </c>
      <c r="E1216" s="38" t="s">
        <v>2639</v>
      </c>
      <c r="F1216" s="38">
        <v>231.43</v>
      </c>
      <c r="G1216" s="38">
        <v>231.43</v>
      </c>
      <c r="H1216" s="38">
        <f t="shared" si="57"/>
        <v>709</v>
      </c>
      <c r="I1216" s="38">
        <v>479</v>
      </c>
      <c r="J1216" s="38">
        <v>230</v>
      </c>
      <c r="K1216" s="38">
        <v>249</v>
      </c>
      <c r="L1216" s="50">
        <f t="shared" si="58"/>
        <v>35.119887165021154</v>
      </c>
      <c r="M1216" s="38">
        <v>247</v>
      </c>
      <c r="N1216" s="50">
        <f t="shared" si="59"/>
        <v>34.837799717912553</v>
      </c>
      <c r="O1216" s="38">
        <v>0</v>
      </c>
      <c r="P1216" s="38">
        <v>10.64</v>
      </c>
    </row>
    <row r="1217" spans="1:31" x14ac:dyDescent="0.25">
      <c r="A1217" s="38" t="s">
        <v>36</v>
      </c>
      <c r="B1217" s="38" t="s">
        <v>2544</v>
      </c>
      <c r="C1217" s="38" t="s">
        <v>2634</v>
      </c>
      <c r="D1217" s="38" t="s">
        <v>2640</v>
      </c>
      <c r="E1217" s="38" t="s">
        <v>2641</v>
      </c>
      <c r="F1217" s="38">
        <v>1246</v>
      </c>
      <c r="G1217" s="38">
        <v>1246</v>
      </c>
      <c r="H1217" s="38">
        <f t="shared" si="57"/>
        <v>1198</v>
      </c>
      <c r="I1217" s="38">
        <v>766</v>
      </c>
      <c r="J1217" s="38">
        <v>432</v>
      </c>
      <c r="K1217" s="38">
        <v>334</v>
      </c>
      <c r="L1217" s="50">
        <f t="shared" si="58"/>
        <v>27.879799666110184</v>
      </c>
      <c r="M1217" s="38">
        <v>4</v>
      </c>
      <c r="N1217" s="50">
        <f t="shared" si="59"/>
        <v>0.333889816360601</v>
      </c>
      <c r="O1217" s="38">
        <v>0</v>
      </c>
      <c r="P1217" s="38">
        <v>68</v>
      </c>
    </row>
    <row r="1218" spans="1:31" x14ac:dyDescent="0.25">
      <c r="A1218" s="38" t="s">
        <v>36</v>
      </c>
      <c r="B1218" s="38" t="s">
        <v>2544</v>
      </c>
      <c r="C1218" s="38" t="s">
        <v>2634</v>
      </c>
      <c r="D1218" s="38" t="s">
        <v>1535</v>
      </c>
      <c r="E1218" s="38" t="s">
        <v>2642</v>
      </c>
      <c r="F1218" s="38">
        <v>996</v>
      </c>
      <c r="G1218" s="38">
        <v>996</v>
      </c>
      <c r="H1218" s="38">
        <f t="shared" si="57"/>
        <v>1655</v>
      </c>
      <c r="I1218" s="38">
        <v>1086</v>
      </c>
      <c r="J1218" s="38">
        <v>569</v>
      </c>
      <c r="K1218" s="38">
        <v>517</v>
      </c>
      <c r="L1218" s="50">
        <f t="shared" si="58"/>
        <v>31.238670694864044</v>
      </c>
      <c r="M1218" s="38">
        <v>261</v>
      </c>
      <c r="N1218" s="50">
        <f t="shared" si="59"/>
        <v>15.770392749244714</v>
      </c>
      <c r="O1218" s="38">
        <v>0</v>
      </c>
      <c r="P1218" s="38">
        <v>8</v>
      </c>
    </row>
    <row r="1219" spans="1:31" x14ac:dyDescent="0.25">
      <c r="A1219" s="38" t="s">
        <v>36</v>
      </c>
      <c r="B1219" s="38" t="s">
        <v>2544</v>
      </c>
      <c r="C1219" s="38" t="s">
        <v>2643</v>
      </c>
      <c r="D1219" s="38" t="s">
        <v>2644</v>
      </c>
      <c r="E1219" s="38" t="s">
        <v>2645</v>
      </c>
      <c r="F1219" s="38">
        <v>362</v>
      </c>
      <c r="G1219" s="38">
        <v>362</v>
      </c>
      <c r="H1219" s="38">
        <f t="shared" si="57"/>
        <v>836</v>
      </c>
      <c r="I1219" s="38">
        <v>554</v>
      </c>
      <c r="J1219" s="38">
        <v>282</v>
      </c>
      <c r="K1219" s="38">
        <v>272</v>
      </c>
      <c r="L1219" s="50">
        <f t="shared" si="58"/>
        <v>32.535885167464116</v>
      </c>
      <c r="M1219" s="38">
        <v>121</v>
      </c>
      <c r="N1219" s="50">
        <f t="shared" si="59"/>
        <v>14.473684210526317</v>
      </c>
      <c r="O1219" s="38">
        <v>0</v>
      </c>
      <c r="P1219" s="38">
        <v>0</v>
      </c>
    </row>
    <row r="1220" spans="1:31" x14ac:dyDescent="0.25">
      <c r="A1220" s="38" t="s">
        <v>36</v>
      </c>
      <c r="B1220" s="38" t="s">
        <v>2544</v>
      </c>
      <c r="C1220" s="38" t="s">
        <v>2643</v>
      </c>
      <c r="D1220" s="38" t="s">
        <v>2646</v>
      </c>
      <c r="E1220" s="38" t="s">
        <v>2647</v>
      </c>
      <c r="F1220" s="38">
        <v>979</v>
      </c>
      <c r="G1220" s="38">
        <v>979</v>
      </c>
      <c r="H1220" s="38">
        <f t="shared" si="57"/>
        <v>1260</v>
      </c>
      <c r="I1220" s="38">
        <v>820</v>
      </c>
      <c r="J1220" s="38">
        <v>440</v>
      </c>
      <c r="K1220" s="38">
        <v>380</v>
      </c>
      <c r="L1220" s="50">
        <f t="shared" si="58"/>
        <v>30.158730158730158</v>
      </c>
      <c r="M1220" s="38">
        <v>30</v>
      </c>
      <c r="N1220" s="50">
        <f t="shared" si="59"/>
        <v>2.3809523809523809</v>
      </c>
      <c r="O1220" s="38">
        <v>0</v>
      </c>
      <c r="P1220" s="38">
        <v>49</v>
      </c>
    </row>
    <row r="1221" spans="1:31" x14ac:dyDescent="0.25">
      <c r="A1221" s="38" t="s">
        <v>36</v>
      </c>
      <c r="B1221" s="38" t="s">
        <v>2544</v>
      </c>
      <c r="C1221" s="38" t="s">
        <v>2643</v>
      </c>
      <c r="D1221" s="38" t="s">
        <v>2648</v>
      </c>
      <c r="E1221" s="38" t="s">
        <v>2649</v>
      </c>
      <c r="F1221" s="38">
        <v>237</v>
      </c>
      <c r="G1221" s="38">
        <v>237</v>
      </c>
      <c r="H1221" s="38">
        <f t="shared" ref="H1221:H1284" si="60">I1221+J1221</f>
        <v>516</v>
      </c>
      <c r="I1221" s="38">
        <v>334</v>
      </c>
      <c r="J1221" s="38">
        <v>182</v>
      </c>
      <c r="K1221" s="38">
        <v>152</v>
      </c>
      <c r="L1221" s="50">
        <f t="shared" si="58"/>
        <v>29.457364341085274</v>
      </c>
      <c r="M1221" s="38">
        <v>19</v>
      </c>
      <c r="N1221" s="50">
        <f t="shared" si="59"/>
        <v>3.6821705426356592</v>
      </c>
      <c r="O1221" s="38">
        <v>10.52</v>
      </c>
      <c r="P1221" s="38">
        <v>0</v>
      </c>
    </row>
    <row r="1222" spans="1:31" x14ac:dyDescent="0.25">
      <c r="A1222" s="38" t="s">
        <v>36</v>
      </c>
      <c r="B1222" s="38" t="s">
        <v>2544</v>
      </c>
      <c r="C1222" s="38" t="s">
        <v>2643</v>
      </c>
      <c r="D1222" s="38" t="s">
        <v>2650</v>
      </c>
      <c r="E1222" s="38" t="s">
        <v>2651</v>
      </c>
      <c r="F1222" s="38">
        <v>411</v>
      </c>
      <c r="G1222" s="38">
        <v>411</v>
      </c>
      <c r="H1222" s="38">
        <f t="shared" si="60"/>
        <v>563</v>
      </c>
      <c r="I1222" s="38">
        <v>366</v>
      </c>
      <c r="J1222" s="38">
        <v>197</v>
      </c>
      <c r="K1222" s="38">
        <v>169</v>
      </c>
      <c r="L1222" s="50">
        <f t="shared" ref="L1222:L1285" si="61">K1222/H1222*100</f>
        <v>30.017761989342805</v>
      </c>
      <c r="M1222" s="38">
        <v>0</v>
      </c>
      <c r="N1222" s="50">
        <f t="shared" si="59"/>
        <v>0</v>
      </c>
      <c r="O1222" s="38">
        <v>0</v>
      </c>
      <c r="P1222" s="38">
        <v>11.04</v>
      </c>
      <c r="Q1222" s="143"/>
      <c r="R1222" s="165" t="s">
        <v>2547</v>
      </c>
      <c r="S1222" s="145"/>
      <c r="T1222" s="143">
        <v>10.9427</v>
      </c>
      <c r="U1222" s="143"/>
      <c r="V1222" s="143"/>
      <c r="W1222" s="143"/>
      <c r="X1222" s="143"/>
      <c r="Y1222" s="143"/>
      <c r="AB1222" s="146">
        <v>10</v>
      </c>
      <c r="AC1222" s="76" t="s">
        <v>2650</v>
      </c>
      <c r="AD1222" s="145">
        <v>25.112078</v>
      </c>
      <c r="AE1222" s="145">
        <v>71.572519999999997</v>
      </c>
    </row>
    <row r="1223" spans="1:31" x14ac:dyDescent="0.25">
      <c r="A1223" s="38" t="s">
        <v>36</v>
      </c>
      <c r="B1223" s="38" t="s">
        <v>2544</v>
      </c>
      <c r="C1223" s="38" t="s">
        <v>2643</v>
      </c>
      <c r="D1223" s="38" t="s">
        <v>254</v>
      </c>
      <c r="E1223" s="38" t="s">
        <v>2652</v>
      </c>
      <c r="F1223" s="38">
        <v>752.38</v>
      </c>
      <c r="G1223" s="38">
        <v>752.38</v>
      </c>
      <c r="H1223" s="38">
        <f t="shared" si="60"/>
        <v>988</v>
      </c>
      <c r="I1223" s="38">
        <v>645</v>
      </c>
      <c r="J1223" s="38">
        <v>343</v>
      </c>
      <c r="K1223" s="38">
        <v>302</v>
      </c>
      <c r="L1223" s="50">
        <f t="shared" si="61"/>
        <v>30.5668016194332</v>
      </c>
      <c r="M1223" s="38">
        <v>43</v>
      </c>
      <c r="N1223" s="50">
        <f t="shared" si="59"/>
        <v>4.3522267206477734</v>
      </c>
      <c r="O1223" s="38">
        <v>0</v>
      </c>
      <c r="P1223" s="38">
        <v>0</v>
      </c>
    </row>
    <row r="1224" spans="1:31" x14ac:dyDescent="0.25">
      <c r="A1224" s="38" t="s">
        <v>36</v>
      </c>
      <c r="B1224" s="38" t="s">
        <v>2544</v>
      </c>
      <c r="C1224" s="38" t="s">
        <v>2653</v>
      </c>
      <c r="D1224" s="38" t="s">
        <v>2654</v>
      </c>
      <c r="E1224" s="38" t="s">
        <v>2655</v>
      </c>
      <c r="F1224" s="38">
        <v>562.13</v>
      </c>
      <c r="G1224" s="38">
        <v>562.13</v>
      </c>
      <c r="H1224" s="38">
        <f t="shared" si="60"/>
        <v>996</v>
      </c>
      <c r="I1224" s="38">
        <v>655</v>
      </c>
      <c r="J1224" s="38">
        <v>341</v>
      </c>
      <c r="K1224" s="38">
        <v>314</v>
      </c>
      <c r="L1224" s="50">
        <f t="shared" si="61"/>
        <v>31.52610441767068</v>
      </c>
      <c r="M1224" s="38">
        <v>66</v>
      </c>
      <c r="N1224" s="50">
        <f t="shared" si="59"/>
        <v>6.6265060240963862</v>
      </c>
      <c r="O1224" s="38">
        <v>0</v>
      </c>
      <c r="P1224" s="38">
        <v>13.04</v>
      </c>
    </row>
    <row r="1225" spans="1:31" x14ac:dyDescent="0.25">
      <c r="A1225" s="38" t="s">
        <v>36</v>
      </c>
      <c r="B1225" s="38" t="s">
        <v>2544</v>
      </c>
      <c r="C1225" s="38" t="s">
        <v>2653</v>
      </c>
      <c r="D1225" s="38" t="s">
        <v>2656</v>
      </c>
      <c r="E1225" s="38" t="s">
        <v>2657</v>
      </c>
      <c r="F1225" s="38">
        <v>578.98</v>
      </c>
      <c r="G1225" s="38">
        <v>578.98</v>
      </c>
      <c r="H1225" s="38">
        <f t="shared" si="60"/>
        <v>771</v>
      </c>
      <c r="I1225" s="38">
        <v>504</v>
      </c>
      <c r="J1225" s="38">
        <v>267</v>
      </c>
      <c r="K1225" s="38">
        <v>237</v>
      </c>
      <c r="L1225" s="50">
        <f t="shared" si="61"/>
        <v>30.739299610894943</v>
      </c>
      <c r="M1225" s="38">
        <v>9</v>
      </c>
      <c r="N1225" s="50">
        <f t="shared" si="59"/>
        <v>1.1673151750972763</v>
      </c>
      <c r="O1225" s="38">
        <v>0</v>
      </c>
      <c r="P1225" s="38">
        <v>18.04</v>
      </c>
      <c r="Q1225" s="158" t="s">
        <v>44</v>
      </c>
      <c r="R1225" s="14">
        <v>45710</v>
      </c>
      <c r="S1225" s="160"/>
      <c r="T1225" s="158">
        <v>17.62</v>
      </c>
      <c r="U1225" s="158"/>
      <c r="V1225" s="158"/>
      <c r="W1225" s="158"/>
      <c r="X1225" s="158"/>
      <c r="Y1225" s="158"/>
      <c r="AB1225" s="16">
        <v>16</v>
      </c>
      <c r="AC1225" s="33" t="s">
        <v>2656</v>
      </c>
      <c r="AD1225" s="161">
        <v>25.116620000000001</v>
      </c>
      <c r="AE1225" s="160">
        <v>71.516931999999997</v>
      </c>
    </row>
    <row r="1226" spans="1:31" x14ac:dyDescent="0.25">
      <c r="A1226" s="38" t="s">
        <v>36</v>
      </c>
      <c r="B1226" s="38" t="s">
        <v>2544</v>
      </c>
      <c r="C1226" s="38" t="s">
        <v>2653</v>
      </c>
      <c r="D1226" s="38" t="s">
        <v>2658</v>
      </c>
      <c r="E1226" s="38" t="s">
        <v>2659</v>
      </c>
      <c r="F1226" s="38">
        <v>501.29</v>
      </c>
      <c r="G1226" s="38">
        <v>501.29</v>
      </c>
      <c r="H1226" s="38">
        <f t="shared" si="60"/>
        <v>906</v>
      </c>
      <c r="I1226" s="38">
        <v>603</v>
      </c>
      <c r="J1226" s="38">
        <v>303</v>
      </c>
      <c r="K1226" s="38">
        <v>300</v>
      </c>
      <c r="L1226" s="50">
        <f t="shared" si="61"/>
        <v>33.112582781456958</v>
      </c>
      <c r="M1226" s="38">
        <v>15</v>
      </c>
      <c r="N1226" s="50">
        <f t="shared" si="59"/>
        <v>1.6556291390728477</v>
      </c>
      <c r="O1226" s="38">
        <v>0</v>
      </c>
      <c r="P1226" s="38">
        <v>2.02</v>
      </c>
    </row>
    <row r="1227" spans="1:31" x14ac:dyDescent="0.25">
      <c r="A1227" s="38" t="s">
        <v>36</v>
      </c>
      <c r="B1227" s="38" t="s">
        <v>2544</v>
      </c>
      <c r="C1227" s="38" t="s">
        <v>2653</v>
      </c>
      <c r="D1227" s="38" t="s">
        <v>2660</v>
      </c>
      <c r="E1227" s="38" t="s">
        <v>2661</v>
      </c>
      <c r="F1227" s="38">
        <v>674.31</v>
      </c>
      <c r="G1227" s="38">
        <v>674.31</v>
      </c>
      <c r="H1227" s="38">
        <f t="shared" si="60"/>
        <v>957</v>
      </c>
      <c r="I1227" s="38">
        <v>632</v>
      </c>
      <c r="J1227" s="38">
        <v>325</v>
      </c>
      <c r="K1227" s="38">
        <v>307</v>
      </c>
      <c r="L1227" s="50">
        <f t="shared" si="61"/>
        <v>32.079414838035532</v>
      </c>
      <c r="M1227" s="38">
        <v>0</v>
      </c>
      <c r="N1227" s="50">
        <f t="shared" si="59"/>
        <v>0</v>
      </c>
      <c r="O1227" s="38">
        <v>0</v>
      </c>
      <c r="P1227" s="38">
        <v>60.09</v>
      </c>
      <c r="Q1227" s="158" t="s">
        <v>44</v>
      </c>
      <c r="R1227" s="14">
        <v>45710</v>
      </c>
      <c r="S1227" s="160"/>
      <c r="T1227" s="158">
        <v>59.933900000000001</v>
      </c>
      <c r="U1227" s="158"/>
      <c r="V1227" s="158"/>
      <c r="W1227" s="158"/>
      <c r="X1227" s="158"/>
      <c r="Y1227" s="158"/>
      <c r="AB1227" s="16">
        <v>30</v>
      </c>
      <c r="AC1227" s="33" t="s">
        <v>2660</v>
      </c>
      <c r="AD1227" s="161">
        <v>25.11646</v>
      </c>
      <c r="AE1227" s="160">
        <v>71.523024000000007</v>
      </c>
    </row>
    <row r="1228" spans="1:31" x14ac:dyDescent="0.25">
      <c r="A1228" s="38" t="s">
        <v>36</v>
      </c>
      <c r="B1228" s="38" t="s">
        <v>2544</v>
      </c>
      <c r="C1228" s="38" t="s">
        <v>2662</v>
      </c>
      <c r="D1228" s="38" t="s">
        <v>2662</v>
      </c>
      <c r="E1228" s="38" t="s">
        <v>2663</v>
      </c>
      <c r="F1228" s="38">
        <v>563</v>
      </c>
      <c r="G1228" s="38">
        <v>563</v>
      </c>
      <c r="H1228" s="38">
        <f t="shared" si="60"/>
        <v>1161</v>
      </c>
      <c r="I1228" s="38">
        <v>774</v>
      </c>
      <c r="J1228" s="38">
        <v>387</v>
      </c>
      <c r="K1228" s="38">
        <v>387</v>
      </c>
      <c r="L1228" s="50">
        <f t="shared" si="61"/>
        <v>33.333333333333329</v>
      </c>
      <c r="M1228" s="38">
        <v>20</v>
      </c>
      <c r="N1228" s="50">
        <f t="shared" si="59"/>
        <v>1.7226528854435832</v>
      </c>
      <c r="O1228" s="38">
        <v>0</v>
      </c>
      <c r="P1228" s="38">
        <v>0</v>
      </c>
      <c r="Q1228" s="158" t="s">
        <v>44</v>
      </c>
      <c r="R1228" s="163" t="s">
        <v>2569</v>
      </c>
      <c r="S1228" s="160"/>
      <c r="T1228" s="158">
        <v>0</v>
      </c>
      <c r="U1228" s="158"/>
      <c r="V1228" s="158"/>
      <c r="W1228" s="158"/>
      <c r="X1228" s="158"/>
      <c r="Y1228" s="158"/>
      <c r="AB1228" s="16"/>
      <c r="AC1228" s="69" t="s">
        <v>2662</v>
      </c>
      <c r="AD1228" s="161"/>
      <c r="AE1228" s="160"/>
    </row>
    <row r="1229" spans="1:31" x14ac:dyDescent="0.25">
      <c r="A1229" s="38" t="s">
        <v>36</v>
      </c>
      <c r="B1229" s="38" t="s">
        <v>2544</v>
      </c>
      <c r="C1229" s="38" t="s">
        <v>2662</v>
      </c>
      <c r="D1229" s="38" t="s">
        <v>2664</v>
      </c>
      <c r="E1229" s="38" t="s">
        <v>2665</v>
      </c>
      <c r="F1229" s="38">
        <v>1064</v>
      </c>
      <c r="G1229" s="38">
        <v>1064</v>
      </c>
      <c r="H1229" s="38">
        <f t="shared" si="60"/>
        <v>652</v>
      </c>
      <c r="I1229" s="38">
        <v>439</v>
      </c>
      <c r="J1229" s="38">
        <v>213</v>
      </c>
      <c r="K1229" s="38">
        <v>226</v>
      </c>
      <c r="L1229" s="50">
        <f t="shared" si="61"/>
        <v>34.662576687116562</v>
      </c>
      <c r="M1229" s="38">
        <v>0</v>
      </c>
      <c r="N1229" s="50">
        <f t="shared" si="59"/>
        <v>0</v>
      </c>
      <c r="O1229" s="38">
        <v>337</v>
      </c>
      <c r="P1229" s="38">
        <v>28</v>
      </c>
      <c r="Q1229" s="158" t="s">
        <v>44</v>
      </c>
      <c r="R1229" s="163" t="s">
        <v>2569</v>
      </c>
      <c r="S1229" s="160"/>
      <c r="T1229" s="158">
        <v>0</v>
      </c>
      <c r="U1229" s="158"/>
      <c r="V1229" s="158"/>
      <c r="W1229" s="158"/>
      <c r="X1229" s="158"/>
      <c r="Y1229" s="158"/>
      <c r="AB1229" s="16">
        <v>16</v>
      </c>
      <c r="AC1229" s="69" t="s">
        <v>2664</v>
      </c>
      <c r="AD1229" s="161">
        <v>25.009181000000002</v>
      </c>
      <c r="AE1229" s="160">
        <v>71.559996999999996</v>
      </c>
    </row>
    <row r="1230" spans="1:31" x14ac:dyDescent="0.25">
      <c r="A1230" s="38" t="s">
        <v>36</v>
      </c>
      <c r="B1230" s="38" t="s">
        <v>2544</v>
      </c>
      <c r="C1230" s="38" t="s">
        <v>2662</v>
      </c>
      <c r="D1230" s="38" t="s">
        <v>2666</v>
      </c>
      <c r="E1230" s="38" t="s">
        <v>2667</v>
      </c>
      <c r="F1230" s="38">
        <v>583</v>
      </c>
      <c r="G1230" s="38">
        <v>583</v>
      </c>
      <c r="H1230" s="38">
        <f t="shared" si="60"/>
        <v>1256</v>
      </c>
      <c r="I1230" s="38">
        <v>806</v>
      </c>
      <c r="J1230" s="38">
        <v>450</v>
      </c>
      <c r="K1230" s="38">
        <v>356</v>
      </c>
      <c r="L1230" s="50">
        <f t="shared" si="61"/>
        <v>28.343949044585987</v>
      </c>
      <c r="M1230" s="38">
        <v>0</v>
      </c>
      <c r="N1230" s="50">
        <f t="shared" si="59"/>
        <v>0</v>
      </c>
      <c r="O1230" s="38">
        <v>0</v>
      </c>
      <c r="P1230" s="38">
        <v>24</v>
      </c>
      <c r="Q1230" s="158" t="s">
        <v>44</v>
      </c>
      <c r="R1230" s="163" t="s">
        <v>2569</v>
      </c>
      <c r="S1230" s="160"/>
      <c r="T1230" s="158">
        <v>0</v>
      </c>
      <c r="U1230" s="158"/>
      <c r="V1230" s="158"/>
      <c r="W1230" s="158"/>
      <c r="X1230" s="158"/>
      <c r="Y1230" s="158"/>
      <c r="AB1230" s="16">
        <v>16</v>
      </c>
      <c r="AC1230" s="69" t="s">
        <v>2666</v>
      </c>
      <c r="AD1230" s="161">
        <v>25.030481999999999</v>
      </c>
      <c r="AE1230" s="160">
        <v>71.554986999999997</v>
      </c>
    </row>
    <row r="1231" spans="1:31" x14ac:dyDescent="0.25">
      <c r="A1231" s="38" t="s">
        <v>36</v>
      </c>
      <c r="B1231" s="38" t="s">
        <v>2544</v>
      </c>
      <c r="C1231" s="38" t="s">
        <v>2662</v>
      </c>
      <c r="D1231" s="38" t="s">
        <v>1966</v>
      </c>
      <c r="E1231" s="38" t="s">
        <v>2668</v>
      </c>
      <c r="F1231" s="38">
        <v>332</v>
      </c>
      <c r="G1231" s="38">
        <v>332</v>
      </c>
      <c r="H1231" s="38">
        <f t="shared" si="60"/>
        <v>569</v>
      </c>
      <c r="I1231" s="38">
        <v>377</v>
      </c>
      <c r="J1231" s="38">
        <v>192</v>
      </c>
      <c r="K1231" s="38">
        <v>185</v>
      </c>
      <c r="L1231" s="50">
        <f t="shared" si="61"/>
        <v>32.513181019332158</v>
      </c>
      <c r="M1231" s="38">
        <v>0</v>
      </c>
      <c r="N1231" s="50">
        <f t="shared" si="59"/>
        <v>0</v>
      </c>
      <c r="O1231" s="38">
        <v>0</v>
      </c>
      <c r="P1231" s="38">
        <v>0</v>
      </c>
      <c r="Q1231" s="158" t="s">
        <v>44</v>
      </c>
      <c r="R1231" s="163" t="s">
        <v>2569</v>
      </c>
      <c r="S1231" s="160"/>
      <c r="T1231" s="158">
        <v>0</v>
      </c>
      <c r="U1231" s="158"/>
      <c r="V1231" s="158"/>
      <c r="W1231" s="158"/>
      <c r="X1231" s="158"/>
      <c r="Y1231" s="158"/>
      <c r="AB1231" s="16"/>
      <c r="AC1231" s="69" t="s">
        <v>2669</v>
      </c>
      <c r="AD1231" s="161"/>
      <c r="AE1231" s="160"/>
    </row>
    <row r="1232" spans="1:31" x14ac:dyDescent="0.25">
      <c r="A1232" s="38" t="s">
        <v>36</v>
      </c>
      <c r="B1232" s="38" t="s">
        <v>2544</v>
      </c>
      <c r="C1232" s="38" t="s">
        <v>2662</v>
      </c>
      <c r="D1232" s="38" t="s">
        <v>2670</v>
      </c>
      <c r="E1232" s="38" t="s">
        <v>2671</v>
      </c>
      <c r="F1232" s="38">
        <v>289</v>
      </c>
      <c r="G1232" s="38">
        <v>289</v>
      </c>
      <c r="H1232" s="38">
        <f t="shared" si="60"/>
        <v>630</v>
      </c>
      <c r="I1232" s="38">
        <v>413</v>
      </c>
      <c r="J1232" s="38">
        <v>217</v>
      </c>
      <c r="K1232" s="38">
        <v>196</v>
      </c>
      <c r="L1232" s="50">
        <f t="shared" si="61"/>
        <v>31.111111111111111</v>
      </c>
      <c r="M1232" s="38">
        <v>15</v>
      </c>
      <c r="N1232" s="50">
        <f t="shared" si="59"/>
        <v>2.3809523809523809</v>
      </c>
      <c r="O1232" s="38">
        <v>0</v>
      </c>
      <c r="P1232" s="38">
        <v>0</v>
      </c>
      <c r="Q1232" s="158" t="s">
        <v>44</v>
      </c>
      <c r="R1232" s="163" t="s">
        <v>2569</v>
      </c>
      <c r="S1232" s="160"/>
      <c r="T1232" s="158">
        <v>0.01</v>
      </c>
      <c r="U1232" s="158"/>
      <c r="V1232" s="158"/>
      <c r="W1232" s="158"/>
      <c r="X1232" s="158"/>
      <c r="Y1232" s="158"/>
      <c r="AB1232" s="16"/>
      <c r="AC1232" s="69" t="s">
        <v>2670</v>
      </c>
      <c r="AD1232" s="161"/>
      <c r="AE1232" s="160"/>
    </row>
    <row r="1233" spans="1:31" x14ac:dyDescent="0.25">
      <c r="A1233" s="38" t="s">
        <v>36</v>
      </c>
      <c r="B1233" s="38" t="s">
        <v>2544</v>
      </c>
      <c r="C1233" s="38" t="s">
        <v>2662</v>
      </c>
      <c r="D1233" s="38" t="s">
        <v>2672</v>
      </c>
      <c r="E1233" s="38" t="s">
        <v>2673</v>
      </c>
      <c r="F1233" s="38">
        <v>213</v>
      </c>
      <c r="G1233" s="38">
        <v>213</v>
      </c>
      <c r="H1233" s="38">
        <f t="shared" si="60"/>
        <v>435</v>
      </c>
      <c r="I1233" s="38">
        <v>278</v>
      </c>
      <c r="J1233" s="38">
        <v>157</v>
      </c>
      <c r="K1233" s="38">
        <v>121</v>
      </c>
      <c r="L1233" s="50">
        <f t="shared" si="61"/>
        <v>27.816091954022987</v>
      </c>
      <c r="M1233" s="38">
        <v>21</v>
      </c>
      <c r="N1233" s="50">
        <f t="shared" si="59"/>
        <v>4.8275862068965516</v>
      </c>
      <c r="O1233" s="38">
        <v>0</v>
      </c>
      <c r="P1233" s="38">
        <v>0</v>
      </c>
      <c r="Q1233" s="158" t="s">
        <v>44</v>
      </c>
      <c r="R1233" s="163" t="s">
        <v>2569</v>
      </c>
      <c r="S1233" s="160"/>
      <c r="T1233" s="158">
        <v>0</v>
      </c>
      <c r="U1233" s="158"/>
      <c r="V1233" s="158"/>
      <c r="W1233" s="158"/>
      <c r="X1233" s="158"/>
      <c r="Y1233" s="158"/>
      <c r="AB1233" s="16"/>
      <c r="AC1233" s="69" t="s">
        <v>2672</v>
      </c>
      <c r="AD1233" s="161"/>
      <c r="AE1233" s="160"/>
    </row>
    <row r="1234" spans="1:31" x14ac:dyDescent="0.25">
      <c r="A1234" s="38" t="s">
        <v>36</v>
      </c>
      <c r="B1234" s="38" t="s">
        <v>2544</v>
      </c>
      <c r="C1234" s="38" t="s">
        <v>2662</v>
      </c>
      <c r="D1234" s="38" t="s">
        <v>2674</v>
      </c>
      <c r="E1234" s="38" t="s">
        <v>2675</v>
      </c>
      <c r="F1234" s="38">
        <v>360.12</v>
      </c>
      <c r="G1234" s="38">
        <v>360.12</v>
      </c>
      <c r="H1234" s="38">
        <f t="shared" si="60"/>
        <v>610</v>
      </c>
      <c r="I1234" s="38">
        <v>393</v>
      </c>
      <c r="J1234" s="38">
        <v>217</v>
      </c>
      <c r="K1234" s="38">
        <v>176</v>
      </c>
      <c r="L1234" s="50">
        <f t="shared" si="61"/>
        <v>28.852459016393446</v>
      </c>
      <c r="M1234" s="38">
        <v>0</v>
      </c>
      <c r="N1234" s="50">
        <f t="shared" si="59"/>
        <v>0</v>
      </c>
      <c r="O1234" s="38">
        <v>0</v>
      </c>
      <c r="P1234" s="38">
        <v>0</v>
      </c>
      <c r="Q1234" s="158" t="s">
        <v>44</v>
      </c>
      <c r="R1234" s="163" t="s">
        <v>2569</v>
      </c>
      <c r="S1234" s="160"/>
      <c r="T1234" s="158">
        <v>0</v>
      </c>
      <c r="U1234" s="158"/>
      <c r="V1234" s="158"/>
      <c r="W1234" s="158"/>
      <c r="X1234" s="158"/>
      <c r="Y1234" s="158"/>
      <c r="AB1234" s="16"/>
      <c r="AC1234" s="69" t="s">
        <v>2674</v>
      </c>
      <c r="AD1234" s="161"/>
      <c r="AE1234" s="160"/>
    </row>
    <row r="1235" spans="1:31" x14ac:dyDescent="0.25">
      <c r="A1235" s="38" t="s">
        <v>36</v>
      </c>
      <c r="B1235" s="38" t="s">
        <v>2544</v>
      </c>
      <c r="C1235" s="38" t="s">
        <v>2544</v>
      </c>
      <c r="D1235" s="38" t="s">
        <v>2676</v>
      </c>
      <c r="E1235" s="38"/>
      <c r="F1235" s="38"/>
      <c r="G1235" s="38"/>
      <c r="H1235" s="38">
        <f t="shared" si="60"/>
        <v>0</v>
      </c>
      <c r="I1235" s="38"/>
      <c r="J1235" s="38"/>
      <c r="K1235" s="38"/>
      <c r="L1235" s="50"/>
      <c r="M1235" s="38"/>
      <c r="N1235" s="50"/>
      <c r="O1235" s="38"/>
      <c r="P1235" s="38"/>
      <c r="Q1235" s="158"/>
      <c r="R1235" s="15">
        <v>2012.2023999999999</v>
      </c>
      <c r="S1235" s="160"/>
      <c r="T1235" s="158"/>
      <c r="U1235" s="158"/>
      <c r="V1235" s="158"/>
      <c r="W1235" s="158"/>
      <c r="X1235" s="158"/>
      <c r="Y1235" s="158"/>
      <c r="AB1235" s="16">
        <v>34</v>
      </c>
      <c r="AC1235" s="15" t="s">
        <v>2677</v>
      </c>
      <c r="AD1235" s="161">
        <v>25.185887000000001</v>
      </c>
      <c r="AE1235" s="160" t="s">
        <v>2678</v>
      </c>
    </row>
    <row r="1236" spans="1:31" x14ac:dyDescent="0.25">
      <c r="A1236" s="38" t="s">
        <v>36</v>
      </c>
      <c r="B1236" s="38" t="s">
        <v>2544</v>
      </c>
      <c r="C1236" s="38" t="s">
        <v>2544</v>
      </c>
      <c r="D1236" s="38" t="s">
        <v>2676</v>
      </c>
      <c r="E1236" s="38" t="s">
        <v>2679</v>
      </c>
      <c r="F1236" s="38">
        <v>0</v>
      </c>
      <c r="G1236" s="38">
        <v>0</v>
      </c>
      <c r="H1236" s="38">
        <f t="shared" si="60"/>
        <v>0</v>
      </c>
      <c r="I1236" s="38">
        <v>0</v>
      </c>
      <c r="J1236" s="38">
        <v>0</v>
      </c>
      <c r="K1236" s="38">
        <v>0</v>
      </c>
      <c r="L1236" s="50"/>
      <c r="M1236" s="38">
        <v>0</v>
      </c>
      <c r="N1236" s="50"/>
      <c r="O1236" s="38">
        <v>0</v>
      </c>
      <c r="P1236" s="38">
        <v>0</v>
      </c>
      <c r="Q1236" s="158" t="s">
        <v>44</v>
      </c>
      <c r="R1236" s="15">
        <v>2012.2023999999999</v>
      </c>
      <c r="S1236" s="160"/>
      <c r="T1236" s="158">
        <v>18.670000000000002</v>
      </c>
      <c r="U1236" s="158"/>
      <c r="V1236" s="158"/>
      <c r="W1236" s="158"/>
      <c r="X1236" s="158"/>
      <c r="Y1236" s="158"/>
      <c r="AB1236" s="16">
        <v>18</v>
      </c>
      <c r="AC1236" s="33" t="s">
        <v>2676</v>
      </c>
      <c r="AD1236" s="161">
        <v>25.199784000000001</v>
      </c>
      <c r="AE1236" s="160">
        <v>71.431494000000001</v>
      </c>
    </row>
    <row r="1237" spans="1:31" x14ac:dyDescent="0.25">
      <c r="A1237" s="38" t="s">
        <v>36</v>
      </c>
      <c r="B1237" s="38" t="s">
        <v>2544</v>
      </c>
      <c r="C1237" s="38" t="s">
        <v>2680</v>
      </c>
      <c r="D1237" s="38" t="s">
        <v>2681</v>
      </c>
      <c r="E1237" s="38" t="s">
        <v>2682</v>
      </c>
      <c r="F1237" s="38">
        <v>313</v>
      </c>
      <c r="G1237" s="38">
        <v>313</v>
      </c>
      <c r="H1237" s="38">
        <f t="shared" si="60"/>
        <v>520</v>
      </c>
      <c r="I1237" s="38">
        <v>338</v>
      </c>
      <c r="J1237" s="38">
        <v>182</v>
      </c>
      <c r="K1237" s="38">
        <v>156</v>
      </c>
      <c r="L1237" s="50">
        <f t="shared" si="61"/>
        <v>30</v>
      </c>
      <c r="M1237" s="38">
        <v>0</v>
      </c>
      <c r="N1237" s="50">
        <f t="shared" si="59"/>
        <v>0</v>
      </c>
      <c r="O1237" s="38">
        <v>0</v>
      </c>
      <c r="P1237" s="38">
        <v>0</v>
      </c>
      <c r="Q1237" s="39" t="s">
        <v>44</v>
      </c>
      <c r="R1237" s="11" t="s">
        <v>2569</v>
      </c>
      <c r="S1237" s="40"/>
      <c r="T1237" s="39">
        <v>4.8599999999999997E-2</v>
      </c>
      <c r="U1237" s="39"/>
      <c r="V1237" s="39"/>
      <c r="W1237" s="39"/>
      <c r="X1237" s="39"/>
      <c r="Y1237" s="39"/>
      <c r="AB1237" s="2"/>
      <c r="AC1237" s="38" t="s">
        <v>2681</v>
      </c>
      <c r="AD1237" s="2"/>
      <c r="AE1237" s="40"/>
    </row>
    <row r="1238" spans="1:31" x14ac:dyDescent="0.25">
      <c r="A1238" s="38" t="s">
        <v>36</v>
      </c>
      <c r="B1238" s="38" t="s">
        <v>2544</v>
      </c>
      <c r="C1238" s="38" t="s">
        <v>2680</v>
      </c>
      <c r="D1238" s="38" t="s">
        <v>2683</v>
      </c>
      <c r="E1238" s="38" t="s">
        <v>2684</v>
      </c>
      <c r="F1238" s="38">
        <v>496</v>
      </c>
      <c r="G1238" s="38">
        <v>496</v>
      </c>
      <c r="H1238" s="38">
        <f t="shared" si="60"/>
        <v>1319</v>
      </c>
      <c r="I1238" s="38">
        <v>881</v>
      </c>
      <c r="J1238" s="38">
        <v>438</v>
      </c>
      <c r="K1238" s="38">
        <v>443</v>
      </c>
      <c r="L1238" s="50">
        <f t="shared" si="61"/>
        <v>33.586050037907505</v>
      </c>
      <c r="M1238" s="38">
        <v>13</v>
      </c>
      <c r="N1238" s="50">
        <f t="shared" si="59"/>
        <v>0.98559514783927216</v>
      </c>
      <c r="O1238" s="38">
        <v>0</v>
      </c>
      <c r="P1238" s="38">
        <v>0</v>
      </c>
      <c r="Q1238" s="39" t="s">
        <v>44</v>
      </c>
      <c r="R1238" s="11" t="s">
        <v>2569</v>
      </c>
      <c r="S1238" s="40"/>
      <c r="T1238" s="39">
        <v>0.53420000000000001</v>
      </c>
      <c r="U1238" s="39"/>
      <c r="V1238" s="39"/>
      <c r="W1238" s="39"/>
      <c r="X1238" s="39"/>
      <c r="Y1238" s="39"/>
      <c r="AB1238" s="2"/>
      <c r="AC1238" s="38" t="s">
        <v>2683</v>
      </c>
      <c r="AD1238" s="2"/>
      <c r="AE1238" s="40"/>
    </row>
    <row r="1239" spans="1:31" x14ac:dyDescent="0.25">
      <c r="A1239" s="38" t="s">
        <v>36</v>
      </c>
      <c r="B1239" s="38" t="s">
        <v>2544</v>
      </c>
      <c r="C1239" s="38" t="s">
        <v>2680</v>
      </c>
      <c r="D1239" s="38" t="s">
        <v>2685</v>
      </c>
      <c r="E1239" s="38" t="s">
        <v>2686</v>
      </c>
      <c r="F1239" s="38">
        <v>347</v>
      </c>
      <c r="G1239" s="38">
        <v>347</v>
      </c>
      <c r="H1239" s="38">
        <f t="shared" si="60"/>
        <v>593</v>
      </c>
      <c r="I1239" s="38">
        <v>392</v>
      </c>
      <c r="J1239" s="38">
        <v>201</v>
      </c>
      <c r="K1239" s="38">
        <v>191</v>
      </c>
      <c r="L1239" s="50">
        <f t="shared" si="61"/>
        <v>32.209106239460375</v>
      </c>
      <c r="M1239" s="38">
        <v>5</v>
      </c>
      <c r="N1239" s="50">
        <f t="shared" si="59"/>
        <v>0.84317032040472173</v>
      </c>
      <c r="O1239" s="38">
        <v>0</v>
      </c>
      <c r="P1239" s="38">
        <v>0</v>
      </c>
      <c r="Q1239" s="39" t="s">
        <v>44</v>
      </c>
      <c r="R1239" s="11" t="s">
        <v>2569</v>
      </c>
      <c r="S1239" s="40"/>
      <c r="T1239" s="39">
        <v>0.38040000000000002</v>
      </c>
      <c r="U1239" s="39"/>
      <c r="V1239" s="39"/>
      <c r="W1239" s="39"/>
      <c r="X1239" s="39"/>
      <c r="Y1239" s="39"/>
      <c r="AB1239" s="2"/>
      <c r="AC1239" s="38" t="s">
        <v>2685</v>
      </c>
      <c r="AD1239" s="2"/>
      <c r="AE1239" s="40"/>
    </row>
    <row r="1240" spans="1:31" x14ac:dyDescent="0.25">
      <c r="A1240" s="38" t="s">
        <v>36</v>
      </c>
      <c r="B1240" s="38" t="s">
        <v>2544</v>
      </c>
      <c r="C1240" s="38" t="s">
        <v>2680</v>
      </c>
      <c r="D1240" s="38" t="s">
        <v>2687</v>
      </c>
      <c r="E1240" s="38" t="s">
        <v>2688</v>
      </c>
      <c r="F1240" s="38">
        <v>176</v>
      </c>
      <c r="G1240" s="38">
        <v>176</v>
      </c>
      <c r="H1240" s="38">
        <f t="shared" si="60"/>
        <v>570</v>
      </c>
      <c r="I1240" s="38">
        <v>371</v>
      </c>
      <c r="J1240" s="38">
        <v>199</v>
      </c>
      <c r="K1240" s="38">
        <v>172</v>
      </c>
      <c r="L1240" s="50">
        <f t="shared" si="61"/>
        <v>30.175438596491226</v>
      </c>
      <c r="M1240" s="38">
        <v>0</v>
      </c>
      <c r="N1240" s="50">
        <f t="shared" si="59"/>
        <v>0</v>
      </c>
      <c r="O1240" s="38">
        <v>0</v>
      </c>
      <c r="P1240" s="38">
        <v>20</v>
      </c>
      <c r="Q1240" s="72" t="s">
        <v>43</v>
      </c>
      <c r="R1240" s="167">
        <v>44607</v>
      </c>
      <c r="S1240" s="72"/>
      <c r="T1240" s="72">
        <v>20</v>
      </c>
      <c r="U1240" s="72"/>
      <c r="V1240" s="72"/>
      <c r="W1240" s="72"/>
      <c r="X1240" s="72"/>
      <c r="Y1240" s="72"/>
      <c r="AB1240" s="168"/>
      <c r="AC1240" s="72" t="s">
        <v>2689</v>
      </c>
      <c r="AD1240" s="72">
        <v>25.252191</v>
      </c>
      <c r="AE1240" s="72">
        <v>71.384461999999999</v>
      </c>
    </row>
    <row r="1241" spans="1:31" x14ac:dyDescent="0.25">
      <c r="A1241" s="38" t="s">
        <v>36</v>
      </c>
      <c r="B1241" s="38" t="s">
        <v>2544</v>
      </c>
      <c r="C1241" s="38" t="s">
        <v>2680</v>
      </c>
      <c r="D1241" s="38" t="s">
        <v>2690</v>
      </c>
      <c r="E1241" s="38" t="s">
        <v>2691</v>
      </c>
      <c r="F1241" s="38">
        <v>130</v>
      </c>
      <c r="G1241" s="38">
        <v>130</v>
      </c>
      <c r="H1241" s="38">
        <f t="shared" si="60"/>
        <v>374</v>
      </c>
      <c r="I1241" s="38">
        <v>253</v>
      </c>
      <c r="J1241" s="38">
        <v>121</v>
      </c>
      <c r="K1241" s="38">
        <v>132</v>
      </c>
      <c r="L1241" s="50">
        <f t="shared" si="61"/>
        <v>35.294117647058826</v>
      </c>
      <c r="M1241" s="38">
        <v>0</v>
      </c>
      <c r="N1241" s="50">
        <f t="shared" si="59"/>
        <v>0</v>
      </c>
      <c r="O1241" s="38">
        <v>0</v>
      </c>
      <c r="P1241" s="38">
        <v>7</v>
      </c>
      <c r="Q1241" s="39" t="s">
        <v>44</v>
      </c>
      <c r="R1241" s="11" t="s">
        <v>2569</v>
      </c>
      <c r="S1241" s="40"/>
      <c r="T1241" s="39">
        <v>0.52610000000000001</v>
      </c>
      <c r="U1241" s="39"/>
      <c r="V1241" s="39"/>
      <c r="W1241" s="39"/>
      <c r="X1241" s="39"/>
      <c r="Y1241" s="39"/>
      <c r="AB1241" s="3"/>
      <c r="AC1241" s="38" t="s">
        <v>2692</v>
      </c>
      <c r="AD1241" s="2"/>
      <c r="AE1241" s="40"/>
    </row>
    <row r="1242" spans="1:31" x14ac:dyDescent="0.25">
      <c r="A1242" s="38" t="s">
        <v>36</v>
      </c>
      <c r="B1242" s="38" t="s">
        <v>2544</v>
      </c>
      <c r="C1242" s="38" t="s">
        <v>2680</v>
      </c>
      <c r="D1242" s="38" t="s">
        <v>2693</v>
      </c>
      <c r="E1242" s="38" t="s">
        <v>2694</v>
      </c>
      <c r="F1242" s="38">
        <v>290</v>
      </c>
      <c r="G1242" s="38">
        <v>290</v>
      </c>
      <c r="H1242" s="38">
        <f t="shared" si="60"/>
        <v>774</v>
      </c>
      <c r="I1242" s="38">
        <v>505</v>
      </c>
      <c r="J1242" s="38">
        <v>269</v>
      </c>
      <c r="K1242" s="38">
        <v>236</v>
      </c>
      <c r="L1242" s="50">
        <f t="shared" si="61"/>
        <v>30.490956072351423</v>
      </c>
      <c r="M1242" s="38">
        <v>29</v>
      </c>
      <c r="N1242" s="50">
        <f t="shared" si="59"/>
        <v>3.7467700258397936</v>
      </c>
      <c r="O1242" s="38">
        <v>0</v>
      </c>
      <c r="P1242" s="38">
        <v>0</v>
      </c>
      <c r="Q1242" s="35" t="s">
        <v>43</v>
      </c>
      <c r="R1242" s="100">
        <v>44607</v>
      </c>
      <c r="S1242" s="35"/>
      <c r="T1242" s="35">
        <v>4</v>
      </c>
      <c r="U1242" s="35"/>
      <c r="V1242" s="35"/>
      <c r="W1242" s="35"/>
      <c r="X1242" s="35"/>
      <c r="Y1242" s="35"/>
      <c r="AB1242" s="87"/>
      <c r="AC1242" s="35" t="s">
        <v>2695</v>
      </c>
      <c r="AD1242" s="35">
        <v>25.217231999999999</v>
      </c>
      <c r="AE1242" s="35">
        <v>71.217231999999996</v>
      </c>
    </row>
    <row r="1243" spans="1:31" x14ac:dyDescent="0.25">
      <c r="A1243" s="38" t="s">
        <v>36</v>
      </c>
      <c r="B1243" s="38" t="s">
        <v>2544</v>
      </c>
      <c r="C1243" s="38" t="s">
        <v>2680</v>
      </c>
      <c r="D1243" s="38" t="s">
        <v>2692</v>
      </c>
      <c r="E1243" s="38" t="s">
        <v>2696</v>
      </c>
      <c r="F1243" s="38">
        <v>288</v>
      </c>
      <c r="G1243" s="38">
        <v>288</v>
      </c>
      <c r="H1243" s="38">
        <f t="shared" si="60"/>
        <v>511</v>
      </c>
      <c r="I1243" s="38">
        <v>329</v>
      </c>
      <c r="J1243" s="38">
        <v>182</v>
      </c>
      <c r="K1243" s="38">
        <v>147</v>
      </c>
      <c r="L1243" s="50">
        <f t="shared" si="61"/>
        <v>28.767123287671232</v>
      </c>
      <c r="M1243" s="38">
        <v>21</v>
      </c>
      <c r="N1243" s="50">
        <f t="shared" si="59"/>
        <v>4.10958904109589</v>
      </c>
      <c r="O1243" s="38">
        <v>0</v>
      </c>
      <c r="P1243" s="38">
        <v>6</v>
      </c>
    </row>
    <row r="1244" spans="1:31" x14ac:dyDescent="0.25">
      <c r="A1244" s="38" t="s">
        <v>36</v>
      </c>
      <c r="B1244" s="38" t="s">
        <v>2680</v>
      </c>
      <c r="C1244" s="38" t="s">
        <v>2680</v>
      </c>
      <c r="D1244" s="38" t="s">
        <v>2697</v>
      </c>
      <c r="E1244" s="38"/>
      <c r="F1244" s="38"/>
      <c r="G1244" s="38"/>
      <c r="H1244" s="38">
        <f t="shared" si="60"/>
        <v>0</v>
      </c>
      <c r="I1244" s="38"/>
      <c r="J1244" s="38"/>
      <c r="K1244" s="38"/>
      <c r="L1244" s="50"/>
      <c r="M1244" s="38"/>
      <c r="N1244" s="50"/>
      <c r="O1244" s="38"/>
      <c r="P1244" s="38"/>
      <c r="Q1244" s="39" t="s">
        <v>44</v>
      </c>
      <c r="R1244" s="11" t="s">
        <v>2569</v>
      </c>
      <c r="S1244" s="40"/>
      <c r="T1244" s="39">
        <v>1.6199999999999999E-2</v>
      </c>
      <c r="U1244" s="39"/>
      <c r="V1244" s="39"/>
      <c r="W1244" s="39"/>
      <c r="X1244" s="39"/>
      <c r="Y1244" s="39"/>
      <c r="AB1244" s="3"/>
      <c r="AC1244" s="38" t="s">
        <v>2697</v>
      </c>
      <c r="AD1244" s="2"/>
      <c r="AE1244" s="40"/>
    </row>
    <row r="1245" spans="1:31" x14ac:dyDescent="0.25">
      <c r="A1245" s="38" t="s">
        <v>36</v>
      </c>
      <c r="B1245" s="38" t="s">
        <v>2544</v>
      </c>
      <c r="C1245" s="38" t="s">
        <v>2680</v>
      </c>
      <c r="D1245" s="38" t="s">
        <v>2687</v>
      </c>
      <c r="E1245" s="38"/>
      <c r="F1245" s="38"/>
      <c r="G1245" s="38"/>
      <c r="H1245" s="38">
        <f t="shared" si="60"/>
        <v>0</v>
      </c>
      <c r="I1245" s="38"/>
      <c r="J1245" s="38"/>
      <c r="K1245" s="38"/>
      <c r="L1245" s="50"/>
      <c r="M1245" s="38"/>
      <c r="N1245" s="50"/>
      <c r="O1245" s="38"/>
      <c r="P1245" s="38"/>
      <c r="Q1245" s="35"/>
      <c r="R1245" s="100">
        <v>44607</v>
      </c>
      <c r="S1245" s="35"/>
      <c r="T1245" s="35"/>
      <c r="U1245" s="35"/>
      <c r="V1245" s="35"/>
      <c r="W1245" s="35"/>
      <c r="X1245" s="35"/>
      <c r="Y1245" s="35"/>
      <c r="AB1245" s="87">
        <v>19</v>
      </c>
      <c r="AC1245" s="35" t="s">
        <v>2689</v>
      </c>
      <c r="AD1245" s="35">
        <v>25.252382000000001</v>
      </c>
      <c r="AE1245" s="35">
        <v>71.384512999999998</v>
      </c>
    </row>
    <row r="1246" spans="1:31" x14ac:dyDescent="0.25">
      <c r="A1246" s="38" t="s">
        <v>36</v>
      </c>
      <c r="B1246" s="38" t="s">
        <v>2680</v>
      </c>
      <c r="C1246" s="38" t="s">
        <v>2680</v>
      </c>
      <c r="D1246" s="38" t="s">
        <v>2697</v>
      </c>
      <c r="E1246" s="38"/>
      <c r="F1246" s="38"/>
      <c r="G1246" s="38"/>
      <c r="H1246" s="38">
        <f t="shared" si="60"/>
        <v>0</v>
      </c>
      <c r="I1246" s="38"/>
      <c r="J1246" s="38"/>
      <c r="K1246" s="38"/>
      <c r="L1246" s="50"/>
      <c r="M1246" s="38"/>
      <c r="N1246" s="50"/>
      <c r="O1246" s="38"/>
      <c r="P1246" s="38"/>
      <c r="Q1246" s="143"/>
      <c r="R1246" s="165" t="s">
        <v>2569</v>
      </c>
      <c r="S1246" s="145"/>
      <c r="T1246" s="143"/>
      <c r="U1246" s="143"/>
      <c r="V1246" s="143"/>
      <c r="W1246" s="143"/>
      <c r="X1246" s="143"/>
      <c r="Y1246" s="143"/>
      <c r="AB1246" s="146">
        <v>10</v>
      </c>
      <c r="AC1246" s="76" t="s">
        <v>2697</v>
      </c>
      <c r="AD1246" s="145">
        <v>25.281001</v>
      </c>
      <c r="AE1246" s="145">
        <v>71.349789000000001</v>
      </c>
    </row>
    <row r="1247" spans="1:31" x14ac:dyDescent="0.25">
      <c r="A1247" s="38" t="s">
        <v>36</v>
      </c>
      <c r="B1247" s="38" t="s">
        <v>2544</v>
      </c>
      <c r="C1247" s="38" t="s">
        <v>2680</v>
      </c>
      <c r="D1247" s="38" t="s">
        <v>2410</v>
      </c>
      <c r="E1247" s="38" t="s">
        <v>2698</v>
      </c>
      <c r="F1247" s="38">
        <v>294</v>
      </c>
      <c r="G1247" s="38">
        <v>294</v>
      </c>
      <c r="H1247" s="38">
        <f t="shared" si="60"/>
        <v>563</v>
      </c>
      <c r="I1247" s="38">
        <v>370</v>
      </c>
      <c r="J1247" s="38">
        <v>193</v>
      </c>
      <c r="K1247" s="38">
        <v>177</v>
      </c>
      <c r="L1247" s="50">
        <f t="shared" si="61"/>
        <v>31.438721136767317</v>
      </c>
      <c r="M1247" s="38">
        <v>9</v>
      </c>
      <c r="N1247" s="50">
        <f t="shared" si="59"/>
        <v>1.5985790408525755</v>
      </c>
      <c r="O1247" s="38">
        <v>0</v>
      </c>
      <c r="P1247" s="38">
        <v>18</v>
      </c>
      <c r="Q1247" s="158" t="s">
        <v>44</v>
      </c>
      <c r="R1247" s="15" t="s">
        <v>2569</v>
      </c>
      <c r="S1247" s="160"/>
      <c r="T1247" s="158">
        <v>25.252300000000002</v>
      </c>
      <c r="U1247" s="158"/>
      <c r="V1247" s="158"/>
      <c r="W1247" s="158"/>
      <c r="X1247" s="158"/>
      <c r="Y1247" s="158"/>
      <c r="AB1247" s="16">
        <v>22</v>
      </c>
      <c r="AC1247" s="33" t="s">
        <v>2410</v>
      </c>
      <c r="AD1247" s="161">
        <v>25.272088</v>
      </c>
      <c r="AE1247" s="160">
        <v>71.370617999999993</v>
      </c>
    </row>
    <row r="1248" spans="1:31" x14ac:dyDescent="0.25">
      <c r="A1248" s="38" t="s">
        <v>36</v>
      </c>
      <c r="B1248" s="38" t="s">
        <v>2544</v>
      </c>
      <c r="C1248" s="38" t="s">
        <v>2680</v>
      </c>
      <c r="D1248" s="38" t="s">
        <v>2699</v>
      </c>
      <c r="E1248" s="38" t="s">
        <v>2700</v>
      </c>
      <c r="F1248" s="38">
        <v>397</v>
      </c>
      <c r="G1248" s="38">
        <v>397</v>
      </c>
      <c r="H1248" s="38">
        <f t="shared" si="60"/>
        <v>965</v>
      </c>
      <c r="I1248" s="38">
        <v>638</v>
      </c>
      <c r="J1248" s="38">
        <v>327</v>
      </c>
      <c r="K1248" s="38">
        <v>311</v>
      </c>
      <c r="L1248" s="50">
        <f t="shared" si="61"/>
        <v>32.2279792746114</v>
      </c>
      <c r="M1248" s="38">
        <v>70</v>
      </c>
      <c r="N1248" s="50">
        <f t="shared" si="59"/>
        <v>7.2538860103626934</v>
      </c>
      <c r="O1248" s="38">
        <v>0</v>
      </c>
      <c r="P1248" s="38">
        <v>15</v>
      </c>
      <c r="Q1248" s="158" t="s">
        <v>44</v>
      </c>
      <c r="R1248" s="15" t="s">
        <v>2569</v>
      </c>
      <c r="S1248" s="160"/>
      <c r="T1248" s="158">
        <v>36.648299999999999</v>
      </c>
      <c r="U1248" s="158"/>
      <c r="V1248" s="158"/>
      <c r="W1248" s="158"/>
      <c r="X1248" s="158"/>
      <c r="Y1248" s="158"/>
      <c r="AB1248" s="16">
        <v>25</v>
      </c>
      <c r="AC1248" s="33" t="s">
        <v>2699</v>
      </c>
      <c r="AD1248" s="161">
        <v>25.244444999999999</v>
      </c>
      <c r="AE1248" s="160">
        <v>71.369145000000003</v>
      </c>
    </row>
    <row r="1249" spans="1:31" x14ac:dyDescent="0.25">
      <c r="A1249" s="38" t="s">
        <v>36</v>
      </c>
      <c r="B1249" s="38" t="s">
        <v>2544</v>
      </c>
      <c r="C1249" s="38" t="s">
        <v>2701</v>
      </c>
      <c r="D1249" s="33" t="s">
        <v>2701</v>
      </c>
      <c r="E1249" s="38"/>
      <c r="F1249" s="38"/>
      <c r="G1249" s="38"/>
      <c r="H1249" s="38">
        <f t="shared" si="60"/>
        <v>0</v>
      </c>
      <c r="I1249" s="38"/>
      <c r="J1249" s="38"/>
      <c r="K1249" s="38"/>
      <c r="L1249" s="50"/>
      <c r="M1249" s="38"/>
      <c r="N1249" s="50"/>
      <c r="O1249" s="38"/>
      <c r="P1249" s="38"/>
      <c r="Q1249" s="158"/>
      <c r="R1249" s="15" t="s">
        <v>2702</v>
      </c>
      <c r="S1249" s="160"/>
      <c r="T1249" s="158"/>
      <c r="U1249" s="158"/>
      <c r="V1249" s="158"/>
      <c r="W1249" s="158"/>
      <c r="X1249" s="158"/>
      <c r="Y1249" s="158"/>
      <c r="AB1249" s="16">
        <v>12</v>
      </c>
      <c r="AC1249" s="33" t="s">
        <v>2701</v>
      </c>
      <c r="AD1249" s="161">
        <v>25.330871999999999</v>
      </c>
      <c r="AE1249" s="160">
        <v>71.342917999999997</v>
      </c>
    </row>
    <row r="1250" spans="1:31" x14ac:dyDescent="0.25">
      <c r="A1250" s="38" t="s">
        <v>36</v>
      </c>
      <c r="B1250" s="38" t="s">
        <v>2544</v>
      </c>
      <c r="C1250" s="38" t="s">
        <v>2701</v>
      </c>
      <c r="D1250" s="33" t="s">
        <v>2400</v>
      </c>
      <c r="E1250" s="38"/>
      <c r="F1250" s="38"/>
      <c r="G1250" s="38"/>
      <c r="H1250" s="38">
        <f t="shared" si="60"/>
        <v>0</v>
      </c>
      <c r="I1250" s="38"/>
      <c r="J1250" s="38"/>
      <c r="K1250" s="38"/>
      <c r="L1250" s="50"/>
      <c r="M1250" s="38"/>
      <c r="N1250" s="50"/>
      <c r="O1250" s="38"/>
      <c r="P1250" s="38"/>
      <c r="Q1250" s="158"/>
      <c r="R1250" s="15" t="s">
        <v>2702</v>
      </c>
      <c r="S1250" s="160"/>
      <c r="T1250" s="158"/>
      <c r="U1250" s="158"/>
      <c r="V1250" s="158"/>
      <c r="W1250" s="158"/>
      <c r="X1250" s="158"/>
      <c r="Y1250" s="158"/>
      <c r="AB1250" s="16">
        <v>8</v>
      </c>
      <c r="AC1250" s="33" t="s">
        <v>2400</v>
      </c>
      <c r="AD1250" s="161">
        <v>25.317623000000001</v>
      </c>
      <c r="AE1250" s="160">
        <v>71.352345</v>
      </c>
    </row>
    <row r="1251" spans="1:31" x14ac:dyDescent="0.25">
      <c r="A1251" s="38" t="s">
        <v>36</v>
      </c>
      <c r="B1251" s="38" t="s">
        <v>2544</v>
      </c>
      <c r="C1251" s="38" t="s">
        <v>2701</v>
      </c>
      <c r="D1251" s="33" t="s">
        <v>2703</v>
      </c>
      <c r="E1251" s="38"/>
      <c r="F1251" s="38"/>
      <c r="G1251" s="38"/>
      <c r="H1251" s="38">
        <f t="shared" si="60"/>
        <v>0</v>
      </c>
      <c r="I1251" s="38"/>
      <c r="J1251" s="38"/>
      <c r="K1251" s="38"/>
      <c r="L1251" s="50"/>
      <c r="M1251" s="38"/>
      <c r="N1251" s="50"/>
      <c r="O1251" s="38"/>
      <c r="P1251" s="38"/>
      <c r="Q1251" s="158"/>
      <c r="R1251" s="15" t="s">
        <v>2702</v>
      </c>
      <c r="S1251" s="160"/>
      <c r="T1251" s="158"/>
      <c r="U1251" s="158"/>
      <c r="V1251" s="158"/>
      <c r="W1251" s="158"/>
      <c r="X1251" s="158"/>
      <c r="Y1251" s="158"/>
      <c r="AB1251" s="16">
        <v>4</v>
      </c>
      <c r="AC1251" s="33" t="s">
        <v>2703</v>
      </c>
      <c r="AD1251" s="161">
        <v>25.355025999999999</v>
      </c>
      <c r="AE1251" s="160">
        <v>71.332046000000005</v>
      </c>
    </row>
    <row r="1252" spans="1:31" x14ac:dyDescent="0.25">
      <c r="A1252" s="38" t="s">
        <v>36</v>
      </c>
      <c r="B1252" s="38" t="s">
        <v>2544</v>
      </c>
      <c r="C1252" s="38" t="s">
        <v>2701</v>
      </c>
      <c r="D1252" s="33" t="s">
        <v>2704</v>
      </c>
      <c r="E1252" s="38"/>
      <c r="F1252" s="38"/>
      <c r="G1252" s="38"/>
      <c r="H1252" s="38">
        <f t="shared" si="60"/>
        <v>0</v>
      </c>
      <c r="I1252" s="38"/>
      <c r="J1252" s="38"/>
      <c r="K1252" s="38"/>
      <c r="L1252" s="50"/>
      <c r="M1252" s="38"/>
      <c r="N1252" s="50"/>
      <c r="O1252" s="38"/>
      <c r="P1252" s="38"/>
      <c r="Q1252" s="158"/>
      <c r="R1252" s="15" t="s">
        <v>2702</v>
      </c>
      <c r="S1252" s="160"/>
      <c r="T1252" s="158"/>
      <c r="U1252" s="158"/>
      <c r="V1252" s="158"/>
      <c r="W1252" s="158"/>
      <c r="X1252" s="158"/>
      <c r="Y1252" s="158"/>
      <c r="AB1252" s="16">
        <v>12</v>
      </c>
      <c r="AC1252" s="33" t="s">
        <v>2704</v>
      </c>
      <c r="AD1252" s="161">
        <v>25.352896999999999</v>
      </c>
      <c r="AE1252" s="160">
        <v>71.312020000000004</v>
      </c>
    </row>
    <row r="1253" spans="1:31" x14ac:dyDescent="0.25">
      <c r="A1253" s="38" t="s">
        <v>36</v>
      </c>
      <c r="B1253" s="38" t="s">
        <v>2544</v>
      </c>
      <c r="C1253" s="38" t="s">
        <v>2701</v>
      </c>
      <c r="D1253" s="38" t="s">
        <v>2701</v>
      </c>
      <c r="E1253" s="38" t="s">
        <v>2705</v>
      </c>
      <c r="F1253" s="38">
        <v>676</v>
      </c>
      <c r="G1253" s="38">
        <v>676</v>
      </c>
      <c r="H1253" s="38">
        <f t="shared" si="60"/>
        <v>674</v>
      </c>
      <c r="I1253" s="38">
        <v>441</v>
      </c>
      <c r="J1253" s="38">
        <v>233</v>
      </c>
      <c r="K1253" s="38">
        <v>208</v>
      </c>
      <c r="L1253" s="50">
        <f t="shared" si="61"/>
        <v>30.86053412462908</v>
      </c>
      <c r="M1253" s="38">
        <v>0</v>
      </c>
      <c r="N1253" s="50">
        <f t="shared" si="59"/>
        <v>0</v>
      </c>
      <c r="O1253" s="38">
        <v>0</v>
      </c>
      <c r="P1253" s="38">
        <v>5.9</v>
      </c>
      <c r="Q1253" s="158" t="s">
        <v>44</v>
      </c>
      <c r="R1253" s="15" t="s">
        <v>2702</v>
      </c>
      <c r="S1253" s="160"/>
      <c r="T1253" s="158">
        <v>12</v>
      </c>
      <c r="U1253" s="158"/>
      <c r="V1253" s="158"/>
      <c r="W1253" s="158"/>
      <c r="X1253" s="158"/>
      <c r="Y1253" s="158"/>
      <c r="AB1253" s="16"/>
      <c r="AC1253" s="33" t="s">
        <v>2701</v>
      </c>
      <c r="AD1253" s="161"/>
      <c r="AE1253" s="160"/>
    </row>
    <row r="1254" spans="1:31" x14ac:dyDescent="0.25">
      <c r="A1254" s="38" t="s">
        <v>36</v>
      </c>
      <c r="B1254" s="38" t="s">
        <v>2544</v>
      </c>
      <c r="C1254" s="38" t="s">
        <v>2701</v>
      </c>
      <c r="D1254" s="38" t="s">
        <v>2400</v>
      </c>
      <c r="E1254" s="38" t="s">
        <v>2706</v>
      </c>
      <c r="F1254" s="38">
        <v>616</v>
      </c>
      <c r="G1254" s="38">
        <v>616</v>
      </c>
      <c r="H1254" s="38">
        <f t="shared" si="60"/>
        <v>926</v>
      </c>
      <c r="I1254" s="38">
        <v>605</v>
      </c>
      <c r="J1254" s="38">
        <v>321</v>
      </c>
      <c r="K1254" s="38">
        <v>284</v>
      </c>
      <c r="L1254" s="50">
        <f t="shared" si="61"/>
        <v>30.669546436285096</v>
      </c>
      <c r="M1254" s="38">
        <v>71</v>
      </c>
      <c r="N1254" s="50">
        <f t="shared" si="59"/>
        <v>7.6673866090712739</v>
      </c>
      <c r="O1254" s="38">
        <v>0</v>
      </c>
      <c r="P1254" s="38">
        <v>34.950000000000003</v>
      </c>
      <c r="Q1254" s="158" t="s">
        <v>44</v>
      </c>
      <c r="R1254" s="15" t="s">
        <v>2702</v>
      </c>
      <c r="S1254" s="160"/>
      <c r="T1254" s="158">
        <v>39.764400000000002</v>
      </c>
      <c r="U1254" s="158"/>
      <c r="V1254" s="158"/>
      <c r="W1254" s="158"/>
      <c r="X1254" s="158"/>
      <c r="Y1254" s="158"/>
      <c r="AB1254" s="16"/>
      <c r="AC1254" s="33" t="s">
        <v>2400</v>
      </c>
      <c r="AD1254" s="161"/>
      <c r="AE1254" s="160"/>
    </row>
    <row r="1255" spans="1:31" x14ac:dyDescent="0.25">
      <c r="A1255" s="38" t="s">
        <v>36</v>
      </c>
      <c r="B1255" s="38" t="s">
        <v>2544</v>
      </c>
      <c r="C1255" s="38" t="s">
        <v>2701</v>
      </c>
      <c r="D1255" s="38" t="s">
        <v>2703</v>
      </c>
      <c r="E1255" s="38" t="s">
        <v>2707</v>
      </c>
      <c r="F1255" s="38">
        <v>698.1</v>
      </c>
      <c r="G1255" s="38">
        <v>698.1</v>
      </c>
      <c r="H1255" s="38">
        <f t="shared" si="60"/>
        <v>897</v>
      </c>
      <c r="I1255" s="38">
        <v>587</v>
      </c>
      <c r="J1255" s="38">
        <v>310</v>
      </c>
      <c r="K1255" s="38">
        <v>277</v>
      </c>
      <c r="L1255" s="50">
        <f t="shared" si="61"/>
        <v>30.880713489409139</v>
      </c>
      <c r="M1255" s="38">
        <v>3</v>
      </c>
      <c r="N1255" s="50">
        <f t="shared" si="59"/>
        <v>0.33444816053511706</v>
      </c>
      <c r="O1255" s="38">
        <v>0</v>
      </c>
      <c r="P1255" s="38">
        <v>7.9</v>
      </c>
      <c r="Q1255" s="158" t="s">
        <v>44</v>
      </c>
      <c r="R1255" s="15" t="s">
        <v>2702</v>
      </c>
      <c r="S1255" s="160"/>
      <c r="T1255" s="158">
        <v>1.2706999999999999</v>
      </c>
      <c r="U1255" s="158"/>
      <c r="V1255" s="158"/>
      <c r="W1255" s="158"/>
      <c r="X1255" s="158"/>
      <c r="Y1255" s="158"/>
      <c r="AB1255" s="16"/>
      <c r="AC1255" s="33" t="s">
        <v>2703</v>
      </c>
      <c r="AD1255" s="161"/>
      <c r="AE1255" s="160"/>
    </row>
    <row r="1256" spans="1:31" x14ac:dyDescent="0.25">
      <c r="A1256" s="38" t="s">
        <v>36</v>
      </c>
      <c r="B1256" s="38" t="s">
        <v>2544</v>
      </c>
      <c r="C1256" s="38" t="s">
        <v>2701</v>
      </c>
      <c r="D1256" s="38" t="s">
        <v>2704</v>
      </c>
      <c r="E1256" s="38" t="s">
        <v>2708</v>
      </c>
      <c r="F1256" s="38">
        <v>566</v>
      </c>
      <c r="G1256" s="38">
        <v>566</v>
      </c>
      <c r="H1256" s="38">
        <f t="shared" si="60"/>
        <v>1259</v>
      </c>
      <c r="I1256" s="38">
        <v>821</v>
      </c>
      <c r="J1256" s="38">
        <v>438</v>
      </c>
      <c r="K1256" s="38">
        <v>383</v>
      </c>
      <c r="L1256" s="50">
        <f t="shared" si="61"/>
        <v>30.420969023034157</v>
      </c>
      <c r="M1256" s="38">
        <v>66</v>
      </c>
      <c r="N1256" s="50">
        <f t="shared" si="59"/>
        <v>5.2422557585385228</v>
      </c>
      <c r="O1256" s="38">
        <v>0</v>
      </c>
      <c r="P1256" s="38">
        <v>18.95</v>
      </c>
      <c r="Q1256" s="158" t="s">
        <v>44</v>
      </c>
      <c r="R1256" s="15" t="s">
        <v>2702</v>
      </c>
      <c r="S1256" s="160"/>
      <c r="T1256" s="158">
        <v>0.80969999999999998</v>
      </c>
      <c r="U1256" s="158"/>
      <c r="V1256" s="158"/>
      <c r="W1256" s="158"/>
      <c r="X1256" s="158"/>
      <c r="Y1256" s="158"/>
      <c r="AB1256" s="16"/>
      <c r="AC1256" s="33" t="s">
        <v>2704</v>
      </c>
      <c r="AD1256" s="161"/>
      <c r="AE1256" s="160"/>
    </row>
    <row r="1257" spans="1:31" x14ac:dyDescent="0.25">
      <c r="A1257" s="38" t="s">
        <v>36</v>
      </c>
      <c r="B1257" s="38" t="s">
        <v>2544</v>
      </c>
      <c r="C1257" s="38" t="s">
        <v>49</v>
      </c>
      <c r="D1257" s="38" t="s">
        <v>49</v>
      </c>
      <c r="E1257" s="38" t="s">
        <v>2709</v>
      </c>
      <c r="F1257" s="38">
        <v>797</v>
      </c>
      <c r="G1257" s="38">
        <v>797</v>
      </c>
      <c r="H1257" s="38">
        <f t="shared" si="60"/>
        <v>1071</v>
      </c>
      <c r="I1257" s="38">
        <v>706</v>
      </c>
      <c r="J1257" s="38">
        <v>365</v>
      </c>
      <c r="K1257" s="38">
        <v>341</v>
      </c>
      <c r="L1257" s="50">
        <f t="shared" si="61"/>
        <v>31.839402427637719</v>
      </c>
      <c r="M1257" s="38">
        <v>38</v>
      </c>
      <c r="N1257" s="50">
        <f t="shared" si="59"/>
        <v>3.5480859010270773</v>
      </c>
      <c r="O1257" s="38">
        <v>0</v>
      </c>
      <c r="P1257" s="38">
        <v>18</v>
      </c>
      <c r="Q1257" s="39" t="s">
        <v>44</v>
      </c>
      <c r="R1257" s="11" t="s">
        <v>2569</v>
      </c>
      <c r="S1257" s="40"/>
      <c r="T1257" s="39">
        <v>16</v>
      </c>
      <c r="U1257" s="39"/>
      <c r="V1257" s="39"/>
      <c r="W1257" s="39"/>
      <c r="X1257" s="39"/>
      <c r="Y1257" s="39"/>
      <c r="AC1257" s="38" t="s">
        <v>2710</v>
      </c>
      <c r="AD1257" s="2"/>
      <c r="AE1257" s="40"/>
    </row>
    <row r="1258" spans="1:31" x14ac:dyDescent="0.25">
      <c r="A1258" s="38" t="s">
        <v>36</v>
      </c>
      <c r="B1258" s="38" t="s">
        <v>2544</v>
      </c>
      <c r="C1258" s="38" t="s">
        <v>49</v>
      </c>
      <c r="D1258" s="38" t="s">
        <v>2711</v>
      </c>
      <c r="E1258" s="38" t="s">
        <v>2712</v>
      </c>
      <c r="F1258" s="38">
        <v>596.36</v>
      </c>
      <c r="G1258" s="38">
        <v>596.36</v>
      </c>
      <c r="H1258" s="38">
        <f t="shared" si="60"/>
        <v>1062</v>
      </c>
      <c r="I1258" s="38">
        <v>698</v>
      </c>
      <c r="J1258" s="38">
        <v>364</v>
      </c>
      <c r="K1258" s="38">
        <v>334</v>
      </c>
      <c r="L1258" s="50">
        <f t="shared" si="61"/>
        <v>31.450094161958571</v>
      </c>
      <c r="M1258" s="38">
        <v>30</v>
      </c>
      <c r="N1258" s="50">
        <f t="shared" si="59"/>
        <v>2.8248587570621471</v>
      </c>
      <c r="O1258" s="38">
        <v>0</v>
      </c>
      <c r="P1258" s="38">
        <v>0</v>
      </c>
      <c r="Q1258" s="39" t="s">
        <v>44</v>
      </c>
      <c r="R1258" s="11" t="s">
        <v>2569</v>
      </c>
      <c r="S1258" s="40"/>
      <c r="T1258" s="39">
        <v>4.6782000000000004</v>
      </c>
      <c r="U1258" s="39"/>
      <c r="V1258" s="39"/>
      <c r="W1258" s="39"/>
      <c r="X1258" s="39"/>
      <c r="Y1258" s="39"/>
      <c r="AC1258" s="38" t="s">
        <v>2711</v>
      </c>
      <c r="AD1258" s="2"/>
      <c r="AE1258" s="40"/>
    </row>
    <row r="1259" spans="1:31" x14ac:dyDescent="0.25">
      <c r="A1259" s="38" t="s">
        <v>36</v>
      </c>
      <c r="B1259" s="38" t="s">
        <v>2544</v>
      </c>
      <c r="C1259" s="38" t="s">
        <v>49</v>
      </c>
      <c r="D1259" s="38" t="s">
        <v>727</v>
      </c>
      <c r="E1259" s="38" t="s">
        <v>2713</v>
      </c>
      <c r="F1259" s="38">
        <v>682</v>
      </c>
      <c r="G1259" s="38">
        <v>682</v>
      </c>
      <c r="H1259" s="38">
        <f t="shared" si="60"/>
        <v>1077</v>
      </c>
      <c r="I1259" s="38">
        <v>695</v>
      </c>
      <c r="J1259" s="38">
        <v>382</v>
      </c>
      <c r="K1259" s="38">
        <v>313</v>
      </c>
      <c r="L1259" s="50">
        <f t="shared" si="61"/>
        <v>29.062209842154129</v>
      </c>
      <c r="M1259" s="38">
        <v>1</v>
      </c>
      <c r="N1259" s="50">
        <f t="shared" si="59"/>
        <v>9.2850510677808723E-2</v>
      </c>
      <c r="O1259" s="38">
        <v>0</v>
      </c>
      <c r="P1259" s="38">
        <v>0</v>
      </c>
      <c r="Q1259" s="39" t="s">
        <v>44</v>
      </c>
      <c r="R1259" s="11" t="s">
        <v>2569</v>
      </c>
      <c r="S1259" s="40"/>
      <c r="T1259" s="39">
        <v>0.1052</v>
      </c>
      <c r="U1259" s="39"/>
      <c r="V1259" s="39"/>
      <c r="W1259" s="39"/>
      <c r="X1259" s="39"/>
      <c r="Y1259" s="39"/>
      <c r="AC1259" s="38" t="s">
        <v>727</v>
      </c>
      <c r="AD1259" s="2"/>
      <c r="AE1259" s="40"/>
    </row>
    <row r="1260" spans="1:31" x14ac:dyDescent="0.25">
      <c r="A1260" s="38" t="s">
        <v>36</v>
      </c>
      <c r="B1260" s="38" t="s">
        <v>2544</v>
      </c>
      <c r="C1260" s="38" t="s">
        <v>49</v>
      </c>
      <c r="D1260" s="33" t="s">
        <v>2714</v>
      </c>
      <c r="E1260" s="38"/>
      <c r="F1260" s="38"/>
      <c r="G1260" s="38"/>
      <c r="H1260" s="38">
        <f t="shared" si="60"/>
        <v>0</v>
      </c>
      <c r="I1260" s="38"/>
      <c r="J1260" s="38"/>
      <c r="K1260" s="38"/>
      <c r="L1260" s="50"/>
      <c r="M1260" s="38"/>
      <c r="N1260" s="50"/>
      <c r="O1260" s="38"/>
      <c r="P1260" s="38"/>
      <c r="Q1260" s="158" t="s">
        <v>44</v>
      </c>
      <c r="R1260" s="15" t="s">
        <v>2569</v>
      </c>
      <c r="S1260" s="160"/>
      <c r="T1260" s="158">
        <v>0.38040000000000002</v>
      </c>
      <c r="U1260" s="158"/>
      <c r="V1260" s="158"/>
      <c r="W1260" s="158"/>
      <c r="X1260" s="158"/>
      <c r="Y1260" s="158"/>
      <c r="AB1260" s="15"/>
      <c r="AC1260" s="33" t="s">
        <v>2714</v>
      </c>
      <c r="AD1260" s="161"/>
      <c r="AE1260" s="160"/>
    </row>
    <row r="1261" spans="1:31" x14ac:dyDescent="0.25">
      <c r="A1261" s="38" t="s">
        <v>36</v>
      </c>
      <c r="B1261" s="38" t="s">
        <v>2544</v>
      </c>
      <c r="C1261" s="38" t="s">
        <v>49</v>
      </c>
      <c r="D1261" s="38" t="s">
        <v>2715</v>
      </c>
      <c r="E1261" s="38" t="s">
        <v>2716</v>
      </c>
      <c r="F1261" s="38">
        <v>596</v>
      </c>
      <c r="G1261" s="38">
        <v>596</v>
      </c>
      <c r="H1261" s="38">
        <f t="shared" si="60"/>
        <v>935</v>
      </c>
      <c r="I1261" s="38">
        <v>617</v>
      </c>
      <c r="J1261" s="38">
        <v>318</v>
      </c>
      <c r="K1261" s="38">
        <v>299</v>
      </c>
      <c r="L1261" s="50">
        <f t="shared" si="61"/>
        <v>31.978609625668447</v>
      </c>
      <c r="M1261" s="38">
        <v>24</v>
      </c>
      <c r="N1261" s="50">
        <f t="shared" si="59"/>
        <v>2.5668449197860963</v>
      </c>
      <c r="O1261" s="38">
        <v>0</v>
      </c>
      <c r="P1261" s="38">
        <v>0</v>
      </c>
      <c r="Q1261" s="158" t="s">
        <v>44</v>
      </c>
      <c r="R1261" s="15" t="s">
        <v>2569</v>
      </c>
      <c r="S1261" s="160"/>
      <c r="T1261" s="158">
        <v>0.35610000000000003</v>
      </c>
      <c r="U1261" s="158"/>
      <c r="V1261" s="158"/>
      <c r="W1261" s="158"/>
      <c r="X1261" s="158"/>
      <c r="Y1261" s="158"/>
      <c r="AB1261" s="15"/>
      <c r="AC1261" s="33" t="s">
        <v>2715</v>
      </c>
      <c r="AD1261" s="161"/>
      <c r="AE1261" s="160"/>
    </row>
    <row r="1262" spans="1:31" x14ac:dyDescent="0.25">
      <c r="A1262" s="38" t="s">
        <v>36</v>
      </c>
      <c r="B1262" s="38" t="s">
        <v>2544</v>
      </c>
      <c r="C1262" s="38" t="s">
        <v>49</v>
      </c>
      <c r="D1262" s="38" t="s">
        <v>2717</v>
      </c>
      <c r="E1262" s="38" t="s">
        <v>2718</v>
      </c>
      <c r="F1262" s="38">
        <v>738.49</v>
      </c>
      <c r="G1262" s="38">
        <v>738.49</v>
      </c>
      <c r="H1262" s="38">
        <f t="shared" si="60"/>
        <v>1591</v>
      </c>
      <c r="I1262" s="38">
        <v>1039</v>
      </c>
      <c r="J1262" s="38">
        <v>552</v>
      </c>
      <c r="K1262" s="38">
        <v>487</v>
      </c>
      <c r="L1262" s="50">
        <f t="shared" si="61"/>
        <v>30.609679446888748</v>
      </c>
      <c r="M1262" s="38">
        <v>139</v>
      </c>
      <c r="N1262" s="50">
        <f t="shared" si="59"/>
        <v>8.7366436203645517</v>
      </c>
      <c r="O1262" s="38">
        <v>0</v>
      </c>
      <c r="P1262" s="38">
        <v>8.16</v>
      </c>
      <c r="Q1262" s="158" t="s">
        <v>44</v>
      </c>
      <c r="R1262" s="15" t="s">
        <v>2569</v>
      </c>
      <c r="S1262" s="160"/>
      <c r="T1262" s="158">
        <v>10</v>
      </c>
      <c r="U1262" s="158"/>
      <c r="V1262" s="158"/>
      <c r="W1262" s="158"/>
      <c r="X1262" s="158"/>
      <c r="Y1262" s="158"/>
      <c r="AB1262" s="15"/>
      <c r="AC1262" s="33" t="s">
        <v>2717</v>
      </c>
      <c r="AD1262" s="161"/>
      <c r="AE1262" s="160"/>
    </row>
    <row r="1263" spans="1:31" x14ac:dyDescent="0.25">
      <c r="A1263" s="38" t="s">
        <v>36</v>
      </c>
      <c r="B1263" s="38" t="s">
        <v>2544</v>
      </c>
      <c r="C1263" s="38" t="s">
        <v>2719</v>
      </c>
      <c r="D1263" s="38" t="s">
        <v>2720</v>
      </c>
      <c r="E1263" s="38" t="s">
        <v>2721</v>
      </c>
      <c r="F1263" s="38">
        <v>879.98</v>
      </c>
      <c r="G1263" s="38">
        <v>879.98</v>
      </c>
      <c r="H1263" s="38">
        <f t="shared" si="60"/>
        <v>1755</v>
      </c>
      <c r="I1263" s="38">
        <v>1160</v>
      </c>
      <c r="J1263" s="38">
        <v>595</v>
      </c>
      <c r="K1263" s="38">
        <v>565</v>
      </c>
      <c r="L1263" s="50">
        <f t="shared" si="61"/>
        <v>32.193732193732195</v>
      </c>
      <c r="M1263" s="38">
        <v>73</v>
      </c>
      <c r="N1263" s="50">
        <f t="shared" si="59"/>
        <v>4.1595441595441596</v>
      </c>
      <c r="O1263" s="38">
        <v>0</v>
      </c>
      <c r="P1263" s="38">
        <v>30.12</v>
      </c>
      <c r="Q1263" s="96" t="s">
        <v>44</v>
      </c>
      <c r="R1263" s="14">
        <v>45333</v>
      </c>
      <c r="S1263" s="181"/>
      <c r="T1263" s="96">
        <v>50</v>
      </c>
      <c r="U1263" s="96"/>
      <c r="V1263" s="96"/>
      <c r="W1263" s="96"/>
      <c r="X1263" s="96"/>
      <c r="Y1263" s="96"/>
      <c r="AB1263" s="181">
        <v>15</v>
      </c>
      <c r="AC1263" s="33" t="s">
        <v>2720</v>
      </c>
      <c r="AD1263" s="181">
        <v>25.102201000000001</v>
      </c>
      <c r="AE1263" s="181">
        <v>71.491191999999998</v>
      </c>
    </row>
    <row r="1264" spans="1:31" x14ac:dyDescent="0.25">
      <c r="A1264" s="38" t="s">
        <v>36</v>
      </c>
      <c r="B1264" s="38" t="s">
        <v>2544</v>
      </c>
      <c r="C1264" s="38" t="s">
        <v>2719</v>
      </c>
      <c r="D1264" s="38" t="s">
        <v>2722</v>
      </c>
      <c r="E1264" s="38" t="s">
        <v>2723</v>
      </c>
      <c r="F1264" s="38">
        <v>369.67</v>
      </c>
      <c r="G1264" s="38">
        <v>369.67</v>
      </c>
      <c r="H1264" s="38">
        <f t="shared" si="60"/>
        <v>663</v>
      </c>
      <c r="I1264" s="38">
        <v>435</v>
      </c>
      <c r="J1264" s="38">
        <v>228</v>
      </c>
      <c r="K1264" s="38">
        <v>207</v>
      </c>
      <c r="L1264" s="50">
        <f t="shared" si="61"/>
        <v>31.221719457013574</v>
      </c>
      <c r="M1264" s="38">
        <v>0</v>
      </c>
      <c r="N1264" s="50">
        <f t="shared" si="59"/>
        <v>0</v>
      </c>
      <c r="O1264" s="38">
        <v>0</v>
      </c>
      <c r="P1264" s="38">
        <v>0</v>
      </c>
      <c r="Q1264" s="96" t="s">
        <v>44</v>
      </c>
      <c r="R1264" s="14">
        <v>45333</v>
      </c>
      <c r="S1264" s="97"/>
      <c r="T1264" s="96">
        <v>0</v>
      </c>
      <c r="U1264" s="96"/>
      <c r="V1264" s="96"/>
      <c r="W1264" s="96"/>
      <c r="X1264" s="96"/>
      <c r="Y1264" s="96"/>
      <c r="AB1264" s="36"/>
      <c r="AC1264" s="33" t="s">
        <v>2722</v>
      </c>
      <c r="AD1264" s="36"/>
      <c r="AE1264" s="97"/>
    </row>
    <row r="1265" spans="1:31" x14ac:dyDescent="0.25">
      <c r="A1265" s="38" t="s">
        <v>36</v>
      </c>
      <c r="B1265" s="38" t="s">
        <v>2544</v>
      </c>
      <c r="C1265" s="38" t="s">
        <v>2719</v>
      </c>
      <c r="D1265" s="38" t="s">
        <v>2724</v>
      </c>
      <c r="E1265" s="38" t="s">
        <v>2725</v>
      </c>
      <c r="F1265" s="38">
        <v>520.32000000000005</v>
      </c>
      <c r="G1265" s="38">
        <v>520.32000000000005</v>
      </c>
      <c r="H1265" s="38">
        <f t="shared" si="60"/>
        <v>1109</v>
      </c>
      <c r="I1265" s="38">
        <v>731</v>
      </c>
      <c r="J1265" s="38">
        <v>378</v>
      </c>
      <c r="K1265" s="38">
        <v>353</v>
      </c>
      <c r="L1265" s="50">
        <f t="shared" si="61"/>
        <v>31.830477908025244</v>
      </c>
      <c r="M1265" s="38">
        <v>200</v>
      </c>
      <c r="N1265" s="50">
        <f t="shared" si="59"/>
        <v>18.034265103697024</v>
      </c>
      <c r="O1265" s="38">
        <v>0</v>
      </c>
      <c r="P1265" s="38">
        <v>15.86</v>
      </c>
      <c r="Q1265" s="96" t="s">
        <v>44</v>
      </c>
      <c r="R1265" s="14">
        <v>45333</v>
      </c>
      <c r="S1265" s="97"/>
      <c r="T1265" s="96">
        <v>3.7</v>
      </c>
      <c r="U1265" s="96"/>
      <c r="V1265" s="96"/>
      <c r="W1265" s="96"/>
      <c r="X1265" s="96"/>
      <c r="Y1265" s="96"/>
      <c r="AB1265" s="36"/>
      <c r="AC1265" s="33" t="s">
        <v>2724</v>
      </c>
      <c r="AD1265" s="36"/>
      <c r="AE1265" s="97"/>
    </row>
    <row r="1266" spans="1:31" x14ac:dyDescent="0.25">
      <c r="A1266" s="38" t="s">
        <v>36</v>
      </c>
      <c r="B1266" s="38" t="s">
        <v>2544</v>
      </c>
      <c r="C1266" s="38" t="s">
        <v>2719</v>
      </c>
      <c r="D1266" s="38" t="s">
        <v>2726</v>
      </c>
      <c r="E1266" s="38" t="s">
        <v>2727</v>
      </c>
      <c r="F1266" s="38">
        <v>1156.97</v>
      </c>
      <c r="G1266" s="38">
        <v>1156.97</v>
      </c>
      <c r="H1266" s="38">
        <f t="shared" si="60"/>
        <v>1837</v>
      </c>
      <c r="I1266" s="38">
        <v>1201</v>
      </c>
      <c r="J1266" s="38">
        <v>636</v>
      </c>
      <c r="K1266" s="38">
        <v>565</v>
      </c>
      <c r="L1266" s="50">
        <f t="shared" si="61"/>
        <v>30.756668481219378</v>
      </c>
      <c r="M1266" s="38">
        <v>58</v>
      </c>
      <c r="N1266" s="50">
        <f t="shared" si="59"/>
        <v>3.1573217201959713</v>
      </c>
      <c r="O1266" s="38">
        <v>0</v>
      </c>
      <c r="P1266" s="38">
        <v>108.92</v>
      </c>
      <c r="Q1266" s="96" t="s">
        <v>44</v>
      </c>
      <c r="R1266" s="14">
        <v>45333</v>
      </c>
      <c r="S1266" s="97"/>
      <c r="T1266" s="96">
        <v>19.600000000000001</v>
      </c>
      <c r="U1266" s="96"/>
      <c r="V1266" s="96"/>
      <c r="W1266" s="96"/>
      <c r="X1266" s="96"/>
      <c r="Y1266" s="96"/>
      <c r="AB1266" s="36"/>
      <c r="AC1266" s="33" t="s">
        <v>2726</v>
      </c>
      <c r="AD1266" s="36"/>
      <c r="AE1266" s="97"/>
    </row>
    <row r="1267" spans="1:31" x14ac:dyDescent="0.25">
      <c r="A1267" s="38" t="s">
        <v>36</v>
      </c>
      <c r="B1267" s="38" t="s">
        <v>2544</v>
      </c>
      <c r="C1267" s="38" t="s">
        <v>2728</v>
      </c>
      <c r="D1267" s="38" t="s">
        <v>2729</v>
      </c>
      <c r="E1267" s="38" t="s">
        <v>2730</v>
      </c>
      <c r="F1267" s="38">
        <v>405</v>
      </c>
      <c r="G1267" s="38">
        <v>405</v>
      </c>
      <c r="H1267" s="38">
        <f t="shared" si="60"/>
        <v>556</v>
      </c>
      <c r="I1267" s="38">
        <v>368</v>
      </c>
      <c r="J1267" s="38">
        <v>188</v>
      </c>
      <c r="K1267" s="38">
        <v>180</v>
      </c>
      <c r="L1267" s="50">
        <f t="shared" si="61"/>
        <v>32.374100719424462</v>
      </c>
      <c r="M1267" s="38">
        <v>0</v>
      </c>
      <c r="N1267" s="50">
        <f t="shared" ref="N1267:N1330" si="62">M1267/H1267*100</f>
        <v>0</v>
      </c>
      <c r="O1267" s="38">
        <v>0</v>
      </c>
      <c r="P1267" s="38">
        <v>8</v>
      </c>
    </row>
    <row r="1268" spans="1:31" x14ac:dyDescent="0.25">
      <c r="A1268" s="38" t="s">
        <v>36</v>
      </c>
      <c r="B1268" s="38" t="s">
        <v>2544</v>
      </c>
      <c r="C1268" s="38" t="s">
        <v>2728</v>
      </c>
      <c r="D1268" s="38" t="s">
        <v>2731</v>
      </c>
      <c r="E1268" s="38" t="s">
        <v>2732</v>
      </c>
      <c r="F1268" s="38">
        <v>1699.94</v>
      </c>
      <c r="G1268" s="38">
        <v>1699.94</v>
      </c>
      <c r="H1268" s="38">
        <f t="shared" si="60"/>
        <v>2526</v>
      </c>
      <c r="I1268" s="38">
        <v>1654</v>
      </c>
      <c r="J1268" s="38">
        <v>872</v>
      </c>
      <c r="K1268" s="38">
        <v>782</v>
      </c>
      <c r="L1268" s="50">
        <f t="shared" si="61"/>
        <v>30.958036421219319</v>
      </c>
      <c r="M1268" s="38">
        <v>69</v>
      </c>
      <c r="N1268" s="50">
        <f t="shared" si="62"/>
        <v>2.7315914489311166</v>
      </c>
      <c r="O1268" s="38">
        <v>0</v>
      </c>
      <c r="P1268" s="38">
        <v>52.06</v>
      </c>
    </row>
    <row r="1269" spans="1:31" x14ac:dyDescent="0.25">
      <c r="A1269" s="38" t="s">
        <v>36</v>
      </c>
      <c r="B1269" s="38" t="s">
        <v>2544</v>
      </c>
      <c r="C1269" s="38" t="s">
        <v>2728</v>
      </c>
      <c r="D1269" s="38" t="s">
        <v>2733</v>
      </c>
      <c r="E1269" s="38" t="s">
        <v>2734</v>
      </c>
      <c r="F1269" s="38">
        <v>379</v>
      </c>
      <c r="G1269" s="38">
        <v>379</v>
      </c>
      <c r="H1269" s="38">
        <f t="shared" si="60"/>
        <v>880</v>
      </c>
      <c r="I1269" s="38">
        <v>582</v>
      </c>
      <c r="J1269" s="38">
        <v>298</v>
      </c>
      <c r="K1269" s="38">
        <v>284</v>
      </c>
      <c r="L1269" s="50">
        <f t="shared" si="61"/>
        <v>32.272727272727273</v>
      </c>
      <c r="M1269" s="38">
        <v>0</v>
      </c>
      <c r="N1269" s="50">
        <f t="shared" si="62"/>
        <v>0</v>
      </c>
      <c r="O1269" s="38">
        <v>0</v>
      </c>
      <c r="P1269" s="38">
        <v>0</v>
      </c>
    </row>
    <row r="1270" spans="1:31" x14ac:dyDescent="0.25">
      <c r="A1270" s="38" t="s">
        <v>36</v>
      </c>
      <c r="B1270" s="38" t="s">
        <v>2544</v>
      </c>
      <c r="C1270" s="38" t="s">
        <v>2735</v>
      </c>
      <c r="D1270" s="38" t="s">
        <v>2735</v>
      </c>
      <c r="E1270" s="38" t="s">
        <v>2736</v>
      </c>
      <c r="F1270" s="38">
        <v>570.30999999999995</v>
      </c>
      <c r="G1270" s="38">
        <v>570.30999999999995</v>
      </c>
      <c r="H1270" s="38">
        <f t="shared" si="60"/>
        <v>984</v>
      </c>
      <c r="I1270" s="38">
        <v>646</v>
      </c>
      <c r="J1270" s="38">
        <v>338</v>
      </c>
      <c r="K1270" s="38">
        <v>308</v>
      </c>
      <c r="L1270" s="50">
        <f t="shared" si="61"/>
        <v>31.300813008130078</v>
      </c>
      <c r="M1270" s="38">
        <v>2</v>
      </c>
      <c r="N1270" s="50">
        <f t="shared" si="62"/>
        <v>0.20325203252032523</v>
      </c>
      <c r="O1270" s="38">
        <v>0</v>
      </c>
      <c r="P1270" s="38">
        <v>0</v>
      </c>
    </row>
    <row r="1271" spans="1:31" x14ac:dyDescent="0.25">
      <c r="A1271" s="38" t="s">
        <v>36</v>
      </c>
      <c r="B1271" s="38" t="s">
        <v>2544</v>
      </c>
      <c r="C1271" s="38" t="s">
        <v>2735</v>
      </c>
      <c r="D1271" s="38" t="s">
        <v>2737</v>
      </c>
      <c r="E1271" s="38" t="s">
        <v>2738</v>
      </c>
      <c r="F1271" s="38">
        <v>583.15</v>
      </c>
      <c r="G1271" s="38">
        <v>583.15</v>
      </c>
      <c r="H1271" s="38">
        <f t="shared" si="60"/>
        <v>875</v>
      </c>
      <c r="I1271" s="38">
        <v>579</v>
      </c>
      <c r="J1271" s="38">
        <v>296</v>
      </c>
      <c r="K1271" s="38">
        <v>283</v>
      </c>
      <c r="L1271" s="50">
        <f t="shared" si="61"/>
        <v>32.342857142857149</v>
      </c>
      <c r="M1271" s="38">
        <v>38</v>
      </c>
      <c r="N1271" s="50">
        <f t="shared" si="62"/>
        <v>4.3428571428571425</v>
      </c>
      <c r="O1271" s="38">
        <v>0</v>
      </c>
      <c r="P1271" s="38">
        <v>4.95</v>
      </c>
    </row>
    <row r="1272" spans="1:31" x14ac:dyDescent="0.25">
      <c r="A1272" s="38" t="s">
        <v>36</v>
      </c>
      <c r="B1272" s="38" t="s">
        <v>2544</v>
      </c>
      <c r="C1272" s="38" t="s">
        <v>2735</v>
      </c>
      <c r="D1272" s="38" t="s">
        <v>2739</v>
      </c>
      <c r="E1272" s="38" t="s">
        <v>2740</v>
      </c>
      <c r="F1272" s="38">
        <v>241.1</v>
      </c>
      <c r="G1272" s="38">
        <v>241.1</v>
      </c>
      <c r="H1272" s="38">
        <f t="shared" si="60"/>
        <v>741</v>
      </c>
      <c r="I1272" s="38">
        <v>483</v>
      </c>
      <c r="J1272" s="38">
        <v>258</v>
      </c>
      <c r="K1272" s="38">
        <v>225</v>
      </c>
      <c r="L1272" s="50">
        <f t="shared" si="61"/>
        <v>30.364372469635626</v>
      </c>
      <c r="M1272" s="38">
        <v>0</v>
      </c>
      <c r="N1272" s="50">
        <f t="shared" si="62"/>
        <v>0</v>
      </c>
      <c r="O1272" s="38">
        <v>0</v>
      </c>
      <c r="P1272" s="38">
        <v>0</v>
      </c>
    </row>
    <row r="1273" spans="1:31" x14ac:dyDescent="0.25">
      <c r="A1273" s="38" t="s">
        <v>36</v>
      </c>
      <c r="B1273" s="38" t="s">
        <v>2544</v>
      </c>
      <c r="C1273" s="38" t="s">
        <v>2735</v>
      </c>
      <c r="D1273" s="38" t="s">
        <v>2741</v>
      </c>
      <c r="E1273" s="38" t="s">
        <v>2742</v>
      </c>
      <c r="F1273" s="38">
        <v>431.53</v>
      </c>
      <c r="G1273" s="38">
        <v>431.53</v>
      </c>
      <c r="H1273" s="38">
        <f t="shared" si="60"/>
        <v>1372</v>
      </c>
      <c r="I1273" s="38">
        <v>894</v>
      </c>
      <c r="J1273" s="38">
        <v>478</v>
      </c>
      <c r="K1273" s="38">
        <v>416</v>
      </c>
      <c r="L1273" s="50">
        <f t="shared" si="61"/>
        <v>30.320699708454811</v>
      </c>
      <c r="M1273" s="38">
        <v>0</v>
      </c>
      <c r="N1273" s="50">
        <f t="shared" si="62"/>
        <v>0</v>
      </c>
      <c r="O1273" s="38">
        <v>0</v>
      </c>
      <c r="P1273" s="38">
        <v>38.89</v>
      </c>
    </row>
    <row r="1274" spans="1:31" x14ac:dyDescent="0.25">
      <c r="A1274" s="38" t="s">
        <v>36</v>
      </c>
      <c r="B1274" s="38" t="s">
        <v>2544</v>
      </c>
      <c r="C1274" s="38" t="s">
        <v>2743</v>
      </c>
      <c r="D1274" s="38" t="s">
        <v>2743</v>
      </c>
      <c r="E1274" s="38" t="s">
        <v>2744</v>
      </c>
      <c r="F1274" s="38">
        <v>1629</v>
      </c>
      <c r="G1274" s="38">
        <v>1629</v>
      </c>
      <c r="H1274" s="38">
        <f t="shared" si="60"/>
        <v>2530</v>
      </c>
      <c r="I1274" s="38">
        <v>1656</v>
      </c>
      <c r="J1274" s="38">
        <v>874</v>
      </c>
      <c r="K1274" s="38">
        <v>782</v>
      </c>
      <c r="L1274" s="50">
        <f t="shared" si="61"/>
        <v>30.909090909090907</v>
      </c>
      <c r="M1274" s="38">
        <v>346</v>
      </c>
      <c r="N1274" s="50">
        <f t="shared" si="62"/>
        <v>13.67588932806324</v>
      </c>
      <c r="O1274" s="38">
        <v>0</v>
      </c>
      <c r="P1274" s="38">
        <v>65</v>
      </c>
    </row>
    <row r="1275" spans="1:31" x14ac:dyDescent="0.25">
      <c r="A1275" s="38" t="s">
        <v>36</v>
      </c>
      <c r="B1275" s="38" t="s">
        <v>2544</v>
      </c>
      <c r="C1275" s="38" t="s">
        <v>2743</v>
      </c>
      <c r="D1275" s="38" t="s">
        <v>2745</v>
      </c>
      <c r="E1275" s="38" t="s">
        <v>2746</v>
      </c>
      <c r="F1275" s="38">
        <v>798</v>
      </c>
      <c r="G1275" s="38">
        <v>798</v>
      </c>
      <c r="H1275" s="38">
        <f t="shared" si="60"/>
        <v>1820</v>
      </c>
      <c r="I1275" s="38">
        <v>1187</v>
      </c>
      <c r="J1275" s="38">
        <v>633</v>
      </c>
      <c r="K1275" s="38">
        <v>554</v>
      </c>
      <c r="L1275" s="50">
        <f t="shared" si="61"/>
        <v>30.439560439560438</v>
      </c>
      <c r="M1275" s="38">
        <v>188</v>
      </c>
      <c r="N1275" s="50">
        <f t="shared" si="62"/>
        <v>10.329670329670328</v>
      </c>
      <c r="O1275" s="38">
        <v>0</v>
      </c>
      <c r="P1275" s="38">
        <v>0</v>
      </c>
    </row>
    <row r="1276" spans="1:31" x14ac:dyDescent="0.25">
      <c r="A1276" s="38" t="s">
        <v>36</v>
      </c>
      <c r="B1276" s="38" t="s">
        <v>2544</v>
      </c>
      <c r="C1276" s="38" t="s">
        <v>2743</v>
      </c>
      <c r="D1276" s="38" t="s">
        <v>770</v>
      </c>
      <c r="E1276" s="38" t="s">
        <v>2747</v>
      </c>
      <c r="F1276" s="38">
        <v>309</v>
      </c>
      <c r="G1276" s="38">
        <v>309</v>
      </c>
      <c r="H1276" s="38">
        <f t="shared" si="60"/>
        <v>746</v>
      </c>
      <c r="I1276" s="38">
        <v>492</v>
      </c>
      <c r="J1276" s="38">
        <v>254</v>
      </c>
      <c r="K1276" s="38">
        <v>238</v>
      </c>
      <c r="L1276" s="50">
        <f t="shared" si="61"/>
        <v>31.903485254691688</v>
      </c>
      <c r="M1276" s="38">
        <v>0</v>
      </c>
      <c r="N1276" s="50">
        <f t="shared" si="62"/>
        <v>0</v>
      </c>
      <c r="O1276" s="38">
        <v>0</v>
      </c>
      <c r="P1276" s="38">
        <v>0</v>
      </c>
    </row>
    <row r="1277" spans="1:31" x14ac:dyDescent="0.25">
      <c r="A1277" s="38" t="s">
        <v>36</v>
      </c>
      <c r="B1277" s="38" t="s">
        <v>2544</v>
      </c>
      <c r="C1277" s="38" t="s">
        <v>2748</v>
      </c>
      <c r="D1277" s="38" t="s">
        <v>2749</v>
      </c>
      <c r="E1277" s="38" t="s">
        <v>2750</v>
      </c>
      <c r="F1277" s="38">
        <v>696.78</v>
      </c>
      <c r="G1277" s="38">
        <v>696.78</v>
      </c>
      <c r="H1277" s="38">
        <f t="shared" si="60"/>
        <v>1836</v>
      </c>
      <c r="I1277" s="38">
        <v>1203</v>
      </c>
      <c r="J1277" s="38">
        <v>633</v>
      </c>
      <c r="K1277" s="38">
        <v>570</v>
      </c>
      <c r="L1277" s="50">
        <f t="shared" si="61"/>
        <v>31.045751633986928</v>
      </c>
      <c r="M1277" s="38">
        <v>122</v>
      </c>
      <c r="N1277" s="50">
        <f t="shared" si="62"/>
        <v>6.6448801742919397</v>
      </c>
      <c r="O1277" s="38">
        <v>0</v>
      </c>
      <c r="P1277" s="38">
        <v>13.79</v>
      </c>
      <c r="Q1277" s="158" t="s">
        <v>44</v>
      </c>
      <c r="R1277" s="159">
        <v>45288</v>
      </c>
      <c r="S1277" s="182"/>
      <c r="T1277" s="158">
        <v>15</v>
      </c>
      <c r="U1277" s="158"/>
      <c r="V1277" s="158"/>
      <c r="W1277" s="158"/>
      <c r="X1277" s="158"/>
      <c r="Y1277" s="158"/>
      <c r="AB1277" s="16"/>
      <c r="AC1277" s="69" t="s">
        <v>2749</v>
      </c>
      <c r="AD1277" s="182">
        <v>0</v>
      </c>
      <c r="AE1277" s="182">
        <v>0</v>
      </c>
    </row>
    <row r="1278" spans="1:31" x14ac:dyDescent="0.25">
      <c r="A1278" s="38" t="s">
        <v>36</v>
      </c>
      <c r="B1278" s="38" t="s">
        <v>2544</v>
      </c>
      <c r="C1278" s="38" t="s">
        <v>2748</v>
      </c>
      <c r="D1278" s="38" t="s">
        <v>2751</v>
      </c>
      <c r="E1278" s="38" t="s">
        <v>2752</v>
      </c>
      <c r="F1278" s="38">
        <v>1131.6500000000001</v>
      </c>
      <c r="G1278" s="38">
        <v>1131.6500000000001</v>
      </c>
      <c r="H1278" s="38">
        <f t="shared" si="60"/>
        <v>1833</v>
      </c>
      <c r="I1278" s="38">
        <v>1191</v>
      </c>
      <c r="J1278" s="38">
        <v>642</v>
      </c>
      <c r="K1278" s="38">
        <v>549</v>
      </c>
      <c r="L1278" s="50">
        <f t="shared" si="61"/>
        <v>29.950900163666123</v>
      </c>
      <c r="M1278" s="38">
        <v>100</v>
      </c>
      <c r="N1278" s="50">
        <f t="shared" si="62"/>
        <v>5.4555373704309869</v>
      </c>
      <c r="O1278" s="38">
        <v>0</v>
      </c>
      <c r="P1278" s="38">
        <v>12</v>
      </c>
      <c r="Q1278" s="158" t="s">
        <v>44</v>
      </c>
      <c r="R1278" s="159">
        <v>45288</v>
      </c>
      <c r="S1278" s="182"/>
      <c r="T1278" s="158">
        <v>4</v>
      </c>
      <c r="U1278" s="158"/>
      <c r="V1278" s="158"/>
      <c r="W1278" s="158"/>
      <c r="X1278" s="158"/>
      <c r="Y1278" s="158"/>
      <c r="AB1278" s="16"/>
      <c r="AC1278" s="69" t="s">
        <v>2751</v>
      </c>
      <c r="AD1278" s="182">
        <v>0</v>
      </c>
      <c r="AE1278" s="182">
        <v>0</v>
      </c>
    </row>
    <row r="1279" spans="1:31" x14ac:dyDescent="0.25">
      <c r="A1279" s="38" t="s">
        <v>36</v>
      </c>
      <c r="B1279" s="38" t="s">
        <v>2544</v>
      </c>
      <c r="C1279" s="38" t="s">
        <v>2748</v>
      </c>
      <c r="D1279" s="38" t="s">
        <v>2753</v>
      </c>
      <c r="E1279" s="38" t="s">
        <v>2754</v>
      </c>
      <c r="F1279" s="38">
        <v>586.15</v>
      </c>
      <c r="G1279" s="38">
        <v>586.15</v>
      </c>
      <c r="H1279" s="38">
        <f t="shared" si="60"/>
        <v>835</v>
      </c>
      <c r="I1279" s="38">
        <v>549</v>
      </c>
      <c r="J1279" s="38">
        <v>286</v>
      </c>
      <c r="K1279" s="38">
        <v>263</v>
      </c>
      <c r="L1279" s="50">
        <f t="shared" si="61"/>
        <v>31.49700598802395</v>
      </c>
      <c r="M1279" s="38">
        <v>16</v>
      </c>
      <c r="N1279" s="50">
        <f t="shared" si="62"/>
        <v>1.9161676646706587</v>
      </c>
      <c r="O1279" s="38">
        <v>0</v>
      </c>
      <c r="P1279" s="38">
        <v>2.1</v>
      </c>
      <c r="Q1279" s="158" t="s">
        <v>44</v>
      </c>
      <c r="R1279" s="159">
        <v>45288</v>
      </c>
      <c r="S1279" s="182"/>
      <c r="T1279" s="158">
        <v>1.88</v>
      </c>
      <c r="U1279" s="158"/>
      <c r="V1279" s="158"/>
      <c r="W1279" s="158"/>
      <c r="X1279" s="158"/>
      <c r="Y1279" s="158"/>
      <c r="AB1279" s="16"/>
      <c r="AC1279" s="69" t="s">
        <v>2753</v>
      </c>
      <c r="AD1279" s="182">
        <v>0</v>
      </c>
      <c r="AE1279" s="182">
        <v>0</v>
      </c>
    </row>
    <row r="1280" spans="1:31" x14ac:dyDescent="0.25">
      <c r="A1280" s="38" t="s">
        <v>36</v>
      </c>
      <c r="B1280" s="38"/>
      <c r="C1280" s="38"/>
      <c r="D1280" s="38"/>
      <c r="E1280" s="38"/>
      <c r="F1280" s="38"/>
      <c r="G1280" s="38"/>
      <c r="H1280" s="38">
        <f t="shared" si="60"/>
        <v>0</v>
      </c>
      <c r="I1280" s="38"/>
      <c r="J1280" s="38"/>
      <c r="K1280" s="38"/>
      <c r="L1280" s="50"/>
      <c r="M1280" s="38"/>
      <c r="N1280" s="50"/>
      <c r="O1280" s="38"/>
      <c r="P1280" s="38"/>
      <c r="Q1280" s="158" t="s">
        <v>44</v>
      </c>
      <c r="R1280" s="159">
        <v>45288</v>
      </c>
      <c r="S1280" s="182"/>
      <c r="T1280" s="158">
        <v>0.97119999999999995</v>
      </c>
      <c r="U1280" s="158"/>
      <c r="V1280" s="158"/>
      <c r="W1280" s="158"/>
      <c r="X1280" s="158"/>
      <c r="Y1280" s="158"/>
      <c r="AB1280" s="16"/>
      <c r="AC1280" s="69" t="s">
        <v>2755</v>
      </c>
      <c r="AD1280" s="182">
        <v>0</v>
      </c>
      <c r="AE1280" s="182">
        <v>0</v>
      </c>
    </row>
    <row r="1281" spans="1:31" x14ac:dyDescent="0.25">
      <c r="A1281" s="38" t="s">
        <v>36</v>
      </c>
      <c r="B1281" s="38" t="s">
        <v>2544</v>
      </c>
      <c r="C1281" s="38" t="s">
        <v>2748</v>
      </c>
      <c r="D1281" s="38" t="s">
        <v>2753</v>
      </c>
      <c r="E1281" s="38" t="s">
        <v>2754</v>
      </c>
      <c r="F1281" s="38">
        <v>586.15</v>
      </c>
      <c r="G1281" s="38">
        <v>586.15</v>
      </c>
      <c r="H1281" s="38">
        <f t="shared" si="60"/>
        <v>835</v>
      </c>
      <c r="I1281" s="38">
        <v>549</v>
      </c>
      <c r="J1281" s="38">
        <v>286</v>
      </c>
      <c r="K1281" s="38">
        <v>263</v>
      </c>
      <c r="L1281" s="50">
        <f t="shared" si="61"/>
        <v>31.49700598802395</v>
      </c>
      <c r="M1281" s="38">
        <v>16</v>
      </c>
      <c r="N1281" s="50">
        <f t="shared" si="62"/>
        <v>1.9161676646706587</v>
      </c>
      <c r="O1281" s="38">
        <v>0</v>
      </c>
      <c r="P1281" s="38">
        <v>2.1</v>
      </c>
      <c r="Q1281" s="158" t="s">
        <v>44</v>
      </c>
      <c r="R1281" s="159">
        <v>45288</v>
      </c>
      <c r="S1281" s="182"/>
      <c r="T1281" s="158">
        <v>7.2800000000000004E-2</v>
      </c>
      <c r="U1281" s="158"/>
      <c r="V1281" s="158"/>
      <c r="W1281" s="158"/>
      <c r="X1281" s="158"/>
      <c r="Y1281" s="158"/>
      <c r="AB1281" s="16"/>
      <c r="AC1281" s="69" t="s">
        <v>2756</v>
      </c>
      <c r="AD1281" s="182">
        <v>0</v>
      </c>
      <c r="AE1281" s="182">
        <v>0</v>
      </c>
    </row>
    <row r="1282" spans="1:31" x14ac:dyDescent="0.25">
      <c r="A1282" s="38" t="s">
        <v>36</v>
      </c>
      <c r="B1282" s="38" t="s">
        <v>2544</v>
      </c>
      <c r="C1282" s="38" t="s">
        <v>2757</v>
      </c>
      <c r="D1282" s="38" t="s">
        <v>2758</v>
      </c>
      <c r="E1282" s="38" t="s">
        <v>2759</v>
      </c>
      <c r="F1282" s="38">
        <v>869</v>
      </c>
      <c r="G1282" s="38">
        <v>869</v>
      </c>
      <c r="H1282" s="38">
        <f t="shared" si="60"/>
        <v>2176</v>
      </c>
      <c r="I1282" s="38">
        <v>1423</v>
      </c>
      <c r="J1282" s="38">
        <v>753</v>
      </c>
      <c r="K1282" s="38">
        <v>670</v>
      </c>
      <c r="L1282" s="50">
        <f t="shared" si="61"/>
        <v>30.790441176470591</v>
      </c>
      <c r="M1282" s="38">
        <v>79</v>
      </c>
      <c r="N1282" s="50">
        <f t="shared" si="62"/>
        <v>3.6305147058823533</v>
      </c>
      <c r="O1282" s="38">
        <v>121</v>
      </c>
      <c r="P1282" s="38">
        <v>16</v>
      </c>
      <c r="Q1282" s="158" t="s">
        <v>44</v>
      </c>
      <c r="R1282" s="159">
        <v>45280</v>
      </c>
      <c r="S1282" s="160"/>
      <c r="T1282" s="158">
        <v>1.8534999999999999</v>
      </c>
      <c r="U1282" s="158"/>
      <c r="V1282" s="158"/>
      <c r="W1282" s="158"/>
      <c r="X1282" s="158"/>
      <c r="Y1282" s="158"/>
      <c r="AB1282" s="16"/>
      <c r="AC1282" s="69" t="s">
        <v>2758</v>
      </c>
      <c r="AD1282" s="161"/>
      <c r="AE1282" s="160"/>
    </row>
    <row r="1283" spans="1:31" x14ac:dyDescent="0.25">
      <c r="A1283" s="38" t="s">
        <v>36</v>
      </c>
      <c r="B1283" s="38" t="s">
        <v>2544</v>
      </c>
      <c r="C1283" s="38" t="s">
        <v>2757</v>
      </c>
      <c r="D1283" s="38" t="s">
        <v>2760</v>
      </c>
      <c r="E1283" s="38" t="s">
        <v>2761</v>
      </c>
      <c r="F1283" s="38">
        <v>436</v>
      </c>
      <c r="G1283" s="38">
        <v>436</v>
      </c>
      <c r="H1283" s="38">
        <f t="shared" si="60"/>
        <v>381</v>
      </c>
      <c r="I1283" s="38">
        <v>253</v>
      </c>
      <c r="J1283" s="38">
        <v>128</v>
      </c>
      <c r="K1283" s="38">
        <v>125</v>
      </c>
      <c r="L1283" s="50">
        <f t="shared" si="61"/>
        <v>32.808398950131235</v>
      </c>
      <c r="M1283" s="38">
        <v>0</v>
      </c>
      <c r="N1283" s="50">
        <f t="shared" si="62"/>
        <v>0</v>
      </c>
      <c r="O1283" s="38">
        <v>0</v>
      </c>
      <c r="P1283" s="38">
        <v>40</v>
      </c>
      <c r="Q1283" s="158" t="s">
        <v>44</v>
      </c>
      <c r="R1283" s="159">
        <v>45280</v>
      </c>
      <c r="S1283" s="160"/>
      <c r="T1283" s="158">
        <v>5.7545999999999999</v>
      </c>
      <c r="U1283" s="158"/>
      <c r="V1283" s="158"/>
      <c r="W1283" s="158"/>
      <c r="X1283" s="158"/>
      <c r="Y1283" s="158"/>
      <c r="AB1283" s="16"/>
      <c r="AC1283" s="69" t="s">
        <v>2760</v>
      </c>
      <c r="AD1283" s="161"/>
      <c r="AE1283" s="160"/>
    </row>
    <row r="1284" spans="1:31" x14ac:dyDescent="0.25">
      <c r="A1284" s="38" t="s">
        <v>36</v>
      </c>
      <c r="B1284" s="38" t="s">
        <v>2544</v>
      </c>
      <c r="C1284" s="38" t="s">
        <v>2757</v>
      </c>
      <c r="D1284" s="38" t="s">
        <v>2762</v>
      </c>
      <c r="E1284" s="38" t="s">
        <v>2763</v>
      </c>
      <c r="F1284" s="38">
        <v>654</v>
      </c>
      <c r="G1284" s="38">
        <v>654</v>
      </c>
      <c r="H1284" s="38">
        <f t="shared" si="60"/>
        <v>821</v>
      </c>
      <c r="I1284" s="38">
        <v>540</v>
      </c>
      <c r="J1284" s="38">
        <v>281</v>
      </c>
      <c r="K1284" s="38">
        <v>259</v>
      </c>
      <c r="L1284" s="50">
        <f t="shared" si="61"/>
        <v>31.5468940316687</v>
      </c>
      <c r="M1284" s="38">
        <v>4</v>
      </c>
      <c r="N1284" s="50">
        <f t="shared" si="62"/>
        <v>0.48721071863580995</v>
      </c>
      <c r="O1284" s="38">
        <v>0</v>
      </c>
      <c r="P1284" s="38">
        <v>0</v>
      </c>
      <c r="Q1284" s="158" t="s">
        <v>44</v>
      </c>
      <c r="R1284" s="159">
        <v>45280</v>
      </c>
      <c r="S1284" s="160"/>
      <c r="T1284" s="158">
        <v>1.2302</v>
      </c>
      <c r="U1284" s="158"/>
      <c r="V1284" s="158"/>
      <c r="W1284" s="158"/>
      <c r="X1284" s="158"/>
      <c r="Y1284" s="158"/>
      <c r="AB1284" s="16"/>
      <c r="AC1284" s="69" t="s">
        <v>2762</v>
      </c>
      <c r="AD1284" s="161"/>
      <c r="AE1284" s="160"/>
    </row>
    <row r="1285" spans="1:31" x14ac:dyDescent="0.25">
      <c r="A1285" s="38" t="s">
        <v>36</v>
      </c>
      <c r="B1285" s="38" t="s">
        <v>2544</v>
      </c>
      <c r="C1285" s="38" t="s">
        <v>2757</v>
      </c>
      <c r="D1285" s="38" t="s">
        <v>2764</v>
      </c>
      <c r="E1285" s="38" t="s">
        <v>2765</v>
      </c>
      <c r="F1285" s="38">
        <v>289</v>
      </c>
      <c r="G1285" s="38">
        <v>289</v>
      </c>
      <c r="H1285" s="38">
        <f t="shared" ref="H1285:H1348" si="63">I1285+J1285</f>
        <v>638</v>
      </c>
      <c r="I1285" s="38">
        <v>413</v>
      </c>
      <c r="J1285" s="38">
        <v>225</v>
      </c>
      <c r="K1285" s="38">
        <v>188</v>
      </c>
      <c r="L1285" s="50">
        <f t="shared" si="61"/>
        <v>29.467084639498431</v>
      </c>
      <c r="M1285" s="38">
        <v>0</v>
      </c>
      <c r="N1285" s="50">
        <f t="shared" si="62"/>
        <v>0</v>
      </c>
      <c r="O1285" s="38">
        <v>0</v>
      </c>
      <c r="P1285" s="38">
        <v>0</v>
      </c>
      <c r="Q1285" s="158" t="s">
        <v>44</v>
      </c>
      <c r="R1285" s="159">
        <v>45280</v>
      </c>
      <c r="S1285" s="160"/>
      <c r="T1285" s="158">
        <v>0</v>
      </c>
      <c r="U1285" s="158"/>
      <c r="V1285" s="158"/>
      <c r="W1285" s="158"/>
      <c r="X1285" s="158"/>
      <c r="Y1285" s="158"/>
      <c r="AB1285" s="16"/>
      <c r="AC1285" s="69" t="s">
        <v>2764</v>
      </c>
      <c r="AD1285" s="161"/>
      <c r="AE1285" s="160"/>
    </row>
    <row r="1286" spans="1:31" x14ac:dyDescent="0.25">
      <c r="A1286" s="38" t="s">
        <v>36</v>
      </c>
      <c r="B1286" s="38" t="s">
        <v>2544</v>
      </c>
      <c r="C1286" s="38" t="s">
        <v>2757</v>
      </c>
      <c r="D1286" s="38" t="s">
        <v>2766</v>
      </c>
      <c r="E1286" s="38" t="s">
        <v>2767</v>
      </c>
      <c r="F1286" s="38">
        <v>344</v>
      </c>
      <c r="G1286" s="38">
        <v>344</v>
      </c>
      <c r="H1286" s="38">
        <f t="shared" si="63"/>
        <v>660</v>
      </c>
      <c r="I1286" s="38">
        <v>438</v>
      </c>
      <c r="J1286" s="38">
        <v>222</v>
      </c>
      <c r="K1286" s="38">
        <v>216</v>
      </c>
      <c r="L1286" s="50">
        <f t="shared" ref="L1286:L1349" si="64">K1286/H1286*100</f>
        <v>32.727272727272727</v>
      </c>
      <c r="M1286" s="38">
        <v>0</v>
      </c>
      <c r="N1286" s="50">
        <f t="shared" si="62"/>
        <v>0</v>
      </c>
      <c r="O1286" s="38">
        <v>0</v>
      </c>
      <c r="P1286" s="38">
        <v>0</v>
      </c>
      <c r="Q1286" s="158" t="s">
        <v>44</v>
      </c>
      <c r="R1286" s="159">
        <v>45280</v>
      </c>
      <c r="S1286" s="160"/>
      <c r="T1286" s="158">
        <v>0</v>
      </c>
      <c r="U1286" s="158"/>
      <c r="V1286" s="158"/>
      <c r="W1286" s="158"/>
      <c r="X1286" s="158"/>
      <c r="Y1286" s="158"/>
      <c r="AB1286" s="16"/>
      <c r="AC1286" s="69" t="s">
        <v>2766</v>
      </c>
      <c r="AD1286" s="161"/>
      <c r="AE1286" s="160"/>
    </row>
    <row r="1287" spans="1:31" x14ac:dyDescent="0.25">
      <c r="A1287" s="38" t="s">
        <v>36</v>
      </c>
      <c r="B1287" s="38" t="s">
        <v>2544</v>
      </c>
      <c r="C1287" s="38" t="s">
        <v>2757</v>
      </c>
      <c r="D1287" s="38" t="s">
        <v>2768</v>
      </c>
      <c r="E1287" s="38" t="s">
        <v>2769</v>
      </c>
      <c r="F1287" s="38">
        <v>338</v>
      </c>
      <c r="G1287" s="38">
        <v>338</v>
      </c>
      <c r="H1287" s="38">
        <f t="shared" si="63"/>
        <v>964</v>
      </c>
      <c r="I1287" s="38">
        <v>630</v>
      </c>
      <c r="J1287" s="38">
        <v>334</v>
      </c>
      <c r="K1287" s="38">
        <v>296</v>
      </c>
      <c r="L1287" s="50">
        <f t="shared" si="64"/>
        <v>30.70539419087137</v>
      </c>
      <c r="M1287" s="38">
        <v>1</v>
      </c>
      <c r="N1287" s="50">
        <f t="shared" si="62"/>
        <v>0.1037344398340249</v>
      </c>
      <c r="O1287" s="38">
        <v>0</v>
      </c>
      <c r="P1287" s="38">
        <v>0</v>
      </c>
      <c r="Q1287" s="158" t="s">
        <v>44</v>
      </c>
      <c r="R1287" s="159">
        <v>45280</v>
      </c>
      <c r="S1287" s="160"/>
      <c r="T1287" s="158">
        <v>0</v>
      </c>
      <c r="U1287" s="158"/>
      <c r="V1287" s="158"/>
      <c r="W1287" s="158"/>
      <c r="X1287" s="158"/>
      <c r="Y1287" s="158"/>
      <c r="AB1287" s="16"/>
      <c r="AC1287" s="69" t="s">
        <v>2768</v>
      </c>
      <c r="AD1287" s="161"/>
      <c r="AE1287" s="160"/>
    </row>
    <row r="1288" spans="1:31" x14ac:dyDescent="0.25">
      <c r="A1288" s="38" t="s">
        <v>36</v>
      </c>
      <c r="B1288" s="38" t="s">
        <v>2544</v>
      </c>
      <c r="C1288" s="38" t="s">
        <v>2757</v>
      </c>
      <c r="D1288" s="38" t="s">
        <v>2770</v>
      </c>
      <c r="E1288" s="38" t="s">
        <v>2771</v>
      </c>
      <c r="F1288" s="38">
        <v>462</v>
      </c>
      <c r="G1288" s="38">
        <v>462</v>
      </c>
      <c r="H1288" s="38">
        <f t="shared" si="63"/>
        <v>809</v>
      </c>
      <c r="I1288" s="38">
        <v>530</v>
      </c>
      <c r="J1288" s="38">
        <v>279</v>
      </c>
      <c r="K1288" s="38">
        <v>251</v>
      </c>
      <c r="L1288" s="50">
        <f t="shared" si="64"/>
        <v>31.025957972805934</v>
      </c>
      <c r="M1288" s="38">
        <v>0</v>
      </c>
      <c r="N1288" s="50">
        <f t="shared" si="62"/>
        <v>0</v>
      </c>
      <c r="O1288" s="38">
        <v>0</v>
      </c>
      <c r="P1288" s="38">
        <v>0</v>
      </c>
      <c r="Q1288" s="158" t="s">
        <v>44</v>
      </c>
      <c r="R1288" s="159">
        <v>45280</v>
      </c>
      <c r="S1288" s="160"/>
      <c r="T1288" s="158">
        <v>0.01</v>
      </c>
      <c r="U1288" s="158"/>
      <c r="V1288" s="158"/>
      <c r="W1288" s="158"/>
      <c r="X1288" s="158"/>
      <c r="Y1288" s="158"/>
      <c r="AB1288" s="16"/>
      <c r="AC1288" s="69" t="s">
        <v>2770</v>
      </c>
      <c r="AD1288" s="161"/>
      <c r="AE1288" s="160"/>
    </row>
    <row r="1289" spans="1:31" x14ac:dyDescent="0.25">
      <c r="A1289" s="38" t="s">
        <v>36</v>
      </c>
      <c r="B1289" s="38" t="s">
        <v>2544</v>
      </c>
      <c r="C1289" s="38" t="s">
        <v>2757</v>
      </c>
      <c r="D1289" s="38" t="s">
        <v>2772</v>
      </c>
      <c r="E1289" s="38" t="s">
        <v>2773</v>
      </c>
      <c r="F1289" s="38">
        <v>655</v>
      </c>
      <c r="G1289" s="38">
        <v>655</v>
      </c>
      <c r="H1289" s="38">
        <f t="shared" si="63"/>
        <v>1259</v>
      </c>
      <c r="I1289" s="38">
        <v>821</v>
      </c>
      <c r="J1289" s="38">
        <v>438</v>
      </c>
      <c r="K1289" s="38">
        <v>383</v>
      </c>
      <c r="L1289" s="50">
        <f t="shared" si="64"/>
        <v>30.420969023034157</v>
      </c>
      <c r="M1289" s="38">
        <v>19</v>
      </c>
      <c r="N1289" s="50">
        <f t="shared" si="62"/>
        <v>1.5091342335186657</v>
      </c>
      <c r="O1289" s="38">
        <v>0</v>
      </c>
      <c r="P1289" s="38">
        <v>144</v>
      </c>
      <c r="Q1289" s="158" t="s">
        <v>44</v>
      </c>
      <c r="R1289" s="159">
        <v>45280</v>
      </c>
      <c r="S1289" s="160"/>
      <c r="T1289" s="158">
        <v>0</v>
      </c>
      <c r="U1289" s="158"/>
      <c r="V1289" s="158"/>
      <c r="W1289" s="158"/>
      <c r="X1289" s="158"/>
      <c r="Y1289" s="158"/>
      <c r="AB1289" s="16"/>
      <c r="AC1289" s="69" t="s">
        <v>2772</v>
      </c>
      <c r="AD1289" s="161"/>
      <c r="AE1289" s="160"/>
    </row>
    <row r="1290" spans="1:31" x14ac:dyDescent="0.25">
      <c r="A1290" s="38" t="s">
        <v>36</v>
      </c>
      <c r="B1290" s="38" t="s">
        <v>2544</v>
      </c>
      <c r="C1290" s="38" t="s">
        <v>2774</v>
      </c>
      <c r="D1290" s="38" t="s">
        <v>2775</v>
      </c>
      <c r="E1290" s="38" t="s">
        <v>2776</v>
      </c>
      <c r="F1290" s="38">
        <v>1481</v>
      </c>
      <c r="G1290" s="38">
        <v>1481</v>
      </c>
      <c r="H1290" s="38">
        <f t="shared" si="63"/>
        <v>3148</v>
      </c>
      <c r="I1290" s="38">
        <v>2078</v>
      </c>
      <c r="J1290" s="38">
        <v>1070</v>
      </c>
      <c r="K1290" s="38">
        <v>1008</v>
      </c>
      <c r="L1290" s="50">
        <f t="shared" si="64"/>
        <v>32.020330368487933</v>
      </c>
      <c r="M1290" s="38">
        <v>40</v>
      </c>
      <c r="N1290" s="50">
        <f t="shared" si="62"/>
        <v>1.2706480304955527</v>
      </c>
      <c r="O1290" s="38">
        <v>0</v>
      </c>
      <c r="P1290" s="38">
        <v>20.9</v>
      </c>
      <c r="Q1290" s="158" t="s">
        <v>44</v>
      </c>
      <c r="R1290" s="15" t="s">
        <v>2627</v>
      </c>
      <c r="S1290" s="160"/>
      <c r="T1290" s="158">
        <v>41.415500000000002</v>
      </c>
      <c r="U1290" s="158"/>
      <c r="V1290" s="158"/>
      <c r="W1290" s="158"/>
      <c r="X1290" s="158"/>
      <c r="Y1290" s="158"/>
      <c r="AB1290" s="16"/>
      <c r="AC1290" s="33" t="s">
        <v>2775</v>
      </c>
      <c r="AD1290" s="161"/>
      <c r="AE1290" s="160"/>
    </row>
    <row r="1291" spans="1:31" x14ac:dyDescent="0.25">
      <c r="A1291" s="38" t="s">
        <v>36</v>
      </c>
      <c r="B1291" s="38" t="s">
        <v>2544</v>
      </c>
      <c r="C1291" s="38" t="s">
        <v>2774</v>
      </c>
      <c r="D1291" s="33" t="s">
        <v>2777</v>
      </c>
      <c r="E1291" s="38"/>
      <c r="F1291" s="38"/>
      <c r="G1291" s="38"/>
      <c r="H1291" s="38">
        <f t="shared" si="63"/>
        <v>0</v>
      </c>
      <c r="I1291" s="38"/>
      <c r="J1291" s="38"/>
      <c r="K1291" s="38"/>
      <c r="L1291" s="50"/>
      <c r="M1291" s="38"/>
      <c r="N1291" s="50"/>
      <c r="O1291" s="38"/>
      <c r="P1291" s="38"/>
      <c r="Q1291" s="158" t="s">
        <v>44</v>
      </c>
      <c r="R1291" s="15" t="s">
        <v>2627</v>
      </c>
      <c r="S1291" s="160"/>
      <c r="T1291" s="158">
        <v>9.3887</v>
      </c>
      <c r="U1291" s="158"/>
      <c r="V1291" s="158"/>
      <c r="W1291" s="158"/>
      <c r="X1291" s="158"/>
      <c r="Y1291" s="158"/>
      <c r="AB1291" s="16">
        <v>16</v>
      </c>
      <c r="AC1291" s="33" t="s">
        <v>2777</v>
      </c>
      <c r="AD1291" s="161">
        <v>25.214981999999999</v>
      </c>
      <c r="AE1291" s="160">
        <v>71.333332999999996</v>
      </c>
    </row>
    <row r="1292" spans="1:31" x14ac:dyDescent="0.25">
      <c r="A1292" s="38" t="s">
        <v>36</v>
      </c>
      <c r="B1292" s="38" t="s">
        <v>2544</v>
      </c>
      <c r="C1292" s="38" t="s">
        <v>2774</v>
      </c>
      <c r="D1292" s="33" t="s">
        <v>2778</v>
      </c>
      <c r="E1292" s="38"/>
      <c r="F1292" s="38"/>
      <c r="G1292" s="38"/>
      <c r="H1292" s="38">
        <f t="shared" si="63"/>
        <v>0</v>
      </c>
      <c r="I1292" s="38"/>
      <c r="J1292" s="38"/>
      <c r="K1292" s="38"/>
      <c r="L1292" s="50"/>
      <c r="M1292" s="38"/>
      <c r="N1292" s="50"/>
      <c r="O1292" s="38"/>
      <c r="P1292" s="38"/>
      <c r="Q1292" s="158" t="s">
        <v>44</v>
      </c>
      <c r="R1292" s="15" t="s">
        <v>2627</v>
      </c>
      <c r="S1292" s="160"/>
      <c r="T1292" s="158">
        <v>12</v>
      </c>
      <c r="U1292" s="158"/>
      <c r="V1292" s="158"/>
      <c r="W1292" s="158"/>
      <c r="X1292" s="158"/>
      <c r="Y1292" s="158"/>
      <c r="AB1292" s="16"/>
      <c r="AC1292" s="33" t="s">
        <v>2778</v>
      </c>
      <c r="AD1292" s="161"/>
      <c r="AE1292" s="160"/>
    </row>
    <row r="1293" spans="1:31" x14ac:dyDescent="0.25">
      <c r="A1293" s="38" t="s">
        <v>36</v>
      </c>
      <c r="B1293" s="38" t="s">
        <v>2544</v>
      </c>
      <c r="C1293" s="38" t="s">
        <v>2774</v>
      </c>
      <c r="D1293" s="38" t="s">
        <v>2779</v>
      </c>
      <c r="E1293" s="38" t="s">
        <v>2780</v>
      </c>
      <c r="F1293" s="38">
        <v>202</v>
      </c>
      <c r="G1293" s="38">
        <v>202</v>
      </c>
      <c r="H1293" s="38">
        <f t="shared" si="63"/>
        <v>488</v>
      </c>
      <c r="I1293" s="38">
        <v>326</v>
      </c>
      <c r="J1293" s="38">
        <v>162</v>
      </c>
      <c r="K1293" s="38">
        <v>164</v>
      </c>
      <c r="L1293" s="50">
        <f t="shared" si="64"/>
        <v>33.606557377049178</v>
      </c>
      <c r="M1293" s="38">
        <v>0</v>
      </c>
      <c r="N1293" s="50">
        <f t="shared" si="62"/>
        <v>0</v>
      </c>
      <c r="O1293" s="38">
        <v>0</v>
      </c>
      <c r="P1293" s="38">
        <v>0</v>
      </c>
      <c r="Q1293" s="158" t="s">
        <v>44</v>
      </c>
      <c r="R1293" s="15" t="s">
        <v>2627</v>
      </c>
      <c r="S1293" s="160"/>
      <c r="T1293" s="158">
        <v>39.764400000000002</v>
      </c>
      <c r="U1293" s="158"/>
      <c r="V1293" s="158"/>
      <c r="W1293" s="158"/>
      <c r="X1293" s="158"/>
      <c r="Y1293" s="158"/>
      <c r="AB1293" s="16"/>
      <c r="AC1293" s="33" t="s">
        <v>2779</v>
      </c>
      <c r="AD1293" s="161"/>
      <c r="AE1293" s="160"/>
    </row>
    <row r="1294" spans="1:31" x14ac:dyDescent="0.25">
      <c r="A1294" s="38" t="s">
        <v>36</v>
      </c>
      <c r="B1294" s="38" t="s">
        <v>2544</v>
      </c>
      <c r="C1294" s="38" t="s">
        <v>2781</v>
      </c>
      <c r="D1294" s="38" t="s">
        <v>2781</v>
      </c>
      <c r="E1294" s="38" t="s">
        <v>2782</v>
      </c>
      <c r="F1294" s="38">
        <v>1300</v>
      </c>
      <c r="G1294" s="38">
        <v>1300</v>
      </c>
      <c r="H1294" s="38">
        <f t="shared" si="63"/>
        <v>1663</v>
      </c>
      <c r="I1294" s="38">
        <v>1092</v>
      </c>
      <c r="J1294" s="38">
        <v>571</v>
      </c>
      <c r="K1294" s="38">
        <v>521</v>
      </c>
      <c r="L1294" s="50">
        <f t="shared" si="64"/>
        <v>31.328923631990378</v>
      </c>
      <c r="M1294" s="38">
        <v>39</v>
      </c>
      <c r="N1294" s="50">
        <f t="shared" si="62"/>
        <v>2.3451593505712567</v>
      </c>
      <c r="O1294" s="38">
        <v>0</v>
      </c>
      <c r="P1294" s="38">
        <v>379</v>
      </c>
      <c r="Q1294" s="158" t="s">
        <v>44</v>
      </c>
      <c r="R1294" s="15" t="s">
        <v>2783</v>
      </c>
      <c r="S1294" s="160"/>
      <c r="T1294" s="158">
        <v>1.1331</v>
      </c>
      <c r="U1294" s="158"/>
      <c r="V1294" s="158"/>
      <c r="W1294" s="158"/>
      <c r="X1294" s="158"/>
      <c r="Y1294" s="158"/>
      <c r="AB1294" s="16">
        <v>1</v>
      </c>
      <c r="AC1294" s="33" t="s">
        <v>2781</v>
      </c>
      <c r="AD1294" s="161">
        <v>25.141242999999999</v>
      </c>
      <c r="AE1294" s="160">
        <v>71.244163</v>
      </c>
    </row>
    <row r="1295" spans="1:31" x14ac:dyDescent="0.25">
      <c r="A1295" s="38" t="s">
        <v>36</v>
      </c>
      <c r="B1295" s="38"/>
      <c r="C1295" s="38"/>
      <c r="D1295" s="38"/>
      <c r="E1295" s="38"/>
      <c r="F1295" s="38"/>
      <c r="G1295" s="38"/>
      <c r="H1295" s="38">
        <f t="shared" si="63"/>
        <v>0</v>
      </c>
      <c r="I1295" s="38"/>
      <c r="J1295" s="38"/>
      <c r="K1295" s="38"/>
      <c r="L1295" s="50"/>
      <c r="M1295" s="38"/>
      <c r="N1295" s="50"/>
      <c r="O1295" s="38"/>
      <c r="P1295" s="38"/>
      <c r="Q1295" s="158" t="s">
        <v>44</v>
      </c>
      <c r="R1295" s="15" t="s">
        <v>2783</v>
      </c>
      <c r="S1295" s="160"/>
      <c r="T1295" s="158">
        <v>95</v>
      </c>
      <c r="U1295" s="158"/>
      <c r="V1295" s="158"/>
      <c r="W1295" s="158"/>
      <c r="X1295" s="158"/>
      <c r="Y1295" s="158"/>
      <c r="AB1295" s="16"/>
      <c r="AC1295" s="33" t="s">
        <v>2784</v>
      </c>
      <c r="AD1295" s="161"/>
      <c r="AE1295" s="160"/>
    </row>
    <row r="1296" spans="1:31" x14ac:dyDescent="0.25">
      <c r="A1296" s="38" t="s">
        <v>36</v>
      </c>
      <c r="B1296" s="38" t="s">
        <v>2544</v>
      </c>
      <c r="C1296" s="38" t="s">
        <v>2781</v>
      </c>
      <c r="D1296" s="38" t="s">
        <v>2785</v>
      </c>
      <c r="E1296" s="38" t="s">
        <v>2786</v>
      </c>
      <c r="F1296" s="38">
        <v>469</v>
      </c>
      <c r="G1296" s="38">
        <v>469</v>
      </c>
      <c r="H1296" s="38">
        <f t="shared" si="63"/>
        <v>1513</v>
      </c>
      <c r="I1296" s="38">
        <v>990</v>
      </c>
      <c r="J1296" s="38">
        <v>523</v>
      </c>
      <c r="K1296" s="38">
        <v>467</v>
      </c>
      <c r="L1296" s="50">
        <f t="shared" si="64"/>
        <v>30.865829477858558</v>
      </c>
      <c r="M1296" s="38">
        <v>98</v>
      </c>
      <c r="N1296" s="50">
        <f t="shared" si="62"/>
        <v>6.4771976206212818</v>
      </c>
      <c r="O1296" s="38">
        <v>0</v>
      </c>
      <c r="P1296" s="38">
        <v>5</v>
      </c>
      <c r="Q1296" s="158" t="s">
        <v>44</v>
      </c>
      <c r="R1296" s="15" t="s">
        <v>2783</v>
      </c>
      <c r="S1296" s="160"/>
      <c r="T1296" s="158">
        <v>6.0297999999999998</v>
      </c>
      <c r="U1296" s="158"/>
      <c r="V1296" s="158"/>
      <c r="W1296" s="158"/>
      <c r="X1296" s="158"/>
      <c r="Y1296" s="158"/>
      <c r="AB1296" s="16"/>
      <c r="AC1296" s="33" t="s">
        <v>2785</v>
      </c>
      <c r="AD1296" s="161"/>
      <c r="AE1296" s="160"/>
    </row>
    <row r="1297" spans="1:31" x14ac:dyDescent="0.25">
      <c r="A1297" s="38" t="s">
        <v>36</v>
      </c>
      <c r="B1297" s="38" t="s">
        <v>2544</v>
      </c>
      <c r="C1297" s="38" t="s">
        <v>2781</v>
      </c>
      <c r="D1297" s="38" t="s">
        <v>1815</v>
      </c>
      <c r="E1297" s="38" t="s">
        <v>2787</v>
      </c>
      <c r="F1297" s="38">
        <v>265</v>
      </c>
      <c r="G1297" s="38">
        <v>265</v>
      </c>
      <c r="H1297" s="38">
        <f t="shared" si="63"/>
        <v>488</v>
      </c>
      <c r="I1297" s="38">
        <v>315</v>
      </c>
      <c r="J1297" s="38">
        <v>173</v>
      </c>
      <c r="K1297" s="38">
        <v>142</v>
      </c>
      <c r="L1297" s="50">
        <f t="shared" si="64"/>
        <v>29.098360655737704</v>
      </c>
      <c r="M1297" s="38">
        <v>26</v>
      </c>
      <c r="N1297" s="50">
        <f t="shared" si="62"/>
        <v>5.3278688524590159</v>
      </c>
      <c r="O1297" s="38">
        <v>0</v>
      </c>
      <c r="P1297" s="38">
        <v>62</v>
      </c>
      <c r="Q1297" s="158" t="s">
        <v>44</v>
      </c>
      <c r="R1297" s="15" t="s">
        <v>2783</v>
      </c>
      <c r="S1297" s="160"/>
      <c r="T1297" s="158">
        <v>61.431199999999997</v>
      </c>
      <c r="U1297" s="158"/>
      <c r="V1297" s="158"/>
      <c r="W1297" s="158"/>
      <c r="X1297" s="158"/>
      <c r="Y1297" s="158"/>
      <c r="AB1297" s="16">
        <v>20</v>
      </c>
      <c r="AC1297" s="33" t="s">
        <v>1815</v>
      </c>
      <c r="AD1297" s="161">
        <v>25.154605</v>
      </c>
      <c r="AE1297" s="160">
        <v>71.237247999999994</v>
      </c>
    </row>
    <row r="1298" spans="1:31" x14ac:dyDescent="0.25">
      <c r="A1298" s="38" t="s">
        <v>36</v>
      </c>
      <c r="B1298" s="38" t="s">
        <v>2544</v>
      </c>
      <c r="C1298" s="38" t="s">
        <v>2788</v>
      </c>
      <c r="D1298" s="38" t="s">
        <v>2788</v>
      </c>
      <c r="E1298" s="38" t="s">
        <v>2789</v>
      </c>
      <c r="F1298" s="38">
        <v>347.49</v>
      </c>
      <c r="G1298" s="38">
        <v>347.49</v>
      </c>
      <c r="H1298" s="38">
        <f t="shared" si="63"/>
        <v>420</v>
      </c>
      <c r="I1298" s="38">
        <v>277</v>
      </c>
      <c r="J1298" s="38">
        <v>143</v>
      </c>
      <c r="K1298" s="38">
        <v>134</v>
      </c>
      <c r="L1298" s="50">
        <f t="shared" si="64"/>
        <v>31.904761904761902</v>
      </c>
      <c r="M1298" s="38">
        <v>0</v>
      </c>
      <c r="N1298" s="50">
        <f t="shared" si="62"/>
        <v>0</v>
      </c>
      <c r="O1298" s="38">
        <v>0</v>
      </c>
      <c r="P1298" s="38">
        <v>0</v>
      </c>
    </row>
    <row r="1299" spans="1:31" x14ac:dyDescent="0.25">
      <c r="A1299" s="38" t="s">
        <v>36</v>
      </c>
      <c r="B1299" s="38" t="s">
        <v>2544</v>
      </c>
      <c r="C1299" s="38" t="s">
        <v>2788</v>
      </c>
      <c r="D1299" s="38" t="s">
        <v>2790</v>
      </c>
      <c r="E1299" s="38" t="s">
        <v>2791</v>
      </c>
      <c r="F1299" s="38">
        <v>169.13</v>
      </c>
      <c r="G1299" s="38">
        <v>169.13</v>
      </c>
      <c r="H1299" s="38">
        <f t="shared" si="63"/>
        <v>565</v>
      </c>
      <c r="I1299" s="38">
        <v>368</v>
      </c>
      <c r="J1299" s="38">
        <v>197</v>
      </c>
      <c r="K1299" s="38">
        <v>171</v>
      </c>
      <c r="L1299" s="50">
        <f t="shared" si="64"/>
        <v>30.265486725663713</v>
      </c>
      <c r="M1299" s="38">
        <v>55</v>
      </c>
      <c r="N1299" s="50">
        <f t="shared" si="62"/>
        <v>9.7345132743362832</v>
      </c>
      <c r="O1299" s="38">
        <v>0</v>
      </c>
      <c r="P1299" s="38">
        <v>0</v>
      </c>
    </row>
    <row r="1300" spans="1:31" x14ac:dyDescent="0.25">
      <c r="A1300" s="38" t="s">
        <v>36</v>
      </c>
      <c r="B1300" s="38" t="s">
        <v>2544</v>
      </c>
      <c r="C1300" s="38" t="s">
        <v>2788</v>
      </c>
      <c r="D1300" s="38" t="s">
        <v>2792</v>
      </c>
      <c r="E1300" s="38" t="s">
        <v>2793</v>
      </c>
      <c r="F1300" s="38">
        <v>331.34</v>
      </c>
      <c r="G1300" s="38">
        <v>331.34</v>
      </c>
      <c r="H1300" s="38">
        <f t="shared" si="63"/>
        <v>645</v>
      </c>
      <c r="I1300" s="38">
        <v>421</v>
      </c>
      <c r="J1300" s="38">
        <v>224</v>
      </c>
      <c r="K1300" s="38">
        <v>197</v>
      </c>
      <c r="L1300" s="50">
        <f t="shared" si="64"/>
        <v>30.54263565891473</v>
      </c>
      <c r="M1300" s="38">
        <v>0</v>
      </c>
      <c r="N1300" s="50">
        <f t="shared" si="62"/>
        <v>0</v>
      </c>
      <c r="O1300" s="38">
        <v>0</v>
      </c>
      <c r="P1300" s="38">
        <v>0</v>
      </c>
    </row>
    <row r="1301" spans="1:31" x14ac:dyDescent="0.25">
      <c r="A1301" s="38" t="s">
        <v>36</v>
      </c>
      <c r="B1301" s="38" t="s">
        <v>2544</v>
      </c>
      <c r="C1301" s="38" t="s">
        <v>2788</v>
      </c>
      <c r="D1301" s="38" t="s">
        <v>2794</v>
      </c>
      <c r="E1301" s="38" t="s">
        <v>2795</v>
      </c>
      <c r="F1301" s="38">
        <v>408.15</v>
      </c>
      <c r="G1301" s="38">
        <v>408.15</v>
      </c>
      <c r="H1301" s="38">
        <f t="shared" si="63"/>
        <v>610</v>
      </c>
      <c r="I1301" s="38">
        <v>401</v>
      </c>
      <c r="J1301" s="38">
        <v>209</v>
      </c>
      <c r="K1301" s="38">
        <v>192</v>
      </c>
      <c r="L1301" s="50">
        <f t="shared" si="64"/>
        <v>31.475409836065577</v>
      </c>
      <c r="M1301" s="38">
        <v>0</v>
      </c>
      <c r="N1301" s="50">
        <f t="shared" si="62"/>
        <v>0</v>
      </c>
      <c r="O1301" s="38">
        <v>0</v>
      </c>
      <c r="P1301" s="38">
        <v>0</v>
      </c>
    </row>
    <row r="1302" spans="1:31" x14ac:dyDescent="0.25">
      <c r="A1302" s="38" t="s">
        <v>36</v>
      </c>
      <c r="B1302" s="38" t="s">
        <v>2544</v>
      </c>
      <c r="C1302" s="38" t="s">
        <v>2788</v>
      </c>
      <c r="D1302" s="38" t="s">
        <v>2796</v>
      </c>
      <c r="E1302" s="38" t="s">
        <v>2797</v>
      </c>
      <c r="F1302" s="38">
        <v>287.58999999999997</v>
      </c>
      <c r="G1302" s="38">
        <v>287.58999999999997</v>
      </c>
      <c r="H1302" s="38">
        <f t="shared" si="63"/>
        <v>524</v>
      </c>
      <c r="I1302" s="38">
        <v>343</v>
      </c>
      <c r="J1302" s="38">
        <v>181</v>
      </c>
      <c r="K1302" s="38">
        <v>162</v>
      </c>
      <c r="L1302" s="50">
        <f t="shared" si="64"/>
        <v>30.916030534351147</v>
      </c>
      <c r="M1302" s="38">
        <v>0</v>
      </c>
      <c r="N1302" s="50">
        <f t="shared" si="62"/>
        <v>0</v>
      </c>
      <c r="O1302" s="38">
        <v>0</v>
      </c>
      <c r="P1302" s="38">
        <v>0</v>
      </c>
    </row>
    <row r="1303" spans="1:31" x14ac:dyDescent="0.25">
      <c r="A1303" s="38" t="s">
        <v>36</v>
      </c>
      <c r="B1303" s="38" t="s">
        <v>2544</v>
      </c>
      <c r="C1303" s="38" t="s">
        <v>2798</v>
      </c>
      <c r="D1303" s="38" t="s">
        <v>2798</v>
      </c>
      <c r="E1303" s="38" t="s">
        <v>2799</v>
      </c>
      <c r="F1303" s="38">
        <v>362</v>
      </c>
      <c r="G1303" s="38">
        <v>362</v>
      </c>
      <c r="H1303" s="38">
        <f t="shared" si="63"/>
        <v>827</v>
      </c>
      <c r="I1303" s="38">
        <v>539</v>
      </c>
      <c r="J1303" s="38">
        <v>288</v>
      </c>
      <c r="K1303" s="38">
        <v>251</v>
      </c>
      <c r="L1303" s="50">
        <f t="shared" si="64"/>
        <v>30.350665054413543</v>
      </c>
      <c r="M1303" s="38">
        <v>92</v>
      </c>
      <c r="N1303" s="50">
        <f t="shared" si="62"/>
        <v>11.124546553808948</v>
      </c>
      <c r="O1303" s="38">
        <v>0</v>
      </c>
      <c r="P1303" s="38">
        <v>47.42</v>
      </c>
    </row>
    <row r="1304" spans="1:31" x14ac:dyDescent="0.25">
      <c r="A1304" s="38" t="s">
        <v>36</v>
      </c>
      <c r="B1304" s="38" t="s">
        <v>2544</v>
      </c>
      <c r="C1304" s="38" t="s">
        <v>2798</v>
      </c>
      <c r="D1304" s="38" t="s">
        <v>2800</v>
      </c>
      <c r="E1304" s="38" t="s">
        <v>2801</v>
      </c>
      <c r="F1304" s="38">
        <v>365</v>
      </c>
      <c r="G1304" s="38">
        <v>365</v>
      </c>
      <c r="H1304" s="38">
        <f t="shared" si="63"/>
        <v>462</v>
      </c>
      <c r="I1304" s="38">
        <v>303</v>
      </c>
      <c r="J1304" s="38">
        <v>159</v>
      </c>
      <c r="K1304" s="38">
        <v>144</v>
      </c>
      <c r="L1304" s="50">
        <f t="shared" si="64"/>
        <v>31.168831168831169</v>
      </c>
      <c r="M1304" s="38">
        <v>0</v>
      </c>
      <c r="N1304" s="50">
        <f t="shared" si="62"/>
        <v>0</v>
      </c>
      <c r="O1304" s="38">
        <v>0</v>
      </c>
      <c r="P1304" s="38">
        <v>0</v>
      </c>
    </row>
    <row r="1305" spans="1:31" x14ac:dyDescent="0.25">
      <c r="A1305" s="38" t="s">
        <v>36</v>
      </c>
      <c r="B1305" s="38" t="s">
        <v>2544</v>
      </c>
      <c r="C1305" s="38" t="s">
        <v>2798</v>
      </c>
      <c r="D1305" s="38" t="s">
        <v>2802</v>
      </c>
      <c r="E1305" s="38" t="s">
        <v>2803</v>
      </c>
      <c r="F1305" s="38">
        <v>370</v>
      </c>
      <c r="G1305" s="38">
        <v>370</v>
      </c>
      <c r="H1305" s="38">
        <f t="shared" si="63"/>
        <v>425</v>
      </c>
      <c r="I1305" s="38">
        <v>281</v>
      </c>
      <c r="J1305" s="38">
        <v>144</v>
      </c>
      <c r="K1305" s="38">
        <v>137</v>
      </c>
      <c r="L1305" s="50">
        <f t="shared" si="64"/>
        <v>32.235294117647058</v>
      </c>
      <c r="M1305" s="38">
        <v>0</v>
      </c>
      <c r="N1305" s="50">
        <f t="shared" si="62"/>
        <v>0</v>
      </c>
      <c r="O1305" s="38">
        <v>0</v>
      </c>
      <c r="P1305" s="38">
        <v>32</v>
      </c>
    </row>
    <row r="1306" spans="1:31" x14ac:dyDescent="0.25">
      <c r="A1306" s="38" t="s">
        <v>36</v>
      </c>
      <c r="B1306" s="38" t="s">
        <v>2544</v>
      </c>
      <c r="C1306" s="38" t="s">
        <v>2798</v>
      </c>
      <c r="D1306" s="38" t="s">
        <v>2804</v>
      </c>
      <c r="E1306" s="38" t="s">
        <v>2805</v>
      </c>
      <c r="F1306" s="38">
        <v>184</v>
      </c>
      <c r="G1306" s="38">
        <v>184</v>
      </c>
      <c r="H1306" s="38">
        <f t="shared" si="63"/>
        <v>454</v>
      </c>
      <c r="I1306" s="38">
        <v>293</v>
      </c>
      <c r="J1306" s="38">
        <v>161</v>
      </c>
      <c r="K1306" s="38">
        <v>132</v>
      </c>
      <c r="L1306" s="50">
        <f t="shared" si="64"/>
        <v>29.074889867841406</v>
      </c>
      <c r="M1306" s="38">
        <v>0</v>
      </c>
      <c r="N1306" s="50">
        <f t="shared" si="62"/>
        <v>0</v>
      </c>
      <c r="O1306" s="38">
        <v>0</v>
      </c>
      <c r="P1306" s="38">
        <v>13</v>
      </c>
    </row>
    <row r="1307" spans="1:31" x14ac:dyDescent="0.25">
      <c r="A1307" s="38" t="s">
        <v>36</v>
      </c>
      <c r="B1307" s="38" t="s">
        <v>2544</v>
      </c>
      <c r="C1307" s="38" t="s">
        <v>2798</v>
      </c>
      <c r="D1307" s="38" t="s">
        <v>2806</v>
      </c>
      <c r="E1307" s="38" t="s">
        <v>2807</v>
      </c>
      <c r="F1307" s="38">
        <v>527.69000000000005</v>
      </c>
      <c r="G1307" s="38">
        <v>527.69000000000005</v>
      </c>
      <c r="H1307" s="38">
        <f t="shared" si="63"/>
        <v>662</v>
      </c>
      <c r="I1307" s="38">
        <v>441</v>
      </c>
      <c r="J1307" s="38">
        <v>221</v>
      </c>
      <c r="K1307" s="38">
        <v>220</v>
      </c>
      <c r="L1307" s="50">
        <f t="shared" si="64"/>
        <v>33.23262839879154</v>
      </c>
      <c r="M1307" s="38">
        <v>0</v>
      </c>
      <c r="N1307" s="50">
        <f t="shared" si="62"/>
        <v>0</v>
      </c>
      <c r="O1307" s="38">
        <v>0</v>
      </c>
      <c r="P1307" s="38">
        <v>0</v>
      </c>
    </row>
    <row r="1308" spans="1:31" x14ac:dyDescent="0.25">
      <c r="A1308" s="38" t="s">
        <v>36</v>
      </c>
      <c r="B1308" s="38" t="s">
        <v>2544</v>
      </c>
      <c r="C1308" s="38" t="s">
        <v>2798</v>
      </c>
      <c r="D1308" s="38" t="s">
        <v>2808</v>
      </c>
      <c r="E1308" s="38" t="s">
        <v>2809</v>
      </c>
      <c r="F1308" s="38">
        <v>277</v>
      </c>
      <c r="G1308" s="38">
        <v>277</v>
      </c>
      <c r="H1308" s="38">
        <f t="shared" si="63"/>
        <v>540</v>
      </c>
      <c r="I1308" s="38">
        <v>349</v>
      </c>
      <c r="J1308" s="38">
        <v>191</v>
      </c>
      <c r="K1308" s="38">
        <v>158</v>
      </c>
      <c r="L1308" s="50">
        <f t="shared" si="64"/>
        <v>29.259259259259256</v>
      </c>
      <c r="M1308" s="38">
        <v>42</v>
      </c>
      <c r="N1308" s="50">
        <f t="shared" si="62"/>
        <v>7.7777777777777777</v>
      </c>
      <c r="O1308" s="38">
        <v>0</v>
      </c>
      <c r="P1308" s="38">
        <v>5.58</v>
      </c>
    </row>
    <row r="1309" spans="1:31" x14ac:dyDescent="0.25">
      <c r="A1309" s="38" t="s">
        <v>36</v>
      </c>
      <c r="B1309" s="38" t="s">
        <v>2544</v>
      </c>
      <c r="C1309" s="38" t="s">
        <v>2798</v>
      </c>
      <c r="D1309" s="38" t="s">
        <v>2810</v>
      </c>
      <c r="E1309" s="38" t="s">
        <v>2811</v>
      </c>
      <c r="F1309" s="38">
        <v>428</v>
      </c>
      <c r="G1309" s="38">
        <v>428</v>
      </c>
      <c r="H1309" s="38">
        <f t="shared" si="63"/>
        <v>671</v>
      </c>
      <c r="I1309" s="38">
        <v>441</v>
      </c>
      <c r="J1309" s="38">
        <v>230</v>
      </c>
      <c r="K1309" s="38">
        <v>211</v>
      </c>
      <c r="L1309" s="50">
        <f t="shared" si="64"/>
        <v>31.445603576751118</v>
      </c>
      <c r="M1309" s="38">
        <v>0</v>
      </c>
      <c r="N1309" s="50">
        <f t="shared" si="62"/>
        <v>0</v>
      </c>
      <c r="O1309" s="38">
        <v>0</v>
      </c>
      <c r="P1309" s="38">
        <v>0</v>
      </c>
    </row>
    <row r="1310" spans="1:31" x14ac:dyDescent="0.25">
      <c r="A1310" s="38" t="s">
        <v>36</v>
      </c>
      <c r="B1310" s="38" t="s">
        <v>2544</v>
      </c>
      <c r="C1310" s="38" t="s">
        <v>2798</v>
      </c>
      <c r="D1310" s="38" t="s">
        <v>2812</v>
      </c>
      <c r="E1310" s="38" t="s">
        <v>2813</v>
      </c>
      <c r="F1310" s="38">
        <v>128</v>
      </c>
      <c r="G1310" s="38">
        <v>128</v>
      </c>
      <c r="H1310" s="38">
        <f t="shared" si="63"/>
        <v>444</v>
      </c>
      <c r="I1310" s="38">
        <v>288</v>
      </c>
      <c r="J1310" s="38">
        <v>156</v>
      </c>
      <c r="K1310" s="38">
        <v>132</v>
      </c>
      <c r="L1310" s="50">
        <f t="shared" si="64"/>
        <v>29.72972972972973</v>
      </c>
      <c r="M1310" s="38">
        <v>92</v>
      </c>
      <c r="N1310" s="50">
        <f t="shared" si="62"/>
        <v>20.72072072072072</v>
      </c>
      <c r="O1310" s="38">
        <v>2</v>
      </c>
      <c r="P1310" s="38">
        <v>0</v>
      </c>
    </row>
    <row r="1311" spans="1:31" x14ac:dyDescent="0.25">
      <c r="A1311" s="38" t="s">
        <v>36</v>
      </c>
      <c r="B1311" s="38" t="s">
        <v>2544</v>
      </c>
      <c r="C1311" s="38" t="s">
        <v>2798</v>
      </c>
      <c r="D1311" s="38" t="s">
        <v>2814</v>
      </c>
      <c r="E1311" s="38" t="s">
        <v>2815</v>
      </c>
      <c r="F1311" s="38">
        <v>327</v>
      </c>
      <c r="G1311" s="38">
        <v>327</v>
      </c>
      <c r="H1311" s="38">
        <f t="shared" si="63"/>
        <v>611</v>
      </c>
      <c r="I1311" s="38">
        <v>402</v>
      </c>
      <c r="J1311" s="38">
        <v>209</v>
      </c>
      <c r="K1311" s="38">
        <v>193</v>
      </c>
      <c r="L1311" s="50">
        <f t="shared" si="64"/>
        <v>31.58756137479542</v>
      </c>
      <c r="M1311" s="38">
        <v>29</v>
      </c>
      <c r="N1311" s="50">
        <f t="shared" si="62"/>
        <v>4.7463175122749588</v>
      </c>
      <c r="O1311" s="38">
        <v>0</v>
      </c>
      <c r="P1311" s="38">
        <v>0</v>
      </c>
    </row>
    <row r="1312" spans="1:31" x14ac:dyDescent="0.25">
      <c r="A1312" s="38" t="s">
        <v>36</v>
      </c>
      <c r="B1312" s="38" t="s">
        <v>2544</v>
      </c>
      <c r="C1312" s="38" t="s">
        <v>2798</v>
      </c>
      <c r="D1312" s="38" t="s">
        <v>2816</v>
      </c>
      <c r="E1312" s="38" t="s">
        <v>2817</v>
      </c>
      <c r="F1312" s="38">
        <v>460</v>
      </c>
      <c r="G1312" s="38">
        <v>460</v>
      </c>
      <c r="H1312" s="38">
        <f t="shared" si="63"/>
        <v>868</v>
      </c>
      <c r="I1312" s="38">
        <v>562</v>
      </c>
      <c r="J1312" s="38">
        <v>306</v>
      </c>
      <c r="K1312" s="38">
        <v>256</v>
      </c>
      <c r="L1312" s="50">
        <f t="shared" si="64"/>
        <v>29.493087557603687</v>
      </c>
      <c r="M1312" s="38">
        <v>14</v>
      </c>
      <c r="N1312" s="50">
        <f t="shared" si="62"/>
        <v>1.6129032258064515</v>
      </c>
      <c r="O1312" s="38">
        <v>0</v>
      </c>
      <c r="P1312" s="38">
        <v>0</v>
      </c>
    </row>
    <row r="1313" spans="1:31" x14ac:dyDescent="0.25">
      <c r="A1313" s="38" t="s">
        <v>36</v>
      </c>
      <c r="B1313" s="38" t="s">
        <v>2544</v>
      </c>
      <c r="C1313" s="38" t="s">
        <v>2818</v>
      </c>
      <c r="D1313" s="38" t="s">
        <v>2818</v>
      </c>
      <c r="E1313" s="38" t="s">
        <v>2819</v>
      </c>
      <c r="F1313" s="38">
        <v>889</v>
      </c>
      <c r="G1313" s="38">
        <v>889</v>
      </c>
      <c r="H1313" s="38">
        <f t="shared" si="63"/>
        <v>1655</v>
      </c>
      <c r="I1313" s="38">
        <v>1068</v>
      </c>
      <c r="J1313" s="38">
        <v>587</v>
      </c>
      <c r="K1313" s="38">
        <v>481</v>
      </c>
      <c r="L1313" s="50">
        <f t="shared" si="64"/>
        <v>29.063444108761328</v>
      </c>
      <c r="M1313" s="38">
        <v>152</v>
      </c>
      <c r="N1313" s="50">
        <f t="shared" si="62"/>
        <v>9.1842900302114803</v>
      </c>
      <c r="O1313" s="38">
        <v>0</v>
      </c>
      <c r="P1313" s="38">
        <v>26.9</v>
      </c>
      <c r="Q1313" s="158" t="s">
        <v>44</v>
      </c>
      <c r="R1313" s="163" t="s">
        <v>2820</v>
      </c>
      <c r="S1313" s="160"/>
      <c r="T1313" s="158">
        <v>15</v>
      </c>
      <c r="U1313" s="158"/>
      <c r="V1313" s="158"/>
      <c r="W1313" s="158"/>
      <c r="X1313" s="158"/>
      <c r="Y1313" s="158"/>
      <c r="AB1313" s="16">
        <v>15</v>
      </c>
      <c r="AC1313" s="69" t="s">
        <v>2818</v>
      </c>
      <c r="AD1313" s="161">
        <v>25.199619999999999</v>
      </c>
      <c r="AE1313" s="160">
        <v>71.328815000000006</v>
      </c>
    </row>
    <row r="1314" spans="1:31" x14ac:dyDescent="0.25">
      <c r="A1314" s="38" t="s">
        <v>36</v>
      </c>
      <c r="B1314" s="38" t="s">
        <v>2544</v>
      </c>
      <c r="C1314" s="38" t="s">
        <v>2818</v>
      </c>
      <c r="D1314" s="38" t="s">
        <v>2821</v>
      </c>
      <c r="E1314" s="38" t="s">
        <v>2822</v>
      </c>
      <c r="F1314" s="38">
        <v>416</v>
      </c>
      <c r="G1314" s="38">
        <v>416</v>
      </c>
      <c r="H1314" s="38">
        <f t="shared" si="63"/>
        <v>818</v>
      </c>
      <c r="I1314" s="38">
        <v>536</v>
      </c>
      <c r="J1314" s="38">
        <v>282</v>
      </c>
      <c r="K1314" s="38">
        <v>254</v>
      </c>
      <c r="L1314" s="50">
        <f t="shared" si="64"/>
        <v>31.051344743276282</v>
      </c>
      <c r="M1314" s="38">
        <v>5</v>
      </c>
      <c r="N1314" s="50">
        <f t="shared" si="62"/>
        <v>0.61124694376528121</v>
      </c>
      <c r="O1314" s="38">
        <v>0</v>
      </c>
      <c r="P1314" s="38">
        <v>0</v>
      </c>
      <c r="Q1314" s="158" t="s">
        <v>44</v>
      </c>
      <c r="R1314" s="163" t="s">
        <v>2820</v>
      </c>
      <c r="S1314" s="160"/>
      <c r="T1314" s="158">
        <v>24.960899999999999</v>
      </c>
      <c r="U1314" s="158"/>
      <c r="V1314" s="158"/>
      <c r="W1314" s="158"/>
      <c r="X1314" s="158"/>
      <c r="Y1314" s="158"/>
      <c r="AB1314" s="16"/>
      <c r="AC1314" s="69" t="s">
        <v>2821</v>
      </c>
      <c r="AD1314" s="161">
        <v>0</v>
      </c>
      <c r="AE1314" s="160">
        <v>0</v>
      </c>
    </row>
    <row r="1315" spans="1:31" x14ac:dyDescent="0.25">
      <c r="A1315" s="38" t="s">
        <v>36</v>
      </c>
      <c r="B1315" s="38" t="s">
        <v>2544</v>
      </c>
      <c r="C1315" s="38" t="s">
        <v>2818</v>
      </c>
      <c r="D1315" s="69" t="s">
        <v>2821</v>
      </c>
      <c r="E1315" s="38"/>
      <c r="F1315" s="38"/>
      <c r="G1315" s="38"/>
      <c r="H1315" s="38">
        <f t="shared" si="63"/>
        <v>0</v>
      </c>
      <c r="I1315" s="38"/>
      <c r="J1315" s="38"/>
      <c r="K1315" s="38"/>
      <c r="L1315" s="50"/>
      <c r="M1315" s="38"/>
      <c r="N1315" s="50"/>
      <c r="O1315" s="38"/>
      <c r="P1315" s="38"/>
      <c r="Q1315" s="158" t="s">
        <v>44</v>
      </c>
      <c r="R1315" s="163" t="s">
        <v>2820</v>
      </c>
      <c r="S1315" s="160"/>
      <c r="T1315" s="158">
        <v>0.64749999999999996</v>
      </c>
      <c r="U1315" s="158"/>
      <c r="V1315" s="158"/>
      <c r="W1315" s="158"/>
      <c r="X1315" s="158"/>
      <c r="Y1315" s="158"/>
      <c r="AB1315" s="16"/>
      <c r="AC1315" s="69" t="s">
        <v>2823</v>
      </c>
      <c r="AD1315" s="161">
        <v>0</v>
      </c>
      <c r="AE1315" s="160">
        <v>0</v>
      </c>
    </row>
    <row r="1316" spans="1:31" x14ac:dyDescent="0.25">
      <c r="A1316" s="38" t="s">
        <v>36</v>
      </c>
      <c r="B1316" s="38" t="s">
        <v>2544</v>
      </c>
      <c r="C1316" s="38" t="s">
        <v>2818</v>
      </c>
      <c r="D1316" s="38" t="s">
        <v>2824</v>
      </c>
      <c r="E1316" s="38" t="s">
        <v>2825</v>
      </c>
      <c r="F1316" s="38">
        <v>288</v>
      </c>
      <c r="G1316" s="38">
        <v>288</v>
      </c>
      <c r="H1316" s="38">
        <f t="shared" si="63"/>
        <v>699</v>
      </c>
      <c r="I1316" s="38">
        <v>458</v>
      </c>
      <c r="J1316" s="38">
        <v>241</v>
      </c>
      <c r="K1316" s="38">
        <v>217</v>
      </c>
      <c r="L1316" s="50">
        <f t="shared" si="64"/>
        <v>31.044349070100139</v>
      </c>
      <c r="M1316" s="38">
        <v>1</v>
      </c>
      <c r="N1316" s="50">
        <f t="shared" si="62"/>
        <v>0.14306151645207438</v>
      </c>
      <c r="O1316" s="38">
        <v>0</v>
      </c>
      <c r="P1316" s="38">
        <v>0</v>
      </c>
      <c r="Q1316" s="158" t="s">
        <v>44</v>
      </c>
      <c r="R1316" s="163" t="s">
        <v>2820</v>
      </c>
      <c r="S1316" s="160"/>
      <c r="T1316" s="158">
        <v>1.4650000000000001</v>
      </c>
      <c r="U1316" s="158"/>
      <c r="V1316" s="158"/>
      <c r="W1316" s="158"/>
      <c r="X1316" s="158"/>
      <c r="Y1316" s="158"/>
      <c r="AB1316" s="16"/>
      <c r="AC1316" s="69" t="s">
        <v>2824</v>
      </c>
      <c r="AD1316" s="161">
        <v>0</v>
      </c>
      <c r="AE1316" s="160">
        <v>0</v>
      </c>
    </row>
    <row r="1317" spans="1:31" x14ac:dyDescent="0.25">
      <c r="A1317" s="38" t="s">
        <v>36</v>
      </c>
      <c r="B1317" s="38" t="s">
        <v>2544</v>
      </c>
      <c r="C1317" s="38" t="s">
        <v>2826</v>
      </c>
      <c r="D1317" s="38" t="s">
        <v>2827</v>
      </c>
      <c r="E1317" s="38" t="s">
        <v>2828</v>
      </c>
      <c r="F1317" s="38">
        <v>1183</v>
      </c>
      <c r="G1317" s="38">
        <v>1183</v>
      </c>
      <c r="H1317" s="38">
        <f t="shared" si="63"/>
        <v>3544</v>
      </c>
      <c r="I1317" s="38">
        <v>2334</v>
      </c>
      <c r="J1317" s="38">
        <v>1210</v>
      </c>
      <c r="K1317" s="38">
        <v>1124</v>
      </c>
      <c r="L1317" s="50">
        <f t="shared" si="64"/>
        <v>31.715575620767495</v>
      </c>
      <c r="M1317" s="38">
        <v>564</v>
      </c>
      <c r="N1317" s="50">
        <f t="shared" si="62"/>
        <v>15.914221218961625</v>
      </c>
      <c r="O1317" s="38">
        <v>0</v>
      </c>
      <c r="P1317" s="38">
        <v>109</v>
      </c>
      <c r="Q1317" s="96" t="s">
        <v>44</v>
      </c>
      <c r="R1317" s="14">
        <v>45344</v>
      </c>
      <c r="S1317" s="181"/>
      <c r="T1317" s="96">
        <v>80</v>
      </c>
      <c r="U1317" s="96"/>
      <c r="V1317" s="96"/>
      <c r="W1317" s="96"/>
      <c r="X1317" s="96"/>
      <c r="Y1317" s="96"/>
      <c r="AB1317" s="181">
        <v>20</v>
      </c>
      <c r="AC1317" s="33" t="s">
        <v>2827</v>
      </c>
      <c r="AD1317" s="181">
        <v>25.229817000000001</v>
      </c>
      <c r="AE1317" s="181">
        <v>71.525817000000004</v>
      </c>
    </row>
    <row r="1318" spans="1:31" x14ac:dyDescent="0.25">
      <c r="A1318" s="38" t="s">
        <v>36</v>
      </c>
      <c r="B1318" s="38" t="s">
        <v>2544</v>
      </c>
      <c r="C1318" s="38" t="s">
        <v>2826</v>
      </c>
      <c r="D1318" s="38" t="s">
        <v>2827</v>
      </c>
      <c r="E1318" s="38"/>
      <c r="F1318" s="38"/>
      <c r="G1318" s="38"/>
      <c r="H1318" s="38">
        <f t="shared" si="63"/>
        <v>0</v>
      </c>
      <c r="I1318" s="38"/>
      <c r="J1318" s="38"/>
      <c r="K1318" s="38"/>
      <c r="L1318" s="50"/>
      <c r="M1318" s="38"/>
      <c r="N1318" s="50"/>
      <c r="O1318" s="38"/>
      <c r="P1318" s="38"/>
      <c r="Q1318" s="96" t="s">
        <v>44</v>
      </c>
      <c r="R1318" s="14">
        <v>45344</v>
      </c>
      <c r="S1318" s="181"/>
      <c r="T1318" s="96"/>
      <c r="U1318" s="96"/>
      <c r="V1318" s="96"/>
      <c r="W1318" s="96"/>
      <c r="X1318" s="96"/>
      <c r="Y1318" s="96"/>
      <c r="AB1318" s="181">
        <v>12</v>
      </c>
      <c r="AC1318" s="33" t="s">
        <v>2827</v>
      </c>
      <c r="AD1318" s="181">
        <v>25.236391000000001</v>
      </c>
      <c r="AE1318" s="181">
        <v>71.531746999999996</v>
      </c>
    </row>
    <row r="1319" spans="1:31" x14ac:dyDescent="0.25">
      <c r="A1319" s="38" t="s">
        <v>36</v>
      </c>
      <c r="B1319" s="38" t="s">
        <v>2544</v>
      </c>
      <c r="C1319" s="38" t="s">
        <v>2826</v>
      </c>
      <c r="D1319" s="38" t="s">
        <v>2829</v>
      </c>
      <c r="E1319" s="38" t="s">
        <v>2830</v>
      </c>
      <c r="F1319" s="38">
        <v>511</v>
      </c>
      <c r="G1319" s="38">
        <v>511</v>
      </c>
      <c r="H1319" s="38">
        <f t="shared" si="63"/>
        <v>841</v>
      </c>
      <c r="I1319" s="38">
        <v>556</v>
      </c>
      <c r="J1319" s="38">
        <v>285</v>
      </c>
      <c r="K1319" s="38">
        <v>271</v>
      </c>
      <c r="L1319" s="50">
        <f t="shared" si="64"/>
        <v>32.223543400713439</v>
      </c>
      <c r="M1319" s="38">
        <v>0</v>
      </c>
      <c r="N1319" s="50">
        <f t="shared" si="62"/>
        <v>0</v>
      </c>
      <c r="O1319" s="38">
        <v>0</v>
      </c>
      <c r="P1319" s="38">
        <v>0</v>
      </c>
      <c r="Q1319" s="96" t="s">
        <v>44</v>
      </c>
      <c r="R1319" s="14">
        <v>45344</v>
      </c>
      <c r="S1319" s="97"/>
      <c r="T1319" s="96">
        <v>0</v>
      </c>
      <c r="U1319" s="96"/>
      <c r="V1319" s="96"/>
      <c r="W1319" s="96"/>
      <c r="X1319" s="96"/>
      <c r="Y1319" s="96"/>
      <c r="AB1319" s="36"/>
      <c r="AC1319" s="33" t="s">
        <v>2829</v>
      </c>
      <c r="AD1319" s="36"/>
      <c r="AE1319" s="97"/>
    </row>
    <row r="1320" spans="1:31" x14ac:dyDescent="0.25">
      <c r="A1320" s="38" t="s">
        <v>36</v>
      </c>
      <c r="B1320" s="38" t="s">
        <v>2544</v>
      </c>
      <c r="C1320" s="38" t="s">
        <v>2826</v>
      </c>
      <c r="D1320" s="38" t="s">
        <v>2831</v>
      </c>
      <c r="E1320" s="38" t="s">
        <v>2832</v>
      </c>
      <c r="F1320" s="38">
        <v>759</v>
      </c>
      <c r="G1320" s="38">
        <v>759</v>
      </c>
      <c r="H1320" s="38">
        <f t="shared" si="63"/>
        <v>1032</v>
      </c>
      <c r="I1320" s="38">
        <v>673</v>
      </c>
      <c r="J1320" s="38">
        <v>359</v>
      </c>
      <c r="K1320" s="38">
        <v>314</v>
      </c>
      <c r="L1320" s="50">
        <f t="shared" si="64"/>
        <v>30.426356589147286</v>
      </c>
      <c r="M1320" s="38">
        <v>0</v>
      </c>
      <c r="N1320" s="50">
        <f t="shared" si="62"/>
        <v>0</v>
      </c>
      <c r="O1320" s="38">
        <v>0</v>
      </c>
      <c r="P1320" s="38">
        <v>0</v>
      </c>
      <c r="Q1320" s="96" t="s">
        <v>44</v>
      </c>
      <c r="R1320" s="14">
        <v>45344</v>
      </c>
      <c r="S1320" s="97"/>
      <c r="T1320" s="96">
        <v>5</v>
      </c>
      <c r="U1320" s="96"/>
      <c r="V1320" s="96"/>
      <c r="W1320" s="96"/>
      <c r="X1320" s="96"/>
      <c r="Y1320" s="96"/>
      <c r="AB1320" s="36"/>
      <c r="AC1320" s="33" t="s">
        <v>2831</v>
      </c>
      <c r="AD1320" s="36"/>
      <c r="AE1320" s="97"/>
    </row>
    <row r="1321" spans="1:31" x14ac:dyDescent="0.25">
      <c r="A1321" s="38" t="s">
        <v>36</v>
      </c>
      <c r="B1321" s="38" t="s">
        <v>2544</v>
      </c>
      <c r="C1321" s="38" t="s">
        <v>2826</v>
      </c>
      <c r="D1321" s="66" t="s">
        <v>2833</v>
      </c>
      <c r="E1321" s="38"/>
      <c r="F1321" s="38"/>
      <c r="G1321" s="38"/>
      <c r="H1321" s="38">
        <f t="shared" si="63"/>
        <v>0</v>
      </c>
      <c r="I1321" s="38"/>
      <c r="J1321" s="38"/>
      <c r="K1321" s="38"/>
      <c r="L1321" s="50"/>
      <c r="M1321" s="38"/>
      <c r="N1321" s="50"/>
      <c r="O1321" s="38"/>
      <c r="P1321" s="38"/>
      <c r="Q1321" s="96" t="s">
        <v>44</v>
      </c>
      <c r="R1321" s="14">
        <v>45344</v>
      </c>
      <c r="S1321" s="97"/>
      <c r="T1321" s="96">
        <v>4</v>
      </c>
      <c r="U1321" s="96"/>
      <c r="V1321" s="96"/>
      <c r="W1321" s="96"/>
      <c r="X1321" s="96"/>
      <c r="Y1321" s="96"/>
      <c r="AB1321" s="36"/>
      <c r="AC1321" s="33" t="s">
        <v>2833</v>
      </c>
      <c r="AD1321" s="36"/>
      <c r="AE1321" s="97"/>
    </row>
    <row r="1322" spans="1:31" x14ac:dyDescent="0.25">
      <c r="A1322" s="38" t="s">
        <v>36</v>
      </c>
      <c r="B1322" s="38" t="s">
        <v>2544</v>
      </c>
      <c r="C1322" s="38" t="s">
        <v>2826</v>
      </c>
      <c r="D1322" s="38" t="s">
        <v>2834</v>
      </c>
      <c r="E1322" s="38" t="s">
        <v>2835</v>
      </c>
      <c r="F1322" s="38">
        <v>506</v>
      </c>
      <c r="G1322" s="38">
        <v>506</v>
      </c>
      <c r="H1322" s="38">
        <f t="shared" si="63"/>
        <v>784</v>
      </c>
      <c r="I1322" s="38">
        <v>519</v>
      </c>
      <c r="J1322" s="38">
        <v>265</v>
      </c>
      <c r="K1322" s="38">
        <v>254</v>
      </c>
      <c r="L1322" s="50">
        <f t="shared" si="64"/>
        <v>32.397959183673471</v>
      </c>
      <c r="M1322" s="38">
        <v>21</v>
      </c>
      <c r="N1322" s="50">
        <f t="shared" si="62"/>
        <v>2.6785714285714284</v>
      </c>
      <c r="O1322" s="38">
        <v>0</v>
      </c>
      <c r="P1322" s="38">
        <v>0</v>
      </c>
      <c r="Q1322" s="96" t="s">
        <v>44</v>
      </c>
      <c r="R1322" s="14">
        <v>45344</v>
      </c>
      <c r="S1322" s="97"/>
      <c r="T1322" s="96">
        <v>0</v>
      </c>
      <c r="U1322" s="96"/>
      <c r="V1322" s="96"/>
      <c r="W1322" s="96"/>
      <c r="X1322" s="96"/>
      <c r="Y1322" s="96"/>
      <c r="AB1322" s="36"/>
      <c r="AC1322" s="33" t="s">
        <v>2834</v>
      </c>
      <c r="AD1322" s="36"/>
      <c r="AE1322" s="97"/>
    </row>
    <row r="1323" spans="1:31" x14ac:dyDescent="0.25">
      <c r="A1323" s="38" t="s">
        <v>36</v>
      </c>
      <c r="B1323" s="38" t="s">
        <v>2544</v>
      </c>
      <c r="C1323" s="38" t="s">
        <v>2836</v>
      </c>
      <c r="D1323" s="38" t="s">
        <v>2836</v>
      </c>
      <c r="E1323" s="38" t="s">
        <v>2837</v>
      </c>
      <c r="F1323" s="38">
        <v>855.88</v>
      </c>
      <c r="G1323" s="38">
        <v>855.88</v>
      </c>
      <c r="H1323" s="38">
        <f t="shared" si="63"/>
        <v>1804</v>
      </c>
      <c r="I1323" s="38">
        <v>1176</v>
      </c>
      <c r="J1323" s="38">
        <v>628</v>
      </c>
      <c r="K1323" s="38">
        <v>548</v>
      </c>
      <c r="L1323" s="50">
        <f t="shared" si="64"/>
        <v>30.376940133037696</v>
      </c>
      <c r="M1323" s="38">
        <v>0</v>
      </c>
      <c r="N1323" s="50">
        <f t="shared" si="62"/>
        <v>0</v>
      </c>
      <c r="O1323" s="38">
        <v>0</v>
      </c>
      <c r="P1323" s="38">
        <v>0</v>
      </c>
      <c r="Q1323" s="158" t="s">
        <v>44</v>
      </c>
      <c r="R1323" s="15" t="s">
        <v>390</v>
      </c>
      <c r="S1323" s="160"/>
      <c r="T1323" s="158" t="s">
        <v>6374</v>
      </c>
      <c r="U1323" s="158"/>
      <c r="V1323" s="158"/>
      <c r="W1323" s="158"/>
      <c r="X1323" s="158"/>
      <c r="Y1323" s="158"/>
      <c r="AB1323" s="16"/>
      <c r="AC1323" s="33" t="s">
        <v>2836</v>
      </c>
      <c r="AD1323" s="161"/>
      <c r="AE1323" s="160"/>
    </row>
    <row r="1324" spans="1:31" x14ac:dyDescent="0.25">
      <c r="A1324" s="38" t="s">
        <v>36</v>
      </c>
      <c r="B1324" s="38" t="s">
        <v>2544</v>
      </c>
      <c r="C1324" s="38" t="s">
        <v>2836</v>
      </c>
      <c r="D1324" s="38" t="s">
        <v>2838</v>
      </c>
      <c r="E1324" s="38" t="s">
        <v>2839</v>
      </c>
      <c r="F1324" s="38">
        <v>602.77</v>
      </c>
      <c r="G1324" s="38">
        <v>602.77</v>
      </c>
      <c r="H1324" s="38">
        <f t="shared" si="63"/>
        <v>919</v>
      </c>
      <c r="I1324" s="38">
        <v>605</v>
      </c>
      <c r="J1324" s="38">
        <v>314</v>
      </c>
      <c r="K1324" s="38">
        <v>291</v>
      </c>
      <c r="L1324" s="50">
        <f t="shared" si="64"/>
        <v>31.664853101196954</v>
      </c>
      <c r="M1324" s="38">
        <v>0</v>
      </c>
      <c r="N1324" s="50">
        <f t="shared" si="62"/>
        <v>0</v>
      </c>
      <c r="O1324" s="38">
        <v>0</v>
      </c>
      <c r="P1324" s="38">
        <v>0</v>
      </c>
      <c r="Q1324" s="158" t="s">
        <v>44</v>
      </c>
      <c r="R1324" s="15" t="s">
        <v>390</v>
      </c>
      <c r="S1324" s="160"/>
      <c r="T1324" s="158" t="s">
        <v>6374</v>
      </c>
      <c r="U1324" s="158"/>
      <c r="V1324" s="158"/>
      <c r="W1324" s="158"/>
      <c r="X1324" s="158"/>
      <c r="Y1324" s="158"/>
      <c r="AB1324" s="16"/>
      <c r="AC1324" s="33" t="s">
        <v>2838</v>
      </c>
      <c r="AD1324" s="161"/>
      <c r="AE1324" s="160"/>
    </row>
    <row r="1325" spans="1:31" x14ac:dyDescent="0.25">
      <c r="A1325" s="38" t="s">
        <v>36</v>
      </c>
      <c r="B1325" s="38" t="s">
        <v>2544</v>
      </c>
      <c r="C1325" s="38" t="s">
        <v>2836</v>
      </c>
      <c r="D1325" s="33" t="s">
        <v>2840</v>
      </c>
      <c r="E1325" s="38"/>
      <c r="F1325" s="38"/>
      <c r="G1325" s="38"/>
      <c r="H1325" s="38">
        <f t="shared" si="63"/>
        <v>0</v>
      </c>
      <c r="I1325" s="38"/>
      <c r="J1325" s="38"/>
      <c r="K1325" s="38"/>
      <c r="L1325" s="50"/>
      <c r="M1325" s="38"/>
      <c r="N1325" s="50"/>
      <c r="O1325" s="38"/>
      <c r="P1325" s="38"/>
      <c r="Q1325" s="158" t="s">
        <v>44</v>
      </c>
      <c r="R1325" s="15" t="s">
        <v>390</v>
      </c>
      <c r="S1325" s="160"/>
      <c r="T1325" s="158" t="s">
        <v>6374</v>
      </c>
      <c r="U1325" s="158"/>
      <c r="V1325" s="158"/>
      <c r="W1325" s="158"/>
      <c r="X1325" s="158"/>
      <c r="Y1325" s="158"/>
      <c r="AB1325" s="16"/>
      <c r="AC1325" s="33" t="s">
        <v>2840</v>
      </c>
      <c r="AD1325" s="161"/>
      <c r="AE1325" s="160"/>
    </row>
    <row r="1326" spans="1:31" x14ac:dyDescent="0.25">
      <c r="A1326" s="38" t="s">
        <v>36</v>
      </c>
      <c r="B1326" s="38" t="s">
        <v>2544</v>
      </c>
      <c r="C1326" s="38" t="s">
        <v>2836</v>
      </c>
      <c r="D1326" s="33" t="s">
        <v>2841</v>
      </c>
      <c r="E1326" s="38"/>
      <c r="F1326" s="38"/>
      <c r="G1326" s="38"/>
      <c r="H1326" s="38">
        <f t="shared" si="63"/>
        <v>0</v>
      </c>
      <c r="I1326" s="38"/>
      <c r="J1326" s="38"/>
      <c r="K1326" s="38"/>
      <c r="L1326" s="50"/>
      <c r="M1326" s="38"/>
      <c r="N1326" s="50"/>
      <c r="O1326" s="38"/>
      <c r="P1326" s="38"/>
      <c r="Q1326" s="158" t="s">
        <v>44</v>
      </c>
      <c r="R1326" s="15" t="s">
        <v>390</v>
      </c>
      <c r="S1326" s="160"/>
      <c r="T1326" s="158" t="s">
        <v>6374</v>
      </c>
      <c r="U1326" s="158"/>
      <c r="V1326" s="158"/>
      <c r="W1326" s="158"/>
      <c r="X1326" s="158"/>
      <c r="Y1326" s="158"/>
      <c r="AB1326" s="16"/>
      <c r="AC1326" s="33" t="s">
        <v>2841</v>
      </c>
      <c r="AD1326" s="161"/>
      <c r="AE1326" s="160"/>
    </row>
    <row r="1327" spans="1:31" x14ac:dyDescent="0.25">
      <c r="A1327" s="38" t="s">
        <v>36</v>
      </c>
      <c r="B1327" s="38" t="s">
        <v>2544</v>
      </c>
      <c r="C1327" s="38" t="s">
        <v>2836</v>
      </c>
      <c r="D1327" s="33" t="s">
        <v>2842</v>
      </c>
      <c r="E1327" s="38"/>
      <c r="F1327" s="38"/>
      <c r="G1327" s="38"/>
      <c r="H1327" s="38">
        <f t="shared" si="63"/>
        <v>0</v>
      </c>
      <c r="I1327" s="38"/>
      <c r="J1327" s="38"/>
      <c r="K1327" s="38"/>
      <c r="L1327" s="50"/>
      <c r="M1327" s="38"/>
      <c r="N1327" s="50"/>
      <c r="O1327" s="38"/>
      <c r="P1327" s="38"/>
      <c r="Q1327" s="158" t="s">
        <v>44</v>
      </c>
      <c r="R1327" s="15" t="s">
        <v>390</v>
      </c>
      <c r="S1327" s="160"/>
      <c r="T1327" s="158" t="s">
        <v>6374</v>
      </c>
      <c r="U1327" s="158"/>
      <c r="V1327" s="158"/>
      <c r="W1327" s="158"/>
      <c r="X1327" s="158"/>
      <c r="Y1327" s="158"/>
      <c r="AB1327" s="16"/>
      <c r="AC1327" s="33" t="s">
        <v>2842</v>
      </c>
      <c r="AD1327" s="161"/>
      <c r="AE1327" s="160"/>
    </row>
    <row r="1328" spans="1:31" x14ac:dyDescent="0.25">
      <c r="A1328" s="38" t="s">
        <v>36</v>
      </c>
      <c r="B1328" s="38" t="s">
        <v>2544</v>
      </c>
      <c r="C1328" s="38" t="s">
        <v>2836</v>
      </c>
      <c r="D1328" s="33" t="s">
        <v>856</v>
      </c>
      <c r="E1328" s="38"/>
      <c r="F1328" s="38"/>
      <c r="G1328" s="38"/>
      <c r="H1328" s="38">
        <f t="shared" si="63"/>
        <v>0</v>
      </c>
      <c r="I1328" s="38"/>
      <c r="J1328" s="38"/>
      <c r="K1328" s="38"/>
      <c r="L1328" s="50"/>
      <c r="M1328" s="38"/>
      <c r="N1328" s="50"/>
      <c r="O1328" s="38"/>
      <c r="P1328" s="38"/>
      <c r="Q1328" s="158" t="s">
        <v>44</v>
      </c>
      <c r="R1328" s="15" t="s">
        <v>390</v>
      </c>
      <c r="S1328" s="160"/>
      <c r="T1328" s="158">
        <v>12</v>
      </c>
      <c r="U1328" s="158"/>
      <c r="V1328" s="158"/>
      <c r="W1328" s="158"/>
      <c r="X1328" s="158"/>
      <c r="Y1328" s="158"/>
      <c r="AB1328" s="16">
        <v>12</v>
      </c>
      <c r="AC1328" s="33" t="s">
        <v>856</v>
      </c>
      <c r="AD1328" s="161">
        <v>25.160283</v>
      </c>
      <c r="AE1328" s="160">
        <v>71.401247999999995</v>
      </c>
    </row>
    <row r="1329" spans="1:31" x14ac:dyDescent="0.25">
      <c r="A1329" s="38" t="s">
        <v>36</v>
      </c>
      <c r="B1329" s="38" t="s">
        <v>2544</v>
      </c>
      <c r="C1329" s="38" t="s">
        <v>2836</v>
      </c>
      <c r="D1329" s="33" t="s">
        <v>2843</v>
      </c>
      <c r="E1329" s="38"/>
      <c r="F1329" s="38">
        <v>948.79</v>
      </c>
      <c r="G1329" s="38"/>
      <c r="H1329" s="38">
        <f t="shared" si="63"/>
        <v>0</v>
      </c>
      <c r="I1329" s="38"/>
      <c r="J1329" s="38"/>
      <c r="K1329" s="38"/>
      <c r="L1329" s="50"/>
      <c r="M1329" s="38"/>
      <c r="N1329" s="50"/>
      <c r="O1329" s="38"/>
      <c r="P1329" s="38">
        <v>0</v>
      </c>
      <c r="Q1329" s="158" t="s">
        <v>44</v>
      </c>
      <c r="R1329" s="15" t="s">
        <v>390</v>
      </c>
      <c r="S1329" s="160"/>
      <c r="T1329" s="158">
        <v>0</v>
      </c>
      <c r="U1329" s="158"/>
      <c r="V1329" s="158"/>
      <c r="W1329" s="158"/>
      <c r="X1329" s="158"/>
      <c r="Y1329" s="158"/>
      <c r="AB1329" s="3"/>
      <c r="AC1329" s="33" t="s">
        <v>2843</v>
      </c>
      <c r="AD1329" s="161"/>
      <c r="AE1329" s="160"/>
    </row>
    <row r="1330" spans="1:31" x14ac:dyDescent="0.25">
      <c r="A1330" s="38" t="s">
        <v>36</v>
      </c>
      <c r="B1330" s="38" t="s">
        <v>2544</v>
      </c>
      <c r="C1330" s="38" t="s">
        <v>2836</v>
      </c>
      <c r="D1330" s="37" t="s">
        <v>2191</v>
      </c>
      <c r="E1330" s="38" t="s">
        <v>2844</v>
      </c>
      <c r="F1330" s="38"/>
      <c r="G1330" s="38">
        <v>948.79</v>
      </c>
      <c r="H1330" s="38">
        <f t="shared" si="63"/>
        <v>2367</v>
      </c>
      <c r="I1330" s="38">
        <v>1552</v>
      </c>
      <c r="J1330" s="38">
        <v>815</v>
      </c>
      <c r="K1330" s="38">
        <v>737</v>
      </c>
      <c r="L1330" s="50">
        <f t="shared" si="64"/>
        <v>31.136459653569919</v>
      </c>
      <c r="M1330" s="38">
        <v>160</v>
      </c>
      <c r="N1330" s="50">
        <f t="shared" si="62"/>
        <v>6.759611322348964</v>
      </c>
      <c r="O1330" s="38">
        <v>0</v>
      </c>
      <c r="P1330" s="38"/>
      <c r="Q1330" s="39" t="s">
        <v>44</v>
      </c>
      <c r="R1330" s="11" t="s">
        <v>390</v>
      </c>
      <c r="S1330" s="40"/>
      <c r="T1330" s="39" t="s">
        <v>6374</v>
      </c>
      <c r="U1330" s="39"/>
      <c r="V1330" s="39"/>
      <c r="W1330" s="39"/>
      <c r="X1330" s="39"/>
      <c r="Y1330" s="39"/>
      <c r="AB1330" s="16"/>
      <c r="AC1330" s="38" t="s">
        <v>2191</v>
      </c>
      <c r="AD1330" s="2"/>
      <c r="AE1330" s="40"/>
    </row>
    <row r="1331" spans="1:31" x14ac:dyDescent="0.25">
      <c r="A1331" s="38" t="s">
        <v>36</v>
      </c>
      <c r="B1331" s="38" t="s">
        <v>2544</v>
      </c>
      <c r="C1331" s="38" t="s">
        <v>2836</v>
      </c>
      <c r="D1331" s="33" t="s">
        <v>2845</v>
      </c>
      <c r="E1331" s="38"/>
      <c r="F1331" s="38"/>
      <c r="G1331" s="38"/>
      <c r="H1331" s="38">
        <f t="shared" si="63"/>
        <v>0</v>
      </c>
      <c r="I1331" s="38"/>
      <c r="J1331" s="38"/>
      <c r="K1331" s="38"/>
      <c r="L1331" s="50"/>
      <c r="M1331" s="38"/>
      <c r="N1331" s="50"/>
      <c r="O1331" s="38"/>
      <c r="P1331" s="38"/>
      <c r="Q1331" s="158" t="s">
        <v>44</v>
      </c>
      <c r="R1331" s="15" t="s">
        <v>390</v>
      </c>
      <c r="S1331" s="160"/>
      <c r="T1331" s="158" t="s">
        <v>6374</v>
      </c>
      <c r="U1331" s="158"/>
      <c r="V1331" s="158"/>
      <c r="W1331" s="158"/>
      <c r="X1331" s="158"/>
      <c r="Y1331" s="158"/>
      <c r="AB1331" s="16"/>
      <c r="AC1331" s="33" t="s">
        <v>2845</v>
      </c>
      <c r="AD1331" s="161"/>
      <c r="AE1331" s="160"/>
    </row>
    <row r="1332" spans="1:31" x14ac:dyDescent="0.25">
      <c r="A1332" s="38" t="s">
        <v>36</v>
      </c>
      <c r="B1332" s="38" t="s">
        <v>2544</v>
      </c>
      <c r="C1332" s="38" t="s">
        <v>2836</v>
      </c>
      <c r="D1332" s="33" t="s">
        <v>2846</v>
      </c>
      <c r="E1332" s="38"/>
      <c r="F1332" s="38"/>
      <c r="G1332" s="38"/>
      <c r="H1332" s="38">
        <f t="shared" si="63"/>
        <v>0</v>
      </c>
      <c r="I1332" s="38"/>
      <c r="J1332" s="38"/>
      <c r="K1332" s="38"/>
      <c r="L1332" s="50"/>
      <c r="M1332" s="38"/>
      <c r="N1332" s="50"/>
      <c r="O1332" s="38"/>
      <c r="P1332" s="38"/>
      <c r="Q1332" s="158" t="s">
        <v>44</v>
      </c>
      <c r="R1332" s="15" t="s">
        <v>390</v>
      </c>
      <c r="S1332" s="160"/>
      <c r="T1332" s="158" t="s">
        <v>6374</v>
      </c>
      <c r="U1332" s="158"/>
      <c r="V1332" s="158"/>
      <c r="W1332" s="158"/>
      <c r="X1332" s="158"/>
      <c r="Y1332" s="158"/>
      <c r="AB1332" s="16"/>
      <c r="AC1332" s="33" t="s">
        <v>2846</v>
      </c>
      <c r="AD1332" s="161"/>
      <c r="AE1332" s="160"/>
    </row>
    <row r="1333" spans="1:31" x14ac:dyDescent="0.25">
      <c r="A1333" s="38" t="s">
        <v>36</v>
      </c>
      <c r="B1333" s="38" t="s">
        <v>2544</v>
      </c>
      <c r="C1333" s="38" t="s">
        <v>2836</v>
      </c>
      <c r="D1333" s="33" t="s">
        <v>2847</v>
      </c>
      <c r="E1333" s="38" t="s">
        <v>2844</v>
      </c>
      <c r="F1333" s="38">
        <v>948.79</v>
      </c>
      <c r="G1333" s="38">
        <v>948.79</v>
      </c>
      <c r="H1333" s="38">
        <f t="shared" si="63"/>
        <v>2367</v>
      </c>
      <c r="I1333" s="38">
        <v>1552</v>
      </c>
      <c r="J1333" s="38">
        <v>815</v>
      </c>
      <c r="K1333" s="38">
        <v>737</v>
      </c>
      <c r="L1333" s="50">
        <f t="shared" si="64"/>
        <v>31.136459653569919</v>
      </c>
      <c r="M1333" s="38">
        <v>160</v>
      </c>
      <c r="N1333" s="50">
        <f t="shared" ref="N1333:N1394" si="65">M1333/H1333*100</f>
        <v>6.759611322348964</v>
      </c>
      <c r="O1333" s="38">
        <v>0</v>
      </c>
      <c r="P1333" s="38">
        <v>0</v>
      </c>
      <c r="Q1333" s="158" t="s">
        <v>44</v>
      </c>
      <c r="R1333" s="15" t="s">
        <v>390</v>
      </c>
      <c r="S1333" s="160"/>
      <c r="T1333" s="158">
        <v>4.3705999999999996</v>
      </c>
      <c r="U1333" s="158"/>
      <c r="V1333" s="158"/>
      <c r="W1333" s="158"/>
      <c r="X1333" s="158"/>
      <c r="Y1333" s="158"/>
      <c r="AB1333" s="16"/>
      <c r="AC1333" s="33" t="s">
        <v>2847</v>
      </c>
      <c r="AD1333" s="161"/>
      <c r="AE1333" s="160"/>
    </row>
    <row r="1334" spans="1:31" x14ac:dyDescent="0.25">
      <c r="A1334" s="38" t="s">
        <v>36</v>
      </c>
      <c r="B1334" s="38" t="s">
        <v>2544</v>
      </c>
      <c r="C1334" s="38" t="s">
        <v>2848</v>
      </c>
      <c r="D1334" s="38" t="s">
        <v>2565</v>
      </c>
      <c r="E1334" s="38" t="s">
        <v>2849</v>
      </c>
      <c r="F1334" s="38">
        <v>464.18</v>
      </c>
      <c r="G1334" s="38">
        <v>464.18</v>
      </c>
      <c r="H1334" s="38">
        <f t="shared" si="63"/>
        <v>1277</v>
      </c>
      <c r="I1334" s="38">
        <v>846</v>
      </c>
      <c r="J1334" s="38">
        <v>431</v>
      </c>
      <c r="K1334" s="38">
        <v>415</v>
      </c>
      <c r="L1334" s="50">
        <f t="shared" si="64"/>
        <v>32.498042286609241</v>
      </c>
      <c r="M1334" s="38">
        <v>216</v>
      </c>
      <c r="N1334" s="50">
        <f t="shared" si="65"/>
        <v>16.91464369616288</v>
      </c>
      <c r="O1334" s="38">
        <v>0</v>
      </c>
      <c r="P1334" s="38">
        <v>17</v>
      </c>
      <c r="Q1334" s="158" t="s">
        <v>44</v>
      </c>
      <c r="R1334" s="15" t="s">
        <v>2850</v>
      </c>
      <c r="S1334" s="160"/>
      <c r="T1334" s="158">
        <v>0</v>
      </c>
      <c r="U1334" s="158"/>
      <c r="V1334" s="158"/>
      <c r="W1334" s="158"/>
      <c r="X1334" s="158"/>
      <c r="Y1334" s="158"/>
      <c r="AB1334" s="16"/>
      <c r="AC1334" s="33" t="s">
        <v>2565</v>
      </c>
      <c r="AD1334" s="161"/>
      <c r="AE1334" s="160"/>
    </row>
    <row r="1335" spans="1:31" x14ac:dyDescent="0.25">
      <c r="A1335" s="38" t="s">
        <v>36</v>
      </c>
      <c r="B1335" s="38" t="s">
        <v>2544</v>
      </c>
      <c r="C1335" s="38" t="s">
        <v>2848</v>
      </c>
      <c r="D1335" s="38" t="s">
        <v>2851</v>
      </c>
      <c r="E1335" s="38" t="s">
        <v>2852</v>
      </c>
      <c r="F1335" s="38">
        <v>819.36</v>
      </c>
      <c r="G1335" s="38">
        <v>819.36</v>
      </c>
      <c r="H1335" s="38">
        <f t="shared" si="63"/>
        <v>1169</v>
      </c>
      <c r="I1335" s="38">
        <v>761</v>
      </c>
      <c r="J1335" s="38">
        <v>408</v>
      </c>
      <c r="K1335" s="38">
        <v>353</v>
      </c>
      <c r="L1335" s="50">
        <f t="shared" si="64"/>
        <v>30.196749358426008</v>
      </c>
      <c r="M1335" s="38">
        <v>86</v>
      </c>
      <c r="N1335" s="50">
        <f t="shared" si="65"/>
        <v>7.356715141146279</v>
      </c>
      <c r="O1335" s="38">
        <v>0</v>
      </c>
      <c r="P1335" s="38">
        <v>12</v>
      </c>
      <c r="Q1335" s="158" t="s">
        <v>44</v>
      </c>
      <c r="R1335" s="15" t="s">
        <v>2850</v>
      </c>
      <c r="S1335" s="160"/>
      <c r="T1335" s="158">
        <v>0</v>
      </c>
      <c r="U1335" s="158"/>
      <c r="V1335" s="158"/>
      <c r="W1335" s="158"/>
      <c r="X1335" s="158"/>
      <c r="Y1335" s="158"/>
      <c r="AB1335" s="16"/>
      <c r="AC1335" s="33" t="s">
        <v>2851</v>
      </c>
      <c r="AD1335" s="161"/>
      <c r="AE1335" s="160"/>
    </row>
    <row r="1336" spans="1:31" x14ac:dyDescent="0.25">
      <c r="A1336" s="38" t="s">
        <v>36</v>
      </c>
      <c r="B1336" s="38" t="s">
        <v>2544</v>
      </c>
      <c r="C1336" s="38" t="s">
        <v>2848</v>
      </c>
      <c r="D1336" s="38" t="s">
        <v>2853</v>
      </c>
      <c r="E1336" s="38" t="s">
        <v>2854</v>
      </c>
      <c r="F1336" s="38">
        <v>1272.3399999999999</v>
      </c>
      <c r="G1336" s="38">
        <v>1272.3399999999999</v>
      </c>
      <c r="H1336" s="38">
        <f t="shared" si="63"/>
        <v>2246</v>
      </c>
      <c r="I1336" s="38">
        <v>1461</v>
      </c>
      <c r="J1336" s="38">
        <v>785</v>
      </c>
      <c r="K1336" s="38">
        <v>676</v>
      </c>
      <c r="L1336" s="50">
        <f t="shared" si="64"/>
        <v>30.097951914514692</v>
      </c>
      <c r="M1336" s="38">
        <v>1</v>
      </c>
      <c r="N1336" s="50">
        <f t="shared" si="65"/>
        <v>4.4523597506678537E-2</v>
      </c>
      <c r="O1336" s="38">
        <v>0</v>
      </c>
      <c r="P1336" s="38">
        <v>11.15</v>
      </c>
      <c r="Q1336" s="158" t="s">
        <v>44</v>
      </c>
      <c r="R1336" s="15" t="s">
        <v>2855</v>
      </c>
      <c r="S1336" s="160"/>
      <c r="T1336" s="158">
        <v>122</v>
      </c>
      <c r="U1336" s="158"/>
      <c r="V1336" s="158"/>
      <c r="W1336" s="158"/>
      <c r="X1336" s="158"/>
      <c r="Y1336" s="158"/>
      <c r="AB1336" s="16"/>
      <c r="AC1336" s="33" t="s">
        <v>2853</v>
      </c>
      <c r="AD1336" s="161"/>
      <c r="AE1336" s="160"/>
    </row>
    <row r="1337" spans="1:31" x14ac:dyDescent="0.25">
      <c r="A1337" s="38" t="s">
        <v>36</v>
      </c>
      <c r="B1337" s="38" t="s">
        <v>2544</v>
      </c>
      <c r="C1337" s="38" t="s">
        <v>2848</v>
      </c>
      <c r="D1337" s="38" t="s">
        <v>1817</v>
      </c>
      <c r="E1337" s="38" t="s">
        <v>2856</v>
      </c>
      <c r="F1337" s="38">
        <v>345.79</v>
      </c>
      <c r="G1337" s="38">
        <v>345.79</v>
      </c>
      <c r="H1337" s="38">
        <f t="shared" si="63"/>
        <v>1056</v>
      </c>
      <c r="I1337" s="38">
        <v>688</v>
      </c>
      <c r="J1337" s="38">
        <v>368</v>
      </c>
      <c r="K1337" s="38">
        <v>320</v>
      </c>
      <c r="L1337" s="50">
        <f t="shared" si="64"/>
        <v>30.303030303030305</v>
      </c>
      <c r="M1337" s="38">
        <v>127</v>
      </c>
      <c r="N1337" s="50">
        <f t="shared" si="65"/>
        <v>12.026515151515152</v>
      </c>
      <c r="O1337" s="38">
        <v>0</v>
      </c>
      <c r="P1337" s="38">
        <v>0</v>
      </c>
      <c r="Q1337" s="158" t="s">
        <v>44</v>
      </c>
      <c r="R1337" s="15" t="s">
        <v>2855</v>
      </c>
      <c r="S1337" s="160"/>
      <c r="T1337" s="158">
        <v>0</v>
      </c>
      <c r="U1337" s="158"/>
      <c r="V1337" s="158"/>
      <c r="W1337" s="158"/>
      <c r="X1337" s="158"/>
      <c r="Y1337" s="158"/>
      <c r="AB1337" s="16"/>
      <c r="AC1337" s="33" t="s">
        <v>1817</v>
      </c>
      <c r="AD1337" s="161"/>
      <c r="AE1337" s="160"/>
    </row>
    <row r="1338" spans="1:31" x14ac:dyDescent="0.25">
      <c r="A1338" s="38" t="s">
        <v>36</v>
      </c>
      <c r="B1338" s="38" t="s">
        <v>2544</v>
      </c>
      <c r="C1338" s="38" t="s">
        <v>2857</v>
      </c>
      <c r="D1338" s="38" t="s">
        <v>2857</v>
      </c>
      <c r="E1338" s="38" t="s">
        <v>2858</v>
      </c>
      <c r="F1338" s="38">
        <v>810</v>
      </c>
      <c r="G1338" s="38">
        <v>810</v>
      </c>
      <c r="H1338" s="38">
        <f t="shared" si="63"/>
        <v>1132</v>
      </c>
      <c r="I1338" s="38">
        <v>741</v>
      </c>
      <c r="J1338" s="38">
        <v>391</v>
      </c>
      <c r="K1338" s="38">
        <v>350</v>
      </c>
      <c r="L1338" s="50">
        <f t="shared" si="64"/>
        <v>30.918727915194346</v>
      </c>
      <c r="M1338" s="38">
        <v>0</v>
      </c>
      <c r="N1338" s="50">
        <f t="shared" si="65"/>
        <v>0</v>
      </c>
      <c r="O1338" s="38">
        <v>0</v>
      </c>
      <c r="P1338" s="38">
        <v>137</v>
      </c>
      <c r="Q1338" s="158" t="s">
        <v>44</v>
      </c>
      <c r="R1338" s="14">
        <v>45282</v>
      </c>
      <c r="S1338" s="160"/>
      <c r="T1338" s="158">
        <v>136.7106</v>
      </c>
      <c r="U1338" s="158"/>
      <c r="V1338" s="158"/>
      <c r="W1338" s="158"/>
      <c r="X1338" s="158"/>
      <c r="Y1338" s="158"/>
      <c r="AB1338" s="16">
        <v>20</v>
      </c>
      <c r="AC1338" s="33" t="s">
        <v>2857</v>
      </c>
      <c r="AD1338" s="161">
        <v>25.759340000000002</v>
      </c>
      <c r="AE1338" s="160">
        <v>71.444653000000002</v>
      </c>
    </row>
    <row r="1339" spans="1:31" x14ac:dyDescent="0.25">
      <c r="A1339" s="38" t="s">
        <v>36</v>
      </c>
      <c r="B1339" s="38" t="s">
        <v>2544</v>
      </c>
      <c r="C1339" s="38" t="s">
        <v>2857</v>
      </c>
      <c r="D1339" s="38" t="s">
        <v>2859</v>
      </c>
      <c r="E1339" s="38" t="s">
        <v>2860</v>
      </c>
      <c r="F1339" s="38">
        <v>259</v>
      </c>
      <c r="G1339" s="38">
        <v>259</v>
      </c>
      <c r="H1339" s="38">
        <f t="shared" si="63"/>
        <v>441</v>
      </c>
      <c r="I1339" s="38">
        <v>284</v>
      </c>
      <c r="J1339" s="38">
        <v>157</v>
      </c>
      <c r="K1339" s="38">
        <v>127</v>
      </c>
      <c r="L1339" s="50">
        <f t="shared" si="64"/>
        <v>28.798185941043087</v>
      </c>
      <c r="M1339" s="38">
        <v>0</v>
      </c>
      <c r="N1339" s="50">
        <f t="shared" si="65"/>
        <v>0</v>
      </c>
      <c r="O1339" s="38">
        <v>0</v>
      </c>
      <c r="P1339" s="38">
        <v>17</v>
      </c>
      <c r="Q1339" s="158" t="s">
        <v>44</v>
      </c>
      <c r="R1339" s="14">
        <v>45282</v>
      </c>
      <c r="S1339" s="160"/>
      <c r="T1339" s="158">
        <v>18.429400000000001</v>
      </c>
      <c r="U1339" s="158"/>
      <c r="V1339" s="158"/>
      <c r="W1339" s="158"/>
      <c r="X1339" s="158"/>
      <c r="Y1339" s="158"/>
      <c r="AB1339" s="16"/>
      <c r="AC1339" s="33" t="s">
        <v>2859</v>
      </c>
      <c r="AD1339" s="161"/>
      <c r="AE1339" s="160"/>
    </row>
    <row r="1340" spans="1:31" x14ac:dyDescent="0.25">
      <c r="A1340" s="38" t="s">
        <v>36</v>
      </c>
      <c r="B1340" s="38" t="s">
        <v>2544</v>
      </c>
      <c r="C1340" s="38" t="s">
        <v>2857</v>
      </c>
      <c r="D1340" s="38" t="s">
        <v>2861</v>
      </c>
      <c r="E1340" s="38" t="s">
        <v>2862</v>
      </c>
      <c r="F1340" s="38">
        <v>464</v>
      </c>
      <c r="G1340" s="38">
        <v>464</v>
      </c>
      <c r="H1340" s="38">
        <f t="shared" si="63"/>
        <v>919</v>
      </c>
      <c r="I1340" s="38">
        <v>599</v>
      </c>
      <c r="J1340" s="38">
        <v>320</v>
      </c>
      <c r="K1340" s="38">
        <v>279</v>
      </c>
      <c r="L1340" s="50">
        <f t="shared" si="64"/>
        <v>30.359085963003263</v>
      </c>
      <c r="M1340" s="38">
        <v>136</v>
      </c>
      <c r="N1340" s="50">
        <f t="shared" si="65"/>
        <v>14.798694232861806</v>
      </c>
      <c r="O1340" s="38">
        <v>0</v>
      </c>
      <c r="P1340" s="38">
        <v>0</v>
      </c>
      <c r="Q1340" s="158" t="s">
        <v>44</v>
      </c>
      <c r="R1340" s="14">
        <v>45282</v>
      </c>
      <c r="S1340" s="160"/>
      <c r="T1340" s="158">
        <v>0</v>
      </c>
      <c r="U1340" s="158"/>
      <c r="V1340" s="158"/>
      <c r="W1340" s="158"/>
      <c r="X1340" s="158"/>
      <c r="Y1340" s="158"/>
      <c r="AB1340" s="16"/>
      <c r="AC1340" s="33" t="s">
        <v>2861</v>
      </c>
      <c r="AD1340" s="161"/>
      <c r="AE1340" s="160"/>
    </row>
    <row r="1341" spans="1:31" x14ac:dyDescent="0.25">
      <c r="A1341" s="38" t="s">
        <v>36</v>
      </c>
      <c r="B1341" s="38" t="s">
        <v>2544</v>
      </c>
      <c r="C1341" s="38" t="s">
        <v>2857</v>
      </c>
      <c r="D1341" s="38" t="s">
        <v>2863</v>
      </c>
      <c r="E1341" s="38" t="s">
        <v>2864</v>
      </c>
      <c r="F1341" s="38">
        <v>1110</v>
      </c>
      <c r="G1341" s="38">
        <v>1110</v>
      </c>
      <c r="H1341" s="38">
        <f t="shared" si="63"/>
        <v>1533</v>
      </c>
      <c r="I1341" s="38">
        <v>1003</v>
      </c>
      <c r="J1341" s="38">
        <v>530</v>
      </c>
      <c r="K1341" s="38">
        <v>473</v>
      </c>
      <c r="L1341" s="50">
        <f t="shared" si="64"/>
        <v>30.854533594259621</v>
      </c>
      <c r="M1341" s="38">
        <v>0</v>
      </c>
      <c r="N1341" s="50">
        <f t="shared" si="65"/>
        <v>0</v>
      </c>
      <c r="O1341" s="38">
        <v>0</v>
      </c>
      <c r="P1341" s="38">
        <v>20</v>
      </c>
      <c r="Q1341" s="158" t="s">
        <v>44</v>
      </c>
      <c r="R1341" s="14">
        <v>45282</v>
      </c>
      <c r="S1341" s="160"/>
      <c r="T1341" s="158">
        <v>20</v>
      </c>
      <c r="U1341" s="158"/>
      <c r="V1341" s="158"/>
      <c r="W1341" s="158"/>
      <c r="X1341" s="158"/>
      <c r="Y1341" s="158"/>
      <c r="AB1341" s="16"/>
      <c r="AC1341" s="33" t="s">
        <v>2863</v>
      </c>
      <c r="AD1341" s="161"/>
      <c r="AE1341" s="160"/>
    </row>
    <row r="1342" spans="1:31" x14ac:dyDescent="0.25">
      <c r="A1342" s="38" t="s">
        <v>36</v>
      </c>
      <c r="B1342" s="38" t="s">
        <v>2544</v>
      </c>
      <c r="C1342" s="38" t="s">
        <v>205</v>
      </c>
      <c r="D1342" s="38" t="s">
        <v>2552</v>
      </c>
      <c r="E1342" s="38" t="s">
        <v>2865</v>
      </c>
      <c r="F1342" s="38">
        <v>356.46</v>
      </c>
      <c r="G1342" s="38">
        <v>356.46</v>
      </c>
      <c r="H1342" s="38">
        <f t="shared" si="63"/>
        <v>443</v>
      </c>
      <c r="I1342" s="38">
        <v>294</v>
      </c>
      <c r="J1342" s="38">
        <v>149</v>
      </c>
      <c r="K1342" s="38">
        <v>145</v>
      </c>
      <c r="L1342" s="50">
        <f t="shared" si="64"/>
        <v>32.731376975169304</v>
      </c>
      <c r="M1342" s="38">
        <v>49</v>
      </c>
      <c r="N1342" s="50">
        <f t="shared" si="65"/>
        <v>11.060948081264108</v>
      </c>
      <c r="O1342" s="38">
        <v>0</v>
      </c>
      <c r="P1342" s="38">
        <v>0</v>
      </c>
    </row>
    <row r="1343" spans="1:31" x14ac:dyDescent="0.25">
      <c r="A1343" s="38" t="s">
        <v>36</v>
      </c>
      <c r="B1343" s="38" t="s">
        <v>2544</v>
      </c>
      <c r="C1343" s="38" t="s">
        <v>2866</v>
      </c>
      <c r="D1343" s="38" t="s">
        <v>2867</v>
      </c>
      <c r="E1343" s="38" t="s">
        <v>2868</v>
      </c>
      <c r="F1343" s="38">
        <v>1815</v>
      </c>
      <c r="G1343" s="38">
        <v>1815</v>
      </c>
      <c r="H1343" s="38">
        <f t="shared" si="63"/>
        <v>3302</v>
      </c>
      <c r="I1343" s="38">
        <v>2152</v>
      </c>
      <c r="J1343" s="38">
        <v>1150</v>
      </c>
      <c r="K1343" s="38">
        <v>1002</v>
      </c>
      <c r="L1343" s="50">
        <f t="shared" si="64"/>
        <v>30.345245305875228</v>
      </c>
      <c r="M1343" s="38">
        <v>377</v>
      </c>
      <c r="N1343" s="50">
        <f t="shared" si="65"/>
        <v>11.41732283464567</v>
      </c>
      <c r="O1343" s="38">
        <v>0</v>
      </c>
      <c r="P1343" s="38">
        <v>39.1</v>
      </c>
      <c r="Q1343" s="158" t="s">
        <v>44</v>
      </c>
      <c r="R1343" s="15" t="s">
        <v>390</v>
      </c>
      <c r="S1343" s="160"/>
      <c r="T1343" s="158">
        <v>10.368399999999999</v>
      </c>
      <c r="U1343" s="158"/>
      <c r="V1343" s="158"/>
      <c r="W1343" s="158"/>
      <c r="X1343" s="158"/>
      <c r="Y1343" s="158"/>
      <c r="AB1343" s="16"/>
      <c r="AC1343" s="33" t="s">
        <v>2867</v>
      </c>
      <c r="AD1343" s="161"/>
      <c r="AE1343" s="160"/>
    </row>
    <row r="1344" spans="1:31" x14ac:dyDescent="0.25">
      <c r="A1344" s="38" t="s">
        <v>36</v>
      </c>
      <c r="B1344" s="38" t="s">
        <v>2544</v>
      </c>
      <c r="C1344" s="38" t="s">
        <v>2866</v>
      </c>
      <c r="D1344" s="33" t="s">
        <v>2869</v>
      </c>
      <c r="E1344" s="38"/>
      <c r="F1344" s="38"/>
      <c r="G1344" s="38"/>
      <c r="H1344" s="38">
        <f t="shared" si="63"/>
        <v>0</v>
      </c>
      <c r="I1344" s="38"/>
      <c r="J1344" s="38"/>
      <c r="K1344" s="38"/>
      <c r="L1344" s="50"/>
      <c r="M1344" s="38"/>
      <c r="N1344" s="50"/>
      <c r="O1344" s="38"/>
      <c r="P1344" s="38"/>
      <c r="Q1344" s="158" t="s">
        <v>44</v>
      </c>
      <c r="R1344" s="15" t="s">
        <v>390</v>
      </c>
      <c r="S1344" s="160"/>
      <c r="T1344" s="158">
        <v>1.1331</v>
      </c>
      <c r="U1344" s="158"/>
      <c r="V1344" s="158"/>
      <c r="W1344" s="158"/>
      <c r="X1344" s="158"/>
      <c r="Y1344" s="158"/>
      <c r="AB1344" s="16"/>
      <c r="AC1344" s="33" t="s">
        <v>2869</v>
      </c>
      <c r="AD1344" s="161"/>
      <c r="AE1344" s="160"/>
    </row>
    <row r="1345" spans="1:31" x14ac:dyDescent="0.25">
      <c r="A1345" s="38" t="s">
        <v>36</v>
      </c>
      <c r="B1345" s="38" t="s">
        <v>2544</v>
      </c>
      <c r="C1345" s="38" t="s">
        <v>2866</v>
      </c>
      <c r="D1345" s="33" t="s">
        <v>2870</v>
      </c>
      <c r="E1345" s="38"/>
      <c r="F1345" s="38"/>
      <c r="G1345" s="38"/>
      <c r="H1345" s="38">
        <f t="shared" si="63"/>
        <v>0</v>
      </c>
      <c r="I1345" s="38"/>
      <c r="J1345" s="38"/>
      <c r="K1345" s="38"/>
      <c r="L1345" s="50"/>
      <c r="M1345" s="38"/>
      <c r="N1345" s="50"/>
      <c r="O1345" s="38"/>
      <c r="P1345" s="38"/>
      <c r="Q1345" s="158" t="s">
        <v>44</v>
      </c>
      <c r="R1345" s="15" t="s">
        <v>390</v>
      </c>
      <c r="S1345" s="160"/>
      <c r="T1345" s="158">
        <v>3</v>
      </c>
      <c r="U1345" s="158"/>
      <c r="V1345" s="158"/>
      <c r="W1345" s="158"/>
      <c r="X1345" s="158"/>
      <c r="Y1345" s="158"/>
      <c r="AB1345" s="16"/>
      <c r="AC1345" s="33" t="s">
        <v>2870</v>
      </c>
      <c r="AD1345" s="161"/>
      <c r="AE1345" s="160"/>
    </row>
    <row r="1346" spans="1:31" x14ac:dyDescent="0.25">
      <c r="A1346" s="38" t="s">
        <v>36</v>
      </c>
      <c r="B1346" s="38" t="s">
        <v>2544</v>
      </c>
      <c r="C1346" s="38" t="s">
        <v>2866</v>
      </c>
      <c r="D1346" s="38" t="s">
        <v>2871</v>
      </c>
      <c r="E1346" s="38" t="s">
        <v>2872</v>
      </c>
      <c r="F1346" s="38">
        <v>1679</v>
      </c>
      <c r="G1346" s="38">
        <v>1679</v>
      </c>
      <c r="H1346" s="38">
        <f t="shared" si="63"/>
        <v>3133</v>
      </c>
      <c r="I1346" s="38">
        <v>2056</v>
      </c>
      <c r="J1346" s="38">
        <v>1077</v>
      </c>
      <c r="K1346" s="38">
        <v>979</v>
      </c>
      <c r="L1346" s="50">
        <f t="shared" si="64"/>
        <v>31.248005106926268</v>
      </c>
      <c r="M1346" s="38">
        <v>120</v>
      </c>
      <c r="N1346" s="50">
        <f t="shared" si="65"/>
        <v>3.8301947015639963</v>
      </c>
      <c r="O1346" s="38">
        <v>0</v>
      </c>
      <c r="P1346" s="38">
        <v>16.899999999999999</v>
      </c>
      <c r="Q1346" s="158" t="s">
        <v>44</v>
      </c>
      <c r="R1346" s="15" t="s">
        <v>390</v>
      </c>
      <c r="S1346" s="160"/>
      <c r="T1346" s="158">
        <v>16</v>
      </c>
      <c r="U1346" s="158"/>
      <c r="V1346" s="158"/>
      <c r="W1346" s="158"/>
      <c r="X1346" s="158"/>
      <c r="Y1346" s="158"/>
      <c r="AB1346" s="16"/>
      <c r="AC1346" s="33" t="s">
        <v>2871</v>
      </c>
      <c r="AD1346" s="161"/>
      <c r="AE1346" s="160"/>
    </row>
    <row r="1347" spans="1:31" x14ac:dyDescent="0.25">
      <c r="A1347" s="38" t="s">
        <v>36</v>
      </c>
      <c r="B1347" s="38" t="s">
        <v>2544</v>
      </c>
      <c r="C1347" s="38" t="s">
        <v>2873</v>
      </c>
      <c r="D1347" s="38" t="s">
        <v>2874</v>
      </c>
      <c r="E1347" s="38" t="s">
        <v>2875</v>
      </c>
      <c r="F1347" s="38">
        <v>848.21</v>
      </c>
      <c r="G1347" s="38">
        <v>848.21</v>
      </c>
      <c r="H1347" s="38">
        <f t="shared" si="63"/>
        <v>1796</v>
      </c>
      <c r="I1347" s="38">
        <v>1179</v>
      </c>
      <c r="J1347" s="38">
        <v>617</v>
      </c>
      <c r="K1347" s="38">
        <v>562</v>
      </c>
      <c r="L1347" s="50">
        <f t="shared" si="64"/>
        <v>31.29175946547884</v>
      </c>
      <c r="M1347" s="38">
        <v>208</v>
      </c>
      <c r="N1347" s="50">
        <f t="shared" si="65"/>
        <v>11.581291759465479</v>
      </c>
      <c r="O1347" s="38">
        <v>0</v>
      </c>
      <c r="P1347" s="38">
        <v>150.97999999999999</v>
      </c>
    </row>
    <row r="1348" spans="1:31" x14ac:dyDescent="0.25">
      <c r="A1348" s="38" t="s">
        <v>36</v>
      </c>
      <c r="B1348" s="38" t="s">
        <v>2544</v>
      </c>
      <c r="C1348" s="38" t="s">
        <v>2873</v>
      </c>
      <c r="D1348" s="38" t="s">
        <v>2876</v>
      </c>
      <c r="E1348" s="38" t="s">
        <v>2877</v>
      </c>
      <c r="F1348" s="38">
        <v>831</v>
      </c>
      <c r="G1348" s="38">
        <v>831</v>
      </c>
      <c r="H1348" s="38">
        <f t="shared" si="63"/>
        <v>1151</v>
      </c>
      <c r="I1348" s="38">
        <v>750</v>
      </c>
      <c r="J1348" s="38">
        <v>401</v>
      </c>
      <c r="K1348" s="38">
        <v>349</v>
      </c>
      <c r="L1348" s="50">
        <f t="shared" si="64"/>
        <v>30.321459600347524</v>
      </c>
      <c r="M1348" s="38">
        <v>63</v>
      </c>
      <c r="N1348" s="50">
        <f t="shared" si="65"/>
        <v>5.4735013032145963</v>
      </c>
      <c r="O1348" s="38">
        <v>0</v>
      </c>
      <c r="P1348" s="38">
        <v>17.04</v>
      </c>
    </row>
    <row r="1349" spans="1:31" x14ac:dyDescent="0.25">
      <c r="A1349" s="38" t="s">
        <v>36</v>
      </c>
      <c r="B1349" s="38" t="s">
        <v>2544</v>
      </c>
      <c r="C1349" s="38" t="s">
        <v>2873</v>
      </c>
      <c r="D1349" s="38" t="s">
        <v>2878</v>
      </c>
      <c r="E1349" s="38" t="s">
        <v>2879</v>
      </c>
      <c r="F1349" s="38">
        <v>690</v>
      </c>
      <c r="G1349" s="38">
        <v>690</v>
      </c>
      <c r="H1349" s="38">
        <f t="shared" ref="H1349:H1412" si="66">I1349+J1349</f>
        <v>1134</v>
      </c>
      <c r="I1349" s="38">
        <v>756</v>
      </c>
      <c r="J1349" s="38">
        <v>378</v>
      </c>
      <c r="K1349" s="38">
        <v>378</v>
      </c>
      <c r="L1349" s="50">
        <f t="shared" si="64"/>
        <v>33.333333333333329</v>
      </c>
      <c r="M1349" s="38">
        <v>53</v>
      </c>
      <c r="N1349" s="50">
        <f t="shared" si="65"/>
        <v>4.6737213403880071</v>
      </c>
      <c r="O1349" s="38">
        <v>0</v>
      </c>
      <c r="P1349" s="38">
        <v>0</v>
      </c>
    </row>
    <row r="1350" spans="1:31" x14ac:dyDescent="0.25">
      <c r="A1350" s="38" t="s">
        <v>36</v>
      </c>
      <c r="B1350" s="38" t="s">
        <v>2544</v>
      </c>
      <c r="C1350" s="38" t="s">
        <v>2880</v>
      </c>
      <c r="D1350" s="38" t="s">
        <v>616</v>
      </c>
      <c r="E1350" s="38" t="s">
        <v>2881</v>
      </c>
      <c r="F1350" s="38">
        <v>1173</v>
      </c>
      <c r="G1350" s="38">
        <v>1173</v>
      </c>
      <c r="H1350" s="38">
        <f t="shared" si="66"/>
        <v>2822</v>
      </c>
      <c r="I1350" s="38">
        <v>1858</v>
      </c>
      <c r="J1350" s="38">
        <v>964</v>
      </c>
      <c r="K1350" s="38">
        <v>894</v>
      </c>
      <c r="L1350" s="50">
        <f t="shared" ref="L1350:L1413" si="67">K1350/H1350*100</f>
        <v>31.679659815733523</v>
      </c>
      <c r="M1350" s="38">
        <v>477</v>
      </c>
      <c r="N1350" s="50">
        <f t="shared" si="65"/>
        <v>16.902905740609498</v>
      </c>
      <c r="O1350" s="38">
        <v>0</v>
      </c>
      <c r="P1350" s="38">
        <v>6.95</v>
      </c>
    </row>
    <row r="1351" spans="1:31" x14ac:dyDescent="0.25">
      <c r="A1351" s="38" t="s">
        <v>36</v>
      </c>
      <c r="B1351" s="38" t="s">
        <v>2544</v>
      </c>
      <c r="C1351" s="38" t="s">
        <v>2882</v>
      </c>
      <c r="D1351" s="38" t="s">
        <v>2883</v>
      </c>
      <c r="E1351" s="38" t="s">
        <v>2884</v>
      </c>
      <c r="F1351" s="38">
        <v>707.04</v>
      </c>
      <c r="G1351" s="38">
        <v>707.04</v>
      </c>
      <c r="H1351" s="38">
        <f t="shared" si="66"/>
        <v>1364</v>
      </c>
      <c r="I1351" s="38">
        <v>885</v>
      </c>
      <c r="J1351" s="38">
        <v>479</v>
      </c>
      <c r="K1351" s="38">
        <v>406</v>
      </c>
      <c r="L1351" s="50">
        <f t="shared" si="67"/>
        <v>29.765395894428153</v>
      </c>
      <c r="M1351" s="38">
        <v>43</v>
      </c>
      <c r="N1351" s="50">
        <f t="shared" si="65"/>
        <v>3.1524926686217007</v>
      </c>
      <c r="O1351" s="38">
        <v>0</v>
      </c>
      <c r="P1351" s="38">
        <v>24.7</v>
      </c>
      <c r="Q1351" s="158" t="s">
        <v>44</v>
      </c>
      <c r="R1351" s="15" t="s">
        <v>2850</v>
      </c>
      <c r="S1351" s="160"/>
      <c r="T1351" s="158">
        <v>25.35</v>
      </c>
      <c r="U1351" s="158"/>
      <c r="V1351" s="158"/>
      <c r="W1351" s="158"/>
      <c r="X1351" s="158"/>
      <c r="Y1351" s="158"/>
      <c r="AB1351" s="161"/>
      <c r="AC1351" s="33" t="s">
        <v>2883</v>
      </c>
      <c r="AD1351" s="161"/>
      <c r="AE1351" s="160"/>
    </row>
    <row r="1352" spans="1:31" x14ac:dyDescent="0.25">
      <c r="A1352" s="38" t="s">
        <v>36</v>
      </c>
      <c r="B1352" s="38" t="s">
        <v>2544</v>
      </c>
      <c r="C1352" s="38" t="s">
        <v>2882</v>
      </c>
      <c r="D1352" s="38" t="s">
        <v>2885</v>
      </c>
      <c r="E1352" s="38" t="s">
        <v>2886</v>
      </c>
      <c r="F1352" s="38">
        <v>354.44</v>
      </c>
      <c r="G1352" s="38">
        <v>354.44</v>
      </c>
      <c r="H1352" s="38">
        <f t="shared" si="66"/>
        <v>829</v>
      </c>
      <c r="I1352" s="38">
        <v>549</v>
      </c>
      <c r="J1352" s="38">
        <v>280</v>
      </c>
      <c r="K1352" s="38">
        <v>269</v>
      </c>
      <c r="L1352" s="50">
        <f t="shared" si="67"/>
        <v>32.448733413751505</v>
      </c>
      <c r="M1352" s="38">
        <v>10</v>
      </c>
      <c r="N1352" s="50">
        <f t="shared" si="65"/>
        <v>1.2062726176115801</v>
      </c>
      <c r="O1352" s="38">
        <v>0</v>
      </c>
      <c r="P1352" s="38">
        <v>22.72</v>
      </c>
      <c r="Q1352" s="158" t="s">
        <v>44</v>
      </c>
      <c r="R1352" s="15" t="s">
        <v>2850</v>
      </c>
      <c r="S1352" s="160"/>
      <c r="T1352" s="158">
        <v>23.45</v>
      </c>
      <c r="U1352" s="158"/>
      <c r="V1352" s="158"/>
      <c r="W1352" s="158"/>
      <c r="X1352" s="158"/>
      <c r="Y1352" s="158"/>
      <c r="AB1352" s="161"/>
      <c r="AC1352" s="33" t="s">
        <v>2885</v>
      </c>
      <c r="AD1352" s="161"/>
      <c r="AE1352" s="160"/>
    </row>
    <row r="1353" spans="1:31" x14ac:dyDescent="0.25">
      <c r="A1353" s="38" t="s">
        <v>36</v>
      </c>
      <c r="B1353" s="38" t="s">
        <v>2544</v>
      </c>
      <c r="C1353" s="38" t="s">
        <v>2882</v>
      </c>
      <c r="D1353" s="38" t="s">
        <v>2887</v>
      </c>
      <c r="E1353" s="38" t="s">
        <v>2888</v>
      </c>
      <c r="F1353" s="38">
        <v>469.65</v>
      </c>
      <c r="G1353" s="38">
        <v>469.65</v>
      </c>
      <c r="H1353" s="38">
        <f t="shared" si="66"/>
        <v>703</v>
      </c>
      <c r="I1353" s="38">
        <v>470</v>
      </c>
      <c r="J1353" s="38">
        <v>233</v>
      </c>
      <c r="K1353" s="38">
        <v>237</v>
      </c>
      <c r="L1353" s="50">
        <f t="shared" si="67"/>
        <v>33.712660028449505</v>
      </c>
      <c r="M1353" s="38">
        <v>106</v>
      </c>
      <c r="N1353" s="50">
        <f t="shared" si="65"/>
        <v>15.078236130867708</v>
      </c>
      <c r="O1353" s="38">
        <v>0</v>
      </c>
      <c r="P1353" s="38">
        <v>27.92</v>
      </c>
      <c r="Q1353" s="158" t="s">
        <v>44</v>
      </c>
      <c r="R1353" s="15" t="s">
        <v>2850</v>
      </c>
      <c r="S1353" s="160"/>
      <c r="T1353" s="158">
        <v>28.17</v>
      </c>
      <c r="U1353" s="158"/>
      <c r="V1353" s="158"/>
      <c r="W1353" s="158"/>
      <c r="X1353" s="158"/>
      <c r="Y1353" s="158"/>
      <c r="AB1353" s="161"/>
      <c r="AC1353" s="33" t="s">
        <v>2887</v>
      </c>
      <c r="AD1353" s="161"/>
      <c r="AE1353" s="160"/>
    </row>
    <row r="1354" spans="1:31" x14ac:dyDescent="0.25">
      <c r="A1354" s="38" t="s">
        <v>36</v>
      </c>
      <c r="B1354" s="38" t="s">
        <v>2544</v>
      </c>
      <c r="C1354" s="38" t="s">
        <v>2882</v>
      </c>
      <c r="D1354" s="38" t="s">
        <v>2889</v>
      </c>
      <c r="E1354" s="38" t="s">
        <v>2890</v>
      </c>
      <c r="F1354" s="38">
        <v>724.65</v>
      </c>
      <c r="G1354" s="38">
        <v>724.65</v>
      </c>
      <c r="H1354" s="38">
        <f t="shared" si="66"/>
        <v>1226</v>
      </c>
      <c r="I1354" s="38">
        <v>806</v>
      </c>
      <c r="J1354" s="38">
        <v>420</v>
      </c>
      <c r="K1354" s="38">
        <v>386</v>
      </c>
      <c r="L1354" s="50">
        <f t="shared" si="67"/>
        <v>31.484502446982056</v>
      </c>
      <c r="M1354" s="38">
        <v>119</v>
      </c>
      <c r="N1354" s="50">
        <f t="shared" si="65"/>
        <v>9.7063621533442088</v>
      </c>
      <c r="O1354" s="38">
        <v>0</v>
      </c>
      <c r="P1354" s="38">
        <v>60.18</v>
      </c>
      <c r="Q1354" s="158" t="s">
        <v>44</v>
      </c>
      <c r="R1354" s="15" t="s">
        <v>2850</v>
      </c>
      <c r="S1354" s="160"/>
      <c r="T1354" s="158">
        <v>51.22</v>
      </c>
      <c r="U1354" s="158"/>
      <c r="V1354" s="158"/>
      <c r="W1354" s="158"/>
      <c r="X1354" s="158"/>
      <c r="Y1354" s="158"/>
      <c r="AB1354" s="161"/>
      <c r="AC1354" s="33" t="s">
        <v>2889</v>
      </c>
      <c r="AD1354" s="161"/>
      <c r="AE1354" s="160"/>
    </row>
    <row r="1355" spans="1:31" x14ac:dyDescent="0.25">
      <c r="A1355" s="38" t="s">
        <v>36</v>
      </c>
      <c r="B1355" s="38" t="s">
        <v>2544</v>
      </c>
      <c r="C1355" s="38" t="s">
        <v>2882</v>
      </c>
      <c r="D1355" s="38" t="s">
        <v>483</v>
      </c>
      <c r="E1355" s="38" t="s">
        <v>2891</v>
      </c>
      <c r="F1355" s="38">
        <v>314.45999999999998</v>
      </c>
      <c r="G1355" s="38">
        <v>314.45999999999998</v>
      </c>
      <c r="H1355" s="38">
        <f t="shared" si="66"/>
        <v>602</v>
      </c>
      <c r="I1355" s="38">
        <v>391</v>
      </c>
      <c r="J1355" s="38">
        <v>211</v>
      </c>
      <c r="K1355" s="38">
        <v>180</v>
      </c>
      <c r="L1355" s="50">
        <f t="shared" si="67"/>
        <v>29.900332225913623</v>
      </c>
      <c r="M1355" s="38">
        <v>64</v>
      </c>
      <c r="N1355" s="50">
        <f t="shared" si="65"/>
        <v>10.631229235880399</v>
      </c>
      <c r="O1355" s="38">
        <v>0</v>
      </c>
      <c r="P1355" s="38">
        <v>0</v>
      </c>
      <c r="Q1355" s="158" t="s">
        <v>44</v>
      </c>
      <c r="R1355" s="15" t="s">
        <v>2850</v>
      </c>
      <c r="S1355" s="160"/>
      <c r="T1355" s="158">
        <v>0.4047</v>
      </c>
      <c r="U1355" s="158"/>
      <c r="V1355" s="158"/>
      <c r="W1355" s="158"/>
      <c r="X1355" s="158"/>
      <c r="Y1355" s="158"/>
      <c r="AB1355" s="161"/>
      <c r="AC1355" s="33" t="s">
        <v>483</v>
      </c>
      <c r="AD1355" s="161"/>
      <c r="AE1355" s="160"/>
    </row>
    <row r="1356" spans="1:31" x14ac:dyDescent="0.25">
      <c r="A1356" s="38" t="s">
        <v>36</v>
      </c>
      <c r="B1356" s="38" t="s">
        <v>2544</v>
      </c>
      <c r="C1356" s="38" t="s">
        <v>2882</v>
      </c>
      <c r="D1356" s="38" t="s">
        <v>95</v>
      </c>
      <c r="E1356" s="38" t="s">
        <v>2892</v>
      </c>
      <c r="F1356" s="38">
        <v>396.39</v>
      </c>
      <c r="G1356" s="38">
        <v>396.39</v>
      </c>
      <c r="H1356" s="38">
        <f t="shared" si="66"/>
        <v>474</v>
      </c>
      <c r="I1356" s="38">
        <v>313</v>
      </c>
      <c r="J1356" s="38">
        <v>161</v>
      </c>
      <c r="K1356" s="38">
        <v>152</v>
      </c>
      <c r="L1356" s="50">
        <f t="shared" si="67"/>
        <v>32.067510548523209</v>
      </c>
      <c r="M1356" s="38">
        <v>0</v>
      </c>
      <c r="N1356" s="50">
        <f t="shared" si="65"/>
        <v>0</v>
      </c>
      <c r="O1356" s="38">
        <v>0</v>
      </c>
      <c r="P1356" s="38">
        <v>126.96</v>
      </c>
      <c r="Q1356" s="158" t="s">
        <v>44</v>
      </c>
      <c r="R1356" s="15" t="s">
        <v>2850</v>
      </c>
      <c r="S1356" s="160"/>
      <c r="T1356" s="158">
        <v>130.76</v>
      </c>
      <c r="U1356" s="158"/>
      <c r="V1356" s="158"/>
      <c r="W1356" s="158"/>
      <c r="X1356" s="158"/>
      <c r="Y1356" s="158"/>
      <c r="AB1356" s="161"/>
      <c r="AC1356" s="33" t="s">
        <v>95</v>
      </c>
      <c r="AD1356" s="161"/>
      <c r="AE1356" s="160"/>
    </row>
    <row r="1357" spans="1:31" x14ac:dyDescent="0.25">
      <c r="A1357" s="38" t="s">
        <v>36</v>
      </c>
      <c r="B1357" s="38" t="s">
        <v>2544</v>
      </c>
      <c r="C1357" s="38" t="s">
        <v>2882</v>
      </c>
      <c r="D1357" s="38" t="s">
        <v>2893</v>
      </c>
      <c r="E1357" s="38" t="s">
        <v>2894</v>
      </c>
      <c r="F1357" s="38">
        <v>649.36</v>
      </c>
      <c r="G1357" s="38">
        <v>649.36</v>
      </c>
      <c r="H1357" s="38">
        <f t="shared" si="66"/>
        <v>1030</v>
      </c>
      <c r="I1357" s="38">
        <v>681</v>
      </c>
      <c r="J1357" s="38">
        <v>349</v>
      </c>
      <c r="K1357" s="38">
        <v>332</v>
      </c>
      <c r="L1357" s="50">
        <f t="shared" si="67"/>
        <v>32.233009708737868</v>
      </c>
      <c r="M1357" s="38">
        <v>0</v>
      </c>
      <c r="N1357" s="50">
        <f t="shared" si="65"/>
        <v>0</v>
      </c>
      <c r="O1357" s="38">
        <v>0</v>
      </c>
      <c r="P1357" s="38">
        <v>0</v>
      </c>
      <c r="Q1357" s="158" t="s">
        <v>44</v>
      </c>
      <c r="R1357" s="15" t="s">
        <v>2850</v>
      </c>
      <c r="S1357" s="160"/>
      <c r="T1357" s="158">
        <v>1.6199999999999999E-2</v>
      </c>
      <c r="U1357" s="158"/>
      <c r="V1357" s="158"/>
      <c r="W1357" s="158"/>
      <c r="X1357" s="158"/>
      <c r="Y1357" s="158"/>
      <c r="AB1357" s="161"/>
      <c r="AC1357" s="33" t="s">
        <v>2893</v>
      </c>
      <c r="AD1357" s="161"/>
      <c r="AE1357" s="160"/>
    </row>
    <row r="1358" spans="1:31" x14ac:dyDescent="0.25">
      <c r="A1358" s="38" t="s">
        <v>36</v>
      </c>
      <c r="B1358" s="38" t="s">
        <v>2544</v>
      </c>
      <c r="C1358" s="38" t="s">
        <v>2882</v>
      </c>
      <c r="D1358" s="38" t="s">
        <v>1691</v>
      </c>
      <c r="E1358" s="38" t="s">
        <v>2895</v>
      </c>
      <c r="F1358" s="38">
        <v>827.94</v>
      </c>
      <c r="G1358" s="38">
        <v>827.94</v>
      </c>
      <c r="H1358" s="38">
        <f t="shared" si="66"/>
        <v>866</v>
      </c>
      <c r="I1358" s="38">
        <v>570</v>
      </c>
      <c r="J1358" s="38">
        <v>296</v>
      </c>
      <c r="K1358" s="38">
        <v>274</v>
      </c>
      <c r="L1358" s="50">
        <f t="shared" si="67"/>
        <v>31.639722863741337</v>
      </c>
      <c r="M1358" s="38">
        <v>0</v>
      </c>
      <c r="N1358" s="50">
        <f t="shared" si="65"/>
        <v>0</v>
      </c>
      <c r="O1358" s="38">
        <v>0</v>
      </c>
      <c r="P1358" s="38">
        <v>1.46</v>
      </c>
      <c r="Q1358" s="158" t="s">
        <v>44</v>
      </c>
      <c r="R1358" s="15" t="s">
        <v>2850</v>
      </c>
      <c r="S1358" s="160"/>
      <c r="T1358" s="158">
        <v>0.36</v>
      </c>
      <c r="U1358" s="158"/>
      <c r="V1358" s="158"/>
      <c r="W1358" s="158"/>
      <c r="X1358" s="158"/>
      <c r="Y1358" s="158"/>
      <c r="AB1358" s="161"/>
      <c r="AC1358" s="33" t="s">
        <v>1691</v>
      </c>
      <c r="AD1358" s="161"/>
      <c r="AE1358" s="160"/>
    </row>
    <row r="1359" spans="1:31" x14ac:dyDescent="0.25">
      <c r="A1359" s="38" t="s">
        <v>36</v>
      </c>
      <c r="B1359" s="38" t="s">
        <v>2544</v>
      </c>
      <c r="C1359" s="38" t="s">
        <v>646</v>
      </c>
      <c r="D1359" s="38" t="s">
        <v>646</v>
      </c>
      <c r="E1359" s="38" t="s">
        <v>2896</v>
      </c>
      <c r="F1359" s="38">
        <v>1077.9000000000001</v>
      </c>
      <c r="G1359" s="38">
        <v>1077.9000000000001</v>
      </c>
      <c r="H1359" s="38">
        <f t="shared" si="66"/>
        <v>1825</v>
      </c>
      <c r="I1359" s="38">
        <v>1196</v>
      </c>
      <c r="J1359" s="38">
        <v>629</v>
      </c>
      <c r="K1359" s="38">
        <v>567</v>
      </c>
      <c r="L1359" s="50">
        <f t="shared" si="67"/>
        <v>31.068493150684933</v>
      </c>
      <c r="M1359" s="38">
        <v>14</v>
      </c>
      <c r="N1359" s="50">
        <f t="shared" si="65"/>
        <v>0.76712328767123283</v>
      </c>
      <c r="O1359" s="38">
        <v>0</v>
      </c>
      <c r="P1359" s="38">
        <v>0</v>
      </c>
    </row>
    <row r="1360" spans="1:31" x14ac:dyDescent="0.25">
      <c r="A1360" s="38" t="s">
        <v>36</v>
      </c>
      <c r="B1360" s="38" t="s">
        <v>2544</v>
      </c>
      <c r="C1360" s="38" t="s">
        <v>646</v>
      </c>
      <c r="D1360" s="38" t="s">
        <v>2897</v>
      </c>
      <c r="E1360" s="38" t="s">
        <v>2898</v>
      </c>
      <c r="F1360" s="38">
        <v>1189</v>
      </c>
      <c r="G1360" s="38">
        <v>1189</v>
      </c>
      <c r="H1360" s="38">
        <f t="shared" si="66"/>
        <v>2297</v>
      </c>
      <c r="I1360" s="38">
        <v>1511</v>
      </c>
      <c r="J1360" s="38">
        <v>786</v>
      </c>
      <c r="K1360" s="38">
        <v>725</v>
      </c>
      <c r="L1360" s="50">
        <f t="shared" si="67"/>
        <v>31.562908141053548</v>
      </c>
      <c r="M1360" s="38">
        <v>124</v>
      </c>
      <c r="N1360" s="50">
        <f t="shared" si="65"/>
        <v>5.3983456682629516</v>
      </c>
      <c r="O1360" s="38">
        <v>0</v>
      </c>
      <c r="P1360" s="38">
        <v>63.9</v>
      </c>
    </row>
    <row r="1361" spans="1:31" x14ac:dyDescent="0.25">
      <c r="A1361" s="38" t="s">
        <v>36</v>
      </c>
      <c r="B1361" s="38" t="s">
        <v>2544</v>
      </c>
      <c r="C1361" s="38" t="s">
        <v>2899</v>
      </c>
      <c r="D1361" s="38" t="s">
        <v>2900</v>
      </c>
      <c r="E1361" s="38" t="s">
        <v>2901</v>
      </c>
      <c r="F1361" s="38">
        <v>1036</v>
      </c>
      <c r="G1361" s="38">
        <v>1036</v>
      </c>
      <c r="H1361" s="38">
        <f t="shared" si="66"/>
        <v>1854</v>
      </c>
      <c r="I1361" s="38">
        <v>1217</v>
      </c>
      <c r="J1361" s="38">
        <v>637</v>
      </c>
      <c r="K1361" s="38">
        <v>580</v>
      </c>
      <c r="L1361" s="50">
        <f t="shared" si="67"/>
        <v>31.283710895361384</v>
      </c>
      <c r="M1361" s="38">
        <v>72</v>
      </c>
      <c r="N1361" s="50">
        <f t="shared" si="65"/>
        <v>3.8834951456310676</v>
      </c>
      <c r="O1361" s="38">
        <v>0</v>
      </c>
      <c r="P1361" s="38">
        <v>3</v>
      </c>
      <c r="Q1361" s="96" t="s">
        <v>44</v>
      </c>
      <c r="R1361" s="14">
        <v>45280</v>
      </c>
      <c r="S1361" s="181"/>
      <c r="T1361" s="96">
        <v>52.599499999999999</v>
      </c>
      <c r="U1361" s="96"/>
      <c r="V1361" s="96"/>
      <c r="W1361" s="96"/>
      <c r="X1361" s="96"/>
      <c r="Y1361" s="96"/>
      <c r="AB1361" s="181">
        <v>40</v>
      </c>
      <c r="AC1361" s="33" t="s">
        <v>2902</v>
      </c>
      <c r="AD1361" s="181">
        <v>25.216166000000001</v>
      </c>
      <c r="AE1361" s="181">
        <v>71.395104000000003</v>
      </c>
    </row>
    <row r="1362" spans="1:31" x14ac:dyDescent="0.25">
      <c r="A1362" s="38" t="s">
        <v>36</v>
      </c>
      <c r="B1362" s="38" t="s">
        <v>2544</v>
      </c>
      <c r="C1362" s="38" t="s">
        <v>2899</v>
      </c>
      <c r="D1362" s="38" t="s">
        <v>2903</v>
      </c>
      <c r="E1362" s="38" t="s">
        <v>2904</v>
      </c>
      <c r="F1362" s="38">
        <v>369</v>
      </c>
      <c r="G1362" s="38">
        <v>369</v>
      </c>
      <c r="H1362" s="38">
        <f t="shared" si="66"/>
        <v>515</v>
      </c>
      <c r="I1362" s="38">
        <v>339</v>
      </c>
      <c r="J1362" s="38">
        <v>176</v>
      </c>
      <c r="K1362" s="38">
        <v>163</v>
      </c>
      <c r="L1362" s="50">
        <f t="shared" si="67"/>
        <v>31.650485436893206</v>
      </c>
      <c r="M1362" s="38">
        <v>7</v>
      </c>
      <c r="N1362" s="50">
        <f t="shared" si="65"/>
        <v>1.3592233009708738</v>
      </c>
      <c r="O1362" s="38">
        <v>0</v>
      </c>
      <c r="P1362" s="38">
        <v>4</v>
      </c>
      <c r="Q1362" s="96" t="s">
        <v>44</v>
      </c>
      <c r="R1362" s="14">
        <v>45280</v>
      </c>
      <c r="S1362" s="97"/>
      <c r="T1362" s="96">
        <v>19.755400000000002</v>
      </c>
      <c r="U1362" s="96"/>
      <c r="V1362" s="96"/>
      <c r="W1362" s="96"/>
      <c r="X1362" s="96"/>
      <c r="Y1362" s="96"/>
      <c r="AB1362" s="36"/>
      <c r="AC1362" s="33" t="s">
        <v>2903</v>
      </c>
      <c r="AD1362" s="36"/>
      <c r="AE1362" s="97"/>
    </row>
    <row r="1363" spans="1:31" x14ac:dyDescent="0.25">
      <c r="A1363" s="38" t="s">
        <v>36</v>
      </c>
      <c r="B1363" s="38" t="s">
        <v>2544</v>
      </c>
      <c r="C1363" s="38" t="s">
        <v>2899</v>
      </c>
      <c r="D1363" s="38" t="s">
        <v>2905</v>
      </c>
      <c r="E1363" s="38" t="s">
        <v>2906</v>
      </c>
      <c r="F1363" s="38">
        <v>425</v>
      </c>
      <c r="G1363" s="38">
        <v>425</v>
      </c>
      <c r="H1363" s="38">
        <f t="shared" si="66"/>
        <v>797</v>
      </c>
      <c r="I1363" s="38">
        <v>523</v>
      </c>
      <c r="J1363" s="38">
        <v>274</v>
      </c>
      <c r="K1363" s="38">
        <v>249</v>
      </c>
      <c r="L1363" s="50">
        <f t="shared" si="67"/>
        <v>31.242158092848182</v>
      </c>
      <c r="M1363" s="38">
        <v>0</v>
      </c>
      <c r="N1363" s="50">
        <f t="shared" si="65"/>
        <v>0</v>
      </c>
      <c r="O1363" s="38">
        <v>0</v>
      </c>
      <c r="P1363" s="38">
        <v>0</v>
      </c>
      <c r="Q1363" s="96" t="s">
        <v>44</v>
      </c>
      <c r="R1363" s="14">
        <v>45280</v>
      </c>
      <c r="S1363" s="97"/>
      <c r="T1363" s="96">
        <v>83.25</v>
      </c>
      <c r="U1363" s="96"/>
      <c r="V1363" s="96"/>
      <c r="W1363" s="96"/>
      <c r="X1363" s="96"/>
      <c r="Y1363" s="96"/>
      <c r="AB1363" s="36"/>
      <c r="AC1363" s="33" t="s">
        <v>2905</v>
      </c>
      <c r="AD1363" s="36"/>
      <c r="AE1363" s="97"/>
    </row>
    <row r="1364" spans="1:31" x14ac:dyDescent="0.25">
      <c r="A1364" s="38" t="s">
        <v>36</v>
      </c>
      <c r="B1364" s="38" t="s">
        <v>2544</v>
      </c>
      <c r="C1364" s="38" t="s">
        <v>2899</v>
      </c>
      <c r="D1364" s="38" t="s">
        <v>2907</v>
      </c>
      <c r="E1364" s="38" t="s">
        <v>2908</v>
      </c>
      <c r="F1364" s="38">
        <v>374</v>
      </c>
      <c r="G1364" s="38">
        <v>374</v>
      </c>
      <c r="H1364" s="38">
        <f t="shared" si="66"/>
        <v>664</v>
      </c>
      <c r="I1364" s="38">
        <v>436</v>
      </c>
      <c r="J1364" s="38">
        <v>228</v>
      </c>
      <c r="K1364" s="38">
        <v>208</v>
      </c>
      <c r="L1364" s="50">
        <f t="shared" si="67"/>
        <v>31.325301204819279</v>
      </c>
      <c r="M1364" s="38">
        <v>3</v>
      </c>
      <c r="N1364" s="50">
        <f t="shared" si="65"/>
        <v>0.45180722891566261</v>
      </c>
      <c r="O1364" s="38">
        <v>0</v>
      </c>
      <c r="P1364" s="38">
        <v>0</v>
      </c>
      <c r="Q1364" s="96" t="s">
        <v>44</v>
      </c>
      <c r="R1364" s="14">
        <v>45280</v>
      </c>
      <c r="S1364" s="97"/>
      <c r="T1364" s="96">
        <v>1.2497</v>
      </c>
      <c r="U1364" s="96"/>
      <c r="V1364" s="96"/>
      <c r="W1364" s="96"/>
      <c r="X1364" s="96"/>
      <c r="Y1364" s="96"/>
      <c r="AB1364" s="36"/>
      <c r="AC1364" s="33" t="s">
        <v>2907</v>
      </c>
      <c r="AD1364" s="36"/>
      <c r="AE1364" s="97"/>
    </row>
    <row r="1365" spans="1:31" x14ac:dyDescent="0.25">
      <c r="A1365" s="38" t="s">
        <v>36</v>
      </c>
      <c r="B1365" s="38" t="s">
        <v>2544</v>
      </c>
      <c r="C1365" s="38" t="s">
        <v>2899</v>
      </c>
      <c r="D1365" s="38" t="s">
        <v>2909</v>
      </c>
      <c r="E1365" s="38" t="s">
        <v>2910</v>
      </c>
      <c r="F1365" s="38">
        <v>686</v>
      </c>
      <c r="G1365" s="38">
        <v>686</v>
      </c>
      <c r="H1365" s="38">
        <f t="shared" si="66"/>
        <v>1509</v>
      </c>
      <c r="I1365" s="38">
        <v>981</v>
      </c>
      <c r="J1365" s="38">
        <v>528</v>
      </c>
      <c r="K1365" s="38">
        <v>453</v>
      </c>
      <c r="L1365" s="50">
        <f t="shared" si="67"/>
        <v>30.019880715705767</v>
      </c>
      <c r="M1365" s="38">
        <v>57</v>
      </c>
      <c r="N1365" s="50">
        <f t="shared" si="65"/>
        <v>3.7773359840954273</v>
      </c>
      <c r="O1365" s="38">
        <v>0</v>
      </c>
      <c r="P1365" s="38">
        <v>0</v>
      </c>
      <c r="Q1365" s="96" t="s">
        <v>44</v>
      </c>
      <c r="R1365" s="14">
        <v>45280</v>
      </c>
      <c r="S1365" s="97"/>
      <c r="T1365" s="96">
        <v>0</v>
      </c>
      <c r="U1365" s="96"/>
      <c r="V1365" s="96"/>
      <c r="W1365" s="96"/>
      <c r="X1365" s="96"/>
      <c r="Y1365" s="96"/>
      <c r="AB1365" s="36"/>
      <c r="AC1365" s="33" t="s">
        <v>2909</v>
      </c>
      <c r="AD1365" s="36"/>
      <c r="AE1365" s="97"/>
    </row>
    <row r="1366" spans="1:31" x14ac:dyDescent="0.25">
      <c r="A1366" s="38" t="s">
        <v>36</v>
      </c>
      <c r="B1366" s="38" t="s">
        <v>2544</v>
      </c>
      <c r="C1366" s="38" t="s">
        <v>2899</v>
      </c>
      <c r="D1366" s="33" t="s">
        <v>2911</v>
      </c>
      <c r="E1366" s="38"/>
      <c r="F1366" s="38"/>
      <c r="G1366" s="38"/>
      <c r="H1366" s="38">
        <f t="shared" si="66"/>
        <v>0</v>
      </c>
      <c r="I1366" s="38"/>
      <c r="J1366" s="38"/>
      <c r="K1366" s="38"/>
      <c r="L1366" s="50"/>
      <c r="M1366" s="38"/>
      <c r="N1366" s="50"/>
      <c r="O1366" s="38"/>
      <c r="P1366" s="38"/>
      <c r="Q1366" s="96" t="s">
        <v>44</v>
      </c>
      <c r="R1366" s="14">
        <v>45280</v>
      </c>
      <c r="S1366" s="97"/>
      <c r="T1366" s="96">
        <v>0</v>
      </c>
      <c r="U1366" s="96"/>
      <c r="V1366" s="96"/>
      <c r="W1366" s="96"/>
      <c r="X1366" s="96"/>
      <c r="Y1366" s="96"/>
      <c r="AB1366" s="36"/>
      <c r="AC1366" s="33" t="s">
        <v>2911</v>
      </c>
      <c r="AD1366" s="36"/>
      <c r="AE1366" s="97"/>
    </row>
    <row r="1367" spans="1:31" x14ac:dyDescent="0.25">
      <c r="A1367" s="38" t="s">
        <v>36</v>
      </c>
      <c r="B1367" s="38" t="s">
        <v>2544</v>
      </c>
      <c r="C1367" s="38" t="s">
        <v>2899</v>
      </c>
      <c r="D1367" s="33" t="s">
        <v>2912</v>
      </c>
      <c r="E1367" s="38"/>
      <c r="F1367" s="38"/>
      <c r="G1367" s="38"/>
      <c r="H1367" s="38">
        <f t="shared" si="66"/>
        <v>0</v>
      </c>
      <c r="I1367" s="38"/>
      <c r="J1367" s="38"/>
      <c r="K1367" s="38"/>
      <c r="L1367" s="50"/>
      <c r="M1367" s="38"/>
      <c r="N1367" s="50"/>
      <c r="O1367" s="38"/>
      <c r="P1367" s="38"/>
      <c r="Q1367" s="96" t="s">
        <v>44</v>
      </c>
      <c r="R1367" s="14">
        <v>45280</v>
      </c>
      <c r="S1367" s="97"/>
      <c r="T1367" s="96">
        <v>3.9990000000000001</v>
      </c>
      <c r="U1367" s="96"/>
      <c r="V1367" s="96"/>
      <c r="W1367" s="96"/>
      <c r="X1367" s="96"/>
      <c r="Y1367" s="96"/>
      <c r="AB1367" s="36"/>
      <c r="AC1367" s="33" t="s">
        <v>2912</v>
      </c>
      <c r="AD1367" s="36"/>
      <c r="AE1367" s="97"/>
    </row>
    <row r="1368" spans="1:31" x14ac:dyDescent="0.25">
      <c r="A1368" s="38" t="s">
        <v>36</v>
      </c>
      <c r="B1368" s="38" t="s">
        <v>2544</v>
      </c>
      <c r="C1368" s="38" t="s">
        <v>2899</v>
      </c>
      <c r="D1368" s="33" t="s">
        <v>2913</v>
      </c>
      <c r="E1368" s="38"/>
      <c r="F1368" s="38"/>
      <c r="G1368" s="38"/>
      <c r="H1368" s="38">
        <f t="shared" si="66"/>
        <v>0</v>
      </c>
      <c r="I1368" s="38"/>
      <c r="J1368" s="38"/>
      <c r="K1368" s="38"/>
      <c r="L1368" s="50"/>
      <c r="M1368" s="38"/>
      <c r="N1368" s="50"/>
      <c r="O1368" s="38"/>
      <c r="P1368" s="38"/>
      <c r="Q1368" s="96" t="s">
        <v>44</v>
      </c>
      <c r="R1368" s="14">
        <v>45280</v>
      </c>
      <c r="S1368" s="183"/>
      <c r="T1368" s="96">
        <v>0</v>
      </c>
      <c r="U1368" s="96"/>
      <c r="V1368" s="96"/>
      <c r="W1368" s="96"/>
      <c r="X1368" s="96"/>
      <c r="Y1368" s="96"/>
      <c r="AB1368" s="36"/>
      <c r="AC1368" s="33" t="s">
        <v>2913</v>
      </c>
      <c r="AD1368" s="74"/>
      <c r="AE1368" s="183"/>
    </row>
    <row r="1369" spans="1:31" x14ac:dyDescent="0.25">
      <c r="A1369" s="38" t="s">
        <v>36</v>
      </c>
      <c r="B1369" s="38" t="s">
        <v>2544</v>
      </c>
      <c r="C1369" s="38" t="s">
        <v>2899</v>
      </c>
      <c r="D1369" s="38" t="s">
        <v>2914</v>
      </c>
      <c r="E1369" s="38" t="s">
        <v>2915</v>
      </c>
      <c r="F1369" s="38">
        <v>545</v>
      </c>
      <c r="G1369" s="38">
        <v>545</v>
      </c>
      <c r="H1369" s="38">
        <f t="shared" si="66"/>
        <v>1014</v>
      </c>
      <c r="I1369" s="38">
        <v>680</v>
      </c>
      <c r="J1369" s="38">
        <v>334</v>
      </c>
      <c r="K1369" s="38">
        <v>346</v>
      </c>
      <c r="L1369" s="50">
        <f t="shared" si="67"/>
        <v>34.122287968441817</v>
      </c>
      <c r="M1369" s="38">
        <v>0</v>
      </c>
      <c r="N1369" s="50">
        <f t="shared" si="65"/>
        <v>0</v>
      </c>
      <c r="O1369" s="38">
        <v>0</v>
      </c>
      <c r="P1369" s="38">
        <v>50</v>
      </c>
    </row>
    <row r="1370" spans="1:31" x14ac:dyDescent="0.25">
      <c r="A1370" s="38" t="s">
        <v>36</v>
      </c>
      <c r="B1370" s="38" t="s">
        <v>2544</v>
      </c>
      <c r="C1370" s="38" t="s">
        <v>2916</v>
      </c>
      <c r="D1370" s="38" t="s">
        <v>2917</v>
      </c>
      <c r="E1370" s="38" t="s">
        <v>2918</v>
      </c>
      <c r="F1370" s="38">
        <v>1439</v>
      </c>
      <c r="G1370" s="38">
        <v>1439</v>
      </c>
      <c r="H1370" s="38">
        <f t="shared" si="66"/>
        <v>2454</v>
      </c>
      <c r="I1370" s="38">
        <v>1601</v>
      </c>
      <c r="J1370" s="38">
        <v>853</v>
      </c>
      <c r="K1370" s="38">
        <v>748</v>
      </c>
      <c r="L1370" s="50">
        <f t="shared" si="67"/>
        <v>30.480847595762022</v>
      </c>
      <c r="M1370" s="38">
        <v>140</v>
      </c>
      <c r="N1370" s="50">
        <f t="shared" si="65"/>
        <v>5.7049714751426244</v>
      </c>
      <c r="O1370" s="38">
        <v>0</v>
      </c>
      <c r="P1370" s="38">
        <v>59</v>
      </c>
      <c r="Q1370" s="158" t="s">
        <v>44</v>
      </c>
      <c r="R1370" s="15" t="s">
        <v>2919</v>
      </c>
      <c r="S1370" s="160"/>
      <c r="T1370" s="158">
        <v>44.66</v>
      </c>
      <c r="U1370" s="158"/>
      <c r="V1370" s="158"/>
      <c r="W1370" s="158"/>
      <c r="X1370" s="158"/>
      <c r="Y1370" s="158"/>
      <c r="AB1370" s="161"/>
      <c r="AC1370" s="33" t="s">
        <v>2917</v>
      </c>
      <c r="AD1370" s="161"/>
      <c r="AE1370" s="160"/>
    </row>
    <row r="1371" spans="1:31" x14ac:dyDescent="0.25">
      <c r="A1371" s="38" t="s">
        <v>36</v>
      </c>
      <c r="B1371" s="38" t="s">
        <v>2544</v>
      </c>
      <c r="C1371" s="38" t="s">
        <v>2916</v>
      </c>
      <c r="D1371" s="38" t="s">
        <v>2920</v>
      </c>
      <c r="E1371" s="38" t="s">
        <v>2921</v>
      </c>
      <c r="F1371" s="38">
        <v>584</v>
      </c>
      <c r="G1371" s="38">
        <v>584</v>
      </c>
      <c r="H1371" s="38">
        <f t="shared" si="66"/>
        <v>1803</v>
      </c>
      <c r="I1371" s="38">
        <v>1187</v>
      </c>
      <c r="J1371" s="38">
        <v>616</v>
      </c>
      <c r="K1371" s="38">
        <v>571</v>
      </c>
      <c r="L1371" s="50">
        <f t="shared" si="67"/>
        <v>31.669439822518026</v>
      </c>
      <c r="M1371" s="38">
        <v>255</v>
      </c>
      <c r="N1371" s="50">
        <f t="shared" si="65"/>
        <v>14.143094841930118</v>
      </c>
      <c r="O1371" s="38">
        <v>0</v>
      </c>
      <c r="P1371" s="38">
        <v>0</v>
      </c>
      <c r="Q1371" s="158" t="s">
        <v>44</v>
      </c>
      <c r="R1371" s="15" t="s">
        <v>2919</v>
      </c>
      <c r="S1371" s="160"/>
      <c r="T1371" s="158">
        <v>0.1457</v>
      </c>
      <c r="U1371" s="158"/>
      <c r="V1371" s="158"/>
      <c r="W1371" s="158"/>
      <c r="X1371" s="158"/>
      <c r="Y1371" s="158"/>
      <c r="AB1371" s="161"/>
      <c r="AC1371" s="33" t="s">
        <v>2920</v>
      </c>
      <c r="AD1371" s="161"/>
      <c r="AE1371" s="160"/>
    </row>
    <row r="1372" spans="1:31" x14ac:dyDescent="0.25">
      <c r="A1372" s="38" t="s">
        <v>36</v>
      </c>
      <c r="B1372" s="38" t="s">
        <v>2544</v>
      </c>
      <c r="C1372" s="38" t="s">
        <v>2916</v>
      </c>
      <c r="D1372" s="33" t="s">
        <v>2922</v>
      </c>
      <c r="E1372" s="38"/>
      <c r="F1372" s="38"/>
      <c r="G1372" s="38"/>
      <c r="H1372" s="38">
        <f t="shared" si="66"/>
        <v>0</v>
      </c>
      <c r="I1372" s="38"/>
      <c r="J1372" s="38"/>
      <c r="K1372" s="38"/>
      <c r="L1372" s="50"/>
      <c r="M1372" s="38"/>
      <c r="N1372" s="50"/>
      <c r="O1372" s="38"/>
      <c r="P1372" s="38"/>
      <c r="Q1372" s="158" t="s">
        <v>44</v>
      </c>
      <c r="R1372" s="15" t="s">
        <v>2919</v>
      </c>
      <c r="S1372" s="160"/>
      <c r="T1372" s="158">
        <v>1.1331</v>
      </c>
      <c r="U1372" s="158"/>
      <c r="V1372" s="158"/>
      <c r="W1372" s="158"/>
      <c r="X1372" s="158"/>
      <c r="Y1372" s="158"/>
      <c r="AB1372" s="161"/>
      <c r="AC1372" s="33" t="s">
        <v>2922</v>
      </c>
      <c r="AD1372" s="161"/>
      <c r="AE1372" s="160"/>
    </row>
    <row r="1373" spans="1:31" x14ac:dyDescent="0.25">
      <c r="A1373" s="38" t="s">
        <v>36</v>
      </c>
      <c r="B1373" s="38" t="s">
        <v>2544</v>
      </c>
      <c r="C1373" s="38" t="s">
        <v>2916</v>
      </c>
      <c r="D1373" s="38" t="s">
        <v>1046</v>
      </c>
      <c r="E1373" s="38" t="s">
        <v>2923</v>
      </c>
      <c r="F1373" s="38">
        <v>341</v>
      </c>
      <c r="G1373" s="38">
        <v>341</v>
      </c>
      <c r="H1373" s="38">
        <f t="shared" si="66"/>
        <v>668</v>
      </c>
      <c r="I1373" s="38">
        <v>432</v>
      </c>
      <c r="J1373" s="38">
        <v>236</v>
      </c>
      <c r="K1373" s="38">
        <v>196</v>
      </c>
      <c r="L1373" s="50">
        <f t="shared" si="67"/>
        <v>29.341317365269461</v>
      </c>
      <c r="M1373" s="38">
        <v>61</v>
      </c>
      <c r="N1373" s="50">
        <f t="shared" si="65"/>
        <v>9.1317365269461082</v>
      </c>
      <c r="O1373" s="38">
        <v>0</v>
      </c>
      <c r="P1373" s="38">
        <v>40</v>
      </c>
      <c r="Q1373" s="158" t="s">
        <v>44</v>
      </c>
      <c r="R1373" s="15" t="s">
        <v>2919</v>
      </c>
      <c r="S1373" s="160"/>
      <c r="T1373" s="158">
        <v>40.409999999999997</v>
      </c>
      <c r="U1373" s="158"/>
      <c r="V1373" s="158"/>
      <c r="W1373" s="158"/>
      <c r="X1373" s="158"/>
      <c r="Y1373" s="158"/>
      <c r="AB1373" s="186">
        <v>25</v>
      </c>
      <c r="AC1373" s="33" t="s">
        <v>1046</v>
      </c>
      <c r="AD1373" s="161">
        <v>25.186456</v>
      </c>
      <c r="AE1373" s="160">
        <v>71.274361999999996</v>
      </c>
    </row>
    <row r="1374" spans="1:31" x14ac:dyDescent="0.25">
      <c r="A1374" s="38" t="s">
        <v>36</v>
      </c>
      <c r="B1374" s="38" t="s">
        <v>2544</v>
      </c>
      <c r="C1374" s="38" t="s">
        <v>2916</v>
      </c>
      <c r="D1374" s="38" t="s">
        <v>2924</v>
      </c>
      <c r="E1374" s="38" t="s">
        <v>2925</v>
      </c>
      <c r="F1374" s="38">
        <v>731</v>
      </c>
      <c r="G1374" s="38">
        <v>731</v>
      </c>
      <c r="H1374" s="38">
        <f t="shared" si="66"/>
        <v>1323</v>
      </c>
      <c r="I1374" s="38">
        <v>875</v>
      </c>
      <c r="J1374" s="38">
        <v>448</v>
      </c>
      <c r="K1374" s="38">
        <v>427</v>
      </c>
      <c r="L1374" s="50">
        <f t="shared" si="67"/>
        <v>32.275132275132272</v>
      </c>
      <c r="M1374" s="38">
        <v>0</v>
      </c>
      <c r="N1374" s="50">
        <f t="shared" si="65"/>
        <v>0</v>
      </c>
      <c r="O1374" s="38">
        <v>0</v>
      </c>
      <c r="P1374" s="38">
        <v>7</v>
      </c>
      <c r="Q1374" s="158" t="s">
        <v>44</v>
      </c>
      <c r="R1374" s="15" t="s">
        <v>2919</v>
      </c>
      <c r="S1374" s="160"/>
      <c r="T1374" s="158">
        <v>8.1745999999999999</v>
      </c>
      <c r="U1374" s="158"/>
      <c r="V1374" s="158"/>
      <c r="W1374" s="158"/>
      <c r="X1374" s="158"/>
      <c r="Y1374" s="158"/>
      <c r="AB1374" s="161"/>
      <c r="AC1374" s="33" t="s">
        <v>2924</v>
      </c>
      <c r="AD1374" s="161"/>
      <c r="AE1374" s="160"/>
    </row>
    <row r="1375" spans="1:31" x14ac:dyDescent="0.25">
      <c r="A1375" s="38" t="s">
        <v>36</v>
      </c>
      <c r="B1375" s="38" t="s">
        <v>2544</v>
      </c>
      <c r="C1375" s="38" t="s">
        <v>2926</v>
      </c>
      <c r="D1375" s="38" t="s">
        <v>2926</v>
      </c>
      <c r="E1375" s="38" t="s">
        <v>2927</v>
      </c>
      <c r="F1375" s="38">
        <v>620.69000000000005</v>
      </c>
      <c r="G1375" s="38">
        <v>620.69000000000005</v>
      </c>
      <c r="H1375" s="38">
        <f t="shared" si="66"/>
        <v>1005</v>
      </c>
      <c r="I1375" s="38">
        <v>665</v>
      </c>
      <c r="J1375" s="38">
        <v>340</v>
      </c>
      <c r="K1375" s="38">
        <v>325</v>
      </c>
      <c r="L1375" s="50">
        <f t="shared" si="67"/>
        <v>32.338308457711449</v>
      </c>
      <c r="M1375" s="38">
        <v>70</v>
      </c>
      <c r="N1375" s="50">
        <f t="shared" si="65"/>
        <v>6.9651741293532341</v>
      </c>
      <c r="O1375" s="38">
        <v>0</v>
      </c>
      <c r="P1375" s="38">
        <v>2</v>
      </c>
      <c r="Q1375" s="96" t="s">
        <v>44</v>
      </c>
      <c r="R1375" s="14">
        <v>45343</v>
      </c>
      <c r="S1375" s="97"/>
      <c r="T1375" s="96">
        <v>7.18</v>
      </c>
      <c r="U1375" s="96"/>
      <c r="V1375" s="96"/>
      <c r="W1375" s="96"/>
      <c r="X1375" s="96"/>
      <c r="Y1375" s="96"/>
      <c r="AB1375" s="85"/>
      <c r="AC1375" s="33" t="s">
        <v>2926</v>
      </c>
      <c r="AD1375" s="36"/>
      <c r="AE1375" s="97"/>
    </row>
    <row r="1376" spans="1:31" x14ac:dyDescent="0.25">
      <c r="A1376" s="38" t="s">
        <v>36</v>
      </c>
      <c r="B1376" s="38" t="s">
        <v>2544</v>
      </c>
      <c r="C1376" s="38" t="s">
        <v>2926</v>
      </c>
      <c r="D1376" s="38" t="s">
        <v>2928</v>
      </c>
      <c r="E1376" s="38" t="s">
        <v>2929</v>
      </c>
      <c r="F1376" s="38">
        <v>514.64</v>
      </c>
      <c r="G1376" s="38">
        <v>514.64</v>
      </c>
      <c r="H1376" s="38">
        <f t="shared" si="66"/>
        <v>939</v>
      </c>
      <c r="I1376" s="38">
        <v>613</v>
      </c>
      <c r="J1376" s="38">
        <v>326</v>
      </c>
      <c r="K1376" s="38">
        <v>287</v>
      </c>
      <c r="L1376" s="50">
        <f t="shared" si="67"/>
        <v>30.564430244941427</v>
      </c>
      <c r="M1376" s="38">
        <v>154</v>
      </c>
      <c r="N1376" s="50">
        <f t="shared" si="65"/>
        <v>16.400425985090521</v>
      </c>
      <c r="O1376" s="38">
        <v>0</v>
      </c>
      <c r="P1376" s="38">
        <v>71</v>
      </c>
      <c r="Q1376" s="96" t="s">
        <v>44</v>
      </c>
      <c r="R1376" s="14">
        <v>45343</v>
      </c>
      <c r="S1376" s="97"/>
      <c r="T1376" s="96">
        <v>70.577100000000002</v>
      </c>
      <c r="U1376" s="96"/>
      <c r="V1376" s="96"/>
      <c r="W1376" s="96"/>
      <c r="X1376" s="96"/>
      <c r="Y1376" s="96"/>
      <c r="AB1376" s="85"/>
      <c r="AC1376" s="33" t="s">
        <v>2928</v>
      </c>
      <c r="AD1376" s="36"/>
      <c r="AE1376" s="97"/>
    </row>
    <row r="1377" spans="1:31" x14ac:dyDescent="0.25">
      <c r="A1377" s="38" t="s">
        <v>36</v>
      </c>
      <c r="B1377" s="38" t="s">
        <v>2544</v>
      </c>
      <c r="C1377" s="38" t="s">
        <v>2926</v>
      </c>
      <c r="D1377" s="38" t="s">
        <v>2693</v>
      </c>
      <c r="E1377" s="38" t="s">
        <v>2930</v>
      </c>
      <c r="F1377" s="38">
        <v>485.37</v>
      </c>
      <c r="G1377" s="38">
        <v>485.37</v>
      </c>
      <c r="H1377" s="38">
        <f t="shared" si="66"/>
        <v>1362</v>
      </c>
      <c r="I1377" s="38">
        <v>893</v>
      </c>
      <c r="J1377" s="38">
        <v>469</v>
      </c>
      <c r="K1377" s="38">
        <v>424</v>
      </c>
      <c r="L1377" s="50">
        <f t="shared" si="67"/>
        <v>31.130690161527163</v>
      </c>
      <c r="M1377" s="38">
        <v>136</v>
      </c>
      <c r="N1377" s="50">
        <f t="shared" si="65"/>
        <v>9.9853157121879583</v>
      </c>
      <c r="O1377" s="38">
        <v>0</v>
      </c>
      <c r="P1377" s="38">
        <v>0</v>
      </c>
      <c r="Q1377" s="96" t="s">
        <v>44</v>
      </c>
      <c r="R1377" s="14">
        <v>45343</v>
      </c>
      <c r="S1377" s="97"/>
      <c r="T1377" s="96">
        <v>0</v>
      </c>
      <c r="U1377" s="96"/>
      <c r="V1377" s="96"/>
      <c r="W1377" s="96"/>
      <c r="X1377" s="96"/>
      <c r="Y1377" s="96"/>
      <c r="AB1377" s="85"/>
      <c r="AC1377" s="33" t="s">
        <v>2693</v>
      </c>
      <c r="AD1377" s="36"/>
      <c r="AE1377" s="97"/>
    </row>
    <row r="1378" spans="1:31" x14ac:dyDescent="0.25">
      <c r="A1378" s="38" t="s">
        <v>36</v>
      </c>
      <c r="B1378" s="38" t="s">
        <v>2544</v>
      </c>
      <c r="C1378" s="38" t="s">
        <v>2926</v>
      </c>
      <c r="D1378" s="38" t="s">
        <v>2931</v>
      </c>
      <c r="E1378" s="38" t="s">
        <v>2932</v>
      </c>
      <c r="F1378" s="38">
        <v>363.93</v>
      </c>
      <c r="G1378" s="38">
        <v>363.93</v>
      </c>
      <c r="H1378" s="38">
        <f t="shared" si="66"/>
        <v>1004</v>
      </c>
      <c r="I1378" s="38">
        <v>664</v>
      </c>
      <c r="J1378" s="38">
        <v>340</v>
      </c>
      <c r="K1378" s="38">
        <v>324</v>
      </c>
      <c r="L1378" s="50">
        <f t="shared" si="67"/>
        <v>32.270916334661351</v>
      </c>
      <c r="M1378" s="38">
        <v>74</v>
      </c>
      <c r="N1378" s="50">
        <f t="shared" si="65"/>
        <v>7.3705179282868531</v>
      </c>
      <c r="O1378" s="38">
        <v>0</v>
      </c>
      <c r="P1378" s="38">
        <v>6</v>
      </c>
      <c r="Q1378" s="96" t="s">
        <v>44</v>
      </c>
      <c r="R1378" s="14">
        <v>45343</v>
      </c>
      <c r="S1378" s="97"/>
      <c r="T1378" s="96">
        <v>1.4001999999999999</v>
      </c>
      <c r="U1378" s="96"/>
      <c r="V1378" s="96"/>
      <c r="W1378" s="96"/>
      <c r="X1378" s="96"/>
      <c r="Y1378" s="96"/>
      <c r="AB1378" s="85"/>
      <c r="AC1378" s="33" t="s">
        <v>2931</v>
      </c>
      <c r="AD1378" s="36"/>
      <c r="AE1378" s="97"/>
    </row>
    <row r="1379" spans="1:31" x14ac:dyDescent="0.25">
      <c r="A1379" s="38" t="s">
        <v>36</v>
      </c>
      <c r="B1379" s="38" t="s">
        <v>2544</v>
      </c>
      <c r="C1379" s="38" t="s">
        <v>2926</v>
      </c>
      <c r="D1379" s="38" t="s">
        <v>2933</v>
      </c>
      <c r="E1379" s="38" t="s">
        <v>2934</v>
      </c>
      <c r="F1379" s="38">
        <v>636.79999999999995</v>
      </c>
      <c r="G1379" s="38">
        <v>636.79999999999995</v>
      </c>
      <c r="H1379" s="38">
        <f t="shared" si="66"/>
        <v>1215</v>
      </c>
      <c r="I1379" s="38">
        <v>802</v>
      </c>
      <c r="J1379" s="38">
        <v>413</v>
      </c>
      <c r="K1379" s="38">
        <v>389</v>
      </c>
      <c r="L1379" s="50">
        <f t="shared" si="67"/>
        <v>32.016460905349788</v>
      </c>
      <c r="M1379" s="38">
        <v>0</v>
      </c>
      <c r="N1379" s="50">
        <f t="shared" si="65"/>
        <v>0</v>
      </c>
      <c r="O1379" s="38">
        <v>50</v>
      </c>
      <c r="P1379" s="38">
        <v>0</v>
      </c>
      <c r="Q1379" s="96" t="s">
        <v>44</v>
      </c>
      <c r="R1379" s="14">
        <v>45343</v>
      </c>
      <c r="S1379" s="97"/>
      <c r="T1379" s="96">
        <v>0</v>
      </c>
      <c r="U1379" s="96"/>
      <c r="V1379" s="96"/>
      <c r="W1379" s="96"/>
      <c r="X1379" s="96"/>
      <c r="Y1379" s="96"/>
      <c r="AB1379" s="85"/>
      <c r="AC1379" s="33" t="s">
        <v>2933</v>
      </c>
      <c r="AD1379" s="36"/>
      <c r="AE1379" s="97"/>
    </row>
    <row r="1380" spans="1:31" x14ac:dyDescent="0.25">
      <c r="A1380" s="38" t="s">
        <v>36</v>
      </c>
      <c r="B1380" s="38" t="s">
        <v>2544</v>
      </c>
      <c r="C1380" s="38" t="s">
        <v>2926</v>
      </c>
      <c r="D1380" s="38" t="s">
        <v>1821</v>
      </c>
      <c r="E1380" s="38" t="s">
        <v>2935</v>
      </c>
      <c r="F1380" s="38">
        <v>429.34</v>
      </c>
      <c r="G1380" s="38">
        <v>429.34</v>
      </c>
      <c r="H1380" s="38">
        <f t="shared" si="66"/>
        <v>570</v>
      </c>
      <c r="I1380" s="38">
        <v>380</v>
      </c>
      <c r="J1380" s="38">
        <v>190</v>
      </c>
      <c r="K1380" s="38">
        <v>190</v>
      </c>
      <c r="L1380" s="50">
        <f t="shared" si="67"/>
        <v>33.333333333333329</v>
      </c>
      <c r="M1380" s="38">
        <v>0</v>
      </c>
      <c r="N1380" s="50">
        <f t="shared" si="65"/>
        <v>0</v>
      </c>
      <c r="O1380" s="38">
        <v>0</v>
      </c>
      <c r="P1380" s="38">
        <v>141.65</v>
      </c>
      <c r="Q1380" s="96" t="s">
        <v>44</v>
      </c>
      <c r="R1380" s="14">
        <v>45343</v>
      </c>
      <c r="S1380" s="97"/>
      <c r="T1380" s="96">
        <v>141.64779999999999</v>
      </c>
      <c r="U1380" s="96"/>
      <c r="V1380" s="96"/>
      <c r="W1380" s="96"/>
      <c r="X1380" s="96"/>
      <c r="Y1380" s="96"/>
      <c r="AB1380" s="85">
        <v>16</v>
      </c>
      <c r="AC1380" s="33" t="s">
        <v>1821</v>
      </c>
      <c r="AD1380" s="36">
        <v>25.102917999999999</v>
      </c>
      <c r="AE1380" s="97">
        <v>71.269705999999999</v>
      </c>
    </row>
    <row r="1381" spans="1:31" x14ac:dyDescent="0.25">
      <c r="A1381" s="38" t="s">
        <v>36</v>
      </c>
      <c r="B1381" s="38" t="s">
        <v>2544</v>
      </c>
      <c r="C1381" s="38" t="s">
        <v>2926</v>
      </c>
      <c r="D1381" s="38" t="s">
        <v>1821</v>
      </c>
      <c r="E1381" s="38" t="s">
        <v>2935</v>
      </c>
      <c r="F1381" s="38">
        <v>429.34</v>
      </c>
      <c r="G1381" s="38">
        <v>429.34</v>
      </c>
      <c r="H1381" s="38">
        <f t="shared" si="66"/>
        <v>570</v>
      </c>
      <c r="I1381" s="38">
        <v>380</v>
      </c>
      <c r="J1381" s="38">
        <v>190</v>
      </c>
      <c r="K1381" s="38">
        <v>190</v>
      </c>
      <c r="L1381" s="50">
        <f t="shared" si="67"/>
        <v>33.333333333333329</v>
      </c>
      <c r="M1381" s="38">
        <v>0</v>
      </c>
      <c r="N1381" s="50">
        <f t="shared" si="65"/>
        <v>0</v>
      </c>
      <c r="O1381" s="38">
        <v>0</v>
      </c>
      <c r="P1381" s="38">
        <v>141.65</v>
      </c>
      <c r="Q1381" s="96" t="s">
        <v>44</v>
      </c>
      <c r="R1381" s="14">
        <v>45343</v>
      </c>
      <c r="S1381" s="97"/>
      <c r="T1381" s="96"/>
      <c r="U1381" s="96"/>
      <c r="V1381" s="96"/>
      <c r="W1381" s="96"/>
      <c r="X1381" s="96"/>
      <c r="Y1381" s="96"/>
      <c r="AB1381" s="85">
        <v>16</v>
      </c>
      <c r="AC1381" s="33" t="s">
        <v>1821</v>
      </c>
      <c r="AD1381" s="36">
        <v>25.102810000000002</v>
      </c>
      <c r="AE1381" s="97">
        <v>71.269675000000007</v>
      </c>
    </row>
    <row r="1382" spans="1:31" x14ac:dyDescent="0.25">
      <c r="A1382" s="38" t="s">
        <v>36</v>
      </c>
      <c r="B1382" s="38" t="s">
        <v>2544</v>
      </c>
      <c r="C1382" s="38" t="s">
        <v>2936</v>
      </c>
      <c r="D1382" s="38" t="s">
        <v>2937</v>
      </c>
      <c r="E1382" s="38" t="s">
        <v>2938</v>
      </c>
      <c r="F1382" s="38">
        <v>570</v>
      </c>
      <c r="G1382" s="38">
        <v>570</v>
      </c>
      <c r="H1382" s="38">
        <f t="shared" si="66"/>
        <v>1032</v>
      </c>
      <c r="I1382" s="38">
        <v>674</v>
      </c>
      <c r="J1382" s="38">
        <v>358</v>
      </c>
      <c r="K1382" s="38">
        <v>316</v>
      </c>
      <c r="L1382" s="50">
        <f t="shared" si="67"/>
        <v>30.620155038759687</v>
      </c>
      <c r="M1382" s="38">
        <v>89</v>
      </c>
      <c r="N1382" s="50">
        <f t="shared" si="65"/>
        <v>8.6240310077519382</v>
      </c>
      <c r="O1382" s="38">
        <v>0</v>
      </c>
      <c r="P1382" s="38">
        <v>117</v>
      </c>
      <c r="Q1382" s="158" t="s">
        <v>44</v>
      </c>
      <c r="R1382" s="159">
        <v>44979</v>
      </c>
      <c r="S1382" s="160"/>
      <c r="T1382" s="158">
        <v>1.8453999999999999</v>
      </c>
      <c r="U1382" s="158"/>
      <c r="V1382" s="158"/>
      <c r="W1382" s="158"/>
      <c r="X1382" s="158"/>
      <c r="Y1382" s="158"/>
      <c r="AB1382" s="16"/>
      <c r="AC1382" s="69" t="s">
        <v>2937</v>
      </c>
      <c r="AD1382" s="161"/>
      <c r="AE1382" s="160"/>
    </row>
    <row r="1383" spans="1:31" x14ac:dyDescent="0.25">
      <c r="A1383" s="38" t="s">
        <v>36</v>
      </c>
      <c r="B1383" s="38" t="s">
        <v>2544</v>
      </c>
      <c r="C1383" s="38" t="s">
        <v>2936</v>
      </c>
      <c r="D1383" s="38" t="s">
        <v>1620</v>
      </c>
      <c r="E1383" s="38" t="s">
        <v>2939</v>
      </c>
      <c r="F1383" s="38">
        <v>424</v>
      </c>
      <c r="G1383" s="38">
        <v>424</v>
      </c>
      <c r="H1383" s="38">
        <f t="shared" si="66"/>
        <v>715</v>
      </c>
      <c r="I1383" s="38">
        <v>484</v>
      </c>
      <c r="J1383" s="38">
        <v>231</v>
      </c>
      <c r="K1383" s="38">
        <v>253</v>
      </c>
      <c r="L1383" s="50">
        <f t="shared" si="67"/>
        <v>35.384615384615387</v>
      </c>
      <c r="M1383" s="38">
        <v>0</v>
      </c>
      <c r="N1383" s="50">
        <f t="shared" si="65"/>
        <v>0</v>
      </c>
      <c r="O1383" s="38">
        <v>0</v>
      </c>
      <c r="P1383" s="38">
        <v>49</v>
      </c>
      <c r="Q1383" s="158" t="s">
        <v>44</v>
      </c>
      <c r="R1383" s="159">
        <v>44979</v>
      </c>
      <c r="S1383" s="160"/>
      <c r="T1383" s="158">
        <v>53.628799999999998</v>
      </c>
      <c r="U1383" s="158"/>
      <c r="V1383" s="158"/>
      <c r="W1383" s="158"/>
      <c r="X1383" s="158"/>
      <c r="Y1383" s="158"/>
      <c r="AB1383" s="16"/>
      <c r="AC1383" s="69" t="s">
        <v>1620</v>
      </c>
      <c r="AD1383" s="161">
        <v>25.391376999999999</v>
      </c>
      <c r="AE1383" s="160">
        <v>70.780271999999997</v>
      </c>
    </row>
    <row r="1384" spans="1:31" x14ac:dyDescent="0.25">
      <c r="A1384" s="38" t="s">
        <v>36</v>
      </c>
      <c r="B1384" s="38" t="s">
        <v>2544</v>
      </c>
      <c r="C1384" s="38" t="s">
        <v>2936</v>
      </c>
      <c r="D1384" s="38" t="s">
        <v>2940</v>
      </c>
      <c r="E1384" s="38" t="s">
        <v>2941</v>
      </c>
      <c r="F1384" s="38">
        <v>355</v>
      </c>
      <c r="G1384" s="38">
        <v>355</v>
      </c>
      <c r="H1384" s="38">
        <f t="shared" si="66"/>
        <v>525</v>
      </c>
      <c r="I1384" s="38">
        <v>345</v>
      </c>
      <c r="J1384" s="38">
        <v>180</v>
      </c>
      <c r="K1384" s="38">
        <v>165</v>
      </c>
      <c r="L1384" s="50">
        <f t="shared" si="67"/>
        <v>31.428571428571427</v>
      </c>
      <c r="M1384" s="38">
        <v>0</v>
      </c>
      <c r="N1384" s="50">
        <f t="shared" si="65"/>
        <v>0</v>
      </c>
      <c r="O1384" s="38">
        <v>0</v>
      </c>
      <c r="P1384" s="38">
        <v>53</v>
      </c>
      <c r="Q1384" s="35" t="s">
        <v>43</v>
      </c>
      <c r="R1384" s="100">
        <v>44608</v>
      </c>
      <c r="S1384" s="35"/>
      <c r="T1384" s="35">
        <v>53</v>
      </c>
      <c r="U1384" s="35"/>
      <c r="V1384" s="35"/>
      <c r="W1384" s="35"/>
      <c r="X1384" s="35"/>
      <c r="Y1384" s="35"/>
      <c r="AB1384" s="87"/>
      <c r="AC1384" s="35" t="s">
        <v>2942</v>
      </c>
      <c r="AD1384" s="35">
        <v>25.261755000000001</v>
      </c>
      <c r="AE1384" s="35">
        <v>71.493155000000002</v>
      </c>
    </row>
    <row r="1385" spans="1:31" x14ac:dyDescent="0.25">
      <c r="A1385" s="38" t="s">
        <v>36</v>
      </c>
      <c r="B1385" s="38" t="s">
        <v>2544</v>
      </c>
      <c r="C1385" s="38" t="s">
        <v>2936</v>
      </c>
      <c r="D1385" s="38" t="s">
        <v>2943</v>
      </c>
      <c r="E1385" s="38" t="s">
        <v>2944</v>
      </c>
      <c r="F1385" s="38">
        <v>482</v>
      </c>
      <c r="G1385" s="38">
        <v>482</v>
      </c>
      <c r="H1385" s="38">
        <f t="shared" si="66"/>
        <v>496</v>
      </c>
      <c r="I1385" s="38">
        <v>328</v>
      </c>
      <c r="J1385" s="38">
        <v>168</v>
      </c>
      <c r="K1385" s="38">
        <v>160</v>
      </c>
      <c r="L1385" s="50">
        <f t="shared" si="67"/>
        <v>32.258064516129032</v>
      </c>
      <c r="M1385" s="38">
        <v>0</v>
      </c>
      <c r="N1385" s="50">
        <f t="shared" si="65"/>
        <v>0</v>
      </c>
      <c r="O1385" s="38">
        <v>0</v>
      </c>
      <c r="P1385" s="38">
        <v>101</v>
      </c>
    </row>
    <row r="1386" spans="1:31" x14ac:dyDescent="0.25">
      <c r="A1386" s="38" t="s">
        <v>36</v>
      </c>
      <c r="B1386" s="33" t="s">
        <v>2544</v>
      </c>
      <c r="C1386" s="33" t="s">
        <v>2936</v>
      </c>
      <c r="D1386" s="33" t="s">
        <v>2945</v>
      </c>
      <c r="E1386" s="33" t="s">
        <v>2946</v>
      </c>
      <c r="F1386" s="33">
        <v>676</v>
      </c>
      <c r="G1386" s="33">
        <v>676</v>
      </c>
      <c r="H1386" s="38">
        <f t="shared" si="66"/>
        <v>1885</v>
      </c>
      <c r="I1386" s="33">
        <v>1239</v>
      </c>
      <c r="J1386" s="33">
        <v>646</v>
      </c>
      <c r="K1386" s="33">
        <v>593</v>
      </c>
      <c r="L1386" s="50">
        <f t="shared" si="67"/>
        <v>31.45888594164456</v>
      </c>
      <c r="M1386" s="33">
        <v>23</v>
      </c>
      <c r="N1386" s="50">
        <f t="shared" si="65"/>
        <v>1.2201591511936341</v>
      </c>
      <c r="O1386" s="33">
        <v>0</v>
      </c>
      <c r="P1386" s="33">
        <v>15</v>
      </c>
      <c r="Q1386" s="158" t="s">
        <v>44</v>
      </c>
      <c r="R1386" s="159">
        <v>44979</v>
      </c>
      <c r="S1386" s="160"/>
      <c r="T1386" s="158">
        <v>0</v>
      </c>
      <c r="U1386" s="158"/>
      <c r="V1386" s="158"/>
      <c r="W1386" s="158"/>
      <c r="X1386" s="158"/>
      <c r="Y1386" s="158"/>
      <c r="AB1386" s="16"/>
      <c r="AC1386" s="69" t="s">
        <v>2947</v>
      </c>
      <c r="AD1386" s="161"/>
      <c r="AE1386" s="160"/>
    </row>
    <row r="1387" spans="1:31" x14ac:dyDescent="0.25">
      <c r="A1387" s="38" t="s">
        <v>36</v>
      </c>
      <c r="B1387" s="33" t="s">
        <v>2544</v>
      </c>
      <c r="C1387" s="33" t="s">
        <v>2936</v>
      </c>
      <c r="D1387" s="33" t="s">
        <v>2948</v>
      </c>
      <c r="E1387" s="33" t="s">
        <v>2949</v>
      </c>
      <c r="F1387" s="33">
        <v>558</v>
      </c>
      <c r="G1387" s="33">
        <v>558</v>
      </c>
      <c r="H1387" s="38">
        <f t="shared" si="66"/>
        <v>942</v>
      </c>
      <c r="I1387" s="33">
        <v>623</v>
      </c>
      <c r="J1387" s="33">
        <v>319</v>
      </c>
      <c r="K1387" s="33">
        <v>304</v>
      </c>
      <c r="L1387" s="50">
        <f t="shared" si="67"/>
        <v>32.27176220806794</v>
      </c>
      <c r="M1387" s="33">
        <v>46</v>
      </c>
      <c r="N1387" s="50">
        <f t="shared" si="65"/>
        <v>4.8832271762208075</v>
      </c>
      <c r="O1387" s="33">
        <v>0</v>
      </c>
      <c r="P1387" s="33">
        <v>4</v>
      </c>
      <c r="Q1387" s="158" t="s">
        <v>44</v>
      </c>
      <c r="R1387" s="159">
        <v>44979</v>
      </c>
      <c r="S1387" s="160"/>
      <c r="T1387" s="158">
        <v>0</v>
      </c>
      <c r="U1387" s="158"/>
      <c r="V1387" s="158"/>
      <c r="W1387" s="158"/>
      <c r="X1387" s="158"/>
      <c r="Y1387" s="158"/>
      <c r="AB1387" s="16"/>
      <c r="AC1387" s="69" t="s">
        <v>2950</v>
      </c>
      <c r="AD1387" s="161"/>
      <c r="AE1387" s="160"/>
    </row>
    <row r="1388" spans="1:31" x14ac:dyDescent="0.25">
      <c r="A1388" s="38" t="s">
        <v>36</v>
      </c>
      <c r="B1388" s="38" t="s">
        <v>2544</v>
      </c>
      <c r="C1388" s="38" t="s">
        <v>2951</v>
      </c>
      <c r="D1388" s="38" t="s">
        <v>2952</v>
      </c>
      <c r="E1388" s="38" t="s">
        <v>2953</v>
      </c>
      <c r="F1388" s="38">
        <v>371.42</v>
      </c>
      <c r="G1388" s="38">
        <v>371.42</v>
      </c>
      <c r="H1388" s="38">
        <f t="shared" si="66"/>
        <v>772</v>
      </c>
      <c r="I1388" s="38">
        <v>514</v>
      </c>
      <c r="J1388" s="38">
        <v>258</v>
      </c>
      <c r="K1388" s="38">
        <v>256</v>
      </c>
      <c r="L1388" s="50">
        <f t="shared" si="67"/>
        <v>33.160621761658035</v>
      </c>
      <c r="M1388" s="38">
        <v>0</v>
      </c>
      <c r="N1388" s="50">
        <f t="shared" si="65"/>
        <v>0</v>
      </c>
      <c r="O1388" s="38">
        <v>0</v>
      </c>
      <c r="P1388" s="38">
        <v>0</v>
      </c>
      <c r="Q1388" s="158" t="s">
        <v>44</v>
      </c>
      <c r="R1388" s="14">
        <v>45280</v>
      </c>
      <c r="S1388" s="160"/>
      <c r="T1388" s="158">
        <v>0</v>
      </c>
      <c r="U1388" s="158"/>
      <c r="V1388" s="158"/>
      <c r="W1388" s="158"/>
      <c r="X1388" s="158"/>
      <c r="Y1388" s="158"/>
      <c r="AB1388" s="161"/>
      <c r="AC1388" s="33" t="s">
        <v>2952</v>
      </c>
      <c r="AD1388" s="161"/>
      <c r="AE1388" s="160"/>
    </row>
    <row r="1389" spans="1:31" x14ac:dyDescent="0.25">
      <c r="A1389" s="38" t="s">
        <v>36</v>
      </c>
      <c r="B1389" s="38" t="s">
        <v>2544</v>
      </c>
      <c r="C1389" s="38" t="s">
        <v>2951</v>
      </c>
      <c r="D1389" s="38" t="s">
        <v>2954</v>
      </c>
      <c r="E1389" s="38" t="s">
        <v>2955</v>
      </c>
      <c r="F1389" s="38">
        <v>338.87</v>
      </c>
      <c r="G1389" s="38">
        <v>338.87</v>
      </c>
      <c r="H1389" s="38">
        <f t="shared" si="66"/>
        <v>675</v>
      </c>
      <c r="I1389" s="38">
        <v>456</v>
      </c>
      <c r="J1389" s="38">
        <v>219</v>
      </c>
      <c r="K1389" s="38">
        <v>237</v>
      </c>
      <c r="L1389" s="50">
        <f t="shared" si="67"/>
        <v>35.111111111111107</v>
      </c>
      <c r="M1389" s="38">
        <v>53</v>
      </c>
      <c r="N1389" s="50">
        <f t="shared" si="65"/>
        <v>7.8518518518518512</v>
      </c>
      <c r="O1389" s="38">
        <v>0</v>
      </c>
      <c r="P1389" s="38">
        <v>44.63</v>
      </c>
      <c r="Q1389" s="158" t="s">
        <v>44</v>
      </c>
      <c r="R1389" s="14">
        <v>45280</v>
      </c>
      <c r="S1389" s="160"/>
      <c r="T1389" s="158">
        <v>44.466799999999999</v>
      </c>
      <c r="U1389" s="158"/>
      <c r="V1389" s="158"/>
      <c r="W1389" s="158"/>
      <c r="X1389" s="158"/>
      <c r="Y1389" s="158"/>
      <c r="AB1389" s="161">
        <v>20</v>
      </c>
      <c r="AC1389" s="33" t="s">
        <v>2954</v>
      </c>
      <c r="AD1389" s="161">
        <v>25.144358</v>
      </c>
      <c r="AE1389" s="160">
        <v>71.498796999999996</v>
      </c>
    </row>
    <row r="1390" spans="1:31" x14ac:dyDescent="0.25">
      <c r="A1390" s="38" t="s">
        <v>36</v>
      </c>
      <c r="B1390" s="38" t="s">
        <v>2544</v>
      </c>
      <c r="C1390" s="38" t="s">
        <v>2951</v>
      </c>
      <c r="D1390" s="38" t="s">
        <v>2956</v>
      </c>
      <c r="E1390" s="38" t="s">
        <v>2957</v>
      </c>
      <c r="F1390" s="38">
        <v>782.92</v>
      </c>
      <c r="G1390" s="38">
        <v>782.92</v>
      </c>
      <c r="H1390" s="38">
        <f t="shared" si="66"/>
        <v>1120</v>
      </c>
      <c r="I1390" s="38">
        <v>726</v>
      </c>
      <c r="J1390" s="38">
        <v>394</v>
      </c>
      <c r="K1390" s="38">
        <v>332</v>
      </c>
      <c r="L1390" s="50">
        <f t="shared" si="67"/>
        <v>29.642857142857142</v>
      </c>
      <c r="M1390" s="38">
        <v>55</v>
      </c>
      <c r="N1390" s="50">
        <f t="shared" si="65"/>
        <v>4.9107142857142856</v>
      </c>
      <c r="O1390" s="38">
        <v>0</v>
      </c>
      <c r="P1390" s="38">
        <v>97.85</v>
      </c>
      <c r="Q1390" s="158" t="s">
        <v>44</v>
      </c>
      <c r="R1390" s="14">
        <v>45280</v>
      </c>
      <c r="S1390" s="160"/>
      <c r="T1390" s="158">
        <v>0</v>
      </c>
      <c r="U1390" s="158"/>
      <c r="V1390" s="158"/>
      <c r="W1390" s="158"/>
      <c r="X1390" s="158"/>
      <c r="Y1390" s="158"/>
      <c r="AB1390" s="161"/>
      <c r="AC1390" s="33" t="s">
        <v>2956</v>
      </c>
      <c r="AD1390" s="161"/>
      <c r="AE1390" s="160"/>
    </row>
    <row r="1391" spans="1:31" x14ac:dyDescent="0.25">
      <c r="A1391" s="38" t="s">
        <v>36</v>
      </c>
      <c r="B1391" s="38" t="s">
        <v>2544</v>
      </c>
      <c r="C1391" s="38" t="s">
        <v>2951</v>
      </c>
      <c r="D1391" s="38" t="s">
        <v>2958</v>
      </c>
      <c r="E1391" s="38" t="s">
        <v>2959</v>
      </c>
      <c r="F1391" s="38">
        <v>539.59</v>
      </c>
      <c r="G1391" s="38">
        <v>539.59</v>
      </c>
      <c r="H1391" s="38">
        <f t="shared" si="66"/>
        <v>847</v>
      </c>
      <c r="I1391" s="38">
        <v>556</v>
      </c>
      <c r="J1391" s="38">
        <v>291</v>
      </c>
      <c r="K1391" s="38">
        <v>265</v>
      </c>
      <c r="L1391" s="50">
        <f t="shared" si="67"/>
        <v>31.286894923258558</v>
      </c>
      <c r="M1391" s="38">
        <v>0</v>
      </c>
      <c r="N1391" s="50">
        <f t="shared" si="65"/>
        <v>0</v>
      </c>
      <c r="O1391" s="38">
        <v>0</v>
      </c>
      <c r="P1391" s="38">
        <v>0</v>
      </c>
      <c r="Q1391" s="158" t="s">
        <v>44</v>
      </c>
      <c r="R1391" s="14">
        <v>45280</v>
      </c>
      <c r="S1391" s="160"/>
      <c r="T1391" s="158">
        <v>1.6199999999999999E-2</v>
      </c>
      <c r="U1391" s="158"/>
      <c r="V1391" s="158"/>
      <c r="W1391" s="158"/>
      <c r="X1391" s="158"/>
      <c r="Y1391" s="158"/>
      <c r="AB1391" s="161"/>
      <c r="AC1391" s="33" t="s">
        <v>2958</v>
      </c>
      <c r="AD1391" s="161"/>
      <c r="AE1391" s="160"/>
    </row>
    <row r="1392" spans="1:31" x14ac:dyDescent="0.25">
      <c r="A1392" s="38" t="s">
        <v>36</v>
      </c>
      <c r="B1392" s="38" t="s">
        <v>2544</v>
      </c>
      <c r="C1392" s="38" t="s">
        <v>2951</v>
      </c>
      <c r="D1392" s="38" t="s">
        <v>2960</v>
      </c>
      <c r="E1392" s="38"/>
      <c r="F1392" s="38"/>
      <c r="G1392" s="38"/>
      <c r="H1392" s="38">
        <f t="shared" si="66"/>
        <v>0</v>
      </c>
      <c r="I1392" s="38"/>
      <c r="J1392" s="38"/>
      <c r="K1392" s="38"/>
      <c r="L1392" s="50"/>
      <c r="M1392" s="38"/>
      <c r="N1392" s="50"/>
      <c r="O1392" s="38"/>
      <c r="P1392" s="38"/>
      <c r="Q1392" s="39" t="s">
        <v>44</v>
      </c>
      <c r="R1392" s="7">
        <v>45280</v>
      </c>
      <c r="S1392" s="40"/>
      <c r="T1392" s="39">
        <v>5</v>
      </c>
      <c r="U1392" s="39"/>
      <c r="V1392" s="39"/>
      <c r="W1392" s="39"/>
      <c r="X1392" s="39"/>
      <c r="Y1392" s="39"/>
      <c r="AB1392" s="2"/>
      <c r="AC1392" s="38" t="s">
        <v>2960</v>
      </c>
      <c r="AD1392" s="2"/>
      <c r="AE1392" s="40"/>
    </row>
    <row r="1393" spans="1:31" x14ac:dyDescent="0.25">
      <c r="A1393" s="38" t="s">
        <v>36</v>
      </c>
      <c r="B1393" s="38" t="s">
        <v>2544</v>
      </c>
      <c r="C1393" s="38" t="s">
        <v>2961</v>
      </c>
      <c r="D1393" s="38" t="s">
        <v>2962</v>
      </c>
      <c r="E1393" s="38" t="s">
        <v>2963</v>
      </c>
      <c r="F1393" s="38">
        <v>356.8</v>
      </c>
      <c r="G1393" s="38">
        <v>356.8</v>
      </c>
      <c r="H1393" s="38">
        <f t="shared" si="66"/>
        <v>662</v>
      </c>
      <c r="I1393" s="38">
        <v>432</v>
      </c>
      <c r="J1393" s="38">
        <v>230</v>
      </c>
      <c r="K1393" s="38">
        <v>202</v>
      </c>
      <c r="L1393" s="50">
        <f t="shared" si="67"/>
        <v>30.513595166163142</v>
      </c>
      <c r="M1393" s="38">
        <v>29</v>
      </c>
      <c r="N1393" s="50">
        <f t="shared" si="65"/>
        <v>4.380664652567976</v>
      </c>
      <c r="O1393" s="38">
        <v>0</v>
      </c>
      <c r="P1393" s="38">
        <v>132.33000000000001</v>
      </c>
      <c r="Q1393" s="39" t="s">
        <v>44</v>
      </c>
      <c r="R1393" s="11" t="s">
        <v>2964</v>
      </c>
      <c r="S1393" s="40"/>
      <c r="T1393" s="39">
        <v>130</v>
      </c>
      <c r="U1393" s="39"/>
      <c r="V1393" s="39"/>
      <c r="W1393" s="39"/>
      <c r="X1393" s="39"/>
      <c r="Y1393" s="39"/>
      <c r="AB1393" s="3"/>
      <c r="AC1393" s="38" t="s">
        <v>2962</v>
      </c>
      <c r="AD1393" s="2"/>
      <c r="AE1393" s="40"/>
    </row>
    <row r="1394" spans="1:31" x14ac:dyDescent="0.25">
      <c r="A1394" s="38" t="s">
        <v>36</v>
      </c>
      <c r="B1394" s="38" t="s">
        <v>2544</v>
      </c>
      <c r="C1394" s="38" t="s">
        <v>2961</v>
      </c>
      <c r="D1394" s="38" t="s">
        <v>2965</v>
      </c>
      <c r="E1394" s="38" t="s">
        <v>2966</v>
      </c>
      <c r="F1394" s="38">
        <v>593.91</v>
      </c>
      <c r="G1394" s="38">
        <v>593.91</v>
      </c>
      <c r="H1394" s="38">
        <f t="shared" si="66"/>
        <v>866</v>
      </c>
      <c r="I1394" s="38">
        <v>575</v>
      </c>
      <c r="J1394" s="38">
        <v>291</v>
      </c>
      <c r="K1394" s="38">
        <v>284</v>
      </c>
      <c r="L1394" s="50">
        <f t="shared" si="67"/>
        <v>32.79445727482679</v>
      </c>
      <c r="M1394" s="38">
        <v>32</v>
      </c>
      <c r="N1394" s="50">
        <f t="shared" si="65"/>
        <v>3.695150115473441</v>
      </c>
      <c r="O1394" s="38">
        <v>0</v>
      </c>
      <c r="P1394" s="38">
        <v>0</v>
      </c>
      <c r="Q1394" s="39" t="s">
        <v>44</v>
      </c>
      <c r="R1394" s="11" t="s">
        <v>2964</v>
      </c>
      <c r="S1394" s="40"/>
      <c r="T1394" s="39">
        <v>0</v>
      </c>
      <c r="U1394" s="39"/>
      <c r="V1394" s="39"/>
      <c r="W1394" s="39"/>
      <c r="X1394" s="39"/>
      <c r="Y1394" s="39"/>
      <c r="AB1394" s="3"/>
      <c r="AC1394" s="38" t="s">
        <v>2965</v>
      </c>
      <c r="AD1394" s="2"/>
      <c r="AE1394" s="40"/>
    </row>
    <row r="1395" spans="1:31" x14ac:dyDescent="0.25">
      <c r="A1395" s="38" t="s">
        <v>36</v>
      </c>
      <c r="B1395" s="38" t="s">
        <v>2544</v>
      </c>
      <c r="C1395" s="38" t="s">
        <v>2961</v>
      </c>
      <c r="D1395" s="38" t="s">
        <v>2967</v>
      </c>
      <c r="E1395" s="38" t="s">
        <v>2968</v>
      </c>
      <c r="F1395" s="38">
        <v>260.94</v>
      </c>
      <c r="G1395" s="38">
        <v>260.94</v>
      </c>
      <c r="H1395" s="38">
        <f t="shared" si="66"/>
        <v>433</v>
      </c>
      <c r="I1395" s="38">
        <v>281</v>
      </c>
      <c r="J1395" s="38">
        <v>152</v>
      </c>
      <c r="K1395" s="38">
        <v>129</v>
      </c>
      <c r="L1395" s="50">
        <f t="shared" si="67"/>
        <v>29.792147806004621</v>
      </c>
      <c r="M1395" s="38">
        <v>0</v>
      </c>
      <c r="N1395" s="50">
        <f t="shared" ref="N1395:N1398" si="68">M1395/H1395*100</f>
        <v>0</v>
      </c>
      <c r="O1395" s="38">
        <v>0</v>
      </c>
      <c r="P1395" s="38">
        <v>0</v>
      </c>
      <c r="Q1395" s="39" t="s">
        <v>44</v>
      </c>
      <c r="R1395" s="11" t="s">
        <v>2964</v>
      </c>
      <c r="S1395" s="40"/>
      <c r="T1395" s="39">
        <v>0</v>
      </c>
      <c r="U1395" s="39"/>
      <c r="V1395" s="39"/>
      <c r="W1395" s="39"/>
      <c r="X1395" s="39"/>
      <c r="Y1395" s="39"/>
      <c r="AB1395" s="3"/>
      <c r="AC1395" s="38" t="s">
        <v>2967</v>
      </c>
      <c r="AD1395" s="2"/>
      <c r="AE1395" s="40"/>
    </row>
    <row r="1396" spans="1:31" x14ac:dyDescent="0.25">
      <c r="A1396" s="38" t="s">
        <v>36</v>
      </c>
      <c r="B1396" s="38" t="s">
        <v>2544</v>
      </c>
      <c r="C1396" s="38" t="s">
        <v>2961</v>
      </c>
      <c r="D1396" s="38" t="s">
        <v>2969</v>
      </c>
      <c r="E1396" s="38" t="s">
        <v>2970</v>
      </c>
      <c r="F1396" s="38">
        <v>243.28</v>
      </c>
      <c r="G1396" s="38">
        <v>243.28</v>
      </c>
      <c r="H1396" s="38">
        <f t="shared" si="66"/>
        <v>710</v>
      </c>
      <c r="I1396" s="38">
        <v>469</v>
      </c>
      <c r="J1396" s="38">
        <v>241</v>
      </c>
      <c r="K1396" s="38">
        <v>228</v>
      </c>
      <c r="L1396" s="50">
        <f t="shared" si="67"/>
        <v>32.112676056338032</v>
      </c>
      <c r="M1396" s="38">
        <v>0</v>
      </c>
      <c r="N1396" s="50">
        <f t="shared" si="68"/>
        <v>0</v>
      </c>
      <c r="O1396" s="38">
        <v>0</v>
      </c>
      <c r="P1396" s="38">
        <v>0</v>
      </c>
      <c r="Q1396" s="39" t="s">
        <v>44</v>
      </c>
      <c r="R1396" s="11" t="s">
        <v>2964</v>
      </c>
      <c r="S1396" s="40"/>
      <c r="T1396" s="39">
        <v>0</v>
      </c>
      <c r="U1396" s="39"/>
      <c r="V1396" s="39"/>
      <c r="W1396" s="39"/>
      <c r="X1396" s="39"/>
      <c r="Y1396" s="39"/>
      <c r="AB1396" s="3"/>
      <c r="AC1396" s="38" t="s">
        <v>2969</v>
      </c>
      <c r="AD1396" s="2"/>
      <c r="AE1396" s="40"/>
    </row>
    <row r="1397" spans="1:31" x14ac:dyDescent="0.25">
      <c r="A1397" s="38" t="s">
        <v>36</v>
      </c>
      <c r="B1397" s="38" t="s">
        <v>2544</v>
      </c>
      <c r="C1397" s="38" t="s">
        <v>2961</v>
      </c>
      <c r="D1397" s="38" t="s">
        <v>2971</v>
      </c>
      <c r="E1397" s="38" t="s">
        <v>2972</v>
      </c>
      <c r="F1397" s="38">
        <v>138.38999999999999</v>
      </c>
      <c r="G1397" s="38">
        <v>138.38999999999999</v>
      </c>
      <c r="H1397" s="38">
        <f t="shared" si="66"/>
        <v>379</v>
      </c>
      <c r="I1397" s="38">
        <v>253</v>
      </c>
      <c r="J1397" s="38">
        <v>126</v>
      </c>
      <c r="K1397" s="38">
        <v>127</v>
      </c>
      <c r="L1397" s="50">
        <f t="shared" si="67"/>
        <v>33.509234828496041</v>
      </c>
      <c r="M1397" s="38">
        <v>0</v>
      </c>
      <c r="N1397" s="50">
        <f t="shared" si="68"/>
        <v>0</v>
      </c>
      <c r="O1397" s="38">
        <v>0</v>
      </c>
      <c r="P1397" s="38">
        <v>0</v>
      </c>
      <c r="Q1397" s="39" t="s">
        <v>44</v>
      </c>
      <c r="R1397" s="11" t="s">
        <v>2964</v>
      </c>
      <c r="S1397" s="40"/>
      <c r="T1397" s="39">
        <v>0</v>
      </c>
      <c r="U1397" s="39"/>
      <c r="V1397" s="39"/>
      <c r="W1397" s="39"/>
      <c r="X1397" s="39"/>
      <c r="Y1397" s="39"/>
      <c r="AB1397" s="3"/>
      <c r="AC1397" s="38" t="s">
        <v>2971</v>
      </c>
      <c r="AD1397" s="2"/>
      <c r="AE1397" s="40"/>
    </row>
    <row r="1398" spans="1:31" x14ac:dyDescent="0.25">
      <c r="A1398" s="38" t="s">
        <v>36</v>
      </c>
      <c r="B1398" s="38" t="s">
        <v>2544</v>
      </c>
      <c r="C1398" s="38" t="s">
        <v>2961</v>
      </c>
      <c r="D1398" s="38" t="s">
        <v>2973</v>
      </c>
      <c r="E1398" s="38" t="s">
        <v>2974</v>
      </c>
      <c r="F1398" s="38">
        <v>144.22</v>
      </c>
      <c r="G1398" s="38">
        <v>144.22</v>
      </c>
      <c r="H1398" s="38">
        <f t="shared" si="66"/>
        <v>387</v>
      </c>
      <c r="I1398" s="38">
        <v>256</v>
      </c>
      <c r="J1398" s="38">
        <v>131</v>
      </c>
      <c r="K1398" s="38">
        <v>125</v>
      </c>
      <c r="L1398" s="50">
        <f t="shared" si="67"/>
        <v>32.299741602067186</v>
      </c>
      <c r="M1398" s="38">
        <v>0</v>
      </c>
      <c r="N1398" s="50">
        <f t="shared" si="68"/>
        <v>0</v>
      </c>
      <c r="O1398" s="38">
        <v>0</v>
      </c>
      <c r="P1398" s="38">
        <v>0</v>
      </c>
      <c r="Q1398" s="39" t="s">
        <v>44</v>
      </c>
      <c r="R1398" s="11" t="s">
        <v>2964</v>
      </c>
      <c r="S1398" s="40"/>
      <c r="T1398" s="39">
        <v>0</v>
      </c>
      <c r="U1398" s="39"/>
      <c r="V1398" s="39"/>
      <c r="W1398" s="39"/>
      <c r="X1398" s="39"/>
      <c r="Y1398" s="39"/>
      <c r="AB1398" s="3"/>
      <c r="AC1398" s="38" t="s">
        <v>2973</v>
      </c>
      <c r="AD1398" s="2"/>
      <c r="AE1398" s="40"/>
    </row>
    <row r="1399" spans="1:31" x14ac:dyDescent="0.25">
      <c r="A1399" s="38" t="s">
        <v>36</v>
      </c>
      <c r="B1399" s="38" t="s">
        <v>2544</v>
      </c>
      <c r="C1399" s="38" t="s">
        <v>2961</v>
      </c>
      <c r="D1399" s="38" t="s">
        <v>2975</v>
      </c>
      <c r="E1399" s="38" t="s">
        <v>2976</v>
      </c>
      <c r="F1399" s="38">
        <v>543.08000000000004</v>
      </c>
      <c r="G1399" s="38">
        <v>543.08000000000004</v>
      </c>
      <c r="H1399" s="38">
        <f t="shared" si="66"/>
        <v>1003</v>
      </c>
      <c r="I1399" s="38">
        <v>654</v>
      </c>
      <c r="J1399" s="38">
        <v>349</v>
      </c>
      <c r="K1399" s="38">
        <v>305</v>
      </c>
      <c r="L1399" s="50">
        <f t="shared" si="67"/>
        <v>30.408773678963108</v>
      </c>
      <c r="M1399" s="38">
        <v>0</v>
      </c>
      <c r="N1399" s="50">
        <f>M1399/H1399*100</f>
        <v>0</v>
      </c>
      <c r="O1399" s="38">
        <v>0</v>
      </c>
      <c r="P1399" s="38">
        <v>3.12</v>
      </c>
      <c r="Q1399" s="39" t="s">
        <v>44</v>
      </c>
      <c r="R1399" s="11" t="s">
        <v>2964</v>
      </c>
      <c r="S1399" s="40"/>
      <c r="T1399" s="39">
        <v>3.1242000000000001</v>
      </c>
      <c r="U1399" s="39"/>
      <c r="V1399" s="39"/>
      <c r="W1399" s="39"/>
      <c r="X1399" s="39"/>
      <c r="Y1399" s="39"/>
      <c r="AB1399" s="3"/>
      <c r="AC1399" s="38" t="s">
        <v>2975</v>
      </c>
      <c r="AD1399" s="2"/>
      <c r="AE1399" s="40"/>
    </row>
    <row r="1400" spans="1:31" x14ac:dyDescent="0.25">
      <c r="A1400" s="38" t="s">
        <v>36</v>
      </c>
      <c r="B1400" s="38" t="s">
        <v>2977</v>
      </c>
      <c r="C1400" s="11" t="s">
        <v>2978</v>
      </c>
      <c r="D1400" s="11" t="s">
        <v>2978</v>
      </c>
      <c r="H1400" s="38">
        <f t="shared" si="66"/>
        <v>0</v>
      </c>
      <c r="L1400" s="50"/>
      <c r="N1400" s="50"/>
      <c r="Q1400" s="36" t="s">
        <v>43</v>
      </c>
      <c r="R1400" s="14">
        <v>44594</v>
      </c>
      <c r="S1400" s="36"/>
      <c r="T1400" s="36">
        <v>50</v>
      </c>
      <c r="U1400" s="36"/>
      <c r="V1400" s="36"/>
      <c r="W1400" s="36"/>
      <c r="X1400" s="36"/>
      <c r="Y1400" s="36"/>
      <c r="AB1400" s="85"/>
      <c r="AC1400" s="15" t="s">
        <v>2978</v>
      </c>
      <c r="AD1400" s="36"/>
      <c r="AE1400" s="36"/>
    </row>
    <row r="1401" spans="1:31" x14ac:dyDescent="0.25">
      <c r="A1401" s="38" t="s">
        <v>36</v>
      </c>
      <c r="B1401" s="33" t="s">
        <v>2977</v>
      </c>
      <c r="C1401" s="33" t="s">
        <v>2980</v>
      </c>
      <c r="D1401" s="33" t="s">
        <v>2981</v>
      </c>
      <c r="E1401" s="15"/>
      <c r="H1401" s="38">
        <f t="shared" si="66"/>
        <v>0</v>
      </c>
      <c r="L1401" s="50"/>
      <c r="N1401" s="50"/>
      <c r="O1401" s="15"/>
      <c r="P1401" s="15"/>
      <c r="Q1401" s="7" t="s">
        <v>43</v>
      </c>
      <c r="R1401" s="36"/>
      <c r="S1401" s="36"/>
      <c r="T1401" s="242">
        <v>380</v>
      </c>
      <c r="U1401" s="86"/>
      <c r="V1401" s="86"/>
      <c r="W1401" s="86"/>
      <c r="X1401" s="86"/>
      <c r="Y1401" s="86"/>
      <c r="AB1401" s="85">
        <v>12</v>
      </c>
      <c r="AC1401" s="15" t="s">
        <v>2982</v>
      </c>
      <c r="AD1401" s="36">
        <v>24.928118999999999</v>
      </c>
      <c r="AE1401" s="36">
        <v>71.146428</v>
      </c>
    </row>
    <row r="1402" spans="1:31" x14ac:dyDescent="0.25">
      <c r="A1402" s="38" t="s">
        <v>36</v>
      </c>
      <c r="B1402" s="33" t="s">
        <v>2977</v>
      </c>
      <c r="C1402" s="33" t="s">
        <v>2980</v>
      </c>
      <c r="D1402" s="33" t="s">
        <v>2982</v>
      </c>
      <c r="E1402" s="15"/>
      <c r="H1402" s="38">
        <f t="shared" si="66"/>
        <v>0</v>
      </c>
      <c r="L1402" s="50"/>
      <c r="N1402" s="50"/>
      <c r="O1402" s="15"/>
      <c r="P1402" s="15"/>
      <c r="Q1402" s="7" t="s">
        <v>43</v>
      </c>
      <c r="R1402" s="36"/>
      <c r="S1402" s="36"/>
      <c r="T1402" s="85">
        <v>380</v>
      </c>
      <c r="U1402" s="86"/>
      <c r="V1402" s="86"/>
      <c r="W1402" s="86"/>
      <c r="X1402" s="86"/>
      <c r="Y1402" s="86"/>
      <c r="AB1402" s="85">
        <v>12</v>
      </c>
      <c r="AC1402" s="15" t="s">
        <v>2982</v>
      </c>
      <c r="AD1402" s="36">
        <v>24.928118999999999</v>
      </c>
      <c r="AE1402" s="36">
        <v>71.146428</v>
      </c>
    </row>
    <row r="1403" spans="1:31" x14ac:dyDescent="0.25">
      <c r="A1403" s="38" t="s">
        <v>36</v>
      </c>
      <c r="B1403" s="38" t="s">
        <v>2977</v>
      </c>
      <c r="C1403" s="38" t="s">
        <v>2980</v>
      </c>
      <c r="D1403" s="38" t="s">
        <v>2981</v>
      </c>
      <c r="E1403" s="38" t="s">
        <v>2984</v>
      </c>
      <c r="F1403" s="38">
        <v>2007.92</v>
      </c>
      <c r="G1403" s="38">
        <v>2007.92</v>
      </c>
      <c r="H1403" s="38">
        <f t="shared" si="66"/>
        <v>2907</v>
      </c>
      <c r="I1403" s="38">
        <v>1899</v>
      </c>
      <c r="J1403" s="38">
        <v>1008</v>
      </c>
      <c r="K1403" s="38">
        <v>891</v>
      </c>
      <c r="L1403" s="50">
        <f t="shared" si="67"/>
        <v>30.650154798761609</v>
      </c>
      <c r="M1403" s="38">
        <v>45</v>
      </c>
      <c r="N1403" s="50">
        <f t="shared" ref="N1403:N1463" si="69">M1403/H1403*100</f>
        <v>1.5479876160990713</v>
      </c>
      <c r="O1403" s="38">
        <v>33</v>
      </c>
      <c r="P1403" s="38">
        <v>60</v>
      </c>
      <c r="Q1403" s="61" t="s">
        <v>43</v>
      </c>
      <c r="R1403" s="7">
        <v>44538</v>
      </c>
      <c r="S1403" s="61"/>
      <c r="T1403" s="61">
        <v>164</v>
      </c>
      <c r="U1403" s="61"/>
      <c r="V1403" s="61"/>
      <c r="W1403" s="61"/>
      <c r="X1403" s="61"/>
      <c r="Y1403" s="61"/>
      <c r="AB1403" s="20"/>
      <c r="AC1403" s="11" t="s">
        <v>2983</v>
      </c>
      <c r="AD1403" s="61"/>
      <c r="AE1403" s="61"/>
    </row>
    <row r="1404" spans="1:31" x14ac:dyDescent="0.25">
      <c r="A1404" s="38" t="s">
        <v>36</v>
      </c>
      <c r="B1404" s="38" t="s">
        <v>2977</v>
      </c>
      <c r="C1404" s="38" t="s">
        <v>2980</v>
      </c>
      <c r="D1404" s="38" t="s">
        <v>2982</v>
      </c>
      <c r="E1404" s="38" t="s">
        <v>2985</v>
      </c>
      <c r="F1404" s="38">
        <v>3350.5</v>
      </c>
      <c r="G1404" s="38">
        <v>3350.5</v>
      </c>
      <c r="H1404" s="38">
        <f t="shared" si="66"/>
        <v>5287</v>
      </c>
      <c r="I1404" s="38">
        <v>3469</v>
      </c>
      <c r="J1404" s="38">
        <v>1818</v>
      </c>
      <c r="K1404" s="38">
        <v>1651</v>
      </c>
      <c r="L1404" s="50">
        <f t="shared" si="67"/>
        <v>31.227539247210139</v>
      </c>
      <c r="M1404" s="38">
        <v>82</v>
      </c>
      <c r="N1404" s="50">
        <f t="shared" si="69"/>
        <v>1.5509740873841498</v>
      </c>
      <c r="O1404" s="38">
        <v>58</v>
      </c>
      <c r="P1404" s="38">
        <v>8</v>
      </c>
      <c r="Q1404" s="98" t="s">
        <v>43</v>
      </c>
      <c r="R1404" s="17">
        <v>44538</v>
      </c>
      <c r="S1404" s="61"/>
      <c r="T1404" s="98">
        <v>380</v>
      </c>
      <c r="U1404" s="98"/>
      <c r="V1404" s="98"/>
      <c r="W1404" s="98"/>
      <c r="X1404" s="98"/>
      <c r="Y1404" s="98"/>
      <c r="AB1404" s="20"/>
      <c r="AC1404" s="11" t="s">
        <v>2982</v>
      </c>
      <c r="AD1404" s="61">
        <v>24.928118999999999</v>
      </c>
      <c r="AE1404" s="61">
        <v>71.146428</v>
      </c>
    </row>
    <row r="1405" spans="1:31" x14ac:dyDescent="0.25">
      <c r="A1405" s="38" t="s">
        <v>36</v>
      </c>
      <c r="B1405" s="38" t="s">
        <v>2977</v>
      </c>
      <c r="C1405" s="38" t="s">
        <v>2986</v>
      </c>
      <c r="D1405" s="38" t="s">
        <v>2987</v>
      </c>
      <c r="E1405" s="38" t="s">
        <v>2988</v>
      </c>
      <c r="F1405" s="38">
        <v>5701</v>
      </c>
      <c r="G1405" s="38">
        <v>5701</v>
      </c>
      <c r="H1405" s="38">
        <f t="shared" si="66"/>
        <v>7836</v>
      </c>
      <c r="I1405" s="38">
        <v>5120</v>
      </c>
      <c r="J1405" s="38">
        <v>2716</v>
      </c>
      <c r="K1405" s="38">
        <v>2404</v>
      </c>
      <c r="L1405" s="50">
        <f t="shared" si="67"/>
        <v>30.678917815211843</v>
      </c>
      <c r="M1405" s="38">
        <v>1082</v>
      </c>
      <c r="N1405" s="50">
        <f t="shared" si="69"/>
        <v>13.808065339458908</v>
      </c>
      <c r="O1405" s="38">
        <v>0</v>
      </c>
      <c r="P1405" s="38">
        <v>266</v>
      </c>
      <c r="Q1405" s="35" t="s">
        <v>43</v>
      </c>
      <c r="R1405" s="14">
        <v>44545</v>
      </c>
      <c r="S1405" s="35"/>
      <c r="T1405" s="35">
        <v>266</v>
      </c>
      <c r="U1405" s="35"/>
      <c r="V1405" s="35"/>
      <c r="W1405" s="35"/>
      <c r="X1405" s="35"/>
      <c r="Y1405" s="35"/>
      <c r="AB1405" s="94"/>
      <c r="AC1405" s="35" t="s">
        <v>2989</v>
      </c>
      <c r="AD1405" s="35">
        <v>24.763639000000001</v>
      </c>
      <c r="AE1405" s="35">
        <v>71.112215000000006</v>
      </c>
    </row>
    <row r="1406" spans="1:31" x14ac:dyDescent="0.25">
      <c r="A1406" s="38" t="s">
        <v>36</v>
      </c>
      <c r="B1406" s="38" t="s">
        <v>2977</v>
      </c>
      <c r="C1406" s="38" t="s">
        <v>2986</v>
      </c>
      <c r="D1406" s="38" t="s">
        <v>314</v>
      </c>
      <c r="E1406" s="38" t="s">
        <v>2990</v>
      </c>
      <c r="F1406" s="38">
        <v>701</v>
      </c>
      <c r="G1406" s="38">
        <v>701</v>
      </c>
      <c r="H1406" s="38">
        <f t="shared" si="66"/>
        <v>1561</v>
      </c>
      <c r="I1406" s="38">
        <v>1023</v>
      </c>
      <c r="J1406" s="38">
        <v>538</v>
      </c>
      <c r="K1406" s="38">
        <v>485</v>
      </c>
      <c r="L1406" s="50">
        <f t="shared" si="67"/>
        <v>31.069827033952595</v>
      </c>
      <c r="M1406" s="38">
        <v>341</v>
      </c>
      <c r="N1406" s="50">
        <f t="shared" si="69"/>
        <v>21.844971172325433</v>
      </c>
      <c r="O1406" s="38">
        <v>0</v>
      </c>
      <c r="P1406" s="38">
        <v>0</v>
      </c>
      <c r="Q1406" s="36" t="s">
        <v>43</v>
      </c>
      <c r="R1406" s="14">
        <v>44545</v>
      </c>
      <c r="S1406" s="36"/>
      <c r="T1406" s="36">
        <v>0</v>
      </c>
      <c r="U1406" s="36"/>
      <c r="V1406" s="36"/>
      <c r="W1406" s="36"/>
      <c r="X1406" s="36"/>
      <c r="Y1406" s="36"/>
      <c r="AB1406" s="85"/>
      <c r="AC1406" s="15" t="s">
        <v>2991</v>
      </c>
      <c r="AD1406" s="36">
        <v>0</v>
      </c>
      <c r="AE1406" s="36"/>
    </row>
    <row r="1407" spans="1:31" x14ac:dyDescent="0.25">
      <c r="A1407" s="38" t="s">
        <v>36</v>
      </c>
      <c r="B1407" s="38" t="s">
        <v>2977</v>
      </c>
      <c r="C1407" s="38" t="s">
        <v>2992</v>
      </c>
      <c r="D1407" s="38" t="s">
        <v>2992</v>
      </c>
      <c r="E1407" s="38"/>
      <c r="F1407" s="38"/>
      <c r="G1407" s="38"/>
      <c r="H1407" s="38">
        <f t="shared" si="66"/>
        <v>0</v>
      </c>
      <c r="I1407" s="38"/>
      <c r="J1407" s="38"/>
      <c r="K1407" s="38"/>
      <c r="L1407" s="50"/>
      <c r="M1407" s="38"/>
      <c r="N1407" s="50"/>
      <c r="O1407" s="38"/>
      <c r="P1407" s="38"/>
      <c r="Q1407" s="36" t="s">
        <v>43</v>
      </c>
      <c r="R1407" s="95">
        <v>44539</v>
      </c>
      <c r="S1407" s="36"/>
      <c r="T1407" s="36">
        <v>145</v>
      </c>
      <c r="U1407" s="36"/>
      <c r="V1407" s="36"/>
      <c r="W1407" s="36"/>
      <c r="X1407" s="36"/>
      <c r="Y1407" s="36"/>
      <c r="AB1407" s="85">
        <v>120</v>
      </c>
      <c r="AC1407" s="36" t="s">
        <v>2993</v>
      </c>
      <c r="AD1407" s="36">
        <v>24.92672</v>
      </c>
      <c r="AE1407" s="36">
        <v>71.171335999999997</v>
      </c>
    </row>
    <row r="1408" spans="1:31" x14ac:dyDescent="0.25">
      <c r="A1408" s="38" t="s">
        <v>36</v>
      </c>
      <c r="B1408" s="38" t="s">
        <v>2977</v>
      </c>
      <c r="C1408" s="38" t="s">
        <v>2992</v>
      </c>
      <c r="D1408" s="38" t="s">
        <v>2992</v>
      </c>
      <c r="E1408" s="38"/>
      <c r="F1408" s="38"/>
      <c r="G1408" s="38"/>
      <c r="H1408" s="38">
        <f t="shared" si="66"/>
        <v>0</v>
      </c>
      <c r="I1408" s="38"/>
      <c r="J1408" s="38"/>
      <c r="K1408" s="38"/>
      <c r="L1408" s="50"/>
      <c r="M1408" s="38"/>
      <c r="N1408" s="50"/>
      <c r="O1408" s="38"/>
      <c r="P1408" s="38"/>
      <c r="Q1408" s="36" t="s">
        <v>43</v>
      </c>
      <c r="R1408" s="14">
        <v>44539</v>
      </c>
      <c r="S1408" s="36"/>
      <c r="T1408" s="36">
        <v>145</v>
      </c>
      <c r="U1408" s="36"/>
      <c r="V1408" s="36"/>
      <c r="W1408" s="36"/>
      <c r="X1408" s="36"/>
      <c r="Y1408" s="36"/>
      <c r="AB1408" s="85"/>
      <c r="AC1408" s="15" t="s">
        <v>2992</v>
      </c>
      <c r="AD1408" s="36"/>
      <c r="AE1408" s="36"/>
    </row>
    <row r="1409" spans="1:31" x14ac:dyDescent="0.25">
      <c r="A1409" s="38" t="s">
        <v>36</v>
      </c>
      <c r="B1409" s="38" t="s">
        <v>2977</v>
      </c>
      <c r="C1409" s="38" t="s">
        <v>2992</v>
      </c>
      <c r="D1409" s="38" t="s">
        <v>2994</v>
      </c>
      <c r="E1409" s="38" t="s">
        <v>2995</v>
      </c>
      <c r="F1409" s="38">
        <v>442</v>
      </c>
      <c r="G1409" s="38">
        <v>442</v>
      </c>
      <c r="H1409" s="38">
        <f t="shared" si="66"/>
        <v>581</v>
      </c>
      <c r="I1409" s="38">
        <v>383</v>
      </c>
      <c r="J1409" s="38">
        <v>198</v>
      </c>
      <c r="K1409" s="38">
        <v>185</v>
      </c>
      <c r="L1409" s="50">
        <f t="shared" si="67"/>
        <v>31.841652323580032</v>
      </c>
      <c r="M1409" s="38">
        <v>43</v>
      </c>
      <c r="N1409" s="50">
        <f t="shared" si="69"/>
        <v>7.4010327022375213</v>
      </c>
      <c r="O1409" s="38">
        <v>0</v>
      </c>
      <c r="P1409" s="38">
        <v>40.97</v>
      </c>
      <c r="Q1409" s="36" t="s">
        <v>43</v>
      </c>
      <c r="R1409" s="14">
        <v>44539</v>
      </c>
      <c r="S1409" s="36"/>
      <c r="T1409" s="36">
        <v>41</v>
      </c>
      <c r="U1409" s="36"/>
      <c r="V1409" s="36"/>
      <c r="W1409" s="36"/>
      <c r="X1409" s="36"/>
      <c r="Y1409" s="36"/>
      <c r="AB1409" s="85"/>
      <c r="AC1409" s="15" t="s">
        <v>2996</v>
      </c>
      <c r="AD1409" s="36"/>
      <c r="AE1409" s="36"/>
    </row>
    <row r="1410" spans="1:31" x14ac:dyDescent="0.25">
      <c r="A1410" s="38" t="s">
        <v>36</v>
      </c>
      <c r="B1410" s="38" t="s">
        <v>2977</v>
      </c>
      <c r="C1410" s="38" t="s">
        <v>2992</v>
      </c>
      <c r="D1410" s="38" t="s">
        <v>2997</v>
      </c>
      <c r="E1410" s="38" t="s">
        <v>2998</v>
      </c>
      <c r="F1410" s="38">
        <v>749.96</v>
      </c>
      <c r="G1410" s="38">
        <v>749.96</v>
      </c>
      <c r="H1410" s="38">
        <f t="shared" si="66"/>
        <v>999</v>
      </c>
      <c r="I1410" s="38">
        <v>645</v>
      </c>
      <c r="J1410" s="38">
        <v>354</v>
      </c>
      <c r="K1410" s="38">
        <v>291</v>
      </c>
      <c r="L1410" s="50">
        <f t="shared" si="67"/>
        <v>29.129129129129126</v>
      </c>
      <c r="M1410" s="38">
        <v>102</v>
      </c>
      <c r="N1410" s="50">
        <f t="shared" si="69"/>
        <v>10.21021021021021</v>
      </c>
      <c r="O1410" s="38">
        <v>0</v>
      </c>
      <c r="P1410" s="38">
        <v>0</v>
      </c>
      <c r="Q1410" s="96" t="s">
        <v>160</v>
      </c>
      <c r="R1410" s="14">
        <v>44539</v>
      </c>
      <c r="S1410" s="97"/>
      <c r="T1410" s="96">
        <v>0</v>
      </c>
      <c r="U1410" s="96"/>
      <c r="V1410" s="96"/>
      <c r="W1410" s="96"/>
      <c r="X1410" s="96"/>
      <c r="Y1410" s="96"/>
      <c r="AB1410" s="85"/>
      <c r="AC1410" s="15" t="s">
        <v>2999</v>
      </c>
      <c r="AD1410" s="36"/>
      <c r="AE1410" s="97"/>
    </row>
    <row r="1411" spans="1:31" x14ac:dyDescent="0.25">
      <c r="A1411" s="38" t="s">
        <v>36</v>
      </c>
      <c r="B1411" s="38" t="s">
        <v>2977</v>
      </c>
      <c r="C1411" s="38" t="s">
        <v>3000</v>
      </c>
      <c r="D1411" s="38" t="s">
        <v>3001</v>
      </c>
      <c r="E1411" s="38" t="s">
        <v>3002</v>
      </c>
      <c r="F1411" s="38">
        <v>2947.06</v>
      </c>
      <c r="G1411" s="38">
        <v>2947.06</v>
      </c>
      <c r="H1411" s="38">
        <f t="shared" si="66"/>
        <v>6854</v>
      </c>
      <c r="I1411" s="38">
        <v>4549</v>
      </c>
      <c r="J1411" s="38">
        <v>2305</v>
      </c>
      <c r="K1411" s="38">
        <v>2244</v>
      </c>
      <c r="L1411" s="50">
        <f t="shared" si="67"/>
        <v>32.740005836008166</v>
      </c>
      <c r="M1411" s="38">
        <v>1984</v>
      </c>
      <c r="N1411" s="50">
        <f t="shared" si="69"/>
        <v>28.946600525240733</v>
      </c>
      <c r="O1411" s="38">
        <v>0</v>
      </c>
      <c r="P1411" s="38">
        <v>2.5299999999999998</v>
      </c>
      <c r="Q1411" s="35" t="s">
        <v>43</v>
      </c>
      <c r="R1411" s="184">
        <v>44593</v>
      </c>
      <c r="S1411" s="35"/>
      <c r="T1411" s="35">
        <v>4</v>
      </c>
      <c r="U1411" s="35"/>
      <c r="V1411" s="35"/>
      <c r="W1411" s="35"/>
      <c r="X1411" s="35"/>
      <c r="Y1411" s="35"/>
      <c r="AB1411" s="94">
        <v>4</v>
      </c>
      <c r="AC1411" s="35" t="s">
        <v>3003</v>
      </c>
      <c r="AD1411" s="35">
        <v>71.165892999999997</v>
      </c>
      <c r="AE1411" s="35">
        <v>24.729171000000001</v>
      </c>
    </row>
    <row r="1412" spans="1:31" x14ac:dyDescent="0.25">
      <c r="A1412" s="38" t="s">
        <v>36</v>
      </c>
      <c r="B1412" s="38" t="s">
        <v>2977</v>
      </c>
      <c r="C1412" s="38" t="s">
        <v>3000</v>
      </c>
      <c r="D1412" s="38" t="s">
        <v>3001</v>
      </c>
      <c r="E1412" s="38"/>
      <c r="F1412" s="38"/>
      <c r="G1412" s="38"/>
      <c r="H1412" s="38">
        <f t="shared" si="66"/>
        <v>0</v>
      </c>
      <c r="I1412" s="38"/>
      <c r="J1412" s="38"/>
      <c r="K1412" s="38"/>
      <c r="L1412" s="50"/>
      <c r="M1412" s="38"/>
      <c r="N1412" s="50"/>
      <c r="O1412" s="38"/>
      <c r="P1412" s="38"/>
      <c r="Q1412" s="35" t="s">
        <v>43</v>
      </c>
      <c r="R1412" s="184">
        <v>44593</v>
      </c>
      <c r="S1412" s="35"/>
      <c r="T1412" s="35">
        <v>4</v>
      </c>
      <c r="U1412" s="35"/>
      <c r="V1412" s="35"/>
      <c r="W1412" s="35"/>
      <c r="X1412" s="35"/>
      <c r="Y1412" s="35"/>
      <c r="AB1412" s="94">
        <v>4</v>
      </c>
      <c r="AC1412" s="35" t="s">
        <v>3003</v>
      </c>
      <c r="AD1412" s="35">
        <v>71.165892999999997</v>
      </c>
      <c r="AE1412" s="35">
        <v>24.729171000000001</v>
      </c>
    </row>
    <row r="1413" spans="1:31" x14ac:dyDescent="0.25">
      <c r="A1413" s="38" t="s">
        <v>36</v>
      </c>
      <c r="B1413" s="38" t="s">
        <v>2977</v>
      </c>
      <c r="C1413" s="38" t="s">
        <v>3004</v>
      </c>
      <c r="D1413" s="38" t="s">
        <v>3005</v>
      </c>
      <c r="E1413" s="38" t="s">
        <v>3006</v>
      </c>
      <c r="F1413" s="38">
        <v>2415</v>
      </c>
      <c r="G1413" s="38">
        <v>2415</v>
      </c>
      <c r="H1413" s="38">
        <f t="shared" ref="H1413:H1476" si="70">I1413+J1413</f>
        <v>4734</v>
      </c>
      <c r="I1413" s="38">
        <v>3119</v>
      </c>
      <c r="J1413" s="38">
        <v>1615</v>
      </c>
      <c r="K1413" s="38">
        <v>1504</v>
      </c>
      <c r="L1413" s="50">
        <f t="shared" si="67"/>
        <v>31.770173215040138</v>
      </c>
      <c r="M1413" s="38">
        <v>864</v>
      </c>
      <c r="N1413" s="50">
        <f t="shared" si="69"/>
        <v>18.250950570342205</v>
      </c>
      <c r="O1413" s="38">
        <v>0</v>
      </c>
      <c r="P1413" s="38">
        <v>149</v>
      </c>
      <c r="Q1413" s="96" t="s">
        <v>44</v>
      </c>
      <c r="R1413" s="14">
        <v>45189</v>
      </c>
      <c r="S1413" s="97"/>
      <c r="T1413" s="96">
        <v>149.6525</v>
      </c>
      <c r="U1413" s="96"/>
      <c r="V1413" s="96"/>
      <c r="W1413" s="96"/>
      <c r="X1413" s="96"/>
      <c r="Y1413" s="96"/>
      <c r="AB1413" s="181">
        <v>19</v>
      </c>
      <c r="AC1413" s="33" t="s">
        <v>3005</v>
      </c>
      <c r="AD1413" s="36">
        <v>24.726061000000001</v>
      </c>
      <c r="AE1413" s="97">
        <v>71.084069</v>
      </c>
    </row>
    <row r="1414" spans="1:31" x14ac:dyDescent="0.25">
      <c r="A1414" s="38" t="s">
        <v>36</v>
      </c>
      <c r="B1414" s="38" t="s">
        <v>2977</v>
      </c>
      <c r="C1414" s="38" t="s">
        <v>3004</v>
      </c>
      <c r="D1414" s="38" t="s">
        <v>3007</v>
      </c>
      <c r="E1414" s="38" t="s">
        <v>3008</v>
      </c>
      <c r="F1414" s="38">
        <v>1567.18</v>
      </c>
      <c r="G1414" s="38">
        <v>1567.18</v>
      </c>
      <c r="H1414" s="38">
        <f t="shared" si="70"/>
        <v>1811</v>
      </c>
      <c r="I1414" s="38">
        <v>1196</v>
      </c>
      <c r="J1414" s="38">
        <v>615</v>
      </c>
      <c r="K1414" s="38">
        <v>581</v>
      </c>
      <c r="L1414" s="50">
        <f t="shared" ref="L1414:L1477" si="71">K1414/H1414*100</f>
        <v>32.081722805080062</v>
      </c>
      <c r="M1414" s="38">
        <v>521</v>
      </c>
      <c r="N1414" s="50">
        <f t="shared" si="69"/>
        <v>28.768636112644945</v>
      </c>
      <c r="O1414" s="38">
        <v>0</v>
      </c>
      <c r="P1414" s="38">
        <v>0</v>
      </c>
      <c r="Q1414" s="96" t="s">
        <v>44</v>
      </c>
      <c r="R1414" s="14">
        <v>45189</v>
      </c>
      <c r="S1414" s="97"/>
      <c r="T1414" s="96">
        <v>9.1700999999999997</v>
      </c>
      <c r="U1414" s="96"/>
      <c r="V1414" s="96"/>
      <c r="W1414" s="96"/>
      <c r="X1414" s="96"/>
      <c r="Y1414" s="96"/>
      <c r="AB1414" s="36"/>
      <c r="AC1414" s="33" t="s">
        <v>3007</v>
      </c>
      <c r="AD1414" s="36"/>
      <c r="AE1414" s="97"/>
    </row>
    <row r="1415" spans="1:31" x14ac:dyDescent="0.25">
      <c r="A1415" s="38" t="s">
        <v>36</v>
      </c>
      <c r="B1415" s="38" t="s">
        <v>2977</v>
      </c>
      <c r="C1415" s="38" t="s">
        <v>3004</v>
      </c>
      <c r="D1415" s="38" t="s">
        <v>3009</v>
      </c>
      <c r="E1415" s="38" t="s">
        <v>3010</v>
      </c>
      <c r="F1415" s="38">
        <v>626.91999999999996</v>
      </c>
      <c r="G1415" s="38">
        <v>626.91999999999996</v>
      </c>
      <c r="H1415" s="38">
        <f t="shared" si="70"/>
        <v>1200</v>
      </c>
      <c r="I1415" s="38">
        <v>786</v>
      </c>
      <c r="J1415" s="38">
        <v>414</v>
      </c>
      <c r="K1415" s="38">
        <v>372</v>
      </c>
      <c r="L1415" s="50">
        <f t="shared" si="71"/>
        <v>31</v>
      </c>
      <c r="M1415" s="38">
        <v>293</v>
      </c>
      <c r="N1415" s="50">
        <f t="shared" si="69"/>
        <v>24.416666666666668</v>
      </c>
      <c r="O1415" s="38">
        <v>0</v>
      </c>
      <c r="P1415" s="38">
        <v>66.44</v>
      </c>
      <c r="Q1415" s="96" t="s">
        <v>44</v>
      </c>
      <c r="R1415" s="14">
        <v>45189</v>
      </c>
      <c r="S1415" s="181"/>
      <c r="T1415" s="96">
        <v>66.44</v>
      </c>
      <c r="U1415" s="96"/>
      <c r="V1415" s="96"/>
      <c r="W1415" s="96"/>
      <c r="X1415" s="96"/>
      <c r="Y1415" s="96"/>
      <c r="AB1415" s="181">
        <v>19</v>
      </c>
      <c r="AC1415" s="33" t="s">
        <v>3009</v>
      </c>
      <c r="AD1415" s="181">
        <v>24.717376999999999</v>
      </c>
      <c r="AE1415" s="181">
        <v>71.143985000000001</v>
      </c>
    </row>
    <row r="1416" spans="1:31" x14ac:dyDescent="0.25">
      <c r="A1416" s="38" t="s">
        <v>36</v>
      </c>
      <c r="B1416" s="38" t="s">
        <v>2977</v>
      </c>
      <c r="C1416" s="38" t="s">
        <v>3011</v>
      </c>
      <c r="D1416" s="38" t="s">
        <v>3012</v>
      </c>
      <c r="E1416" s="38" t="s">
        <v>3013</v>
      </c>
      <c r="F1416" s="38">
        <v>765.43</v>
      </c>
      <c r="G1416" s="38">
        <v>765.43</v>
      </c>
      <c r="H1416" s="38">
        <f t="shared" si="70"/>
        <v>1548</v>
      </c>
      <c r="I1416" s="38">
        <v>1019</v>
      </c>
      <c r="J1416" s="38">
        <v>529</v>
      </c>
      <c r="K1416" s="38">
        <v>490</v>
      </c>
      <c r="L1416" s="50">
        <f t="shared" si="71"/>
        <v>31.653746770025844</v>
      </c>
      <c r="M1416" s="38">
        <v>11</v>
      </c>
      <c r="N1416" s="50">
        <f>M1416/H1416*100</f>
        <v>0.710594315245478</v>
      </c>
      <c r="O1416" s="38">
        <v>0</v>
      </c>
      <c r="P1416" s="38">
        <v>8.5299999999999994</v>
      </c>
      <c r="Q1416" s="36" t="s">
        <v>43</v>
      </c>
      <c r="R1416" s="14">
        <v>44551</v>
      </c>
      <c r="S1416" s="36"/>
      <c r="T1416" s="36">
        <v>26</v>
      </c>
      <c r="U1416" s="36"/>
      <c r="V1416" s="36"/>
      <c r="W1416" s="36"/>
      <c r="X1416" s="36"/>
      <c r="Y1416" s="36"/>
      <c r="AB1416" s="85"/>
      <c r="AC1416" s="15" t="s">
        <v>3014</v>
      </c>
      <c r="AD1416" s="36"/>
      <c r="AE1416" s="36"/>
    </row>
    <row r="1417" spans="1:31" x14ac:dyDescent="0.25">
      <c r="A1417" s="38" t="s">
        <v>36</v>
      </c>
      <c r="B1417" s="33" t="s">
        <v>2977</v>
      </c>
      <c r="C1417" s="33" t="s">
        <v>3011</v>
      </c>
      <c r="D1417" s="77" t="s">
        <v>3015</v>
      </c>
      <c r="E1417" s="38" t="s">
        <v>3013</v>
      </c>
      <c r="F1417" s="38">
        <v>765.43</v>
      </c>
      <c r="G1417" s="38">
        <v>765.43</v>
      </c>
      <c r="H1417" s="38">
        <f t="shared" si="70"/>
        <v>1548</v>
      </c>
      <c r="I1417" s="38">
        <v>1019</v>
      </c>
      <c r="J1417" s="38">
        <v>529</v>
      </c>
      <c r="K1417" s="38">
        <v>490</v>
      </c>
      <c r="L1417" s="50">
        <f t="shared" si="71"/>
        <v>31.653746770025844</v>
      </c>
      <c r="M1417" s="38">
        <v>11</v>
      </c>
      <c r="N1417" s="50">
        <f t="shared" si="69"/>
        <v>0.710594315245478</v>
      </c>
      <c r="O1417" s="38">
        <v>0</v>
      </c>
      <c r="P1417" s="38">
        <v>8.5299999999999994</v>
      </c>
      <c r="Q1417" s="7" t="s">
        <v>43</v>
      </c>
      <c r="R1417" s="10"/>
      <c r="S1417" s="34"/>
      <c r="T1417" s="231">
        <v>100</v>
      </c>
      <c r="U1417" s="10"/>
      <c r="V1417" s="10"/>
      <c r="W1417" s="10"/>
      <c r="X1417" s="10"/>
      <c r="Y1417" s="10"/>
      <c r="AB1417" s="20">
        <v>38</v>
      </c>
      <c r="AC1417" s="34" t="s">
        <v>3016</v>
      </c>
      <c r="AD1417" s="34">
        <v>24.824739999999998</v>
      </c>
      <c r="AE1417" s="34">
        <v>71.192425</v>
      </c>
    </row>
    <row r="1418" spans="1:31" x14ac:dyDescent="0.25">
      <c r="A1418" s="38" t="s">
        <v>36</v>
      </c>
      <c r="B1418" s="33" t="s">
        <v>2977</v>
      </c>
      <c r="C1418" s="33" t="s">
        <v>3011</v>
      </c>
      <c r="D1418" s="77" t="s">
        <v>3015</v>
      </c>
      <c r="E1418" s="38" t="s">
        <v>3017</v>
      </c>
      <c r="F1418" s="38">
        <v>808.86</v>
      </c>
      <c r="G1418" s="38">
        <v>808.86</v>
      </c>
      <c r="H1418" s="38">
        <f t="shared" si="70"/>
        <v>1187</v>
      </c>
      <c r="I1418" s="38">
        <v>779</v>
      </c>
      <c r="J1418" s="38">
        <v>408</v>
      </c>
      <c r="K1418" s="38">
        <v>371</v>
      </c>
      <c r="L1418" s="50">
        <f t="shared" si="71"/>
        <v>31.255265374894691</v>
      </c>
      <c r="M1418" s="38">
        <v>140</v>
      </c>
      <c r="N1418" s="50">
        <f t="shared" si="69"/>
        <v>11.794439764111205</v>
      </c>
      <c r="O1418" s="38">
        <v>0</v>
      </c>
      <c r="P1418" s="38">
        <v>80.349999999999994</v>
      </c>
      <c r="Q1418" s="35"/>
      <c r="R1418" s="185"/>
      <c r="S1418" s="35"/>
      <c r="T1418" s="35"/>
      <c r="U1418" s="35"/>
      <c r="V1418" s="35"/>
      <c r="W1418" s="35"/>
      <c r="X1418" s="35"/>
      <c r="Y1418" s="35"/>
      <c r="AB1418" s="87">
        <v>20</v>
      </c>
      <c r="AC1418" s="35" t="s">
        <v>3016</v>
      </c>
      <c r="AD1418" s="35">
        <v>24.817188999999999</v>
      </c>
      <c r="AE1418" s="35">
        <v>71.221621999999996</v>
      </c>
    </row>
    <row r="1419" spans="1:31" x14ac:dyDescent="0.25">
      <c r="A1419" s="38" t="s">
        <v>36</v>
      </c>
      <c r="B1419" s="33" t="s">
        <v>2977</v>
      </c>
      <c r="C1419" s="33" t="s">
        <v>3011</v>
      </c>
      <c r="D1419" s="77" t="s">
        <v>3018</v>
      </c>
      <c r="E1419" s="38"/>
      <c r="F1419" s="38"/>
      <c r="G1419" s="38"/>
      <c r="H1419" s="38">
        <f t="shared" si="70"/>
        <v>0</v>
      </c>
      <c r="I1419" s="38"/>
      <c r="J1419" s="38"/>
      <c r="K1419" s="38"/>
      <c r="L1419" s="50"/>
      <c r="M1419" s="38"/>
      <c r="N1419" s="50"/>
      <c r="O1419" s="38"/>
      <c r="P1419" s="38"/>
      <c r="Q1419" s="35" t="s">
        <v>43</v>
      </c>
      <c r="R1419" s="14">
        <v>44551</v>
      </c>
      <c r="S1419" s="35"/>
      <c r="T1419" s="35">
        <v>500</v>
      </c>
      <c r="U1419" s="35"/>
      <c r="V1419" s="35"/>
      <c r="W1419" s="35"/>
      <c r="X1419" s="35"/>
      <c r="Y1419" s="35"/>
      <c r="AB1419" s="94"/>
      <c r="AC1419" s="35" t="s">
        <v>3019</v>
      </c>
      <c r="AD1419" s="35">
        <v>24.806546000000001</v>
      </c>
      <c r="AE1419" s="35">
        <v>71.197288</v>
      </c>
    </row>
    <row r="1420" spans="1:31" x14ac:dyDescent="0.25">
      <c r="A1420" s="38" t="s">
        <v>36</v>
      </c>
      <c r="B1420" s="33" t="s">
        <v>2977</v>
      </c>
      <c r="C1420" s="33" t="s">
        <v>3011</v>
      </c>
      <c r="D1420" s="77" t="s">
        <v>3018</v>
      </c>
      <c r="E1420" s="38"/>
      <c r="F1420" s="38"/>
      <c r="G1420" s="38"/>
      <c r="H1420" s="38">
        <f t="shared" si="70"/>
        <v>0</v>
      </c>
      <c r="I1420" s="38"/>
      <c r="J1420" s="38"/>
      <c r="K1420" s="38"/>
      <c r="L1420" s="50"/>
      <c r="M1420" s="38"/>
      <c r="N1420" s="50"/>
      <c r="O1420" s="38"/>
      <c r="P1420" s="38"/>
      <c r="Q1420" s="35" t="s">
        <v>43</v>
      </c>
      <c r="R1420" s="14">
        <v>44551</v>
      </c>
      <c r="S1420" s="35"/>
      <c r="T1420" s="35"/>
      <c r="U1420" s="35"/>
      <c r="V1420" s="35"/>
      <c r="W1420" s="35"/>
      <c r="X1420" s="35"/>
      <c r="Y1420" s="35"/>
      <c r="AB1420" s="94">
        <v>20</v>
      </c>
      <c r="AC1420" s="35" t="s">
        <v>3019</v>
      </c>
      <c r="AD1420" s="35">
        <v>24.810576999999999</v>
      </c>
      <c r="AE1420" s="35">
        <v>71.188750999999996</v>
      </c>
    </row>
    <row r="1421" spans="1:31" x14ac:dyDescent="0.25">
      <c r="A1421" s="38" t="s">
        <v>36</v>
      </c>
      <c r="B1421" s="33" t="s">
        <v>2977</v>
      </c>
      <c r="C1421" s="33" t="s">
        <v>3011</v>
      </c>
      <c r="D1421" s="77" t="s">
        <v>3018</v>
      </c>
      <c r="E1421" s="38"/>
      <c r="F1421" s="38"/>
      <c r="G1421" s="38"/>
      <c r="H1421" s="38">
        <f t="shared" si="70"/>
        <v>0</v>
      </c>
      <c r="I1421" s="38"/>
      <c r="J1421" s="38"/>
      <c r="K1421" s="38"/>
      <c r="L1421" s="50"/>
      <c r="M1421" s="38"/>
      <c r="N1421" s="50"/>
      <c r="O1421" s="38"/>
      <c r="P1421" s="38"/>
      <c r="Q1421" s="35"/>
      <c r="R1421" s="185"/>
      <c r="S1421" s="35"/>
      <c r="T1421" s="35"/>
      <c r="U1421" s="35"/>
      <c r="V1421" s="35"/>
      <c r="W1421" s="35"/>
      <c r="X1421" s="35"/>
      <c r="Y1421" s="35"/>
      <c r="AB1421" s="87">
        <v>20</v>
      </c>
      <c r="AC1421" s="35" t="s">
        <v>3020</v>
      </c>
      <c r="AD1421" s="35">
        <v>24.810579000000001</v>
      </c>
      <c r="AE1421" s="35">
        <v>71.188747000000006</v>
      </c>
    </row>
    <row r="1422" spans="1:31" x14ac:dyDescent="0.25">
      <c r="A1422" s="38" t="s">
        <v>36</v>
      </c>
      <c r="B1422" s="33" t="s">
        <v>2977</v>
      </c>
      <c r="C1422" s="33" t="s">
        <v>3011</v>
      </c>
      <c r="D1422" s="77" t="s">
        <v>3018</v>
      </c>
      <c r="E1422" s="38"/>
      <c r="F1422" s="38"/>
      <c r="G1422" s="38"/>
      <c r="H1422" s="38">
        <f t="shared" si="70"/>
        <v>0</v>
      </c>
      <c r="I1422" s="38"/>
      <c r="J1422" s="38"/>
      <c r="K1422" s="38"/>
      <c r="L1422" s="50"/>
      <c r="M1422" s="38"/>
      <c r="N1422" s="50"/>
      <c r="O1422" s="38"/>
      <c r="P1422" s="38"/>
      <c r="Q1422" s="35"/>
      <c r="R1422" s="185"/>
      <c r="S1422" s="35"/>
      <c r="T1422" s="35"/>
      <c r="U1422" s="35"/>
      <c r="V1422" s="35"/>
      <c r="W1422" s="35"/>
      <c r="X1422" s="35"/>
      <c r="Y1422" s="35"/>
      <c r="AB1422" s="87">
        <v>20</v>
      </c>
      <c r="AC1422" s="35" t="s">
        <v>3021</v>
      </c>
      <c r="AD1422" s="35">
        <v>24.810582</v>
      </c>
      <c r="AE1422" s="35">
        <v>71.188772999999998</v>
      </c>
    </row>
    <row r="1423" spans="1:31" x14ac:dyDescent="0.25">
      <c r="A1423" s="38" t="s">
        <v>36</v>
      </c>
      <c r="B1423" s="33" t="s">
        <v>2977</v>
      </c>
      <c r="C1423" s="33" t="s">
        <v>3011</v>
      </c>
      <c r="D1423" s="77" t="s">
        <v>3018</v>
      </c>
      <c r="E1423" s="38" t="s">
        <v>3013</v>
      </c>
      <c r="F1423" s="38">
        <v>765.43</v>
      </c>
      <c r="G1423" s="38">
        <v>765.43</v>
      </c>
      <c r="H1423" s="38">
        <f t="shared" si="70"/>
        <v>1548</v>
      </c>
      <c r="I1423" s="38">
        <v>1019</v>
      </c>
      <c r="J1423" s="38">
        <v>529</v>
      </c>
      <c r="K1423" s="38">
        <v>490</v>
      </c>
      <c r="L1423" s="50">
        <f t="shared" si="71"/>
        <v>31.653746770025844</v>
      </c>
      <c r="M1423" s="38">
        <v>11</v>
      </c>
      <c r="N1423" s="50">
        <f t="shared" si="69"/>
        <v>0.710594315245478</v>
      </c>
      <c r="O1423" s="38">
        <v>0</v>
      </c>
      <c r="P1423" s="38">
        <v>8.5299999999999994</v>
      </c>
      <c r="Q1423" s="35"/>
      <c r="R1423" s="185"/>
      <c r="S1423" s="35"/>
      <c r="T1423" s="35"/>
      <c r="U1423" s="35"/>
      <c r="V1423" s="35"/>
      <c r="W1423" s="35"/>
      <c r="X1423" s="35"/>
      <c r="Y1423" s="35"/>
      <c r="AB1423" s="87">
        <v>22</v>
      </c>
      <c r="AC1423" s="35" t="s">
        <v>3022</v>
      </c>
      <c r="AD1423" s="35">
        <v>24.810580000000002</v>
      </c>
      <c r="AE1423" s="35">
        <v>71.188743000000002</v>
      </c>
    </row>
    <row r="1424" spans="1:31" x14ac:dyDescent="0.25">
      <c r="A1424" s="38" t="s">
        <v>36</v>
      </c>
      <c r="B1424" s="33" t="s">
        <v>2977</v>
      </c>
      <c r="C1424" s="33" t="s">
        <v>3011</v>
      </c>
      <c r="D1424" s="77" t="s">
        <v>3015</v>
      </c>
      <c r="E1424" s="38" t="s">
        <v>3017</v>
      </c>
      <c r="F1424" s="38">
        <v>808.86</v>
      </c>
      <c r="G1424" s="38">
        <v>808.86</v>
      </c>
      <c r="H1424" s="38">
        <f t="shared" si="70"/>
        <v>1187</v>
      </c>
      <c r="I1424" s="38">
        <v>779</v>
      </c>
      <c r="J1424" s="38">
        <v>408</v>
      </c>
      <c r="K1424" s="38">
        <v>371</v>
      </c>
      <c r="L1424" s="50">
        <f t="shared" si="71"/>
        <v>31.255265374894691</v>
      </c>
      <c r="M1424" s="38">
        <v>140</v>
      </c>
      <c r="N1424" s="50">
        <f t="shared" si="69"/>
        <v>11.794439764111205</v>
      </c>
      <c r="O1424" s="38">
        <v>0</v>
      </c>
      <c r="P1424" s="38">
        <v>80.349999999999994</v>
      </c>
      <c r="Q1424" s="35"/>
      <c r="R1424" s="185"/>
      <c r="S1424" s="35"/>
      <c r="T1424" s="35"/>
      <c r="U1424" s="35"/>
      <c r="V1424" s="35"/>
      <c r="W1424" s="35"/>
      <c r="X1424" s="35"/>
      <c r="Y1424" s="35"/>
      <c r="AB1424" s="87">
        <v>11</v>
      </c>
      <c r="AC1424" s="15" t="s">
        <v>3014</v>
      </c>
      <c r="AD1424" s="35">
        <v>24.81719</v>
      </c>
      <c r="AE1424" s="35">
        <v>71.221622999999994</v>
      </c>
    </row>
    <row r="1425" spans="1:31" x14ac:dyDescent="0.25">
      <c r="A1425" s="38" t="s">
        <v>36</v>
      </c>
      <c r="B1425" s="33" t="s">
        <v>2977</v>
      </c>
      <c r="C1425" s="33" t="s">
        <v>3011</v>
      </c>
      <c r="D1425" s="15" t="s">
        <v>3014</v>
      </c>
      <c r="E1425" s="38" t="s">
        <v>3013</v>
      </c>
      <c r="F1425" s="38">
        <v>765.43</v>
      </c>
      <c r="G1425" s="38">
        <v>765.43</v>
      </c>
      <c r="H1425" s="38">
        <f t="shared" si="70"/>
        <v>1548</v>
      </c>
      <c r="I1425" s="38">
        <v>1019</v>
      </c>
      <c r="J1425" s="38">
        <v>529</v>
      </c>
      <c r="K1425" s="38">
        <v>490</v>
      </c>
      <c r="L1425" s="50">
        <f t="shared" si="71"/>
        <v>31.653746770025844</v>
      </c>
      <c r="M1425" s="38">
        <v>11</v>
      </c>
      <c r="N1425" s="50">
        <f t="shared" si="69"/>
        <v>0.710594315245478</v>
      </c>
      <c r="O1425" s="38">
        <v>0</v>
      </c>
      <c r="P1425" s="38">
        <v>8.5299999999999994</v>
      </c>
      <c r="Q1425" s="35"/>
      <c r="R1425" s="185"/>
      <c r="S1425" s="35"/>
      <c r="T1425" s="35"/>
      <c r="U1425" s="35"/>
      <c r="V1425" s="35"/>
      <c r="W1425" s="35"/>
      <c r="X1425" s="35"/>
      <c r="Y1425" s="35"/>
      <c r="AB1425" s="87">
        <v>15</v>
      </c>
      <c r="AC1425" s="15" t="s">
        <v>3014</v>
      </c>
      <c r="AD1425" s="35">
        <v>24.817191000000001</v>
      </c>
      <c r="AE1425" s="35">
        <v>71.221622999999994</v>
      </c>
    </row>
    <row r="1426" spans="1:31" x14ac:dyDescent="0.25">
      <c r="A1426" s="38" t="s">
        <v>36</v>
      </c>
      <c r="B1426" s="38" t="s">
        <v>2977</v>
      </c>
      <c r="C1426" s="38" t="s">
        <v>3011</v>
      </c>
      <c r="D1426" s="77" t="s">
        <v>3015</v>
      </c>
      <c r="E1426" s="33" t="s">
        <v>3017</v>
      </c>
      <c r="F1426" s="33">
        <v>808.86</v>
      </c>
      <c r="G1426" s="33">
        <v>808.86</v>
      </c>
      <c r="H1426" s="38">
        <f t="shared" si="70"/>
        <v>1187</v>
      </c>
      <c r="I1426" s="33">
        <v>779</v>
      </c>
      <c r="J1426" s="33">
        <v>408</v>
      </c>
      <c r="K1426" s="33">
        <v>371</v>
      </c>
      <c r="L1426" s="50">
        <f t="shared" si="71"/>
        <v>31.255265374894691</v>
      </c>
      <c r="M1426" s="33">
        <v>140</v>
      </c>
      <c r="N1426" s="50">
        <f t="shared" si="69"/>
        <v>11.794439764111205</v>
      </c>
      <c r="O1426" s="33">
        <v>0</v>
      </c>
      <c r="P1426" s="33">
        <v>80.349999999999994</v>
      </c>
      <c r="Q1426" s="35"/>
      <c r="R1426" s="185"/>
      <c r="S1426" s="35"/>
      <c r="T1426" s="35"/>
      <c r="U1426" s="35"/>
      <c r="V1426" s="35"/>
      <c r="W1426" s="35"/>
      <c r="X1426" s="35"/>
      <c r="Y1426" s="35"/>
      <c r="AB1426" s="87">
        <v>20</v>
      </c>
      <c r="AC1426" s="35" t="s">
        <v>3016</v>
      </c>
      <c r="AD1426" s="35">
        <v>24.801583000000001</v>
      </c>
      <c r="AE1426" s="35">
        <v>71.191252000000006</v>
      </c>
    </row>
    <row r="1427" spans="1:31" x14ac:dyDescent="0.25">
      <c r="A1427" s="38" t="s">
        <v>36</v>
      </c>
      <c r="B1427" s="38" t="s">
        <v>2977</v>
      </c>
      <c r="C1427" s="38" t="s">
        <v>3011</v>
      </c>
      <c r="D1427" s="38" t="s">
        <v>3015</v>
      </c>
      <c r="E1427" s="38" t="s">
        <v>3017</v>
      </c>
      <c r="F1427" s="38">
        <v>808.86</v>
      </c>
      <c r="G1427" s="38">
        <v>808.86</v>
      </c>
      <c r="H1427" s="38">
        <f t="shared" si="70"/>
        <v>1187</v>
      </c>
      <c r="I1427" s="38">
        <v>779</v>
      </c>
      <c r="J1427" s="38">
        <v>408</v>
      </c>
      <c r="K1427" s="38">
        <v>371</v>
      </c>
      <c r="L1427" s="50">
        <f t="shared" si="71"/>
        <v>31.255265374894691</v>
      </c>
      <c r="M1427" s="38">
        <v>140</v>
      </c>
      <c r="N1427" s="50">
        <f t="shared" si="69"/>
        <v>11.794439764111205</v>
      </c>
      <c r="O1427" s="38">
        <v>0</v>
      </c>
      <c r="P1427" s="38">
        <v>80.349999999999994</v>
      </c>
      <c r="Q1427" s="34" t="s">
        <v>43</v>
      </c>
      <c r="R1427" s="7">
        <v>44551</v>
      </c>
      <c r="S1427" s="34"/>
      <c r="T1427" s="34">
        <v>100</v>
      </c>
      <c r="U1427" s="34"/>
      <c r="V1427" s="34"/>
      <c r="W1427" s="34"/>
      <c r="X1427" s="34"/>
      <c r="Y1427" s="34"/>
      <c r="AB1427" s="89"/>
      <c r="AC1427" s="34" t="s">
        <v>3016</v>
      </c>
      <c r="AD1427" s="34">
        <v>24.824739999999998</v>
      </c>
      <c r="AE1427" s="34">
        <v>71.192425</v>
      </c>
    </row>
    <row r="1428" spans="1:31" x14ac:dyDescent="0.25">
      <c r="A1428" s="38" t="s">
        <v>36</v>
      </c>
      <c r="B1428" s="38" t="s">
        <v>2977</v>
      </c>
      <c r="C1428" s="38" t="s">
        <v>3023</v>
      </c>
      <c r="D1428" s="38" t="s">
        <v>3024</v>
      </c>
      <c r="E1428" s="38" t="s">
        <v>3025</v>
      </c>
      <c r="F1428" s="38">
        <v>1565.4</v>
      </c>
      <c r="G1428" s="38">
        <v>1565.4</v>
      </c>
      <c r="H1428" s="38">
        <f t="shared" si="70"/>
        <v>3704</v>
      </c>
      <c r="I1428" s="38">
        <v>2440</v>
      </c>
      <c r="J1428" s="38">
        <v>1264</v>
      </c>
      <c r="K1428" s="38">
        <v>1176</v>
      </c>
      <c r="L1428" s="50">
        <f t="shared" si="71"/>
        <v>31.749460043196542</v>
      </c>
      <c r="M1428" s="38">
        <v>89</v>
      </c>
      <c r="N1428" s="50">
        <f t="shared" si="69"/>
        <v>2.4028077753779695</v>
      </c>
      <c r="O1428" s="38">
        <v>0</v>
      </c>
      <c r="P1428" s="38">
        <v>56.05</v>
      </c>
      <c r="Q1428" s="35" t="s">
        <v>43</v>
      </c>
      <c r="R1428" s="14">
        <v>44540</v>
      </c>
      <c r="S1428" s="35"/>
      <c r="T1428" s="35">
        <v>56</v>
      </c>
      <c r="U1428" s="35"/>
      <c r="V1428" s="35"/>
      <c r="W1428" s="35"/>
      <c r="X1428" s="35"/>
      <c r="Y1428" s="35"/>
      <c r="AB1428" s="94"/>
      <c r="AC1428" s="35" t="s">
        <v>3026</v>
      </c>
      <c r="AD1428" s="35">
        <v>24.926627</v>
      </c>
      <c r="AE1428" s="35">
        <v>71.323014999999998</v>
      </c>
    </row>
    <row r="1429" spans="1:31" x14ac:dyDescent="0.25">
      <c r="A1429" s="38" t="s">
        <v>36</v>
      </c>
      <c r="B1429" s="38" t="s">
        <v>2977</v>
      </c>
      <c r="C1429" s="38" t="s">
        <v>3023</v>
      </c>
      <c r="D1429" s="38" t="s">
        <v>3027</v>
      </c>
      <c r="E1429" s="38" t="s">
        <v>3028</v>
      </c>
      <c r="F1429" s="38"/>
      <c r="G1429" s="38"/>
      <c r="H1429" s="38">
        <f t="shared" si="70"/>
        <v>0</v>
      </c>
      <c r="I1429" s="38"/>
      <c r="J1429" s="38"/>
      <c r="K1429" s="38"/>
      <c r="L1429" s="50"/>
      <c r="M1429" s="38"/>
      <c r="N1429" s="50"/>
      <c r="O1429" s="38">
        <v>0</v>
      </c>
      <c r="P1429" s="38">
        <v>13</v>
      </c>
      <c r="Q1429" s="35" t="s">
        <v>43</v>
      </c>
      <c r="R1429" s="14">
        <v>44540</v>
      </c>
      <c r="S1429" s="35"/>
      <c r="T1429" s="35">
        <v>13</v>
      </c>
      <c r="U1429" s="35"/>
      <c r="V1429" s="35"/>
      <c r="W1429" s="35"/>
      <c r="X1429" s="35"/>
      <c r="Y1429" s="35"/>
      <c r="AB1429" s="94"/>
      <c r="AC1429" s="35" t="s">
        <v>3029</v>
      </c>
      <c r="AD1429" s="35">
        <v>24.926627</v>
      </c>
      <c r="AE1429" s="35">
        <v>71.323014999999998</v>
      </c>
    </row>
    <row r="1430" spans="1:31" x14ac:dyDescent="0.25">
      <c r="A1430" s="38" t="s">
        <v>36</v>
      </c>
      <c r="B1430" s="38" t="s">
        <v>2977</v>
      </c>
      <c r="C1430" s="38" t="s">
        <v>3030</v>
      </c>
      <c r="D1430" s="38" t="s">
        <v>3030</v>
      </c>
      <c r="E1430" s="38" t="s">
        <v>3031</v>
      </c>
      <c r="F1430" s="38">
        <v>1937.9</v>
      </c>
      <c r="G1430" s="38">
        <v>1937.9</v>
      </c>
      <c r="H1430" s="38">
        <f t="shared" si="70"/>
        <v>2553</v>
      </c>
      <c r="I1430" s="38">
        <v>1690</v>
      </c>
      <c r="J1430" s="38">
        <v>863</v>
      </c>
      <c r="K1430" s="38">
        <v>827</v>
      </c>
      <c r="L1430" s="50">
        <f t="shared" si="71"/>
        <v>32.393262828045437</v>
      </c>
      <c r="M1430" s="38">
        <v>2</v>
      </c>
      <c r="N1430" s="50">
        <f t="shared" si="69"/>
        <v>7.8339208773991378E-2</v>
      </c>
      <c r="O1430" s="38">
        <v>0</v>
      </c>
      <c r="P1430" s="38">
        <v>74.28</v>
      </c>
      <c r="Q1430" s="158" t="s">
        <v>44</v>
      </c>
      <c r="R1430" s="159">
        <v>45189</v>
      </c>
      <c r="S1430" s="160"/>
      <c r="T1430" s="158">
        <v>74.16</v>
      </c>
      <c r="U1430" s="158"/>
      <c r="V1430" s="158"/>
      <c r="W1430" s="158"/>
      <c r="X1430" s="158"/>
      <c r="Y1430" s="158"/>
      <c r="AB1430" s="16">
        <v>16</v>
      </c>
      <c r="AC1430" s="69" t="s">
        <v>3030</v>
      </c>
      <c r="AD1430" s="161">
        <v>24.858034400000001</v>
      </c>
      <c r="AE1430" s="160">
        <v>71.034134300000005</v>
      </c>
    </row>
    <row r="1431" spans="1:31" x14ac:dyDescent="0.25">
      <c r="A1431" s="38" t="s">
        <v>36</v>
      </c>
      <c r="B1431" s="38" t="s">
        <v>2977</v>
      </c>
      <c r="C1431" s="38" t="s">
        <v>3030</v>
      </c>
      <c r="D1431" s="38" t="s">
        <v>727</v>
      </c>
      <c r="E1431" s="38" t="s">
        <v>3032</v>
      </c>
      <c r="F1431" s="38">
        <v>1119.43</v>
      </c>
      <c r="G1431" s="38">
        <v>1119.43</v>
      </c>
      <c r="H1431" s="38">
        <f t="shared" si="70"/>
        <v>971</v>
      </c>
      <c r="I1431" s="38">
        <v>636</v>
      </c>
      <c r="J1431" s="38">
        <v>335</v>
      </c>
      <c r="K1431" s="38">
        <v>301</v>
      </c>
      <c r="L1431" s="50">
        <f t="shared" si="71"/>
        <v>30.998970133882597</v>
      </c>
      <c r="M1431" s="38">
        <v>0</v>
      </c>
      <c r="N1431" s="50">
        <f t="shared" si="69"/>
        <v>0</v>
      </c>
      <c r="O1431" s="38">
        <v>0</v>
      </c>
      <c r="P1431" s="38">
        <v>33.200000000000003</v>
      </c>
      <c r="Q1431" s="158" t="s">
        <v>44</v>
      </c>
      <c r="R1431" s="159">
        <v>45189</v>
      </c>
      <c r="S1431" s="160"/>
      <c r="T1431" s="158">
        <v>49.42</v>
      </c>
      <c r="U1431" s="158"/>
      <c r="V1431" s="158"/>
      <c r="W1431" s="158"/>
      <c r="X1431" s="158"/>
      <c r="Y1431" s="158"/>
      <c r="AB1431" s="16"/>
      <c r="AC1431" s="69" t="s">
        <v>727</v>
      </c>
      <c r="AD1431" s="161"/>
      <c r="AE1431" s="160"/>
    </row>
    <row r="1432" spans="1:31" x14ac:dyDescent="0.25">
      <c r="A1432" s="38" t="s">
        <v>36</v>
      </c>
      <c r="B1432" s="38" t="s">
        <v>2977</v>
      </c>
      <c r="C1432" s="38" t="s">
        <v>3030</v>
      </c>
      <c r="D1432" s="38" t="s">
        <v>3033</v>
      </c>
      <c r="E1432" s="38" t="s">
        <v>3034</v>
      </c>
      <c r="F1432" s="38">
        <v>597.6</v>
      </c>
      <c r="G1432" s="38">
        <v>597.6</v>
      </c>
      <c r="H1432" s="38">
        <f t="shared" si="70"/>
        <v>627</v>
      </c>
      <c r="I1432" s="38">
        <v>404</v>
      </c>
      <c r="J1432" s="38">
        <v>223</v>
      </c>
      <c r="K1432" s="38">
        <v>181</v>
      </c>
      <c r="L1432" s="50">
        <f t="shared" si="71"/>
        <v>28.86762360446571</v>
      </c>
      <c r="M1432" s="38">
        <v>13</v>
      </c>
      <c r="N1432" s="50">
        <f t="shared" si="69"/>
        <v>2.073365231259968</v>
      </c>
      <c r="O1432" s="38">
        <v>0</v>
      </c>
      <c r="P1432" s="38">
        <v>0</v>
      </c>
      <c r="Q1432" s="158" t="s">
        <v>44</v>
      </c>
      <c r="R1432" s="159">
        <v>45189</v>
      </c>
      <c r="S1432" s="160"/>
      <c r="T1432" s="158">
        <v>0</v>
      </c>
      <c r="U1432" s="158"/>
      <c r="V1432" s="158"/>
      <c r="W1432" s="158"/>
      <c r="X1432" s="158"/>
      <c r="Y1432" s="158"/>
      <c r="AB1432" s="16"/>
      <c r="AC1432" s="69" t="s">
        <v>3033</v>
      </c>
      <c r="AD1432" s="161"/>
      <c r="AE1432" s="160"/>
    </row>
    <row r="1433" spans="1:31" x14ac:dyDescent="0.25">
      <c r="A1433" s="38" t="s">
        <v>36</v>
      </c>
      <c r="B1433" s="38" t="s">
        <v>2977</v>
      </c>
      <c r="C1433" s="38" t="s">
        <v>3030</v>
      </c>
      <c r="D1433" s="38" t="s">
        <v>3035</v>
      </c>
      <c r="E1433" s="38" t="s">
        <v>3036</v>
      </c>
      <c r="F1433" s="38">
        <v>2208.0700000000002</v>
      </c>
      <c r="G1433" s="38">
        <v>2208.0700000000002</v>
      </c>
      <c r="H1433" s="38">
        <f t="shared" si="70"/>
        <v>3225</v>
      </c>
      <c r="I1433" s="38">
        <v>2102</v>
      </c>
      <c r="J1433" s="38">
        <v>1123</v>
      </c>
      <c r="K1433" s="38">
        <v>979</v>
      </c>
      <c r="L1433" s="50">
        <f t="shared" si="71"/>
        <v>30.356589147286822</v>
      </c>
      <c r="M1433" s="38">
        <v>84</v>
      </c>
      <c r="N1433" s="50">
        <f t="shared" si="69"/>
        <v>2.6046511627906979</v>
      </c>
      <c r="O1433" s="38">
        <v>0</v>
      </c>
      <c r="P1433" s="38">
        <v>0</v>
      </c>
      <c r="Q1433" s="158" t="s">
        <v>44</v>
      </c>
      <c r="R1433" s="159">
        <v>45189</v>
      </c>
      <c r="S1433" s="160"/>
      <c r="T1433" s="158">
        <v>143.4</v>
      </c>
      <c r="U1433" s="158"/>
      <c r="V1433" s="158"/>
      <c r="W1433" s="158"/>
      <c r="X1433" s="158"/>
      <c r="Y1433" s="158"/>
      <c r="AB1433" s="16">
        <v>17</v>
      </c>
      <c r="AC1433" s="69" t="s">
        <v>3035</v>
      </c>
      <c r="AD1433" s="161">
        <v>24.882738</v>
      </c>
      <c r="AE1433" s="160">
        <v>71.002285000000001</v>
      </c>
    </row>
    <row r="1434" spans="1:31" x14ac:dyDescent="0.25">
      <c r="A1434" s="38" t="s">
        <v>36</v>
      </c>
      <c r="B1434" s="38" t="s">
        <v>2977</v>
      </c>
      <c r="C1434" s="38" t="s">
        <v>2977</v>
      </c>
      <c r="D1434" s="38" t="s">
        <v>3037</v>
      </c>
      <c r="E1434" s="38" t="s">
        <v>3038</v>
      </c>
      <c r="F1434" s="38">
        <v>3689.8</v>
      </c>
      <c r="G1434" s="38">
        <v>3689.8</v>
      </c>
      <c r="H1434" s="38">
        <f t="shared" si="70"/>
        <v>5049</v>
      </c>
      <c r="I1434" s="38">
        <v>3318</v>
      </c>
      <c r="J1434" s="38">
        <v>1731</v>
      </c>
      <c r="K1434" s="38">
        <v>1587</v>
      </c>
      <c r="L1434" s="50">
        <f t="shared" si="71"/>
        <v>31.431966726084369</v>
      </c>
      <c r="M1434" s="38">
        <v>953</v>
      </c>
      <c r="N1434" s="50">
        <f t="shared" si="69"/>
        <v>18.875024757377698</v>
      </c>
      <c r="O1434" s="38">
        <v>150.19</v>
      </c>
      <c r="P1434" s="38">
        <v>59</v>
      </c>
      <c r="Q1434" s="36" t="s">
        <v>43</v>
      </c>
      <c r="R1434" s="14">
        <v>44594</v>
      </c>
      <c r="S1434" s="36"/>
      <c r="T1434" s="36">
        <v>120</v>
      </c>
      <c r="U1434" s="36"/>
      <c r="V1434" s="36"/>
      <c r="W1434" s="36"/>
      <c r="X1434" s="36"/>
      <c r="Y1434" s="36"/>
      <c r="AB1434" s="85"/>
      <c r="AC1434" s="15" t="s">
        <v>2979</v>
      </c>
      <c r="AD1434" s="36"/>
      <c r="AE1434" s="36"/>
    </row>
    <row r="1435" spans="1:31" x14ac:dyDescent="0.25">
      <c r="A1435" s="38" t="s">
        <v>36</v>
      </c>
      <c r="B1435" s="38" t="s">
        <v>2977</v>
      </c>
      <c r="C1435" s="38" t="s">
        <v>2977</v>
      </c>
      <c r="D1435" s="38" t="s">
        <v>1457</v>
      </c>
      <c r="E1435" s="38" t="s">
        <v>3039</v>
      </c>
      <c r="F1435" s="38">
        <v>997.39</v>
      </c>
      <c r="G1435" s="38">
        <v>997.39</v>
      </c>
      <c r="H1435" s="38">
        <f t="shared" si="70"/>
        <v>1721</v>
      </c>
      <c r="I1435" s="38">
        <v>1117</v>
      </c>
      <c r="J1435" s="38">
        <v>604</v>
      </c>
      <c r="K1435" s="38">
        <v>513</v>
      </c>
      <c r="L1435" s="50">
        <f t="shared" si="71"/>
        <v>29.808251016850669</v>
      </c>
      <c r="M1435" s="38">
        <v>236</v>
      </c>
      <c r="N1435" s="50">
        <f t="shared" si="69"/>
        <v>13.712957582800698</v>
      </c>
      <c r="O1435" s="38">
        <v>0</v>
      </c>
      <c r="P1435" s="38">
        <v>21.07</v>
      </c>
      <c r="Q1435" s="36" t="s">
        <v>43</v>
      </c>
      <c r="R1435" s="14">
        <v>44594</v>
      </c>
      <c r="S1435" s="36"/>
      <c r="T1435" s="36">
        <v>50</v>
      </c>
      <c r="U1435" s="36"/>
      <c r="V1435" s="36"/>
      <c r="W1435" s="36"/>
      <c r="X1435" s="36"/>
      <c r="Y1435" s="36"/>
      <c r="AB1435" s="85"/>
      <c r="AC1435" s="15" t="s">
        <v>1457</v>
      </c>
      <c r="AD1435" s="36"/>
      <c r="AE1435" s="36"/>
    </row>
    <row r="1436" spans="1:31" x14ac:dyDescent="0.25">
      <c r="A1436" s="38" t="s">
        <v>36</v>
      </c>
      <c r="B1436" s="38" t="s">
        <v>2977</v>
      </c>
      <c r="C1436" s="38" t="s">
        <v>2977</v>
      </c>
      <c r="D1436" s="38" t="s">
        <v>3040</v>
      </c>
      <c r="E1436" s="38" t="s">
        <v>3041</v>
      </c>
      <c r="F1436" s="38">
        <v>761.81</v>
      </c>
      <c r="G1436" s="38">
        <v>761.81</v>
      </c>
      <c r="H1436" s="38">
        <f t="shared" si="70"/>
        <v>1278</v>
      </c>
      <c r="I1436" s="38">
        <v>824</v>
      </c>
      <c r="J1436" s="38">
        <v>454</v>
      </c>
      <c r="K1436" s="38">
        <v>370</v>
      </c>
      <c r="L1436" s="50">
        <f t="shared" si="71"/>
        <v>28.951486697965574</v>
      </c>
      <c r="M1436" s="38">
        <v>0</v>
      </c>
      <c r="N1436" s="50">
        <f t="shared" si="69"/>
        <v>0</v>
      </c>
      <c r="O1436" s="38">
        <v>0</v>
      </c>
      <c r="P1436" s="38">
        <v>105.12</v>
      </c>
      <c r="Q1436" s="36" t="s">
        <v>43</v>
      </c>
      <c r="R1436" s="14">
        <v>44594</v>
      </c>
      <c r="S1436" s="36"/>
      <c r="T1436" s="36">
        <v>100</v>
      </c>
      <c r="U1436" s="36"/>
      <c r="V1436" s="36"/>
      <c r="W1436" s="36"/>
      <c r="X1436" s="36"/>
      <c r="Y1436" s="36"/>
      <c r="AB1436" s="85"/>
      <c r="AC1436" s="15" t="s">
        <v>3042</v>
      </c>
      <c r="AD1436" s="36"/>
      <c r="AE1436" s="36"/>
    </row>
    <row r="1437" spans="1:31" x14ac:dyDescent="0.25">
      <c r="A1437" s="38" t="s">
        <v>36</v>
      </c>
      <c r="B1437" s="38" t="s">
        <v>2977</v>
      </c>
      <c r="C1437" s="38" t="s">
        <v>3043</v>
      </c>
      <c r="D1437" s="38" t="s">
        <v>1483</v>
      </c>
      <c r="E1437" s="38" t="s">
        <v>3044</v>
      </c>
      <c r="F1437" s="38">
        <v>1935</v>
      </c>
      <c r="G1437" s="38">
        <v>1935</v>
      </c>
      <c r="H1437" s="38">
        <f t="shared" si="70"/>
        <v>3771</v>
      </c>
      <c r="I1437" s="38">
        <v>2455</v>
      </c>
      <c r="J1437" s="38">
        <v>1316</v>
      </c>
      <c r="K1437" s="38">
        <v>1139</v>
      </c>
      <c r="L1437" s="50">
        <f t="shared" si="71"/>
        <v>30.204189870060993</v>
      </c>
      <c r="M1437" s="38">
        <v>184</v>
      </c>
      <c r="N1437" s="50">
        <f t="shared" si="69"/>
        <v>4.8793423495094146</v>
      </c>
      <c r="O1437" s="38">
        <v>0</v>
      </c>
      <c r="P1437" s="38">
        <v>0</v>
      </c>
      <c r="Q1437" s="36" t="s">
        <v>43</v>
      </c>
      <c r="R1437" s="14">
        <v>44537</v>
      </c>
      <c r="S1437" s="36"/>
      <c r="T1437" s="36">
        <v>0</v>
      </c>
      <c r="U1437" s="36"/>
      <c r="V1437" s="36"/>
      <c r="W1437" s="36"/>
      <c r="X1437" s="36"/>
      <c r="Y1437" s="36"/>
      <c r="AB1437" s="85"/>
      <c r="AC1437" s="15" t="s">
        <v>1483</v>
      </c>
      <c r="AD1437" s="36">
        <v>0</v>
      </c>
      <c r="AE1437" s="36"/>
    </row>
    <row r="1438" spans="1:31" x14ac:dyDescent="0.25">
      <c r="A1438" s="38" t="s">
        <v>36</v>
      </c>
      <c r="B1438" s="38" t="s">
        <v>2977</v>
      </c>
      <c r="C1438" s="38" t="s">
        <v>3043</v>
      </c>
      <c r="D1438" s="38" t="s">
        <v>3045</v>
      </c>
      <c r="E1438" s="38" t="s">
        <v>3046</v>
      </c>
      <c r="F1438" s="38">
        <v>1431.2</v>
      </c>
      <c r="G1438" s="38">
        <v>1431.2</v>
      </c>
      <c r="H1438" s="38">
        <f t="shared" si="70"/>
        <v>3360</v>
      </c>
      <c r="I1438" s="38">
        <v>2193</v>
      </c>
      <c r="J1438" s="38">
        <v>1167</v>
      </c>
      <c r="K1438" s="38">
        <v>1026</v>
      </c>
      <c r="L1438" s="50">
        <f t="shared" si="71"/>
        <v>30.535714285714288</v>
      </c>
      <c r="M1438" s="38">
        <v>55</v>
      </c>
      <c r="N1438" s="50">
        <f t="shared" si="69"/>
        <v>1.6369047619047621</v>
      </c>
      <c r="O1438" s="38">
        <v>0</v>
      </c>
      <c r="P1438" s="38">
        <v>120.78</v>
      </c>
      <c r="Q1438" s="36" t="s">
        <v>43</v>
      </c>
      <c r="R1438" s="14">
        <v>44537</v>
      </c>
      <c r="S1438" s="36"/>
      <c r="T1438" s="36">
        <v>121</v>
      </c>
      <c r="U1438" s="36"/>
      <c r="V1438" s="36"/>
      <c r="W1438" s="36"/>
      <c r="X1438" s="36"/>
      <c r="Y1438" s="36"/>
      <c r="AB1438" s="85"/>
      <c r="AC1438" s="15" t="s">
        <v>3047</v>
      </c>
      <c r="AD1438" s="36"/>
      <c r="AE1438" s="36"/>
    </row>
    <row r="1439" spans="1:31" x14ac:dyDescent="0.25">
      <c r="A1439" s="38" t="s">
        <v>36</v>
      </c>
      <c r="B1439" s="38" t="s">
        <v>2977</v>
      </c>
      <c r="C1439" s="38" t="s">
        <v>3043</v>
      </c>
      <c r="D1439" s="38" t="s">
        <v>3045</v>
      </c>
      <c r="E1439" s="38"/>
      <c r="F1439" s="38"/>
      <c r="G1439" s="38"/>
      <c r="H1439" s="38">
        <f t="shared" si="70"/>
        <v>0</v>
      </c>
      <c r="I1439" s="38"/>
      <c r="J1439" s="38"/>
      <c r="K1439" s="38"/>
      <c r="L1439" s="50"/>
      <c r="M1439" s="38"/>
      <c r="N1439" s="50"/>
      <c r="O1439" s="38"/>
      <c r="P1439" s="38"/>
      <c r="Q1439" s="36" t="s">
        <v>43</v>
      </c>
      <c r="R1439" s="14">
        <v>44537</v>
      </c>
      <c r="S1439" s="97"/>
      <c r="T1439" s="36"/>
      <c r="U1439" s="36"/>
      <c r="V1439" s="36"/>
      <c r="W1439" s="36"/>
      <c r="X1439" s="36"/>
      <c r="Y1439" s="36"/>
      <c r="AB1439" s="85">
        <v>20</v>
      </c>
      <c r="AC1439" s="15" t="s">
        <v>3047</v>
      </c>
      <c r="AD1439" s="36">
        <v>25.019994000000001</v>
      </c>
      <c r="AE1439" s="97">
        <v>71.230799000000005</v>
      </c>
    </row>
    <row r="1440" spans="1:31" x14ac:dyDescent="0.25">
      <c r="A1440" s="38" t="s">
        <v>36</v>
      </c>
      <c r="B1440" s="38" t="s">
        <v>2977</v>
      </c>
      <c r="C1440" s="38" t="s">
        <v>3043</v>
      </c>
      <c r="D1440" s="15" t="s">
        <v>3047</v>
      </c>
      <c r="E1440" s="38"/>
      <c r="F1440" s="38"/>
      <c r="G1440" s="38"/>
      <c r="H1440" s="38">
        <f t="shared" si="70"/>
        <v>0</v>
      </c>
      <c r="I1440" s="38"/>
      <c r="J1440" s="38"/>
      <c r="K1440" s="38"/>
      <c r="L1440" s="50"/>
      <c r="M1440" s="38"/>
      <c r="N1440" s="50"/>
      <c r="O1440" s="38"/>
      <c r="P1440" s="38"/>
      <c r="Q1440" s="36"/>
      <c r="R1440" s="14"/>
      <c r="S1440" s="97"/>
      <c r="T1440" s="36"/>
      <c r="U1440" s="36"/>
      <c r="V1440" s="36"/>
      <c r="W1440" s="36"/>
      <c r="X1440" s="36"/>
      <c r="Y1440" s="36"/>
      <c r="AB1440" s="85">
        <v>40</v>
      </c>
      <c r="AC1440" s="15" t="s">
        <v>3047</v>
      </c>
      <c r="AD1440" s="36">
        <v>25.019991999999998</v>
      </c>
      <c r="AE1440" s="97">
        <v>71.230829999999997</v>
      </c>
    </row>
    <row r="1441" spans="1:31" x14ac:dyDescent="0.25">
      <c r="A1441" s="38" t="s">
        <v>36</v>
      </c>
      <c r="B1441" s="38" t="s">
        <v>2977</v>
      </c>
      <c r="C1441" s="38" t="s">
        <v>3043</v>
      </c>
      <c r="D1441" s="15" t="s">
        <v>3048</v>
      </c>
      <c r="E1441" s="38"/>
      <c r="F1441" s="38"/>
      <c r="G1441" s="38"/>
      <c r="H1441" s="38">
        <f t="shared" si="70"/>
        <v>0</v>
      </c>
      <c r="I1441" s="38"/>
      <c r="J1441" s="38"/>
      <c r="K1441" s="38"/>
      <c r="L1441" s="50"/>
      <c r="M1441" s="38"/>
      <c r="N1441" s="50"/>
      <c r="O1441" s="38"/>
      <c r="P1441" s="38"/>
      <c r="Q1441" s="96" t="s">
        <v>160</v>
      </c>
      <c r="R1441" s="14">
        <v>44537</v>
      </c>
      <c r="S1441" s="97"/>
      <c r="T1441" s="96"/>
      <c r="U1441" s="96"/>
      <c r="V1441" s="96"/>
      <c r="W1441" s="96"/>
      <c r="X1441" s="96"/>
      <c r="Y1441" s="96"/>
      <c r="AB1441" s="85">
        <v>19</v>
      </c>
      <c r="AC1441" s="15" t="s">
        <v>3048</v>
      </c>
      <c r="AD1441" s="36">
        <v>25.01277</v>
      </c>
      <c r="AE1441" s="97">
        <v>71.219862000000006</v>
      </c>
    </row>
    <row r="1442" spans="1:31" x14ac:dyDescent="0.25">
      <c r="A1442" s="38" t="s">
        <v>36</v>
      </c>
      <c r="B1442" s="38" t="s">
        <v>2977</v>
      </c>
      <c r="C1442" s="38" t="s">
        <v>3043</v>
      </c>
      <c r="D1442" s="15" t="s">
        <v>3048</v>
      </c>
      <c r="E1442" s="38"/>
      <c r="F1442" s="38"/>
      <c r="G1442" s="38"/>
      <c r="H1442" s="38">
        <f t="shared" si="70"/>
        <v>0</v>
      </c>
      <c r="I1442" s="38"/>
      <c r="J1442" s="38"/>
      <c r="K1442" s="38"/>
      <c r="L1442" s="50"/>
      <c r="M1442" s="38"/>
      <c r="N1442" s="50"/>
      <c r="O1442" s="38"/>
      <c r="P1442" s="38"/>
      <c r="Q1442" s="96" t="s">
        <v>160</v>
      </c>
      <c r="R1442" s="14">
        <v>44537</v>
      </c>
      <c r="S1442" s="97"/>
      <c r="T1442" s="96"/>
      <c r="U1442" s="96"/>
      <c r="V1442" s="96"/>
      <c r="W1442" s="96"/>
      <c r="X1442" s="96"/>
      <c r="Y1442" s="96"/>
      <c r="AB1442" s="85">
        <v>19</v>
      </c>
      <c r="AC1442" s="15" t="s">
        <v>3048</v>
      </c>
      <c r="AD1442" s="36">
        <v>24.965816</v>
      </c>
      <c r="AE1442" s="97">
        <v>71.252831</v>
      </c>
    </row>
    <row r="1443" spans="1:31" x14ac:dyDescent="0.25">
      <c r="A1443" s="38" t="s">
        <v>36</v>
      </c>
      <c r="B1443" s="38" t="s">
        <v>2977</v>
      </c>
      <c r="C1443" s="38" t="s">
        <v>3043</v>
      </c>
      <c r="D1443" s="38" t="s">
        <v>3045</v>
      </c>
      <c r="E1443" s="38"/>
      <c r="F1443" s="38"/>
      <c r="G1443" s="38"/>
      <c r="H1443" s="38">
        <f t="shared" si="70"/>
        <v>0</v>
      </c>
      <c r="I1443" s="38"/>
      <c r="J1443" s="38"/>
      <c r="K1443" s="38"/>
      <c r="L1443" s="50"/>
      <c r="M1443" s="38"/>
      <c r="N1443" s="50"/>
      <c r="O1443" s="38"/>
      <c r="P1443" s="38"/>
      <c r="Q1443" s="36"/>
      <c r="R1443" s="14"/>
      <c r="S1443" s="97"/>
      <c r="T1443" s="36"/>
      <c r="U1443" s="36"/>
      <c r="V1443" s="36"/>
      <c r="W1443" s="36"/>
      <c r="X1443" s="36"/>
      <c r="Y1443" s="36"/>
      <c r="AB1443" s="85">
        <v>20</v>
      </c>
      <c r="AC1443" s="15" t="s">
        <v>3047</v>
      </c>
      <c r="AD1443" s="36">
        <v>25.019994000000001</v>
      </c>
      <c r="AE1443" s="97">
        <v>71.230797999999993</v>
      </c>
    </row>
    <row r="1444" spans="1:31" x14ac:dyDescent="0.25">
      <c r="A1444" s="38" t="s">
        <v>36</v>
      </c>
      <c r="B1444" s="38" t="s">
        <v>2977</v>
      </c>
      <c r="C1444" s="38" t="s">
        <v>3043</v>
      </c>
      <c r="D1444" s="15" t="s">
        <v>3048</v>
      </c>
      <c r="E1444" s="38"/>
      <c r="F1444" s="38"/>
      <c r="G1444" s="38"/>
      <c r="H1444" s="38">
        <f t="shared" si="70"/>
        <v>0</v>
      </c>
      <c r="I1444" s="38"/>
      <c r="J1444" s="38"/>
      <c r="K1444" s="38"/>
      <c r="L1444" s="50"/>
      <c r="M1444" s="38"/>
      <c r="N1444" s="50"/>
      <c r="O1444" s="38"/>
      <c r="P1444" s="38"/>
      <c r="Q1444" s="96" t="s">
        <v>160</v>
      </c>
      <c r="R1444" s="14">
        <v>44537</v>
      </c>
      <c r="S1444" s="97"/>
      <c r="T1444" s="96">
        <v>0</v>
      </c>
      <c r="U1444" s="96"/>
      <c r="V1444" s="96"/>
      <c r="W1444" s="96"/>
      <c r="X1444" s="96"/>
      <c r="Y1444" s="96"/>
      <c r="AB1444" s="85"/>
      <c r="AC1444" s="15" t="s">
        <v>3048</v>
      </c>
      <c r="AD1444" s="36"/>
      <c r="AE1444" s="97"/>
    </row>
    <row r="1445" spans="1:31" x14ac:dyDescent="0.25">
      <c r="A1445" s="38" t="s">
        <v>36</v>
      </c>
      <c r="B1445" s="38" t="s">
        <v>2977</v>
      </c>
      <c r="C1445" s="38" t="s">
        <v>3043</v>
      </c>
      <c r="D1445" s="15" t="s">
        <v>1046</v>
      </c>
      <c r="E1445" s="38"/>
      <c r="F1445" s="38"/>
      <c r="G1445" s="38"/>
      <c r="H1445" s="38">
        <f t="shared" si="70"/>
        <v>0</v>
      </c>
      <c r="I1445" s="38"/>
      <c r="J1445" s="38"/>
      <c r="K1445" s="38"/>
      <c r="L1445" s="50"/>
      <c r="M1445" s="38"/>
      <c r="N1445" s="50"/>
      <c r="O1445" s="38"/>
      <c r="P1445" s="38"/>
      <c r="Q1445" s="96" t="s">
        <v>160</v>
      </c>
      <c r="R1445" s="14">
        <v>44537</v>
      </c>
      <c r="S1445" s="97"/>
      <c r="T1445" s="96">
        <v>0</v>
      </c>
      <c r="U1445" s="96"/>
      <c r="V1445" s="96"/>
      <c r="W1445" s="96"/>
      <c r="X1445" s="96"/>
      <c r="Y1445" s="96"/>
      <c r="AB1445" s="85"/>
      <c r="AC1445" s="15" t="s">
        <v>1046</v>
      </c>
      <c r="AD1445" s="36"/>
      <c r="AE1445" s="97"/>
    </row>
    <row r="1446" spans="1:31" x14ac:dyDescent="0.25">
      <c r="A1446" s="38" t="s">
        <v>36</v>
      </c>
      <c r="B1446" s="38" t="s">
        <v>2977</v>
      </c>
      <c r="C1446" s="38" t="s">
        <v>3043</v>
      </c>
      <c r="D1446" s="15" t="s">
        <v>3049</v>
      </c>
      <c r="E1446" s="38"/>
      <c r="F1446" s="38"/>
      <c r="G1446" s="38"/>
      <c r="H1446" s="38">
        <f t="shared" si="70"/>
        <v>0</v>
      </c>
      <c r="I1446" s="38"/>
      <c r="J1446" s="38"/>
      <c r="K1446" s="38"/>
      <c r="L1446" s="50"/>
      <c r="M1446" s="38"/>
      <c r="N1446" s="50"/>
      <c r="O1446" s="38"/>
      <c r="P1446" s="38"/>
      <c r="Q1446" s="96" t="s">
        <v>160</v>
      </c>
      <c r="R1446" s="14">
        <v>44537</v>
      </c>
      <c r="S1446" s="97"/>
      <c r="T1446" s="96">
        <v>0</v>
      </c>
      <c r="U1446" s="96"/>
      <c r="V1446" s="96"/>
      <c r="W1446" s="96"/>
      <c r="X1446" s="96"/>
      <c r="Y1446" s="96"/>
      <c r="AB1446" s="85"/>
      <c r="AC1446" s="15" t="s">
        <v>3049</v>
      </c>
      <c r="AD1446" s="36"/>
      <c r="AE1446" s="97"/>
    </row>
    <row r="1447" spans="1:31" x14ac:dyDescent="0.25">
      <c r="A1447" s="38" t="s">
        <v>36</v>
      </c>
      <c r="B1447" s="38" t="s">
        <v>2977</v>
      </c>
      <c r="C1447" s="38" t="s">
        <v>3050</v>
      </c>
      <c r="D1447" s="38" t="s">
        <v>3050</v>
      </c>
      <c r="E1447" s="38" t="s">
        <v>3051</v>
      </c>
      <c r="F1447" s="38">
        <v>2139.14</v>
      </c>
      <c r="G1447" s="38">
        <v>2139.14</v>
      </c>
      <c r="H1447" s="38">
        <f t="shared" si="70"/>
        <v>4495</v>
      </c>
      <c r="I1447" s="38">
        <v>2961</v>
      </c>
      <c r="J1447" s="38">
        <v>1534</v>
      </c>
      <c r="K1447" s="38">
        <v>1427</v>
      </c>
      <c r="L1447" s="50">
        <f t="shared" si="71"/>
        <v>31.746384872080093</v>
      </c>
      <c r="M1447" s="38">
        <v>734</v>
      </c>
      <c r="N1447" s="50">
        <f t="shared" si="69"/>
        <v>16.329254727474975</v>
      </c>
      <c r="O1447" s="38">
        <v>0</v>
      </c>
      <c r="P1447" s="38">
        <v>30.15</v>
      </c>
      <c r="AC1447" s="117"/>
      <c r="AD1447" s="117"/>
    </row>
    <row r="1448" spans="1:31" x14ac:dyDescent="0.25">
      <c r="A1448" s="38" t="s">
        <v>36</v>
      </c>
      <c r="B1448" s="38" t="s">
        <v>2977</v>
      </c>
      <c r="C1448" s="38" t="s">
        <v>3050</v>
      </c>
      <c r="D1448" s="38" t="s">
        <v>3050</v>
      </c>
      <c r="E1448" s="38" t="s">
        <v>3051</v>
      </c>
      <c r="F1448" s="38"/>
      <c r="G1448" s="38"/>
      <c r="H1448" s="38">
        <f t="shared" si="70"/>
        <v>0</v>
      </c>
      <c r="I1448" s="38"/>
      <c r="J1448" s="38"/>
      <c r="K1448" s="38"/>
      <c r="L1448" s="50"/>
      <c r="M1448" s="38"/>
      <c r="N1448" s="50"/>
      <c r="O1448" s="38">
        <v>0</v>
      </c>
      <c r="P1448" s="38">
        <v>30.15</v>
      </c>
      <c r="AC1448" s="117"/>
      <c r="AD1448" s="117"/>
    </row>
    <row r="1449" spans="1:31" x14ac:dyDescent="0.25">
      <c r="A1449" s="38" t="s">
        <v>36</v>
      </c>
      <c r="B1449" s="38" t="s">
        <v>2977</v>
      </c>
      <c r="C1449" s="38" t="s">
        <v>3050</v>
      </c>
      <c r="D1449" s="38" t="s">
        <v>3050</v>
      </c>
      <c r="E1449" s="38" t="s">
        <v>3051</v>
      </c>
      <c r="F1449" s="38"/>
      <c r="G1449" s="38"/>
      <c r="H1449" s="38">
        <f t="shared" si="70"/>
        <v>0</v>
      </c>
      <c r="I1449" s="38"/>
      <c r="J1449" s="38"/>
      <c r="K1449" s="38"/>
      <c r="L1449" s="50"/>
      <c r="M1449" s="38"/>
      <c r="N1449" s="50"/>
      <c r="O1449" s="38">
        <v>0</v>
      </c>
      <c r="P1449" s="38">
        <v>30.15</v>
      </c>
      <c r="AC1449" s="117"/>
      <c r="AD1449" s="117"/>
    </row>
    <row r="1450" spans="1:31" x14ac:dyDescent="0.25">
      <c r="A1450" s="38" t="s">
        <v>36</v>
      </c>
      <c r="B1450" s="38" t="s">
        <v>2977</v>
      </c>
      <c r="C1450" s="38" t="s">
        <v>3050</v>
      </c>
      <c r="D1450" s="38" t="s">
        <v>3052</v>
      </c>
      <c r="E1450" s="38" t="s">
        <v>3053</v>
      </c>
      <c r="F1450" s="38">
        <v>1130.8900000000001</v>
      </c>
      <c r="G1450" s="38">
        <v>1130.8900000000001</v>
      </c>
      <c r="H1450" s="38">
        <f t="shared" si="70"/>
        <v>2600</v>
      </c>
      <c r="I1450" s="38">
        <v>1720</v>
      </c>
      <c r="J1450" s="38">
        <v>880</v>
      </c>
      <c r="K1450" s="38">
        <v>840</v>
      </c>
      <c r="L1450" s="50">
        <f t="shared" si="71"/>
        <v>32.307692307692307</v>
      </c>
      <c r="M1450" s="38">
        <v>294</v>
      </c>
      <c r="N1450" s="50">
        <f t="shared" si="69"/>
        <v>11.307692307692307</v>
      </c>
      <c r="O1450" s="38">
        <v>0</v>
      </c>
      <c r="P1450" s="38">
        <v>0</v>
      </c>
    </row>
    <row r="1451" spans="1:31" x14ac:dyDescent="0.25">
      <c r="A1451" s="38" t="s">
        <v>36</v>
      </c>
      <c r="B1451" s="38" t="s">
        <v>2977</v>
      </c>
      <c r="C1451" s="38" t="s">
        <v>3054</v>
      </c>
      <c r="D1451" s="38" t="s">
        <v>3055</v>
      </c>
      <c r="E1451" s="38" t="s">
        <v>3056</v>
      </c>
      <c r="F1451" s="38">
        <v>2790.53</v>
      </c>
      <c r="G1451" s="38">
        <v>2790.53</v>
      </c>
      <c r="H1451" s="38">
        <f t="shared" si="70"/>
        <v>8406</v>
      </c>
      <c r="I1451" s="38">
        <v>5513</v>
      </c>
      <c r="J1451" s="38">
        <v>2893</v>
      </c>
      <c r="K1451" s="38">
        <v>2620</v>
      </c>
      <c r="L1451" s="50">
        <f t="shared" si="71"/>
        <v>31.168213181061144</v>
      </c>
      <c r="M1451" s="38">
        <v>255</v>
      </c>
      <c r="N1451" s="50">
        <f t="shared" si="69"/>
        <v>3.0335474660956461</v>
      </c>
      <c r="O1451" s="38">
        <v>0</v>
      </c>
      <c r="P1451" s="38">
        <v>333.87</v>
      </c>
      <c r="Q1451" s="90" t="s">
        <v>43</v>
      </c>
      <c r="R1451" s="91">
        <v>44536</v>
      </c>
      <c r="S1451" s="90"/>
      <c r="T1451" s="90">
        <v>334</v>
      </c>
      <c r="U1451" s="90"/>
      <c r="V1451" s="90"/>
      <c r="W1451" s="90"/>
      <c r="X1451" s="90"/>
      <c r="Y1451" s="90"/>
      <c r="AB1451" s="92"/>
      <c r="AC1451" s="71" t="s">
        <v>3057</v>
      </c>
      <c r="AD1451" s="90"/>
      <c r="AE1451" s="90"/>
    </row>
    <row r="1452" spans="1:31" x14ac:dyDescent="0.25">
      <c r="A1452" s="38" t="s">
        <v>36</v>
      </c>
      <c r="B1452" s="38" t="s">
        <v>2977</v>
      </c>
      <c r="C1452" s="38" t="s">
        <v>3058</v>
      </c>
      <c r="D1452" s="38" t="s">
        <v>3059</v>
      </c>
      <c r="E1452" s="38" t="s">
        <v>3060</v>
      </c>
      <c r="F1452" s="38">
        <v>1678.72</v>
      </c>
      <c r="G1452" s="38">
        <v>1678.72</v>
      </c>
      <c r="H1452" s="38">
        <f t="shared" si="70"/>
        <v>1533</v>
      </c>
      <c r="I1452" s="38">
        <v>999</v>
      </c>
      <c r="J1452" s="38">
        <v>534</v>
      </c>
      <c r="K1452" s="38">
        <v>465</v>
      </c>
      <c r="L1452" s="50">
        <f t="shared" si="71"/>
        <v>30.332681017612522</v>
      </c>
      <c r="M1452" s="38">
        <v>123</v>
      </c>
      <c r="N1452" s="50">
        <f t="shared" si="69"/>
        <v>8.0234833659491187</v>
      </c>
      <c r="O1452" s="38">
        <v>0</v>
      </c>
      <c r="P1452" s="38">
        <v>23.26</v>
      </c>
      <c r="Q1452" s="96" t="s">
        <v>160</v>
      </c>
      <c r="R1452" s="14">
        <v>44552</v>
      </c>
      <c r="S1452" s="97"/>
      <c r="T1452" s="96">
        <v>0</v>
      </c>
      <c r="U1452" s="96"/>
      <c r="V1452" s="96"/>
      <c r="W1452" s="96"/>
      <c r="X1452" s="96"/>
      <c r="Y1452" s="96"/>
      <c r="AB1452" s="85"/>
      <c r="AC1452" s="15" t="s">
        <v>3059</v>
      </c>
      <c r="AD1452" s="36"/>
      <c r="AE1452" s="97"/>
    </row>
    <row r="1453" spans="1:31" x14ac:dyDescent="0.25">
      <c r="A1453" s="38" t="s">
        <v>36</v>
      </c>
      <c r="B1453" s="38" t="s">
        <v>2977</v>
      </c>
      <c r="C1453" s="38" t="s">
        <v>3058</v>
      </c>
      <c r="D1453" s="38" t="s">
        <v>3062</v>
      </c>
      <c r="E1453" s="38" t="s">
        <v>3063</v>
      </c>
      <c r="F1453" s="38">
        <v>1297.8</v>
      </c>
      <c r="G1453" s="38">
        <v>1297.8</v>
      </c>
      <c r="H1453" s="38">
        <f t="shared" si="70"/>
        <v>1500</v>
      </c>
      <c r="I1453" s="38">
        <v>978</v>
      </c>
      <c r="J1453" s="38">
        <v>522</v>
      </c>
      <c r="K1453" s="38">
        <v>456</v>
      </c>
      <c r="L1453" s="50">
        <f t="shared" si="71"/>
        <v>30.4</v>
      </c>
      <c r="M1453" s="38">
        <v>9</v>
      </c>
      <c r="N1453" s="50">
        <f t="shared" si="69"/>
        <v>0.6</v>
      </c>
      <c r="O1453" s="38">
        <v>0</v>
      </c>
      <c r="P1453" s="38">
        <v>5.66</v>
      </c>
      <c r="Q1453" s="36" t="s">
        <v>43</v>
      </c>
      <c r="R1453" s="14">
        <v>44552</v>
      </c>
      <c r="S1453" s="36"/>
      <c r="T1453" s="36">
        <v>6</v>
      </c>
      <c r="U1453" s="36"/>
      <c r="V1453" s="36"/>
      <c r="W1453" s="36"/>
      <c r="X1453" s="36"/>
      <c r="Y1453" s="36"/>
      <c r="AB1453" s="85"/>
      <c r="AC1453" s="15" t="s">
        <v>3061</v>
      </c>
      <c r="AD1453" s="36"/>
      <c r="AE1453" s="36"/>
    </row>
    <row r="1454" spans="1:31" x14ac:dyDescent="0.25">
      <c r="A1454" s="38" t="s">
        <v>36</v>
      </c>
      <c r="B1454" s="38" t="s">
        <v>2977</v>
      </c>
      <c r="C1454" s="38" t="s">
        <v>3058</v>
      </c>
      <c r="D1454" s="38" t="s">
        <v>3064</v>
      </c>
      <c r="E1454" s="38" t="s">
        <v>3065</v>
      </c>
      <c r="F1454" s="38">
        <v>660.85</v>
      </c>
      <c r="G1454" s="38">
        <v>660.85</v>
      </c>
      <c r="H1454" s="38">
        <f t="shared" si="70"/>
        <v>1135</v>
      </c>
      <c r="I1454" s="38">
        <v>754</v>
      </c>
      <c r="J1454" s="38">
        <v>381</v>
      </c>
      <c r="K1454" s="38">
        <v>373</v>
      </c>
      <c r="L1454" s="50">
        <f t="shared" si="71"/>
        <v>32.863436123348016</v>
      </c>
      <c r="M1454" s="38">
        <v>254</v>
      </c>
      <c r="N1454" s="50">
        <f t="shared" si="69"/>
        <v>22.378854625550662</v>
      </c>
      <c r="O1454" s="38">
        <v>0</v>
      </c>
      <c r="P1454" s="38">
        <v>0</v>
      </c>
      <c r="Q1454" s="61" t="s">
        <v>43</v>
      </c>
      <c r="R1454" s="10">
        <v>44552</v>
      </c>
      <c r="S1454" s="61"/>
      <c r="T1454" s="61">
        <v>12</v>
      </c>
      <c r="U1454" s="61"/>
      <c r="V1454" s="61"/>
      <c r="W1454" s="61"/>
      <c r="X1454" s="61"/>
      <c r="Y1454" s="61"/>
      <c r="AB1454" s="20">
        <v>10</v>
      </c>
      <c r="AC1454" s="61" t="s">
        <v>3066</v>
      </c>
      <c r="AD1454" s="61"/>
      <c r="AE1454" s="61"/>
    </row>
    <row r="1455" spans="1:31" x14ac:dyDescent="0.25">
      <c r="A1455" s="38" t="s">
        <v>36</v>
      </c>
      <c r="B1455" s="38" t="s">
        <v>2977</v>
      </c>
      <c r="C1455" s="38" t="s">
        <v>3058</v>
      </c>
      <c r="D1455" s="15" t="s">
        <v>3067</v>
      </c>
      <c r="E1455" s="38"/>
      <c r="F1455" s="38"/>
      <c r="G1455" s="38"/>
      <c r="H1455" s="38">
        <f t="shared" si="70"/>
        <v>0</v>
      </c>
      <c r="I1455" s="38"/>
      <c r="J1455" s="38"/>
      <c r="K1455" s="38"/>
      <c r="L1455" s="50"/>
      <c r="M1455" s="38"/>
      <c r="N1455" s="50"/>
      <c r="O1455" s="38"/>
      <c r="P1455" s="38"/>
      <c r="Q1455" s="7" t="s">
        <v>43</v>
      </c>
      <c r="R1455" s="10"/>
      <c r="S1455" s="61"/>
      <c r="T1455" s="231">
        <v>395</v>
      </c>
      <c r="U1455" s="10"/>
      <c r="V1455" s="10"/>
      <c r="W1455" s="10"/>
      <c r="X1455" s="10"/>
      <c r="Y1455" s="10"/>
      <c r="AB1455" s="20">
        <v>126</v>
      </c>
      <c r="AC1455" s="11" t="s">
        <v>3068</v>
      </c>
      <c r="AD1455" s="61">
        <v>24.823429999999998</v>
      </c>
      <c r="AE1455" s="61">
        <v>71.052981000000003</v>
      </c>
    </row>
    <row r="1456" spans="1:31" x14ac:dyDescent="0.25">
      <c r="A1456" s="38" t="s">
        <v>36</v>
      </c>
      <c r="B1456" s="38" t="s">
        <v>2977</v>
      </c>
      <c r="C1456" s="38" t="s">
        <v>3058</v>
      </c>
      <c r="D1456" s="38" t="s">
        <v>3069</v>
      </c>
      <c r="E1456" s="38" t="s">
        <v>3070</v>
      </c>
      <c r="F1456" s="38">
        <v>1655.27</v>
      </c>
      <c r="G1456" s="38">
        <v>1655.27</v>
      </c>
      <c r="H1456" s="38">
        <f t="shared" si="70"/>
        <v>1358</v>
      </c>
      <c r="I1456" s="38">
        <v>883</v>
      </c>
      <c r="J1456" s="38">
        <v>475</v>
      </c>
      <c r="K1456" s="38">
        <v>408</v>
      </c>
      <c r="L1456" s="50">
        <f t="shared" si="71"/>
        <v>30.044182621502209</v>
      </c>
      <c r="M1456" s="38">
        <v>10</v>
      </c>
      <c r="N1456" s="50">
        <f t="shared" si="69"/>
        <v>0.73637702503681879</v>
      </c>
      <c r="O1456" s="38">
        <v>0</v>
      </c>
      <c r="P1456" s="38">
        <v>395.1</v>
      </c>
      <c r="Q1456" s="36" t="s">
        <v>43</v>
      </c>
      <c r="R1456" s="14">
        <v>44552</v>
      </c>
      <c r="S1456" s="36"/>
      <c r="T1456" s="36">
        <v>395</v>
      </c>
      <c r="U1456" s="36"/>
      <c r="V1456" s="36"/>
      <c r="W1456" s="36"/>
      <c r="X1456" s="36"/>
      <c r="Y1456" s="36"/>
      <c r="AB1456" s="85"/>
      <c r="AC1456" s="15" t="s">
        <v>3067</v>
      </c>
      <c r="AD1456" s="36"/>
      <c r="AE1456" s="36"/>
    </row>
    <row r="1457" spans="1:31" x14ac:dyDescent="0.25">
      <c r="A1457" s="38" t="s">
        <v>36</v>
      </c>
      <c r="B1457" s="38" t="s">
        <v>2977</v>
      </c>
      <c r="C1457" s="38" t="s">
        <v>3071</v>
      </c>
      <c r="D1457" s="15" t="s">
        <v>3072</v>
      </c>
      <c r="E1457" s="38"/>
      <c r="F1457" s="38"/>
      <c r="G1457" s="38"/>
      <c r="H1457" s="38">
        <f t="shared" si="70"/>
        <v>0</v>
      </c>
      <c r="I1457" s="38"/>
      <c r="J1457" s="38"/>
      <c r="K1457" s="38"/>
      <c r="L1457" s="50"/>
      <c r="M1457" s="38"/>
      <c r="N1457" s="50"/>
      <c r="O1457" s="38"/>
      <c r="P1457" s="38"/>
      <c r="Q1457" s="36" t="s">
        <v>43</v>
      </c>
      <c r="R1457" s="14">
        <v>44547</v>
      </c>
      <c r="S1457" s="36"/>
      <c r="T1457" s="36">
        <v>43</v>
      </c>
      <c r="U1457" s="36"/>
      <c r="V1457" s="36"/>
      <c r="W1457" s="36"/>
      <c r="X1457" s="36"/>
      <c r="Y1457" s="36"/>
      <c r="AB1457" s="85"/>
      <c r="AC1457" s="15" t="s">
        <v>3072</v>
      </c>
      <c r="AD1457" s="36"/>
      <c r="AE1457" s="36"/>
    </row>
    <row r="1458" spans="1:31" x14ac:dyDescent="0.25">
      <c r="A1458" s="38" t="s">
        <v>36</v>
      </c>
      <c r="B1458" s="38" t="s">
        <v>2977</v>
      </c>
      <c r="C1458" s="38" t="s">
        <v>3071</v>
      </c>
      <c r="D1458" s="15" t="s">
        <v>3073</v>
      </c>
      <c r="E1458" s="38"/>
      <c r="F1458" s="38"/>
      <c r="G1458" s="38"/>
      <c r="H1458" s="38">
        <f t="shared" si="70"/>
        <v>0</v>
      </c>
      <c r="I1458" s="38"/>
      <c r="J1458" s="38"/>
      <c r="K1458" s="38"/>
      <c r="L1458" s="50"/>
      <c r="M1458" s="38"/>
      <c r="N1458" s="50"/>
      <c r="O1458" s="38"/>
      <c r="P1458" s="38"/>
      <c r="Q1458" s="36" t="s">
        <v>43</v>
      </c>
      <c r="R1458" s="14">
        <v>44547</v>
      </c>
      <c r="S1458" s="36"/>
      <c r="T1458" s="36">
        <v>6</v>
      </c>
      <c r="U1458" s="36"/>
      <c r="V1458" s="36"/>
      <c r="W1458" s="36"/>
      <c r="X1458" s="36"/>
      <c r="Y1458" s="36"/>
      <c r="AB1458" s="85"/>
      <c r="AC1458" s="15" t="s">
        <v>3073</v>
      </c>
      <c r="AD1458" s="36"/>
      <c r="AE1458" s="36"/>
    </row>
    <row r="1459" spans="1:31" x14ac:dyDescent="0.25">
      <c r="A1459" s="38" t="s">
        <v>36</v>
      </c>
      <c r="B1459" s="38" t="s">
        <v>2977</v>
      </c>
      <c r="C1459" s="38" t="s">
        <v>3071</v>
      </c>
      <c r="D1459" s="15" t="s">
        <v>3074</v>
      </c>
      <c r="E1459" s="38" t="s">
        <v>3075</v>
      </c>
      <c r="F1459" s="38">
        <v>1338.06</v>
      </c>
      <c r="G1459" s="38">
        <v>1338.06</v>
      </c>
      <c r="H1459" s="38">
        <f t="shared" si="70"/>
        <v>1622</v>
      </c>
      <c r="I1459" s="38">
        <v>1067</v>
      </c>
      <c r="J1459" s="38">
        <v>555</v>
      </c>
      <c r="K1459" s="38">
        <v>512</v>
      </c>
      <c r="L1459" s="50">
        <f t="shared" si="71"/>
        <v>31.56596794081381</v>
      </c>
      <c r="M1459" s="38">
        <v>0</v>
      </c>
      <c r="N1459" s="50">
        <f t="shared" si="69"/>
        <v>0</v>
      </c>
      <c r="O1459" s="38">
        <v>0</v>
      </c>
      <c r="P1459" s="38">
        <v>17.05</v>
      </c>
      <c r="Q1459" s="36" t="s">
        <v>43</v>
      </c>
      <c r="R1459" s="14">
        <v>44547</v>
      </c>
      <c r="S1459" s="36"/>
      <c r="T1459" s="36">
        <v>21</v>
      </c>
      <c r="U1459" s="36"/>
      <c r="V1459" s="36"/>
      <c r="W1459" s="36"/>
      <c r="X1459" s="36"/>
      <c r="Y1459" s="36"/>
      <c r="AB1459" s="85"/>
      <c r="AC1459" s="15" t="s">
        <v>3074</v>
      </c>
      <c r="AD1459" s="36"/>
      <c r="AE1459" s="36"/>
    </row>
    <row r="1460" spans="1:31" x14ac:dyDescent="0.25">
      <c r="A1460" s="38" t="s">
        <v>36</v>
      </c>
      <c r="B1460" s="38" t="s">
        <v>2977</v>
      </c>
      <c r="C1460" s="38" t="s">
        <v>3076</v>
      </c>
      <c r="D1460" s="77" t="s">
        <v>3077</v>
      </c>
      <c r="E1460" s="38" t="s">
        <v>3078</v>
      </c>
      <c r="F1460" s="38"/>
      <c r="G1460" s="38"/>
      <c r="H1460" s="38">
        <f t="shared" si="70"/>
        <v>0</v>
      </c>
      <c r="I1460" s="38"/>
      <c r="J1460" s="38"/>
      <c r="K1460" s="38"/>
      <c r="L1460" s="50"/>
      <c r="M1460" s="38"/>
      <c r="N1460" s="50"/>
      <c r="O1460" s="38">
        <v>0</v>
      </c>
      <c r="P1460" s="38">
        <v>60</v>
      </c>
      <c r="Q1460" s="35" t="s">
        <v>43</v>
      </c>
      <c r="R1460" s="14">
        <v>44543</v>
      </c>
      <c r="S1460" s="35"/>
      <c r="T1460" s="35">
        <v>1</v>
      </c>
      <c r="U1460" s="35"/>
      <c r="V1460" s="35"/>
      <c r="W1460" s="35"/>
      <c r="X1460" s="35"/>
      <c r="Y1460" s="35"/>
      <c r="AB1460" s="94"/>
      <c r="AC1460" s="35" t="s">
        <v>3079</v>
      </c>
      <c r="AD1460" s="35">
        <v>24.763774999999999</v>
      </c>
      <c r="AE1460" s="35">
        <v>71.237160000000003</v>
      </c>
    </row>
    <row r="1461" spans="1:31" x14ac:dyDescent="0.25">
      <c r="A1461" s="38" t="s">
        <v>36</v>
      </c>
      <c r="B1461" s="38" t="s">
        <v>2977</v>
      </c>
      <c r="C1461" s="38" t="s">
        <v>3076</v>
      </c>
      <c r="D1461" s="77" t="s">
        <v>3080</v>
      </c>
      <c r="E1461" s="38" t="s">
        <v>3078</v>
      </c>
      <c r="F1461" s="38">
        <v>1391.18</v>
      </c>
      <c r="G1461" s="38">
        <v>1391.18</v>
      </c>
      <c r="H1461" s="38">
        <f t="shared" si="70"/>
        <v>2625</v>
      </c>
      <c r="I1461" s="38">
        <v>1709</v>
      </c>
      <c r="J1461" s="38">
        <v>916</v>
      </c>
      <c r="K1461" s="38">
        <v>793</v>
      </c>
      <c r="L1461" s="50">
        <f t="shared" si="71"/>
        <v>30.209523809523809</v>
      </c>
      <c r="M1461" s="38">
        <v>250</v>
      </c>
      <c r="N1461" s="50">
        <f t="shared" si="69"/>
        <v>9.5238095238095237</v>
      </c>
      <c r="O1461" s="38">
        <v>0</v>
      </c>
      <c r="P1461" s="38">
        <v>60</v>
      </c>
      <c r="Q1461" s="35" t="s">
        <v>43</v>
      </c>
      <c r="R1461" s="14">
        <v>44543</v>
      </c>
      <c r="S1461" s="35"/>
      <c r="T1461" s="35">
        <v>60</v>
      </c>
      <c r="U1461" s="35"/>
      <c r="V1461" s="35"/>
      <c r="W1461" s="35"/>
      <c r="X1461" s="35"/>
      <c r="Y1461" s="35"/>
      <c r="AB1461" s="94"/>
      <c r="AC1461" s="35" t="s">
        <v>3081</v>
      </c>
      <c r="AD1461" s="35">
        <v>24.762031</v>
      </c>
      <c r="AE1461" s="35">
        <v>71.217085999999995</v>
      </c>
    </row>
    <row r="1462" spans="1:31" x14ac:dyDescent="0.25">
      <c r="A1462" s="38" t="s">
        <v>36</v>
      </c>
      <c r="B1462" s="38" t="s">
        <v>2977</v>
      </c>
      <c r="C1462" s="38" t="s">
        <v>3076</v>
      </c>
      <c r="D1462" s="15" t="s">
        <v>3082</v>
      </c>
      <c r="E1462" s="38"/>
      <c r="F1462" s="38"/>
      <c r="G1462" s="38"/>
      <c r="H1462" s="38">
        <f t="shared" si="70"/>
        <v>0</v>
      </c>
      <c r="I1462" s="38"/>
      <c r="J1462" s="38"/>
      <c r="K1462" s="38"/>
      <c r="L1462" s="50"/>
      <c r="M1462" s="38"/>
      <c r="N1462" s="50"/>
      <c r="O1462" s="38"/>
      <c r="P1462" s="38"/>
      <c r="Q1462" s="36" t="s">
        <v>43</v>
      </c>
      <c r="R1462" s="14">
        <v>44543</v>
      </c>
      <c r="S1462" s="36"/>
      <c r="T1462" s="36">
        <v>0</v>
      </c>
      <c r="U1462" s="36"/>
      <c r="V1462" s="36"/>
      <c r="W1462" s="36"/>
      <c r="X1462" s="36"/>
      <c r="Y1462" s="36"/>
      <c r="AB1462" s="85"/>
      <c r="AC1462" s="15" t="s">
        <v>3082</v>
      </c>
      <c r="AD1462" s="36">
        <v>0</v>
      </c>
      <c r="AE1462" s="36"/>
    </row>
    <row r="1463" spans="1:31" x14ac:dyDescent="0.25">
      <c r="A1463" s="38" t="s">
        <v>36</v>
      </c>
      <c r="B1463" s="38" t="s">
        <v>2977</v>
      </c>
      <c r="C1463" s="38" t="s">
        <v>3076</v>
      </c>
      <c r="D1463" s="15" t="s">
        <v>3083</v>
      </c>
      <c r="E1463" s="38" t="s">
        <v>3084</v>
      </c>
      <c r="F1463" s="38">
        <v>966.62</v>
      </c>
      <c r="G1463" s="38">
        <v>966.62</v>
      </c>
      <c r="H1463" s="38">
        <f t="shared" si="70"/>
        <v>2012</v>
      </c>
      <c r="I1463" s="38">
        <v>1332</v>
      </c>
      <c r="J1463" s="38">
        <v>680</v>
      </c>
      <c r="K1463" s="38">
        <v>652</v>
      </c>
      <c r="L1463" s="50">
        <f t="shared" si="71"/>
        <v>32.405566600397613</v>
      </c>
      <c r="M1463" s="38">
        <v>547</v>
      </c>
      <c r="N1463" s="50">
        <f t="shared" si="69"/>
        <v>27.186878727634195</v>
      </c>
      <c r="O1463" s="38">
        <v>0</v>
      </c>
      <c r="P1463" s="38">
        <v>1.21</v>
      </c>
      <c r="Q1463" s="36" t="s">
        <v>43</v>
      </c>
      <c r="R1463" s="14">
        <v>44543</v>
      </c>
      <c r="S1463" s="36"/>
      <c r="T1463" s="36">
        <v>0</v>
      </c>
      <c r="U1463" s="36"/>
      <c r="V1463" s="36"/>
      <c r="W1463" s="36"/>
      <c r="X1463" s="36"/>
      <c r="Y1463" s="36"/>
      <c r="AB1463" s="85"/>
      <c r="AC1463" s="15" t="s">
        <v>3083</v>
      </c>
      <c r="AD1463" s="36">
        <v>0</v>
      </c>
      <c r="AE1463" s="36"/>
    </row>
    <row r="1464" spans="1:31" x14ac:dyDescent="0.25">
      <c r="A1464" s="38" t="s">
        <v>36</v>
      </c>
      <c r="B1464" s="38" t="s">
        <v>2977</v>
      </c>
      <c r="C1464" s="38" t="s">
        <v>3076</v>
      </c>
      <c r="D1464" s="15" t="s">
        <v>3085</v>
      </c>
      <c r="E1464" s="38" t="s">
        <v>3086</v>
      </c>
      <c r="F1464" s="38">
        <v>399</v>
      </c>
      <c r="G1464" s="38">
        <v>399</v>
      </c>
      <c r="H1464" s="38">
        <f t="shared" si="70"/>
        <v>1127</v>
      </c>
      <c r="I1464" s="38">
        <v>753</v>
      </c>
      <c r="J1464" s="38">
        <v>374</v>
      </c>
      <c r="K1464" s="38">
        <v>379</v>
      </c>
      <c r="L1464" s="50">
        <f t="shared" si="71"/>
        <v>33.629103815439223</v>
      </c>
      <c r="M1464" s="38">
        <v>233</v>
      </c>
      <c r="N1464" s="50">
        <f t="shared" ref="N1464:N1527" si="72">M1464/H1464*100</f>
        <v>20.674356699201422</v>
      </c>
      <c r="O1464" s="38">
        <v>0</v>
      </c>
      <c r="P1464" s="38">
        <v>0</v>
      </c>
      <c r="Q1464" s="36" t="s">
        <v>43</v>
      </c>
      <c r="R1464" s="14">
        <v>44543</v>
      </c>
      <c r="S1464" s="36"/>
      <c r="T1464" s="36">
        <v>220</v>
      </c>
      <c r="U1464" s="36"/>
      <c r="V1464" s="36"/>
      <c r="W1464" s="36"/>
      <c r="X1464" s="36"/>
      <c r="Y1464" s="36"/>
      <c r="AB1464" s="85"/>
      <c r="AC1464" s="15" t="s">
        <v>3085</v>
      </c>
      <c r="AD1464" s="36"/>
      <c r="AE1464" s="36"/>
    </row>
    <row r="1465" spans="1:31" x14ac:dyDescent="0.25">
      <c r="A1465" s="38" t="s">
        <v>36</v>
      </c>
      <c r="B1465" s="38" t="s">
        <v>2977</v>
      </c>
      <c r="C1465" s="38" t="s">
        <v>3087</v>
      </c>
      <c r="D1465" s="38" t="s">
        <v>3088</v>
      </c>
      <c r="E1465" s="38" t="s">
        <v>3089</v>
      </c>
      <c r="F1465" s="38">
        <v>1880.73</v>
      </c>
      <c r="G1465" s="38">
        <v>1880.73</v>
      </c>
      <c r="H1465" s="38">
        <f t="shared" si="70"/>
        <v>3389</v>
      </c>
      <c r="I1465" s="38">
        <v>2221</v>
      </c>
      <c r="J1465" s="38">
        <v>1168</v>
      </c>
      <c r="K1465" s="38">
        <v>1053</v>
      </c>
      <c r="L1465" s="50">
        <f t="shared" si="71"/>
        <v>31.071112422543521</v>
      </c>
      <c r="M1465" s="38">
        <v>300</v>
      </c>
      <c r="N1465" s="50">
        <f t="shared" si="72"/>
        <v>8.8521687813514305</v>
      </c>
      <c r="O1465" s="38">
        <v>0</v>
      </c>
      <c r="P1465" s="38">
        <v>187.84</v>
      </c>
      <c r="Q1465" s="35" t="s">
        <v>43</v>
      </c>
      <c r="R1465" s="14">
        <v>44546</v>
      </c>
      <c r="S1465" s="35"/>
      <c r="T1465" s="35">
        <v>188</v>
      </c>
      <c r="U1465" s="35"/>
      <c r="V1465" s="35"/>
      <c r="W1465" s="35"/>
      <c r="X1465" s="35"/>
      <c r="Y1465" s="35"/>
      <c r="AB1465" s="94"/>
      <c r="AC1465" s="35" t="s">
        <v>3090</v>
      </c>
      <c r="AD1465" s="35">
        <v>24.966145999999998</v>
      </c>
      <c r="AE1465" s="35">
        <v>71.356250000000003</v>
      </c>
    </row>
    <row r="1466" spans="1:31" x14ac:dyDescent="0.25">
      <c r="A1466" s="38" t="s">
        <v>36</v>
      </c>
      <c r="B1466" s="38" t="s">
        <v>2977</v>
      </c>
      <c r="C1466" s="38" t="s">
        <v>3087</v>
      </c>
      <c r="D1466" s="38" t="s">
        <v>3091</v>
      </c>
      <c r="E1466" s="38"/>
      <c r="F1466" s="38"/>
      <c r="G1466" s="38"/>
      <c r="H1466" s="38">
        <f t="shared" si="70"/>
        <v>0</v>
      </c>
      <c r="I1466" s="38"/>
      <c r="J1466" s="38"/>
      <c r="K1466" s="38"/>
      <c r="L1466" s="50"/>
      <c r="M1466" s="38"/>
      <c r="N1466" s="50"/>
      <c r="O1466" s="38"/>
      <c r="P1466" s="38"/>
      <c r="Q1466" s="36" t="s">
        <v>43</v>
      </c>
      <c r="R1466" s="14">
        <v>44546</v>
      </c>
      <c r="S1466" s="36"/>
      <c r="T1466" s="36">
        <v>95</v>
      </c>
      <c r="U1466" s="36"/>
      <c r="V1466" s="36"/>
      <c r="W1466" s="36"/>
      <c r="X1466" s="36"/>
      <c r="Y1466" s="36"/>
      <c r="AB1466" s="85"/>
      <c r="AC1466" s="15" t="s">
        <v>3092</v>
      </c>
      <c r="AD1466" s="36"/>
      <c r="AE1466" s="36"/>
    </row>
    <row r="1467" spans="1:31" x14ac:dyDescent="0.25">
      <c r="A1467" s="38" t="s">
        <v>36</v>
      </c>
      <c r="B1467" s="38" t="s">
        <v>2977</v>
      </c>
      <c r="C1467" s="38" t="s">
        <v>3087</v>
      </c>
      <c r="D1467" s="38" t="s">
        <v>3093</v>
      </c>
      <c r="E1467" s="38" t="s">
        <v>3094</v>
      </c>
      <c r="F1467" s="38">
        <v>1400.91</v>
      </c>
      <c r="G1467" s="38">
        <v>1400.91</v>
      </c>
      <c r="H1467" s="38">
        <f t="shared" si="70"/>
        <v>2568</v>
      </c>
      <c r="I1467" s="38">
        <v>1668</v>
      </c>
      <c r="J1467" s="38">
        <v>900</v>
      </c>
      <c r="K1467" s="38">
        <v>768</v>
      </c>
      <c r="L1467" s="50">
        <f t="shared" si="71"/>
        <v>29.906542056074763</v>
      </c>
      <c r="M1467" s="38">
        <v>130</v>
      </c>
      <c r="N1467" s="50">
        <f t="shared" si="72"/>
        <v>5.0623052959501553</v>
      </c>
      <c r="O1467" s="38">
        <v>0</v>
      </c>
      <c r="P1467" s="38">
        <v>95.23</v>
      </c>
      <c r="Q1467" s="36" t="s">
        <v>43</v>
      </c>
      <c r="R1467" s="14">
        <v>44546</v>
      </c>
      <c r="S1467" s="36"/>
      <c r="T1467" s="36">
        <v>184</v>
      </c>
      <c r="U1467" s="36"/>
      <c r="V1467" s="36"/>
      <c r="W1467" s="36"/>
      <c r="X1467" s="36"/>
      <c r="Y1467" s="36"/>
      <c r="AB1467" s="85"/>
      <c r="AC1467" s="15" t="s">
        <v>3095</v>
      </c>
      <c r="AD1467" s="36"/>
      <c r="AE1467" s="36"/>
    </row>
    <row r="1468" spans="1:31" x14ac:dyDescent="0.25">
      <c r="A1468" s="38" t="s">
        <v>36</v>
      </c>
      <c r="B1468" s="38" t="s">
        <v>2977</v>
      </c>
      <c r="C1468" s="38" t="s">
        <v>3087</v>
      </c>
      <c r="D1468" s="38" t="s">
        <v>3093</v>
      </c>
      <c r="E1468" s="38" t="s">
        <v>3094</v>
      </c>
      <c r="F1468" s="38">
        <v>1400.91</v>
      </c>
      <c r="G1468" s="38">
        <v>1400.91</v>
      </c>
      <c r="H1468" s="38">
        <f t="shared" si="70"/>
        <v>2568</v>
      </c>
      <c r="I1468" s="38">
        <v>1668</v>
      </c>
      <c r="J1468" s="38">
        <v>900</v>
      </c>
      <c r="K1468" s="38">
        <v>768</v>
      </c>
      <c r="L1468" s="50">
        <f t="shared" si="71"/>
        <v>29.906542056074763</v>
      </c>
      <c r="M1468" s="38">
        <v>130</v>
      </c>
      <c r="N1468" s="50">
        <f t="shared" si="72"/>
        <v>5.0623052959501553</v>
      </c>
      <c r="O1468" s="38">
        <v>0</v>
      </c>
      <c r="P1468" s="38">
        <v>95.23</v>
      </c>
      <c r="Q1468" s="7" t="s">
        <v>43</v>
      </c>
      <c r="R1468" s="95"/>
      <c r="S1468" s="36"/>
      <c r="T1468" s="232">
        <v>95</v>
      </c>
      <c r="U1468" s="95"/>
      <c r="V1468" s="95"/>
      <c r="W1468" s="95"/>
      <c r="X1468" s="95"/>
      <c r="Y1468" s="95"/>
      <c r="AB1468" s="85">
        <v>35</v>
      </c>
      <c r="AC1468" s="35" t="s">
        <v>3096</v>
      </c>
      <c r="AD1468" s="36">
        <v>24.942252</v>
      </c>
      <c r="AE1468" s="36">
        <v>71.339028999999996</v>
      </c>
    </row>
    <row r="1469" spans="1:31" x14ac:dyDescent="0.25">
      <c r="A1469" s="38" t="s">
        <v>36</v>
      </c>
      <c r="B1469" s="38" t="s">
        <v>2977</v>
      </c>
      <c r="C1469" s="38" t="s">
        <v>3087</v>
      </c>
      <c r="D1469" s="15" t="s">
        <v>3092</v>
      </c>
      <c r="E1469" s="38"/>
      <c r="F1469" s="38"/>
      <c r="G1469" s="38"/>
      <c r="H1469" s="38">
        <f t="shared" si="70"/>
        <v>0</v>
      </c>
      <c r="I1469" s="38"/>
      <c r="J1469" s="38"/>
      <c r="K1469" s="38"/>
      <c r="L1469" s="50"/>
      <c r="M1469" s="38"/>
      <c r="N1469" s="50"/>
      <c r="O1469" s="38"/>
      <c r="P1469" s="38"/>
      <c r="Q1469" s="36" t="s">
        <v>43</v>
      </c>
      <c r="R1469" s="14">
        <v>44546</v>
      </c>
      <c r="S1469" s="97"/>
      <c r="T1469" s="36"/>
      <c r="U1469" s="36"/>
      <c r="V1469" s="36"/>
      <c r="W1469" s="36"/>
      <c r="X1469" s="36"/>
      <c r="Y1469" s="36"/>
      <c r="AB1469" s="85">
        <v>30</v>
      </c>
      <c r="AC1469" s="15" t="s">
        <v>3092</v>
      </c>
      <c r="AD1469" s="36">
        <v>24.974900999999999</v>
      </c>
      <c r="AE1469" s="97">
        <v>71.346763999999993</v>
      </c>
    </row>
    <row r="1470" spans="1:31" x14ac:dyDescent="0.25">
      <c r="A1470" s="38" t="s">
        <v>36</v>
      </c>
      <c r="B1470" s="38" t="s">
        <v>2977</v>
      </c>
      <c r="C1470" s="38" t="s">
        <v>3087</v>
      </c>
      <c r="D1470" s="15" t="s">
        <v>3095</v>
      </c>
      <c r="E1470" s="38"/>
      <c r="F1470" s="38"/>
      <c r="G1470" s="38"/>
      <c r="H1470" s="38">
        <f t="shared" si="70"/>
        <v>0</v>
      </c>
      <c r="I1470" s="38"/>
      <c r="J1470" s="38"/>
      <c r="K1470" s="38"/>
      <c r="L1470" s="50"/>
      <c r="M1470" s="38"/>
      <c r="N1470" s="50"/>
      <c r="O1470" s="38"/>
      <c r="P1470" s="38"/>
      <c r="Q1470" s="36" t="s">
        <v>43</v>
      </c>
      <c r="R1470" s="14">
        <v>44546</v>
      </c>
      <c r="S1470" s="97"/>
      <c r="T1470" s="36"/>
      <c r="U1470" s="36"/>
      <c r="V1470" s="36"/>
      <c r="W1470" s="36"/>
      <c r="X1470" s="36"/>
      <c r="Y1470" s="36"/>
      <c r="AB1470" s="85">
        <v>20</v>
      </c>
      <c r="AC1470" s="15" t="s">
        <v>3095</v>
      </c>
      <c r="AD1470" s="36">
        <v>24.993075000000001</v>
      </c>
      <c r="AE1470" s="97">
        <v>71.369602</v>
      </c>
    </row>
    <row r="1471" spans="1:31" x14ac:dyDescent="0.25">
      <c r="A1471" s="38" t="s">
        <v>36</v>
      </c>
      <c r="B1471" s="38" t="s">
        <v>2977</v>
      </c>
      <c r="C1471" s="38" t="s">
        <v>3087</v>
      </c>
      <c r="D1471" s="15" t="s">
        <v>3095</v>
      </c>
      <c r="E1471" s="38" t="s">
        <v>3097</v>
      </c>
      <c r="F1471" s="38">
        <v>1303.27</v>
      </c>
      <c r="G1471" s="38">
        <v>1303.27</v>
      </c>
      <c r="H1471" s="38">
        <f t="shared" si="70"/>
        <v>2200</v>
      </c>
      <c r="I1471" s="38">
        <v>1439</v>
      </c>
      <c r="J1471" s="38">
        <v>761</v>
      </c>
      <c r="K1471" s="38">
        <v>678</v>
      </c>
      <c r="L1471" s="50">
        <f t="shared" si="71"/>
        <v>30.818181818181817</v>
      </c>
      <c r="M1471" s="38">
        <v>142</v>
      </c>
      <c r="N1471" s="50">
        <f t="shared" si="72"/>
        <v>6.4545454545454541</v>
      </c>
      <c r="O1471" s="38">
        <v>0</v>
      </c>
      <c r="P1471" s="38">
        <v>183.71</v>
      </c>
      <c r="Q1471" s="36"/>
      <c r="R1471" s="14"/>
      <c r="S1471" s="97"/>
      <c r="T1471" s="36"/>
      <c r="U1471" s="36"/>
      <c r="V1471" s="36"/>
      <c r="W1471" s="36"/>
      <c r="X1471" s="36"/>
      <c r="Y1471" s="36"/>
      <c r="AB1471" s="85">
        <v>20</v>
      </c>
      <c r="AC1471" s="15" t="s">
        <v>3098</v>
      </c>
      <c r="AD1471" s="36">
        <v>24.993099000000001</v>
      </c>
      <c r="AE1471" s="97">
        <v>71.369522000000003</v>
      </c>
    </row>
    <row r="1472" spans="1:31" x14ac:dyDescent="0.25">
      <c r="A1472" s="38" t="s">
        <v>36</v>
      </c>
      <c r="B1472" s="38" t="s">
        <v>2977</v>
      </c>
      <c r="C1472" s="38" t="s">
        <v>3099</v>
      </c>
      <c r="D1472" s="38" t="s">
        <v>3099</v>
      </c>
      <c r="E1472" s="38" t="s">
        <v>3100</v>
      </c>
      <c r="F1472" s="38">
        <v>1428.55</v>
      </c>
      <c r="G1472" s="38">
        <v>1428.55</v>
      </c>
      <c r="H1472" s="38">
        <f t="shared" si="70"/>
        <v>2562</v>
      </c>
      <c r="I1472" s="38">
        <v>1673</v>
      </c>
      <c r="J1472" s="38">
        <v>889</v>
      </c>
      <c r="K1472" s="38">
        <v>784</v>
      </c>
      <c r="L1472" s="50">
        <f t="shared" si="71"/>
        <v>30.601092896174865</v>
      </c>
      <c r="M1472" s="38">
        <v>363</v>
      </c>
      <c r="N1472" s="50">
        <f t="shared" si="72"/>
        <v>14.168618266978921</v>
      </c>
      <c r="O1472" s="38">
        <v>84.15</v>
      </c>
      <c r="P1472" s="38">
        <v>27.1</v>
      </c>
      <c r="Q1472" s="36" t="s">
        <v>43</v>
      </c>
      <c r="R1472" s="14">
        <v>44594</v>
      </c>
      <c r="S1472" s="36"/>
      <c r="T1472" s="36">
        <v>80</v>
      </c>
      <c r="U1472" s="36"/>
      <c r="V1472" s="36"/>
      <c r="W1472" s="36"/>
      <c r="X1472" s="36"/>
      <c r="Y1472" s="36"/>
      <c r="AB1472" s="85"/>
      <c r="AC1472" s="15" t="s">
        <v>3101</v>
      </c>
      <c r="AD1472" s="36"/>
      <c r="AE1472" s="36"/>
    </row>
    <row r="1473" spans="1:31" x14ac:dyDescent="0.25">
      <c r="A1473" s="38" t="s">
        <v>36</v>
      </c>
      <c r="B1473" s="38" t="s">
        <v>2977</v>
      </c>
      <c r="C1473" s="38" t="s">
        <v>3099</v>
      </c>
      <c r="D1473" s="38" t="s">
        <v>3102</v>
      </c>
      <c r="E1473" s="38" t="s">
        <v>3103</v>
      </c>
      <c r="F1473" s="38">
        <v>941.15</v>
      </c>
      <c r="G1473" s="38">
        <v>941.15</v>
      </c>
      <c r="H1473" s="38">
        <f t="shared" si="70"/>
        <v>1605</v>
      </c>
      <c r="I1473" s="38">
        <v>1054</v>
      </c>
      <c r="J1473" s="38">
        <v>551</v>
      </c>
      <c r="K1473" s="38">
        <v>503</v>
      </c>
      <c r="L1473" s="50">
        <f t="shared" si="71"/>
        <v>31.339563862928348</v>
      </c>
      <c r="M1473" s="38">
        <v>151</v>
      </c>
      <c r="N1473" s="50">
        <f t="shared" si="72"/>
        <v>9.40809968847352</v>
      </c>
      <c r="O1473" s="38">
        <v>0</v>
      </c>
      <c r="P1473" s="38">
        <v>0</v>
      </c>
    </row>
    <row r="1474" spans="1:31" x14ac:dyDescent="0.25">
      <c r="A1474" s="38" t="s">
        <v>36</v>
      </c>
      <c r="B1474" s="33" t="s">
        <v>2977</v>
      </c>
      <c r="C1474" s="33" t="s">
        <v>3104</v>
      </c>
      <c r="D1474" s="33" t="s">
        <v>3104</v>
      </c>
      <c r="E1474" s="33" t="s">
        <v>3105</v>
      </c>
      <c r="F1474" s="33">
        <v>1266.57</v>
      </c>
      <c r="G1474" s="33">
        <v>1266.57</v>
      </c>
      <c r="H1474" s="38">
        <f t="shared" si="70"/>
        <v>2384</v>
      </c>
      <c r="I1474" s="33">
        <v>1579</v>
      </c>
      <c r="J1474" s="33">
        <v>805</v>
      </c>
      <c r="K1474" s="33">
        <v>774</v>
      </c>
      <c r="L1474" s="50">
        <f t="shared" si="71"/>
        <v>32.466442953020135</v>
      </c>
      <c r="M1474" s="33">
        <v>211</v>
      </c>
      <c r="N1474" s="50">
        <f t="shared" si="72"/>
        <v>8.8506711409395979</v>
      </c>
      <c r="O1474" s="33">
        <v>0</v>
      </c>
      <c r="P1474" s="33">
        <v>16.21</v>
      </c>
      <c r="Q1474" s="35" t="s">
        <v>43</v>
      </c>
      <c r="R1474" s="14">
        <v>44552</v>
      </c>
      <c r="S1474" s="35"/>
      <c r="T1474" s="35">
        <v>90</v>
      </c>
      <c r="U1474" s="35"/>
      <c r="V1474" s="35"/>
      <c r="W1474" s="35"/>
      <c r="X1474" s="35"/>
      <c r="Y1474" s="35"/>
      <c r="AB1474" s="94"/>
      <c r="AC1474" s="35" t="s">
        <v>3106</v>
      </c>
      <c r="AD1474" s="35">
        <v>24.801946000000001</v>
      </c>
      <c r="AE1474" s="35">
        <v>71.218852999999996</v>
      </c>
    </row>
    <row r="1475" spans="1:31" x14ac:dyDescent="0.25">
      <c r="A1475" s="38" t="s">
        <v>36</v>
      </c>
      <c r="B1475" s="33"/>
      <c r="C1475" s="33"/>
      <c r="D1475" s="33"/>
      <c r="E1475" s="33"/>
      <c r="F1475" s="33"/>
      <c r="G1475" s="33"/>
      <c r="H1475" s="38">
        <f t="shared" si="70"/>
        <v>0</v>
      </c>
      <c r="I1475" s="33"/>
      <c r="J1475" s="33"/>
      <c r="K1475" s="33"/>
      <c r="L1475" s="50"/>
      <c r="M1475" s="33"/>
      <c r="N1475" s="50"/>
      <c r="O1475" s="33"/>
      <c r="P1475" s="33"/>
      <c r="Q1475" s="7" t="s">
        <v>43</v>
      </c>
      <c r="R1475" s="95"/>
      <c r="S1475" s="35"/>
      <c r="T1475" s="232">
        <v>90</v>
      </c>
      <c r="U1475" s="95"/>
      <c r="V1475" s="95"/>
      <c r="W1475" s="95"/>
      <c r="X1475" s="95"/>
      <c r="Y1475" s="95"/>
      <c r="AB1475" s="94">
        <v>35</v>
      </c>
      <c r="AC1475" s="35" t="s">
        <v>3106</v>
      </c>
      <c r="AD1475" s="35">
        <v>24.801946000000001</v>
      </c>
      <c r="AE1475" s="35">
        <v>71.218852999999996</v>
      </c>
    </row>
    <row r="1476" spans="1:31" x14ac:dyDescent="0.25">
      <c r="A1476" s="38" t="s">
        <v>36</v>
      </c>
      <c r="B1476" s="33" t="s">
        <v>2977</v>
      </c>
      <c r="C1476" s="33" t="s">
        <v>3104</v>
      </c>
      <c r="D1476" s="33" t="s">
        <v>3107</v>
      </c>
      <c r="E1476" s="33" t="s">
        <v>3108</v>
      </c>
      <c r="F1476" s="33">
        <v>643.27</v>
      </c>
      <c r="G1476" s="33">
        <v>643.27</v>
      </c>
      <c r="H1476" s="38">
        <f t="shared" si="70"/>
        <v>1640</v>
      </c>
      <c r="I1476" s="33">
        <v>1064</v>
      </c>
      <c r="J1476" s="33">
        <v>576</v>
      </c>
      <c r="K1476" s="33">
        <v>488</v>
      </c>
      <c r="L1476" s="50">
        <f t="shared" si="71"/>
        <v>29.756097560975608</v>
      </c>
      <c r="M1476" s="33">
        <v>46</v>
      </c>
      <c r="N1476" s="50">
        <f t="shared" si="72"/>
        <v>2.8048780487804881</v>
      </c>
      <c r="O1476" s="33">
        <v>0</v>
      </c>
      <c r="P1476" s="33">
        <v>0</v>
      </c>
      <c r="Q1476" s="36" t="s">
        <v>43</v>
      </c>
      <c r="R1476" s="14">
        <v>44552</v>
      </c>
      <c r="S1476" s="36"/>
      <c r="T1476" s="36">
        <v>0</v>
      </c>
      <c r="U1476" s="36"/>
      <c r="V1476" s="36"/>
      <c r="W1476" s="36"/>
      <c r="X1476" s="36"/>
      <c r="Y1476" s="36"/>
      <c r="AB1476" s="85"/>
      <c r="AC1476" s="15" t="s">
        <v>3109</v>
      </c>
      <c r="AD1476" s="36">
        <v>0</v>
      </c>
      <c r="AE1476" s="36"/>
    </row>
    <row r="1477" spans="1:31" x14ac:dyDescent="0.25">
      <c r="A1477" s="38" t="s">
        <v>36</v>
      </c>
      <c r="B1477" s="38" t="s">
        <v>2977</v>
      </c>
      <c r="C1477" s="38" t="s">
        <v>3110</v>
      </c>
      <c r="D1477" s="38" t="s">
        <v>3111</v>
      </c>
      <c r="E1477" s="38" t="s">
        <v>3112</v>
      </c>
      <c r="F1477" s="38">
        <v>1780.22</v>
      </c>
      <c r="G1477" s="38">
        <v>1780.22</v>
      </c>
      <c r="H1477" s="38">
        <f t="shared" ref="H1477:H1540" si="73">I1477+J1477</f>
        <v>3768</v>
      </c>
      <c r="I1477" s="38">
        <v>2470</v>
      </c>
      <c r="J1477" s="38">
        <v>1298</v>
      </c>
      <c r="K1477" s="38">
        <v>1172</v>
      </c>
      <c r="L1477" s="50">
        <f t="shared" si="71"/>
        <v>31.104033970276006</v>
      </c>
      <c r="M1477" s="38">
        <v>293</v>
      </c>
      <c r="N1477" s="50">
        <f t="shared" si="72"/>
        <v>7.7760084925690016</v>
      </c>
      <c r="O1477" s="38">
        <v>0</v>
      </c>
      <c r="P1477" s="38">
        <v>114</v>
      </c>
    </row>
    <row r="1478" spans="1:31" x14ac:dyDescent="0.25">
      <c r="A1478" s="38" t="s">
        <v>36</v>
      </c>
      <c r="B1478" s="38" t="s">
        <v>2977</v>
      </c>
      <c r="C1478" s="38" t="s">
        <v>3110</v>
      </c>
      <c r="D1478" s="38" t="s">
        <v>3113</v>
      </c>
      <c r="E1478" s="38" t="s">
        <v>3114</v>
      </c>
      <c r="F1478" s="38">
        <v>1052.3499999999999</v>
      </c>
      <c r="G1478" s="38">
        <v>1052.3499999999999</v>
      </c>
      <c r="H1478" s="38">
        <f t="shared" si="73"/>
        <v>2327</v>
      </c>
      <c r="I1478" s="38">
        <v>1534</v>
      </c>
      <c r="J1478" s="38">
        <v>793</v>
      </c>
      <c r="K1478" s="38">
        <v>741</v>
      </c>
      <c r="L1478" s="50">
        <f t="shared" ref="L1478:L1541" si="74">K1478/H1478*100</f>
        <v>31.843575418994412</v>
      </c>
      <c r="M1478" s="38">
        <v>216</v>
      </c>
      <c r="N1478" s="50">
        <f t="shared" si="72"/>
        <v>9.2823377739578863</v>
      </c>
      <c r="O1478" s="38">
        <v>0</v>
      </c>
      <c r="P1478" s="38">
        <v>0</v>
      </c>
    </row>
    <row r="1479" spans="1:31" x14ac:dyDescent="0.25">
      <c r="A1479" s="38" t="s">
        <v>36</v>
      </c>
      <c r="B1479" s="38" t="s">
        <v>2977</v>
      </c>
      <c r="C1479" s="38" t="s">
        <v>3110</v>
      </c>
      <c r="D1479" s="38" t="s">
        <v>3115</v>
      </c>
      <c r="E1479" s="38" t="s">
        <v>3116</v>
      </c>
      <c r="F1479" s="38">
        <v>547.34</v>
      </c>
      <c r="G1479" s="38">
        <v>547.34</v>
      </c>
      <c r="H1479" s="38">
        <f t="shared" si="73"/>
        <v>876</v>
      </c>
      <c r="I1479" s="38">
        <v>576</v>
      </c>
      <c r="J1479" s="38">
        <v>300</v>
      </c>
      <c r="K1479" s="38">
        <v>276</v>
      </c>
      <c r="L1479" s="50">
        <f t="shared" si="74"/>
        <v>31.506849315068493</v>
      </c>
      <c r="M1479" s="38">
        <v>132</v>
      </c>
      <c r="N1479" s="50">
        <f t="shared" si="72"/>
        <v>15.068493150684931</v>
      </c>
      <c r="O1479" s="38">
        <v>0</v>
      </c>
      <c r="P1479" s="38">
        <v>0</v>
      </c>
    </row>
    <row r="1480" spans="1:31" x14ac:dyDescent="0.25">
      <c r="A1480" s="38" t="s">
        <v>36</v>
      </c>
      <c r="B1480" s="38" t="s">
        <v>2977</v>
      </c>
      <c r="C1480" s="38" t="s">
        <v>3110</v>
      </c>
      <c r="D1480" s="38" t="s">
        <v>3117</v>
      </c>
      <c r="E1480" s="38" t="s">
        <v>3118</v>
      </c>
      <c r="F1480" s="38">
        <v>1474.26</v>
      </c>
      <c r="G1480" s="38">
        <v>1474.26</v>
      </c>
      <c r="H1480" s="38">
        <f t="shared" si="73"/>
        <v>2263</v>
      </c>
      <c r="I1480" s="38">
        <v>1500</v>
      </c>
      <c r="J1480" s="38">
        <v>763</v>
      </c>
      <c r="K1480" s="38">
        <v>737</v>
      </c>
      <c r="L1480" s="50">
        <f t="shared" si="74"/>
        <v>32.567388422448076</v>
      </c>
      <c r="M1480" s="38">
        <v>52</v>
      </c>
      <c r="N1480" s="50">
        <f t="shared" si="72"/>
        <v>2.2978347326557667</v>
      </c>
      <c r="O1480" s="38">
        <v>0</v>
      </c>
      <c r="P1480" s="38">
        <v>3</v>
      </c>
    </row>
    <row r="1481" spans="1:31" x14ac:dyDescent="0.25">
      <c r="A1481" s="38" t="s">
        <v>36</v>
      </c>
      <c r="B1481" s="38" t="s">
        <v>2977</v>
      </c>
      <c r="C1481" s="38" t="s">
        <v>3119</v>
      </c>
      <c r="D1481" s="38" t="s">
        <v>3120</v>
      </c>
      <c r="E1481" s="38" t="s">
        <v>3121</v>
      </c>
      <c r="F1481" s="38">
        <v>1048.2</v>
      </c>
      <c r="G1481" s="38">
        <v>1048.2</v>
      </c>
      <c r="H1481" s="38">
        <f t="shared" si="73"/>
        <v>3592</v>
      </c>
      <c r="I1481" s="38">
        <v>2350</v>
      </c>
      <c r="J1481" s="38">
        <v>1242</v>
      </c>
      <c r="K1481" s="38">
        <v>1108</v>
      </c>
      <c r="L1481" s="50">
        <f t="shared" si="74"/>
        <v>30.846325167037865</v>
      </c>
      <c r="M1481" s="38">
        <v>561</v>
      </c>
      <c r="N1481" s="50">
        <f t="shared" si="72"/>
        <v>15.618040089086859</v>
      </c>
      <c r="O1481" s="38">
        <v>0</v>
      </c>
      <c r="P1481" s="38">
        <v>33</v>
      </c>
      <c r="Q1481" s="7" t="s">
        <v>43</v>
      </c>
      <c r="R1481" s="10"/>
      <c r="S1481" s="34"/>
      <c r="T1481" s="233">
        <v>122</v>
      </c>
      <c r="U1481" s="10"/>
      <c r="V1481" s="10"/>
      <c r="W1481" s="10"/>
      <c r="X1481" s="10"/>
      <c r="Y1481" s="10"/>
      <c r="AB1481" s="20">
        <v>88</v>
      </c>
      <c r="AC1481" s="34" t="s">
        <v>3122</v>
      </c>
      <c r="AD1481" s="34">
        <v>24.86345</v>
      </c>
      <c r="AE1481" s="34">
        <v>71.253388000000001</v>
      </c>
    </row>
    <row r="1482" spans="1:31" x14ac:dyDescent="0.25">
      <c r="A1482" s="38" t="s">
        <v>36</v>
      </c>
      <c r="B1482" s="38" t="s">
        <v>2977</v>
      </c>
      <c r="C1482" s="38" t="s">
        <v>3119</v>
      </c>
      <c r="D1482" s="38" t="s">
        <v>3120</v>
      </c>
      <c r="E1482" s="38" t="s">
        <v>3121</v>
      </c>
      <c r="F1482" s="38"/>
      <c r="G1482" s="38"/>
      <c r="H1482" s="38">
        <f t="shared" si="73"/>
        <v>0</v>
      </c>
      <c r="I1482" s="38"/>
      <c r="J1482" s="38"/>
      <c r="K1482" s="38"/>
      <c r="L1482" s="50"/>
      <c r="M1482" s="38"/>
      <c r="N1482" s="50"/>
      <c r="O1482" s="38">
        <v>0</v>
      </c>
      <c r="P1482" s="38">
        <v>33</v>
      </c>
      <c r="Q1482" s="35" t="s">
        <v>43</v>
      </c>
      <c r="R1482" s="14">
        <v>44545</v>
      </c>
      <c r="S1482" s="35"/>
      <c r="T1482" s="35">
        <v>122</v>
      </c>
      <c r="U1482" s="35"/>
      <c r="V1482" s="35"/>
      <c r="W1482" s="35"/>
      <c r="X1482" s="35"/>
      <c r="Y1482" s="35"/>
      <c r="AB1482" s="94"/>
      <c r="AC1482" s="35" t="s">
        <v>3123</v>
      </c>
      <c r="AD1482" s="35">
        <v>24.86345</v>
      </c>
      <c r="AE1482" s="35">
        <v>71.253388000000001</v>
      </c>
    </row>
    <row r="1483" spans="1:31" x14ac:dyDescent="0.25">
      <c r="A1483" s="38" t="s">
        <v>36</v>
      </c>
      <c r="B1483" s="38" t="s">
        <v>2977</v>
      </c>
      <c r="C1483" s="38" t="s">
        <v>3119</v>
      </c>
      <c r="D1483" s="38" t="s">
        <v>2749</v>
      </c>
      <c r="E1483" s="38" t="s">
        <v>3124</v>
      </c>
      <c r="F1483" s="38">
        <v>1466.98</v>
      </c>
      <c r="G1483" s="38">
        <v>1466.98</v>
      </c>
      <c r="H1483" s="38">
        <f t="shared" si="73"/>
        <v>3263</v>
      </c>
      <c r="I1483" s="38">
        <v>2147</v>
      </c>
      <c r="J1483" s="38">
        <v>1116</v>
      </c>
      <c r="K1483" s="38">
        <v>1031</v>
      </c>
      <c r="L1483" s="50">
        <f t="shared" si="74"/>
        <v>31.596690162427215</v>
      </c>
      <c r="M1483" s="38">
        <v>505</v>
      </c>
      <c r="N1483" s="50">
        <f t="shared" si="72"/>
        <v>15.476555317192767</v>
      </c>
      <c r="O1483" s="38">
        <v>0</v>
      </c>
      <c r="P1483" s="38">
        <v>122.4</v>
      </c>
      <c r="Q1483" s="35" t="s">
        <v>43</v>
      </c>
      <c r="R1483" s="14">
        <v>44545</v>
      </c>
      <c r="S1483" s="35"/>
      <c r="T1483" s="35">
        <v>33</v>
      </c>
      <c r="U1483" s="35"/>
      <c r="V1483" s="35"/>
      <c r="W1483" s="35"/>
      <c r="X1483" s="35"/>
      <c r="Y1483" s="35"/>
      <c r="AB1483" s="94"/>
      <c r="AC1483" s="35" t="s">
        <v>3125</v>
      </c>
      <c r="AD1483" s="35">
        <v>24.873818</v>
      </c>
      <c r="AE1483" s="35">
        <v>71.284799699999994</v>
      </c>
    </row>
    <row r="1484" spans="1:31" x14ac:dyDescent="0.25">
      <c r="A1484" s="38" t="s">
        <v>36</v>
      </c>
      <c r="B1484" s="38" t="s">
        <v>2977</v>
      </c>
      <c r="C1484" s="38" t="s">
        <v>3126</v>
      </c>
      <c r="D1484" s="38" t="s">
        <v>3127</v>
      </c>
      <c r="E1484" s="38" t="s">
        <v>3128</v>
      </c>
      <c r="F1484" s="38">
        <v>971.05</v>
      </c>
      <c r="G1484" s="38">
        <v>971.05</v>
      </c>
      <c r="H1484" s="38">
        <f t="shared" si="73"/>
        <v>3210</v>
      </c>
      <c r="I1484" s="38">
        <v>2119</v>
      </c>
      <c r="J1484" s="38">
        <v>1091</v>
      </c>
      <c r="K1484" s="38">
        <v>1028</v>
      </c>
      <c r="L1484" s="50">
        <f t="shared" si="74"/>
        <v>32.024922118380061</v>
      </c>
      <c r="M1484" s="38">
        <v>484</v>
      </c>
      <c r="N1484" s="50">
        <f t="shared" si="72"/>
        <v>15.077881619937694</v>
      </c>
      <c r="O1484" s="38">
        <v>0</v>
      </c>
      <c r="P1484" s="38">
        <v>22.13</v>
      </c>
      <c r="Q1484" s="36" t="s">
        <v>43</v>
      </c>
      <c r="R1484" s="14">
        <v>44560</v>
      </c>
      <c r="S1484" s="181"/>
      <c r="T1484" s="36"/>
      <c r="U1484" s="36"/>
      <c r="V1484" s="36"/>
      <c r="W1484" s="36"/>
      <c r="X1484" s="36"/>
      <c r="Y1484" s="36"/>
      <c r="AB1484" s="181">
        <v>16</v>
      </c>
      <c r="AC1484" s="15" t="s">
        <v>3127</v>
      </c>
      <c r="AD1484" s="181">
        <v>24.818556000000001</v>
      </c>
      <c r="AE1484" s="181">
        <v>71.164850000000001</v>
      </c>
    </row>
    <row r="1485" spans="1:31" x14ac:dyDescent="0.25">
      <c r="A1485" s="38" t="s">
        <v>36</v>
      </c>
      <c r="B1485" s="38" t="s">
        <v>2977</v>
      </c>
      <c r="C1485" s="38" t="s">
        <v>3126</v>
      </c>
      <c r="D1485" s="38" t="s">
        <v>3127</v>
      </c>
      <c r="E1485" s="38"/>
      <c r="F1485" s="38"/>
      <c r="G1485" s="38"/>
      <c r="H1485" s="38">
        <f t="shared" si="73"/>
        <v>0</v>
      </c>
      <c r="I1485" s="38"/>
      <c r="J1485" s="38"/>
      <c r="K1485" s="38"/>
      <c r="L1485" s="50"/>
      <c r="M1485" s="38"/>
      <c r="N1485" s="50"/>
      <c r="O1485" s="38"/>
      <c r="P1485" s="38"/>
      <c r="Q1485" s="161" t="s">
        <v>43</v>
      </c>
      <c r="R1485" s="14">
        <v>44560</v>
      </c>
      <c r="S1485" s="161"/>
      <c r="T1485" s="161"/>
      <c r="U1485" s="161"/>
      <c r="V1485" s="161"/>
      <c r="W1485" s="161"/>
      <c r="X1485" s="161"/>
      <c r="Y1485" s="161"/>
      <c r="AB1485" s="16">
        <v>10</v>
      </c>
      <c r="AC1485" s="186" t="s">
        <v>3129</v>
      </c>
      <c r="AD1485" s="161">
        <v>24.817788</v>
      </c>
      <c r="AE1485" s="161">
        <v>71.165216000000001</v>
      </c>
    </row>
    <row r="1486" spans="1:31" x14ac:dyDescent="0.25">
      <c r="A1486" s="38" t="s">
        <v>36</v>
      </c>
      <c r="B1486" s="38" t="s">
        <v>2977</v>
      </c>
      <c r="C1486" s="38" t="s">
        <v>3126</v>
      </c>
      <c r="D1486" s="38" t="s">
        <v>3127</v>
      </c>
      <c r="E1486" s="38"/>
      <c r="F1486" s="38"/>
      <c r="G1486" s="38"/>
      <c r="H1486" s="38">
        <f t="shared" si="73"/>
        <v>0</v>
      </c>
      <c r="I1486" s="38"/>
      <c r="J1486" s="38"/>
      <c r="K1486" s="38"/>
      <c r="L1486" s="50"/>
      <c r="M1486" s="38"/>
      <c r="N1486" s="50"/>
      <c r="O1486" s="38"/>
      <c r="P1486" s="38"/>
      <c r="Q1486" s="161" t="s">
        <v>43</v>
      </c>
      <c r="R1486" s="14">
        <v>44560</v>
      </c>
      <c r="S1486" s="161"/>
      <c r="T1486" s="161"/>
      <c r="U1486" s="161"/>
      <c r="V1486" s="161"/>
      <c r="W1486" s="161"/>
      <c r="X1486" s="161"/>
      <c r="Y1486" s="161"/>
      <c r="AB1486" s="16">
        <v>10</v>
      </c>
      <c r="AC1486" s="186" t="s">
        <v>3130</v>
      </c>
      <c r="AD1486" s="161">
        <v>24.820537999999999</v>
      </c>
      <c r="AE1486" s="161">
        <v>71.164229000000006</v>
      </c>
    </row>
    <row r="1487" spans="1:31" x14ac:dyDescent="0.25">
      <c r="A1487" s="38" t="s">
        <v>36</v>
      </c>
      <c r="B1487" s="38" t="s">
        <v>2977</v>
      </c>
      <c r="C1487" s="38" t="s">
        <v>3126</v>
      </c>
      <c r="D1487" s="38" t="s">
        <v>3127</v>
      </c>
      <c r="E1487" s="38"/>
      <c r="F1487" s="38"/>
      <c r="G1487" s="38"/>
      <c r="H1487" s="38">
        <f t="shared" si="73"/>
        <v>0</v>
      </c>
      <c r="I1487" s="38"/>
      <c r="J1487" s="38"/>
      <c r="K1487" s="38"/>
      <c r="L1487" s="50"/>
      <c r="M1487" s="38"/>
      <c r="N1487" s="50"/>
      <c r="O1487" s="38"/>
      <c r="P1487" s="38"/>
      <c r="Q1487" s="161" t="s">
        <v>43</v>
      </c>
      <c r="R1487" s="14">
        <v>44560</v>
      </c>
      <c r="S1487" s="161"/>
      <c r="T1487" s="161"/>
      <c r="U1487" s="161"/>
      <c r="V1487" s="161"/>
      <c r="W1487" s="161"/>
      <c r="X1487" s="161"/>
      <c r="Y1487" s="161"/>
      <c r="AB1487" s="16">
        <v>10</v>
      </c>
      <c r="AC1487" s="186" t="s">
        <v>3131</v>
      </c>
      <c r="AD1487" s="161">
        <v>24.817959999999999</v>
      </c>
      <c r="AE1487" s="161">
        <v>71.165145999999993</v>
      </c>
    </row>
    <row r="1488" spans="1:31" x14ac:dyDescent="0.25">
      <c r="A1488" s="38" t="s">
        <v>36</v>
      </c>
      <c r="B1488" s="38" t="s">
        <v>2977</v>
      </c>
      <c r="C1488" s="38" t="s">
        <v>3126</v>
      </c>
      <c r="D1488" s="38" t="s">
        <v>3127</v>
      </c>
      <c r="E1488" s="38"/>
      <c r="F1488" s="38"/>
      <c r="G1488" s="38"/>
      <c r="H1488" s="38">
        <f t="shared" si="73"/>
        <v>0</v>
      </c>
      <c r="I1488" s="38"/>
      <c r="J1488" s="38"/>
      <c r="K1488" s="38"/>
      <c r="L1488" s="50"/>
      <c r="M1488" s="38"/>
      <c r="N1488" s="50"/>
      <c r="O1488" s="38"/>
      <c r="P1488" s="38"/>
      <c r="Q1488" s="161" t="s">
        <v>43</v>
      </c>
      <c r="R1488" s="14">
        <v>44560</v>
      </c>
      <c r="S1488" s="161"/>
      <c r="T1488" s="161"/>
      <c r="U1488" s="161"/>
      <c r="V1488" s="161"/>
      <c r="W1488" s="161"/>
      <c r="X1488" s="161"/>
      <c r="Y1488" s="161"/>
      <c r="AB1488" s="16">
        <v>10</v>
      </c>
      <c r="AC1488" s="186" t="s">
        <v>3132</v>
      </c>
      <c r="AD1488" s="161">
        <v>24.817954</v>
      </c>
      <c r="AE1488" s="161">
        <v>71.165145999999993</v>
      </c>
    </row>
    <row r="1489" spans="1:31" x14ac:dyDescent="0.25">
      <c r="A1489" s="38" t="s">
        <v>36</v>
      </c>
      <c r="B1489" s="38" t="s">
        <v>2977</v>
      </c>
      <c r="C1489" s="38" t="s">
        <v>3126</v>
      </c>
      <c r="D1489" s="38" t="s">
        <v>3127</v>
      </c>
      <c r="E1489" s="38" t="s">
        <v>3128</v>
      </c>
      <c r="F1489" s="38">
        <v>971.05</v>
      </c>
      <c r="G1489" s="38">
        <v>971.05</v>
      </c>
      <c r="H1489" s="38">
        <f t="shared" si="73"/>
        <v>3210</v>
      </c>
      <c r="I1489" s="38">
        <v>2119</v>
      </c>
      <c r="J1489" s="38">
        <v>1091</v>
      </c>
      <c r="K1489" s="38">
        <v>1028</v>
      </c>
      <c r="L1489" s="50">
        <f t="shared" si="74"/>
        <v>32.024922118380061</v>
      </c>
      <c r="M1489" s="38">
        <v>484</v>
      </c>
      <c r="N1489" s="50">
        <f t="shared" si="72"/>
        <v>15.077881619937694</v>
      </c>
      <c r="O1489" s="38">
        <v>0</v>
      </c>
      <c r="P1489" s="38">
        <v>22.13</v>
      </c>
      <c r="Q1489" s="36" t="s">
        <v>43</v>
      </c>
      <c r="R1489" s="14">
        <v>44560</v>
      </c>
      <c r="S1489" s="36"/>
      <c r="T1489" s="36">
        <v>22</v>
      </c>
      <c r="U1489" s="36"/>
      <c r="V1489" s="36"/>
      <c r="W1489" s="36"/>
      <c r="X1489" s="36"/>
      <c r="Y1489" s="36"/>
      <c r="AB1489" s="85"/>
      <c r="AC1489" s="15" t="s">
        <v>3127</v>
      </c>
      <c r="AD1489" s="36"/>
      <c r="AE1489" s="36"/>
    </row>
    <row r="1490" spans="1:31" x14ac:dyDescent="0.25">
      <c r="A1490" s="38" t="s">
        <v>36</v>
      </c>
      <c r="B1490" s="38" t="s">
        <v>2977</v>
      </c>
      <c r="C1490" s="38" t="s">
        <v>3126</v>
      </c>
      <c r="D1490" s="38" t="s">
        <v>3133</v>
      </c>
      <c r="E1490" s="38" t="s">
        <v>3134</v>
      </c>
      <c r="F1490" s="38">
        <v>1060.08</v>
      </c>
      <c r="G1490" s="38">
        <v>1060.08</v>
      </c>
      <c r="H1490" s="38">
        <f t="shared" si="73"/>
        <v>1368</v>
      </c>
      <c r="I1490" s="38">
        <v>883</v>
      </c>
      <c r="J1490" s="38">
        <v>485</v>
      </c>
      <c r="K1490" s="38">
        <v>398</v>
      </c>
      <c r="L1490" s="50">
        <f t="shared" si="74"/>
        <v>29.093567251461987</v>
      </c>
      <c r="M1490" s="38">
        <v>171</v>
      </c>
      <c r="N1490" s="50">
        <f t="shared" si="72"/>
        <v>12.5</v>
      </c>
      <c r="O1490" s="38">
        <v>0</v>
      </c>
      <c r="P1490" s="38">
        <v>39.65</v>
      </c>
      <c r="Q1490" s="36" t="s">
        <v>43</v>
      </c>
      <c r="R1490" s="14">
        <v>44560</v>
      </c>
      <c r="S1490" s="36"/>
      <c r="T1490" s="36">
        <v>40</v>
      </c>
      <c r="U1490" s="36"/>
      <c r="V1490" s="36"/>
      <c r="W1490" s="36"/>
      <c r="X1490" s="36"/>
      <c r="Y1490" s="36"/>
      <c r="AB1490" s="85"/>
      <c r="AC1490" s="15" t="s">
        <v>3133</v>
      </c>
      <c r="AD1490" s="36"/>
      <c r="AE1490" s="36"/>
    </row>
    <row r="1491" spans="1:31" x14ac:dyDescent="0.25">
      <c r="A1491" s="38" t="s">
        <v>36</v>
      </c>
      <c r="B1491" s="38" t="s">
        <v>2977</v>
      </c>
      <c r="C1491" s="38" t="s">
        <v>3126</v>
      </c>
      <c r="D1491" s="38" t="s">
        <v>3135</v>
      </c>
      <c r="E1491" s="38" t="s">
        <v>3136</v>
      </c>
      <c r="F1491" s="38">
        <v>947.57</v>
      </c>
      <c r="G1491" s="38">
        <v>947.57</v>
      </c>
      <c r="H1491" s="38">
        <f t="shared" si="73"/>
        <v>1434</v>
      </c>
      <c r="I1491" s="38">
        <v>924</v>
      </c>
      <c r="J1491" s="38">
        <v>510</v>
      </c>
      <c r="K1491" s="38">
        <v>414</v>
      </c>
      <c r="L1491" s="50">
        <f t="shared" si="74"/>
        <v>28.870292887029287</v>
      </c>
      <c r="M1491" s="38">
        <v>0</v>
      </c>
      <c r="N1491" s="50">
        <f t="shared" si="72"/>
        <v>0</v>
      </c>
      <c r="O1491" s="38">
        <v>0</v>
      </c>
      <c r="P1491" s="38">
        <v>6.41</v>
      </c>
      <c r="Q1491" s="36" t="s">
        <v>43</v>
      </c>
      <c r="R1491" s="14">
        <v>44560</v>
      </c>
      <c r="S1491" s="36"/>
      <c r="T1491" s="36">
        <v>6</v>
      </c>
      <c r="U1491" s="36"/>
      <c r="V1491" s="36"/>
      <c r="W1491" s="36"/>
      <c r="X1491" s="36"/>
      <c r="Y1491" s="36"/>
      <c r="AB1491" s="85"/>
      <c r="AC1491" s="15" t="s">
        <v>3137</v>
      </c>
      <c r="AD1491" s="36"/>
      <c r="AE1491" s="36"/>
    </row>
    <row r="1492" spans="1:31" x14ac:dyDescent="0.25">
      <c r="A1492" s="38" t="s">
        <v>36</v>
      </c>
      <c r="B1492" s="38" t="s">
        <v>2977</v>
      </c>
      <c r="C1492" s="38" t="s">
        <v>3138</v>
      </c>
      <c r="D1492" s="38" t="s">
        <v>3139</v>
      </c>
      <c r="E1492" s="38" t="s">
        <v>3140</v>
      </c>
      <c r="F1492" s="38">
        <v>885.47</v>
      </c>
      <c r="G1492" s="38">
        <v>885.47</v>
      </c>
      <c r="H1492" s="38">
        <f t="shared" si="73"/>
        <v>2370</v>
      </c>
      <c r="I1492" s="38">
        <v>1534</v>
      </c>
      <c r="J1492" s="38">
        <v>836</v>
      </c>
      <c r="K1492" s="38">
        <v>698</v>
      </c>
      <c r="L1492" s="50">
        <f t="shared" si="74"/>
        <v>29.451476793248943</v>
      </c>
      <c r="M1492" s="38">
        <v>229</v>
      </c>
      <c r="N1492" s="50">
        <f t="shared" si="72"/>
        <v>9.6624472573839668</v>
      </c>
      <c r="O1492" s="38">
        <v>0</v>
      </c>
      <c r="P1492" s="38">
        <v>58.12</v>
      </c>
      <c r="Q1492" s="36" t="s">
        <v>43</v>
      </c>
      <c r="R1492" s="14">
        <v>44556</v>
      </c>
      <c r="S1492" s="36"/>
      <c r="T1492" s="36">
        <v>58</v>
      </c>
      <c r="U1492" s="36"/>
      <c r="V1492" s="36"/>
      <c r="W1492" s="36"/>
      <c r="X1492" s="36"/>
      <c r="Y1492" s="36"/>
      <c r="AB1492" s="85"/>
      <c r="AC1492" s="15" t="s">
        <v>3141</v>
      </c>
      <c r="AD1492" s="36"/>
      <c r="AE1492" s="36"/>
    </row>
    <row r="1493" spans="1:31" x14ac:dyDescent="0.25">
      <c r="A1493" s="38" t="s">
        <v>36</v>
      </c>
      <c r="B1493" s="38" t="s">
        <v>2977</v>
      </c>
      <c r="C1493" s="38" t="s">
        <v>3138</v>
      </c>
      <c r="D1493" s="38"/>
      <c r="E1493" s="38"/>
      <c r="F1493" s="38"/>
      <c r="G1493" s="38"/>
      <c r="H1493" s="38">
        <f t="shared" si="73"/>
        <v>0</v>
      </c>
      <c r="I1493" s="38"/>
      <c r="J1493" s="38"/>
      <c r="K1493" s="38"/>
      <c r="L1493" s="50"/>
      <c r="M1493" s="38"/>
      <c r="N1493" s="50"/>
      <c r="O1493" s="38"/>
      <c r="P1493" s="38"/>
      <c r="Q1493" s="35" t="s">
        <v>43</v>
      </c>
      <c r="R1493" s="14">
        <v>44556</v>
      </c>
      <c r="S1493" s="181"/>
      <c r="T1493" s="35"/>
      <c r="U1493" s="35"/>
      <c r="V1493" s="35"/>
      <c r="W1493" s="35"/>
      <c r="X1493" s="35"/>
      <c r="Y1493" s="35"/>
      <c r="AB1493" s="181">
        <v>17</v>
      </c>
      <c r="AC1493" s="181" t="s">
        <v>3142</v>
      </c>
      <c r="AD1493" s="181">
        <v>24.844937999999999</v>
      </c>
      <c r="AE1493" s="181">
        <v>71.192074000000005</v>
      </c>
    </row>
    <row r="1494" spans="1:31" x14ac:dyDescent="0.25">
      <c r="A1494" s="38" t="s">
        <v>36</v>
      </c>
      <c r="B1494" s="38" t="s">
        <v>2977</v>
      </c>
      <c r="C1494" s="38" t="s">
        <v>3138</v>
      </c>
      <c r="D1494" s="38"/>
      <c r="E1494" s="38"/>
      <c r="F1494" s="38"/>
      <c r="G1494" s="38"/>
      <c r="H1494" s="38">
        <f t="shared" si="73"/>
        <v>0</v>
      </c>
      <c r="I1494" s="38"/>
      <c r="J1494" s="38"/>
      <c r="K1494" s="38"/>
      <c r="L1494" s="50"/>
      <c r="M1494" s="38"/>
      <c r="N1494" s="50"/>
      <c r="O1494" s="38"/>
      <c r="P1494" s="38"/>
      <c r="Q1494" s="35"/>
      <c r="R1494" s="14">
        <v>44556</v>
      </c>
      <c r="S1494" s="181"/>
      <c r="T1494" s="35"/>
      <c r="U1494" s="35"/>
      <c r="V1494" s="35"/>
      <c r="W1494" s="35"/>
      <c r="X1494" s="35"/>
      <c r="Y1494" s="35"/>
      <c r="AB1494" s="181">
        <v>20</v>
      </c>
      <c r="AC1494" s="181" t="s">
        <v>3144</v>
      </c>
      <c r="AD1494" s="181">
        <v>24.844930999999999</v>
      </c>
      <c r="AE1494" s="181">
        <v>71.192077999999995</v>
      </c>
    </row>
    <row r="1495" spans="1:31" x14ac:dyDescent="0.25">
      <c r="A1495" s="38" t="s">
        <v>36</v>
      </c>
      <c r="B1495" s="38" t="s">
        <v>2977</v>
      </c>
      <c r="C1495" s="38" t="s">
        <v>3138</v>
      </c>
      <c r="D1495" s="38"/>
      <c r="E1495" s="38"/>
      <c r="F1495" s="38"/>
      <c r="G1495" s="38"/>
      <c r="H1495" s="38">
        <f t="shared" si="73"/>
        <v>0</v>
      </c>
      <c r="I1495" s="38"/>
      <c r="J1495" s="38"/>
      <c r="K1495" s="38"/>
      <c r="L1495" s="50"/>
      <c r="M1495" s="38"/>
      <c r="N1495" s="50"/>
      <c r="O1495" s="38"/>
      <c r="P1495" s="38"/>
      <c r="Q1495" s="35"/>
      <c r="R1495" s="14">
        <v>44556</v>
      </c>
      <c r="S1495" s="181"/>
      <c r="T1495" s="35"/>
      <c r="U1495" s="35"/>
      <c r="V1495" s="35"/>
      <c r="W1495" s="35"/>
      <c r="X1495" s="35"/>
      <c r="Y1495" s="35"/>
      <c r="AB1495" s="181">
        <v>20</v>
      </c>
      <c r="AC1495" s="181" t="s">
        <v>3145</v>
      </c>
      <c r="AD1495" s="181">
        <v>24.844811</v>
      </c>
      <c r="AE1495" s="181">
        <v>71.192171999999999</v>
      </c>
    </row>
    <row r="1496" spans="1:31" x14ac:dyDescent="0.25">
      <c r="A1496" s="38" t="s">
        <v>36</v>
      </c>
      <c r="B1496" s="38" t="s">
        <v>2977</v>
      </c>
      <c r="C1496" s="38" t="s">
        <v>3138</v>
      </c>
      <c r="D1496" s="38"/>
      <c r="E1496" s="38"/>
      <c r="F1496" s="38"/>
      <c r="G1496" s="38"/>
      <c r="H1496" s="38">
        <f t="shared" si="73"/>
        <v>0</v>
      </c>
      <c r="I1496" s="38"/>
      <c r="J1496" s="38"/>
      <c r="K1496" s="38"/>
      <c r="L1496" s="50"/>
      <c r="M1496" s="38"/>
      <c r="N1496" s="50"/>
      <c r="O1496" s="38"/>
      <c r="P1496" s="38"/>
      <c r="Q1496" s="35"/>
      <c r="R1496" s="14">
        <v>44556</v>
      </c>
      <c r="S1496" s="181"/>
      <c r="T1496" s="35"/>
      <c r="U1496" s="35"/>
      <c r="V1496" s="35"/>
      <c r="W1496" s="35"/>
      <c r="X1496" s="35"/>
      <c r="Y1496" s="35"/>
      <c r="AB1496" s="181">
        <v>18</v>
      </c>
      <c r="AC1496" s="181" t="s">
        <v>3146</v>
      </c>
      <c r="AD1496" s="181">
        <v>24.844937999999999</v>
      </c>
      <c r="AE1496" s="181">
        <v>71.192074000000005</v>
      </c>
    </row>
    <row r="1497" spans="1:31" ht="22.5" x14ac:dyDescent="0.25">
      <c r="A1497" s="38" t="s">
        <v>36</v>
      </c>
      <c r="B1497" s="38" t="s">
        <v>2977</v>
      </c>
      <c r="C1497" s="38" t="s">
        <v>3138</v>
      </c>
      <c r="D1497" s="77" t="s">
        <v>3143</v>
      </c>
      <c r="E1497" s="38"/>
      <c r="F1497" s="38"/>
      <c r="G1497" s="38"/>
      <c r="H1497" s="38">
        <f t="shared" si="73"/>
        <v>0</v>
      </c>
      <c r="I1497" s="38"/>
      <c r="J1497" s="38"/>
      <c r="K1497" s="38"/>
      <c r="L1497" s="50"/>
      <c r="M1497" s="38"/>
      <c r="N1497" s="50"/>
      <c r="O1497" s="38"/>
      <c r="P1497" s="38"/>
      <c r="Q1497" s="35"/>
      <c r="R1497" s="14">
        <v>44556</v>
      </c>
      <c r="S1497" s="181"/>
      <c r="T1497" s="35"/>
      <c r="U1497" s="35"/>
      <c r="V1497" s="35"/>
      <c r="W1497" s="35"/>
      <c r="X1497" s="35"/>
      <c r="Y1497" s="35"/>
      <c r="AB1497" s="181">
        <v>20</v>
      </c>
      <c r="AC1497" s="181" t="s">
        <v>3147</v>
      </c>
      <c r="AD1497" s="181">
        <v>24.844933999999999</v>
      </c>
      <c r="AE1497" s="181">
        <v>71.192076</v>
      </c>
    </row>
    <row r="1498" spans="1:31" x14ac:dyDescent="0.25">
      <c r="A1498" s="38" t="s">
        <v>36</v>
      </c>
      <c r="B1498" s="38" t="s">
        <v>2977</v>
      </c>
      <c r="C1498" s="38" t="s">
        <v>3138</v>
      </c>
      <c r="D1498" s="77" t="s">
        <v>3143</v>
      </c>
      <c r="E1498" s="38"/>
      <c r="F1498" s="38"/>
      <c r="G1498" s="38"/>
      <c r="H1498" s="38">
        <f t="shared" si="73"/>
        <v>0</v>
      </c>
      <c r="I1498" s="38"/>
      <c r="J1498" s="38"/>
      <c r="K1498" s="38"/>
      <c r="L1498" s="50"/>
      <c r="M1498" s="38"/>
      <c r="N1498" s="50"/>
      <c r="O1498" s="38"/>
      <c r="P1498" s="38"/>
      <c r="Q1498" s="35" t="s">
        <v>43</v>
      </c>
      <c r="R1498" s="14">
        <v>44556</v>
      </c>
      <c r="S1498" s="187"/>
      <c r="T1498" s="35"/>
      <c r="U1498" s="35"/>
      <c r="V1498" s="35"/>
      <c r="W1498" s="35"/>
      <c r="X1498" s="35"/>
      <c r="Y1498" s="35"/>
      <c r="AB1498" s="181">
        <v>18</v>
      </c>
      <c r="AC1498" s="35" t="s">
        <v>3148</v>
      </c>
      <c r="AD1498" s="35">
        <v>24.868157</v>
      </c>
      <c r="AE1498" s="187">
        <v>71.194230000000005</v>
      </c>
    </row>
    <row r="1499" spans="1:31" x14ac:dyDescent="0.25">
      <c r="A1499" s="38" t="s">
        <v>36</v>
      </c>
      <c r="B1499" s="38" t="s">
        <v>2977</v>
      </c>
      <c r="C1499" s="38" t="s">
        <v>3138</v>
      </c>
      <c r="D1499" s="77" t="s">
        <v>3143</v>
      </c>
      <c r="E1499" s="38"/>
      <c r="F1499" s="38"/>
      <c r="G1499" s="38"/>
      <c r="H1499" s="38">
        <f t="shared" si="73"/>
        <v>0</v>
      </c>
      <c r="I1499" s="38"/>
      <c r="J1499" s="38"/>
      <c r="K1499" s="38"/>
      <c r="L1499" s="50"/>
      <c r="M1499" s="38"/>
      <c r="N1499" s="50"/>
      <c r="O1499" s="38"/>
      <c r="P1499" s="38"/>
      <c r="Q1499" s="35"/>
      <c r="R1499" s="14">
        <v>44556</v>
      </c>
      <c r="S1499" s="181"/>
      <c r="T1499" s="35"/>
      <c r="U1499" s="35"/>
      <c r="V1499" s="35"/>
      <c r="W1499" s="35"/>
      <c r="X1499" s="35"/>
      <c r="Y1499" s="35"/>
      <c r="AB1499" s="181">
        <v>18</v>
      </c>
      <c r="AC1499" s="35" t="s">
        <v>3150</v>
      </c>
      <c r="AD1499" s="181">
        <v>24.864381000000002</v>
      </c>
      <c r="AE1499" s="181">
        <v>71.206132999999994</v>
      </c>
    </row>
    <row r="1500" spans="1:31" x14ac:dyDescent="0.25">
      <c r="A1500" s="38" t="s">
        <v>36</v>
      </c>
      <c r="B1500" s="38" t="s">
        <v>2977</v>
      </c>
      <c r="C1500" s="38" t="s">
        <v>3138</v>
      </c>
      <c r="D1500" s="77" t="s">
        <v>3143</v>
      </c>
      <c r="E1500" s="38"/>
      <c r="F1500" s="38"/>
      <c r="G1500" s="38"/>
      <c r="H1500" s="38">
        <f t="shared" si="73"/>
        <v>0</v>
      </c>
      <c r="I1500" s="38"/>
      <c r="J1500" s="38"/>
      <c r="K1500" s="38"/>
      <c r="L1500" s="50"/>
      <c r="M1500" s="38"/>
      <c r="N1500" s="50"/>
      <c r="O1500" s="38"/>
      <c r="P1500" s="38"/>
      <c r="Q1500" s="35"/>
      <c r="R1500" s="14"/>
      <c r="S1500" s="181"/>
      <c r="T1500" s="35"/>
      <c r="U1500" s="35"/>
      <c r="V1500" s="35"/>
      <c r="W1500" s="35"/>
      <c r="X1500" s="35"/>
      <c r="Y1500" s="35"/>
      <c r="AB1500" s="181">
        <v>20</v>
      </c>
      <c r="AC1500" s="35" t="s">
        <v>3151</v>
      </c>
      <c r="AD1500" s="181">
        <v>24.864383</v>
      </c>
      <c r="AE1500" s="181">
        <v>71.206121999999993</v>
      </c>
    </row>
    <row r="1501" spans="1:31" x14ac:dyDescent="0.25">
      <c r="A1501" s="38" t="s">
        <v>36</v>
      </c>
      <c r="B1501" s="38" t="s">
        <v>2977</v>
      </c>
      <c r="C1501" s="38" t="s">
        <v>3138</v>
      </c>
      <c r="D1501" s="77" t="s">
        <v>3143</v>
      </c>
      <c r="E1501" s="38"/>
      <c r="F1501" s="38"/>
      <c r="G1501" s="38"/>
      <c r="H1501" s="38">
        <f t="shared" si="73"/>
        <v>0</v>
      </c>
      <c r="I1501" s="38"/>
      <c r="J1501" s="38"/>
      <c r="K1501" s="38"/>
      <c r="L1501" s="50"/>
      <c r="M1501" s="38"/>
      <c r="N1501" s="50"/>
      <c r="O1501" s="38"/>
      <c r="P1501" s="38"/>
      <c r="Q1501" s="36" t="s">
        <v>43</v>
      </c>
      <c r="R1501" s="14">
        <v>44556</v>
      </c>
      <c r="S1501" s="97"/>
      <c r="T1501" s="36"/>
      <c r="U1501" s="36"/>
      <c r="V1501" s="36"/>
      <c r="W1501" s="36"/>
      <c r="X1501" s="36"/>
      <c r="Y1501" s="36"/>
      <c r="AB1501" s="181">
        <v>18</v>
      </c>
      <c r="AC1501" s="15" t="s">
        <v>3141</v>
      </c>
      <c r="AD1501" s="36">
        <v>24.885303</v>
      </c>
      <c r="AE1501" s="97">
        <v>71.143985000000001</v>
      </c>
    </row>
    <row r="1502" spans="1:31" x14ac:dyDescent="0.25">
      <c r="A1502" s="38" t="s">
        <v>36</v>
      </c>
      <c r="B1502" s="38" t="s">
        <v>2977</v>
      </c>
      <c r="C1502" s="38" t="s">
        <v>3138</v>
      </c>
      <c r="D1502" s="77" t="s">
        <v>3149</v>
      </c>
      <c r="E1502" s="38"/>
      <c r="F1502" s="38"/>
      <c r="G1502" s="38"/>
      <c r="H1502" s="38">
        <f t="shared" si="73"/>
        <v>0</v>
      </c>
      <c r="I1502" s="38"/>
      <c r="J1502" s="38"/>
      <c r="K1502" s="38"/>
      <c r="L1502" s="50"/>
      <c r="M1502" s="38"/>
      <c r="N1502" s="50"/>
      <c r="O1502" s="38"/>
      <c r="P1502" s="38"/>
      <c r="Q1502" s="36" t="s">
        <v>43</v>
      </c>
      <c r="R1502" s="14">
        <v>44556</v>
      </c>
      <c r="S1502" s="97"/>
      <c r="T1502" s="36"/>
      <c r="U1502" s="36"/>
      <c r="V1502" s="36"/>
      <c r="W1502" s="36"/>
      <c r="X1502" s="36"/>
      <c r="Y1502" s="36"/>
      <c r="AB1502" s="181">
        <v>17</v>
      </c>
      <c r="AC1502" s="15" t="s">
        <v>3141</v>
      </c>
      <c r="AD1502" s="36">
        <v>24.88531</v>
      </c>
      <c r="AE1502" s="97">
        <v>71.143985000000001</v>
      </c>
    </row>
    <row r="1503" spans="1:31" x14ac:dyDescent="0.25">
      <c r="A1503" s="38" t="s">
        <v>36</v>
      </c>
      <c r="B1503" s="38" t="s">
        <v>2977</v>
      </c>
      <c r="C1503" s="38" t="s">
        <v>3138</v>
      </c>
      <c r="D1503" s="77" t="s">
        <v>3149</v>
      </c>
      <c r="E1503" s="38" t="s">
        <v>3140</v>
      </c>
      <c r="F1503" s="38"/>
      <c r="G1503" s="38"/>
      <c r="H1503" s="38">
        <f t="shared" si="73"/>
        <v>0</v>
      </c>
      <c r="I1503" s="38"/>
      <c r="J1503" s="38"/>
      <c r="K1503" s="38"/>
      <c r="L1503" s="50"/>
      <c r="M1503" s="38"/>
      <c r="N1503" s="50"/>
      <c r="O1503" s="38">
        <v>0</v>
      </c>
      <c r="P1503" s="38">
        <v>58.12</v>
      </c>
      <c r="Q1503" s="35" t="s">
        <v>43</v>
      </c>
      <c r="R1503" s="14">
        <v>44556</v>
      </c>
      <c r="S1503" s="35"/>
      <c r="T1503" s="35">
        <v>134</v>
      </c>
      <c r="U1503" s="35"/>
      <c r="V1503" s="35"/>
      <c r="W1503" s="35"/>
      <c r="X1503" s="35"/>
      <c r="Y1503" s="35"/>
      <c r="AB1503" s="94"/>
      <c r="AC1503" s="35" t="s">
        <v>3152</v>
      </c>
      <c r="AD1503" s="35">
        <v>24.837430000000001</v>
      </c>
      <c r="AE1503" s="35">
        <v>71.179773999999995</v>
      </c>
    </row>
    <row r="1504" spans="1:31" x14ac:dyDescent="0.25">
      <c r="A1504" s="38" t="s">
        <v>36</v>
      </c>
      <c r="B1504" s="38" t="s">
        <v>2977</v>
      </c>
      <c r="C1504" s="38" t="s">
        <v>3138</v>
      </c>
      <c r="D1504" s="77" t="s">
        <v>3149</v>
      </c>
      <c r="E1504" s="38" t="s">
        <v>3140</v>
      </c>
      <c r="F1504" s="38"/>
      <c r="G1504" s="38"/>
      <c r="H1504" s="38">
        <f t="shared" si="73"/>
        <v>0</v>
      </c>
      <c r="I1504" s="38"/>
      <c r="J1504" s="38"/>
      <c r="K1504" s="38"/>
      <c r="L1504" s="50"/>
      <c r="M1504" s="38"/>
      <c r="N1504" s="50"/>
      <c r="O1504" s="38">
        <v>0</v>
      </c>
      <c r="P1504" s="38">
        <v>58.12</v>
      </c>
      <c r="Q1504" s="35" t="s">
        <v>43</v>
      </c>
      <c r="R1504" s="14">
        <v>44556</v>
      </c>
      <c r="S1504" s="35"/>
      <c r="T1504" s="35">
        <v>110</v>
      </c>
      <c r="U1504" s="35"/>
      <c r="V1504" s="35"/>
      <c r="W1504" s="35"/>
      <c r="X1504" s="35"/>
      <c r="Y1504" s="35"/>
      <c r="AB1504" s="94"/>
      <c r="AC1504" s="35" t="s">
        <v>3153</v>
      </c>
      <c r="AD1504" s="35">
        <v>24.868157</v>
      </c>
      <c r="AE1504" s="35">
        <v>71.194230000000005</v>
      </c>
    </row>
    <row r="1505" spans="1:31" x14ac:dyDescent="0.25">
      <c r="A1505" s="38" t="s">
        <v>36</v>
      </c>
      <c r="B1505" s="38" t="s">
        <v>2977</v>
      </c>
      <c r="C1505" s="38" t="s">
        <v>3138</v>
      </c>
      <c r="D1505" s="15" t="s">
        <v>3141</v>
      </c>
      <c r="E1505" s="38" t="s">
        <v>3154</v>
      </c>
      <c r="F1505" s="38">
        <v>1197.68</v>
      </c>
      <c r="G1505" s="38">
        <v>1197.68</v>
      </c>
      <c r="H1505" s="38">
        <f t="shared" si="73"/>
        <v>1777</v>
      </c>
      <c r="I1505" s="38">
        <v>1176</v>
      </c>
      <c r="J1505" s="38">
        <v>601</v>
      </c>
      <c r="K1505" s="38">
        <v>575</v>
      </c>
      <c r="L1505" s="50">
        <f t="shared" si="74"/>
        <v>32.357906584130561</v>
      </c>
      <c r="M1505" s="38">
        <v>58</v>
      </c>
      <c r="N1505" s="50">
        <f t="shared" si="72"/>
        <v>3.2639279684862124</v>
      </c>
      <c r="O1505" s="38">
        <v>0</v>
      </c>
      <c r="P1505" s="38">
        <v>134.05000000000001</v>
      </c>
      <c r="Q1505" s="7" t="s">
        <v>43</v>
      </c>
      <c r="R1505" s="10"/>
      <c r="S1505" s="34"/>
      <c r="T1505" s="233">
        <v>134</v>
      </c>
      <c r="U1505" s="10"/>
      <c r="V1505" s="10"/>
      <c r="W1505" s="10"/>
      <c r="X1505" s="10"/>
      <c r="Y1505" s="10"/>
      <c r="AB1505" s="20">
        <v>95</v>
      </c>
      <c r="AC1505" s="34" t="s">
        <v>3155</v>
      </c>
      <c r="AD1505" s="34">
        <v>24.837430000000001</v>
      </c>
      <c r="AE1505" s="34">
        <v>71.179773999999995</v>
      </c>
    </row>
    <row r="1506" spans="1:31" x14ac:dyDescent="0.25">
      <c r="A1506" s="38" t="s">
        <v>36</v>
      </c>
      <c r="B1506" s="38" t="s">
        <v>2977</v>
      </c>
      <c r="C1506" s="38" t="s">
        <v>3138</v>
      </c>
      <c r="D1506" s="15" t="s">
        <v>3141</v>
      </c>
      <c r="E1506" s="38" t="s">
        <v>3156</v>
      </c>
      <c r="F1506" s="38">
        <v>759.1</v>
      </c>
      <c r="G1506" s="38">
        <v>759.1</v>
      </c>
      <c r="H1506" s="38">
        <f t="shared" si="73"/>
        <v>1249</v>
      </c>
      <c r="I1506" s="38">
        <v>825</v>
      </c>
      <c r="J1506" s="38">
        <v>424</v>
      </c>
      <c r="K1506" s="38">
        <v>401</v>
      </c>
      <c r="L1506" s="50">
        <f t="shared" si="74"/>
        <v>32.105684547638106</v>
      </c>
      <c r="M1506" s="38">
        <v>14</v>
      </c>
      <c r="N1506" s="50">
        <f t="shared" si="72"/>
        <v>1.1208967173738991</v>
      </c>
      <c r="O1506" s="38">
        <v>0</v>
      </c>
      <c r="P1506" s="38">
        <v>110.01</v>
      </c>
    </row>
    <row r="1507" spans="1:31" x14ac:dyDescent="0.25">
      <c r="A1507" s="38" t="s">
        <v>36</v>
      </c>
      <c r="B1507" s="38" t="s">
        <v>3157</v>
      </c>
      <c r="C1507" s="38" t="s">
        <v>3158</v>
      </c>
      <c r="D1507" s="38" t="s">
        <v>3159</v>
      </c>
      <c r="E1507" s="38" t="s">
        <v>3160</v>
      </c>
      <c r="F1507" s="38">
        <v>3090</v>
      </c>
      <c r="G1507" s="38">
        <v>3090</v>
      </c>
      <c r="H1507" s="38">
        <f t="shared" si="73"/>
        <v>1500</v>
      </c>
      <c r="I1507" s="38">
        <v>949</v>
      </c>
      <c r="J1507" s="38">
        <v>551</v>
      </c>
      <c r="K1507" s="38">
        <v>398</v>
      </c>
      <c r="L1507" s="50">
        <f t="shared" si="74"/>
        <v>26.533333333333331</v>
      </c>
      <c r="M1507" s="38">
        <v>56</v>
      </c>
      <c r="N1507" s="50">
        <f t="shared" si="72"/>
        <v>3.7333333333333338</v>
      </c>
      <c r="O1507" s="38">
        <v>0</v>
      </c>
      <c r="P1507" s="38">
        <v>252</v>
      </c>
      <c r="Q1507" s="61" t="s">
        <v>43</v>
      </c>
      <c r="R1507" s="17">
        <v>44544</v>
      </c>
      <c r="S1507" s="61"/>
      <c r="T1507" s="61">
        <v>252</v>
      </c>
      <c r="U1507" s="61"/>
      <c r="V1507" s="61"/>
      <c r="W1507" s="61"/>
      <c r="X1507" s="61"/>
      <c r="Y1507" s="61"/>
      <c r="Z1507" s="20"/>
      <c r="AB1507" s="20"/>
      <c r="AC1507" s="11" t="s">
        <v>3161</v>
      </c>
      <c r="AD1507" s="61"/>
      <c r="AE1507" s="61"/>
    </row>
    <row r="1508" spans="1:31" x14ac:dyDescent="0.25">
      <c r="A1508" s="38" t="s">
        <v>36</v>
      </c>
      <c r="B1508" s="38" t="s">
        <v>3157</v>
      </c>
      <c r="C1508" s="38" t="s">
        <v>3158</v>
      </c>
      <c r="D1508" s="38" t="s">
        <v>3162</v>
      </c>
      <c r="E1508" s="38" t="s">
        <v>3163</v>
      </c>
      <c r="F1508" s="38">
        <v>1537</v>
      </c>
      <c r="G1508" s="38">
        <v>1537</v>
      </c>
      <c r="H1508" s="38">
        <f t="shared" si="73"/>
        <v>685</v>
      </c>
      <c r="I1508" s="38">
        <v>450</v>
      </c>
      <c r="J1508" s="38">
        <v>235</v>
      </c>
      <c r="K1508" s="38">
        <v>215</v>
      </c>
      <c r="L1508" s="50">
        <f t="shared" si="74"/>
        <v>31.386861313868614</v>
      </c>
      <c r="M1508" s="38">
        <v>0</v>
      </c>
      <c r="N1508" s="50">
        <f t="shared" si="72"/>
        <v>0</v>
      </c>
      <c r="O1508" s="38">
        <v>0</v>
      </c>
      <c r="P1508" s="38">
        <v>264</v>
      </c>
      <c r="Q1508" s="61" t="s">
        <v>43</v>
      </c>
      <c r="R1508" s="17">
        <v>44544</v>
      </c>
      <c r="S1508" s="61"/>
      <c r="T1508" s="61">
        <v>264</v>
      </c>
      <c r="U1508" s="61"/>
      <c r="V1508" s="61"/>
      <c r="W1508" s="61"/>
      <c r="X1508" s="61"/>
      <c r="Y1508" s="61"/>
      <c r="Z1508" s="20"/>
      <c r="AB1508" s="20"/>
      <c r="AC1508" s="11" t="s">
        <v>3164</v>
      </c>
      <c r="AD1508" s="61"/>
      <c r="AE1508" s="61"/>
    </row>
    <row r="1509" spans="1:31" x14ac:dyDescent="0.25">
      <c r="A1509" s="38" t="s">
        <v>36</v>
      </c>
      <c r="B1509" s="38" t="s">
        <v>3157</v>
      </c>
      <c r="C1509" s="38" t="s">
        <v>3158</v>
      </c>
      <c r="D1509" s="38" t="s">
        <v>3165</v>
      </c>
      <c r="E1509" s="38" t="s">
        <v>3166</v>
      </c>
      <c r="F1509" s="38">
        <v>3578</v>
      </c>
      <c r="G1509" s="38">
        <v>3578</v>
      </c>
      <c r="H1509" s="38">
        <f t="shared" si="73"/>
        <v>1600</v>
      </c>
      <c r="I1509" s="38">
        <v>1031</v>
      </c>
      <c r="J1509" s="38">
        <v>569</v>
      </c>
      <c r="K1509" s="38">
        <v>462</v>
      </c>
      <c r="L1509" s="50">
        <f t="shared" si="74"/>
        <v>28.875</v>
      </c>
      <c r="M1509" s="38">
        <v>23</v>
      </c>
      <c r="N1509" s="50">
        <f t="shared" si="72"/>
        <v>1.4375</v>
      </c>
      <c r="O1509" s="38">
        <v>57</v>
      </c>
      <c r="P1509" s="38">
        <v>296</v>
      </c>
      <c r="Q1509" s="61" t="s">
        <v>43</v>
      </c>
      <c r="R1509" s="17">
        <v>44544</v>
      </c>
      <c r="S1509" s="61"/>
      <c r="T1509" s="61">
        <v>296</v>
      </c>
      <c r="U1509" s="61"/>
      <c r="V1509" s="61"/>
      <c r="W1509" s="61"/>
      <c r="X1509" s="61"/>
      <c r="Y1509" s="61"/>
      <c r="Z1509" s="20"/>
      <c r="AB1509" s="20"/>
      <c r="AC1509" s="11" t="s">
        <v>3167</v>
      </c>
      <c r="AD1509" s="61"/>
      <c r="AE1509" s="61"/>
    </row>
    <row r="1510" spans="1:31" x14ac:dyDescent="0.25">
      <c r="A1510" s="38" t="s">
        <v>36</v>
      </c>
      <c r="B1510" s="38" t="s">
        <v>3157</v>
      </c>
      <c r="C1510" s="38" t="s">
        <v>3168</v>
      </c>
      <c r="D1510" s="38" t="s">
        <v>3168</v>
      </c>
      <c r="E1510" s="38" t="s">
        <v>3169</v>
      </c>
      <c r="F1510" s="38">
        <v>1444</v>
      </c>
      <c r="G1510" s="38">
        <v>1444</v>
      </c>
      <c r="H1510" s="38">
        <f t="shared" si="73"/>
        <v>781</v>
      </c>
      <c r="I1510" s="38">
        <v>514</v>
      </c>
      <c r="J1510" s="38">
        <v>267</v>
      </c>
      <c r="K1510" s="38">
        <v>247</v>
      </c>
      <c r="L1510" s="50">
        <f t="shared" si="74"/>
        <v>31.626120358514726</v>
      </c>
      <c r="M1510" s="38">
        <v>0</v>
      </c>
      <c r="N1510" s="50">
        <f t="shared" si="72"/>
        <v>0</v>
      </c>
      <c r="O1510" s="38">
        <v>0</v>
      </c>
      <c r="P1510" s="38">
        <v>146</v>
      </c>
      <c r="Q1510" s="34" t="s">
        <v>43</v>
      </c>
      <c r="R1510" s="17">
        <v>44565</v>
      </c>
      <c r="S1510" s="34"/>
      <c r="T1510" s="34">
        <v>146</v>
      </c>
      <c r="U1510" s="34"/>
      <c r="V1510" s="34"/>
      <c r="W1510" s="34"/>
      <c r="X1510" s="34"/>
      <c r="Y1510" s="34"/>
      <c r="Z1510" s="89"/>
      <c r="AB1510" s="89">
        <v>17</v>
      </c>
      <c r="AC1510" s="34" t="s">
        <v>3170</v>
      </c>
      <c r="AD1510" s="34">
        <v>26.066917</v>
      </c>
      <c r="AE1510" s="34">
        <v>70.761927999999997</v>
      </c>
    </row>
    <row r="1511" spans="1:31" x14ac:dyDescent="0.25">
      <c r="A1511" s="38" t="s">
        <v>36</v>
      </c>
      <c r="B1511" s="38" t="s">
        <v>3157</v>
      </c>
      <c r="C1511" s="38" t="s">
        <v>3168</v>
      </c>
      <c r="D1511" s="38" t="s">
        <v>3171</v>
      </c>
      <c r="E1511" s="38" t="s">
        <v>3172</v>
      </c>
      <c r="F1511" s="38">
        <v>2523</v>
      </c>
      <c r="G1511" s="38">
        <v>2523</v>
      </c>
      <c r="H1511" s="38">
        <f t="shared" si="73"/>
        <v>2319</v>
      </c>
      <c r="I1511" s="38">
        <v>1528</v>
      </c>
      <c r="J1511" s="38">
        <v>791</v>
      </c>
      <c r="K1511" s="38">
        <v>737</v>
      </c>
      <c r="L1511" s="50">
        <f t="shared" si="74"/>
        <v>31.780940060370849</v>
      </c>
      <c r="M1511" s="38">
        <v>146</v>
      </c>
      <c r="N1511" s="50">
        <f t="shared" si="72"/>
        <v>6.2958171625700734</v>
      </c>
      <c r="O1511" s="38">
        <v>0</v>
      </c>
      <c r="P1511" s="38">
        <v>811</v>
      </c>
      <c r="Q1511" s="34" t="s">
        <v>43</v>
      </c>
      <c r="R1511" s="17">
        <v>44565</v>
      </c>
      <c r="S1511" s="34"/>
      <c r="T1511" s="34">
        <v>811</v>
      </c>
      <c r="U1511" s="34"/>
      <c r="V1511" s="34"/>
      <c r="W1511" s="34"/>
      <c r="X1511" s="34"/>
      <c r="Y1511" s="34"/>
      <c r="Z1511" s="89"/>
      <c r="AB1511" s="89">
        <v>18</v>
      </c>
      <c r="AC1511" s="34" t="s">
        <v>3173</v>
      </c>
      <c r="AD1511" s="34">
        <v>26.019957999999999</v>
      </c>
      <c r="AE1511" s="34">
        <v>70.789467000000002</v>
      </c>
    </row>
    <row r="1512" spans="1:31" x14ac:dyDescent="0.25">
      <c r="A1512" s="38" t="s">
        <v>36</v>
      </c>
      <c r="B1512" s="38" t="s">
        <v>3157</v>
      </c>
      <c r="C1512" s="38" t="s">
        <v>3168</v>
      </c>
      <c r="D1512" s="38" t="s">
        <v>3174</v>
      </c>
      <c r="E1512" s="38" t="s">
        <v>3175</v>
      </c>
      <c r="F1512" s="38">
        <v>6589</v>
      </c>
      <c r="G1512" s="38">
        <v>6589</v>
      </c>
      <c r="H1512" s="38">
        <f t="shared" si="73"/>
        <v>2120</v>
      </c>
      <c r="I1512" s="38">
        <v>1382</v>
      </c>
      <c r="J1512" s="38">
        <v>738</v>
      </c>
      <c r="K1512" s="38">
        <v>644</v>
      </c>
      <c r="L1512" s="50">
        <f t="shared" si="74"/>
        <v>30.377358490566035</v>
      </c>
      <c r="M1512" s="38">
        <v>63</v>
      </c>
      <c r="N1512" s="50">
        <f t="shared" si="72"/>
        <v>2.9716981132075473</v>
      </c>
      <c r="O1512" s="38">
        <v>0</v>
      </c>
      <c r="P1512" s="38">
        <v>2785</v>
      </c>
      <c r="Q1512" s="34" t="s">
        <v>43</v>
      </c>
      <c r="R1512" s="17">
        <v>44565</v>
      </c>
      <c r="S1512" s="34"/>
      <c r="T1512" s="34">
        <v>2785</v>
      </c>
      <c r="U1512" s="34"/>
      <c r="V1512" s="34"/>
      <c r="W1512" s="34"/>
      <c r="X1512" s="34"/>
      <c r="Y1512" s="34"/>
      <c r="Z1512" s="89"/>
      <c r="AB1512" s="89">
        <v>18</v>
      </c>
      <c r="AC1512" s="34" t="s">
        <v>3176</v>
      </c>
      <c r="AD1512" s="34">
        <v>26.113244000000002</v>
      </c>
      <c r="AE1512" s="34">
        <v>70.756054000000006</v>
      </c>
    </row>
    <row r="1513" spans="1:31" x14ac:dyDescent="0.25">
      <c r="A1513" s="38" t="s">
        <v>36</v>
      </c>
      <c r="B1513" s="38" t="s">
        <v>3157</v>
      </c>
      <c r="C1513" s="38" t="s">
        <v>3177</v>
      </c>
      <c r="D1513" s="38" t="s">
        <v>3178</v>
      </c>
      <c r="E1513" s="38" t="s">
        <v>3179</v>
      </c>
      <c r="F1513" s="38">
        <v>4982</v>
      </c>
      <c r="G1513" s="38">
        <v>4982</v>
      </c>
      <c r="H1513" s="38">
        <f t="shared" si="73"/>
        <v>4048</v>
      </c>
      <c r="I1513" s="38">
        <v>2663</v>
      </c>
      <c r="J1513" s="38">
        <v>1385</v>
      </c>
      <c r="K1513" s="38">
        <v>1278</v>
      </c>
      <c r="L1513" s="50">
        <f t="shared" si="74"/>
        <v>31.571146245059289</v>
      </c>
      <c r="M1513" s="38">
        <v>436</v>
      </c>
      <c r="N1513" s="50">
        <f t="shared" si="72"/>
        <v>10.770750988142293</v>
      </c>
      <c r="O1513" s="38">
        <v>0</v>
      </c>
      <c r="P1513" s="38">
        <v>580</v>
      </c>
      <c r="Q1513" s="34" t="s">
        <v>43</v>
      </c>
      <c r="R1513" s="17">
        <v>44581</v>
      </c>
      <c r="S1513" s="34"/>
      <c r="T1513" s="34">
        <v>580</v>
      </c>
      <c r="U1513" s="34"/>
      <c r="V1513" s="34"/>
      <c r="W1513" s="34"/>
      <c r="X1513" s="34"/>
      <c r="Y1513" s="34"/>
      <c r="Z1513" s="109"/>
      <c r="AB1513" s="109"/>
      <c r="AC1513" s="34" t="s">
        <v>3180</v>
      </c>
      <c r="AD1513" s="34"/>
      <c r="AE1513" s="34"/>
    </row>
    <row r="1514" spans="1:31" x14ac:dyDescent="0.25">
      <c r="A1514" s="38" t="s">
        <v>36</v>
      </c>
      <c r="B1514" s="38" t="s">
        <v>3157</v>
      </c>
      <c r="C1514" s="38" t="s">
        <v>3177</v>
      </c>
      <c r="D1514" s="38" t="s">
        <v>3181</v>
      </c>
      <c r="E1514" s="38" t="s">
        <v>3182</v>
      </c>
      <c r="F1514" s="38">
        <v>4399</v>
      </c>
      <c r="G1514" s="38">
        <v>4399</v>
      </c>
      <c r="H1514" s="38">
        <f t="shared" si="73"/>
        <v>1605</v>
      </c>
      <c r="I1514" s="38">
        <v>1039</v>
      </c>
      <c r="J1514" s="38">
        <v>566</v>
      </c>
      <c r="K1514" s="38">
        <v>473</v>
      </c>
      <c r="L1514" s="50">
        <f t="shared" si="74"/>
        <v>29.470404984423677</v>
      </c>
      <c r="M1514" s="38">
        <v>70</v>
      </c>
      <c r="N1514" s="50">
        <f t="shared" si="72"/>
        <v>4.361370716510903</v>
      </c>
      <c r="O1514" s="38">
        <v>0</v>
      </c>
      <c r="P1514" s="38">
        <v>197</v>
      </c>
      <c r="Q1514" s="34" t="s">
        <v>160</v>
      </c>
      <c r="R1514" s="17">
        <v>44581</v>
      </c>
      <c r="S1514" s="34"/>
      <c r="T1514" s="34">
        <v>197</v>
      </c>
      <c r="U1514" s="34"/>
      <c r="V1514" s="34"/>
      <c r="W1514" s="34"/>
      <c r="X1514" s="34"/>
      <c r="Y1514" s="34"/>
      <c r="Z1514" s="20"/>
      <c r="AB1514" s="20">
        <v>12</v>
      </c>
      <c r="AC1514" s="11" t="s">
        <v>3183</v>
      </c>
      <c r="AD1514" s="34">
        <v>25.923738</v>
      </c>
      <c r="AE1514" s="34">
        <v>70.889382999999995</v>
      </c>
    </row>
    <row r="1515" spans="1:31" x14ac:dyDescent="0.25">
      <c r="A1515" s="38" t="s">
        <v>36</v>
      </c>
      <c r="B1515" s="38" t="s">
        <v>3157</v>
      </c>
      <c r="C1515" s="38" t="s">
        <v>3177</v>
      </c>
      <c r="D1515" s="38" t="s">
        <v>3184</v>
      </c>
      <c r="E1515" s="38" t="s">
        <v>3185</v>
      </c>
      <c r="F1515" s="38">
        <v>3380</v>
      </c>
      <c r="G1515" s="38">
        <v>3380</v>
      </c>
      <c r="H1515" s="38">
        <f t="shared" si="73"/>
        <v>1237</v>
      </c>
      <c r="I1515" s="38">
        <v>790</v>
      </c>
      <c r="J1515" s="38">
        <v>447</v>
      </c>
      <c r="K1515" s="38">
        <v>343</v>
      </c>
      <c r="L1515" s="50">
        <f t="shared" si="74"/>
        <v>27.728375101050929</v>
      </c>
      <c r="M1515" s="38">
        <v>49</v>
      </c>
      <c r="N1515" s="50">
        <f t="shared" si="72"/>
        <v>3.9611964430072755</v>
      </c>
      <c r="O1515" s="38">
        <v>0</v>
      </c>
      <c r="P1515" s="38">
        <v>1086</v>
      </c>
      <c r="Q1515" s="61" t="s">
        <v>43</v>
      </c>
      <c r="R1515" s="17">
        <v>44581</v>
      </c>
      <c r="S1515" s="61"/>
      <c r="T1515" s="61">
        <v>180</v>
      </c>
      <c r="U1515" s="61"/>
      <c r="V1515" s="61"/>
      <c r="W1515" s="61"/>
      <c r="X1515" s="61"/>
      <c r="Y1515" s="61"/>
      <c r="Z1515" s="20"/>
      <c r="AB1515" s="20"/>
      <c r="AC1515" s="11" t="s">
        <v>3186</v>
      </c>
      <c r="AD1515" s="61"/>
      <c r="AE1515" s="61"/>
    </row>
    <row r="1516" spans="1:31" x14ac:dyDescent="0.25">
      <c r="A1516" s="38" t="s">
        <v>36</v>
      </c>
      <c r="B1516" s="38" t="s">
        <v>3157</v>
      </c>
      <c r="C1516" s="38" t="s">
        <v>3187</v>
      </c>
      <c r="D1516" s="38" t="s">
        <v>3187</v>
      </c>
      <c r="E1516" s="38" t="s">
        <v>3188</v>
      </c>
      <c r="F1516" s="38">
        <v>3495.74</v>
      </c>
      <c r="G1516" s="38">
        <v>3495.74</v>
      </c>
      <c r="H1516" s="38">
        <f t="shared" si="73"/>
        <v>2079</v>
      </c>
      <c r="I1516" s="38">
        <v>1374</v>
      </c>
      <c r="J1516" s="38">
        <v>705</v>
      </c>
      <c r="K1516" s="38">
        <v>669</v>
      </c>
      <c r="L1516" s="50">
        <f t="shared" si="74"/>
        <v>32.178932178932179</v>
      </c>
      <c r="M1516" s="38">
        <v>36</v>
      </c>
      <c r="N1516" s="50">
        <f t="shared" si="72"/>
        <v>1.7316017316017316</v>
      </c>
      <c r="O1516" s="38">
        <v>0</v>
      </c>
      <c r="P1516" s="38">
        <v>461.3</v>
      </c>
      <c r="Q1516" s="61" t="s">
        <v>43</v>
      </c>
      <c r="R1516" s="17">
        <v>44520</v>
      </c>
      <c r="S1516" s="61"/>
      <c r="T1516" s="61">
        <v>461</v>
      </c>
      <c r="U1516" s="61"/>
      <c r="V1516" s="61"/>
      <c r="W1516" s="61"/>
      <c r="X1516" s="61"/>
      <c r="Y1516" s="61"/>
      <c r="Z1516" s="20"/>
      <c r="AB1516" s="20"/>
      <c r="AC1516" s="11" t="s">
        <v>3187</v>
      </c>
      <c r="AD1516" s="61"/>
      <c r="AE1516" s="61"/>
    </row>
    <row r="1517" spans="1:31" x14ac:dyDescent="0.25">
      <c r="A1517" s="38" t="s">
        <v>36</v>
      </c>
      <c r="B1517" s="38" t="s">
        <v>3157</v>
      </c>
      <c r="C1517" s="38" t="s">
        <v>3187</v>
      </c>
      <c r="D1517" s="38" t="s">
        <v>3189</v>
      </c>
      <c r="E1517" s="38" t="s">
        <v>3190</v>
      </c>
      <c r="F1517" s="38">
        <v>1403.9</v>
      </c>
      <c r="G1517" s="38">
        <v>1403.9</v>
      </c>
      <c r="H1517" s="38">
        <f t="shared" si="73"/>
        <v>606</v>
      </c>
      <c r="I1517" s="38">
        <v>400</v>
      </c>
      <c r="J1517" s="38">
        <v>206</v>
      </c>
      <c r="K1517" s="38">
        <v>194</v>
      </c>
      <c r="L1517" s="50">
        <f t="shared" si="74"/>
        <v>32.013201320132012</v>
      </c>
      <c r="M1517" s="38">
        <v>109</v>
      </c>
      <c r="N1517" s="50">
        <f t="shared" si="72"/>
        <v>17.986798679867988</v>
      </c>
      <c r="O1517" s="38">
        <v>0</v>
      </c>
      <c r="P1517" s="38">
        <v>92.45</v>
      </c>
      <c r="Q1517" s="61" t="s">
        <v>43</v>
      </c>
      <c r="R1517" s="17">
        <v>44520</v>
      </c>
      <c r="S1517" s="61"/>
      <c r="T1517" s="61">
        <v>92</v>
      </c>
      <c r="U1517" s="61"/>
      <c r="V1517" s="61"/>
      <c r="W1517" s="61"/>
      <c r="X1517" s="61"/>
      <c r="Y1517" s="61"/>
      <c r="Z1517" s="20"/>
      <c r="AB1517" s="20"/>
      <c r="AC1517" s="11" t="s">
        <v>3191</v>
      </c>
      <c r="AD1517" s="61"/>
      <c r="AE1517" s="61"/>
    </row>
    <row r="1518" spans="1:31" x14ac:dyDescent="0.25">
      <c r="A1518" s="38" t="s">
        <v>36</v>
      </c>
      <c r="B1518" s="38" t="s">
        <v>3157</v>
      </c>
      <c r="C1518" s="38" t="s">
        <v>3187</v>
      </c>
      <c r="D1518" s="38" t="s">
        <v>3192</v>
      </c>
      <c r="E1518" s="38" t="s">
        <v>3193</v>
      </c>
      <c r="F1518" s="38">
        <v>3225.27</v>
      </c>
      <c r="G1518" s="38">
        <v>3225.27</v>
      </c>
      <c r="H1518" s="38">
        <f t="shared" si="73"/>
        <v>940</v>
      </c>
      <c r="I1518" s="38">
        <v>622</v>
      </c>
      <c r="J1518" s="38">
        <v>318</v>
      </c>
      <c r="K1518" s="38">
        <v>304</v>
      </c>
      <c r="L1518" s="50">
        <f t="shared" si="74"/>
        <v>32.340425531914896</v>
      </c>
      <c r="M1518" s="38">
        <v>13</v>
      </c>
      <c r="N1518" s="50">
        <f t="shared" si="72"/>
        <v>1.3829787234042552</v>
      </c>
      <c r="O1518" s="38">
        <v>978</v>
      </c>
      <c r="P1518" s="38">
        <v>0</v>
      </c>
      <c r="Q1518" s="61" t="s">
        <v>43</v>
      </c>
      <c r="R1518" s="17">
        <v>44520</v>
      </c>
      <c r="S1518" s="61"/>
      <c r="T1518" s="61">
        <v>0</v>
      </c>
      <c r="U1518" s="61"/>
      <c r="V1518" s="61"/>
      <c r="W1518" s="61"/>
      <c r="X1518" s="61"/>
      <c r="Y1518" s="61"/>
      <c r="Z1518" s="20"/>
      <c r="AB1518" s="20"/>
      <c r="AC1518" s="11" t="s">
        <v>3194</v>
      </c>
      <c r="AD1518" s="61">
        <v>0</v>
      </c>
      <c r="AE1518" s="61"/>
    </row>
    <row r="1519" spans="1:31" x14ac:dyDescent="0.25">
      <c r="A1519" s="38" t="s">
        <v>36</v>
      </c>
      <c r="B1519" s="38" t="s">
        <v>3157</v>
      </c>
      <c r="C1519" s="38" t="s">
        <v>3195</v>
      </c>
      <c r="D1519" s="38" t="s">
        <v>3196</v>
      </c>
      <c r="E1519" s="38" t="s">
        <v>3197</v>
      </c>
      <c r="F1519" s="38">
        <v>8847</v>
      </c>
      <c r="G1519" s="38">
        <v>8847</v>
      </c>
      <c r="H1519" s="38">
        <f t="shared" si="73"/>
        <v>3097</v>
      </c>
      <c r="I1519" s="38">
        <v>1971</v>
      </c>
      <c r="J1519" s="38">
        <v>1126</v>
      </c>
      <c r="K1519" s="38">
        <v>845</v>
      </c>
      <c r="L1519" s="50">
        <f t="shared" si="74"/>
        <v>27.284468840813691</v>
      </c>
      <c r="M1519" s="38">
        <v>143</v>
      </c>
      <c r="N1519" s="50">
        <f t="shared" si="72"/>
        <v>4.6173716499838555</v>
      </c>
      <c r="O1519" s="38">
        <v>682</v>
      </c>
      <c r="P1519" s="38">
        <v>1474</v>
      </c>
      <c r="Q1519" s="34" t="s">
        <v>43</v>
      </c>
      <c r="R1519" s="17">
        <v>44545</v>
      </c>
      <c r="S1519" s="34"/>
      <c r="T1519" s="34">
        <v>1474</v>
      </c>
      <c r="U1519" s="34"/>
      <c r="V1519" s="34"/>
      <c r="W1519" s="34"/>
      <c r="X1519" s="34"/>
      <c r="Y1519" s="34"/>
      <c r="Z1519" s="89"/>
      <c r="AB1519" s="89">
        <v>15</v>
      </c>
      <c r="AC1519" s="34" t="s">
        <v>3198</v>
      </c>
      <c r="AD1519" s="34">
        <v>25.155968000000001</v>
      </c>
      <c r="AE1519" s="34">
        <v>70.584858999999994</v>
      </c>
    </row>
    <row r="1520" spans="1:31" x14ac:dyDescent="0.25">
      <c r="A1520" s="38" t="s">
        <v>36</v>
      </c>
      <c r="B1520" s="38" t="s">
        <v>3157</v>
      </c>
      <c r="C1520" s="38" t="s">
        <v>3195</v>
      </c>
      <c r="D1520" s="38" t="s">
        <v>3199</v>
      </c>
      <c r="E1520" s="38" t="s">
        <v>3200</v>
      </c>
      <c r="F1520" s="38"/>
      <c r="G1520" s="38"/>
      <c r="H1520" s="38">
        <f t="shared" si="73"/>
        <v>0</v>
      </c>
      <c r="I1520" s="38"/>
      <c r="J1520" s="38"/>
      <c r="K1520" s="38"/>
      <c r="L1520" s="50"/>
      <c r="M1520" s="38"/>
      <c r="N1520" s="50"/>
      <c r="O1520" s="38">
        <v>217</v>
      </c>
      <c r="P1520" s="38">
        <v>227</v>
      </c>
    </row>
    <row r="1521" spans="1:31" x14ac:dyDescent="0.25">
      <c r="A1521" s="38" t="s">
        <v>36</v>
      </c>
      <c r="B1521" s="38" t="s">
        <v>3157</v>
      </c>
      <c r="C1521" s="38" t="s">
        <v>3195</v>
      </c>
      <c r="D1521" s="38" t="s">
        <v>3199</v>
      </c>
      <c r="E1521" s="38" t="s">
        <v>3200</v>
      </c>
      <c r="F1521" s="38">
        <v>1632</v>
      </c>
      <c r="G1521" s="38">
        <v>1632</v>
      </c>
      <c r="H1521" s="38">
        <f t="shared" si="73"/>
        <v>441</v>
      </c>
      <c r="I1521" s="38">
        <v>288</v>
      </c>
      <c r="J1521" s="38">
        <v>153</v>
      </c>
      <c r="K1521" s="38">
        <v>135</v>
      </c>
      <c r="L1521" s="50">
        <f t="shared" si="74"/>
        <v>30.612244897959183</v>
      </c>
      <c r="M1521" s="38">
        <v>0</v>
      </c>
      <c r="N1521" s="50">
        <f t="shared" si="72"/>
        <v>0</v>
      </c>
      <c r="O1521" s="38">
        <v>217</v>
      </c>
      <c r="P1521" s="38">
        <v>227</v>
      </c>
      <c r="Q1521" s="61" t="s">
        <v>43</v>
      </c>
      <c r="R1521" s="17">
        <v>44545</v>
      </c>
      <c r="S1521" s="61"/>
      <c r="T1521" s="61">
        <v>227</v>
      </c>
      <c r="U1521" s="61"/>
      <c r="V1521" s="61"/>
      <c r="W1521" s="61"/>
      <c r="X1521" s="61"/>
      <c r="Y1521" s="61"/>
      <c r="Z1521" s="20"/>
      <c r="AB1521" s="20"/>
      <c r="AC1521" s="11" t="s">
        <v>3201</v>
      </c>
      <c r="AD1521" s="61"/>
      <c r="AE1521" s="61"/>
    </row>
    <row r="1522" spans="1:31" x14ac:dyDescent="0.25">
      <c r="A1522" s="38" t="s">
        <v>36</v>
      </c>
      <c r="B1522" s="38" t="s">
        <v>3157</v>
      </c>
      <c r="C1522" s="38" t="s">
        <v>3195</v>
      </c>
      <c r="D1522" s="38" t="s">
        <v>3202</v>
      </c>
      <c r="E1522" s="38" t="s">
        <v>3203</v>
      </c>
      <c r="F1522" s="38">
        <v>3302</v>
      </c>
      <c r="G1522" s="38">
        <v>3302</v>
      </c>
      <c r="H1522" s="38">
        <f t="shared" si="73"/>
        <v>837</v>
      </c>
      <c r="I1522" s="38">
        <v>535</v>
      </c>
      <c r="J1522" s="38">
        <v>302</v>
      </c>
      <c r="K1522" s="38">
        <v>233</v>
      </c>
      <c r="L1522" s="50">
        <f t="shared" si="74"/>
        <v>27.837514934289125</v>
      </c>
      <c r="M1522" s="38">
        <v>0</v>
      </c>
      <c r="N1522" s="50">
        <f t="shared" si="72"/>
        <v>0</v>
      </c>
      <c r="O1522" s="38">
        <v>767</v>
      </c>
      <c r="P1522" s="38">
        <v>721</v>
      </c>
      <c r="Q1522" s="61" t="s">
        <v>43</v>
      </c>
      <c r="R1522" s="17">
        <v>44545</v>
      </c>
      <c r="S1522" s="61"/>
      <c r="T1522" s="61">
        <v>721</v>
      </c>
      <c r="U1522" s="61"/>
      <c r="V1522" s="61"/>
      <c r="W1522" s="61"/>
      <c r="X1522" s="61"/>
      <c r="Y1522" s="61"/>
      <c r="Z1522" s="20"/>
      <c r="AB1522" s="20"/>
      <c r="AC1522" s="11" t="s">
        <v>3204</v>
      </c>
      <c r="AD1522" s="61"/>
      <c r="AE1522" s="61"/>
    </row>
    <row r="1523" spans="1:31" x14ac:dyDescent="0.25">
      <c r="A1523" s="38" t="s">
        <v>36</v>
      </c>
      <c r="B1523" s="38" t="s">
        <v>3157</v>
      </c>
      <c r="C1523" s="38" t="s">
        <v>3195</v>
      </c>
      <c r="D1523" s="38" t="s">
        <v>3205</v>
      </c>
      <c r="E1523" s="38" t="s">
        <v>3206</v>
      </c>
      <c r="F1523" s="38">
        <v>1896</v>
      </c>
      <c r="G1523" s="38">
        <v>1896</v>
      </c>
      <c r="H1523" s="38">
        <f t="shared" si="73"/>
        <v>947</v>
      </c>
      <c r="I1523" s="38">
        <v>622</v>
      </c>
      <c r="J1523" s="38">
        <v>325</v>
      </c>
      <c r="K1523" s="38">
        <v>297</v>
      </c>
      <c r="L1523" s="50">
        <f t="shared" si="74"/>
        <v>31.362196409714887</v>
      </c>
      <c r="M1523" s="38">
        <v>0</v>
      </c>
      <c r="N1523" s="50">
        <f t="shared" si="72"/>
        <v>0</v>
      </c>
      <c r="O1523" s="38">
        <v>0</v>
      </c>
      <c r="P1523" s="38">
        <v>399</v>
      </c>
      <c r="Q1523" s="34" t="s">
        <v>43</v>
      </c>
      <c r="R1523" s="17">
        <v>44545</v>
      </c>
      <c r="S1523" s="34"/>
      <c r="T1523" s="34">
        <v>399</v>
      </c>
      <c r="U1523" s="34"/>
      <c r="V1523" s="34"/>
      <c r="W1523" s="34"/>
      <c r="X1523" s="34"/>
      <c r="Y1523" s="34"/>
      <c r="Z1523" s="89"/>
      <c r="AB1523" s="89"/>
      <c r="AC1523" s="34" t="s">
        <v>3207</v>
      </c>
      <c r="AD1523" s="34">
        <v>25.150538000000001</v>
      </c>
      <c r="AE1523" s="34">
        <v>70.596394000000004</v>
      </c>
    </row>
    <row r="1524" spans="1:31" x14ac:dyDescent="0.25">
      <c r="A1524" s="38" t="s">
        <v>36</v>
      </c>
      <c r="B1524" s="38" t="s">
        <v>3157</v>
      </c>
      <c r="C1524" s="38" t="s">
        <v>3195</v>
      </c>
      <c r="D1524" s="38" t="s">
        <v>3208</v>
      </c>
      <c r="E1524" s="38" t="s">
        <v>3209</v>
      </c>
      <c r="F1524" s="38">
        <v>4860</v>
      </c>
      <c r="G1524" s="38">
        <v>4860</v>
      </c>
      <c r="H1524" s="38">
        <f t="shared" si="73"/>
        <v>544</v>
      </c>
      <c r="I1524" s="38">
        <v>354</v>
      </c>
      <c r="J1524" s="38">
        <v>190</v>
      </c>
      <c r="K1524" s="38">
        <v>164</v>
      </c>
      <c r="L1524" s="50">
        <f t="shared" si="74"/>
        <v>30.147058823529409</v>
      </c>
      <c r="M1524" s="38">
        <v>31</v>
      </c>
      <c r="N1524" s="50">
        <f t="shared" si="72"/>
        <v>5.6985294117647056</v>
      </c>
      <c r="O1524" s="38">
        <v>220</v>
      </c>
      <c r="P1524" s="38">
        <v>908</v>
      </c>
      <c r="Q1524" s="61" t="s">
        <v>43</v>
      </c>
      <c r="R1524" s="17">
        <v>44545</v>
      </c>
      <c r="S1524" s="61"/>
      <c r="T1524" s="61">
        <v>908</v>
      </c>
      <c r="U1524" s="61"/>
      <c r="V1524" s="61"/>
      <c r="W1524" s="61"/>
      <c r="X1524" s="61"/>
      <c r="Y1524" s="61"/>
      <c r="Z1524" s="20"/>
      <c r="AB1524" s="20"/>
      <c r="AC1524" s="11" t="s">
        <v>3210</v>
      </c>
      <c r="AD1524" s="61"/>
      <c r="AE1524" s="61"/>
    </row>
    <row r="1525" spans="1:31" x14ac:dyDescent="0.25">
      <c r="A1525" s="38" t="s">
        <v>36</v>
      </c>
      <c r="B1525" s="38" t="s">
        <v>3157</v>
      </c>
      <c r="C1525" s="38" t="s">
        <v>3211</v>
      </c>
      <c r="D1525" s="38" t="s">
        <v>3212</v>
      </c>
      <c r="E1525" s="38" t="s">
        <v>3213</v>
      </c>
      <c r="F1525" s="38">
        <v>2523</v>
      </c>
      <c r="G1525" s="38">
        <v>2523</v>
      </c>
      <c r="H1525" s="38">
        <f t="shared" si="73"/>
        <v>1068</v>
      </c>
      <c r="I1525" s="38">
        <v>675</v>
      </c>
      <c r="J1525" s="38">
        <v>393</v>
      </c>
      <c r="K1525" s="38">
        <v>282</v>
      </c>
      <c r="L1525" s="50">
        <f t="shared" si="74"/>
        <v>26.40449438202247</v>
      </c>
      <c r="M1525" s="38">
        <v>13</v>
      </c>
      <c r="N1525" s="50">
        <f t="shared" si="72"/>
        <v>1.2172284644194757</v>
      </c>
      <c r="O1525" s="38">
        <v>0</v>
      </c>
      <c r="P1525" s="38">
        <v>139</v>
      </c>
      <c r="Q1525" s="34" t="s">
        <v>43</v>
      </c>
      <c r="R1525" s="88">
        <v>44536</v>
      </c>
      <c r="S1525" s="34"/>
      <c r="T1525" s="34">
        <v>139</v>
      </c>
      <c r="U1525" s="34"/>
      <c r="V1525" s="34"/>
      <c r="W1525" s="34"/>
      <c r="X1525" s="34"/>
      <c r="Y1525" s="34"/>
      <c r="Z1525" s="109"/>
      <c r="AB1525" s="89">
        <v>20</v>
      </c>
      <c r="AC1525" s="34" t="s">
        <v>3214</v>
      </c>
      <c r="AD1525" s="34">
        <v>70.335390000000004</v>
      </c>
      <c r="AE1525" s="34">
        <v>25.760697</v>
      </c>
    </row>
    <row r="1526" spans="1:31" x14ac:dyDescent="0.25">
      <c r="A1526" s="38" t="s">
        <v>36</v>
      </c>
      <c r="B1526" s="38" t="s">
        <v>3157</v>
      </c>
      <c r="C1526" s="38" t="s">
        <v>3211</v>
      </c>
      <c r="D1526" s="38" t="s">
        <v>3215</v>
      </c>
      <c r="E1526" s="38" t="s">
        <v>3216</v>
      </c>
      <c r="F1526" s="38">
        <v>3071</v>
      </c>
      <c r="G1526" s="38">
        <v>3071</v>
      </c>
      <c r="H1526" s="38">
        <f t="shared" si="73"/>
        <v>719</v>
      </c>
      <c r="I1526" s="38">
        <v>462</v>
      </c>
      <c r="J1526" s="38">
        <v>257</v>
      </c>
      <c r="K1526" s="38">
        <v>205</v>
      </c>
      <c r="L1526" s="50">
        <f t="shared" si="74"/>
        <v>28.51182197496523</v>
      </c>
      <c r="M1526" s="38">
        <v>87</v>
      </c>
      <c r="N1526" s="50">
        <f t="shared" si="72"/>
        <v>12.100139082058414</v>
      </c>
      <c r="O1526" s="38">
        <v>0</v>
      </c>
      <c r="P1526" s="38">
        <v>819</v>
      </c>
      <c r="Q1526" s="61" t="s">
        <v>43</v>
      </c>
      <c r="R1526" s="17">
        <v>44536</v>
      </c>
      <c r="S1526" s="61"/>
      <c r="T1526" s="61">
        <v>819</v>
      </c>
      <c r="U1526" s="61"/>
      <c r="V1526" s="61"/>
      <c r="W1526" s="61"/>
      <c r="X1526" s="61"/>
      <c r="Y1526" s="61"/>
      <c r="Z1526" s="20"/>
      <c r="AB1526" s="20"/>
      <c r="AC1526" s="11" t="s">
        <v>3215</v>
      </c>
      <c r="AD1526" s="61"/>
      <c r="AE1526" s="61"/>
    </row>
    <row r="1527" spans="1:31" x14ac:dyDescent="0.25">
      <c r="A1527" s="38" t="s">
        <v>36</v>
      </c>
      <c r="B1527" s="38" t="s">
        <v>3157</v>
      </c>
      <c r="C1527" s="38" t="s">
        <v>3211</v>
      </c>
      <c r="D1527" s="38" t="s">
        <v>3217</v>
      </c>
      <c r="E1527" s="38" t="s">
        <v>3218</v>
      </c>
      <c r="F1527" s="38">
        <v>2553</v>
      </c>
      <c r="G1527" s="38">
        <v>2553</v>
      </c>
      <c r="H1527" s="38">
        <f t="shared" si="73"/>
        <v>922</v>
      </c>
      <c r="I1527" s="38">
        <v>601</v>
      </c>
      <c r="J1527" s="38">
        <v>321</v>
      </c>
      <c r="K1527" s="38">
        <v>280</v>
      </c>
      <c r="L1527" s="50">
        <f t="shared" si="74"/>
        <v>30.368763557483732</v>
      </c>
      <c r="M1527" s="38">
        <v>22</v>
      </c>
      <c r="N1527" s="50">
        <f t="shared" si="72"/>
        <v>2.3861171366594358</v>
      </c>
      <c r="O1527" s="38">
        <v>0</v>
      </c>
      <c r="P1527" s="38">
        <v>37</v>
      </c>
      <c r="Q1527" s="61" t="s">
        <v>43</v>
      </c>
      <c r="R1527" s="17">
        <v>44536</v>
      </c>
      <c r="S1527" s="61"/>
      <c r="T1527" s="61">
        <v>37</v>
      </c>
      <c r="U1527" s="61"/>
      <c r="V1527" s="61"/>
      <c r="W1527" s="61"/>
      <c r="X1527" s="61"/>
      <c r="Y1527" s="61"/>
      <c r="Z1527" s="20"/>
      <c r="AB1527" s="20"/>
      <c r="AC1527" s="11" t="s">
        <v>3219</v>
      </c>
      <c r="AD1527" s="61"/>
      <c r="AE1527" s="61"/>
    </row>
    <row r="1528" spans="1:31" x14ac:dyDescent="0.25">
      <c r="A1528" s="38" t="s">
        <v>36</v>
      </c>
      <c r="B1528" s="38" t="s">
        <v>3157</v>
      </c>
      <c r="C1528" s="38" t="s">
        <v>3211</v>
      </c>
      <c r="D1528" s="38" t="s">
        <v>3220</v>
      </c>
      <c r="E1528" s="38" t="s">
        <v>3221</v>
      </c>
      <c r="F1528" s="38">
        <v>2479</v>
      </c>
      <c r="G1528" s="38">
        <v>2479</v>
      </c>
      <c r="H1528" s="38">
        <f t="shared" si="73"/>
        <v>663</v>
      </c>
      <c r="I1528" s="38">
        <v>418</v>
      </c>
      <c r="J1528" s="38">
        <v>245</v>
      </c>
      <c r="K1528" s="38">
        <v>173</v>
      </c>
      <c r="L1528" s="50">
        <f t="shared" si="74"/>
        <v>26.09351432880845</v>
      </c>
      <c r="M1528" s="38">
        <v>0</v>
      </c>
      <c r="N1528" s="50">
        <f t="shared" ref="N1528:N1556" si="75">M1528/H1528*100</f>
        <v>0</v>
      </c>
      <c r="O1528" s="38">
        <v>0</v>
      </c>
      <c r="P1528" s="38">
        <v>1146</v>
      </c>
    </row>
    <row r="1529" spans="1:31" x14ac:dyDescent="0.25">
      <c r="A1529" s="38" t="s">
        <v>36</v>
      </c>
      <c r="B1529" s="38" t="s">
        <v>3157</v>
      </c>
      <c r="C1529" s="38" t="s">
        <v>3211</v>
      </c>
      <c r="D1529" s="38" t="s">
        <v>3211</v>
      </c>
      <c r="E1529" s="38" t="s">
        <v>3221</v>
      </c>
      <c r="F1529" s="38"/>
      <c r="G1529" s="38"/>
      <c r="H1529" s="38">
        <f t="shared" si="73"/>
        <v>0</v>
      </c>
      <c r="I1529" s="38"/>
      <c r="J1529" s="38"/>
      <c r="K1529" s="38"/>
      <c r="L1529" s="50"/>
      <c r="M1529" s="38"/>
      <c r="N1529" s="50"/>
      <c r="O1529" s="38">
        <v>0</v>
      </c>
      <c r="P1529" s="38">
        <v>1146</v>
      </c>
    </row>
    <row r="1530" spans="1:31" x14ac:dyDescent="0.25">
      <c r="A1530" s="38" t="s">
        <v>36</v>
      </c>
      <c r="B1530" s="38" t="s">
        <v>3157</v>
      </c>
      <c r="C1530" s="38" t="s">
        <v>3211</v>
      </c>
      <c r="D1530" s="38" t="s">
        <v>3220</v>
      </c>
      <c r="E1530" s="38" t="s">
        <v>3221</v>
      </c>
      <c r="F1530" s="38">
        <v>2479</v>
      </c>
      <c r="G1530" s="38">
        <v>2479</v>
      </c>
      <c r="H1530" s="38">
        <f t="shared" si="73"/>
        <v>663</v>
      </c>
      <c r="I1530" s="38">
        <v>418</v>
      </c>
      <c r="J1530" s="38">
        <v>245</v>
      </c>
      <c r="K1530" s="38">
        <v>173</v>
      </c>
      <c r="L1530" s="50">
        <f t="shared" si="74"/>
        <v>26.09351432880845</v>
      </c>
      <c r="M1530" s="38">
        <v>0</v>
      </c>
      <c r="N1530" s="50">
        <f t="shared" si="75"/>
        <v>0</v>
      </c>
      <c r="O1530" s="38">
        <v>0</v>
      </c>
      <c r="P1530" s="38">
        <v>1146</v>
      </c>
    </row>
    <row r="1531" spans="1:31" x14ac:dyDescent="0.25">
      <c r="A1531" s="38" t="s">
        <v>36</v>
      </c>
      <c r="B1531" s="38" t="s">
        <v>3157</v>
      </c>
      <c r="C1531" s="38" t="s">
        <v>3222</v>
      </c>
      <c r="D1531" s="38" t="s">
        <v>3223</v>
      </c>
      <c r="E1531" s="38" t="s">
        <v>3224</v>
      </c>
      <c r="F1531" s="38">
        <v>7145</v>
      </c>
      <c r="G1531" s="38">
        <v>7145</v>
      </c>
      <c r="H1531" s="38">
        <f t="shared" si="73"/>
        <v>1169</v>
      </c>
      <c r="I1531" s="38">
        <v>759</v>
      </c>
      <c r="J1531" s="38">
        <v>410</v>
      </c>
      <c r="K1531" s="38">
        <v>349</v>
      </c>
      <c r="L1531" s="50">
        <f t="shared" si="74"/>
        <v>29.854576561163388</v>
      </c>
      <c r="M1531" s="38">
        <v>0</v>
      </c>
      <c r="N1531" s="50">
        <f t="shared" si="75"/>
        <v>0</v>
      </c>
      <c r="O1531" s="38">
        <v>321</v>
      </c>
      <c r="P1531" s="38">
        <v>1225</v>
      </c>
      <c r="Q1531" s="34" t="s">
        <v>43</v>
      </c>
      <c r="R1531" s="17">
        <v>44539</v>
      </c>
      <c r="S1531" s="34"/>
      <c r="T1531" s="34">
        <v>1225</v>
      </c>
      <c r="U1531" s="34"/>
      <c r="V1531" s="34"/>
      <c r="W1531" s="34"/>
      <c r="X1531" s="34"/>
      <c r="Y1531" s="34"/>
      <c r="Z1531" s="89"/>
      <c r="AB1531" s="89">
        <v>25</v>
      </c>
      <c r="AC1531" s="34" t="s">
        <v>3225</v>
      </c>
      <c r="AD1531" s="34">
        <v>0</v>
      </c>
      <c r="AE1531" s="34"/>
    </row>
    <row r="1532" spans="1:31" x14ac:dyDescent="0.25">
      <c r="A1532" s="38" t="s">
        <v>36</v>
      </c>
      <c r="B1532" s="38" t="s">
        <v>3157</v>
      </c>
      <c r="C1532" s="38" t="s">
        <v>3222</v>
      </c>
      <c r="D1532" s="38" t="s">
        <v>3226</v>
      </c>
      <c r="E1532" s="38" t="s">
        <v>3227</v>
      </c>
      <c r="F1532" s="38">
        <v>3537</v>
      </c>
      <c r="G1532" s="38">
        <v>3537</v>
      </c>
      <c r="H1532" s="38">
        <f t="shared" si="73"/>
        <v>2393</v>
      </c>
      <c r="I1532" s="38">
        <v>1542</v>
      </c>
      <c r="J1532" s="38">
        <v>851</v>
      </c>
      <c r="K1532" s="38">
        <v>691</v>
      </c>
      <c r="L1532" s="50">
        <f t="shared" si="74"/>
        <v>28.875888006686168</v>
      </c>
      <c r="M1532" s="38">
        <v>80</v>
      </c>
      <c r="N1532" s="50">
        <f t="shared" si="75"/>
        <v>3.3430839949853741</v>
      </c>
      <c r="O1532" s="38">
        <v>609</v>
      </c>
      <c r="P1532" s="38">
        <v>1312</v>
      </c>
      <c r="Q1532" s="34" t="s">
        <v>43</v>
      </c>
      <c r="R1532" s="17">
        <v>44539</v>
      </c>
      <c r="S1532" s="34"/>
      <c r="T1532" s="34">
        <v>1312</v>
      </c>
      <c r="U1532" s="34"/>
      <c r="V1532" s="34"/>
      <c r="W1532" s="34"/>
      <c r="X1532" s="34"/>
      <c r="Y1532" s="34"/>
      <c r="Z1532" s="89"/>
      <c r="AB1532" s="89">
        <v>35</v>
      </c>
      <c r="AC1532" s="34" t="s">
        <v>3228</v>
      </c>
      <c r="AD1532" s="34">
        <v>25.961449000000002</v>
      </c>
      <c r="AE1532" s="34">
        <v>70.581524000000002</v>
      </c>
    </row>
    <row r="1533" spans="1:31" x14ac:dyDescent="0.25">
      <c r="A1533" s="38" t="s">
        <v>36</v>
      </c>
      <c r="B1533" s="38" t="s">
        <v>3157</v>
      </c>
      <c r="C1533" s="38" t="s">
        <v>3222</v>
      </c>
      <c r="D1533" s="38" t="s">
        <v>3229</v>
      </c>
      <c r="E1533" s="38" t="s">
        <v>3230</v>
      </c>
      <c r="F1533" s="38">
        <v>4071</v>
      </c>
      <c r="G1533" s="38">
        <v>4071</v>
      </c>
      <c r="H1533" s="38">
        <f t="shared" si="73"/>
        <v>938</v>
      </c>
      <c r="I1533" s="38">
        <v>603</v>
      </c>
      <c r="J1533" s="38">
        <v>335</v>
      </c>
      <c r="K1533" s="38">
        <v>268</v>
      </c>
      <c r="L1533" s="50">
        <f t="shared" si="74"/>
        <v>28.571428571428569</v>
      </c>
      <c r="M1533" s="38">
        <v>0</v>
      </c>
      <c r="N1533" s="50">
        <f t="shared" si="75"/>
        <v>0</v>
      </c>
      <c r="O1533" s="38">
        <v>1342</v>
      </c>
      <c r="P1533" s="38">
        <v>1282</v>
      </c>
      <c r="Q1533" s="61" t="s">
        <v>43</v>
      </c>
      <c r="R1533" s="188">
        <v>44539</v>
      </c>
      <c r="S1533" s="61"/>
      <c r="T1533" s="61">
        <v>1250</v>
      </c>
      <c r="U1533" s="61"/>
      <c r="V1533" s="61"/>
      <c r="W1533" s="61"/>
      <c r="X1533" s="61"/>
      <c r="Y1533" s="61"/>
      <c r="Z1533" s="109"/>
      <c r="AB1533" s="20">
        <v>390</v>
      </c>
      <c r="AC1533" s="61" t="s">
        <v>3231</v>
      </c>
      <c r="AD1533" s="61">
        <v>70.755645999999999</v>
      </c>
      <c r="AE1533" s="61">
        <v>26.054369999999999</v>
      </c>
    </row>
    <row r="1534" spans="1:31" x14ac:dyDescent="0.25">
      <c r="A1534" s="38" t="s">
        <v>36</v>
      </c>
      <c r="B1534" s="38" t="s">
        <v>3157</v>
      </c>
      <c r="C1534" s="38" t="s">
        <v>3232</v>
      </c>
      <c r="D1534" s="38" t="s">
        <v>3232</v>
      </c>
      <c r="E1534" s="38" t="s">
        <v>3233</v>
      </c>
      <c r="F1534" s="38">
        <v>6017.99</v>
      </c>
      <c r="G1534" s="38">
        <v>6017.99</v>
      </c>
      <c r="H1534" s="38">
        <f t="shared" si="73"/>
        <v>4634</v>
      </c>
      <c r="I1534" s="38">
        <v>3073</v>
      </c>
      <c r="J1534" s="38">
        <v>1561</v>
      </c>
      <c r="K1534" s="38">
        <v>1512</v>
      </c>
      <c r="L1534" s="50">
        <f t="shared" si="74"/>
        <v>32.628398791540789</v>
      </c>
      <c r="M1534" s="38">
        <v>204</v>
      </c>
      <c r="N1534" s="50">
        <f t="shared" si="75"/>
        <v>4.4022442813983602</v>
      </c>
      <c r="O1534" s="38">
        <v>0</v>
      </c>
      <c r="P1534" s="38">
        <v>788.99</v>
      </c>
      <c r="Q1534" s="34" t="s">
        <v>43</v>
      </c>
      <c r="R1534" s="9">
        <v>44529</v>
      </c>
      <c r="S1534" s="34"/>
      <c r="T1534" s="34">
        <v>46</v>
      </c>
      <c r="U1534" s="34"/>
      <c r="V1534" s="34"/>
      <c r="W1534" s="34"/>
      <c r="X1534" s="34"/>
      <c r="Y1534" s="34"/>
      <c r="Z1534" s="109"/>
      <c r="AB1534" s="109"/>
      <c r="AC1534" s="34" t="s">
        <v>3234</v>
      </c>
      <c r="AD1534" s="34">
        <v>25.824611000000001</v>
      </c>
      <c r="AE1534" s="34">
        <v>70.774610999999993</v>
      </c>
    </row>
    <row r="1535" spans="1:31" x14ac:dyDescent="0.25">
      <c r="A1535" s="38" t="s">
        <v>36</v>
      </c>
      <c r="B1535" s="38" t="s">
        <v>3157</v>
      </c>
      <c r="C1535" s="38" t="s">
        <v>3235</v>
      </c>
      <c r="D1535" s="38" t="s">
        <v>3236</v>
      </c>
      <c r="E1535" s="38" t="s">
        <v>3237</v>
      </c>
      <c r="F1535" s="38">
        <v>984</v>
      </c>
      <c r="G1535" s="38">
        <v>984</v>
      </c>
      <c r="H1535" s="38">
        <f t="shared" si="73"/>
        <v>399</v>
      </c>
      <c r="I1535" s="38">
        <v>267</v>
      </c>
      <c r="J1535" s="38">
        <v>132</v>
      </c>
      <c r="K1535" s="38">
        <v>135</v>
      </c>
      <c r="L1535" s="50">
        <f t="shared" si="74"/>
        <v>33.834586466165412</v>
      </c>
      <c r="M1535" s="38">
        <v>0</v>
      </c>
      <c r="N1535" s="50">
        <f t="shared" si="75"/>
        <v>0</v>
      </c>
      <c r="O1535" s="38">
        <v>0</v>
      </c>
      <c r="P1535" s="38">
        <v>236</v>
      </c>
      <c r="Q1535" s="61" t="s">
        <v>43</v>
      </c>
      <c r="R1535" s="17">
        <v>44566</v>
      </c>
      <c r="S1535" s="61"/>
      <c r="T1535" s="61">
        <v>236</v>
      </c>
      <c r="U1535" s="61"/>
      <c r="V1535" s="61"/>
      <c r="W1535" s="61"/>
      <c r="X1535" s="61"/>
      <c r="Y1535" s="61"/>
      <c r="Z1535" s="20"/>
      <c r="AB1535" s="20"/>
      <c r="AC1535" s="11" t="s">
        <v>3238</v>
      </c>
      <c r="AD1535" s="61"/>
      <c r="AE1535" s="61"/>
    </row>
    <row r="1536" spans="1:31" x14ac:dyDescent="0.25">
      <c r="A1536" s="38" t="s">
        <v>36</v>
      </c>
      <c r="B1536" s="38" t="s">
        <v>3157</v>
      </c>
      <c r="C1536" s="38" t="s">
        <v>3235</v>
      </c>
      <c r="D1536" s="38" t="s">
        <v>3235</v>
      </c>
      <c r="E1536" s="38" t="s">
        <v>3240</v>
      </c>
      <c r="F1536" s="38">
        <v>1416</v>
      </c>
      <c r="G1536" s="38">
        <v>1416</v>
      </c>
      <c r="H1536" s="38">
        <f t="shared" si="73"/>
        <v>1248</v>
      </c>
      <c r="I1536" s="38">
        <v>782</v>
      </c>
      <c r="J1536" s="38">
        <v>466</v>
      </c>
      <c r="K1536" s="38">
        <v>316</v>
      </c>
      <c r="L1536" s="50">
        <f t="shared" si="74"/>
        <v>25.320512820512818</v>
      </c>
      <c r="M1536" s="38">
        <v>0</v>
      </c>
      <c r="N1536" s="50">
        <f t="shared" si="75"/>
        <v>0</v>
      </c>
      <c r="O1536" s="38">
        <v>0</v>
      </c>
      <c r="P1536" s="38">
        <v>223</v>
      </c>
      <c r="Q1536" s="61" t="s">
        <v>43</v>
      </c>
      <c r="R1536" s="17">
        <v>44566</v>
      </c>
      <c r="S1536" s="61"/>
      <c r="T1536" s="61">
        <v>223</v>
      </c>
      <c r="U1536" s="61"/>
      <c r="V1536" s="61"/>
      <c r="W1536" s="61"/>
      <c r="X1536" s="61"/>
      <c r="Y1536" s="61"/>
      <c r="Z1536" s="20"/>
      <c r="AB1536" s="20"/>
      <c r="AC1536" s="11" t="s">
        <v>3239</v>
      </c>
      <c r="AD1536" s="61"/>
      <c r="AE1536" s="61"/>
    </row>
    <row r="1537" spans="1:31" x14ac:dyDescent="0.25">
      <c r="A1537" s="38" t="s">
        <v>36</v>
      </c>
      <c r="B1537" s="38" t="s">
        <v>3157</v>
      </c>
      <c r="C1537" s="38" t="s">
        <v>3235</v>
      </c>
      <c r="D1537" s="38" t="s">
        <v>3241</v>
      </c>
      <c r="E1537" s="38" t="s">
        <v>3242</v>
      </c>
      <c r="F1537" s="38">
        <v>2739</v>
      </c>
      <c r="G1537" s="38">
        <v>2739</v>
      </c>
      <c r="H1537" s="38">
        <f t="shared" si="73"/>
        <v>1960</v>
      </c>
      <c r="I1537" s="38">
        <v>1269</v>
      </c>
      <c r="J1537" s="38">
        <v>691</v>
      </c>
      <c r="K1537" s="38">
        <v>578</v>
      </c>
      <c r="L1537" s="50">
        <f t="shared" si="74"/>
        <v>29.489795918367346</v>
      </c>
      <c r="M1537" s="38">
        <v>271</v>
      </c>
      <c r="N1537" s="50">
        <f t="shared" si="75"/>
        <v>13.826530612244897</v>
      </c>
      <c r="O1537" s="38">
        <v>0</v>
      </c>
      <c r="P1537" s="38">
        <v>518</v>
      </c>
      <c r="Q1537" s="61" t="s">
        <v>43</v>
      </c>
      <c r="R1537" s="17">
        <v>44566</v>
      </c>
      <c r="S1537" s="61"/>
      <c r="T1537" s="61">
        <v>518</v>
      </c>
      <c r="U1537" s="61"/>
      <c r="V1537" s="61"/>
      <c r="W1537" s="61"/>
      <c r="X1537" s="61"/>
      <c r="Y1537" s="61"/>
      <c r="Z1537" s="20"/>
      <c r="AB1537" s="20"/>
      <c r="AC1537" s="11" t="s">
        <v>3241</v>
      </c>
      <c r="AD1537" s="61"/>
      <c r="AE1537" s="61"/>
    </row>
    <row r="1538" spans="1:31" x14ac:dyDescent="0.25">
      <c r="A1538" s="38" t="s">
        <v>36</v>
      </c>
      <c r="B1538" s="38" t="s">
        <v>3157</v>
      </c>
      <c r="C1538" s="38" t="s">
        <v>3243</v>
      </c>
      <c r="D1538" s="38" t="s">
        <v>3243</v>
      </c>
      <c r="E1538" s="38" t="s">
        <v>3244</v>
      </c>
      <c r="F1538" s="38">
        <v>7496</v>
      </c>
      <c r="G1538" s="38">
        <v>7496</v>
      </c>
      <c r="H1538" s="38">
        <f t="shared" si="73"/>
        <v>749</v>
      </c>
      <c r="I1538" s="38">
        <v>466</v>
      </c>
      <c r="J1538" s="38">
        <v>283</v>
      </c>
      <c r="K1538" s="38">
        <v>183</v>
      </c>
      <c r="L1538" s="50">
        <f t="shared" si="74"/>
        <v>24.432576769025367</v>
      </c>
      <c r="M1538" s="38">
        <v>0</v>
      </c>
      <c r="N1538" s="50">
        <f t="shared" si="75"/>
        <v>0</v>
      </c>
      <c r="O1538" s="38">
        <v>15</v>
      </c>
      <c r="P1538" s="38">
        <v>2926</v>
      </c>
      <c r="Q1538" s="34" t="s">
        <v>43</v>
      </c>
      <c r="R1538" s="17">
        <v>44527</v>
      </c>
      <c r="S1538" s="34"/>
      <c r="T1538" s="34">
        <v>2926</v>
      </c>
      <c r="U1538" s="34"/>
      <c r="V1538" s="34"/>
      <c r="W1538" s="34"/>
      <c r="X1538" s="34"/>
      <c r="Y1538" s="34"/>
      <c r="Z1538" s="89"/>
      <c r="AB1538" s="89">
        <v>25</v>
      </c>
      <c r="AC1538" s="34" t="s">
        <v>3245</v>
      </c>
      <c r="AD1538" s="34">
        <v>25.983062</v>
      </c>
      <c r="AE1538" s="34">
        <v>70.251829999999998</v>
      </c>
    </row>
    <row r="1539" spans="1:31" x14ac:dyDescent="0.25">
      <c r="A1539" s="38" t="s">
        <v>36</v>
      </c>
      <c r="B1539" s="38" t="s">
        <v>3157</v>
      </c>
      <c r="C1539" s="38" t="s">
        <v>3243</v>
      </c>
      <c r="D1539" s="38" t="s">
        <v>3246</v>
      </c>
      <c r="E1539" s="38" t="s">
        <v>3247</v>
      </c>
      <c r="F1539" s="38">
        <v>4430</v>
      </c>
      <c r="G1539" s="38">
        <v>4430</v>
      </c>
      <c r="H1539" s="38">
        <f t="shared" si="73"/>
        <v>1042</v>
      </c>
      <c r="I1539" s="38">
        <v>648</v>
      </c>
      <c r="J1539" s="38">
        <v>394</v>
      </c>
      <c r="K1539" s="38">
        <v>254</v>
      </c>
      <c r="L1539" s="50">
        <f t="shared" si="74"/>
        <v>24.37619961612284</v>
      </c>
      <c r="M1539" s="38">
        <v>0</v>
      </c>
      <c r="N1539" s="50">
        <f t="shared" si="75"/>
        <v>0</v>
      </c>
      <c r="O1539" s="38">
        <v>57</v>
      </c>
      <c r="P1539" s="38">
        <v>450</v>
      </c>
      <c r="Q1539" s="61" t="s">
        <v>43</v>
      </c>
      <c r="R1539" s="17">
        <v>44527</v>
      </c>
      <c r="S1539" s="61"/>
      <c r="T1539" s="61">
        <v>450</v>
      </c>
      <c r="U1539" s="61"/>
      <c r="V1539" s="61"/>
      <c r="W1539" s="61"/>
      <c r="X1539" s="61"/>
      <c r="Y1539" s="61"/>
      <c r="Z1539" s="20"/>
      <c r="AB1539" s="20"/>
      <c r="AC1539" s="11" t="s">
        <v>3248</v>
      </c>
      <c r="AD1539" s="61"/>
      <c r="AE1539" s="61"/>
    </row>
    <row r="1540" spans="1:31" x14ac:dyDescent="0.25">
      <c r="A1540" s="38" t="s">
        <v>36</v>
      </c>
      <c r="B1540" s="38" t="s">
        <v>3157</v>
      </c>
      <c r="C1540" s="38" t="s">
        <v>3243</v>
      </c>
      <c r="D1540" s="38" t="s">
        <v>3249</v>
      </c>
      <c r="E1540" s="38" t="s">
        <v>3250</v>
      </c>
      <c r="F1540" s="38">
        <v>8213</v>
      </c>
      <c r="G1540" s="38">
        <v>8213</v>
      </c>
      <c r="H1540" s="38">
        <f t="shared" si="73"/>
        <v>463</v>
      </c>
      <c r="I1540" s="38">
        <v>291</v>
      </c>
      <c r="J1540" s="38">
        <v>172</v>
      </c>
      <c r="K1540" s="38">
        <v>119</v>
      </c>
      <c r="L1540" s="50">
        <f t="shared" si="74"/>
        <v>25.70194384449244</v>
      </c>
      <c r="M1540" s="38">
        <v>0</v>
      </c>
      <c r="N1540" s="50">
        <f t="shared" si="75"/>
        <v>0</v>
      </c>
      <c r="O1540" s="38">
        <v>3</v>
      </c>
      <c r="P1540" s="38">
        <v>2505</v>
      </c>
      <c r="Q1540" s="34" t="s">
        <v>43</v>
      </c>
      <c r="R1540" s="17">
        <v>44527</v>
      </c>
      <c r="S1540" s="34"/>
      <c r="T1540" s="34">
        <v>2505</v>
      </c>
      <c r="U1540" s="34"/>
      <c r="V1540" s="34"/>
      <c r="W1540" s="34"/>
      <c r="X1540" s="34"/>
      <c r="Y1540" s="34"/>
      <c r="Z1540" s="89"/>
      <c r="AB1540" s="89">
        <v>10</v>
      </c>
      <c r="AC1540" s="34" t="s">
        <v>3251</v>
      </c>
      <c r="AD1540" s="34">
        <v>25.802323000000001</v>
      </c>
      <c r="AE1540" s="34">
        <v>70.473180999999997</v>
      </c>
    </row>
    <row r="1541" spans="1:31" x14ac:dyDescent="0.25">
      <c r="A1541" s="38" t="s">
        <v>36</v>
      </c>
      <c r="B1541" s="38" t="s">
        <v>3157</v>
      </c>
      <c r="C1541" s="38" t="s">
        <v>3243</v>
      </c>
      <c r="D1541" s="38" t="s">
        <v>3252</v>
      </c>
      <c r="E1541" s="38" t="s">
        <v>3253</v>
      </c>
      <c r="F1541" s="38">
        <v>1877</v>
      </c>
      <c r="G1541" s="38">
        <v>1877</v>
      </c>
      <c r="H1541" s="38">
        <f t="shared" ref="H1541:H1604" si="76">I1541+J1541</f>
        <v>481</v>
      </c>
      <c r="I1541" s="38">
        <v>299</v>
      </c>
      <c r="J1541" s="38">
        <v>182</v>
      </c>
      <c r="K1541" s="38">
        <v>117</v>
      </c>
      <c r="L1541" s="50">
        <f t="shared" si="74"/>
        <v>24.324324324324326</v>
      </c>
      <c r="M1541" s="38">
        <v>69</v>
      </c>
      <c r="N1541" s="50">
        <f t="shared" si="75"/>
        <v>14.345114345114347</v>
      </c>
      <c r="O1541" s="38">
        <v>0</v>
      </c>
      <c r="P1541" s="38">
        <v>337</v>
      </c>
      <c r="Q1541" s="61" t="s">
        <v>43</v>
      </c>
      <c r="R1541" s="17">
        <v>44527</v>
      </c>
      <c r="S1541" s="61"/>
      <c r="T1541" s="61">
        <v>337</v>
      </c>
      <c r="U1541" s="61"/>
      <c r="V1541" s="61"/>
      <c r="W1541" s="61"/>
      <c r="X1541" s="61"/>
      <c r="Y1541" s="61"/>
      <c r="Z1541" s="20"/>
      <c r="AB1541" s="20"/>
      <c r="AC1541" s="11" t="s">
        <v>3254</v>
      </c>
      <c r="AD1541" s="61"/>
      <c r="AE1541" s="61"/>
    </row>
    <row r="1542" spans="1:31" x14ac:dyDescent="0.25">
      <c r="A1542" s="38" t="s">
        <v>36</v>
      </c>
      <c r="B1542" s="38" t="s">
        <v>3157</v>
      </c>
      <c r="C1542" s="38" t="s">
        <v>3243</v>
      </c>
      <c r="D1542" s="38" t="s">
        <v>3255</v>
      </c>
      <c r="E1542" s="38" t="s">
        <v>3256</v>
      </c>
      <c r="F1542" s="38">
        <v>3062</v>
      </c>
      <c r="G1542" s="38">
        <v>3062</v>
      </c>
      <c r="H1542" s="38">
        <f t="shared" si="76"/>
        <v>727</v>
      </c>
      <c r="I1542" s="38">
        <v>477</v>
      </c>
      <c r="J1542" s="38">
        <v>250</v>
      </c>
      <c r="K1542" s="38">
        <v>227</v>
      </c>
      <c r="L1542" s="50">
        <f t="shared" ref="L1542:L1605" si="77">K1542/H1542*100</f>
        <v>31.224209078404403</v>
      </c>
      <c r="M1542" s="38">
        <v>226</v>
      </c>
      <c r="N1542" s="50">
        <f t="shared" si="75"/>
        <v>31.086657496561209</v>
      </c>
      <c r="O1542" s="38">
        <v>0</v>
      </c>
      <c r="P1542" s="38">
        <v>147</v>
      </c>
      <c r="Q1542" s="61" t="s">
        <v>43</v>
      </c>
      <c r="R1542" s="17">
        <v>44527</v>
      </c>
      <c r="S1542" s="61"/>
      <c r="T1542" s="61">
        <v>147</v>
      </c>
      <c r="U1542" s="61"/>
      <c r="V1542" s="61"/>
      <c r="W1542" s="61"/>
      <c r="X1542" s="61"/>
      <c r="Y1542" s="61"/>
      <c r="Z1542" s="20"/>
      <c r="AB1542" s="20"/>
      <c r="AC1542" s="11" t="s">
        <v>3257</v>
      </c>
      <c r="AD1542" s="61"/>
      <c r="AE1542" s="61"/>
    </row>
    <row r="1543" spans="1:31" x14ac:dyDescent="0.25">
      <c r="A1543" s="38" t="s">
        <v>36</v>
      </c>
      <c r="B1543" s="38" t="s">
        <v>3157</v>
      </c>
      <c r="C1543" s="38" t="s">
        <v>3157</v>
      </c>
      <c r="D1543" s="38" t="s">
        <v>3258</v>
      </c>
      <c r="E1543" s="38" t="s">
        <v>3259</v>
      </c>
      <c r="F1543" s="38">
        <v>1210.83</v>
      </c>
      <c r="G1543" s="38">
        <v>1210.83</v>
      </c>
      <c r="H1543" s="38">
        <f t="shared" si="76"/>
        <v>12593</v>
      </c>
      <c r="I1543" s="38">
        <v>8290</v>
      </c>
      <c r="J1543" s="38">
        <v>4303</v>
      </c>
      <c r="K1543" s="38">
        <v>3987</v>
      </c>
      <c r="L1543" s="50">
        <f t="shared" si="77"/>
        <v>31.660446279679189</v>
      </c>
      <c r="M1543" s="38">
        <v>2503</v>
      </c>
      <c r="N1543" s="50">
        <f t="shared" si="75"/>
        <v>19.876121654887633</v>
      </c>
      <c r="O1543" s="38">
        <v>115</v>
      </c>
      <c r="P1543" s="38">
        <v>110</v>
      </c>
      <c r="Q1543" s="61" t="s">
        <v>43</v>
      </c>
      <c r="R1543" s="188">
        <v>44587</v>
      </c>
      <c r="S1543" s="61"/>
      <c r="T1543" s="61">
        <v>110</v>
      </c>
      <c r="U1543" s="61"/>
      <c r="V1543" s="61"/>
      <c r="W1543" s="61"/>
      <c r="X1543" s="61"/>
      <c r="Y1543" s="61"/>
      <c r="Z1543" s="109"/>
      <c r="AB1543" s="20">
        <v>28</v>
      </c>
      <c r="AC1543" s="34" t="s">
        <v>3260</v>
      </c>
      <c r="AD1543" s="61">
        <v>70.581120999999996</v>
      </c>
      <c r="AE1543" s="61">
        <v>25.739742</v>
      </c>
    </row>
    <row r="1544" spans="1:31" x14ac:dyDescent="0.25">
      <c r="A1544" s="38" t="s">
        <v>36</v>
      </c>
      <c r="B1544" s="38" t="s">
        <v>3157</v>
      </c>
      <c r="C1544" s="38" t="s">
        <v>3261</v>
      </c>
      <c r="D1544" s="38" t="s">
        <v>197</v>
      </c>
      <c r="E1544" s="38" t="s">
        <v>3262</v>
      </c>
      <c r="F1544" s="38">
        <v>3082</v>
      </c>
      <c r="G1544" s="38">
        <v>3082</v>
      </c>
      <c r="H1544" s="38">
        <f t="shared" si="76"/>
        <v>239</v>
      </c>
      <c r="I1544" s="38">
        <v>158</v>
      </c>
      <c r="J1544" s="38">
        <v>81</v>
      </c>
      <c r="K1544" s="38">
        <v>77</v>
      </c>
      <c r="L1544" s="50">
        <f t="shared" si="77"/>
        <v>32.21757322175732</v>
      </c>
      <c r="M1544" s="38">
        <v>0</v>
      </c>
      <c r="N1544" s="50">
        <f t="shared" si="75"/>
        <v>0</v>
      </c>
      <c r="O1544" s="38">
        <v>0</v>
      </c>
      <c r="P1544" s="38">
        <v>781</v>
      </c>
      <c r="Q1544" s="61" t="s">
        <v>43</v>
      </c>
      <c r="R1544" s="17">
        <v>44540</v>
      </c>
      <c r="S1544" s="61"/>
      <c r="T1544" s="61">
        <v>538</v>
      </c>
      <c r="U1544" s="61"/>
      <c r="V1544" s="61"/>
      <c r="W1544" s="61"/>
      <c r="X1544" s="61"/>
      <c r="Y1544" s="61"/>
      <c r="Z1544" s="20"/>
      <c r="AB1544" s="20"/>
      <c r="AC1544" s="11" t="s">
        <v>197</v>
      </c>
      <c r="AD1544" s="61"/>
      <c r="AE1544" s="61"/>
    </row>
    <row r="1545" spans="1:31" x14ac:dyDescent="0.25">
      <c r="A1545" s="38" t="s">
        <v>36</v>
      </c>
      <c r="B1545" s="38" t="s">
        <v>3157</v>
      </c>
      <c r="C1545" s="38" t="s">
        <v>3261</v>
      </c>
      <c r="D1545" s="38" t="s">
        <v>3264</v>
      </c>
      <c r="E1545" s="38" t="s">
        <v>3265</v>
      </c>
      <c r="F1545" s="38">
        <v>1724</v>
      </c>
      <c r="G1545" s="38">
        <v>1724</v>
      </c>
      <c r="H1545" s="38">
        <f t="shared" si="76"/>
        <v>651</v>
      </c>
      <c r="I1545" s="38">
        <v>414</v>
      </c>
      <c r="J1545" s="38">
        <v>237</v>
      </c>
      <c r="K1545" s="38">
        <v>177</v>
      </c>
      <c r="L1545" s="50">
        <f t="shared" si="77"/>
        <v>27.188940092165897</v>
      </c>
      <c r="M1545" s="38">
        <v>0</v>
      </c>
      <c r="N1545" s="50">
        <f t="shared" si="75"/>
        <v>0</v>
      </c>
      <c r="O1545" s="38">
        <v>0</v>
      </c>
      <c r="P1545" s="38">
        <v>802</v>
      </c>
      <c r="Q1545" s="61" t="s">
        <v>43</v>
      </c>
      <c r="R1545" s="17">
        <v>44540</v>
      </c>
      <c r="S1545" s="61"/>
      <c r="T1545" s="61">
        <v>277</v>
      </c>
      <c r="U1545" s="61"/>
      <c r="V1545" s="61"/>
      <c r="W1545" s="61"/>
      <c r="X1545" s="61"/>
      <c r="Y1545" s="61"/>
      <c r="Z1545" s="20"/>
      <c r="AB1545" s="20"/>
      <c r="AC1545" s="11" t="s">
        <v>3266</v>
      </c>
      <c r="AD1545" s="61"/>
      <c r="AE1545" s="61"/>
    </row>
    <row r="1546" spans="1:31" x14ac:dyDescent="0.25">
      <c r="A1546" s="38" t="s">
        <v>36</v>
      </c>
      <c r="B1546" s="38" t="s">
        <v>3157</v>
      </c>
      <c r="C1546" s="38" t="s">
        <v>3261</v>
      </c>
      <c r="D1546" s="38" t="s">
        <v>3263</v>
      </c>
      <c r="E1546" s="38" t="s">
        <v>3267</v>
      </c>
      <c r="F1546" s="38">
        <v>2425</v>
      </c>
      <c r="G1546" s="38">
        <v>2425</v>
      </c>
      <c r="H1546" s="38">
        <f t="shared" si="76"/>
        <v>2585</v>
      </c>
      <c r="I1546" s="38">
        <v>1683</v>
      </c>
      <c r="J1546" s="38">
        <v>902</v>
      </c>
      <c r="K1546" s="38">
        <v>781</v>
      </c>
      <c r="L1546" s="50">
        <f t="shared" si="77"/>
        <v>30.212765957446809</v>
      </c>
      <c r="M1546" s="38">
        <v>153</v>
      </c>
      <c r="N1546" s="50">
        <f t="shared" si="75"/>
        <v>5.9187620889748551</v>
      </c>
      <c r="O1546" s="38">
        <v>4</v>
      </c>
      <c r="P1546" s="38">
        <v>876</v>
      </c>
      <c r="Q1546" s="34" t="s">
        <v>43</v>
      </c>
      <c r="R1546" s="88">
        <v>44540</v>
      </c>
      <c r="S1546" s="34"/>
      <c r="T1546" s="34">
        <v>335</v>
      </c>
      <c r="U1546" s="34"/>
      <c r="V1546" s="34"/>
      <c r="W1546" s="34"/>
      <c r="X1546" s="34"/>
      <c r="Y1546" s="34"/>
      <c r="Z1546" s="109"/>
      <c r="AB1546" s="89">
        <v>100</v>
      </c>
      <c r="AC1546" s="34" t="s">
        <v>3268</v>
      </c>
      <c r="AD1546" s="34">
        <v>70.497094000000004</v>
      </c>
      <c r="AE1546" s="34">
        <v>26.150648</v>
      </c>
    </row>
    <row r="1547" spans="1:31" x14ac:dyDescent="0.25">
      <c r="A1547" s="38" t="s">
        <v>36</v>
      </c>
      <c r="B1547" s="38" t="s">
        <v>3157</v>
      </c>
      <c r="C1547" s="38" t="s">
        <v>3269</v>
      </c>
      <c r="D1547" s="38" t="s">
        <v>3270</v>
      </c>
      <c r="E1547" s="38" t="s">
        <v>3271</v>
      </c>
      <c r="F1547" s="38">
        <v>4379.97</v>
      </c>
      <c r="G1547" s="38">
        <v>4379.97</v>
      </c>
      <c r="H1547" s="38">
        <f t="shared" si="76"/>
        <v>4493</v>
      </c>
      <c r="I1547" s="38">
        <v>2912</v>
      </c>
      <c r="J1547" s="38">
        <v>1581</v>
      </c>
      <c r="K1547" s="38">
        <v>1331</v>
      </c>
      <c r="L1547" s="50">
        <f t="shared" si="77"/>
        <v>29.623859336746051</v>
      </c>
      <c r="M1547" s="38">
        <v>328</v>
      </c>
      <c r="N1547" s="50">
        <f t="shared" si="75"/>
        <v>7.3002448252837748</v>
      </c>
      <c r="O1547" s="38">
        <v>0</v>
      </c>
      <c r="P1547" s="38">
        <v>661.15</v>
      </c>
      <c r="Q1547" s="34" t="s">
        <v>43</v>
      </c>
      <c r="R1547" s="9">
        <v>44558</v>
      </c>
      <c r="S1547" s="34"/>
      <c r="T1547" s="34">
        <v>661</v>
      </c>
      <c r="U1547" s="34"/>
      <c r="V1547" s="34"/>
      <c r="W1547" s="34"/>
      <c r="X1547" s="34"/>
      <c r="Y1547" s="34"/>
      <c r="Z1547" s="109"/>
      <c r="AB1547" s="109"/>
      <c r="AC1547" s="34" t="s">
        <v>3272</v>
      </c>
      <c r="AD1547" s="34">
        <v>25.960008999999999</v>
      </c>
      <c r="AE1547" s="34">
        <v>70.795860000000005</v>
      </c>
    </row>
    <row r="1548" spans="1:31" x14ac:dyDescent="0.25">
      <c r="A1548" s="38" t="s">
        <v>36</v>
      </c>
      <c r="B1548" s="38" t="s">
        <v>3157</v>
      </c>
      <c r="C1548" s="38" t="s">
        <v>3273</v>
      </c>
      <c r="D1548" s="38" t="s">
        <v>3274</v>
      </c>
      <c r="E1548" s="38" t="s">
        <v>3275</v>
      </c>
      <c r="F1548" s="38">
        <v>2193.5500000000002</v>
      </c>
      <c r="G1548" s="38">
        <v>2193.5500000000002</v>
      </c>
      <c r="H1548" s="38">
        <f t="shared" si="76"/>
        <v>3490</v>
      </c>
      <c r="I1548" s="38">
        <v>2290</v>
      </c>
      <c r="J1548" s="38">
        <v>1200</v>
      </c>
      <c r="K1548" s="38">
        <v>1090</v>
      </c>
      <c r="L1548" s="50">
        <f t="shared" si="77"/>
        <v>31.232091690544411</v>
      </c>
      <c r="M1548" s="38">
        <v>300</v>
      </c>
      <c r="N1548" s="50">
        <f t="shared" si="75"/>
        <v>8.5959885386819472</v>
      </c>
      <c r="O1548" s="38">
        <v>0</v>
      </c>
      <c r="P1548" s="38">
        <v>836.25</v>
      </c>
      <c r="Q1548" s="34" t="s">
        <v>43</v>
      </c>
      <c r="R1548" s="17">
        <v>44524</v>
      </c>
      <c r="S1548" s="34"/>
      <c r="T1548" s="34">
        <v>42</v>
      </c>
      <c r="U1548" s="34"/>
      <c r="V1548" s="34"/>
      <c r="W1548" s="34"/>
      <c r="X1548" s="34"/>
      <c r="Y1548" s="34"/>
      <c r="Z1548" s="89"/>
      <c r="AB1548" s="89"/>
      <c r="AC1548" s="34" t="s">
        <v>3276</v>
      </c>
      <c r="AD1548" s="34">
        <v>25.747928000000002</v>
      </c>
      <c r="AE1548" s="34">
        <v>70.414572000000007</v>
      </c>
    </row>
    <row r="1549" spans="1:31" x14ac:dyDescent="0.25">
      <c r="A1549" s="38" t="s">
        <v>36</v>
      </c>
      <c r="B1549" s="38" t="s">
        <v>3157</v>
      </c>
      <c r="C1549" s="38" t="s">
        <v>3273</v>
      </c>
      <c r="D1549" s="38" t="s">
        <v>3277</v>
      </c>
      <c r="E1549" s="38" t="s">
        <v>3278</v>
      </c>
      <c r="F1549" s="38">
        <v>1133.81</v>
      </c>
      <c r="G1549" s="38">
        <v>1133.81</v>
      </c>
      <c r="H1549" s="38">
        <f t="shared" si="76"/>
        <v>540</v>
      </c>
      <c r="I1549" s="38">
        <v>355</v>
      </c>
      <c r="J1549" s="38">
        <v>185</v>
      </c>
      <c r="K1549" s="38">
        <v>170</v>
      </c>
      <c r="L1549" s="50">
        <f t="shared" si="77"/>
        <v>31.481481481481481</v>
      </c>
      <c r="M1549" s="38">
        <v>170</v>
      </c>
      <c r="N1549" s="50">
        <f t="shared" si="75"/>
        <v>31.481481481481481</v>
      </c>
      <c r="O1549" s="38">
        <v>0</v>
      </c>
      <c r="P1549" s="38">
        <v>42.12</v>
      </c>
      <c r="Q1549" s="34" t="s">
        <v>43</v>
      </c>
      <c r="R1549" s="17">
        <v>44524</v>
      </c>
      <c r="S1549" s="34"/>
      <c r="T1549" s="34">
        <v>836</v>
      </c>
      <c r="U1549" s="34"/>
      <c r="V1549" s="34"/>
      <c r="W1549" s="34"/>
      <c r="X1549" s="34"/>
      <c r="Y1549" s="34"/>
      <c r="Z1549" s="89"/>
      <c r="AB1549" s="89"/>
      <c r="AC1549" s="34" t="s">
        <v>3279</v>
      </c>
      <c r="AD1549" s="34">
        <v>25.743385</v>
      </c>
      <c r="AE1549" s="34">
        <v>70.439603000000005</v>
      </c>
    </row>
    <row r="1550" spans="1:31" x14ac:dyDescent="0.25">
      <c r="A1550" s="38" t="s">
        <v>36</v>
      </c>
      <c r="B1550" s="38" t="s">
        <v>3157</v>
      </c>
      <c r="C1550" s="38" t="s">
        <v>3280</v>
      </c>
      <c r="D1550" s="38" t="s">
        <v>3281</v>
      </c>
      <c r="E1550" s="38" t="s">
        <v>3282</v>
      </c>
      <c r="F1550" s="38">
        <v>428.6</v>
      </c>
      <c r="G1550" s="38">
        <v>428.6</v>
      </c>
      <c r="H1550" s="38">
        <f t="shared" si="76"/>
        <v>455</v>
      </c>
      <c r="I1550" s="38">
        <v>302</v>
      </c>
      <c r="J1550" s="38">
        <v>153</v>
      </c>
      <c r="K1550" s="38">
        <v>149</v>
      </c>
      <c r="L1550" s="50">
        <f t="shared" si="77"/>
        <v>32.747252747252745</v>
      </c>
      <c r="M1550" s="38">
        <v>135</v>
      </c>
      <c r="N1550" s="50">
        <f t="shared" si="75"/>
        <v>29.670329670329672</v>
      </c>
      <c r="O1550" s="38">
        <v>0</v>
      </c>
      <c r="P1550" s="38">
        <v>85.8</v>
      </c>
      <c r="Q1550" s="61" t="s">
        <v>43</v>
      </c>
      <c r="R1550" s="17">
        <v>44526</v>
      </c>
      <c r="S1550" s="61"/>
      <c r="T1550" s="61">
        <v>86</v>
      </c>
      <c r="U1550" s="61"/>
      <c r="V1550" s="61"/>
      <c r="W1550" s="61"/>
      <c r="X1550" s="61"/>
      <c r="Y1550" s="61"/>
      <c r="Z1550" s="20"/>
      <c r="AB1550" s="20"/>
      <c r="AC1550" s="11" t="s">
        <v>3283</v>
      </c>
      <c r="AD1550" s="61"/>
      <c r="AE1550" s="61"/>
    </row>
    <row r="1551" spans="1:31" x14ac:dyDescent="0.25">
      <c r="A1551" s="38" t="s">
        <v>36</v>
      </c>
      <c r="B1551" s="38" t="s">
        <v>3157</v>
      </c>
      <c r="C1551" s="38" t="s">
        <v>3280</v>
      </c>
      <c r="D1551" s="38" t="s">
        <v>3284</v>
      </c>
      <c r="E1551" s="38" t="s">
        <v>3285</v>
      </c>
      <c r="F1551" s="38">
        <v>1395.5</v>
      </c>
      <c r="G1551" s="38">
        <v>1395.5</v>
      </c>
      <c r="H1551" s="38">
        <f t="shared" si="76"/>
        <v>277</v>
      </c>
      <c r="I1551" s="38">
        <v>181</v>
      </c>
      <c r="J1551" s="38">
        <v>96</v>
      </c>
      <c r="K1551" s="38">
        <v>85</v>
      </c>
      <c r="L1551" s="50">
        <f t="shared" si="77"/>
        <v>30.685920577617328</v>
      </c>
      <c r="M1551" s="38">
        <v>18</v>
      </c>
      <c r="N1551" s="50">
        <f t="shared" si="75"/>
        <v>6.4981949458483745</v>
      </c>
      <c r="O1551" s="38">
        <v>0</v>
      </c>
      <c r="P1551" s="38">
        <v>152.35</v>
      </c>
      <c r="Q1551" s="61" t="s">
        <v>43</v>
      </c>
      <c r="R1551" s="17">
        <v>44526</v>
      </c>
      <c r="S1551" s="61"/>
      <c r="T1551" s="61">
        <v>152</v>
      </c>
      <c r="U1551" s="61"/>
      <c r="V1551" s="61"/>
      <c r="W1551" s="61"/>
      <c r="X1551" s="61"/>
      <c r="Y1551" s="61"/>
      <c r="Z1551" s="20"/>
      <c r="AB1551" s="20"/>
      <c r="AC1551" s="11" t="s">
        <v>3284</v>
      </c>
      <c r="AD1551" s="61"/>
      <c r="AE1551" s="61"/>
    </row>
    <row r="1552" spans="1:31" x14ac:dyDescent="0.25">
      <c r="A1552" s="38" t="s">
        <v>36</v>
      </c>
      <c r="B1552" s="38" t="s">
        <v>3157</v>
      </c>
      <c r="C1552" s="38" t="s">
        <v>3280</v>
      </c>
      <c r="D1552" s="38" t="s">
        <v>3286</v>
      </c>
      <c r="E1552" s="38" t="s">
        <v>3287</v>
      </c>
      <c r="F1552" s="38">
        <v>1879.01</v>
      </c>
      <c r="G1552" s="38">
        <v>1879.01</v>
      </c>
      <c r="H1552" s="38">
        <f t="shared" si="76"/>
        <v>956</v>
      </c>
      <c r="I1552" s="38">
        <v>619</v>
      </c>
      <c r="J1552" s="38">
        <v>337</v>
      </c>
      <c r="K1552" s="38">
        <v>282</v>
      </c>
      <c r="L1552" s="50">
        <f t="shared" si="77"/>
        <v>29.497907949790797</v>
      </c>
      <c r="M1552" s="38">
        <v>209</v>
      </c>
      <c r="N1552" s="50">
        <f t="shared" si="75"/>
        <v>21.86192468619247</v>
      </c>
      <c r="O1552" s="38">
        <v>0</v>
      </c>
      <c r="P1552" s="38">
        <v>451.77</v>
      </c>
      <c r="Q1552" s="61" t="s">
        <v>43</v>
      </c>
      <c r="R1552" s="17">
        <v>44526</v>
      </c>
      <c r="S1552" s="61"/>
      <c r="T1552" s="61">
        <v>452</v>
      </c>
      <c r="U1552" s="61"/>
      <c r="V1552" s="61"/>
      <c r="W1552" s="61"/>
      <c r="X1552" s="61"/>
      <c r="Y1552" s="61"/>
      <c r="Z1552" s="20"/>
      <c r="AB1552" s="20"/>
      <c r="AC1552" s="11" t="s">
        <v>3288</v>
      </c>
      <c r="AD1552" s="61"/>
      <c r="AE1552" s="61"/>
    </row>
    <row r="1553" spans="1:31" x14ac:dyDescent="0.25">
      <c r="A1553" s="38" t="s">
        <v>36</v>
      </c>
      <c r="B1553" s="38" t="s">
        <v>3157</v>
      </c>
      <c r="C1553" s="38" t="s">
        <v>3280</v>
      </c>
      <c r="D1553" s="38" t="s">
        <v>3289</v>
      </c>
      <c r="E1553" s="38" t="s">
        <v>3290</v>
      </c>
      <c r="F1553" s="38">
        <v>1255.81</v>
      </c>
      <c r="G1553" s="38">
        <v>1255.81</v>
      </c>
      <c r="H1553" s="38">
        <f t="shared" si="76"/>
        <v>595</v>
      </c>
      <c r="I1553" s="38">
        <v>384</v>
      </c>
      <c r="J1553" s="38">
        <v>211</v>
      </c>
      <c r="K1553" s="38">
        <v>173</v>
      </c>
      <c r="L1553" s="50">
        <f t="shared" si="77"/>
        <v>29.075630252100844</v>
      </c>
      <c r="M1553" s="38">
        <v>4</v>
      </c>
      <c r="N1553" s="50">
        <f t="shared" si="75"/>
        <v>0.67226890756302526</v>
      </c>
      <c r="O1553" s="38">
        <v>0</v>
      </c>
      <c r="P1553" s="38">
        <v>68.790000000000006</v>
      </c>
      <c r="Q1553" s="61" t="s">
        <v>43</v>
      </c>
      <c r="R1553" s="17">
        <v>44526</v>
      </c>
      <c r="S1553" s="61"/>
      <c r="T1553" s="61">
        <v>69</v>
      </c>
      <c r="U1553" s="61"/>
      <c r="V1553" s="61"/>
      <c r="W1553" s="61"/>
      <c r="X1553" s="61"/>
      <c r="Y1553" s="61"/>
      <c r="Z1553" s="20"/>
      <c r="AB1553" s="20"/>
      <c r="AC1553" s="11" t="s">
        <v>3291</v>
      </c>
      <c r="AD1553" s="61"/>
      <c r="AE1553" s="61"/>
    </row>
    <row r="1554" spans="1:31" x14ac:dyDescent="0.25">
      <c r="A1554" s="38" t="s">
        <v>36</v>
      </c>
      <c r="B1554" s="38" t="s">
        <v>3157</v>
      </c>
      <c r="C1554" s="38" t="s">
        <v>3280</v>
      </c>
      <c r="D1554" s="38" t="s">
        <v>3292</v>
      </c>
      <c r="E1554" s="38" t="s">
        <v>3293</v>
      </c>
      <c r="F1554" s="38">
        <v>3089.08</v>
      </c>
      <c r="G1554" s="38">
        <v>3089.08</v>
      </c>
      <c r="H1554" s="38">
        <f t="shared" si="76"/>
        <v>1139</v>
      </c>
      <c r="I1554" s="38">
        <v>749</v>
      </c>
      <c r="J1554" s="38">
        <v>390</v>
      </c>
      <c r="K1554" s="38">
        <v>359</v>
      </c>
      <c r="L1554" s="50">
        <f t="shared" si="77"/>
        <v>31.518876207199298</v>
      </c>
      <c r="M1554" s="38">
        <v>227</v>
      </c>
      <c r="N1554" s="50">
        <f t="shared" si="75"/>
        <v>19.9297629499561</v>
      </c>
      <c r="O1554" s="38">
        <v>0</v>
      </c>
      <c r="P1554" s="38">
        <v>1024.81</v>
      </c>
      <c r="Q1554" s="61" t="s">
        <v>43</v>
      </c>
      <c r="R1554" s="17">
        <v>44526</v>
      </c>
      <c r="S1554" s="61"/>
      <c r="T1554" s="61">
        <v>1025</v>
      </c>
      <c r="U1554" s="61"/>
      <c r="V1554" s="61"/>
      <c r="W1554" s="61"/>
      <c r="X1554" s="61"/>
      <c r="Y1554" s="61"/>
      <c r="Z1554" s="20"/>
      <c r="AB1554" s="20"/>
      <c r="AC1554" s="11" t="s">
        <v>3292</v>
      </c>
      <c r="AD1554" s="61"/>
      <c r="AE1554" s="61"/>
    </row>
    <row r="1555" spans="1:31" x14ac:dyDescent="0.25">
      <c r="A1555" s="38" t="s">
        <v>36</v>
      </c>
      <c r="B1555" s="38" t="s">
        <v>3157</v>
      </c>
      <c r="C1555" s="38" t="s">
        <v>3280</v>
      </c>
      <c r="D1555" s="38" t="s">
        <v>3294</v>
      </c>
      <c r="E1555" s="38" t="s">
        <v>3295</v>
      </c>
      <c r="F1555" s="38">
        <v>913.23</v>
      </c>
      <c r="G1555" s="38">
        <v>913.23</v>
      </c>
      <c r="H1555" s="38">
        <f t="shared" si="76"/>
        <v>1650</v>
      </c>
      <c r="I1555" s="38">
        <v>1090</v>
      </c>
      <c r="J1555" s="38">
        <v>560</v>
      </c>
      <c r="K1555" s="38">
        <v>530</v>
      </c>
      <c r="L1555" s="50">
        <f t="shared" si="77"/>
        <v>32.121212121212125</v>
      </c>
      <c r="M1555" s="38">
        <v>525</v>
      </c>
      <c r="N1555" s="50">
        <f t="shared" si="75"/>
        <v>31.818181818181817</v>
      </c>
      <c r="O1555" s="38">
        <v>0</v>
      </c>
      <c r="P1555" s="38">
        <v>10.39</v>
      </c>
      <c r="Q1555" s="61" t="s">
        <v>43</v>
      </c>
      <c r="R1555" s="17">
        <v>44526</v>
      </c>
      <c r="S1555" s="61"/>
      <c r="T1555" s="61">
        <v>64.2</v>
      </c>
      <c r="U1555" s="61"/>
      <c r="V1555" s="61"/>
      <c r="W1555" s="61"/>
      <c r="X1555" s="61"/>
      <c r="Y1555" s="61"/>
      <c r="Z1555" s="20"/>
      <c r="AB1555" s="20"/>
      <c r="AC1555" s="11" t="s">
        <v>3296</v>
      </c>
      <c r="AD1555" s="61"/>
      <c r="AE1555" s="61"/>
    </row>
    <row r="1556" spans="1:31" x14ac:dyDescent="0.25">
      <c r="A1556" s="38" t="s">
        <v>36</v>
      </c>
      <c r="B1556" s="38" t="s">
        <v>3157</v>
      </c>
      <c r="C1556" s="38" t="s">
        <v>3280</v>
      </c>
      <c r="D1556" s="38" t="s">
        <v>3297</v>
      </c>
      <c r="E1556" s="38" t="s">
        <v>3298</v>
      </c>
      <c r="F1556" s="38">
        <v>817.22</v>
      </c>
      <c r="G1556" s="38">
        <v>817.22</v>
      </c>
      <c r="H1556" s="38">
        <f t="shared" si="76"/>
        <v>283</v>
      </c>
      <c r="I1556" s="38">
        <v>187</v>
      </c>
      <c r="J1556" s="38">
        <v>96</v>
      </c>
      <c r="K1556" s="38">
        <v>91</v>
      </c>
      <c r="L1556" s="50">
        <f t="shared" si="77"/>
        <v>32.155477031802121</v>
      </c>
      <c r="M1556" s="38">
        <v>0</v>
      </c>
      <c r="N1556" s="50">
        <f t="shared" si="75"/>
        <v>0</v>
      </c>
      <c r="O1556" s="38">
        <v>0</v>
      </c>
      <c r="P1556" s="38">
        <v>507.96</v>
      </c>
      <c r="Q1556" s="61" t="s">
        <v>43</v>
      </c>
      <c r="R1556" s="17">
        <v>44526</v>
      </c>
      <c r="S1556" s="61"/>
      <c r="T1556" s="61">
        <v>508</v>
      </c>
      <c r="U1556" s="61"/>
      <c r="V1556" s="61"/>
      <c r="W1556" s="61"/>
      <c r="X1556" s="61"/>
      <c r="Y1556" s="61"/>
      <c r="Z1556" s="20"/>
      <c r="AB1556" s="20"/>
      <c r="AC1556" s="11" t="s">
        <v>3297</v>
      </c>
      <c r="AD1556" s="61"/>
      <c r="AE1556" s="61"/>
    </row>
    <row r="1557" spans="1:31" x14ac:dyDescent="0.25">
      <c r="A1557" s="38" t="s">
        <v>36</v>
      </c>
      <c r="B1557" s="38" t="s">
        <v>3157</v>
      </c>
      <c r="C1557" s="38" t="s">
        <v>3299</v>
      </c>
      <c r="D1557" s="38" t="s">
        <v>3300</v>
      </c>
      <c r="E1557" s="38" t="s">
        <v>3301</v>
      </c>
      <c r="F1557" s="38">
        <v>2350</v>
      </c>
      <c r="G1557" s="38">
        <v>2350</v>
      </c>
      <c r="H1557" s="38">
        <f t="shared" si="76"/>
        <v>1541</v>
      </c>
      <c r="I1557" s="38">
        <v>998</v>
      </c>
      <c r="J1557" s="38">
        <v>543</v>
      </c>
      <c r="K1557" s="38">
        <v>455</v>
      </c>
      <c r="L1557" s="50">
        <f t="shared" si="77"/>
        <v>29.526281635301753</v>
      </c>
      <c r="M1557" s="38">
        <v>72</v>
      </c>
      <c r="N1557" s="50">
        <f>M1557/H1557*100</f>
        <v>4.6722907203114863</v>
      </c>
      <c r="O1557" s="38">
        <v>0</v>
      </c>
      <c r="P1557" s="38">
        <v>295</v>
      </c>
      <c r="Q1557" s="61" t="s">
        <v>43</v>
      </c>
      <c r="R1557" s="17">
        <v>44559</v>
      </c>
      <c r="S1557" s="61"/>
      <c r="T1557" s="61">
        <v>295</v>
      </c>
      <c r="U1557" s="61"/>
      <c r="V1557" s="61"/>
      <c r="W1557" s="61"/>
      <c r="X1557" s="61"/>
      <c r="Y1557" s="61"/>
      <c r="Z1557" s="20"/>
      <c r="AB1557" s="20"/>
      <c r="AC1557" s="11" t="s">
        <v>3300</v>
      </c>
      <c r="AD1557" s="61"/>
      <c r="AE1557" s="61"/>
    </row>
    <row r="1558" spans="1:31" x14ac:dyDescent="0.25">
      <c r="A1558" s="38" t="s">
        <v>36</v>
      </c>
      <c r="B1558" s="38" t="s">
        <v>3157</v>
      </c>
      <c r="C1558" s="38" t="s">
        <v>3299</v>
      </c>
      <c r="D1558" s="38" t="s">
        <v>3302</v>
      </c>
      <c r="E1558" s="38" t="s">
        <v>3303</v>
      </c>
      <c r="F1558" s="38">
        <v>4716</v>
      </c>
      <c r="G1558" s="38">
        <v>4716</v>
      </c>
      <c r="H1558" s="38">
        <f t="shared" si="76"/>
        <v>2614</v>
      </c>
      <c r="I1558" s="38">
        <v>1703</v>
      </c>
      <c r="J1558" s="38">
        <v>911</v>
      </c>
      <c r="K1558" s="38">
        <v>792</v>
      </c>
      <c r="L1558" s="50">
        <f t="shared" si="77"/>
        <v>30.298393267023719</v>
      </c>
      <c r="M1558" s="38">
        <v>202</v>
      </c>
      <c r="N1558" s="50">
        <f t="shared" ref="N1558:N1621" si="78">M1558/H1558*100</f>
        <v>7.7276205049732205</v>
      </c>
      <c r="O1558" s="38">
        <v>0</v>
      </c>
      <c r="P1558" s="38">
        <v>328</v>
      </c>
      <c r="Q1558" s="61" t="s">
        <v>43</v>
      </c>
      <c r="R1558" s="17">
        <v>44559</v>
      </c>
      <c r="S1558" s="61"/>
      <c r="T1558" s="61">
        <v>140</v>
      </c>
      <c r="U1558" s="61"/>
      <c r="V1558" s="61"/>
      <c r="W1558" s="61"/>
      <c r="X1558" s="61"/>
      <c r="Y1558" s="61"/>
      <c r="Z1558" s="20"/>
      <c r="AB1558" s="20"/>
      <c r="AC1558" s="11" t="s">
        <v>3302</v>
      </c>
      <c r="AD1558" s="61"/>
      <c r="AE1558" s="61"/>
    </row>
    <row r="1559" spans="1:31" x14ac:dyDescent="0.25">
      <c r="A1559" s="38" t="s">
        <v>36</v>
      </c>
      <c r="B1559" s="38" t="s">
        <v>3157</v>
      </c>
      <c r="C1559" s="38" t="s">
        <v>3299</v>
      </c>
      <c r="D1559" s="38" t="s">
        <v>3304</v>
      </c>
      <c r="E1559" s="38" t="s">
        <v>3305</v>
      </c>
      <c r="F1559" s="38">
        <v>4282</v>
      </c>
      <c r="G1559" s="38">
        <v>4282</v>
      </c>
      <c r="H1559" s="38">
        <f t="shared" si="76"/>
        <v>854</v>
      </c>
      <c r="I1559" s="38">
        <v>552</v>
      </c>
      <c r="J1559" s="38">
        <v>302</v>
      </c>
      <c r="K1559" s="38">
        <v>250</v>
      </c>
      <c r="L1559" s="50">
        <f t="shared" si="77"/>
        <v>29.274004683840747</v>
      </c>
      <c r="M1559" s="38">
        <v>2</v>
      </c>
      <c r="N1559" s="50">
        <f t="shared" si="78"/>
        <v>0.23419203747072601</v>
      </c>
      <c r="O1559" s="38">
        <v>0</v>
      </c>
      <c r="P1559" s="38">
        <v>1090</v>
      </c>
      <c r="Q1559" s="61" t="s">
        <v>43</v>
      </c>
      <c r="R1559" s="17">
        <v>44559</v>
      </c>
      <c r="S1559" s="61"/>
      <c r="T1559" s="61">
        <v>1090</v>
      </c>
      <c r="U1559" s="61"/>
      <c r="V1559" s="61"/>
      <c r="W1559" s="61"/>
      <c r="X1559" s="61"/>
      <c r="Y1559" s="61"/>
      <c r="Z1559" s="20"/>
      <c r="AB1559" s="20"/>
      <c r="AC1559" s="11" t="s">
        <v>3306</v>
      </c>
      <c r="AD1559" s="61"/>
      <c r="AE1559" s="61"/>
    </row>
    <row r="1560" spans="1:31" x14ac:dyDescent="0.25">
      <c r="A1560" s="38" t="s">
        <v>36</v>
      </c>
      <c r="B1560" s="38" t="s">
        <v>3157</v>
      </c>
      <c r="C1560" s="38" t="s">
        <v>3307</v>
      </c>
      <c r="D1560" s="38" t="s">
        <v>3308</v>
      </c>
      <c r="E1560" s="38" t="s">
        <v>3309</v>
      </c>
      <c r="F1560" s="38">
        <v>2796</v>
      </c>
      <c r="G1560" s="38">
        <v>2796</v>
      </c>
      <c r="H1560" s="38">
        <f t="shared" si="76"/>
        <v>1348</v>
      </c>
      <c r="I1560" s="38">
        <v>843</v>
      </c>
      <c r="J1560" s="38">
        <v>505</v>
      </c>
      <c r="K1560" s="38">
        <v>338</v>
      </c>
      <c r="L1560" s="50">
        <f t="shared" si="77"/>
        <v>25.074183976261128</v>
      </c>
      <c r="M1560" s="38">
        <v>106</v>
      </c>
      <c r="N1560" s="50">
        <f t="shared" si="78"/>
        <v>7.8635014836795243</v>
      </c>
      <c r="O1560" s="38">
        <v>2</v>
      </c>
      <c r="P1560" s="38">
        <v>381</v>
      </c>
      <c r="Q1560" s="61" t="s">
        <v>43</v>
      </c>
      <c r="R1560" s="17">
        <v>44519</v>
      </c>
      <c r="S1560" s="61"/>
      <c r="T1560" s="61">
        <v>381</v>
      </c>
      <c r="U1560" s="61"/>
      <c r="V1560" s="61"/>
      <c r="W1560" s="61"/>
      <c r="X1560" s="61"/>
      <c r="Y1560" s="61"/>
      <c r="Z1560" s="20"/>
      <c r="AB1560" s="20"/>
      <c r="AC1560" s="11" t="s">
        <v>3310</v>
      </c>
      <c r="AD1560" s="61"/>
      <c r="AE1560" s="61"/>
    </row>
    <row r="1561" spans="1:31" x14ac:dyDescent="0.25">
      <c r="A1561" s="38" t="s">
        <v>36</v>
      </c>
      <c r="B1561" s="38" t="s">
        <v>3157</v>
      </c>
      <c r="C1561" s="38" t="s">
        <v>3307</v>
      </c>
      <c r="D1561" s="38" t="s">
        <v>3311</v>
      </c>
      <c r="E1561" s="38" t="s">
        <v>3312</v>
      </c>
      <c r="F1561" s="38">
        <v>6213</v>
      </c>
      <c r="G1561" s="38">
        <v>6213</v>
      </c>
      <c r="H1561" s="38">
        <f t="shared" si="76"/>
        <v>1462</v>
      </c>
      <c r="I1561" s="38">
        <v>908</v>
      </c>
      <c r="J1561" s="38">
        <v>554</v>
      </c>
      <c r="K1561" s="38">
        <v>354</v>
      </c>
      <c r="L1561" s="50">
        <f t="shared" si="77"/>
        <v>24.21340629274966</v>
      </c>
      <c r="M1561" s="38">
        <v>61</v>
      </c>
      <c r="N1561" s="50">
        <f t="shared" si="78"/>
        <v>4.1723666210670318</v>
      </c>
      <c r="O1561" s="38">
        <v>4</v>
      </c>
      <c r="P1561" s="38">
        <v>474</v>
      </c>
      <c r="Q1561" s="61" t="s">
        <v>43</v>
      </c>
      <c r="R1561" s="17">
        <v>44519</v>
      </c>
      <c r="S1561" s="61"/>
      <c r="T1561" s="61">
        <v>474</v>
      </c>
      <c r="U1561" s="61"/>
      <c r="V1561" s="61"/>
      <c r="W1561" s="61"/>
      <c r="X1561" s="61"/>
      <c r="Y1561" s="61"/>
      <c r="Z1561" s="20"/>
      <c r="AB1561" s="20"/>
      <c r="AC1561" s="11" t="s">
        <v>3311</v>
      </c>
      <c r="AD1561" s="61"/>
      <c r="AE1561" s="61"/>
    </row>
    <row r="1562" spans="1:31" x14ac:dyDescent="0.25">
      <c r="A1562" s="38" t="s">
        <v>36</v>
      </c>
      <c r="B1562" s="38" t="s">
        <v>3157</v>
      </c>
      <c r="C1562" s="38" t="s">
        <v>3307</v>
      </c>
      <c r="D1562" s="38" t="s">
        <v>3313</v>
      </c>
      <c r="E1562" s="38" t="s">
        <v>3314</v>
      </c>
      <c r="F1562" s="38">
        <v>1717</v>
      </c>
      <c r="G1562" s="38">
        <v>1717</v>
      </c>
      <c r="H1562" s="38">
        <f t="shared" si="76"/>
        <v>420</v>
      </c>
      <c r="I1562" s="38">
        <v>252</v>
      </c>
      <c r="J1562" s="38">
        <v>168</v>
      </c>
      <c r="K1562" s="38">
        <v>84</v>
      </c>
      <c r="L1562" s="50">
        <f t="shared" si="77"/>
        <v>20</v>
      </c>
      <c r="M1562" s="38">
        <v>0</v>
      </c>
      <c r="N1562" s="50">
        <f t="shared" si="78"/>
        <v>0</v>
      </c>
      <c r="O1562" s="38">
        <v>0</v>
      </c>
      <c r="P1562" s="38">
        <v>170</v>
      </c>
      <c r="Q1562" s="61" t="s">
        <v>43</v>
      </c>
      <c r="R1562" s="17">
        <v>44519</v>
      </c>
      <c r="S1562" s="61"/>
      <c r="T1562" s="61">
        <v>170</v>
      </c>
      <c r="U1562" s="61"/>
      <c r="V1562" s="61"/>
      <c r="W1562" s="61"/>
      <c r="X1562" s="61"/>
      <c r="Y1562" s="61"/>
      <c r="Z1562" s="20"/>
      <c r="AB1562" s="20"/>
      <c r="AC1562" s="11" t="s">
        <v>3315</v>
      </c>
      <c r="AD1562" s="61"/>
      <c r="AE1562" s="61"/>
    </row>
    <row r="1563" spans="1:31" x14ac:dyDescent="0.25">
      <c r="A1563" s="38" t="s">
        <v>36</v>
      </c>
      <c r="B1563" s="38" t="s">
        <v>3157</v>
      </c>
      <c r="C1563" s="38" t="s">
        <v>3307</v>
      </c>
      <c r="D1563" s="38" t="s">
        <v>3316</v>
      </c>
      <c r="E1563" s="38" t="s">
        <v>3317</v>
      </c>
      <c r="F1563" s="38">
        <v>3998</v>
      </c>
      <c r="G1563" s="38">
        <v>3998</v>
      </c>
      <c r="H1563" s="38">
        <f t="shared" si="76"/>
        <v>463</v>
      </c>
      <c r="I1563" s="38">
        <v>283</v>
      </c>
      <c r="J1563" s="38">
        <v>180</v>
      </c>
      <c r="K1563" s="38">
        <v>103</v>
      </c>
      <c r="L1563" s="50">
        <f t="shared" si="77"/>
        <v>22.246220302375811</v>
      </c>
      <c r="M1563" s="38">
        <v>0</v>
      </c>
      <c r="N1563" s="50">
        <f t="shared" si="78"/>
        <v>0</v>
      </c>
      <c r="O1563" s="38">
        <v>0</v>
      </c>
      <c r="P1563" s="38">
        <v>1358</v>
      </c>
      <c r="Q1563" s="34" t="s">
        <v>43</v>
      </c>
      <c r="R1563" s="17">
        <v>44519</v>
      </c>
      <c r="S1563" s="34"/>
      <c r="T1563" s="34">
        <v>1358</v>
      </c>
      <c r="U1563" s="34"/>
      <c r="V1563" s="34"/>
      <c r="W1563" s="34"/>
      <c r="X1563" s="34"/>
      <c r="Y1563" s="34"/>
      <c r="Z1563" s="89"/>
      <c r="AB1563" s="89"/>
      <c r="AC1563" s="34" t="s">
        <v>3318</v>
      </c>
      <c r="AD1563" s="34">
        <v>26.156085000000001</v>
      </c>
      <c r="AE1563" s="34">
        <v>70.512401999999994</v>
      </c>
    </row>
    <row r="1564" spans="1:31" x14ac:dyDescent="0.25">
      <c r="A1564" s="38" t="s">
        <v>36</v>
      </c>
      <c r="B1564" s="38" t="s">
        <v>3157</v>
      </c>
      <c r="C1564" s="38" t="s">
        <v>3319</v>
      </c>
      <c r="D1564" s="38" t="s">
        <v>3320</v>
      </c>
      <c r="E1564" s="38" t="s">
        <v>3321</v>
      </c>
      <c r="F1564" s="38">
        <v>1032.69</v>
      </c>
      <c r="G1564" s="38">
        <v>1032.69</v>
      </c>
      <c r="H1564" s="38">
        <f t="shared" si="76"/>
        <v>763</v>
      </c>
      <c r="I1564" s="38">
        <v>499</v>
      </c>
      <c r="J1564" s="38">
        <v>264</v>
      </c>
      <c r="K1564" s="38">
        <v>235</v>
      </c>
      <c r="L1564" s="50">
        <f t="shared" si="77"/>
        <v>30.799475753604195</v>
      </c>
      <c r="M1564" s="38">
        <v>0</v>
      </c>
      <c r="N1564" s="50">
        <f t="shared" si="78"/>
        <v>0</v>
      </c>
      <c r="O1564" s="38">
        <v>0</v>
      </c>
      <c r="P1564" s="38">
        <v>88.31</v>
      </c>
      <c r="Q1564" s="61" t="s">
        <v>43</v>
      </c>
      <c r="R1564" s="17">
        <v>44538</v>
      </c>
      <c r="S1564" s="61"/>
      <c r="T1564" s="61">
        <v>88</v>
      </c>
      <c r="U1564" s="61"/>
      <c r="V1564" s="61"/>
      <c r="W1564" s="61"/>
      <c r="X1564" s="61"/>
      <c r="Y1564" s="61"/>
      <c r="Z1564" s="20"/>
      <c r="AB1564" s="20"/>
      <c r="AC1564" s="11" t="s">
        <v>3319</v>
      </c>
      <c r="AD1564" s="61"/>
      <c r="AE1564" s="61"/>
    </row>
    <row r="1565" spans="1:31" x14ac:dyDescent="0.25">
      <c r="A1565" s="38" t="s">
        <v>36</v>
      </c>
      <c r="B1565" s="38" t="s">
        <v>3157</v>
      </c>
      <c r="C1565" s="38" t="s">
        <v>3319</v>
      </c>
      <c r="D1565" s="38" t="s">
        <v>3322</v>
      </c>
      <c r="E1565" s="38" t="s">
        <v>3323</v>
      </c>
      <c r="F1565" s="38">
        <v>1996.89</v>
      </c>
      <c r="G1565" s="38">
        <v>1996.89</v>
      </c>
      <c r="H1565" s="38">
        <f t="shared" si="76"/>
        <v>845</v>
      </c>
      <c r="I1565" s="38">
        <v>567</v>
      </c>
      <c r="J1565" s="38">
        <v>278</v>
      </c>
      <c r="K1565" s="38">
        <v>289</v>
      </c>
      <c r="L1565" s="50">
        <f t="shared" si="77"/>
        <v>34.201183431952664</v>
      </c>
      <c r="M1565" s="38">
        <v>0</v>
      </c>
      <c r="N1565" s="50">
        <f t="shared" si="78"/>
        <v>0</v>
      </c>
      <c r="O1565" s="38">
        <v>0</v>
      </c>
      <c r="P1565" s="38">
        <v>7.02</v>
      </c>
      <c r="Q1565" s="61" t="s">
        <v>43</v>
      </c>
      <c r="R1565" s="17">
        <v>44538</v>
      </c>
      <c r="S1565" s="61"/>
      <c r="T1565" s="61">
        <v>7</v>
      </c>
      <c r="U1565" s="61"/>
      <c r="V1565" s="61"/>
      <c r="W1565" s="61"/>
      <c r="X1565" s="61"/>
      <c r="Y1565" s="61"/>
      <c r="Z1565" s="20"/>
      <c r="AB1565" s="20"/>
      <c r="AC1565" s="11" t="s">
        <v>3322</v>
      </c>
      <c r="AD1565" s="61"/>
      <c r="AE1565" s="61"/>
    </row>
    <row r="1566" spans="1:31" x14ac:dyDescent="0.25">
      <c r="A1566" s="38" t="s">
        <v>36</v>
      </c>
      <c r="B1566" s="38" t="s">
        <v>3157</v>
      </c>
      <c r="C1566" s="38" t="s">
        <v>3319</v>
      </c>
      <c r="D1566" s="38" t="s">
        <v>3324</v>
      </c>
      <c r="E1566" s="38" t="s">
        <v>3325</v>
      </c>
      <c r="F1566" s="38">
        <v>455.4</v>
      </c>
      <c r="G1566" s="38">
        <v>455.4</v>
      </c>
      <c r="H1566" s="38">
        <f t="shared" si="76"/>
        <v>365</v>
      </c>
      <c r="I1566" s="38">
        <v>227</v>
      </c>
      <c r="J1566" s="38">
        <v>138</v>
      </c>
      <c r="K1566" s="38">
        <v>89</v>
      </c>
      <c r="L1566" s="50">
        <f t="shared" si="77"/>
        <v>24.383561643835616</v>
      </c>
      <c r="M1566" s="38">
        <v>0</v>
      </c>
      <c r="N1566" s="50">
        <f t="shared" si="78"/>
        <v>0</v>
      </c>
      <c r="O1566" s="38">
        <v>0</v>
      </c>
      <c r="P1566" s="38">
        <v>79.44</v>
      </c>
      <c r="Q1566" s="61" t="s">
        <v>43</v>
      </c>
      <c r="R1566" s="17">
        <v>44538</v>
      </c>
      <c r="S1566" s="61"/>
      <c r="T1566" s="61">
        <v>79</v>
      </c>
      <c r="U1566" s="61"/>
      <c r="V1566" s="61"/>
      <c r="W1566" s="61"/>
      <c r="X1566" s="61"/>
      <c r="Y1566" s="61"/>
      <c r="Z1566" s="20"/>
      <c r="AB1566" s="20"/>
      <c r="AC1566" s="11" t="s">
        <v>3326</v>
      </c>
      <c r="AD1566" s="61"/>
      <c r="AE1566" s="61"/>
    </row>
    <row r="1567" spans="1:31" x14ac:dyDescent="0.25">
      <c r="A1567" s="38" t="s">
        <v>36</v>
      </c>
      <c r="B1567" s="38" t="s">
        <v>3157</v>
      </c>
      <c r="C1567" s="38" t="s">
        <v>3319</v>
      </c>
      <c r="D1567" s="38" t="s">
        <v>3327</v>
      </c>
      <c r="E1567" s="38" t="s">
        <v>3328</v>
      </c>
      <c r="F1567" s="38">
        <v>1374.78</v>
      </c>
      <c r="G1567" s="38">
        <v>1374.78</v>
      </c>
      <c r="H1567" s="38">
        <f t="shared" si="76"/>
        <v>428</v>
      </c>
      <c r="I1567" s="38">
        <v>279</v>
      </c>
      <c r="J1567" s="38">
        <v>149</v>
      </c>
      <c r="K1567" s="38">
        <v>130</v>
      </c>
      <c r="L1567" s="50">
        <f t="shared" si="77"/>
        <v>30.373831775700932</v>
      </c>
      <c r="M1567" s="38">
        <v>0</v>
      </c>
      <c r="N1567" s="50">
        <f t="shared" si="78"/>
        <v>0</v>
      </c>
      <c r="O1567" s="38">
        <v>22.66</v>
      </c>
      <c r="P1567" s="38">
        <v>35.49</v>
      </c>
      <c r="Q1567" s="61" t="s">
        <v>43</v>
      </c>
      <c r="R1567" s="17">
        <v>44538</v>
      </c>
      <c r="S1567" s="61"/>
      <c r="T1567" s="61">
        <v>35</v>
      </c>
      <c r="U1567" s="61"/>
      <c r="V1567" s="61"/>
      <c r="W1567" s="61"/>
      <c r="X1567" s="61"/>
      <c r="Y1567" s="61"/>
      <c r="Z1567" s="20"/>
      <c r="AB1567" s="20"/>
      <c r="AC1567" s="11" t="s">
        <v>3329</v>
      </c>
      <c r="AD1567" s="61"/>
      <c r="AE1567" s="61"/>
    </row>
    <row r="1568" spans="1:31" x14ac:dyDescent="0.25">
      <c r="A1568" s="38" t="s">
        <v>36</v>
      </c>
      <c r="B1568" s="38" t="s">
        <v>3157</v>
      </c>
      <c r="C1568" s="38" t="s">
        <v>3319</v>
      </c>
      <c r="D1568" s="38" t="s">
        <v>3330</v>
      </c>
      <c r="E1568" s="38" t="s">
        <v>3331</v>
      </c>
      <c r="F1568" s="38">
        <v>2673.39</v>
      </c>
      <c r="G1568" s="38">
        <v>2673.39</v>
      </c>
      <c r="H1568" s="38">
        <f t="shared" si="76"/>
        <v>820</v>
      </c>
      <c r="I1568" s="38">
        <v>541</v>
      </c>
      <c r="J1568" s="38">
        <v>279</v>
      </c>
      <c r="K1568" s="38">
        <v>262</v>
      </c>
      <c r="L1568" s="50">
        <f t="shared" si="77"/>
        <v>31.951219512195124</v>
      </c>
      <c r="M1568" s="38">
        <v>16</v>
      </c>
      <c r="N1568" s="50">
        <f t="shared" si="78"/>
        <v>1.9512195121951219</v>
      </c>
      <c r="O1568" s="38">
        <v>0</v>
      </c>
      <c r="P1568" s="38">
        <v>396.2</v>
      </c>
      <c r="Q1568" s="61" t="s">
        <v>43</v>
      </c>
      <c r="R1568" s="17">
        <v>44538</v>
      </c>
      <c r="S1568" s="61"/>
      <c r="T1568" s="61">
        <v>396</v>
      </c>
      <c r="U1568" s="61"/>
      <c r="V1568" s="61"/>
      <c r="W1568" s="61"/>
      <c r="X1568" s="61"/>
      <c r="Y1568" s="61"/>
      <c r="Z1568" s="20"/>
      <c r="AB1568" s="20"/>
      <c r="AC1568" s="11" t="s">
        <v>3332</v>
      </c>
      <c r="AD1568" s="61"/>
      <c r="AE1568" s="61"/>
    </row>
    <row r="1569" spans="1:31" x14ac:dyDescent="0.25">
      <c r="A1569" s="38" t="s">
        <v>36</v>
      </c>
      <c r="B1569" s="38" t="s">
        <v>3157</v>
      </c>
      <c r="C1569" s="38" t="s">
        <v>3319</v>
      </c>
      <c r="D1569" s="38" t="s">
        <v>3333</v>
      </c>
      <c r="E1569" s="38" t="s">
        <v>3334</v>
      </c>
      <c r="F1569" s="38">
        <v>214.82</v>
      </c>
      <c r="G1569" s="38">
        <v>214.82</v>
      </c>
      <c r="H1569" s="38">
        <f t="shared" si="76"/>
        <v>442</v>
      </c>
      <c r="I1569" s="38">
        <v>287</v>
      </c>
      <c r="J1569" s="38">
        <v>155</v>
      </c>
      <c r="K1569" s="38">
        <v>132</v>
      </c>
      <c r="L1569" s="50">
        <f t="shared" si="77"/>
        <v>29.864253393665159</v>
      </c>
      <c r="M1569" s="38">
        <v>0</v>
      </c>
      <c r="N1569" s="50">
        <f t="shared" si="78"/>
        <v>0</v>
      </c>
      <c r="O1569" s="38">
        <v>0</v>
      </c>
      <c r="P1569" s="38">
        <v>56.26</v>
      </c>
      <c r="Q1569" s="61" t="s">
        <v>43</v>
      </c>
      <c r="R1569" s="17">
        <v>44538</v>
      </c>
      <c r="S1569" s="61"/>
      <c r="T1569" s="61">
        <v>56</v>
      </c>
      <c r="U1569" s="61"/>
      <c r="V1569" s="61"/>
      <c r="W1569" s="61"/>
      <c r="X1569" s="61"/>
      <c r="Y1569" s="61"/>
      <c r="Z1569" s="20"/>
      <c r="AB1569" s="20"/>
      <c r="AC1569" s="11" t="s">
        <v>3335</v>
      </c>
      <c r="AD1569" s="61"/>
      <c r="AE1569" s="61"/>
    </row>
    <row r="1570" spans="1:31" x14ac:dyDescent="0.25">
      <c r="A1570" s="38" t="s">
        <v>36</v>
      </c>
      <c r="B1570" s="38" t="s">
        <v>3157</v>
      </c>
      <c r="C1570" s="38" t="s">
        <v>3336</v>
      </c>
      <c r="D1570" s="38" t="s">
        <v>3337</v>
      </c>
      <c r="E1570" s="38" t="s">
        <v>3338</v>
      </c>
      <c r="F1570" s="38">
        <v>933.99</v>
      </c>
      <c r="G1570" s="38">
        <v>933.99</v>
      </c>
      <c r="H1570" s="38">
        <f t="shared" si="76"/>
        <v>540</v>
      </c>
      <c r="I1570" s="38">
        <v>347</v>
      </c>
      <c r="J1570" s="38">
        <v>193</v>
      </c>
      <c r="K1570" s="38">
        <v>154</v>
      </c>
      <c r="L1570" s="50">
        <f t="shared" si="77"/>
        <v>28.518518518518519</v>
      </c>
      <c r="M1570" s="38">
        <v>1</v>
      </c>
      <c r="N1570" s="50">
        <f t="shared" si="78"/>
        <v>0.1851851851851852</v>
      </c>
      <c r="O1570" s="38">
        <v>0</v>
      </c>
      <c r="P1570" s="38">
        <v>289.99</v>
      </c>
      <c r="Q1570" s="34" t="s">
        <v>43</v>
      </c>
      <c r="R1570" s="17" t="s">
        <v>3340</v>
      </c>
      <c r="S1570" s="34"/>
      <c r="T1570" s="34">
        <v>290</v>
      </c>
      <c r="U1570" s="34"/>
      <c r="V1570" s="34"/>
      <c r="W1570" s="34"/>
      <c r="X1570" s="34"/>
      <c r="Y1570" s="34"/>
      <c r="Z1570" s="89"/>
      <c r="AB1570" s="89">
        <v>6</v>
      </c>
      <c r="AC1570" s="34" t="s">
        <v>3339</v>
      </c>
      <c r="AD1570" s="34">
        <v>0</v>
      </c>
      <c r="AE1570" s="34"/>
    </row>
    <row r="1571" spans="1:31" x14ac:dyDescent="0.25">
      <c r="A1571" s="38" t="s">
        <v>36</v>
      </c>
      <c r="B1571" s="38" t="s">
        <v>3157</v>
      </c>
      <c r="C1571" s="38" t="s">
        <v>3336</v>
      </c>
      <c r="D1571" s="38" t="s">
        <v>3341</v>
      </c>
      <c r="E1571" s="38" t="s">
        <v>3342</v>
      </c>
      <c r="F1571" s="38">
        <v>685.3</v>
      </c>
      <c r="G1571" s="38">
        <v>685.3</v>
      </c>
      <c r="H1571" s="38">
        <f t="shared" si="76"/>
        <v>256</v>
      </c>
      <c r="I1571" s="38">
        <v>173</v>
      </c>
      <c r="J1571" s="38">
        <v>83</v>
      </c>
      <c r="K1571" s="38">
        <v>90</v>
      </c>
      <c r="L1571" s="50">
        <f t="shared" si="77"/>
        <v>35.15625</v>
      </c>
      <c r="M1571" s="38">
        <v>0</v>
      </c>
      <c r="N1571" s="50">
        <f t="shared" si="78"/>
        <v>0</v>
      </c>
      <c r="O1571" s="38">
        <v>0</v>
      </c>
      <c r="P1571" s="38">
        <v>0</v>
      </c>
      <c r="Q1571" s="61" t="s">
        <v>43</v>
      </c>
      <c r="R1571" s="17" t="s">
        <v>3340</v>
      </c>
      <c r="S1571" s="61"/>
      <c r="T1571" s="61">
        <v>0</v>
      </c>
      <c r="U1571" s="61"/>
      <c r="V1571" s="61"/>
      <c r="W1571" s="61"/>
      <c r="X1571" s="61"/>
      <c r="Y1571" s="61"/>
      <c r="Z1571" s="20"/>
      <c r="AB1571" s="20"/>
      <c r="AC1571" s="11" t="s">
        <v>3343</v>
      </c>
      <c r="AD1571" s="61">
        <v>0</v>
      </c>
      <c r="AE1571" s="61"/>
    </row>
    <row r="1572" spans="1:31" x14ac:dyDescent="0.25">
      <c r="A1572" s="38" t="s">
        <v>36</v>
      </c>
      <c r="B1572" s="38" t="s">
        <v>3157</v>
      </c>
      <c r="C1572" s="38" t="s">
        <v>3336</v>
      </c>
      <c r="D1572" s="38" t="s">
        <v>3344</v>
      </c>
      <c r="E1572" s="38" t="s">
        <v>3345</v>
      </c>
      <c r="F1572" s="38">
        <v>835.99</v>
      </c>
      <c r="G1572" s="38">
        <v>835.99</v>
      </c>
      <c r="H1572" s="38">
        <f t="shared" si="76"/>
        <v>637</v>
      </c>
      <c r="I1572" s="38">
        <v>417</v>
      </c>
      <c r="J1572" s="38">
        <v>220</v>
      </c>
      <c r="K1572" s="38">
        <v>197</v>
      </c>
      <c r="L1572" s="50">
        <f t="shared" si="77"/>
        <v>30.926216640502357</v>
      </c>
      <c r="M1572" s="38">
        <v>0</v>
      </c>
      <c r="N1572" s="50">
        <f t="shared" si="78"/>
        <v>0</v>
      </c>
      <c r="O1572" s="38">
        <v>0</v>
      </c>
      <c r="P1572" s="38">
        <v>3.99</v>
      </c>
      <c r="Q1572" s="61" t="s">
        <v>43</v>
      </c>
      <c r="R1572" s="17" t="s">
        <v>3340</v>
      </c>
      <c r="S1572" s="61"/>
      <c r="T1572" s="61">
        <v>4</v>
      </c>
      <c r="U1572" s="61"/>
      <c r="V1572" s="61"/>
      <c r="W1572" s="61"/>
      <c r="X1572" s="61"/>
      <c r="Y1572" s="61"/>
      <c r="Z1572" s="20"/>
      <c r="AB1572" s="20"/>
      <c r="AC1572" s="11" t="s">
        <v>3346</v>
      </c>
      <c r="AD1572" s="61"/>
      <c r="AE1572" s="61"/>
    </row>
    <row r="1573" spans="1:31" x14ac:dyDescent="0.25">
      <c r="A1573" s="38" t="s">
        <v>36</v>
      </c>
      <c r="B1573" s="38" t="s">
        <v>3157</v>
      </c>
      <c r="C1573" s="38" t="s">
        <v>3336</v>
      </c>
      <c r="D1573" s="38" t="s">
        <v>3347</v>
      </c>
      <c r="E1573" s="38" t="s">
        <v>3348</v>
      </c>
      <c r="F1573" s="38">
        <v>850.99</v>
      </c>
      <c r="G1573" s="38">
        <v>850.99</v>
      </c>
      <c r="H1573" s="38">
        <f t="shared" si="76"/>
        <v>806</v>
      </c>
      <c r="I1573" s="38">
        <v>533</v>
      </c>
      <c r="J1573" s="38">
        <v>273</v>
      </c>
      <c r="K1573" s="38">
        <v>260</v>
      </c>
      <c r="L1573" s="50">
        <f t="shared" si="77"/>
        <v>32.258064516129032</v>
      </c>
      <c r="M1573" s="38">
        <v>0</v>
      </c>
      <c r="N1573" s="50">
        <f t="shared" si="78"/>
        <v>0</v>
      </c>
      <c r="O1573" s="38">
        <v>0</v>
      </c>
      <c r="P1573" s="38">
        <v>133.99</v>
      </c>
      <c r="Q1573" s="34" t="s">
        <v>43</v>
      </c>
      <c r="R1573" s="17" t="s">
        <v>3340</v>
      </c>
      <c r="S1573" s="34"/>
      <c r="T1573" s="34">
        <v>134</v>
      </c>
      <c r="U1573" s="34"/>
      <c r="V1573" s="34"/>
      <c r="W1573" s="34"/>
      <c r="X1573" s="34"/>
      <c r="Y1573" s="34"/>
      <c r="Z1573" s="89"/>
      <c r="AB1573" s="89">
        <v>10</v>
      </c>
      <c r="AC1573" s="34" t="s">
        <v>3349</v>
      </c>
      <c r="AD1573" s="34">
        <v>25.846053000000001</v>
      </c>
      <c r="AE1573" s="34">
        <v>70.498002</v>
      </c>
    </row>
    <row r="1574" spans="1:31" x14ac:dyDescent="0.25">
      <c r="A1574" s="38" t="s">
        <v>36</v>
      </c>
      <c r="B1574" s="38" t="s">
        <v>3157</v>
      </c>
      <c r="C1574" s="38" t="s">
        <v>3336</v>
      </c>
      <c r="D1574" s="38" t="s">
        <v>3350</v>
      </c>
      <c r="E1574" s="38" t="s">
        <v>3351</v>
      </c>
      <c r="F1574" s="38">
        <v>4486.0200000000004</v>
      </c>
      <c r="G1574" s="38">
        <v>4486.0200000000004</v>
      </c>
      <c r="H1574" s="38">
        <f t="shared" si="76"/>
        <v>1905</v>
      </c>
      <c r="I1574" s="38">
        <v>1240</v>
      </c>
      <c r="J1574" s="38">
        <v>665</v>
      </c>
      <c r="K1574" s="38">
        <v>575</v>
      </c>
      <c r="L1574" s="50">
        <f t="shared" si="77"/>
        <v>30.183727034120732</v>
      </c>
      <c r="M1574" s="38">
        <v>156</v>
      </c>
      <c r="N1574" s="50">
        <f>M1574/H1574*100</f>
        <v>8.1889763779527556</v>
      </c>
      <c r="O1574" s="38">
        <v>0</v>
      </c>
      <c r="P1574" s="38">
        <v>910.68</v>
      </c>
      <c r="Q1574" s="61" t="s">
        <v>43</v>
      </c>
      <c r="R1574" s="17" t="s">
        <v>3340</v>
      </c>
      <c r="S1574" s="61"/>
      <c r="T1574" s="61">
        <v>911</v>
      </c>
      <c r="U1574" s="61"/>
      <c r="V1574" s="61"/>
      <c r="W1574" s="61"/>
      <c r="X1574" s="61"/>
      <c r="Y1574" s="61"/>
      <c r="Z1574" s="20"/>
      <c r="AB1574" s="20"/>
      <c r="AC1574" s="11" t="s">
        <v>3352</v>
      </c>
      <c r="AD1574" s="61"/>
      <c r="AE1574" s="61"/>
    </row>
    <row r="1575" spans="1:31" x14ac:dyDescent="0.25">
      <c r="A1575" s="38" t="s">
        <v>36</v>
      </c>
      <c r="B1575" s="38" t="s">
        <v>3157</v>
      </c>
      <c r="C1575" s="38" t="s">
        <v>3336</v>
      </c>
      <c r="D1575" s="38" t="s">
        <v>3353</v>
      </c>
      <c r="E1575" s="38" t="s">
        <v>3354</v>
      </c>
      <c r="F1575" s="38">
        <v>675.99</v>
      </c>
      <c r="G1575" s="38">
        <v>675.99</v>
      </c>
      <c r="H1575" s="38">
        <f t="shared" si="76"/>
        <v>585</v>
      </c>
      <c r="I1575" s="38">
        <v>381</v>
      </c>
      <c r="J1575" s="38">
        <v>204</v>
      </c>
      <c r="K1575" s="38">
        <v>177</v>
      </c>
      <c r="L1575" s="50">
        <f t="shared" si="77"/>
        <v>30.256410256410255</v>
      </c>
      <c r="M1575" s="38">
        <v>0</v>
      </c>
      <c r="N1575" s="50">
        <f t="shared" si="78"/>
        <v>0</v>
      </c>
      <c r="O1575" s="38">
        <v>0</v>
      </c>
      <c r="P1575" s="38">
        <v>17.989999999999998</v>
      </c>
      <c r="Q1575" s="61" t="s">
        <v>43</v>
      </c>
      <c r="R1575" s="17" t="s">
        <v>3340</v>
      </c>
      <c r="S1575" s="61"/>
      <c r="T1575" s="61">
        <v>18</v>
      </c>
      <c r="U1575" s="61"/>
      <c r="V1575" s="61"/>
      <c r="W1575" s="61"/>
      <c r="X1575" s="61"/>
      <c r="Y1575" s="61"/>
      <c r="Z1575" s="20"/>
      <c r="AB1575" s="20"/>
      <c r="AC1575" s="11" t="s">
        <v>3355</v>
      </c>
      <c r="AD1575" s="61"/>
      <c r="AE1575" s="61"/>
    </row>
    <row r="1576" spans="1:31" x14ac:dyDescent="0.25">
      <c r="A1576" s="38" t="s">
        <v>36</v>
      </c>
      <c r="B1576" s="38" t="s">
        <v>3157</v>
      </c>
      <c r="C1576" s="38" t="s">
        <v>3356</v>
      </c>
      <c r="D1576" s="38" t="s">
        <v>3357</v>
      </c>
      <c r="E1576" s="38" t="s">
        <v>3358</v>
      </c>
      <c r="F1576" s="38">
        <v>1760.7</v>
      </c>
      <c r="G1576" s="38">
        <v>1760.7</v>
      </c>
      <c r="H1576" s="38">
        <f t="shared" si="76"/>
        <v>2020</v>
      </c>
      <c r="I1576" s="38">
        <v>1327</v>
      </c>
      <c r="J1576" s="38">
        <v>693</v>
      </c>
      <c r="K1576" s="38">
        <v>634</v>
      </c>
      <c r="L1576" s="50">
        <f t="shared" si="77"/>
        <v>31.386138613861387</v>
      </c>
      <c r="M1576" s="38">
        <v>316</v>
      </c>
      <c r="N1576" s="50">
        <f t="shared" si="78"/>
        <v>15.643564356435643</v>
      </c>
      <c r="O1576" s="38">
        <v>0</v>
      </c>
      <c r="P1576" s="38">
        <v>0</v>
      </c>
      <c r="Q1576" s="34" t="s">
        <v>43</v>
      </c>
      <c r="R1576" s="17">
        <v>44534</v>
      </c>
      <c r="S1576" s="34"/>
      <c r="T1576" s="34">
        <v>266</v>
      </c>
      <c r="U1576" s="34"/>
      <c r="V1576" s="34"/>
      <c r="W1576" s="34"/>
      <c r="X1576" s="34"/>
      <c r="Y1576" s="34"/>
      <c r="Z1576" s="89"/>
      <c r="AB1576" s="89"/>
      <c r="AC1576" s="34" t="s">
        <v>3359</v>
      </c>
      <c r="AD1576" s="34">
        <v>25.81061</v>
      </c>
      <c r="AE1576" s="34">
        <v>70.626653000000005</v>
      </c>
    </row>
    <row r="1577" spans="1:31" x14ac:dyDescent="0.25">
      <c r="A1577" s="38" t="s">
        <v>36</v>
      </c>
      <c r="B1577" s="38" t="s">
        <v>3157</v>
      </c>
      <c r="C1577" s="38" t="s">
        <v>3356</v>
      </c>
      <c r="D1577" s="38" t="s">
        <v>3360</v>
      </c>
      <c r="E1577" s="38" t="s">
        <v>3361</v>
      </c>
      <c r="F1577" s="38">
        <v>2405.9699999999998</v>
      </c>
      <c r="G1577" s="38">
        <v>2405.9699999999998</v>
      </c>
      <c r="H1577" s="38">
        <f t="shared" si="76"/>
        <v>1564</v>
      </c>
      <c r="I1577" s="38">
        <v>1030</v>
      </c>
      <c r="J1577" s="38">
        <v>534</v>
      </c>
      <c r="K1577" s="38">
        <v>496</v>
      </c>
      <c r="L1577" s="50">
        <f t="shared" si="77"/>
        <v>31.713554987212277</v>
      </c>
      <c r="M1577" s="38">
        <v>0</v>
      </c>
      <c r="N1577" s="50">
        <f t="shared" si="78"/>
        <v>0</v>
      </c>
      <c r="O1577" s="38">
        <v>941</v>
      </c>
      <c r="P1577" s="38">
        <v>312.31</v>
      </c>
      <c r="Q1577" s="34" t="s">
        <v>43</v>
      </c>
      <c r="R1577" s="17">
        <v>44534</v>
      </c>
      <c r="S1577" s="34"/>
      <c r="T1577" s="34">
        <v>11</v>
      </c>
      <c r="U1577" s="34"/>
      <c r="V1577" s="34"/>
      <c r="W1577" s="34"/>
      <c r="X1577" s="34"/>
      <c r="Y1577" s="34"/>
      <c r="Z1577" s="89"/>
      <c r="AB1577" s="89"/>
      <c r="AC1577" s="34" t="s">
        <v>3362</v>
      </c>
      <c r="AD1577" s="34">
        <v>25.794150999999999</v>
      </c>
      <c r="AE1577" s="34">
        <v>70.670952</v>
      </c>
    </row>
    <row r="1578" spans="1:31" x14ac:dyDescent="0.25">
      <c r="A1578" s="38" t="s">
        <v>36</v>
      </c>
      <c r="B1578" s="38" t="s">
        <v>3157</v>
      </c>
      <c r="C1578" s="38" t="s">
        <v>3356</v>
      </c>
      <c r="D1578" s="38" t="s">
        <v>3363</v>
      </c>
      <c r="E1578" s="38" t="s">
        <v>3364</v>
      </c>
      <c r="F1578" s="38">
        <v>2509.2199999999998</v>
      </c>
      <c r="G1578" s="38">
        <v>2509.2199999999998</v>
      </c>
      <c r="H1578" s="38">
        <f t="shared" si="76"/>
        <v>663</v>
      </c>
      <c r="I1578" s="38">
        <v>438</v>
      </c>
      <c r="J1578" s="38">
        <v>225</v>
      </c>
      <c r="K1578" s="38">
        <v>213</v>
      </c>
      <c r="L1578" s="50">
        <f t="shared" si="77"/>
        <v>32.126696832579185</v>
      </c>
      <c r="M1578" s="38">
        <v>4</v>
      </c>
      <c r="N1578" s="50">
        <f t="shared" si="78"/>
        <v>0.60331825037707398</v>
      </c>
      <c r="O1578" s="38">
        <v>2030.04</v>
      </c>
      <c r="P1578" s="38">
        <v>191.02</v>
      </c>
      <c r="Q1578" s="34" t="s">
        <v>43</v>
      </c>
      <c r="R1578" s="17">
        <v>44534</v>
      </c>
      <c r="S1578" s="34"/>
      <c r="T1578" s="34">
        <v>30</v>
      </c>
      <c r="U1578" s="34"/>
      <c r="V1578" s="34"/>
      <c r="W1578" s="34"/>
      <c r="X1578" s="34"/>
      <c r="Y1578" s="34"/>
      <c r="Z1578" s="89"/>
      <c r="AB1578" s="89"/>
      <c r="AC1578" s="34" t="s">
        <v>3365</v>
      </c>
      <c r="AD1578" s="34">
        <v>25.835858999999999</v>
      </c>
      <c r="AE1578" s="34">
        <v>70.63991</v>
      </c>
    </row>
    <row r="1579" spans="1:31" x14ac:dyDescent="0.25">
      <c r="A1579" s="38" t="s">
        <v>36</v>
      </c>
      <c r="B1579" s="38" t="s">
        <v>3157</v>
      </c>
      <c r="C1579" s="38" t="s">
        <v>3356</v>
      </c>
      <c r="D1579" s="38" t="s">
        <v>3366</v>
      </c>
      <c r="E1579" s="38" t="s">
        <v>3367</v>
      </c>
      <c r="F1579" s="38">
        <v>1376.73</v>
      </c>
      <c r="G1579" s="38">
        <v>1376.73</v>
      </c>
      <c r="H1579" s="38">
        <f t="shared" si="76"/>
        <v>1508</v>
      </c>
      <c r="I1579" s="38">
        <v>990</v>
      </c>
      <c r="J1579" s="38">
        <v>518</v>
      </c>
      <c r="K1579" s="38">
        <v>472</v>
      </c>
      <c r="L1579" s="50">
        <f t="shared" si="77"/>
        <v>31.299734748010611</v>
      </c>
      <c r="M1579" s="38">
        <v>0</v>
      </c>
      <c r="N1579" s="50">
        <f t="shared" si="78"/>
        <v>0</v>
      </c>
      <c r="O1579" s="38">
        <v>0</v>
      </c>
      <c r="P1579" s="38">
        <v>262</v>
      </c>
    </row>
    <row r="1580" spans="1:31" x14ac:dyDescent="0.25">
      <c r="A1580" s="38" t="s">
        <v>36</v>
      </c>
      <c r="B1580" s="38" t="s">
        <v>3157</v>
      </c>
      <c r="C1580" s="38" t="s">
        <v>3368</v>
      </c>
      <c r="D1580" s="38" t="s">
        <v>3369</v>
      </c>
      <c r="E1580" s="38" t="s">
        <v>3370</v>
      </c>
      <c r="F1580" s="38">
        <v>2071.9899999999998</v>
      </c>
      <c r="G1580" s="38">
        <v>2071.9899999999998</v>
      </c>
      <c r="H1580" s="38">
        <f t="shared" si="76"/>
        <v>884</v>
      </c>
      <c r="I1580" s="38">
        <v>570</v>
      </c>
      <c r="J1580" s="38">
        <v>314</v>
      </c>
      <c r="K1580" s="38">
        <v>256</v>
      </c>
      <c r="L1580" s="50">
        <f t="shared" si="77"/>
        <v>28.959276018099551</v>
      </c>
      <c r="M1580" s="38">
        <v>0</v>
      </c>
      <c r="N1580" s="50">
        <f t="shared" si="78"/>
        <v>0</v>
      </c>
      <c r="O1580" s="38">
        <v>0</v>
      </c>
      <c r="P1580" s="38">
        <v>276.99</v>
      </c>
      <c r="Q1580" s="34" t="s">
        <v>43</v>
      </c>
      <c r="R1580" s="9">
        <v>44553</v>
      </c>
      <c r="S1580" s="34"/>
      <c r="T1580" s="34">
        <v>277</v>
      </c>
      <c r="U1580" s="34"/>
      <c r="V1580" s="34"/>
      <c r="W1580" s="34"/>
      <c r="X1580" s="34"/>
      <c r="Y1580" s="34"/>
      <c r="Z1580" s="109"/>
      <c r="AB1580" s="109">
        <v>20</v>
      </c>
      <c r="AC1580" s="34" t="s">
        <v>3371</v>
      </c>
      <c r="AD1580" s="34">
        <v>25.941088000000001</v>
      </c>
      <c r="AE1580" s="34">
        <v>70.806954000000005</v>
      </c>
    </row>
    <row r="1581" spans="1:31" x14ac:dyDescent="0.25">
      <c r="A1581" s="38" t="s">
        <v>36</v>
      </c>
      <c r="B1581" s="38" t="s">
        <v>3157</v>
      </c>
      <c r="C1581" s="38" t="s">
        <v>3368</v>
      </c>
      <c r="D1581" s="38" t="s">
        <v>3372</v>
      </c>
      <c r="E1581" s="38" t="s">
        <v>3373</v>
      </c>
      <c r="F1581" s="38">
        <v>1931.99</v>
      </c>
      <c r="G1581" s="38">
        <v>1931.99</v>
      </c>
      <c r="H1581" s="38">
        <f t="shared" si="76"/>
        <v>2436</v>
      </c>
      <c r="I1581" s="38">
        <v>1582</v>
      </c>
      <c r="J1581" s="38">
        <v>854</v>
      </c>
      <c r="K1581" s="38">
        <v>728</v>
      </c>
      <c r="L1581" s="50">
        <f t="shared" si="77"/>
        <v>29.885057471264371</v>
      </c>
      <c r="M1581" s="38">
        <v>38</v>
      </c>
      <c r="N1581" s="50">
        <f t="shared" si="78"/>
        <v>1.5599343185550083</v>
      </c>
      <c r="O1581" s="38">
        <v>0</v>
      </c>
      <c r="P1581" s="38">
        <v>230.99</v>
      </c>
      <c r="Q1581" s="61" t="s">
        <v>43</v>
      </c>
      <c r="R1581" s="17">
        <v>44553</v>
      </c>
      <c r="S1581" s="61"/>
      <c r="T1581" s="61">
        <v>231</v>
      </c>
      <c r="U1581" s="61"/>
      <c r="V1581" s="61"/>
      <c r="W1581" s="61"/>
      <c r="X1581" s="61"/>
      <c r="Y1581" s="61"/>
      <c r="Z1581" s="20"/>
      <c r="AB1581" s="20"/>
      <c r="AC1581" s="11" t="s">
        <v>3372</v>
      </c>
      <c r="AD1581" s="61"/>
      <c r="AE1581" s="61"/>
    </row>
    <row r="1582" spans="1:31" x14ac:dyDescent="0.25">
      <c r="A1582" s="38" t="s">
        <v>36</v>
      </c>
      <c r="B1582" s="38" t="s">
        <v>3157</v>
      </c>
      <c r="C1582" s="38" t="s">
        <v>3368</v>
      </c>
      <c r="D1582" s="38" t="s">
        <v>3374</v>
      </c>
      <c r="E1582" s="38" t="s">
        <v>3375</v>
      </c>
      <c r="F1582" s="38">
        <v>2297</v>
      </c>
      <c r="G1582" s="38">
        <v>2297</v>
      </c>
      <c r="H1582" s="38">
        <f t="shared" si="76"/>
        <v>1802</v>
      </c>
      <c r="I1582" s="38">
        <v>1135</v>
      </c>
      <c r="J1582" s="38">
        <v>667</v>
      </c>
      <c r="K1582" s="38">
        <v>468</v>
      </c>
      <c r="L1582" s="50">
        <f t="shared" si="77"/>
        <v>25.971143174250834</v>
      </c>
      <c r="M1582" s="38">
        <v>0</v>
      </c>
      <c r="N1582" s="50">
        <f t="shared" si="78"/>
        <v>0</v>
      </c>
      <c r="O1582" s="38">
        <v>0</v>
      </c>
      <c r="P1582" s="38">
        <v>198</v>
      </c>
      <c r="Q1582" s="61" t="s">
        <v>43</v>
      </c>
      <c r="R1582" s="17">
        <v>44553</v>
      </c>
      <c r="S1582" s="61"/>
      <c r="T1582" s="61">
        <v>198</v>
      </c>
      <c r="U1582" s="61"/>
      <c r="V1582" s="61"/>
      <c r="W1582" s="61"/>
      <c r="X1582" s="61"/>
      <c r="Y1582" s="61"/>
      <c r="Z1582" s="20"/>
      <c r="AB1582" s="20"/>
      <c r="AC1582" s="11" t="s">
        <v>3376</v>
      </c>
      <c r="AD1582" s="61"/>
      <c r="AE1582" s="61"/>
    </row>
    <row r="1583" spans="1:31" x14ac:dyDescent="0.25">
      <c r="A1583" s="38" t="s">
        <v>36</v>
      </c>
      <c r="B1583" s="38" t="s">
        <v>3157</v>
      </c>
      <c r="C1583" s="38" t="s">
        <v>3377</v>
      </c>
      <c r="D1583" s="38" t="s">
        <v>3378</v>
      </c>
      <c r="E1583" s="38" t="s">
        <v>3379</v>
      </c>
      <c r="F1583" s="38">
        <v>4292</v>
      </c>
      <c r="G1583" s="38">
        <v>4292</v>
      </c>
      <c r="H1583" s="38">
        <f t="shared" si="76"/>
        <v>2854</v>
      </c>
      <c r="I1583" s="38">
        <v>1881</v>
      </c>
      <c r="J1583" s="38">
        <v>973</v>
      </c>
      <c r="K1583" s="38">
        <v>908</v>
      </c>
      <c r="L1583" s="50">
        <f t="shared" si="77"/>
        <v>31.81499649614576</v>
      </c>
      <c r="M1583" s="38">
        <v>609</v>
      </c>
      <c r="N1583" s="50">
        <f t="shared" si="78"/>
        <v>21.338472319551506</v>
      </c>
      <c r="O1583" s="38">
        <v>1649.99</v>
      </c>
      <c r="P1583" s="38">
        <v>699.99</v>
      </c>
      <c r="Q1583" s="34" t="s">
        <v>43</v>
      </c>
      <c r="R1583" s="9">
        <v>44560</v>
      </c>
      <c r="S1583" s="34"/>
      <c r="T1583" s="34">
        <v>700</v>
      </c>
      <c r="U1583" s="34"/>
      <c r="V1583" s="34"/>
      <c r="W1583" s="34"/>
      <c r="X1583" s="34"/>
      <c r="Y1583" s="34"/>
      <c r="Z1583" s="109"/>
      <c r="AB1583" s="109"/>
      <c r="AC1583" s="34" t="s">
        <v>3380</v>
      </c>
      <c r="AD1583" s="34">
        <v>25.868846000000001</v>
      </c>
      <c r="AE1583" s="34">
        <v>71.688955000000007</v>
      </c>
    </row>
    <row r="1584" spans="1:31" x14ac:dyDescent="0.25">
      <c r="A1584" s="38" t="s">
        <v>36</v>
      </c>
      <c r="B1584" s="38" t="s">
        <v>3157</v>
      </c>
      <c r="C1584" s="38" t="s">
        <v>3377</v>
      </c>
      <c r="D1584" s="38" t="s">
        <v>3381</v>
      </c>
      <c r="E1584" s="38" t="s">
        <v>3382</v>
      </c>
      <c r="F1584" s="38">
        <v>1003.48</v>
      </c>
      <c r="G1584" s="38">
        <v>1003.48</v>
      </c>
      <c r="H1584" s="38">
        <f t="shared" si="76"/>
        <v>578</v>
      </c>
      <c r="I1584" s="38">
        <v>381</v>
      </c>
      <c r="J1584" s="38">
        <v>197</v>
      </c>
      <c r="K1584" s="38">
        <v>184</v>
      </c>
      <c r="L1584" s="50">
        <f t="shared" si="77"/>
        <v>31.833910034602077</v>
      </c>
      <c r="M1584" s="38">
        <v>0</v>
      </c>
      <c r="N1584" s="50">
        <f t="shared" si="78"/>
        <v>0</v>
      </c>
      <c r="O1584" s="38">
        <v>0</v>
      </c>
      <c r="P1584" s="38">
        <v>26.68</v>
      </c>
      <c r="Q1584" s="61" t="s">
        <v>43</v>
      </c>
      <c r="R1584" s="9">
        <v>44560</v>
      </c>
      <c r="S1584" s="61"/>
      <c r="T1584" s="61">
        <v>27</v>
      </c>
      <c r="U1584" s="61"/>
      <c r="V1584" s="61"/>
      <c r="W1584" s="61"/>
      <c r="X1584" s="61"/>
      <c r="Y1584" s="61"/>
      <c r="Z1584" s="20"/>
      <c r="AB1584" s="20"/>
      <c r="AC1584" s="11" t="s">
        <v>3383</v>
      </c>
      <c r="AD1584" s="61"/>
      <c r="AE1584" s="61"/>
    </row>
    <row r="1585" spans="1:31" x14ac:dyDescent="0.25">
      <c r="A1585" s="38" t="s">
        <v>36</v>
      </c>
      <c r="B1585" s="38" t="s">
        <v>3157</v>
      </c>
      <c r="C1585" s="38" t="s">
        <v>3384</v>
      </c>
      <c r="D1585" s="38" t="s">
        <v>3384</v>
      </c>
      <c r="E1585" s="38" t="s">
        <v>3385</v>
      </c>
      <c r="F1585" s="38">
        <v>2601</v>
      </c>
      <c r="G1585" s="38">
        <v>2601</v>
      </c>
      <c r="H1585" s="38">
        <f t="shared" si="76"/>
        <v>724</v>
      </c>
      <c r="I1585" s="38">
        <v>461</v>
      </c>
      <c r="J1585" s="38">
        <v>263</v>
      </c>
      <c r="K1585" s="38">
        <v>198</v>
      </c>
      <c r="L1585" s="50">
        <f t="shared" si="77"/>
        <v>27.348066298342545</v>
      </c>
      <c r="M1585" s="38">
        <v>0</v>
      </c>
      <c r="N1585" s="50">
        <f t="shared" si="78"/>
        <v>0</v>
      </c>
      <c r="O1585" s="38">
        <v>0</v>
      </c>
      <c r="P1585" s="38">
        <v>1447</v>
      </c>
      <c r="Q1585" s="61" t="s">
        <v>43</v>
      </c>
      <c r="R1585" s="17">
        <v>44540</v>
      </c>
      <c r="S1585" s="61"/>
      <c r="T1585" s="61">
        <v>1447</v>
      </c>
      <c r="U1585" s="61"/>
      <c r="V1585" s="61"/>
      <c r="W1585" s="61"/>
      <c r="X1585" s="61"/>
      <c r="Y1585" s="61"/>
      <c r="Z1585" s="20"/>
      <c r="AB1585" s="20"/>
      <c r="AC1585" s="11" t="s">
        <v>3384</v>
      </c>
      <c r="AD1585" s="61"/>
      <c r="AE1585" s="61"/>
    </row>
    <row r="1586" spans="1:31" x14ac:dyDescent="0.25">
      <c r="A1586" s="38" t="s">
        <v>36</v>
      </c>
      <c r="B1586" s="38" t="s">
        <v>3157</v>
      </c>
      <c r="C1586" s="38" t="s">
        <v>3384</v>
      </c>
      <c r="D1586" s="38" t="s">
        <v>3386</v>
      </c>
      <c r="E1586" s="38" t="s">
        <v>3387</v>
      </c>
      <c r="F1586" s="38">
        <v>1898</v>
      </c>
      <c r="G1586" s="38">
        <v>1898</v>
      </c>
      <c r="H1586" s="38">
        <f t="shared" si="76"/>
        <v>410</v>
      </c>
      <c r="I1586" s="38">
        <v>259</v>
      </c>
      <c r="J1586" s="38">
        <v>151</v>
      </c>
      <c r="K1586" s="38">
        <v>108</v>
      </c>
      <c r="L1586" s="50">
        <f t="shared" si="77"/>
        <v>26.341463414634148</v>
      </c>
      <c r="M1586" s="38">
        <v>0</v>
      </c>
      <c r="N1586" s="50">
        <f t="shared" si="78"/>
        <v>0</v>
      </c>
      <c r="O1586" s="38">
        <v>0</v>
      </c>
      <c r="P1586" s="38">
        <v>228</v>
      </c>
      <c r="Q1586" s="61" t="s">
        <v>43</v>
      </c>
      <c r="R1586" s="17">
        <v>44540</v>
      </c>
      <c r="S1586" s="61"/>
      <c r="T1586" s="61">
        <v>228</v>
      </c>
      <c r="U1586" s="61"/>
      <c r="V1586" s="61"/>
      <c r="W1586" s="61"/>
      <c r="X1586" s="61"/>
      <c r="Y1586" s="61"/>
      <c r="Z1586" s="20"/>
      <c r="AB1586" s="20"/>
      <c r="AC1586" s="11" t="s">
        <v>3388</v>
      </c>
      <c r="AD1586" s="61"/>
      <c r="AE1586" s="61"/>
    </row>
    <row r="1587" spans="1:31" x14ac:dyDescent="0.25">
      <c r="A1587" s="38" t="s">
        <v>36</v>
      </c>
      <c r="B1587" s="38" t="s">
        <v>3157</v>
      </c>
      <c r="C1587" s="38" t="s">
        <v>3384</v>
      </c>
      <c r="D1587" s="38" t="s">
        <v>3389</v>
      </c>
      <c r="E1587" s="38" t="s">
        <v>3390</v>
      </c>
      <c r="F1587" s="38">
        <v>1912</v>
      </c>
      <c r="G1587" s="38">
        <v>1912</v>
      </c>
      <c r="H1587" s="38">
        <f t="shared" si="76"/>
        <v>380</v>
      </c>
      <c r="I1587" s="38">
        <v>243</v>
      </c>
      <c r="J1587" s="38">
        <v>137</v>
      </c>
      <c r="K1587" s="38">
        <v>106</v>
      </c>
      <c r="L1587" s="50">
        <f t="shared" si="77"/>
        <v>27.89473684210526</v>
      </c>
      <c r="M1587" s="38">
        <v>0</v>
      </c>
      <c r="N1587" s="50">
        <f t="shared" si="78"/>
        <v>0</v>
      </c>
      <c r="O1587" s="38">
        <v>128</v>
      </c>
      <c r="P1587" s="38">
        <v>567</v>
      </c>
      <c r="Q1587" s="61" t="s">
        <v>43</v>
      </c>
      <c r="R1587" s="17">
        <v>44540</v>
      </c>
      <c r="S1587" s="61"/>
      <c r="T1587" s="61">
        <v>567</v>
      </c>
      <c r="U1587" s="61"/>
      <c r="V1587" s="61"/>
      <c r="W1587" s="61"/>
      <c r="X1587" s="61"/>
      <c r="Y1587" s="61"/>
      <c r="Z1587" s="20"/>
      <c r="AB1587" s="20"/>
      <c r="AC1587" s="11" t="s">
        <v>3391</v>
      </c>
      <c r="AD1587" s="61"/>
      <c r="AE1587" s="61"/>
    </row>
    <row r="1588" spans="1:31" x14ac:dyDescent="0.25">
      <c r="A1588" s="38" t="s">
        <v>36</v>
      </c>
      <c r="B1588" s="38" t="s">
        <v>3157</v>
      </c>
      <c r="C1588" s="38" t="s">
        <v>3384</v>
      </c>
      <c r="D1588" s="38" t="s">
        <v>3392</v>
      </c>
      <c r="E1588" s="38" t="s">
        <v>3393</v>
      </c>
      <c r="F1588" s="38">
        <v>2566</v>
      </c>
      <c r="G1588" s="38">
        <v>2566</v>
      </c>
      <c r="H1588" s="38">
        <f t="shared" si="76"/>
        <v>667</v>
      </c>
      <c r="I1588" s="38">
        <v>431</v>
      </c>
      <c r="J1588" s="38">
        <v>236</v>
      </c>
      <c r="K1588" s="38">
        <v>195</v>
      </c>
      <c r="L1588" s="50">
        <f t="shared" si="77"/>
        <v>29.235382308845576</v>
      </c>
      <c r="M1588" s="38">
        <v>0</v>
      </c>
      <c r="N1588" s="50">
        <f t="shared" si="78"/>
        <v>0</v>
      </c>
      <c r="O1588" s="38">
        <v>965</v>
      </c>
      <c r="P1588" s="38">
        <v>511</v>
      </c>
      <c r="Q1588" s="61" t="s">
        <v>43</v>
      </c>
      <c r="R1588" s="17">
        <v>44540</v>
      </c>
      <c r="S1588" s="61"/>
      <c r="T1588" s="61">
        <v>511</v>
      </c>
      <c r="U1588" s="61"/>
      <c r="V1588" s="61"/>
      <c r="W1588" s="61"/>
      <c r="X1588" s="61"/>
      <c r="Y1588" s="61"/>
      <c r="Z1588" s="20"/>
      <c r="AB1588" s="20"/>
      <c r="AC1588" s="11" t="s">
        <v>3394</v>
      </c>
      <c r="AD1588" s="61"/>
      <c r="AE1588" s="61"/>
    </row>
    <row r="1589" spans="1:31" x14ac:dyDescent="0.25">
      <c r="A1589" s="38" t="s">
        <v>36</v>
      </c>
      <c r="B1589" s="38" t="s">
        <v>3157</v>
      </c>
      <c r="C1589" s="38" t="s">
        <v>3384</v>
      </c>
      <c r="D1589" s="38" t="s">
        <v>3395</v>
      </c>
      <c r="E1589" s="38" t="s">
        <v>3396</v>
      </c>
      <c r="F1589" s="38">
        <v>1836</v>
      </c>
      <c r="G1589" s="38">
        <v>1836</v>
      </c>
      <c r="H1589" s="38">
        <f t="shared" si="76"/>
        <v>1414</v>
      </c>
      <c r="I1589" s="38">
        <v>930</v>
      </c>
      <c r="J1589" s="38">
        <v>484</v>
      </c>
      <c r="K1589" s="38">
        <v>446</v>
      </c>
      <c r="L1589" s="50">
        <f t="shared" si="77"/>
        <v>31.541725601131542</v>
      </c>
      <c r="M1589" s="38">
        <v>442</v>
      </c>
      <c r="N1589" s="50">
        <f t="shared" si="78"/>
        <v>31.258840169731261</v>
      </c>
      <c r="O1589" s="38">
        <v>102</v>
      </c>
      <c r="P1589" s="38">
        <v>168</v>
      </c>
      <c r="Q1589" s="34" t="s">
        <v>43</v>
      </c>
      <c r="R1589" s="17">
        <v>44540</v>
      </c>
      <c r="S1589" s="34"/>
      <c r="T1589" s="34">
        <v>168</v>
      </c>
      <c r="U1589" s="34"/>
      <c r="V1589" s="34"/>
      <c r="W1589" s="34"/>
      <c r="X1589" s="34"/>
      <c r="Y1589" s="34"/>
      <c r="Z1589" s="89"/>
      <c r="AB1589" s="89"/>
      <c r="AC1589" s="34" t="s">
        <v>3397</v>
      </c>
      <c r="AD1589" s="34">
        <v>26.025112</v>
      </c>
      <c r="AE1589" s="34">
        <v>70.633858000000004</v>
      </c>
    </row>
    <row r="1590" spans="1:31" x14ac:dyDescent="0.25">
      <c r="A1590" s="38" t="s">
        <v>36</v>
      </c>
      <c r="B1590" s="38" t="s">
        <v>3157</v>
      </c>
      <c r="C1590" s="38" t="s">
        <v>3398</v>
      </c>
      <c r="D1590" s="38" t="s">
        <v>3398</v>
      </c>
      <c r="E1590" s="38" t="s">
        <v>3399</v>
      </c>
      <c r="F1590" s="38">
        <v>2857.49</v>
      </c>
      <c r="G1590" s="38">
        <v>2857.49</v>
      </c>
      <c r="H1590" s="38">
        <f t="shared" si="76"/>
        <v>1447</v>
      </c>
      <c r="I1590" s="38">
        <v>900</v>
      </c>
      <c r="J1590" s="38">
        <v>547</v>
      </c>
      <c r="K1590" s="38">
        <v>353</v>
      </c>
      <c r="L1590" s="50">
        <f t="shared" si="77"/>
        <v>24.395300621976503</v>
      </c>
      <c r="M1590" s="38">
        <v>29</v>
      </c>
      <c r="N1590" s="50">
        <f t="shared" si="78"/>
        <v>2.0041465100207327</v>
      </c>
      <c r="O1590" s="38">
        <v>4.2</v>
      </c>
      <c r="P1590" s="38">
        <v>474</v>
      </c>
      <c r="Q1590" s="61" t="s">
        <v>43</v>
      </c>
      <c r="R1590" s="17">
        <v>44587</v>
      </c>
      <c r="S1590" s="61"/>
      <c r="T1590" s="61">
        <v>100</v>
      </c>
      <c r="U1590" s="61"/>
      <c r="V1590" s="61"/>
      <c r="W1590" s="61"/>
      <c r="X1590" s="61"/>
      <c r="Y1590" s="61"/>
      <c r="Z1590" s="20"/>
      <c r="AB1590" s="20"/>
      <c r="AC1590" s="11" t="s">
        <v>3400</v>
      </c>
      <c r="AD1590" s="61"/>
      <c r="AE1590" s="61"/>
    </row>
    <row r="1591" spans="1:31" x14ac:dyDescent="0.25">
      <c r="A1591" s="38" t="s">
        <v>36</v>
      </c>
      <c r="B1591" s="38" t="s">
        <v>3157</v>
      </c>
      <c r="C1591" s="38" t="s">
        <v>3398</v>
      </c>
      <c r="D1591" s="11" t="s">
        <v>3400</v>
      </c>
      <c r="E1591" s="11" t="s">
        <v>3400</v>
      </c>
      <c r="F1591" s="11" t="s">
        <v>3401</v>
      </c>
      <c r="G1591" s="11" t="s">
        <v>3401</v>
      </c>
      <c r="H1591" s="38" t="e">
        <f t="shared" si="76"/>
        <v>#VALUE!</v>
      </c>
      <c r="I1591" s="1" t="s">
        <v>42</v>
      </c>
      <c r="J1591" s="40" t="s">
        <v>3402</v>
      </c>
      <c r="K1591" s="2">
        <v>25.931614</v>
      </c>
      <c r="L1591" s="50"/>
      <c r="M1591" s="4">
        <v>100</v>
      </c>
      <c r="N1591" s="50"/>
      <c r="O1591" s="189" t="s">
        <v>57</v>
      </c>
      <c r="P1591" s="40"/>
      <c r="Q1591" s="2"/>
      <c r="R1591" s="17">
        <v>44587</v>
      </c>
      <c r="S1591" s="2"/>
      <c r="T1591" s="2"/>
      <c r="U1591" s="2"/>
      <c r="V1591" s="2"/>
      <c r="W1591" s="2"/>
      <c r="X1591" s="2"/>
      <c r="Y1591" s="2"/>
      <c r="Z1591" s="3"/>
      <c r="AB1591" s="3">
        <v>26</v>
      </c>
      <c r="AC1591" s="11" t="s">
        <v>3400</v>
      </c>
      <c r="AD1591" s="2">
        <v>25.931614</v>
      </c>
      <c r="AE1591" s="2">
        <v>70.762822999999997</v>
      </c>
    </row>
    <row r="1592" spans="1:31" x14ac:dyDescent="0.25">
      <c r="A1592" s="38" t="s">
        <v>36</v>
      </c>
      <c r="B1592" s="38" t="s">
        <v>3157</v>
      </c>
      <c r="C1592" s="38" t="s">
        <v>3398</v>
      </c>
      <c r="D1592" s="38" t="s">
        <v>3403</v>
      </c>
      <c r="E1592" s="38" t="s">
        <v>3404</v>
      </c>
      <c r="F1592" s="38">
        <v>3300.41</v>
      </c>
      <c r="G1592" s="38">
        <v>3300.41</v>
      </c>
      <c r="H1592" s="38">
        <f t="shared" si="76"/>
        <v>637</v>
      </c>
      <c r="I1592" s="38">
        <v>418</v>
      </c>
      <c r="J1592" s="38">
        <v>219</v>
      </c>
      <c r="K1592" s="38">
        <v>199</v>
      </c>
      <c r="L1592" s="50">
        <f t="shared" si="77"/>
        <v>31.240188383045524</v>
      </c>
      <c r="M1592" s="38">
        <v>5</v>
      </c>
      <c r="N1592" s="50">
        <f t="shared" si="78"/>
        <v>0.78492935635792771</v>
      </c>
      <c r="O1592" s="38">
        <v>0</v>
      </c>
      <c r="P1592" s="38">
        <v>1368.06</v>
      </c>
      <c r="Q1592" s="61" t="s">
        <v>43</v>
      </c>
      <c r="R1592" s="17">
        <v>44587</v>
      </c>
      <c r="S1592" s="61"/>
      <c r="T1592" s="61">
        <v>90</v>
      </c>
      <c r="U1592" s="61"/>
      <c r="V1592" s="61"/>
      <c r="W1592" s="61"/>
      <c r="X1592" s="61"/>
      <c r="Y1592" s="61"/>
      <c r="Z1592" s="20"/>
      <c r="AB1592" s="20"/>
      <c r="AC1592" s="11" t="s">
        <v>3405</v>
      </c>
      <c r="AD1592" s="61"/>
      <c r="AE1592" s="61"/>
    </row>
    <row r="1593" spans="1:31" x14ac:dyDescent="0.25">
      <c r="A1593" s="38" t="s">
        <v>36</v>
      </c>
      <c r="B1593" s="38" t="s">
        <v>3157</v>
      </c>
      <c r="C1593" s="38" t="s">
        <v>3398</v>
      </c>
      <c r="D1593" s="38" t="s">
        <v>3406</v>
      </c>
      <c r="E1593" s="38" t="s">
        <v>3407</v>
      </c>
      <c r="F1593" s="38">
        <v>3334.95</v>
      </c>
      <c r="G1593" s="38">
        <v>3334.95</v>
      </c>
      <c r="H1593" s="38">
        <f t="shared" si="76"/>
        <v>2319</v>
      </c>
      <c r="I1593" s="38">
        <v>1483</v>
      </c>
      <c r="J1593" s="38">
        <v>836</v>
      </c>
      <c r="K1593" s="38">
        <v>647</v>
      </c>
      <c r="L1593" s="50">
        <f t="shared" si="77"/>
        <v>27.899956877964637</v>
      </c>
      <c r="M1593" s="38">
        <v>31</v>
      </c>
      <c r="N1593" s="50">
        <f t="shared" si="78"/>
        <v>1.336783096162139</v>
      </c>
      <c r="O1593" s="38">
        <v>40.450000000000003</v>
      </c>
      <c r="P1593" s="38">
        <v>40</v>
      </c>
      <c r="Q1593" s="61" t="s">
        <v>43</v>
      </c>
      <c r="R1593" s="17">
        <v>44587</v>
      </c>
      <c r="S1593" s="61"/>
      <c r="T1593" s="61">
        <v>40</v>
      </c>
      <c r="U1593" s="61"/>
      <c r="V1593" s="61"/>
      <c r="W1593" s="61"/>
      <c r="X1593" s="61"/>
      <c r="Y1593" s="61"/>
      <c r="Z1593" s="20"/>
      <c r="AB1593" s="20"/>
      <c r="AC1593" s="11" t="s">
        <v>3408</v>
      </c>
      <c r="AD1593" s="61"/>
      <c r="AE1593" s="61"/>
    </row>
    <row r="1594" spans="1:31" x14ac:dyDescent="0.25">
      <c r="A1594" s="38" t="s">
        <v>36</v>
      </c>
      <c r="B1594" s="38" t="s">
        <v>3157</v>
      </c>
      <c r="C1594" s="38" t="s">
        <v>3336</v>
      </c>
      <c r="D1594" s="38" t="s">
        <v>3337</v>
      </c>
      <c r="E1594" s="38" t="s">
        <v>3338</v>
      </c>
      <c r="F1594" s="38">
        <v>933.99</v>
      </c>
      <c r="G1594" s="38">
        <v>933.99</v>
      </c>
      <c r="H1594" s="38">
        <f t="shared" si="76"/>
        <v>540</v>
      </c>
      <c r="I1594" s="38">
        <v>347</v>
      </c>
      <c r="J1594" s="38">
        <v>193</v>
      </c>
      <c r="K1594" s="38">
        <v>154</v>
      </c>
      <c r="L1594" s="50">
        <f t="shared" si="77"/>
        <v>28.518518518518519</v>
      </c>
      <c r="M1594" s="38">
        <v>1</v>
      </c>
      <c r="N1594" s="50">
        <f t="shared" si="78"/>
        <v>0.1851851851851852</v>
      </c>
      <c r="O1594" s="38">
        <v>0</v>
      </c>
      <c r="P1594" s="38">
        <v>0</v>
      </c>
    </row>
    <row r="1595" spans="1:31" x14ac:dyDescent="0.25">
      <c r="A1595" s="38" t="s">
        <v>36</v>
      </c>
      <c r="B1595" s="38" t="s">
        <v>3157</v>
      </c>
      <c r="C1595" s="38" t="s">
        <v>3409</v>
      </c>
      <c r="D1595" s="38" t="s">
        <v>3409</v>
      </c>
      <c r="E1595" s="38" t="s">
        <v>3410</v>
      </c>
      <c r="F1595" s="38">
        <v>1767</v>
      </c>
      <c r="G1595" s="38">
        <v>1767</v>
      </c>
      <c r="H1595" s="38">
        <f t="shared" si="76"/>
        <v>834</v>
      </c>
      <c r="I1595" s="38">
        <v>557</v>
      </c>
      <c r="J1595" s="38">
        <v>277</v>
      </c>
      <c r="K1595" s="38">
        <v>280</v>
      </c>
      <c r="L1595" s="50">
        <f t="shared" si="77"/>
        <v>33.573141486810556</v>
      </c>
      <c r="M1595" s="38">
        <v>0</v>
      </c>
      <c r="N1595" s="50">
        <f t="shared" si="78"/>
        <v>0</v>
      </c>
      <c r="O1595" s="38">
        <v>0</v>
      </c>
      <c r="P1595" s="38">
        <v>389.12</v>
      </c>
      <c r="Q1595" s="61" t="s">
        <v>43</v>
      </c>
      <c r="R1595" s="188">
        <v>44525</v>
      </c>
      <c r="S1595" s="61"/>
      <c r="T1595" s="61">
        <v>389</v>
      </c>
      <c r="U1595" s="61"/>
      <c r="V1595" s="61"/>
      <c r="W1595" s="61"/>
      <c r="X1595" s="61"/>
      <c r="Y1595" s="61"/>
      <c r="Z1595" s="109"/>
      <c r="AB1595" s="20">
        <v>27</v>
      </c>
      <c r="AC1595" s="34" t="s">
        <v>3411</v>
      </c>
      <c r="AD1595" s="61">
        <v>70.440610000000007</v>
      </c>
      <c r="AE1595" s="61">
        <v>25.758960999999999</v>
      </c>
    </row>
    <row r="1596" spans="1:31" x14ac:dyDescent="0.25">
      <c r="A1596" s="38" t="s">
        <v>36</v>
      </c>
      <c r="B1596" s="38" t="s">
        <v>3157</v>
      </c>
      <c r="C1596" s="38" t="s">
        <v>3409</v>
      </c>
      <c r="D1596" s="38" t="s">
        <v>3412</v>
      </c>
      <c r="E1596" s="38" t="s">
        <v>3413</v>
      </c>
      <c r="F1596" s="38">
        <v>278.18</v>
      </c>
      <c r="G1596" s="38">
        <v>278.18</v>
      </c>
      <c r="H1596" s="38">
        <f t="shared" si="76"/>
        <v>327</v>
      </c>
      <c r="I1596" s="38">
        <v>220</v>
      </c>
      <c r="J1596" s="38">
        <v>107</v>
      </c>
      <c r="K1596" s="38">
        <v>113</v>
      </c>
      <c r="L1596" s="50">
        <f t="shared" si="77"/>
        <v>34.556574923547402</v>
      </c>
      <c r="M1596" s="38">
        <v>0</v>
      </c>
      <c r="N1596" s="50">
        <f t="shared" si="78"/>
        <v>0</v>
      </c>
      <c r="O1596" s="38">
        <v>0</v>
      </c>
      <c r="P1596" s="38">
        <v>109.08</v>
      </c>
      <c r="Q1596" s="61" t="s">
        <v>43</v>
      </c>
      <c r="R1596" s="17">
        <v>44525</v>
      </c>
      <c r="S1596" s="61"/>
      <c r="T1596" s="61">
        <v>109</v>
      </c>
      <c r="U1596" s="61"/>
      <c r="V1596" s="61"/>
      <c r="W1596" s="61"/>
      <c r="X1596" s="61"/>
      <c r="Y1596" s="61"/>
      <c r="Z1596" s="20"/>
      <c r="AB1596" s="20"/>
      <c r="AC1596" s="11" t="s">
        <v>1410</v>
      </c>
      <c r="AD1596" s="61"/>
      <c r="AE1596" s="61"/>
    </row>
    <row r="1597" spans="1:31" x14ac:dyDescent="0.25">
      <c r="A1597" s="38" t="s">
        <v>36</v>
      </c>
      <c r="B1597" s="38" t="s">
        <v>3157</v>
      </c>
      <c r="C1597" s="38" t="s">
        <v>3409</v>
      </c>
      <c r="D1597" s="38" t="s">
        <v>3414</v>
      </c>
      <c r="E1597" s="38" t="s">
        <v>3415</v>
      </c>
      <c r="F1597" s="38">
        <v>1464.51</v>
      </c>
      <c r="G1597" s="38">
        <v>1464.51</v>
      </c>
      <c r="H1597" s="38">
        <f t="shared" si="76"/>
        <v>698</v>
      </c>
      <c r="I1597" s="38">
        <v>463</v>
      </c>
      <c r="J1597" s="38">
        <v>235</v>
      </c>
      <c r="K1597" s="38">
        <v>228</v>
      </c>
      <c r="L1597" s="50">
        <f t="shared" si="77"/>
        <v>32.664756446991404</v>
      </c>
      <c r="M1597" s="38">
        <v>0</v>
      </c>
      <c r="N1597" s="50">
        <f t="shared" si="78"/>
        <v>0</v>
      </c>
      <c r="O1597" s="38">
        <v>0</v>
      </c>
      <c r="P1597" s="38">
        <v>62.08</v>
      </c>
      <c r="Q1597" s="61" t="s">
        <v>43</v>
      </c>
      <c r="R1597" s="17">
        <v>44525</v>
      </c>
      <c r="S1597" s="61"/>
      <c r="T1597" s="61">
        <v>62</v>
      </c>
      <c r="U1597" s="61"/>
      <c r="V1597" s="61"/>
      <c r="W1597" s="61"/>
      <c r="X1597" s="61"/>
      <c r="Y1597" s="61"/>
      <c r="Z1597" s="20"/>
      <c r="AB1597" s="20"/>
      <c r="AC1597" s="11" t="s">
        <v>3416</v>
      </c>
      <c r="AD1597" s="61"/>
      <c r="AE1597" s="61"/>
    </row>
    <row r="1598" spans="1:31" x14ac:dyDescent="0.25">
      <c r="A1598" s="38" t="s">
        <v>36</v>
      </c>
      <c r="B1598" s="38" t="s">
        <v>3157</v>
      </c>
      <c r="C1598" s="38" t="s">
        <v>3409</v>
      </c>
      <c r="D1598" s="38" t="s">
        <v>3417</v>
      </c>
      <c r="E1598" s="38" t="s">
        <v>3418</v>
      </c>
      <c r="F1598" s="38">
        <v>467.71</v>
      </c>
      <c r="G1598" s="38">
        <v>467.71</v>
      </c>
      <c r="H1598" s="38">
        <f t="shared" si="76"/>
        <v>502</v>
      </c>
      <c r="I1598" s="38">
        <v>338</v>
      </c>
      <c r="J1598" s="38">
        <v>164</v>
      </c>
      <c r="K1598" s="38">
        <v>174</v>
      </c>
      <c r="L1598" s="50">
        <f t="shared" si="77"/>
        <v>34.661354581673308</v>
      </c>
      <c r="M1598" s="38">
        <v>0</v>
      </c>
      <c r="N1598" s="50">
        <f t="shared" si="78"/>
        <v>0</v>
      </c>
      <c r="O1598" s="38">
        <v>0</v>
      </c>
      <c r="P1598" s="38">
        <v>243.1</v>
      </c>
      <c r="Q1598" s="34" t="s">
        <v>160</v>
      </c>
      <c r="R1598" s="88">
        <v>44525</v>
      </c>
      <c r="S1598" s="34"/>
      <c r="T1598" s="34">
        <v>243</v>
      </c>
      <c r="U1598" s="34"/>
      <c r="V1598" s="34"/>
      <c r="W1598" s="34"/>
      <c r="X1598" s="34"/>
      <c r="Y1598" s="34"/>
      <c r="Z1598" s="89"/>
      <c r="AB1598" s="89"/>
      <c r="AC1598" s="34" t="s">
        <v>3419</v>
      </c>
      <c r="AD1598" s="34">
        <v>25.733619999999998</v>
      </c>
      <c r="AE1598" s="34">
        <v>70.383292999999995</v>
      </c>
    </row>
    <row r="1599" spans="1:31" x14ac:dyDescent="0.25">
      <c r="A1599" s="38" t="s">
        <v>36</v>
      </c>
      <c r="B1599" s="38" t="s">
        <v>3157</v>
      </c>
      <c r="C1599" s="38" t="s">
        <v>3409</v>
      </c>
      <c r="D1599" s="38" t="s">
        <v>3420</v>
      </c>
      <c r="E1599" s="38" t="s">
        <v>3421</v>
      </c>
      <c r="F1599" s="38">
        <v>3293.85</v>
      </c>
      <c r="G1599" s="38">
        <v>3293.85</v>
      </c>
      <c r="H1599" s="38">
        <f t="shared" si="76"/>
        <v>856</v>
      </c>
      <c r="I1599" s="38">
        <v>563</v>
      </c>
      <c r="J1599" s="38">
        <v>293</v>
      </c>
      <c r="K1599" s="38">
        <v>270</v>
      </c>
      <c r="L1599" s="50">
        <f t="shared" si="77"/>
        <v>31.542056074766357</v>
      </c>
      <c r="M1599" s="38">
        <v>0</v>
      </c>
      <c r="N1599" s="50">
        <f t="shared" si="78"/>
        <v>0</v>
      </c>
      <c r="O1599" s="38">
        <v>0</v>
      </c>
      <c r="P1599" s="38">
        <v>0</v>
      </c>
      <c r="Q1599" s="61" t="s">
        <v>43</v>
      </c>
      <c r="R1599" s="17">
        <v>44525</v>
      </c>
      <c r="S1599" s="61"/>
      <c r="T1599" s="61">
        <v>485</v>
      </c>
      <c r="U1599" s="61"/>
      <c r="V1599" s="61"/>
      <c r="W1599" s="61"/>
      <c r="X1599" s="61"/>
      <c r="Y1599" s="61"/>
      <c r="Z1599" s="20"/>
      <c r="AB1599" s="20"/>
      <c r="AC1599" s="11" t="s">
        <v>3422</v>
      </c>
      <c r="AD1599" s="61"/>
      <c r="AE1599" s="61"/>
    </row>
    <row r="1600" spans="1:31" x14ac:dyDescent="0.25">
      <c r="A1600" s="38" t="s">
        <v>36</v>
      </c>
      <c r="B1600" s="38" t="s">
        <v>3157</v>
      </c>
      <c r="C1600" s="38" t="s">
        <v>3423</v>
      </c>
      <c r="D1600" s="38" t="s">
        <v>3423</v>
      </c>
      <c r="E1600" s="38" t="s">
        <v>3424</v>
      </c>
      <c r="F1600" s="38">
        <v>1889.02</v>
      </c>
      <c r="G1600" s="38">
        <v>1889.02</v>
      </c>
      <c r="H1600" s="38">
        <f t="shared" si="76"/>
        <v>1271</v>
      </c>
      <c r="I1600" s="38">
        <v>827</v>
      </c>
      <c r="J1600" s="38">
        <v>444</v>
      </c>
      <c r="K1600" s="38">
        <v>383</v>
      </c>
      <c r="L1600" s="50">
        <f t="shared" si="77"/>
        <v>30.133752950432729</v>
      </c>
      <c r="M1600" s="38">
        <v>126</v>
      </c>
      <c r="N1600" s="50">
        <f t="shared" si="78"/>
        <v>9.9134539732494105</v>
      </c>
      <c r="O1600" s="38">
        <v>0</v>
      </c>
      <c r="P1600" s="38">
        <v>109.31</v>
      </c>
      <c r="Q1600" s="61" t="s">
        <v>43</v>
      </c>
      <c r="R1600" s="188">
        <v>44524</v>
      </c>
      <c r="S1600" s="61"/>
      <c r="T1600" s="61">
        <v>109</v>
      </c>
      <c r="U1600" s="61"/>
      <c r="V1600" s="61"/>
      <c r="W1600" s="61"/>
      <c r="X1600" s="61"/>
      <c r="Y1600" s="61"/>
      <c r="Z1600" s="89"/>
      <c r="AB1600" s="89"/>
      <c r="AC1600" s="34" t="s">
        <v>3425</v>
      </c>
      <c r="AD1600" s="61"/>
      <c r="AE1600" s="61"/>
    </row>
    <row r="1601" spans="1:31" x14ac:dyDescent="0.25">
      <c r="A1601" s="38" t="s">
        <v>36</v>
      </c>
      <c r="B1601" s="38" t="s">
        <v>3157</v>
      </c>
      <c r="C1601" s="38" t="s">
        <v>3423</v>
      </c>
      <c r="D1601" s="38" t="s">
        <v>3426</v>
      </c>
      <c r="E1601" s="38" t="s">
        <v>3427</v>
      </c>
      <c r="F1601" s="38">
        <v>942.79</v>
      </c>
      <c r="G1601" s="38">
        <v>942.79</v>
      </c>
      <c r="H1601" s="38">
        <f t="shared" si="76"/>
        <v>505</v>
      </c>
      <c r="I1601" s="38">
        <v>330</v>
      </c>
      <c r="J1601" s="38">
        <v>175</v>
      </c>
      <c r="K1601" s="38">
        <v>155</v>
      </c>
      <c r="L1601" s="50">
        <f t="shared" si="77"/>
        <v>30.693069306930692</v>
      </c>
      <c r="M1601" s="38">
        <v>0</v>
      </c>
      <c r="N1601" s="50">
        <f t="shared" si="78"/>
        <v>0</v>
      </c>
      <c r="O1601" s="38">
        <v>0</v>
      </c>
      <c r="P1601" s="38">
        <v>52.88</v>
      </c>
      <c r="Q1601" s="61" t="s">
        <v>43</v>
      </c>
      <c r="R1601" s="17">
        <v>44524</v>
      </c>
      <c r="S1601" s="61"/>
      <c r="T1601" s="61">
        <v>53</v>
      </c>
      <c r="U1601" s="61"/>
      <c r="V1601" s="61"/>
      <c r="W1601" s="61"/>
      <c r="X1601" s="61"/>
      <c r="Y1601" s="61"/>
      <c r="Z1601" s="20"/>
      <c r="AB1601" s="20"/>
      <c r="AC1601" s="11" t="s">
        <v>3428</v>
      </c>
      <c r="AD1601" s="61"/>
      <c r="AE1601" s="61"/>
    </row>
    <row r="1602" spans="1:31" x14ac:dyDescent="0.25">
      <c r="A1602" s="38" t="s">
        <v>36</v>
      </c>
      <c r="B1602" s="38" t="s">
        <v>3157</v>
      </c>
      <c r="C1602" s="38" t="s">
        <v>3423</v>
      </c>
      <c r="D1602" s="38" t="s">
        <v>3429</v>
      </c>
      <c r="E1602" s="38" t="s">
        <v>3430</v>
      </c>
      <c r="F1602" s="38">
        <v>1614.04</v>
      </c>
      <c r="G1602" s="38">
        <v>1614.04</v>
      </c>
      <c r="H1602" s="38">
        <f t="shared" si="76"/>
        <v>471</v>
      </c>
      <c r="I1602" s="38">
        <v>313</v>
      </c>
      <c r="J1602" s="38">
        <v>158</v>
      </c>
      <c r="K1602" s="38">
        <v>155</v>
      </c>
      <c r="L1602" s="50">
        <f t="shared" si="77"/>
        <v>32.908704883227173</v>
      </c>
      <c r="M1602" s="38">
        <v>0</v>
      </c>
      <c r="N1602" s="50">
        <f t="shared" si="78"/>
        <v>0</v>
      </c>
      <c r="O1602" s="38">
        <v>0</v>
      </c>
      <c r="P1602" s="38">
        <v>183.59</v>
      </c>
      <c r="Q1602" s="61" t="s">
        <v>43</v>
      </c>
      <c r="R1602" s="17">
        <v>44524</v>
      </c>
      <c r="S1602" s="61"/>
      <c r="T1602" s="61">
        <v>184</v>
      </c>
      <c r="U1602" s="61"/>
      <c r="V1602" s="61"/>
      <c r="W1602" s="61"/>
      <c r="X1602" s="61"/>
      <c r="Y1602" s="61"/>
      <c r="Z1602" s="20"/>
      <c r="AB1602" s="20"/>
      <c r="AC1602" s="11" t="s">
        <v>3431</v>
      </c>
      <c r="AD1602" s="61"/>
      <c r="AE1602" s="61"/>
    </row>
    <row r="1603" spans="1:31" x14ac:dyDescent="0.25">
      <c r="A1603" s="38" t="s">
        <v>36</v>
      </c>
      <c r="B1603" s="38" t="s">
        <v>3157</v>
      </c>
      <c r="C1603" s="38" t="s">
        <v>3423</v>
      </c>
      <c r="D1603" s="38" t="s">
        <v>3432</v>
      </c>
      <c r="E1603" s="38" t="s">
        <v>3433</v>
      </c>
      <c r="F1603" s="38">
        <v>1173.6099999999999</v>
      </c>
      <c r="G1603" s="38">
        <v>1173.6099999999999</v>
      </c>
      <c r="H1603" s="38">
        <f t="shared" si="76"/>
        <v>670</v>
      </c>
      <c r="I1603" s="38">
        <v>443</v>
      </c>
      <c r="J1603" s="38">
        <v>227</v>
      </c>
      <c r="K1603" s="38">
        <v>216</v>
      </c>
      <c r="L1603" s="50">
        <f t="shared" si="77"/>
        <v>32.238805970149251</v>
      </c>
      <c r="M1603" s="38">
        <v>51</v>
      </c>
      <c r="N1603" s="50">
        <f t="shared" si="78"/>
        <v>7.611940298507462</v>
      </c>
      <c r="O1603" s="38">
        <v>0</v>
      </c>
      <c r="P1603" s="38">
        <v>6.14</v>
      </c>
      <c r="Q1603" s="61" t="s">
        <v>43</v>
      </c>
      <c r="R1603" s="17">
        <v>44524</v>
      </c>
      <c r="S1603" s="61"/>
      <c r="T1603" s="61">
        <v>6</v>
      </c>
      <c r="U1603" s="61"/>
      <c r="V1603" s="61"/>
      <c r="W1603" s="61"/>
      <c r="X1603" s="61"/>
      <c r="Y1603" s="61"/>
      <c r="Z1603" s="20"/>
      <c r="AB1603" s="20"/>
      <c r="AC1603" s="11" t="s">
        <v>3432</v>
      </c>
      <c r="AD1603" s="61"/>
      <c r="AE1603" s="61"/>
    </row>
    <row r="1604" spans="1:31" x14ac:dyDescent="0.25">
      <c r="A1604" s="38" t="s">
        <v>36</v>
      </c>
      <c r="B1604" s="38" t="s">
        <v>3157</v>
      </c>
      <c r="C1604" s="38" t="s">
        <v>3423</v>
      </c>
      <c r="D1604" s="38" t="s">
        <v>3434</v>
      </c>
      <c r="E1604" s="38" t="s">
        <v>3435</v>
      </c>
      <c r="F1604" s="38">
        <v>1424.79</v>
      </c>
      <c r="G1604" s="38">
        <v>1424.79</v>
      </c>
      <c r="H1604" s="38">
        <f t="shared" si="76"/>
        <v>878</v>
      </c>
      <c r="I1604" s="38">
        <v>574</v>
      </c>
      <c r="J1604" s="38">
        <v>304</v>
      </c>
      <c r="K1604" s="38">
        <v>270</v>
      </c>
      <c r="L1604" s="50">
        <f t="shared" si="77"/>
        <v>30.751708428246015</v>
      </c>
      <c r="M1604" s="38">
        <v>59</v>
      </c>
      <c r="N1604" s="50">
        <f t="shared" si="78"/>
        <v>6.7198177676537592</v>
      </c>
      <c r="O1604" s="38">
        <v>0</v>
      </c>
      <c r="P1604" s="38">
        <v>0</v>
      </c>
      <c r="Q1604" s="61" t="s">
        <v>43</v>
      </c>
      <c r="R1604" s="17">
        <v>44524</v>
      </c>
      <c r="S1604" s="61"/>
      <c r="T1604" s="61">
        <v>80</v>
      </c>
      <c r="U1604" s="61"/>
      <c r="V1604" s="61"/>
      <c r="W1604" s="61"/>
      <c r="X1604" s="61"/>
      <c r="Y1604" s="61"/>
      <c r="Z1604" s="109"/>
      <c r="AB1604" s="20">
        <v>42</v>
      </c>
      <c r="AC1604" s="11" t="s">
        <v>3436</v>
      </c>
      <c r="AD1604" s="61">
        <v>70.512439000000001</v>
      </c>
      <c r="AE1604" s="61">
        <v>25.739815</v>
      </c>
    </row>
    <row r="1605" spans="1:31" x14ac:dyDescent="0.25">
      <c r="A1605" s="38" t="s">
        <v>36</v>
      </c>
      <c r="B1605" s="38" t="s">
        <v>3157</v>
      </c>
      <c r="C1605" s="38" t="s">
        <v>3437</v>
      </c>
      <c r="D1605" s="38" t="s">
        <v>3438</v>
      </c>
      <c r="E1605" s="38" t="s">
        <v>3439</v>
      </c>
      <c r="F1605" s="38">
        <v>2495</v>
      </c>
      <c r="G1605" s="38">
        <v>2495</v>
      </c>
      <c r="H1605" s="38">
        <f t="shared" ref="H1605:H1668" si="79">I1605+J1605</f>
        <v>3179</v>
      </c>
      <c r="I1605" s="38">
        <v>1996</v>
      </c>
      <c r="J1605" s="38">
        <v>1183</v>
      </c>
      <c r="K1605" s="38">
        <v>813</v>
      </c>
      <c r="L1605" s="50">
        <f t="shared" si="77"/>
        <v>25.574079899339413</v>
      </c>
      <c r="M1605" s="38">
        <v>89</v>
      </c>
      <c r="N1605" s="50">
        <f t="shared" si="78"/>
        <v>2.7996225228059135</v>
      </c>
      <c r="O1605" s="38">
        <v>0</v>
      </c>
      <c r="P1605" s="38">
        <v>137</v>
      </c>
      <c r="Q1605" s="34" t="s">
        <v>43</v>
      </c>
      <c r="R1605" s="17">
        <v>44533</v>
      </c>
      <c r="S1605" s="34"/>
      <c r="T1605" s="34">
        <v>137</v>
      </c>
      <c r="U1605" s="34"/>
      <c r="V1605" s="34"/>
      <c r="W1605" s="34"/>
      <c r="X1605" s="34"/>
      <c r="Y1605" s="34"/>
      <c r="Z1605" s="109"/>
      <c r="AB1605" s="109">
        <v>100</v>
      </c>
      <c r="AC1605" s="34" t="s">
        <v>3440</v>
      </c>
      <c r="AD1605" s="34">
        <v>25.973441000000001</v>
      </c>
      <c r="AE1605" s="34">
        <v>70.935252000000006</v>
      </c>
    </row>
    <row r="1606" spans="1:31" x14ac:dyDescent="0.25">
      <c r="A1606" s="38" t="s">
        <v>36</v>
      </c>
      <c r="B1606" s="38" t="s">
        <v>3157</v>
      </c>
      <c r="C1606" s="38" t="s">
        <v>3437</v>
      </c>
      <c r="D1606" s="38" t="s">
        <v>3441</v>
      </c>
      <c r="E1606" s="38" t="s">
        <v>3442</v>
      </c>
      <c r="F1606" s="38">
        <v>1551</v>
      </c>
      <c r="G1606" s="38">
        <v>1551</v>
      </c>
      <c r="H1606" s="38">
        <f t="shared" si="79"/>
        <v>327</v>
      </c>
      <c r="I1606" s="38">
        <v>197</v>
      </c>
      <c r="J1606" s="38">
        <v>130</v>
      </c>
      <c r="K1606" s="38">
        <v>67</v>
      </c>
      <c r="L1606" s="50">
        <f t="shared" ref="L1606:L1669" si="80">K1606/H1606*100</f>
        <v>20.489296636085626</v>
      </c>
      <c r="M1606" s="38">
        <v>0</v>
      </c>
      <c r="N1606" s="50">
        <f t="shared" si="78"/>
        <v>0</v>
      </c>
      <c r="O1606" s="38">
        <v>0</v>
      </c>
      <c r="P1606" s="38">
        <v>128</v>
      </c>
      <c r="Q1606" s="61" t="s">
        <v>43</v>
      </c>
      <c r="R1606" s="17">
        <v>44533</v>
      </c>
      <c r="S1606" s="61"/>
      <c r="T1606" s="61">
        <v>128</v>
      </c>
      <c r="U1606" s="61"/>
      <c r="V1606" s="61"/>
      <c r="W1606" s="61"/>
      <c r="X1606" s="61"/>
      <c r="Y1606" s="61"/>
      <c r="Z1606" s="20"/>
      <c r="AB1606" s="20"/>
      <c r="AC1606" s="11" t="s">
        <v>3443</v>
      </c>
      <c r="AD1606" s="61"/>
      <c r="AE1606" s="61"/>
    </row>
    <row r="1607" spans="1:31" x14ac:dyDescent="0.25">
      <c r="A1607" s="38" t="s">
        <v>36</v>
      </c>
      <c r="B1607" s="38" t="s">
        <v>3157</v>
      </c>
      <c r="C1607" s="38" t="s">
        <v>3437</v>
      </c>
      <c r="D1607" s="38" t="s">
        <v>3444</v>
      </c>
      <c r="E1607" s="38" t="s">
        <v>3445</v>
      </c>
      <c r="F1607" s="38">
        <v>1202</v>
      </c>
      <c r="G1607" s="38">
        <v>1202</v>
      </c>
      <c r="H1607" s="38">
        <f t="shared" si="79"/>
        <v>617</v>
      </c>
      <c r="I1607" s="38">
        <v>400</v>
      </c>
      <c r="J1607" s="38">
        <v>217</v>
      </c>
      <c r="K1607" s="38">
        <v>183</v>
      </c>
      <c r="L1607" s="50">
        <f t="shared" si="80"/>
        <v>29.659643435980549</v>
      </c>
      <c r="M1607" s="38">
        <v>0</v>
      </c>
      <c r="N1607" s="50">
        <f t="shared" si="78"/>
        <v>0</v>
      </c>
      <c r="O1607" s="38">
        <v>0</v>
      </c>
      <c r="P1607" s="38">
        <v>66</v>
      </c>
      <c r="Q1607" s="61" t="s">
        <v>43</v>
      </c>
      <c r="R1607" s="17">
        <v>44533</v>
      </c>
      <c r="S1607" s="61"/>
      <c r="T1607" s="61">
        <v>66</v>
      </c>
      <c r="U1607" s="61"/>
      <c r="V1607" s="61"/>
      <c r="W1607" s="61"/>
      <c r="X1607" s="61"/>
      <c r="Y1607" s="61"/>
      <c r="Z1607" s="20"/>
      <c r="AB1607" s="20"/>
      <c r="AC1607" s="11" t="s">
        <v>3444</v>
      </c>
      <c r="AD1607" s="61"/>
      <c r="AE1607" s="61"/>
    </row>
    <row r="1608" spans="1:31" x14ac:dyDescent="0.25">
      <c r="A1608" s="38" t="s">
        <v>36</v>
      </c>
      <c r="B1608" s="38" t="s">
        <v>3157</v>
      </c>
      <c r="C1608" s="38" t="s">
        <v>3446</v>
      </c>
      <c r="D1608" s="38" t="s">
        <v>3447</v>
      </c>
      <c r="E1608" s="38" t="s">
        <v>3448</v>
      </c>
      <c r="F1608" s="38">
        <v>1955.9</v>
      </c>
      <c r="G1608" s="38">
        <v>1955.9</v>
      </c>
      <c r="H1608" s="38">
        <f t="shared" si="79"/>
        <v>1480</v>
      </c>
      <c r="I1608" s="38">
        <v>982</v>
      </c>
      <c r="J1608" s="38">
        <v>498</v>
      </c>
      <c r="K1608" s="38">
        <v>484</v>
      </c>
      <c r="L1608" s="50">
        <f t="shared" si="80"/>
        <v>32.702702702702702</v>
      </c>
      <c r="M1608" s="38">
        <v>1</v>
      </c>
      <c r="N1608" s="50">
        <f t="shared" si="78"/>
        <v>6.7567567567567571E-2</v>
      </c>
      <c r="O1608" s="38">
        <v>0</v>
      </c>
      <c r="P1608" s="38">
        <v>110.9</v>
      </c>
      <c r="Q1608" s="34" t="s">
        <v>43</v>
      </c>
      <c r="R1608" s="9">
        <v>44554</v>
      </c>
      <c r="S1608" s="34"/>
      <c r="T1608" s="34">
        <v>111</v>
      </c>
      <c r="U1608" s="34"/>
      <c r="V1608" s="34"/>
      <c r="W1608" s="34"/>
      <c r="X1608" s="34"/>
      <c r="Y1608" s="34"/>
      <c r="Z1608" s="109"/>
      <c r="AB1608" s="109"/>
      <c r="AC1608" s="34" t="s">
        <v>3449</v>
      </c>
      <c r="AD1608" s="34">
        <v>25.844863</v>
      </c>
      <c r="AE1608" s="34">
        <v>70.844863000000004</v>
      </c>
    </row>
    <row r="1609" spans="1:31" x14ac:dyDescent="0.25">
      <c r="A1609" s="38" t="s">
        <v>36</v>
      </c>
      <c r="B1609" s="38" t="s">
        <v>3157</v>
      </c>
      <c r="C1609" s="38" t="s">
        <v>3446</v>
      </c>
      <c r="D1609" s="38" t="s">
        <v>1817</v>
      </c>
      <c r="E1609" s="38" t="s">
        <v>3450</v>
      </c>
      <c r="F1609" s="38">
        <v>1079.99</v>
      </c>
      <c r="G1609" s="38">
        <v>1079.99</v>
      </c>
      <c r="H1609" s="38">
        <f t="shared" si="79"/>
        <v>1359</v>
      </c>
      <c r="I1609" s="38">
        <v>895</v>
      </c>
      <c r="J1609" s="38">
        <v>464</v>
      </c>
      <c r="K1609" s="38">
        <v>431</v>
      </c>
      <c r="L1609" s="50">
        <f t="shared" si="80"/>
        <v>31.714495952906546</v>
      </c>
      <c r="M1609" s="38">
        <v>428</v>
      </c>
      <c r="N1609" s="50">
        <f t="shared" si="78"/>
        <v>31.493745401030171</v>
      </c>
      <c r="O1609" s="38">
        <v>0</v>
      </c>
      <c r="P1609" s="38">
        <v>240.99</v>
      </c>
      <c r="Q1609" s="61" t="s">
        <v>43</v>
      </c>
      <c r="R1609" s="17">
        <v>44554</v>
      </c>
      <c r="S1609" s="61"/>
      <c r="T1609" s="61">
        <v>107.881</v>
      </c>
      <c r="U1609" s="61"/>
      <c r="V1609" s="61"/>
      <c r="W1609" s="61"/>
      <c r="X1609" s="61"/>
      <c r="Y1609" s="61"/>
      <c r="Z1609" s="20"/>
      <c r="AB1609" s="20"/>
      <c r="AC1609" s="11" t="s">
        <v>2049</v>
      </c>
      <c r="AD1609" s="61"/>
      <c r="AE1609" s="61"/>
    </row>
    <row r="1610" spans="1:31" x14ac:dyDescent="0.25">
      <c r="A1610" s="38" t="s">
        <v>36</v>
      </c>
      <c r="B1610" s="38" t="s">
        <v>3157</v>
      </c>
      <c r="C1610" s="38" t="s">
        <v>3451</v>
      </c>
      <c r="D1610" s="38" t="s">
        <v>3452</v>
      </c>
      <c r="E1610" s="38" t="s">
        <v>3453</v>
      </c>
      <c r="F1610" s="38">
        <v>3244</v>
      </c>
      <c r="G1610" s="38">
        <v>3244</v>
      </c>
      <c r="H1610" s="38">
        <f t="shared" si="79"/>
        <v>1539</v>
      </c>
      <c r="I1610" s="38">
        <v>1000</v>
      </c>
      <c r="J1610" s="38">
        <v>539</v>
      </c>
      <c r="K1610" s="38">
        <v>461</v>
      </c>
      <c r="L1610" s="50">
        <f t="shared" si="80"/>
        <v>29.9545159194282</v>
      </c>
      <c r="M1610" s="38">
        <v>209</v>
      </c>
      <c r="N1610" s="50">
        <f t="shared" si="78"/>
        <v>13.580246913580247</v>
      </c>
      <c r="O1610" s="38">
        <v>0</v>
      </c>
      <c r="P1610" s="38">
        <v>1458</v>
      </c>
      <c r="Q1610" s="61" t="s">
        <v>43</v>
      </c>
      <c r="R1610" s="17">
        <v>44542</v>
      </c>
      <c r="S1610" s="61"/>
      <c r="T1610" s="61">
        <v>567</v>
      </c>
      <c r="U1610" s="61"/>
      <c r="V1610" s="61"/>
      <c r="W1610" s="61"/>
      <c r="X1610" s="61"/>
      <c r="Y1610" s="61"/>
      <c r="Z1610" s="20"/>
      <c r="AB1610" s="20"/>
      <c r="AC1610" s="11" t="s">
        <v>3454</v>
      </c>
      <c r="AD1610" s="61"/>
      <c r="AE1610" s="61"/>
    </row>
    <row r="1611" spans="1:31" x14ac:dyDescent="0.25">
      <c r="A1611" s="38" t="s">
        <v>36</v>
      </c>
      <c r="B1611" s="38" t="s">
        <v>3157</v>
      </c>
      <c r="C1611" s="38" t="s">
        <v>3451</v>
      </c>
      <c r="D1611" s="38" t="s">
        <v>3455</v>
      </c>
      <c r="E1611" s="38" t="s">
        <v>3456</v>
      </c>
      <c r="F1611" s="38">
        <v>4053</v>
      </c>
      <c r="G1611" s="38">
        <v>4053</v>
      </c>
      <c r="H1611" s="38">
        <f t="shared" si="79"/>
        <v>1251</v>
      </c>
      <c r="I1611" s="38">
        <v>825</v>
      </c>
      <c r="J1611" s="38">
        <v>426</v>
      </c>
      <c r="K1611" s="38">
        <v>399</v>
      </c>
      <c r="L1611" s="50">
        <f t="shared" si="80"/>
        <v>31.894484412470025</v>
      </c>
      <c r="M1611" s="38">
        <v>123</v>
      </c>
      <c r="N1611" s="50">
        <f t="shared" si="78"/>
        <v>9.8321342925659465</v>
      </c>
      <c r="O1611" s="38">
        <v>0</v>
      </c>
      <c r="P1611" s="38">
        <v>1091</v>
      </c>
      <c r="Q1611" s="61" t="s">
        <v>43</v>
      </c>
      <c r="R1611" s="17">
        <v>44542</v>
      </c>
      <c r="S1611" s="61"/>
      <c r="T1611" s="61">
        <v>593</v>
      </c>
      <c r="U1611" s="61"/>
      <c r="V1611" s="61"/>
      <c r="W1611" s="61"/>
      <c r="X1611" s="61"/>
      <c r="Y1611" s="61"/>
      <c r="Z1611" s="20"/>
      <c r="AB1611" s="20"/>
      <c r="AC1611" s="11" t="s">
        <v>3457</v>
      </c>
      <c r="AD1611" s="61"/>
      <c r="AE1611" s="61"/>
    </row>
    <row r="1612" spans="1:31" x14ac:dyDescent="0.25">
      <c r="A1612" s="38" t="s">
        <v>36</v>
      </c>
      <c r="B1612" s="38" t="s">
        <v>3157</v>
      </c>
      <c r="C1612" s="38" t="s">
        <v>3451</v>
      </c>
      <c r="D1612" s="38" t="s">
        <v>3458</v>
      </c>
      <c r="E1612" s="38" t="s">
        <v>3459</v>
      </c>
      <c r="F1612" s="38">
        <v>1807</v>
      </c>
      <c r="G1612" s="38">
        <v>1807</v>
      </c>
      <c r="H1612" s="38">
        <f t="shared" si="79"/>
        <v>1074</v>
      </c>
      <c r="I1612" s="38">
        <v>704</v>
      </c>
      <c r="J1612" s="38">
        <v>370</v>
      </c>
      <c r="K1612" s="38">
        <v>334</v>
      </c>
      <c r="L1612" s="50">
        <f t="shared" si="80"/>
        <v>31.098696461824954</v>
      </c>
      <c r="M1612" s="38">
        <v>168</v>
      </c>
      <c r="N1612" s="50">
        <f t="shared" si="78"/>
        <v>15.64245810055866</v>
      </c>
      <c r="O1612" s="38">
        <v>0</v>
      </c>
      <c r="P1612" s="38">
        <v>111</v>
      </c>
      <c r="Q1612" s="61" t="s">
        <v>43</v>
      </c>
      <c r="R1612" s="17">
        <v>44542</v>
      </c>
      <c r="S1612" s="61"/>
      <c r="T1612" s="61">
        <v>108</v>
      </c>
      <c r="U1612" s="61"/>
      <c r="V1612" s="61"/>
      <c r="W1612" s="61"/>
      <c r="X1612" s="61"/>
      <c r="Y1612" s="61"/>
      <c r="Z1612" s="20"/>
      <c r="AB1612" s="20"/>
      <c r="AC1612" s="11" t="s">
        <v>3460</v>
      </c>
      <c r="AD1612" s="61"/>
      <c r="AE1612" s="61"/>
    </row>
    <row r="1613" spans="1:31" x14ac:dyDescent="0.25">
      <c r="A1613" s="38" t="s">
        <v>36</v>
      </c>
      <c r="B1613" s="38" t="s">
        <v>3157</v>
      </c>
      <c r="C1613" s="38" t="s">
        <v>3451</v>
      </c>
      <c r="D1613" s="38" t="s">
        <v>3461</v>
      </c>
      <c r="E1613" s="38" t="s">
        <v>3462</v>
      </c>
      <c r="F1613" s="38">
        <v>4404</v>
      </c>
      <c r="G1613" s="38">
        <v>4404</v>
      </c>
      <c r="H1613" s="38">
        <f t="shared" si="79"/>
        <v>993</v>
      </c>
      <c r="I1613" s="38">
        <v>643</v>
      </c>
      <c r="J1613" s="38">
        <v>350</v>
      </c>
      <c r="K1613" s="38">
        <v>293</v>
      </c>
      <c r="L1613" s="50">
        <f t="shared" si="80"/>
        <v>29.506545820745217</v>
      </c>
      <c r="M1613" s="38">
        <v>13</v>
      </c>
      <c r="N1613" s="50">
        <f t="shared" si="78"/>
        <v>1.3091641490433032</v>
      </c>
      <c r="O1613" s="38">
        <v>13</v>
      </c>
      <c r="P1613" s="38">
        <v>1285</v>
      </c>
      <c r="Q1613" s="61" t="s">
        <v>43</v>
      </c>
      <c r="R1613" s="17">
        <v>44542</v>
      </c>
      <c r="S1613" s="61"/>
      <c r="T1613" s="61">
        <v>1285</v>
      </c>
      <c r="U1613" s="61"/>
      <c r="V1613" s="61"/>
      <c r="W1613" s="61"/>
      <c r="X1613" s="61"/>
      <c r="Y1613" s="61"/>
      <c r="Z1613" s="20"/>
      <c r="AB1613" s="20"/>
      <c r="AC1613" s="11" t="s">
        <v>3463</v>
      </c>
      <c r="AD1613" s="61"/>
      <c r="AE1613" s="61"/>
    </row>
    <row r="1614" spans="1:31" x14ac:dyDescent="0.25">
      <c r="A1614" s="38" t="s">
        <v>36</v>
      </c>
      <c r="B1614" s="38" t="s">
        <v>3157</v>
      </c>
      <c r="C1614" s="38" t="s">
        <v>3464</v>
      </c>
      <c r="D1614" s="38" t="s">
        <v>1466</v>
      </c>
      <c r="E1614" s="38" t="s">
        <v>3465</v>
      </c>
      <c r="F1614" s="38">
        <v>3632.66</v>
      </c>
      <c r="G1614" s="38">
        <v>3632.66</v>
      </c>
      <c r="H1614" s="38">
        <f t="shared" si="79"/>
        <v>1649</v>
      </c>
      <c r="I1614" s="38">
        <v>1071</v>
      </c>
      <c r="J1614" s="38">
        <v>578</v>
      </c>
      <c r="K1614" s="38">
        <v>493</v>
      </c>
      <c r="L1614" s="50">
        <f t="shared" si="80"/>
        <v>29.896907216494846</v>
      </c>
      <c r="M1614" s="38">
        <v>145</v>
      </c>
      <c r="N1614" s="50">
        <f t="shared" si="78"/>
        <v>8.7932080048514258</v>
      </c>
      <c r="O1614" s="38">
        <v>56.33</v>
      </c>
      <c r="P1614" s="38">
        <v>1105</v>
      </c>
      <c r="Q1614" s="61" t="s">
        <v>43</v>
      </c>
      <c r="R1614" s="17">
        <v>44546</v>
      </c>
      <c r="S1614" s="61"/>
      <c r="T1614" s="61">
        <v>1105</v>
      </c>
      <c r="U1614" s="61"/>
      <c r="V1614" s="61"/>
      <c r="W1614" s="61"/>
      <c r="X1614" s="61"/>
      <c r="Y1614" s="61"/>
      <c r="Z1614" s="20"/>
      <c r="AB1614" s="20"/>
      <c r="AC1614" s="11" t="s">
        <v>1466</v>
      </c>
      <c r="AD1614" s="61"/>
      <c r="AE1614" s="61"/>
    </row>
    <row r="1615" spans="1:31" x14ac:dyDescent="0.25">
      <c r="A1615" s="38" t="s">
        <v>36</v>
      </c>
      <c r="B1615" s="38" t="s">
        <v>3157</v>
      </c>
      <c r="C1615" s="38" t="s">
        <v>3464</v>
      </c>
      <c r="D1615" s="38" t="s">
        <v>3466</v>
      </c>
      <c r="E1615" s="38" t="s">
        <v>3467</v>
      </c>
      <c r="F1615" s="38">
        <v>1426.05</v>
      </c>
      <c r="G1615" s="38">
        <v>1426.05</v>
      </c>
      <c r="H1615" s="38">
        <f t="shared" si="79"/>
        <v>483</v>
      </c>
      <c r="I1615" s="38">
        <v>306</v>
      </c>
      <c r="J1615" s="38">
        <v>177</v>
      </c>
      <c r="K1615" s="38">
        <v>129</v>
      </c>
      <c r="L1615" s="50">
        <f t="shared" si="80"/>
        <v>26.70807453416149</v>
      </c>
      <c r="M1615" s="38">
        <v>3</v>
      </c>
      <c r="N1615" s="50">
        <f t="shared" si="78"/>
        <v>0.6211180124223602</v>
      </c>
      <c r="O1615" s="38">
        <v>0</v>
      </c>
      <c r="P1615" s="38">
        <v>175.06</v>
      </c>
      <c r="Q1615" s="61" t="s">
        <v>43</v>
      </c>
      <c r="R1615" s="17">
        <v>44546</v>
      </c>
      <c r="S1615" s="61"/>
      <c r="T1615" s="61">
        <v>175</v>
      </c>
      <c r="U1615" s="61"/>
      <c r="V1615" s="61"/>
      <c r="W1615" s="61"/>
      <c r="X1615" s="61"/>
      <c r="Y1615" s="61"/>
      <c r="Z1615" s="20"/>
      <c r="AB1615" s="20"/>
      <c r="AC1615" s="11" t="s">
        <v>3468</v>
      </c>
      <c r="AD1615" s="61"/>
      <c r="AE1615" s="61"/>
    </row>
    <row r="1616" spans="1:31" x14ac:dyDescent="0.25">
      <c r="A1616" s="38" t="s">
        <v>36</v>
      </c>
      <c r="B1616" s="38" t="s">
        <v>3157</v>
      </c>
      <c r="C1616" s="38" t="s">
        <v>3464</v>
      </c>
      <c r="D1616" s="38" t="s">
        <v>3469</v>
      </c>
      <c r="E1616" s="38" t="s">
        <v>3470</v>
      </c>
      <c r="F1616" s="38">
        <v>689.84</v>
      </c>
      <c r="G1616" s="38">
        <v>689.84</v>
      </c>
      <c r="H1616" s="38">
        <f t="shared" si="79"/>
        <v>734</v>
      </c>
      <c r="I1616" s="38">
        <v>465</v>
      </c>
      <c r="J1616" s="38">
        <v>269</v>
      </c>
      <c r="K1616" s="38">
        <v>196</v>
      </c>
      <c r="L1616" s="50">
        <f t="shared" si="80"/>
        <v>26.702997275204361</v>
      </c>
      <c r="M1616" s="38">
        <v>0</v>
      </c>
      <c r="N1616" s="50">
        <f t="shared" si="78"/>
        <v>0</v>
      </c>
      <c r="O1616" s="38">
        <v>0</v>
      </c>
      <c r="P1616" s="38">
        <v>277.64</v>
      </c>
      <c r="Q1616" s="61" t="s">
        <v>43</v>
      </c>
      <c r="R1616" s="17">
        <v>44546</v>
      </c>
      <c r="S1616" s="61"/>
      <c r="T1616" s="61">
        <v>278</v>
      </c>
      <c r="U1616" s="61"/>
      <c r="V1616" s="61"/>
      <c r="W1616" s="61"/>
      <c r="X1616" s="61"/>
      <c r="Y1616" s="61"/>
      <c r="Z1616" s="20"/>
      <c r="AB1616" s="20"/>
      <c r="AC1616" s="11" t="s">
        <v>3469</v>
      </c>
      <c r="AD1616" s="61"/>
      <c r="AE1616" s="61"/>
    </row>
    <row r="1617" spans="1:31" x14ac:dyDescent="0.25">
      <c r="A1617" s="38" t="s">
        <v>36</v>
      </c>
      <c r="B1617" s="38" t="s">
        <v>3157</v>
      </c>
      <c r="C1617" s="38" t="s">
        <v>3464</v>
      </c>
      <c r="D1617" s="38" t="s">
        <v>3471</v>
      </c>
      <c r="E1617" s="38" t="s">
        <v>3472</v>
      </c>
      <c r="F1617" s="38">
        <v>1206.8</v>
      </c>
      <c r="G1617" s="38">
        <v>1206.8</v>
      </c>
      <c r="H1617" s="38">
        <f t="shared" si="79"/>
        <v>466</v>
      </c>
      <c r="I1617" s="38">
        <v>296</v>
      </c>
      <c r="J1617" s="38">
        <v>170</v>
      </c>
      <c r="K1617" s="38">
        <v>126</v>
      </c>
      <c r="L1617" s="50">
        <f t="shared" si="80"/>
        <v>27.038626609442062</v>
      </c>
      <c r="M1617" s="38">
        <v>0</v>
      </c>
      <c r="N1617" s="50">
        <f t="shared" si="78"/>
        <v>0</v>
      </c>
      <c r="O1617" s="38">
        <v>0</v>
      </c>
      <c r="P1617" s="38">
        <v>50.24</v>
      </c>
      <c r="Q1617" s="61" t="s">
        <v>43</v>
      </c>
      <c r="R1617" s="17">
        <v>44546</v>
      </c>
      <c r="S1617" s="61"/>
      <c r="T1617" s="61">
        <v>50</v>
      </c>
      <c r="U1617" s="61"/>
      <c r="V1617" s="61"/>
      <c r="W1617" s="61"/>
      <c r="X1617" s="61"/>
      <c r="Y1617" s="61"/>
      <c r="Z1617" s="20"/>
      <c r="AB1617" s="20"/>
      <c r="AC1617" s="11" t="s">
        <v>3473</v>
      </c>
      <c r="AD1617" s="61"/>
      <c r="AE1617" s="61"/>
    </row>
    <row r="1618" spans="1:31" x14ac:dyDescent="0.25">
      <c r="A1618" s="38" t="s">
        <v>36</v>
      </c>
      <c r="B1618" s="38" t="s">
        <v>3157</v>
      </c>
      <c r="C1618" s="38" t="s">
        <v>3464</v>
      </c>
      <c r="D1618" s="38" t="s">
        <v>1942</v>
      </c>
      <c r="E1618" s="38" t="s">
        <v>3474</v>
      </c>
      <c r="F1618" s="38">
        <v>1442.89</v>
      </c>
      <c r="G1618" s="38">
        <v>1442.89</v>
      </c>
      <c r="H1618" s="38">
        <f t="shared" si="79"/>
        <v>350</v>
      </c>
      <c r="I1618" s="38">
        <v>221</v>
      </c>
      <c r="J1618" s="38">
        <v>129</v>
      </c>
      <c r="K1618" s="38">
        <v>92</v>
      </c>
      <c r="L1618" s="50">
        <f t="shared" si="80"/>
        <v>26.285714285714285</v>
      </c>
      <c r="M1618" s="38">
        <v>3</v>
      </c>
      <c r="N1618" s="50">
        <f t="shared" si="78"/>
        <v>0.85714285714285721</v>
      </c>
      <c r="O1618" s="38">
        <v>0</v>
      </c>
      <c r="P1618" s="38">
        <v>426.09</v>
      </c>
      <c r="Q1618" s="61" t="s">
        <v>43</v>
      </c>
      <c r="R1618" s="17">
        <v>44546</v>
      </c>
      <c r="S1618" s="61"/>
      <c r="T1618" s="61">
        <v>426</v>
      </c>
      <c r="U1618" s="61"/>
      <c r="V1618" s="61"/>
      <c r="W1618" s="61"/>
      <c r="X1618" s="61"/>
      <c r="Y1618" s="61"/>
      <c r="Z1618" s="20"/>
      <c r="AB1618" s="20"/>
      <c r="AC1618" s="11" t="s">
        <v>1942</v>
      </c>
      <c r="AD1618" s="61"/>
      <c r="AE1618" s="61"/>
    </row>
    <row r="1619" spans="1:31" x14ac:dyDescent="0.25">
      <c r="A1619" s="38" t="s">
        <v>36</v>
      </c>
      <c r="B1619" s="38" t="s">
        <v>3157</v>
      </c>
      <c r="C1619" s="38" t="s">
        <v>3464</v>
      </c>
      <c r="D1619" s="38" t="s">
        <v>3475</v>
      </c>
      <c r="E1619" s="38" t="s">
        <v>3476</v>
      </c>
      <c r="F1619" s="38">
        <v>1884.16</v>
      </c>
      <c r="G1619" s="38">
        <v>1884.16</v>
      </c>
      <c r="H1619" s="38">
        <f t="shared" si="79"/>
        <v>1001</v>
      </c>
      <c r="I1619" s="38">
        <v>632</v>
      </c>
      <c r="J1619" s="38">
        <v>369</v>
      </c>
      <c r="K1619" s="38">
        <v>263</v>
      </c>
      <c r="L1619" s="50">
        <f t="shared" si="80"/>
        <v>26.273726273726272</v>
      </c>
      <c r="M1619" s="38">
        <v>0</v>
      </c>
      <c r="N1619" s="50">
        <f t="shared" si="78"/>
        <v>0</v>
      </c>
      <c r="O1619" s="38">
        <v>0</v>
      </c>
      <c r="P1619" s="38">
        <v>611.16</v>
      </c>
      <c r="Q1619" s="61" t="s">
        <v>43</v>
      </c>
      <c r="R1619" s="17">
        <v>44546</v>
      </c>
      <c r="S1619" s="61"/>
      <c r="T1619" s="61">
        <v>611</v>
      </c>
      <c r="U1619" s="61"/>
      <c r="V1619" s="61"/>
      <c r="W1619" s="61"/>
      <c r="X1619" s="61"/>
      <c r="Y1619" s="61"/>
      <c r="Z1619" s="20"/>
      <c r="AB1619" s="20"/>
      <c r="AC1619" s="11" t="s">
        <v>3477</v>
      </c>
      <c r="AD1619" s="61"/>
      <c r="AE1619" s="61"/>
    </row>
    <row r="1620" spans="1:31" x14ac:dyDescent="0.25">
      <c r="A1620" s="38" t="s">
        <v>36</v>
      </c>
      <c r="B1620" s="38" t="s">
        <v>3157</v>
      </c>
      <c r="C1620" s="38" t="s">
        <v>3464</v>
      </c>
      <c r="D1620" s="38" t="s">
        <v>3478</v>
      </c>
      <c r="E1620" s="38" t="s">
        <v>3479</v>
      </c>
      <c r="F1620" s="38">
        <v>1676.27</v>
      </c>
      <c r="G1620" s="38">
        <v>1676.27</v>
      </c>
      <c r="H1620" s="38">
        <f t="shared" si="79"/>
        <v>543</v>
      </c>
      <c r="I1620" s="38">
        <v>343</v>
      </c>
      <c r="J1620" s="38">
        <v>200</v>
      </c>
      <c r="K1620" s="38">
        <v>143</v>
      </c>
      <c r="L1620" s="50">
        <f t="shared" si="80"/>
        <v>26.335174953959484</v>
      </c>
      <c r="M1620" s="38">
        <v>0</v>
      </c>
      <c r="N1620" s="50">
        <f t="shared" si="78"/>
        <v>0</v>
      </c>
      <c r="O1620" s="38">
        <v>68.5</v>
      </c>
      <c r="P1620" s="38">
        <v>369</v>
      </c>
      <c r="Q1620" s="61" t="s">
        <v>43</v>
      </c>
      <c r="R1620" s="17">
        <v>44546</v>
      </c>
      <c r="S1620" s="61"/>
      <c r="T1620" s="61">
        <v>369</v>
      </c>
      <c r="U1620" s="61"/>
      <c r="V1620" s="61"/>
      <c r="W1620" s="61"/>
      <c r="X1620" s="61"/>
      <c r="Y1620" s="61"/>
      <c r="Z1620" s="20"/>
      <c r="AB1620" s="20"/>
      <c r="AC1620" s="11" t="s">
        <v>3480</v>
      </c>
      <c r="AD1620" s="61"/>
      <c r="AE1620" s="61"/>
    </row>
    <row r="1621" spans="1:31" x14ac:dyDescent="0.25">
      <c r="A1621" s="38" t="s">
        <v>36</v>
      </c>
      <c r="B1621" s="38" t="s">
        <v>3157</v>
      </c>
      <c r="C1621" s="38" t="s">
        <v>3481</v>
      </c>
      <c r="D1621" s="38" t="s">
        <v>3482</v>
      </c>
      <c r="E1621" s="38" t="s">
        <v>3483</v>
      </c>
      <c r="F1621" s="38">
        <v>3288</v>
      </c>
      <c r="G1621" s="38">
        <v>3288</v>
      </c>
      <c r="H1621" s="38">
        <f t="shared" si="79"/>
        <v>3035</v>
      </c>
      <c r="I1621" s="38">
        <v>1992</v>
      </c>
      <c r="J1621" s="38">
        <v>1043</v>
      </c>
      <c r="K1621" s="38">
        <v>949</v>
      </c>
      <c r="L1621" s="50">
        <f t="shared" si="80"/>
        <v>31.26853377265239</v>
      </c>
      <c r="M1621" s="38">
        <v>269</v>
      </c>
      <c r="N1621" s="50">
        <f t="shared" si="78"/>
        <v>8.8632619439868208</v>
      </c>
      <c r="O1621" s="38">
        <v>0</v>
      </c>
      <c r="P1621" s="38">
        <v>906</v>
      </c>
      <c r="Q1621" s="34" t="s">
        <v>43</v>
      </c>
      <c r="R1621" s="17">
        <v>44531</v>
      </c>
      <c r="S1621" s="34"/>
      <c r="T1621" s="34">
        <v>906</v>
      </c>
      <c r="U1621" s="34"/>
      <c r="V1621" s="34"/>
      <c r="W1621" s="34"/>
      <c r="X1621" s="34"/>
      <c r="Y1621" s="34"/>
      <c r="Z1621" s="109"/>
      <c r="AB1621" s="109">
        <v>25</v>
      </c>
      <c r="AC1621" s="34" t="s">
        <v>3484</v>
      </c>
      <c r="AD1621" s="34">
        <v>25.863351000000002</v>
      </c>
      <c r="AE1621" s="34">
        <v>70.947744999999998</v>
      </c>
    </row>
    <row r="1622" spans="1:31" x14ac:dyDescent="0.25">
      <c r="A1622" s="38" t="s">
        <v>36</v>
      </c>
      <c r="B1622" s="38" t="s">
        <v>3157</v>
      </c>
      <c r="C1622" s="38" t="s">
        <v>3481</v>
      </c>
      <c r="D1622" s="38" t="s">
        <v>3485</v>
      </c>
      <c r="E1622" s="38" t="s">
        <v>3486</v>
      </c>
      <c r="F1622" s="38">
        <v>571</v>
      </c>
      <c r="G1622" s="38">
        <v>571</v>
      </c>
      <c r="H1622" s="38">
        <f t="shared" si="79"/>
        <v>418</v>
      </c>
      <c r="I1622" s="38">
        <v>273</v>
      </c>
      <c r="J1622" s="38">
        <v>145</v>
      </c>
      <c r="K1622" s="38">
        <v>128</v>
      </c>
      <c r="L1622" s="50">
        <f t="shared" si="80"/>
        <v>30.62200956937799</v>
      </c>
      <c r="M1622" s="38">
        <v>0</v>
      </c>
      <c r="N1622" s="50">
        <f t="shared" ref="N1622:N1685" si="81">M1622/H1622*100</f>
        <v>0</v>
      </c>
      <c r="O1622" s="38">
        <v>0</v>
      </c>
      <c r="P1622" s="38">
        <v>0</v>
      </c>
      <c r="Q1622" s="98" t="s">
        <v>44</v>
      </c>
      <c r="R1622" s="7">
        <v>44531</v>
      </c>
      <c r="S1622" s="99"/>
      <c r="T1622" s="98">
        <v>0</v>
      </c>
      <c r="U1622" s="98"/>
      <c r="V1622" s="98"/>
      <c r="W1622" s="98"/>
      <c r="X1622" s="98"/>
      <c r="Y1622" s="98"/>
      <c r="Z1622" s="20"/>
      <c r="AB1622" s="20"/>
      <c r="AC1622" s="11" t="s">
        <v>3487</v>
      </c>
      <c r="AD1622" s="61"/>
      <c r="AE1622" s="99"/>
    </row>
    <row r="1623" spans="1:31" x14ac:dyDescent="0.25">
      <c r="A1623" s="38" t="s">
        <v>36</v>
      </c>
      <c r="B1623" s="38" t="s">
        <v>3157</v>
      </c>
      <c r="C1623" s="38" t="s">
        <v>3481</v>
      </c>
      <c r="D1623" s="38" t="s">
        <v>3488</v>
      </c>
      <c r="E1623" s="38" t="s">
        <v>3489</v>
      </c>
      <c r="F1623" s="38">
        <v>922</v>
      </c>
      <c r="G1623" s="38">
        <v>922</v>
      </c>
      <c r="H1623" s="38">
        <f t="shared" si="79"/>
        <v>655</v>
      </c>
      <c r="I1623" s="38">
        <v>429</v>
      </c>
      <c r="J1623" s="38">
        <v>226</v>
      </c>
      <c r="K1623" s="38">
        <v>203</v>
      </c>
      <c r="L1623" s="50">
        <f t="shared" si="80"/>
        <v>30.992366412213741</v>
      </c>
      <c r="M1623" s="38">
        <v>52</v>
      </c>
      <c r="N1623" s="50">
        <f t="shared" si="81"/>
        <v>7.9389312977099236</v>
      </c>
      <c r="O1623" s="38">
        <v>0</v>
      </c>
      <c r="P1623" s="38">
        <v>48</v>
      </c>
      <c r="Q1623" s="34" t="s">
        <v>43</v>
      </c>
      <c r="R1623" s="17">
        <v>44531</v>
      </c>
      <c r="S1623" s="34"/>
      <c r="T1623" s="34">
        <v>48</v>
      </c>
      <c r="U1623" s="34"/>
      <c r="V1623" s="34"/>
      <c r="W1623" s="34"/>
      <c r="X1623" s="34"/>
      <c r="Y1623" s="34"/>
      <c r="Z1623" s="109"/>
      <c r="AB1623" s="109"/>
      <c r="AC1623" s="34" t="s">
        <v>3490</v>
      </c>
      <c r="AD1623" s="34">
        <v>25.810676000000001</v>
      </c>
      <c r="AE1623" s="34">
        <v>70.938322999999997</v>
      </c>
    </row>
    <row r="1624" spans="1:31" x14ac:dyDescent="0.25">
      <c r="A1624" s="38" t="s">
        <v>36</v>
      </c>
      <c r="B1624" s="38" t="s">
        <v>3157</v>
      </c>
      <c r="C1624" s="38" t="s">
        <v>3481</v>
      </c>
      <c r="D1624" s="38" t="s">
        <v>3491</v>
      </c>
      <c r="E1624" s="38" t="s">
        <v>3492</v>
      </c>
      <c r="F1624" s="38">
        <v>805</v>
      </c>
      <c r="G1624" s="38">
        <v>805</v>
      </c>
      <c r="H1624" s="38">
        <f t="shared" si="79"/>
        <v>465</v>
      </c>
      <c r="I1624" s="38">
        <v>300</v>
      </c>
      <c r="J1624" s="38">
        <v>165</v>
      </c>
      <c r="K1624" s="38">
        <v>135</v>
      </c>
      <c r="L1624" s="50">
        <f t="shared" si="80"/>
        <v>29.032258064516132</v>
      </c>
      <c r="M1624" s="38">
        <v>0</v>
      </c>
      <c r="N1624" s="50">
        <f t="shared" si="81"/>
        <v>0</v>
      </c>
      <c r="O1624" s="38">
        <v>0</v>
      </c>
      <c r="P1624" s="38">
        <v>11</v>
      </c>
      <c r="Q1624" s="34" t="s">
        <v>43</v>
      </c>
      <c r="R1624" s="17">
        <v>44531</v>
      </c>
      <c r="S1624" s="34"/>
      <c r="T1624" s="34">
        <v>35</v>
      </c>
      <c r="U1624" s="34"/>
      <c r="V1624" s="34"/>
      <c r="W1624" s="34"/>
      <c r="X1624" s="34"/>
      <c r="Y1624" s="34"/>
      <c r="Z1624" s="109"/>
      <c r="AB1624" s="109">
        <v>30</v>
      </c>
      <c r="AC1624" s="34" t="s">
        <v>3493</v>
      </c>
      <c r="AD1624" s="34">
        <v>25.840710999999999</v>
      </c>
      <c r="AE1624" s="34">
        <v>70.933744000000004</v>
      </c>
    </row>
    <row r="1625" spans="1:31" x14ac:dyDescent="0.25">
      <c r="A1625" s="38" t="s">
        <v>36</v>
      </c>
      <c r="B1625" s="38" t="s">
        <v>3157</v>
      </c>
      <c r="C1625" s="38" t="s">
        <v>3481</v>
      </c>
      <c r="D1625" s="38" t="s">
        <v>3494</v>
      </c>
      <c r="E1625" s="38" t="s">
        <v>3495</v>
      </c>
      <c r="F1625" s="38">
        <v>321</v>
      </c>
      <c r="G1625" s="38">
        <v>321</v>
      </c>
      <c r="H1625" s="38">
        <f t="shared" si="79"/>
        <v>116</v>
      </c>
      <c r="I1625" s="38">
        <v>77</v>
      </c>
      <c r="J1625" s="38">
        <v>39</v>
      </c>
      <c r="K1625" s="38">
        <v>38</v>
      </c>
      <c r="L1625" s="50">
        <f t="shared" si="80"/>
        <v>32.758620689655174</v>
      </c>
      <c r="M1625" s="38">
        <v>0</v>
      </c>
      <c r="N1625" s="50">
        <f t="shared" si="81"/>
        <v>0</v>
      </c>
      <c r="O1625" s="38">
        <v>0</v>
      </c>
      <c r="P1625" s="38">
        <v>8</v>
      </c>
      <c r="Q1625" s="61" t="s">
        <v>43</v>
      </c>
      <c r="R1625" s="17">
        <v>44531</v>
      </c>
      <c r="S1625" s="61"/>
      <c r="T1625" s="61">
        <v>0</v>
      </c>
      <c r="U1625" s="61"/>
      <c r="V1625" s="61"/>
      <c r="W1625" s="61"/>
      <c r="X1625" s="61"/>
      <c r="Y1625" s="61"/>
      <c r="Z1625" s="20"/>
      <c r="AB1625" s="20"/>
      <c r="AC1625" s="11" t="s">
        <v>3496</v>
      </c>
      <c r="AD1625" s="61">
        <v>0</v>
      </c>
      <c r="AE1625" s="61"/>
    </row>
    <row r="1626" spans="1:31" x14ac:dyDescent="0.25">
      <c r="A1626" s="38" t="s">
        <v>36</v>
      </c>
      <c r="B1626" s="38" t="s">
        <v>3157</v>
      </c>
      <c r="C1626" s="38" t="s">
        <v>3481</v>
      </c>
      <c r="D1626" s="38" t="s">
        <v>3497</v>
      </c>
      <c r="E1626" s="38" t="s">
        <v>3498</v>
      </c>
      <c r="F1626" s="38">
        <v>3161</v>
      </c>
      <c r="G1626" s="38">
        <v>3161</v>
      </c>
      <c r="H1626" s="38">
        <f t="shared" si="79"/>
        <v>1674</v>
      </c>
      <c r="I1626" s="38">
        <v>1075</v>
      </c>
      <c r="J1626" s="38">
        <v>599</v>
      </c>
      <c r="K1626" s="38">
        <v>476</v>
      </c>
      <c r="L1626" s="50">
        <f t="shared" si="80"/>
        <v>28.43488649940263</v>
      </c>
      <c r="M1626" s="38">
        <v>8</v>
      </c>
      <c r="N1626" s="50">
        <f t="shared" si="81"/>
        <v>0.47789725209080047</v>
      </c>
      <c r="O1626" s="38">
        <v>0</v>
      </c>
      <c r="P1626" s="38">
        <v>479</v>
      </c>
      <c r="Q1626" s="61" t="s">
        <v>43</v>
      </c>
      <c r="R1626" s="17">
        <v>44531</v>
      </c>
      <c r="S1626" s="61"/>
      <c r="T1626" s="61">
        <v>479</v>
      </c>
      <c r="U1626" s="61"/>
      <c r="V1626" s="61"/>
      <c r="W1626" s="61"/>
      <c r="X1626" s="61"/>
      <c r="Y1626" s="61"/>
      <c r="Z1626" s="20"/>
      <c r="AB1626" s="20"/>
      <c r="AC1626" s="11" t="s">
        <v>3499</v>
      </c>
      <c r="AD1626" s="61"/>
      <c r="AE1626" s="61"/>
    </row>
    <row r="1627" spans="1:31" x14ac:dyDescent="0.25">
      <c r="A1627" s="38" t="s">
        <v>36</v>
      </c>
      <c r="B1627" s="38" t="s">
        <v>3157</v>
      </c>
      <c r="C1627" s="38" t="s">
        <v>3481</v>
      </c>
      <c r="D1627" s="38" t="s">
        <v>3500</v>
      </c>
      <c r="E1627" s="38" t="s">
        <v>3501</v>
      </c>
      <c r="F1627" s="38">
        <v>1962</v>
      </c>
      <c r="G1627" s="38">
        <v>1962</v>
      </c>
      <c r="H1627" s="38">
        <f t="shared" si="79"/>
        <v>505</v>
      </c>
      <c r="I1627" s="38">
        <v>322</v>
      </c>
      <c r="J1627" s="38">
        <v>183</v>
      </c>
      <c r="K1627" s="38">
        <v>139</v>
      </c>
      <c r="L1627" s="50">
        <f t="shared" si="80"/>
        <v>27.524752475247528</v>
      </c>
      <c r="M1627" s="38">
        <v>31</v>
      </c>
      <c r="N1627" s="50">
        <f t="shared" si="81"/>
        <v>6.1386138613861387</v>
      </c>
      <c r="O1627" s="38">
        <v>0</v>
      </c>
      <c r="P1627" s="38">
        <v>0</v>
      </c>
      <c r="Q1627" s="61" t="s">
        <v>43</v>
      </c>
      <c r="R1627" s="17">
        <v>44531</v>
      </c>
      <c r="S1627" s="61"/>
      <c r="T1627" s="61">
        <v>0</v>
      </c>
      <c r="U1627" s="61"/>
      <c r="V1627" s="61"/>
      <c r="W1627" s="61"/>
      <c r="X1627" s="61"/>
      <c r="Y1627" s="61"/>
      <c r="Z1627" s="20"/>
      <c r="AB1627" s="20"/>
      <c r="AC1627" s="11" t="s">
        <v>3502</v>
      </c>
      <c r="AD1627" s="61">
        <v>0</v>
      </c>
      <c r="AE1627" s="61"/>
    </row>
    <row r="1628" spans="1:31" x14ac:dyDescent="0.25">
      <c r="A1628" s="38" t="s">
        <v>36</v>
      </c>
      <c r="B1628" s="38" t="s">
        <v>3157</v>
      </c>
      <c r="C1628" s="38" t="s">
        <v>3503</v>
      </c>
      <c r="D1628" s="38" t="s">
        <v>3504</v>
      </c>
      <c r="E1628" s="38" t="s">
        <v>3505</v>
      </c>
      <c r="F1628" s="38">
        <v>7230</v>
      </c>
      <c r="G1628" s="38">
        <v>7230</v>
      </c>
      <c r="H1628" s="38">
        <f t="shared" si="79"/>
        <v>1440</v>
      </c>
      <c r="I1628" s="38">
        <v>905</v>
      </c>
      <c r="J1628" s="38">
        <v>535</v>
      </c>
      <c r="K1628" s="38">
        <v>370</v>
      </c>
      <c r="L1628" s="50">
        <f t="shared" si="80"/>
        <v>25.694444444444443</v>
      </c>
      <c r="M1628" s="38">
        <v>164</v>
      </c>
      <c r="N1628" s="50">
        <f t="shared" si="81"/>
        <v>11.388888888888889</v>
      </c>
      <c r="O1628" s="38">
        <v>0</v>
      </c>
      <c r="P1628" s="38">
        <v>2153</v>
      </c>
      <c r="Q1628" s="34" t="s">
        <v>43</v>
      </c>
      <c r="R1628" s="17">
        <v>44537</v>
      </c>
      <c r="S1628" s="34"/>
      <c r="T1628" s="34">
        <v>2153</v>
      </c>
      <c r="U1628" s="34"/>
      <c r="V1628" s="34"/>
      <c r="W1628" s="34"/>
      <c r="X1628" s="34"/>
      <c r="Y1628" s="34"/>
      <c r="Z1628" s="109"/>
      <c r="AB1628" s="109"/>
      <c r="AC1628" s="34" t="s">
        <v>3506</v>
      </c>
      <c r="AD1628" s="34">
        <v>26.003882000000001</v>
      </c>
      <c r="AE1628" s="34">
        <v>70.770767000000006</v>
      </c>
    </row>
    <row r="1629" spans="1:31" x14ac:dyDescent="0.25">
      <c r="A1629" s="38" t="s">
        <v>36</v>
      </c>
      <c r="B1629" s="38" t="s">
        <v>3157</v>
      </c>
      <c r="C1629" s="38" t="s">
        <v>3503</v>
      </c>
      <c r="D1629" s="38" t="s">
        <v>3507</v>
      </c>
      <c r="E1629" s="38" t="s">
        <v>3508</v>
      </c>
      <c r="F1629" s="38">
        <v>2048.96</v>
      </c>
      <c r="G1629" s="38">
        <v>2048.96</v>
      </c>
      <c r="H1629" s="38">
        <f t="shared" si="79"/>
        <v>511</v>
      </c>
      <c r="I1629" s="38">
        <v>331</v>
      </c>
      <c r="J1629" s="38">
        <v>180</v>
      </c>
      <c r="K1629" s="38">
        <v>151</v>
      </c>
      <c r="L1629" s="50">
        <f t="shared" si="80"/>
        <v>29.549902152641877</v>
      </c>
      <c r="M1629" s="38">
        <v>0</v>
      </c>
      <c r="N1629" s="50">
        <f t="shared" si="81"/>
        <v>0</v>
      </c>
      <c r="O1629" s="38">
        <v>0</v>
      </c>
      <c r="P1629" s="38">
        <v>295.95999999999998</v>
      </c>
      <c r="Q1629" s="34" t="s">
        <v>43</v>
      </c>
      <c r="R1629" s="88">
        <v>44537</v>
      </c>
      <c r="S1629" s="34"/>
      <c r="T1629" s="34">
        <v>296</v>
      </c>
      <c r="U1629" s="34"/>
      <c r="V1629" s="34"/>
      <c r="W1629" s="34"/>
      <c r="X1629" s="34"/>
      <c r="Y1629" s="34"/>
      <c r="Z1629" s="89"/>
      <c r="AB1629" s="89"/>
      <c r="AC1629" s="34" t="s">
        <v>3509</v>
      </c>
      <c r="AD1629" s="34">
        <v>25.83361</v>
      </c>
      <c r="AE1629" s="34">
        <v>70.353070000000002</v>
      </c>
    </row>
    <row r="1630" spans="1:31" x14ac:dyDescent="0.25">
      <c r="A1630" s="38" t="s">
        <v>36</v>
      </c>
      <c r="B1630" s="38" t="s">
        <v>3157</v>
      </c>
      <c r="C1630" s="38" t="s">
        <v>3503</v>
      </c>
      <c r="D1630" s="38" t="s">
        <v>3510</v>
      </c>
      <c r="E1630" s="38" t="s">
        <v>3511</v>
      </c>
      <c r="F1630" s="38">
        <v>3038.93</v>
      </c>
      <c r="G1630" s="38">
        <v>3038.93</v>
      </c>
      <c r="H1630" s="38">
        <f t="shared" si="79"/>
        <v>794</v>
      </c>
      <c r="I1630" s="38">
        <v>505</v>
      </c>
      <c r="J1630" s="38">
        <v>289</v>
      </c>
      <c r="K1630" s="38">
        <v>216</v>
      </c>
      <c r="L1630" s="50">
        <f t="shared" si="80"/>
        <v>27.204030226700255</v>
      </c>
      <c r="M1630" s="38">
        <v>47</v>
      </c>
      <c r="N1630" s="50">
        <f t="shared" si="81"/>
        <v>5.9193954659949624</v>
      </c>
      <c r="O1630" s="38">
        <v>0</v>
      </c>
      <c r="P1630" s="38">
        <v>433.99</v>
      </c>
      <c r="Q1630" s="34" t="s">
        <v>43</v>
      </c>
      <c r="R1630" s="88">
        <v>44537</v>
      </c>
      <c r="S1630" s="34"/>
      <c r="T1630" s="34">
        <v>434</v>
      </c>
      <c r="U1630" s="34"/>
      <c r="V1630" s="34"/>
      <c r="W1630" s="34"/>
      <c r="X1630" s="34"/>
      <c r="Y1630" s="34"/>
      <c r="Z1630" s="89"/>
      <c r="AB1630" s="89"/>
      <c r="AC1630" s="34" t="s">
        <v>3512</v>
      </c>
      <c r="AD1630" s="34">
        <v>25.834651000000001</v>
      </c>
      <c r="AE1630" s="34">
        <v>70.354675999999998</v>
      </c>
    </row>
    <row r="1631" spans="1:31" x14ac:dyDescent="0.25">
      <c r="A1631" s="38" t="s">
        <v>36</v>
      </c>
      <c r="B1631" s="38" t="s">
        <v>3157</v>
      </c>
      <c r="C1631" s="38" t="s">
        <v>3503</v>
      </c>
      <c r="D1631" s="38" t="s">
        <v>3513</v>
      </c>
      <c r="E1631" s="38" t="s">
        <v>3514</v>
      </c>
      <c r="F1631" s="38">
        <v>1298.73</v>
      </c>
      <c r="G1631" s="38">
        <v>1298.73</v>
      </c>
      <c r="H1631" s="38">
        <f t="shared" si="79"/>
        <v>820</v>
      </c>
      <c r="I1631" s="38">
        <v>550</v>
      </c>
      <c r="J1631" s="38">
        <v>270</v>
      </c>
      <c r="K1631" s="38">
        <v>280</v>
      </c>
      <c r="L1631" s="50">
        <f t="shared" si="80"/>
        <v>34.146341463414636</v>
      </c>
      <c r="M1631" s="38">
        <v>2</v>
      </c>
      <c r="N1631" s="50">
        <f t="shared" si="81"/>
        <v>0.24390243902439024</v>
      </c>
      <c r="O1631" s="38">
        <v>0</v>
      </c>
      <c r="P1631" s="38">
        <v>232.07</v>
      </c>
      <c r="Q1631" s="34" t="s">
        <v>43</v>
      </c>
      <c r="R1631" s="17">
        <v>44537</v>
      </c>
      <c r="S1631" s="34"/>
      <c r="T1631" s="34">
        <v>232</v>
      </c>
      <c r="U1631" s="34"/>
      <c r="V1631" s="34"/>
      <c r="W1631" s="34"/>
      <c r="X1631" s="34"/>
      <c r="Y1631" s="34"/>
      <c r="Z1631" s="89"/>
      <c r="AB1631" s="89"/>
      <c r="AC1631" s="34" t="s">
        <v>3515</v>
      </c>
      <c r="AD1631" s="34">
        <v>25.795569</v>
      </c>
      <c r="AE1631" s="34">
        <v>70.385828000000004</v>
      </c>
    </row>
    <row r="1632" spans="1:31" x14ac:dyDescent="0.25">
      <c r="A1632" s="38" t="s">
        <v>36</v>
      </c>
      <c r="B1632" s="38" t="s">
        <v>3157</v>
      </c>
      <c r="C1632" s="38" t="s">
        <v>3516</v>
      </c>
      <c r="D1632" s="38" t="s">
        <v>3517</v>
      </c>
      <c r="E1632" s="38" t="s">
        <v>3518</v>
      </c>
      <c r="F1632" s="38">
        <v>8577</v>
      </c>
      <c r="G1632" s="38">
        <v>8577</v>
      </c>
      <c r="H1632" s="38">
        <f t="shared" si="79"/>
        <v>1180</v>
      </c>
      <c r="I1632" s="38">
        <v>749</v>
      </c>
      <c r="J1632" s="38">
        <v>431</v>
      </c>
      <c r="K1632" s="38">
        <v>318</v>
      </c>
      <c r="L1632" s="50">
        <f t="shared" si="80"/>
        <v>26.949152542372882</v>
      </c>
      <c r="M1632" s="38">
        <v>64</v>
      </c>
      <c r="N1632" s="50">
        <f t="shared" si="81"/>
        <v>5.4237288135593218</v>
      </c>
      <c r="O1632" s="38">
        <v>167</v>
      </c>
      <c r="P1632" s="38">
        <v>3383</v>
      </c>
      <c r="Q1632" s="34" t="s">
        <v>43</v>
      </c>
      <c r="R1632" s="17">
        <v>44551</v>
      </c>
      <c r="S1632" s="34"/>
      <c r="T1632" s="34">
        <v>3383</v>
      </c>
      <c r="U1632" s="34"/>
      <c r="V1632" s="34"/>
      <c r="W1632" s="34"/>
      <c r="X1632" s="34"/>
      <c r="Y1632" s="34"/>
      <c r="Z1632" s="89"/>
      <c r="AB1632" s="89"/>
      <c r="AC1632" s="34" t="s">
        <v>3519</v>
      </c>
      <c r="AD1632" s="34">
        <v>25.878015999999999</v>
      </c>
      <c r="AE1632" s="34">
        <v>70.180738000000005</v>
      </c>
    </row>
    <row r="1633" spans="1:31" x14ac:dyDescent="0.25">
      <c r="A1633" s="38" t="s">
        <v>36</v>
      </c>
      <c r="B1633" s="38" t="s">
        <v>3157</v>
      </c>
      <c r="C1633" s="38" t="s">
        <v>3516</v>
      </c>
      <c r="D1633" s="38" t="s">
        <v>3520</v>
      </c>
      <c r="E1633" s="38" t="s">
        <v>3521</v>
      </c>
      <c r="F1633" s="38">
        <v>2986</v>
      </c>
      <c r="G1633" s="38">
        <v>2986</v>
      </c>
      <c r="H1633" s="38">
        <f t="shared" si="79"/>
        <v>409</v>
      </c>
      <c r="I1633" s="38">
        <v>262</v>
      </c>
      <c r="J1633" s="38">
        <v>147</v>
      </c>
      <c r="K1633" s="38">
        <v>115</v>
      </c>
      <c r="L1633" s="50">
        <f t="shared" si="80"/>
        <v>28.117359413202937</v>
      </c>
      <c r="M1633" s="38">
        <v>94</v>
      </c>
      <c r="N1633" s="50">
        <f t="shared" si="81"/>
        <v>22.982885085574573</v>
      </c>
      <c r="O1633" s="38">
        <v>0</v>
      </c>
      <c r="P1633" s="38">
        <v>1355</v>
      </c>
      <c r="Q1633" s="61" t="s">
        <v>43</v>
      </c>
      <c r="R1633" s="17">
        <v>44551</v>
      </c>
      <c r="S1633" s="61"/>
      <c r="T1633" s="61">
        <v>1355</v>
      </c>
      <c r="U1633" s="61"/>
      <c r="V1633" s="61"/>
      <c r="W1633" s="61"/>
      <c r="X1633" s="61"/>
      <c r="Y1633" s="61"/>
      <c r="Z1633" s="20"/>
      <c r="AB1633" s="20"/>
      <c r="AC1633" s="11" t="s">
        <v>3520</v>
      </c>
      <c r="AD1633" s="61"/>
      <c r="AE1633" s="61"/>
    </row>
    <row r="1634" spans="1:31" x14ac:dyDescent="0.25">
      <c r="A1634" s="38" t="s">
        <v>36</v>
      </c>
      <c r="B1634" s="38" t="s">
        <v>3157</v>
      </c>
      <c r="C1634" s="38" t="s">
        <v>3516</v>
      </c>
      <c r="D1634" s="38" t="s">
        <v>3522</v>
      </c>
      <c r="E1634" s="38" t="s">
        <v>3523</v>
      </c>
      <c r="F1634" s="38">
        <v>13829</v>
      </c>
      <c r="G1634" s="38">
        <v>13829</v>
      </c>
      <c r="H1634" s="38">
        <f t="shared" si="79"/>
        <v>451</v>
      </c>
      <c r="I1634" s="38">
        <v>274</v>
      </c>
      <c r="J1634" s="38">
        <v>177</v>
      </c>
      <c r="K1634" s="38">
        <v>97</v>
      </c>
      <c r="L1634" s="50">
        <f t="shared" si="80"/>
        <v>21.507760532150776</v>
      </c>
      <c r="M1634" s="38">
        <v>8</v>
      </c>
      <c r="N1634" s="50">
        <f t="shared" si="81"/>
        <v>1.7738359201773837</v>
      </c>
      <c r="O1634" s="38">
        <v>230</v>
      </c>
      <c r="P1634" s="38">
        <v>7082</v>
      </c>
      <c r="Q1634" s="34" t="s">
        <v>43</v>
      </c>
      <c r="R1634" s="17">
        <v>44551</v>
      </c>
      <c r="S1634" s="34"/>
      <c r="T1634" s="34">
        <v>7082</v>
      </c>
      <c r="U1634" s="34"/>
      <c r="V1634" s="34"/>
      <c r="W1634" s="34"/>
      <c r="X1634" s="34"/>
      <c r="Y1634" s="34"/>
      <c r="Z1634" s="89"/>
      <c r="AB1634" s="89"/>
      <c r="AC1634" s="34" t="s">
        <v>3524</v>
      </c>
      <c r="AD1634" s="34">
        <v>25.928156000000001</v>
      </c>
      <c r="AE1634" s="34">
        <v>70.232714999999999</v>
      </c>
    </row>
    <row r="1635" spans="1:31" x14ac:dyDescent="0.25">
      <c r="A1635" s="38" t="s">
        <v>36</v>
      </c>
      <c r="B1635" s="38" t="s">
        <v>3157</v>
      </c>
      <c r="C1635" s="38" t="s">
        <v>3516</v>
      </c>
      <c r="D1635" s="38" t="s">
        <v>3525</v>
      </c>
      <c r="E1635" s="38" t="s">
        <v>3526</v>
      </c>
      <c r="F1635" s="38">
        <v>4550</v>
      </c>
      <c r="G1635" s="38">
        <v>4550</v>
      </c>
      <c r="H1635" s="38">
        <f t="shared" si="79"/>
        <v>976</v>
      </c>
      <c r="I1635" s="38">
        <v>645</v>
      </c>
      <c r="J1635" s="38">
        <v>331</v>
      </c>
      <c r="K1635" s="38">
        <v>314</v>
      </c>
      <c r="L1635" s="50">
        <f t="shared" si="80"/>
        <v>32.172131147540981</v>
      </c>
      <c r="M1635" s="38">
        <v>133</v>
      </c>
      <c r="N1635" s="50">
        <f t="shared" si="81"/>
        <v>13.627049180327869</v>
      </c>
      <c r="O1635" s="38">
        <v>0</v>
      </c>
      <c r="P1635" s="38">
        <v>1006</v>
      </c>
      <c r="Q1635" s="61" t="s">
        <v>43</v>
      </c>
      <c r="R1635" s="17">
        <v>44551</v>
      </c>
      <c r="S1635" s="61"/>
      <c r="T1635" s="61">
        <v>1006</v>
      </c>
      <c r="U1635" s="61"/>
      <c r="V1635" s="61"/>
      <c r="W1635" s="61"/>
      <c r="X1635" s="61"/>
      <c r="Y1635" s="61"/>
      <c r="Z1635" s="20"/>
      <c r="AB1635" s="20"/>
      <c r="AC1635" s="11" t="s">
        <v>3525</v>
      </c>
      <c r="AD1635" s="61"/>
      <c r="AE1635" s="61"/>
    </row>
    <row r="1636" spans="1:31" x14ac:dyDescent="0.25">
      <c r="A1636" s="38" t="s">
        <v>36</v>
      </c>
      <c r="B1636" s="38" t="s">
        <v>3157</v>
      </c>
      <c r="C1636" s="38" t="s">
        <v>3527</v>
      </c>
      <c r="D1636" s="38" t="s">
        <v>3528</v>
      </c>
      <c r="E1636" s="38" t="s">
        <v>3529</v>
      </c>
      <c r="F1636" s="38">
        <v>1178.3800000000001</v>
      </c>
      <c r="G1636" s="38">
        <v>1178.3800000000001</v>
      </c>
      <c r="H1636" s="38">
        <f t="shared" si="79"/>
        <v>1850</v>
      </c>
      <c r="I1636" s="38">
        <v>1216</v>
      </c>
      <c r="J1636" s="38">
        <v>634</v>
      </c>
      <c r="K1636" s="38">
        <v>582</v>
      </c>
      <c r="L1636" s="50">
        <f t="shared" si="80"/>
        <v>31.45945945945946</v>
      </c>
      <c r="M1636" s="38">
        <v>280</v>
      </c>
      <c r="N1636" s="50">
        <f t="shared" si="81"/>
        <v>15.135135135135137</v>
      </c>
      <c r="O1636" s="38">
        <v>0</v>
      </c>
      <c r="P1636" s="38">
        <v>443.13</v>
      </c>
      <c r="Q1636" s="61" t="s">
        <v>43</v>
      </c>
      <c r="R1636" s="17">
        <v>44547</v>
      </c>
      <c r="S1636" s="61"/>
      <c r="T1636" s="61">
        <v>443</v>
      </c>
      <c r="U1636" s="61"/>
      <c r="V1636" s="61"/>
      <c r="W1636" s="61"/>
      <c r="X1636" s="61"/>
      <c r="Y1636" s="61"/>
      <c r="Z1636" s="20"/>
      <c r="AB1636" s="20"/>
      <c r="AC1636" s="11" t="s">
        <v>3530</v>
      </c>
      <c r="AD1636" s="61"/>
      <c r="AE1636" s="61"/>
    </row>
    <row r="1637" spans="1:31" x14ac:dyDescent="0.25">
      <c r="A1637" s="38" t="s">
        <v>36</v>
      </c>
      <c r="B1637" s="38" t="s">
        <v>3157</v>
      </c>
      <c r="C1637" s="38" t="s">
        <v>3527</v>
      </c>
      <c r="D1637" s="38" t="s">
        <v>3531</v>
      </c>
      <c r="E1637" s="38" t="s">
        <v>3532</v>
      </c>
      <c r="F1637" s="38">
        <v>1662.22</v>
      </c>
      <c r="G1637" s="38">
        <v>1662.22</v>
      </c>
      <c r="H1637" s="38">
        <f t="shared" si="79"/>
        <v>514</v>
      </c>
      <c r="I1637" s="38">
        <v>333</v>
      </c>
      <c r="J1637" s="38">
        <v>181</v>
      </c>
      <c r="K1637" s="38">
        <v>152</v>
      </c>
      <c r="L1637" s="50">
        <f t="shared" si="80"/>
        <v>29.571984435797667</v>
      </c>
      <c r="M1637" s="38">
        <v>0</v>
      </c>
      <c r="N1637" s="50">
        <f t="shared" si="81"/>
        <v>0</v>
      </c>
      <c r="O1637" s="38">
        <v>0</v>
      </c>
      <c r="P1637" s="38">
        <v>73.239999999999995</v>
      </c>
      <c r="Q1637" s="61" t="s">
        <v>43</v>
      </c>
      <c r="R1637" s="17">
        <v>44547</v>
      </c>
      <c r="S1637" s="61"/>
      <c r="T1637" s="61">
        <v>73</v>
      </c>
      <c r="U1637" s="61"/>
      <c r="V1637" s="61"/>
      <c r="W1637" s="61"/>
      <c r="X1637" s="61"/>
      <c r="Y1637" s="61"/>
      <c r="Z1637" s="20"/>
      <c r="AB1637" s="20"/>
      <c r="AC1637" s="11" t="s">
        <v>3533</v>
      </c>
      <c r="AD1637" s="61"/>
      <c r="AE1637" s="61"/>
    </row>
    <row r="1638" spans="1:31" x14ac:dyDescent="0.25">
      <c r="A1638" s="38" t="s">
        <v>36</v>
      </c>
      <c r="B1638" s="38" t="s">
        <v>3157</v>
      </c>
      <c r="C1638" s="38" t="s">
        <v>3527</v>
      </c>
      <c r="D1638" s="38" t="s">
        <v>3534</v>
      </c>
      <c r="E1638" s="38" t="s">
        <v>3535</v>
      </c>
      <c r="F1638" s="38">
        <v>566.46</v>
      </c>
      <c r="G1638" s="38">
        <v>566.46</v>
      </c>
      <c r="H1638" s="38">
        <f t="shared" si="79"/>
        <v>300</v>
      </c>
      <c r="I1638" s="38">
        <v>198</v>
      </c>
      <c r="J1638" s="38">
        <v>102</v>
      </c>
      <c r="K1638" s="38">
        <v>96</v>
      </c>
      <c r="L1638" s="50">
        <f t="shared" si="80"/>
        <v>32</v>
      </c>
      <c r="M1638" s="38">
        <v>0</v>
      </c>
      <c r="N1638" s="50">
        <f t="shared" si="81"/>
        <v>0</v>
      </c>
      <c r="O1638" s="38">
        <v>0</v>
      </c>
      <c r="P1638" s="38">
        <v>0</v>
      </c>
      <c r="Q1638" s="61" t="s">
        <v>43</v>
      </c>
      <c r="R1638" s="17">
        <v>44547</v>
      </c>
      <c r="S1638" s="61"/>
      <c r="T1638" s="61">
        <v>0</v>
      </c>
      <c r="U1638" s="61"/>
      <c r="V1638" s="61"/>
      <c r="W1638" s="61"/>
      <c r="X1638" s="61"/>
      <c r="Y1638" s="61"/>
      <c r="Z1638" s="20"/>
      <c r="AB1638" s="20"/>
      <c r="AC1638" s="11" t="s">
        <v>3534</v>
      </c>
      <c r="AD1638" s="61">
        <v>0</v>
      </c>
      <c r="AE1638" s="61"/>
    </row>
    <row r="1639" spans="1:31" x14ac:dyDescent="0.25">
      <c r="A1639" s="38" t="s">
        <v>36</v>
      </c>
      <c r="B1639" s="38" t="s">
        <v>3157</v>
      </c>
      <c r="C1639" s="38" t="s">
        <v>3527</v>
      </c>
      <c r="D1639" s="38" t="s">
        <v>3536</v>
      </c>
      <c r="E1639" s="38" t="s">
        <v>3537</v>
      </c>
      <c r="F1639" s="38">
        <v>718.76</v>
      </c>
      <c r="G1639" s="38">
        <v>718.76</v>
      </c>
      <c r="H1639" s="38">
        <f t="shared" si="79"/>
        <v>236</v>
      </c>
      <c r="I1639" s="38">
        <v>158</v>
      </c>
      <c r="J1639" s="38">
        <v>78</v>
      </c>
      <c r="K1639" s="38">
        <v>80</v>
      </c>
      <c r="L1639" s="50">
        <f t="shared" si="80"/>
        <v>33.898305084745758</v>
      </c>
      <c r="M1639" s="38">
        <v>12</v>
      </c>
      <c r="N1639" s="50">
        <f t="shared" si="81"/>
        <v>5.0847457627118651</v>
      </c>
      <c r="O1639" s="38">
        <v>0</v>
      </c>
      <c r="P1639" s="38">
        <v>132.4</v>
      </c>
      <c r="Q1639" s="61" t="s">
        <v>43</v>
      </c>
      <c r="R1639" s="17">
        <v>44547</v>
      </c>
      <c r="S1639" s="61"/>
      <c r="T1639" s="61">
        <v>132</v>
      </c>
      <c r="U1639" s="61"/>
      <c r="V1639" s="61"/>
      <c r="W1639" s="61"/>
      <c r="X1639" s="61"/>
      <c r="Y1639" s="61"/>
      <c r="Z1639" s="20"/>
      <c r="AB1639" s="20"/>
      <c r="AC1639" s="11" t="s">
        <v>3538</v>
      </c>
      <c r="AD1639" s="61"/>
      <c r="AE1639" s="61"/>
    </row>
    <row r="1640" spans="1:31" x14ac:dyDescent="0.25">
      <c r="A1640" s="38" t="s">
        <v>36</v>
      </c>
      <c r="B1640" s="38" t="s">
        <v>3157</v>
      </c>
      <c r="C1640" s="38" t="s">
        <v>3527</v>
      </c>
      <c r="D1640" s="38" t="s">
        <v>3539</v>
      </c>
      <c r="E1640" s="38" t="s">
        <v>3540</v>
      </c>
      <c r="F1640" s="38">
        <v>1151.56</v>
      </c>
      <c r="G1640" s="38">
        <v>1151.56</v>
      </c>
      <c r="H1640" s="38">
        <f t="shared" si="79"/>
        <v>752</v>
      </c>
      <c r="I1640" s="38">
        <v>497</v>
      </c>
      <c r="J1640" s="38">
        <v>255</v>
      </c>
      <c r="K1640" s="38">
        <v>242</v>
      </c>
      <c r="L1640" s="50">
        <f t="shared" si="80"/>
        <v>32.180851063829785</v>
      </c>
      <c r="M1640" s="38">
        <v>0</v>
      </c>
      <c r="N1640" s="50">
        <f t="shared" si="81"/>
        <v>0</v>
      </c>
      <c r="O1640" s="38">
        <v>0</v>
      </c>
      <c r="P1640" s="38">
        <v>383.22</v>
      </c>
      <c r="Q1640" s="61" t="s">
        <v>43</v>
      </c>
      <c r="R1640" s="17">
        <v>44547</v>
      </c>
      <c r="S1640" s="61"/>
      <c r="T1640" s="61">
        <v>384</v>
      </c>
      <c r="U1640" s="61"/>
      <c r="V1640" s="61"/>
      <c r="W1640" s="61"/>
      <c r="X1640" s="61"/>
      <c r="Y1640" s="61"/>
      <c r="Z1640" s="20"/>
      <c r="AB1640" s="20"/>
      <c r="AC1640" s="11" t="s">
        <v>3541</v>
      </c>
      <c r="AD1640" s="61"/>
      <c r="AE1640" s="61"/>
    </row>
    <row r="1641" spans="1:31" x14ac:dyDescent="0.25">
      <c r="A1641" s="38" t="s">
        <v>36</v>
      </c>
      <c r="B1641" s="38" t="s">
        <v>3157</v>
      </c>
      <c r="C1641" s="38" t="s">
        <v>3527</v>
      </c>
      <c r="D1641" s="38" t="s">
        <v>3542</v>
      </c>
      <c r="E1641" s="38" t="s">
        <v>3543</v>
      </c>
      <c r="F1641" s="38">
        <v>1517.44</v>
      </c>
      <c r="G1641" s="38">
        <v>1517.44</v>
      </c>
      <c r="H1641" s="38">
        <f t="shared" si="79"/>
        <v>881</v>
      </c>
      <c r="I1641" s="38">
        <v>587</v>
      </c>
      <c r="J1641" s="38">
        <v>294</v>
      </c>
      <c r="K1641" s="38">
        <v>293</v>
      </c>
      <c r="L1641" s="50">
        <f t="shared" si="80"/>
        <v>33.257661748013625</v>
      </c>
      <c r="M1641" s="38">
        <v>29</v>
      </c>
      <c r="N1641" s="50">
        <f t="shared" si="81"/>
        <v>3.2917139614074915</v>
      </c>
      <c r="O1641" s="38">
        <v>0</v>
      </c>
      <c r="P1641" s="38">
        <v>223.22</v>
      </c>
      <c r="Q1641" s="61" t="s">
        <v>43</v>
      </c>
      <c r="R1641" s="17">
        <v>44547</v>
      </c>
      <c r="S1641" s="61"/>
      <c r="T1641" s="61">
        <v>223</v>
      </c>
      <c r="U1641" s="61"/>
      <c r="V1641" s="61"/>
      <c r="W1641" s="61"/>
      <c r="X1641" s="61"/>
      <c r="Y1641" s="61"/>
      <c r="Z1641" s="20"/>
      <c r="AB1641" s="20"/>
      <c r="AC1641" s="11" t="s">
        <v>3542</v>
      </c>
      <c r="AD1641" s="61"/>
      <c r="AE1641" s="61"/>
    </row>
    <row r="1642" spans="1:31" x14ac:dyDescent="0.25">
      <c r="A1642" s="38" t="s">
        <v>36</v>
      </c>
      <c r="B1642" s="190" t="s">
        <v>3157</v>
      </c>
      <c r="C1642" s="190" t="s">
        <v>3544</v>
      </c>
      <c r="D1642" s="190" t="s">
        <v>3545</v>
      </c>
      <c r="E1642" s="190" t="s">
        <v>3546</v>
      </c>
      <c r="F1642" s="190">
        <v>8922</v>
      </c>
      <c r="G1642" s="190">
        <v>8922</v>
      </c>
      <c r="H1642" s="38">
        <f t="shared" si="79"/>
        <v>1131</v>
      </c>
      <c r="I1642" s="190">
        <v>719</v>
      </c>
      <c r="J1642" s="190">
        <v>412</v>
      </c>
      <c r="K1642" s="190">
        <v>307</v>
      </c>
      <c r="L1642" s="50">
        <f t="shared" si="80"/>
        <v>27.144120247568527</v>
      </c>
      <c r="M1642" s="190">
        <v>78</v>
      </c>
      <c r="N1642" s="50">
        <f t="shared" si="81"/>
        <v>6.8965517241379306</v>
      </c>
      <c r="O1642" s="190">
        <v>0</v>
      </c>
      <c r="P1642" s="190">
        <v>5054</v>
      </c>
      <c r="Q1642" s="78" t="s">
        <v>43</v>
      </c>
      <c r="R1642" s="17">
        <v>44552</v>
      </c>
      <c r="S1642" s="78"/>
      <c r="T1642" s="78">
        <v>5054</v>
      </c>
      <c r="U1642" s="78"/>
      <c r="V1642" s="78"/>
      <c r="W1642" s="78"/>
      <c r="X1642" s="78"/>
      <c r="Y1642" s="78"/>
      <c r="Z1642" s="191"/>
      <c r="AB1642" s="191"/>
      <c r="AC1642" s="78" t="s">
        <v>3547</v>
      </c>
      <c r="AD1642" s="78">
        <v>26.083780999999998</v>
      </c>
      <c r="AE1642" s="78">
        <v>70.206052999999997</v>
      </c>
    </row>
    <row r="1643" spans="1:31" x14ac:dyDescent="0.25">
      <c r="A1643" s="38" t="s">
        <v>36</v>
      </c>
      <c r="B1643" s="190" t="s">
        <v>3157</v>
      </c>
      <c r="C1643" s="190" t="s">
        <v>3544</v>
      </c>
      <c r="D1643" s="190" t="s">
        <v>2051</v>
      </c>
      <c r="E1643" s="190" t="s">
        <v>3548</v>
      </c>
      <c r="F1643" s="190">
        <v>23146</v>
      </c>
      <c r="G1643" s="190">
        <v>23146</v>
      </c>
      <c r="H1643" s="38">
        <f t="shared" si="79"/>
        <v>639</v>
      </c>
      <c r="I1643" s="190">
        <v>401</v>
      </c>
      <c r="J1643" s="190">
        <v>238</v>
      </c>
      <c r="K1643" s="190">
        <v>163</v>
      </c>
      <c r="L1643" s="50">
        <f t="shared" si="80"/>
        <v>25.508607198748045</v>
      </c>
      <c r="M1643" s="190">
        <v>32</v>
      </c>
      <c r="N1643" s="50">
        <f t="shared" si="81"/>
        <v>5.0078247261345856</v>
      </c>
      <c r="O1643" s="190">
        <v>67</v>
      </c>
      <c r="P1643" s="190">
        <v>18456</v>
      </c>
      <c r="Q1643" s="78" t="s">
        <v>43</v>
      </c>
      <c r="R1643" s="17">
        <v>44552</v>
      </c>
      <c r="S1643" s="78"/>
      <c r="T1643" s="78">
        <v>18456</v>
      </c>
      <c r="U1643" s="78"/>
      <c r="V1643" s="78"/>
      <c r="W1643" s="78"/>
      <c r="X1643" s="78"/>
      <c r="Y1643" s="78"/>
      <c r="Z1643" s="191"/>
      <c r="AB1643" s="191"/>
      <c r="AC1643" s="78" t="s">
        <v>3549</v>
      </c>
      <c r="AD1643" s="78">
        <v>26.027443000000002</v>
      </c>
      <c r="AE1643" s="78">
        <v>70.166909000000004</v>
      </c>
    </row>
    <row r="1644" spans="1:31" x14ac:dyDescent="0.25">
      <c r="A1644" s="38" t="s">
        <v>36</v>
      </c>
      <c r="B1644" s="38" t="s">
        <v>3157</v>
      </c>
      <c r="C1644" s="38" t="s">
        <v>3544</v>
      </c>
      <c r="D1644" s="38" t="s">
        <v>3550</v>
      </c>
      <c r="E1644" s="38" t="s">
        <v>3551</v>
      </c>
      <c r="F1644" s="38">
        <v>5014</v>
      </c>
      <c r="G1644" s="38">
        <v>5014</v>
      </c>
      <c r="H1644" s="38">
        <f t="shared" si="79"/>
        <v>1046</v>
      </c>
      <c r="I1644" s="38">
        <v>673</v>
      </c>
      <c r="J1644" s="38">
        <v>373</v>
      </c>
      <c r="K1644" s="38">
        <v>300</v>
      </c>
      <c r="L1644" s="50">
        <f t="shared" si="80"/>
        <v>28.680688336520078</v>
      </c>
      <c r="M1644" s="38">
        <v>213</v>
      </c>
      <c r="N1644" s="50">
        <f t="shared" si="81"/>
        <v>20.363288718929255</v>
      </c>
      <c r="O1644" s="38">
        <v>0</v>
      </c>
      <c r="P1644" s="38">
        <v>1617</v>
      </c>
      <c r="Q1644" s="61" t="s">
        <v>43</v>
      </c>
      <c r="R1644" s="17">
        <v>44552</v>
      </c>
      <c r="S1644" s="61"/>
      <c r="T1644" s="61">
        <v>1617</v>
      </c>
      <c r="U1644" s="61"/>
      <c r="V1644" s="61"/>
      <c r="W1644" s="61"/>
      <c r="X1644" s="61"/>
      <c r="Y1644" s="61"/>
      <c r="Z1644" s="20"/>
      <c r="AB1644" s="20"/>
      <c r="AC1644" s="11" t="s">
        <v>3552</v>
      </c>
      <c r="AD1644" s="61"/>
      <c r="AE1644" s="61"/>
    </row>
    <row r="1645" spans="1:31" x14ac:dyDescent="0.25">
      <c r="A1645" s="38" t="s">
        <v>36</v>
      </c>
      <c r="B1645" s="38" t="s">
        <v>3157</v>
      </c>
      <c r="C1645" s="38" t="s">
        <v>3544</v>
      </c>
      <c r="D1645" s="38" t="s">
        <v>3553</v>
      </c>
      <c r="E1645" s="38" t="s">
        <v>3554</v>
      </c>
      <c r="F1645" s="38">
        <v>4677</v>
      </c>
      <c r="G1645" s="38">
        <v>4677</v>
      </c>
      <c r="H1645" s="38">
        <f t="shared" si="79"/>
        <v>735</v>
      </c>
      <c r="I1645" s="38">
        <v>478</v>
      </c>
      <c r="J1645" s="38">
        <v>257</v>
      </c>
      <c r="K1645" s="38">
        <v>221</v>
      </c>
      <c r="L1645" s="50">
        <f t="shared" si="80"/>
        <v>30.068027210884352</v>
      </c>
      <c r="M1645" s="38">
        <v>93</v>
      </c>
      <c r="N1645" s="50">
        <f t="shared" si="81"/>
        <v>12.653061224489795</v>
      </c>
      <c r="O1645" s="38">
        <v>0</v>
      </c>
      <c r="P1645" s="38">
        <v>616</v>
      </c>
      <c r="Q1645" s="61" t="s">
        <v>43</v>
      </c>
      <c r="R1645" s="17">
        <v>44552</v>
      </c>
      <c r="S1645" s="61"/>
      <c r="T1645" s="61">
        <v>616</v>
      </c>
      <c r="U1645" s="61"/>
      <c r="V1645" s="61"/>
      <c r="W1645" s="61"/>
      <c r="X1645" s="61"/>
      <c r="Y1645" s="61"/>
      <c r="Z1645" s="20"/>
      <c r="AB1645" s="20"/>
      <c r="AC1645" s="11" t="s">
        <v>3555</v>
      </c>
      <c r="AD1645" s="61"/>
      <c r="AE1645" s="61"/>
    </row>
    <row r="1646" spans="1:31" x14ac:dyDescent="0.25">
      <c r="A1646" s="38" t="s">
        <v>36</v>
      </c>
      <c r="B1646" s="38" t="s">
        <v>3157</v>
      </c>
      <c r="C1646" s="38" t="s">
        <v>3556</v>
      </c>
      <c r="D1646" s="38" t="s">
        <v>3557</v>
      </c>
      <c r="E1646" s="38" t="s">
        <v>3558</v>
      </c>
      <c r="F1646" s="38"/>
      <c r="G1646" s="38"/>
      <c r="H1646" s="38">
        <f t="shared" si="79"/>
        <v>0</v>
      </c>
      <c r="I1646" s="38"/>
      <c r="J1646" s="38"/>
      <c r="K1646" s="38"/>
      <c r="L1646" s="50"/>
      <c r="M1646" s="38"/>
      <c r="N1646" s="50"/>
      <c r="O1646" s="38">
        <v>0</v>
      </c>
      <c r="P1646" s="38">
        <v>411.06</v>
      </c>
      <c r="Q1646" s="61" t="s">
        <v>43</v>
      </c>
      <c r="R1646" s="17">
        <v>44522</v>
      </c>
      <c r="S1646" s="61"/>
      <c r="T1646" s="61">
        <v>411</v>
      </c>
      <c r="U1646" s="61"/>
      <c r="V1646" s="61"/>
      <c r="W1646" s="61"/>
      <c r="X1646" s="61"/>
      <c r="Y1646" s="61"/>
      <c r="Z1646" s="20"/>
      <c r="AB1646" s="20"/>
      <c r="AC1646" s="11" t="s">
        <v>3557</v>
      </c>
      <c r="AD1646" s="61"/>
      <c r="AE1646" s="61"/>
    </row>
    <row r="1647" spans="1:31" x14ac:dyDescent="0.25">
      <c r="A1647" s="38" t="s">
        <v>36</v>
      </c>
      <c r="B1647" s="38" t="s">
        <v>3157</v>
      </c>
      <c r="C1647" s="38" t="s">
        <v>3556</v>
      </c>
      <c r="D1647" s="38" t="s">
        <v>1717</v>
      </c>
      <c r="E1647" s="38" t="s">
        <v>3559</v>
      </c>
      <c r="F1647" s="38">
        <v>991.72</v>
      </c>
      <c r="G1647" s="38">
        <v>991.72</v>
      </c>
      <c r="H1647" s="38">
        <f t="shared" si="79"/>
        <v>913</v>
      </c>
      <c r="I1647" s="38">
        <v>586</v>
      </c>
      <c r="J1647" s="38">
        <v>327</v>
      </c>
      <c r="K1647" s="38">
        <v>259</v>
      </c>
      <c r="L1647" s="50">
        <f t="shared" si="80"/>
        <v>28.368017524644028</v>
      </c>
      <c r="M1647" s="38">
        <v>142</v>
      </c>
      <c r="N1647" s="50">
        <f t="shared" si="81"/>
        <v>15.553121577217963</v>
      </c>
      <c r="O1647" s="38">
        <v>0</v>
      </c>
      <c r="P1647" s="38">
        <v>24.18</v>
      </c>
      <c r="Q1647" s="61" t="s">
        <v>43</v>
      </c>
      <c r="R1647" s="17">
        <v>44522</v>
      </c>
      <c r="S1647" s="61"/>
      <c r="T1647" s="61">
        <v>24</v>
      </c>
      <c r="U1647" s="61"/>
      <c r="V1647" s="61"/>
      <c r="W1647" s="61"/>
      <c r="X1647" s="61"/>
      <c r="Y1647" s="61"/>
      <c r="Z1647" s="20"/>
      <c r="AB1647" s="20"/>
      <c r="AC1647" s="11" t="s">
        <v>1717</v>
      </c>
      <c r="AD1647" s="61"/>
      <c r="AE1647" s="61"/>
    </row>
    <row r="1648" spans="1:31" x14ac:dyDescent="0.25">
      <c r="A1648" s="38" t="s">
        <v>36</v>
      </c>
      <c r="B1648" s="38" t="s">
        <v>3157</v>
      </c>
      <c r="C1648" s="38" t="s">
        <v>3560</v>
      </c>
      <c r="D1648" s="38" t="s">
        <v>3561</v>
      </c>
      <c r="E1648" s="38" t="s">
        <v>3562</v>
      </c>
      <c r="F1648" s="38">
        <v>2720</v>
      </c>
      <c r="G1648" s="38">
        <v>2720</v>
      </c>
      <c r="H1648" s="38">
        <f t="shared" si="79"/>
        <v>1226</v>
      </c>
      <c r="I1648" s="38">
        <v>747</v>
      </c>
      <c r="J1648" s="38">
        <v>479</v>
      </c>
      <c r="K1648" s="38">
        <v>268</v>
      </c>
      <c r="L1648" s="50">
        <f t="shared" si="80"/>
        <v>21.859706362153343</v>
      </c>
      <c r="M1648" s="38">
        <v>0</v>
      </c>
      <c r="N1648" s="50">
        <f t="shared" si="81"/>
        <v>0</v>
      </c>
      <c r="O1648" s="38">
        <v>0</v>
      </c>
      <c r="P1648" s="38">
        <v>438</v>
      </c>
      <c r="Q1648" s="34" t="s">
        <v>43</v>
      </c>
      <c r="R1648" s="9">
        <v>44557</v>
      </c>
      <c r="S1648" s="34"/>
      <c r="T1648" s="34">
        <v>438</v>
      </c>
      <c r="U1648" s="34"/>
      <c r="V1648" s="34"/>
      <c r="W1648" s="34"/>
      <c r="X1648" s="34"/>
      <c r="Y1648" s="34"/>
      <c r="Z1648" s="109"/>
      <c r="AB1648" s="109">
        <v>32</v>
      </c>
      <c r="AC1648" s="34" t="s">
        <v>3563</v>
      </c>
      <c r="AD1648" s="34">
        <v>25.999098</v>
      </c>
      <c r="AE1648" s="34">
        <v>70.816939000000005</v>
      </c>
    </row>
    <row r="1649" spans="1:31" x14ac:dyDescent="0.25">
      <c r="A1649" s="38" t="s">
        <v>36</v>
      </c>
      <c r="B1649" s="38" t="s">
        <v>3157</v>
      </c>
      <c r="C1649" s="38" t="s">
        <v>3560</v>
      </c>
      <c r="D1649" s="38" t="s">
        <v>3564</v>
      </c>
      <c r="E1649" s="38" t="s">
        <v>3565</v>
      </c>
      <c r="F1649" s="38">
        <v>1055</v>
      </c>
      <c r="G1649" s="38">
        <v>1055</v>
      </c>
      <c r="H1649" s="38">
        <f t="shared" si="79"/>
        <v>1073</v>
      </c>
      <c r="I1649" s="38">
        <v>662</v>
      </c>
      <c r="J1649" s="38">
        <v>411</v>
      </c>
      <c r="K1649" s="38">
        <v>251</v>
      </c>
      <c r="L1649" s="50">
        <f t="shared" si="80"/>
        <v>23.392357875116495</v>
      </c>
      <c r="M1649" s="38">
        <v>0</v>
      </c>
      <c r="N1649" s="50">
        <f t="shared" si="81"/>
        <v>0</v>
      </c>
      <c r="O1649" s="38">
        <v>0</v>
      </c>
      <c r="P1649" s="38">
        <v>7</v>
      </c>
      <c r="Q1649" s="61" t="s">
        <v>43</v>
      </c>
      <c r="R1649" s="17">
        <v>44557</v>
      </c>
      <c r="S1649" s="61"/>
      <c r="T1649" s="61">
        <v>7</v>
      </c>
      <c r="U1649" s="61"/>
      <c r="V1649" s="61"/>
      <c r="W1649" s="61"/>
      <c r="X1649" s="61"/>
      <c r="Y1649" s="61"/>
      <c r="Z1649" s="20"/>
      <c r="AB1649" s="20"/>
      <c r="AC1649" s="11" t="s">
        <v>3566</v>
      </c>
      <c r="AD1649" s="61"/>
      <c r="AE1649" s="61"/>
    </row>
    <row r="1650" spans="1:31" x14ac:dyDescent="0.25">
      <c r="A1650" s="38" t="s">
        <v>36</v>
      </c>
      <c r="B1650" s="38" t="s">
        <v>3157</v>
      </c>
      <c r="C1650" s="38" t="s">
        <v>3560</v>
      </c>
      <c r="D1650" s="38" t="s">
        <v>3567</v>
      </c>
      <c r="E1650" s="38" t="s">
        <v>3568</v>
      </c>
      <c r="F1650" s="38">
        <v>1025</v>
      </c>
      <c r="G1650" s="38">
        <v>1025</v>
      </c>
      <c r="H1650" s="38">
        <f t="shared" si="79"/>
        <v>1517</v>
      </c>
      <c r="I1650" s="38">
        <v>948</v>
      </c>
      <c r="J1650" s="38">
        <v>569</v>
      </c>
      <c r="K1650" s="38">
        <v>379</v>
      </c>
      <c r="L1650" s="50">
        <f t="shared" si="80"/>
        <v>24.983520105471325</v>
      </c>
      <c r="M1650" s="38">
        <v>30</v>
      </c>
      <c r="N1650" s="50">
        <f t="shared" si="81"/>
        <v>1.9775873434410021</v>
      </c>
      <c r="O1650" s="38">
        <v>0</v>
      </c>
      <c r="P1650" s="38">
        <v>187</v>
      </c>
      <c r="Q1650" s="61" t="s">
        <v>43</v>
      </c>
      <c r="R1650" s="17">
        <v>44557</v>
      </c>
      <c r="S1650" s="61"/>
      <c r="T1650" s="61">
        <v>187</v>
      </c>
      <c r="U1650" s="61"/>
      <c r="V1650" s="61"/>
      <c r="W1650" s="61"/>
      <c r="X1650" s="61"/>
      <c r="Y1650" s="61"/>
      <c r="Z1650" s="20"/>
      <c r="AB1650" s="20"/>
      <c r="AC1650" s="11" t="s">
        <v>3569</v>
      </c>
      <c r="AD1650" s="61"/>
      <c r="AE1650" s="61"/>
    </row>
    <row r="1651" spans="1:31" x14ac:dyDescent="0.25">
      <c r="A1651" s="38" t="s">
        <v>36</v>
      </c>
      <c r="B1651" s="38" t="s">
        <v>3570</v>
      </c>
      <c r="C1651" s="38" t="s">
        <v>3571</v>
      </c>
      <c r="D1651" s="38" t="s">
        <v>3572</v>
      </c>
      <c r="E1651" s="38" t="s">
        <v>3573</v>
      </c>
      <c r="F1651" s="38">
        <v>845</v>
      </c>
      <c r="G1651" s="38">
        <v>845</v>
      </c>
      <c r="H1651" s="38">
        <f t="shared" si="79"/>
        <v>946</v>
      </c>
      <c r="I1651" s="38">
        <v>620</v>
      </c>
      <c r="J1651" s="38">
        <v>326</v>
      </c>
      <c r="K1651" s="38">
        <v>294</v>
      </c>
      <c r="L1651" s="50">
        <f t="shared" si="80"/>
        <v>31.078224101479918</v>
      </c>
      <c r="M1651" s="38">
        <v>0</v>
      </c>
      <c r="N1651" s="50">
        <f t="shared" si="81"/>
        <v>0</v>
      </c>
      <c r="O1651" s="38">
        <v>0</v>
      </c>
      <c r="P1651" s="38">
        <v>13</v>
      </c>
    </row>
    <row r="1652" spans="1:31" x14ac:dyDescent="0.25">
      <c r="A1652" s="38" t="s">
        <v>36</v>
      </c>
      <c r="B1652" s="38" t="s">
        <v>3570</v>
      </c>
      <c r="C1652" s="38" t="s">
        <v>3571</v>
      </c>
      <c r="D1652" s="38" t="s">
        <v>2572</v>
      </c>
      <c r="E1652" s="38" t="s">
        <v>3574</v>
      </c>
      <c r="F1652" s="38">
        <v>737</v>
      </c>
      <c r="G1652" s="38">
        <v>737</v>
      </c>
      <c r="H1652" s="38">
        <f t="shared" si="79"/>
        <v>793</v>
      </c>
      <c r="I1652" s="38">
        <v>515</v>
      </c>
      <c r="J1652" s="38">
        <v>278</v>
      </c>
      <c r="K1652" s="38">
        <v>237</v>
      </c>
      <c r="L1652" s="50">
        <f t="shared" si="80"/>
        <v>29.886506935687262</v>
      </c>
      <c r="M1652" s="38">
        <v>39</v>
      </c>
      <c r="N1652" s="50">
        <f t="shared" si="81"/>
        <v>4.918032786885246</v>
      </c>
      <c r="O1652" s="38">
        <v>0</v>
      </c>
      <c r="P1652" s="38">
        <v>0</v>
      </c>
    </row>
    <row r="1653" spans="1:31" x14ac:dyDescent="0.25">
      <c r="A1653" s="38" t="s">
        <v>36</v>
      </c>
      <c r="B1653" s="38" t="s">
        <v>3570</v>
      </c>
      <c r="C1653" s="38" t="s">
        <v>3571</v>
      </c>
      <c r="D1653" s="38" t="s">
        <v>3575</v>
      </c>
      <c r="E1653" s="38" t="s">
        <v>3576</v>
      </c>
      <c r="F1653" s="38">
        <v>959</v>
      </c>
      <c r="G1653" s="38">
        <v>959</v>
      </c>
      <c r="H1653" s="38">
        <f t="shared" si="79"/>
        <v>990</v>
      </c>
      <c r="I1653" s="38">
        <v>643</v>
      </c>
      <c r="J1653" s="38">
        <v>347</v>
      </c>
      <c r="K1653" s="38">
        <v>296</v>
      </c>
      <c r="L1653" s="50">
        <f t="shared" si="80"/>
        <v>29.898989898989896</v>
      </c>
      <c r="M1653" s="38">
        <v>92</v>
      </c>
      <c r="N1653" s="50">
        <f t="shared" si="81"/>
        <v>9.2929292929292924</v>
      </c>
      <c r="O1653" s="38">
        <v>0</v>
      </c>
      <c r="P1653" s="38">
        <v>2</v>
      </c>
    </row>
    <row r="1654" spans="1:31" x14ac:dyDescent="0.25">
      <c r="A1654" s="38" t="s">
        <v>36</v>
      </c>
      <c r="B1654" s="38" t="s">
        <v>3570</v>
      </c>
      <c r="C1654" s="38" t="s">
        <v>3571</v>
      </c>
      <c r="D1654" s="38" t="s">
        <v>3577</v>
      </c>
      <c r="E1654" s="38" t="s">
        <v>3578</v>
      </c>
      <c r="F1654" s="38">
        <v>718</v>
      </c>
      <c r="G1654" s="38">
        <v>718</v>
      </c>
      <c r="H1654" s="38">
        <f t="shared" si="79"/>
        <v>854</v>
      </c>
      <c r="I1654" s="38">
        <v>563</v>
      </c>
      <c r="J1654" s="38">
        <v>291</v>
      </c>
      <c r="K1654" s="38">
        <v>272</v>
      </c>
      <c r="L1654" s="50">
        <f t="shared" si="80"/>
        <v>31.850117096018739</v>
      </c>
      <c r="M1654" s="38">
        <v>85</v>
      </c>
      <c r="N1654" s="50">
        <f t="shared" si="81"/>
        <v>9.9531615925058539</v>
      </c>
      <c r="O1654" s="38">
        <v>0</v>
      </c>
      <c r="P1654" s="38">
        <v>3</v>
      </c>
    </row>
    <row r="1655" spans="1:31" x14ac:dyDescent="0.25">
      <c r="A1655" s="38" t="s">
        <v>36</v>
      </c>
      <c r="B1655" s="38" t="s">
        <v>3570</v>
      </c>
      <c r="C1655" s="38" t="s">
        <v>3571</v>
      </c>
      <c r="D1655" s="38" t="s">
        <v>3579</v>
      </c>
      <c r="E1655" s="38" t="s">
        <v>3580</v>
      </c>
      <c r="F1655" s="38">
        <v>652</v>
      </c>
      <c r="G1655" s="38">
        <v>652</v>
      </c>
      <c r="H1655" s="38">
        <f t="shared" si="79"/>
        <v>606</v>
      </c>
      <c r="I1655" s="38">
        <v>400</v>
      </c>
      <c r="J1655" s="38">
        <v>206</v>
      </c>
      <c r="K1655" s="38">
        <v>194</v>
      </c>
      <c r="L1655" s="50">
        <f t="shared" si="80"/>
        <v>32.013201320132012</v>
      </c>
      <c r="M1655" s="38">
        <v>0</v>
      </c>
      <c r="N1655" s="50">
        <f t="shared" si="81"/>
        <v>0</v>
      </c>
      <c r="O1655" s="38">
        <v>0</v>
      </c>
      <c r="P1655" s="38">
        <v>0</v>
      </c>
    </row>
    <row r="1656" spans="1:31" x14ac:dyDescent="0.25">
      <c r="A1656" s="38" t="s">
        <v>36</v>
      </c>
      <c r="B1656" s="38" t="s">
        <v>3570</v>
      </c>
      <c r="C1656" s="38" t="s">
        <v>3571</v>
      </c>
      <c r="D1656" s="38" t="s">
        <v>2654</v>
      </c>
      <c r="E1656" s="38" t="s">
        <v>3581</v>
      </c>
      <c r="F1656" s="38">
        <v>776</v>
      </c>
      <c r="G1656" s="38">
        <v>776</v>
      </c>
      <c r="H1656" s="38">
        <f t="shared" si="79"/>
        <v>797</v>
      </c>
      <c r="I1656" s="38">
        <v>525</v>
      </c>
      <c r="J1656" s="38">
        <v>272</v>
      </c>
      <c r="K1656" s="38">
        <v>253</v>
      </c>
      <c r="L1656" s="50">
        <f t="shared" si="80"/>
        <v>31.744040150564619</v>
      </c>
      <c r="M1656" s="38">
        <v>10</v>
      </c>
      <c r="N1656" s="50">
        <f t="shared" si="81"/>
        <v>1.2547051442910917</v>
      </c>
      <c r="O1656" s="38">
        <v>0</v>
      </c>
      <c r="P1656" s="38">
        <v>11</v>
      </c>
    </row>
    <row r="1657" spans="1:31" x14ac:dyDescent="0.25">
      <c r="A1657" s="38" t="s">
        <v>36</v>
      </c>
      <c r="B1657" s="38" t="s">
        <v>3570</v>
      </c>
      <c r="C1657" s="38" t="s">
        <v>3571</v>
      </c>
      <c r="D1657" s="38" t="s">
        <v>3582</v>
      </c>
      <c r="E1657" s="38" t="s">
        <v>3583</v>
      </c>
      <c r="F1657" s="38">
        <v>669</v>
      </c>
      <c r="G1657" s="38">
        <v>669</v>
      </c>
      <c r="H1657" s="38">
        <f t="shared" si="79"/>
        <v>450</v>
      </c>
      <c r="I1657" s="38">
        <v>291</v>
      </c>
      <c r="J1657" s="38">
        <v>159</v>
      </c>
      <c r="K1657" s="38">
        <v>132</v>
      </c>
      <c r="L1657" s="50">
        <f t="shared" si="80"/>
        <v>29.333333333333332</v>
      </c>
      <c r="M1657" s="38">
        <v>0</v>
      </c>
      <c r="N1657" s="50">
        <f t="shared" si="81"/>
        <v>0</v>
      </c>
      <c r="O1657" s="38">
        <v>0</v>
      </c>
      <c r="P1657" s="38">
        <v>0</v>
      </c>
    </row>
    <row r="1658" spans="1:31" x14ac:dyDescent="0.25">
      <c r="A1658" s="38" t="s">
        <v>36</v>
      </c>
      <c r="B1658" s="38" t="s">
        <v>3570</v>
      </c>
      <c r="C1658" s="38" t="s">
        <v>3571</v>
      </c>
      <c r="D1658" s="38" t="s">
        <v>3584</v>
      </c>
      <c r="E1658" s="38" t="s">
        <v>3585</v>
      </c>
      <c r="F1658" s="38">
        <v>693</v>
      </c>
      <c r="G1658" s="38">
        <v>693</v>
      </c>
      <c r="H1658" s="38">
        <f t="shared" si="79"/>
        <v>922</v>
      </c>
      <c r="I1658" s="38">
        <v>604</v>
      </c>
      <c r="J1658" s="38">
        <v>318</v>
      </c>
      <c r="K1658" s="38">
        <v>286</v>
      </c>
      <c r="L1658" s="50">
        <f t="shared" si="80"/>
        <v>31.019522776572668</v>
      </c>
      <c r="M1658" s="38">
        <v>5</v>
      </c>
      <c r="N1658" s="50">
        <f t="shared" si="81"/>
        <v>0.54229934924078094</v>
      </c>
      <c r="O1658" s="38">
        <v>0</v>
      </c>
      <c r="P1658" s="38">
        <v>3</v>
      </c>
    </row>
    <row r="1659" spans="1:31" x14ac:dyDescent="0.25">
      <c r="A1659" s="38" t="s">
        <v>36</v>
      </c>
      <c r="B1659" s="38" t="s">
        <v>3570</v>
      </c>
      <c r="C1659" s="38" t="s">
        <v>3571</v>
      </c>
      <c r="D1659" s="38" t="s">
        <v>1817</v>
      </c>
      <c r="E1659" s="38" t="s">
        <v>3586</v>
      </c>
      <c r="F1659" s="38">
        <v>647</v>
      </c>
      <c r="G1659" s="38">
        <v>647</v>
      </c>
      <c r="H1659" s="38">
        <f t="shared" si="79"/>
        <v>910</v>
      </c>
      <c r="I1659" s="38">
        <v>596</v>
      </c>
      <c r="J1659" s="38">
        <v>314</v>
      </c>
      <c r="K1659" s="38">
        <v>282</v>
      </c>
      <c r="L1659" s="50">
        <f t="shared" si="80"/>
        <v>30.989010989010989</v>
      </c>
      <c r="M1659" s="38">
        <v>152</v>
      </c>
      <c r="N1659" s="50">
        <f t="shared" si="81"/>
        <v>16.703296703296701</v>
      </c>
      <c r="O1659" s="38">
        <v>0</v>
      </c>
      <c r="P1659" s="38">
        <v>0</v>
      </c>
    </row>
    <row r="1660" spans="1:31" x14ac:dyDescent="0.25">
      <c r="A1660" s="38" t="s">
        <v>36</v>
      </c>
      <c r="B1660" s="38" t="s">
        <v>3570</v>
      </c>
      <c r="C1660" s="38" t="s">
        <v>3587</v>
      </c>
      <c r="D1660" s="38" t="s">
        <v>3588</v>
      </c>
      <c r="E1660" s="38" t="s">
        <v>3589</v>
      </c>
      <c r="F1660" s="38">
        <v>1255.17</v>
      </c>
      <c r="G1660" s="38">
        <v>1255.17</v>
      </c>
      <c r="H1660" s="38">
        <f t="shared" si="79"/>
        <v>1842</v>
      </c>
      <c r="I1660" s="38">
        <v>1205</v>
      </c>
      <c r="J1660" s="38">
        <v>637</v>
      </c>
      <c r="K1660" s="38">
        <v>568</v>
      </c>
      <c r="L1660" s="50">
        <f t="shared" si="80"/>
        <v>30.836047774158526</v>
      </c>
      <c r="M1660" s="38">
        <v>276</v>
      </c>
      <c r="N1660" s="50">
        <f t="shared" si="81"/>
        <v>14.983713355048861</v>
      </c>
      <c r="O1660" s="38">
        <v>0</v>
      </c>
      <c r="P1660" s="38">
        <v>134.09</v>
      </c>
      <c r="AC1660" s="117"/>
      <c r="AD1660" s="121"/>
    </row>
    <row r="1661" spans="1:31" x14ac:dyDescent="0.25">
      <c r="A1661" s="38" t="s">
        <v>36</v>
      </c>
      <c r="B1661" s="38" t="s">
        <v>3570</v>
      </c>
      <c r="C1661" s="38" t="s">
        <v>3587</v>
      </c>
      <c r="D1661" s="38" t="s">
        <v>3590</v>
      </c>
      <c r="E1661" s="38" t="s">
        <v>3591</v>
      </c>
      <c r="F1661" s="38">
        <v>941.8</v>
      </c>
      <c r="G1661" s="38">
        <v>941.8</v>
      </c>
      <c r="H1661" s="38">
        <f t="shared" si="79"/>
        <v>641</v>
      </c>
      <c r="I1661" s="38">
        <v>423</v>
      </c>
      <c r="J1661" s="38">
        <v>218</v>
      </c>
      <c r="K1661" s="38">
        <v>205</v>
      </c>
      <c r="L1661" s="50">
        <f t="shared" si="80"/>
        <v>31.981279251170047</v>
      </c>
      <c r="M1661" s="38">
        <v>4</v>
      </c>
      <c r="N1661" s="50">
        <f t="shared" si="81"/>
        <v>0.62402496099843996</v>
      </c>
      <c r="O1661" s="38">
        <v>0</v>
      </c>
      <c r="P1661" s="38">
        <v>14.43</v>
      </c>
      <c r="AC1661" s="117"/>
      <c r="AD1661" s="121"/>
    </row>
    <row r="1662" spans="1:31" x14ac:dyDescent="0.25">
      <c r="A1662" s="38" t="s">
        <v>36</v>
      </c>
      <c r="B1662" s="38" t="s">
        <v>3570</v>
      </c>
      <c r="C1662" s="38" t="s">
        <v>3587</v>
      </c>
      <c r="D1662" s="38" t="s">
        <v>3592</v>
      </c>
      <c r="E1662" s="38" t="s">
        <v>3593</v>
      </c>
      <c r="F1662" s="38">
        <v>1003.42</v>
      </c>
      <c r="G1662" s="38">
        <v>1003.42</v>
      </c>
      <c r="H1662" s="38">
        <f t="shared" si="79"/>
        <v>826</v>
      </c>
      <c r="I1662" s="38">
        <v>538</v>
      </c>
      <c r="J1662" s="38">
        <v>288</v>
      </c>
      <c r="K1662" s="38">
        <v>250</v>
      </c>
      <c r="L1662" s="50">
        <f t="shared" si="80"/>
        <v>30.26634382566586</v>
      </c>
      <c r="M1662" s="38">
        <v>37</v>
      </c>
      <c r="N1662" s="50">
        <f t="shared" si="81"/>
        <v>4.4794188861985473</v>
      </c>
      <c r="O1662" s="38">
        <v>0</v>
      </c>
      <c r="P1662" s="38">
        <v>13.44</v>
      </c>
      <c r="AC1662" s="117"/>
      <c r="AD1662" s="121"/>
    </row>
    <row r="1663" spans="1:31" x14ac:dyDescent="0.25">
      <c r="A1663" s="38" t="s">
        <v>36</v>
      </c>
      <c r="B1663" s="38" t="s">
        <v>3570</v>
      </c>
      <c r="C1663" s="38" t="s">
        <v>3594</v>
      </c>
      <c r="D1663" s="38" t="s">
        <v>3594</v>
      </c>
      <c r="E1663" s="38" t="s">
        <v>3595</v>
      </c>
      <c r="F1663" s="38">
        <v>1142</v>
      </c>
      <c r="G1663" s="38">
        <v>1142</v>
      </c>
      <c r="H1663" s="38">
        <f t="shared" si="79"/>
        <v>1514</v>
      </c>
      <c r="I1663" s="38">
        <v>995</v>
      </c>
      <c r="J1663" s="38">
        <v>519</v>
      </c>
      <c r="K1663" s="38">
        <v>476</v>
      </c>
      <c r="L1663" s="50">
        <f t="shared" si="80"/>
        <v>31.43989431968296</v>
      </c>
      <c r="M1663" s="38">
        <v>8</v>
      </c>
      <c r="N1663" s="50">
        <f t="shared" si="81"/>
        <v>0.52840158520475566</v>
      </c>
      <c r="O1663" s="38">
        <v>0</v>
      </c>
      <c r="P1663" s="38">
        <v>11</v>
      </c>
      <c r="AC1663" s="117"/>
      <c r="AD1663" s="121"/>
    </row>
    <row r="1664" spans="1:31" x14ac:dyDescent="0.25">
      <c r="A1664" s="38" t="s">
        <v>36</v>
      </c>
      <c r="B1664" s="38" t="s">
        <v>3570</v>
      </c>
      <c r="C1664" s="38" t="s">
        <v>3594</v>
      </c>
      <c r="D1664" s="38" t="s">
        <v>3596</v>
      </c>
      <c r="E1664" s="38" t="s">
        <v>3597</v>
      </c>
      <c r="F1664" s="38">
        <v>994</v>
      </c>
      <c r="G1664" s="38">
        <v>994</v>
      </c>
      <c r="H1664" s="38">
        <f t="shared" si="79"/>
        <v>1594</v>
      </c>
      <c r="I1664" s="38">
        <v>1051</v>
      </c>
      <c r="J1664" s="38">
        <v>543</v>
      </c>
      <c r="K1664" s="38">
        <v>508</v>
      </c>
      <c r="L1664" s="50">
        <f t="shared" si="80"/>
        <v>31.869510664993726</v>
      </c>
      <c r="M1664" s="38">
        <v>6</v>
      </c>
      <c r="N1664" s="50">
        <f t="shared" si="81"/>
        <v>0.37641154328732745</v>
      </c>
      <c r="O1664" s="38">
        <v>0</v>
      </c>
      <c r="P1664" s="38">
        <v>19</v>
      </c>
    </row>
    <row r="1665" spans="1:31" x14ac:dyDescent="0.25">
      <c r="A1665" s="38" t="s">
        <v>36</v>
      </c>
      <c r="B1665" s="38" t="s">
        <v>3570</v>
      </c>
      <c r="C1665" s="38" t="s">
        <v>3594</v>
      </c>
      <c r="D1665" s="38" t="s">
        <v>1167</v>
      </c>
      <c r="E1665" s="38" t="s">
        <v>3598</v>
      </c>
      <c r="F1665" s="38">
        <v>919</v>
      </c>
      <c r="G1665" s="38">
        <v>919</v>
      </c>
      <c r="H1665" s="38">
        <f t="shared" si="79"/>
        <v>1119</v>
      </c>
      <c r="I1665" s="38">
        <v>731</v>
      </c>
      <c r="J1665" s="38">
        <v>388</v>
      </c>
      <c r="K1665" s="38">
        <v>343</v>
      </c>
      <c r="L1665" s="50">
        <f t="shared" si="80"/>
        <v>30.652368185880253</v>
      </c>
      <c r="M1665" s="38">
        <v>0</v>
      </c>
      <c r="N1665" s="50">
        <f t="shared" si="81"/>
        <v>0</v>
      </c>
      <c r="O1665" s="38">
        <v>0</v>
      </c>
      <c r="P1665" s="38">
        <v>1</v>
      </c>
    </row>
    <row r="1666" spans="1:31" x14ac:dyDescent="0.25">
      <c r="A1666" s="38" t="s">
        <v>36</v>
      </c>
      <c r="B1666" s="38" t="s">
        <v>3570</v>
      </c>
      <c r="C1666" s="38" t="s">
        <v>1451</v>
      </c>
      <c r="D1666" s="38" t="s">
        <v>1451</v>
      </c>
      <c r="E1666" s="38" t="s">
        <v>3599</v>
      </c>
      <c r="F1666" s="38">
        <v>1568</v>
      </c>
      <c r="G1666" s="38">
        <v>1568</v>
      </c>
      <c r="H1666" s="38">
        <f t="shared" si="79"/>
        <v>2100</v>
      </c>
      <c r="I1666" s="38">
        <v>1365</v>
      </c>
      <c r="J1666" s="38">
        <v>735</v>
      </c>
      <c r="K1666" s="38">
        <v>630</v>
      </c>
      <c r="L1666" s="50">
        <f t="shared" si="80"/>
        <v>30</v>
      </c>
      <c r="M1666" s="38">
        <v>90</v>
      </c>
      <c r="N1666" s="50">
        <f t="shared" si="81"/>
        <v>4.2857142857142856</v>
      </c>
      <c r="O1666" s="38">
        <v>0</v>
      </c>
      <c r="P1666" s="38">
        <v>2</v>
      </c>
    </row>
    <row r="1667" spans="1:31" x14ac:dyDescent="0.25">
      <c r="A1667" s="38" t="s">
        <v>36</v>
      </c>
      <c r="B1667" s="38" t="s">
        <v>3570</v>
      </c>
      <c r="C1667" s="38" t="s">
        <v>1451</v>
      </c>
      <c r="D1667" s="38" t="s">
        <v>3600</v>
      </c>
      <c r="E1667" s="38" t="s">
        <v>3601</v>
      </c>
      <c r="F1667" s="38">
        <v>1644</v>
      </c>
      <c r="G1667" s="38">
        <v>1644</v>
      </c>
      <c r="H1667" s="38">
        <f t="shared" si="79"/>
        <v>1415</v>
      </c>
      <c r="I1667" s="38">
        <v>933</v>
      </c>
      <c r="J1667" s="38">
        <v>482</v>
      </c>
      <c r="K1667" s="38">
        <v>451</v>
      </c>
      <c r="L1667" s="50">
        <f t="shared" si="80"/>
        <v>31.872791519434628</v>
      </c>
      <c r="M1667" s="38">
        <v>0</v>
      </c>
      <c r="N1667" s="50">
        <f t="shared" si="81"/>
        <v>0</v>
      </c>
      <c r="O1667" s="38">
        <v>0</v>
      </c>
      <c r="P1667" s="38">
        <v>54</v>
      </c>
    </row>
    <row r="1668" spans="1:31" x14ac:dyDescent="0.25">
      <c r="A1668" s="38" t="s">
        <v>36</v>
      </c>
      <c r="B1668" s="38" t="s">
        <v>3570</v>
      </c>
      <c r="C1668" s="38" t="s">
        <v>3602</v>
      </c>
      <c r="D1668" s="38" t="s">
        <v>3603</v>
      </c>
      <c r="E1668" s="38" t="s">
        <v>3604</v>
      </c>
      <c r="F1668" s="38">
        <v>986</v>
      </c>
      <c r="G1668" s="38">
        <v>986</v>
      </c>
      <c r="H1668" s="38">
        <f t="shared" si="79"/>
        <v>894</v>
      </c>
      <c r="I1668" s="38">
        <v>576</v>
      </c>
      <c r="J1668" s="38">
        <v>318</v>
      </c>
      <c r="K1668" s="38">
        <v>258</v>
      </c>
      <c r="L1668" s="50">
        <f t="shared" si="80"/>
        <v>28.859060402684566</v>
      </c>
      <c r="M1668" s="38">
        <v>133</v>
      </c>
      <c r="N1668" s="50">
        <f t="shared" si="81"/>
        <v>14.876957494407158</v>
      </c>
      <c r="O1668" s="38">
        <v>0</v>
      </c>
      <c r="P1668" s="38">
        <v>118</v>
      </c>
    </row>
    <row r="1669" spans="1:31" x14ac:dyDescent="0.25">
      <c r="A1669" s="38" t="s">
        <v>36</v>
      </c>
      <c r="B1669" s="38" t="s">
        <v>3570</v>
      </c>
      <c r="C1669" s="38" t="s">
        <v>3602</v>
      </c>
      <c r="D1669" s="38" t="s">
        <v>3605</v>
      </c>
      <c r="E1669" s="38" t="s">
        <v>3606</v>
      </c>
      <c r="F1669" s="38">
        <v>864</v>
      </c>
      <c r="G1669" s="38">
        <v>864</v>
      </c>
      <c r="H1669" s="38">
        <f t="shared" ref="H1669:H1732" si="82">I1669+J1669</f>
        <v>931</v>
      </c>
      <c r="I1669" s="38">
        <v>609</v>
      </c>
      <c r="J1669" s="38">
        <v>322</v>
      </c>
      <c r="K1669" s="38">
        <v>287</v>
      </c>
      <c r="L1669" s="50">
        <f t="shared" si="80"/>
        <v>30.82706766917293</v>
      </c>
      <c r="M1669" s="38">
        <v>0</v>
      </c>
      <c r="N1669" s="50">
        <f t="shared" si="81"/>
        <v>0</v>
      </c>
      <c r="O1669" s="38">
        <v>0</v>
      </c>
      <c r="P1669" s="38">
        <v>0</v>
      </c>
    </row>
    <row r="1670" spans="1:31" x14ac:dyDescent="0.25">
      <c r="A1670" s="38" t="s">
        <v>36</v>
      </c>
      <c r="B1670" s="38" t="s">
        <v>3570</v>
      </c>
      <c r="C1670" s="38" t="s">
        <v>3602</v>
      </c>
      <c r="D1670" s="38" t="s">
        <v>3607</v>
      </c>
      <c r="E1670" s="38" t="s">
        <v>3608</v>
      </c>
      <c r="F1670" s="38">
        <v>749</v>
      </c>
      <c r="G1670" s="38">
        <v>749</v>
      </c>
      <c r="H1670" s="38">
        <f t="shared" si="82"/>
        <v>833</v>
      </c>
      <c r="I1670" s="38">
        <v>557</v>
      </c>
      <c r="J1670" s="38">
        <v>276</v>
      </c>
      <c r="K1670" s="38">
        <v>281</v>
      </c>
      <c r="L1670" s="50">
        <f t="shared" ref="L1670:L1733" si="83">K1670/H1670*100</f>
        <v>33.733493397358941</v>
      </c>
      <c r="M1670" s="38">
        <v>74</v>
      </c>
      <c r="N1670" s="50">
        <f t="shared" si="81"/>
        <v>8.8835534213685481</v>
      </c>
      <c r="O1670" s="38">
        <v>0</v>
      </c>
      <c r="P1670" s="38">
        <v>0</v>
      </c>
    </row>
    <row r="1671" spans="1:31" x14ac:dyDescent="0.25">
      <c r="A1671" s="38" t="s">
        <v>36</v>
      </c>
      <c r="B1671" s="38" t="s">
        <v>3570</v>
      </c>
      <c r="C1671" s="38" t="s">
        <v>3602</v>
      </c>
      <c r="D1671" s="38" t="s">
        <v>2699</v>
      </c>
      <c r="E1671" s="38" t="s">
        <v>3609</v>
      </c>
      <c r="F1671" s="38">
        <v>1356</v>
      </c>
      <c r="G1671" s="38">
        <v>1356</v>
      </c>
      <c r="H1671" s="38">
        <f t="shared" si="82"/>
        <v>1257</v>
      </c>
      <c r="I1671" s="38">
        <v>812</v>
      </c>
      <c r="J1671" s="38">
        <v>445</v>
      </c>
      <c r="K1671" s="38">
        <v>367</v>
      </c>
      <c r="L1671" s="50">
        <f t="shared" si="83"/>
        <v>29.196499602227526</v>
      </c>
      <c r="M1671" s="38">
        <v>47</v>
      </c>
      <c r="N1671" s="50">
        <f t="shared" si="81"/>
        <v>3.7390612569610182</v>
      </c>
      <c r="O1671" s="38">
        <v>0</v>
      </c>
      <c r="P1671" s="38">
        <v>0</v>
      </c>
    </row>
    <row r="1672" spans="1:31" x14ac:dyDescent="0.25">
      <c r="A1672" s="38" t="s">
        <v>36</v>
      </c>
      <c r="B1672" s="41" t="s">
        <v>3570</v>
      </c>
      <c r="C1672" s="41" t="s">
        <v>3570</v>
      </c>
      <c r="D1672" s="41" t="s">
        <v>3050</v>
      </c>
      <c r="E1672" s="41" t="s">
        <v>3610</v>
      </c>
      <c r="F1672" s="41">
        <v>756.3</v>
      </c>
      <c r="G1672" s="41">
        <v>756.3</v>
      </c>
      <c r="H1672" s="38">
        <f t="shared" si="82"/>
        <v>1227</v>
      </c>
      <c r="I1672" s="41">
        <v>803</v>
      </c>
      <c r="J1672" s="41">
        <v>424</v>
      </c>
      <c r="K1672" s="41">
        <v>379</v>
      </c>
      <c r="L1672" s="50">
        <f t="shared" si="83"/>
        <v>30.888345558272206</v>
      </c>
      <c r="M1672" s="41">
        <v>83</v>
      </c>
      <c r="N1672" s="50">
        <f t="shared" si="81"/>
        <v>6.764466177669112</v>
      </c>
      <c r="O1672" s="41">
        <v>0</v>
      </c>
      <c r="P1672" s="41">
        <v>33</v>
      </c>
      <c r="Q1672" s="43" t="s">
        <v>44</v>
      </c>
      <c r="R1672" s="24">
        <v>46163</v>
      </c>
      <c r="S1672" s="44"/>
      <c r="T1672" s="43">
        <v>19</v>
      </c>
      <c r="U1672" s="43"/>
      <c r="V1672" s="43"/>
      <c r="W1672" s="43"/>
      <c r="X1672" s="43"/>
      <c r="Y1672" s="43"/>
      <c r="Z1672" s="5"/>
      <c r="AB1672" s="5">
        <v>19</v>
      </c>
      <c r="AC1672" s="41" t="s">
        <v>3050</v>
      </c>
      <c r="AD1672" s="44">
        <v>26.143090000000001</v>
      </c>
      <c r="AE1672" s="44">
        <v>71.970014000000006</v>
      </c>
    </row>
    <row r="1673" spans="1:31" x14ac:dyDescent="0.25">
      <c r="A1673" s="38" t="s">
        <v>36</v>
      </c>
      <c r="B1673" s="38" t="s">
        <v>3570</v>
      </c>
      <c r="C1673" s="38" t="s">
        <v>3570</v>
      </c>
      <c r="D1673" s="38" t="s">
        <v>3611</v>
      </c>
      <c r="E1673" s="38" t="s">
        <v>3612</v>
      </c>
      <c r="F1673" s="38">
        <v>386.36</v>
      </c>
      <c r="G1673" s="38">
        <v>386.36</v>
      </c>
      <c r="H1673" s="38">
        <f t="shared" si="82"/>
        <v>355</v>
      </c>
      <c r="I1673" s="38">
        <v>233</v>
      </c>
      <c r="J1673" s="38">
        <v>122</v>
      </c>
      <c r="K1673" s="38">
        <v>111</v>
      </c>
      <c r="L1673" s="50">
        <f t="shared" si="83"/>
        <v>31.26760563380282</v>
      </c>
      <c r="M1673" s="38">
        <v>26</v>
      </c>
      <c r="N1673" s="50">
        <f t="shared" si="81"/>
        <v>7.323943661971831</v>
      </c>
      <c r="O1673" s="38">
        <v>0</v>
      </c>
      <c r="P1673" s="38">
        <v>0</v>
      </c>
      <c r="Q1673" s="39" t="s">
        <v>44</v>
      </c>
      <c r="R1673" s="7">
        <v>46163</v>
      </c>
      <c r="S1673" s="40"/>
      <c r="T1673" s="39">
        <v>14.7791</v>
      </c>
      <c r="U1673" s="39"/>
      <c r="V1673" s="39"/>
      <c r="W1673" s="39"/>
      <c r="X1673" s="39"/>
      <c r="Y1673" s="39"/>
      <c r="Z1673" s="3"/>
      <c r="AB1673" s="3"/>
      <c r="AC1673" s="38" t="s">
        <v>3611</v>
      </c>
      <c r="AD1673" s="2"/>
      <c r="AE1673" s="40"/>
    </row>
    <row r="1674" spans="1:31" x14ac:dyDescent="0.25">
      <c r="A1674" s="38" t="s">
        <v>36</v>
      </c>
      <c r="B1674" s="38" t="s">
        <v>3570</v>
      </c>
      <c r="C1674" s="38" t="s">
        <v>3570</v>
      </c>
      <c r="D1674" s="38" t="s">
        <v>3613</v>
      </c>
      <c r="E1674" s="38" t="s">
        <v>3614</v>
      </c>
      <c r="F1674" s="38">
        <v>674.91</v>
      </c>
      <c r="G1674" s="38">
        <v>674.91</v>
      </c>
      <c r="H1674" s="38">
        <f t="shared" si="82"/>
        <v>993</v>
      </c>
      <c r="I1674" s="38">
        <v>649</v>
      </c>
      <c r="J1674" s="38">
        <v>344</v>
      </c>
      <c r="K1674" s="38">
        <v>305</v>
      </c>
      <c r="L1674" s="50">
        <f t="shared" si="83"/>
        <v>30.71500503524673</v>
      </c>
      <c r="M1674" s="38">
        <v>88</v>
      </c>
      <c r="N1674" s="50">
        <f t="shared" si="81"/>
        <v>8.8620342396777456</v>
      </c>
      <c r="O1674" s="38">
        <v>0</v>
      </c>
      <c r="P1674" s="38">
        <v>0</v>
      </c>
      <c r="Q1674" s="39" t="s">
        <v>44</v>
      </c>
      <c r="R1674" s="7">
        <v>46163</v>
      </c>
      <c r="S1674" s="40"/>
      <c r="T1674" s="39">
        <v>3.1793</v>
      </c>
      <c r="U1674" s="39"/>
      <c r="V1674" s="39"/>
      <c r="W1674" s="39"/>
      <c r="X1674" s="39"/>
      <c r="Y1674" s="39"/>
      <c r="Z1674" s="3"/>
      <c r="AB1674" s="3"/>
      <c r="AC1674" s="38" t="s">
        <v>3613</v>
      </c>
      <c r="AD1674" s="2"/>
      <c r="AE1674" s="40"/>
    </row>
    <row r="1675" spans="1:31" x14ac:dyDescent="0.25">
      <c r="A1675" s="38" t="s">
        <v>36</v>
      </c>
      <c r="B1675" s="38" t="s">
        <v>3570</v>
      </c>
      <c r="C1675" s="38" t="s">
        <v>3570</v>
      </c>
      <c r="D1675" s="38" t="s">
        <v>3615</v>
      </c>
      <c r="E1675" s="38" t="s">
        <v>3616</v>
      </c>
      <c r="F1675" s="38">
        <v>953.51</v>
      </c>
      <c r="G1675" s="38">
        <v>953.51</v>
      </c>
      <c r="H1675" s="38">
        <f t="shared" si="82"/>
        <v>1009</v>
      </c>
      <c r="I1675" s="38">
        <v>673</v>
      </c>
      <c r="J1675" s="38">
        <v>336</v>
      </c>
      <c r="K1675" s="38">
        <v>337</v>
      </c>
      <c r="L1675" s="50">
        <f t="shared" si="83"/>
        <v>33.399405351833501</v>
      </c>
      <c r="M1675" s="38">
        <v>2</v>
      </c>
      <c r="N1675" s="50">
        <f t="shared" si="81"/>
        <v>0.19821605550049554</v>
      </c>
      <c r="O1675" s="38">
        <v>0</v>
      </c>
      <c r="P1675" s="38">
        <v>0</v>
      </c>
      <c r="Q1675" s="39" t="s">
        <v>44</v>
      </c>
      <c r="R1675" s="7">
        <v>46163</v>
      </c>
      <c r="S1675" s="40"/>
      <c r="T1675" s="39">
        <v>0</v>
      </c>
      <c r="U1675" s="39"/>
      <c r="V1675" s="39"/>
      <c r="W1675" s="39"/>
      <c r="X1675" s="39"/>
      <c r="Y1675" s="39"/>
      <c r="Z1675" s="3"/>
      <c r="AB1675" s="3"/>
      <c r="AC1675" s="38" t="s">
        <v>3615</v>
      </c>
      <c r="AD1675" s="2"/>
      <c r="AE1675" s="40"/>
    </row>
    <row r="1676" spans="1:31" x14ac:dyDescent="0.25">
      <c r="A1676" s="38" t="s">
        <v>36</v>
      </c>
      <c r="B1676" s="38" t="s">
        <v>3570</v>
      </c>
      <c r="C1676" s="38" t="s">
        <v>3570</v>
      </c>
      <c r="D1676" s="38" t="s">
        <v>3617</v>
      </c>
      <c r="E1676" s="38" t="s">
        <v>3618</v>
      </c>
      <c r="F1676" s="38">
        <v>1459.59</v>
      </c>
      <c r="G1676" s="38">
        <v>1459.59</v>
      </c>
      <c r="H1676" s="38">
        <f t="shared" si="82"/>
        <v>1450</v>
      </c>
      <c r="I1676" s="38">
        <v>952</v>
      </c>
      <c r="J1676" s="38">
        <v>498</v>
      </c>
      <c r="K1676" s="38">
        <v>454</v>
      </c>
      <c r="L1676" s="50">
        <f t="shared" si="83"/>
        <v>31.310344827586206</v>
      </c>
      <c r="M1676" s="38">
        <v>5</v>
      </c>
      <c r="N1676" s="50">
        <f t="shared" si="81"/>
        <v>0.34482758620689657</v>
      </c>
      <c r="O1676" s="38">
        <v>0</v>
      </c>
      <c r="P1676" s="38">
        <v>0</v>
      </c>
      <c r="Q1676" s="39" t="s">
        <v>44</v>
      </c>
      <c r="R1676" s="7">
        <v>46163</v>
      </c>
      <c r="S1676" s="40"/>
      <c r="T1676" s="39">
        <v>0.96699999999999997</v>
      </c>
      <c r="U1676" s="39"/>
      <c r="V1676" s="39"/>
      <c r="W1676" s="39"/>
      <c r="X1676" s="39"/>
      <c r="Y1676" s="39"/>
      <c r="Z1676" s="3"/>
      <c r="AB1676" s="3"/>
      <c r="AC1676" s="38" t="s">
        <v>3617</v>
      </c>
      <c r="AD1676" s="2"/>
      <c r="AE1676" s="40"/>
    </row>
    <row r="1677" spans="1:31" x14ac:dyDescent="0.25">
      <c r="A1677" s="38" t="s">
        <v>36</v>
      </c>
      <c r="B1677" s="38" t="s">
        <v>3570</v>
      </c>
      <c r="C1677" s="38" t="s">
        <v>3619</v>
      </c>
      <c r="D1677" s="38" t="s">
        <v>3620</v>
      </c>
      <c r="E1677" s="38" t="s">
        <v>3621</v>
      </c>
      <c r="F1677" s="38">
        <v>1527.92</v>
      </c>
      <c r="G1677" s="38">
        <v>1527.92</v>
      </c>
      <c r="H1677" s="38">
        <f t="shared" si="82"/>
        <v>2464</v>
      </c>
      <c r="I1677" s="38">
        <v>1610</v>
      </c>
      <c r="J1677" s="38">
        <v>854</v>
      </c>
      <c r="K1677" s="38">
        <v>756</v>
      </c>
      <c r="L1677" s="50">
        <f t="shared" si="83"/>
        <v>30.681818181818183</v>
      </c>
      <c r="M1677" s="38">
        <v>145</v>
      </c>
      <c r="N1677" s="50">
        <f t="shared" si="81"/>
        <v>5.8847402597402603</v>
      </c>
      <c r="O1677" s="38">
        <v>0</v>
      </c>
      <c r="P1677" s="38">
        <v>104.11</v>
      </c>
    </row>
    <row r="1678" spans="1:31" x14ac:dyDescent="0.25">
      <c r="A1678" s="38" t="s">
        <v>36</v>
      </c>
      <c r="B1678" s="38" t="s">
        <v>3570</v>
      </c>
      <c r="C1678" s="38" t="s">
        <v>3619</v>
      </c>
      <c r="D1678" s="38" t="s">
        <v>3622</v>
      </c>
      <c r="E1678" s="38" t="s">
        <v>3623</v>
      </c>
      <c r="F1678" s="38">
        <v>484.01</v>
      </c>
      <c r="G1678" s="38">
        <v>484.01</v>
      </c>
      <c r="H1678" s="38">
        <f t="shared" si="82"/>
        <v>494</v>
      </c>
      <c r="I1678" s="38">
        <v>332</v>
      </c>
      <c r="J1678" s="38">
        <v>162</v>
      </c>
      <c r="K1678" s="38">
        <v>170</v>
      </c>
      <c r="L1678" s="50">
        <f t="shared" si="83"/>
        <v>34.412955465587039</v>
      </c>
      <c r="M1678" s="38">
        <v>31</v>
      </c>
      <c r="N1678" s="50">
        <f t="shared" si="81"/>
        <v>6.2753036437246958</v>
      </c>
      <c r="O1678" s="38">
        <v>0</v>
      </c>
      <c r="P1678" s="38">
        <v>0</v>
      </c>
    </row>
    <row r="1679" spans="1:31" x14ac:dyDescent="0.25">
      <c r="A1679" s="38" t="s">
        <v>36</v>
      </c>
      <c r="B1679" s="38" t="s">
        <v>3570</v>
      </c>
      <c r="C1679" s="38" t="s">
        <v>3619</v>
      </c>
      <c r="D1679" s="38" t="s">
        <v>3624</v>
      </c>
      <c r="E1679" s="38" t="s">
        <v>3625</v>
      </c>
      <c r="F1679" s="38">
        <v>1678.91</v>
      </c>
      <c r="G1679" s="38">
        <v>1678.91</v>
      </c>
      <c r="H1679" s="38">
        <f t="shared" si="82"/>
        <v>2317</v>
      </c>
      <c r="I1679" s="38">
        <v>1540</v>
      </c>
      <c r="J1679" s="38">
        <v>777</v>
      </c>
      <c r="K1679" s="38">
        <v>763</v>
      </c>
      <c r="L1679" s="50">
        <f t="shared" si="83"/>
        <v>32.930513595166161</v>
      </c>
      <c r="M1679" s="38">
        <v>255</v>
      </c>
      <c r="N1679" s="50">
        <f t="shared" si="81"/>
        <v>11.005610703495899</v>
      </c>
      <c r="O1679" s="38">
        <v>0</v>
      </c>
      <c r="P1679" s="38">
        <v>198.13</v>
      </c>
    </row>
    <row r="1680" spans="1:31" x14ac:dyDescent="0.25">
      <c r="A1680" s="38" t="s">
        <v>36</v>
      </c>
      <c r="B1680" s="38" t="s">
        <v>3570</v>
      </c>
      <c r="C1680" s="38" t="s">
        <v>3619</v>
      </c>
      <c r="D1680" s="38" t="s">
        <v>3626</v>
      </c>
      <c r="E1680" s="38" t="s">
        <v>3627</v>
      </c>
      <c r="F1680" s="38">
        <v>327.67</v>
      </c>
      <c r="G1680" s="38">
        <v>327.67</v>
      </c>
      <c r="H1680" s="38">
        <f t="shared" si="82"/>
        <v>624</v>
      </c>
      <c r="I1680" s="38">
        <v>414</v>
      </c>
      <c r="J1680" s="38">
        <v>210</v>
      </c>
      <c r="K1680" s="38">
        <v>204</v>
      </c>
      <c r="L1680" s="50">
        <f t="shared" si="83"/>
        <v>32.692307692307693</v>
      </c>
      <c r="M1680" s="38">
        <v>64</v>
      </c>
      <c r="N1680" s="50">
        <f t="shared" si="81"/>
        <v>10.256410256410255</v>
      </c>
      <c r="O1680" s="38">
        <v>0</v>
      </c>
      <c r="P1680" s="38">
        <v>0</v>
      </c>
    </row>
    <row r="1681" spans="1:31" x14ac:dyDescent="0.25">
      <c r="A1681" s="38" t="s">
        <v>36</v>
      </c>
      <c r="B1681" s="38" t="s">
        <v>3570</v>
      </c>
      <c r="C1681" s="38" t="s">
        <v>3619</v>
      </c>
      <c r="D1681" s="38" t="s">
        <v>3628</v>
      </c>
      <c r="E1681" s="38" t="s">
        <v>3629</v>
      </c>
      <c r="F1681" s="38">
        <v>264</v>
      </c>
      <c r="G1681" s="38">
        <v>264</v>
      </c>
      <c r="H1681" s="38">
        <f t="shared" si="82"/>
        <v>386</v>
      </c>
      <c r="I1681" s="38">
        <v>252</v>
      </c>
      <c r="J1681" s="38">
        <v>134</v>
      </c>
      <c r="K1681" s="38">
        <v>118</v>
      </c>
      <c r="L1681" s="50">
        <f t="shared" si="83"/>
        <v>30.569948186528496</v>
      </c>
      <c r="M1681" s="38">
        <v>0</v>
      </c>
      <c r="N1681" s="50">
        <f t="shared" si="81"/>
        <v>0</v>
      </c>
      <c r="O1681" s="38">
        <v>0</v>
      </c>
      <c r="P1681" s="38">
        <v>0</v>
      </c>
    </row>
    <row r="1682" spans="1:31" x14ac:dyDescent="0.25">
      <c r="A1682" s="38" t="s">
        <v>36</v>
      </c>
      <c r="B1682" s="38" t="s">
        <v>3570</v>
      </c>
      <c r="C1682" s="38" t="s">
        <v>3619</v>
      </c>
      <c r="D1682" s="38" t="s">
        <v>1576</v>
      </c>
      <c r="E1682" s="38" t="s">
        <v>3630</v>
      </c>
      <c r="F1682" s="38">
        <v>593.59</v>
      </c>
      <c r="G1682" s="38">
        <v>593.59</v>
      </c>
      <c r="H1682" s="38">
        <f t="shared" si="82"/>
        <v>502</v>
      </c>
      <c r="I1682" s="38">
        <v>331</v>
      </c>
      <c r="J1682" s="38">
        <v>171</v>
      </c>
      <c r="K1682" s="38">
        <v>160</v>
      </c>
      <c r="L1682" s="50">
        <f t="shared" si="83"/>
        <v>31.872509960159363</v>
      </c>
      <c r="M1682" s="38">
        <v>0</v>
      </c>
      <c r="N1682" s="50">
        <f t="shared" si="81"/>
        <v>0</v>
      </c>
      <c r="O1682" s="38">
        <v>0</v>
      </c>
      <c r="P1682" s="38">
        <v>0</v>
      </c>
    </row>
    <row r="1683" spans="1:31" x14ac:dyDescent="0.25">
      <c r="A1683" s="38" t="s">
        <v>36</v>
      </c>
      <c r="B1683" s="38" t="s">
        <v>3570</v>
      </c>
      <c r="C1683" s="38" t="s">
        <v>3619</v>
      </c>
      <c r="D1683" s="38" t="s">
        <v>3631</v>
      </c>
      <c r="E1683" s="38" t="s">
        <v>3632</v>
      </c>
      <c r="F1683" s="38">
        <v>1324.11</v>
      </c>
      <c r="G1683" s="38">
        <v>1324.11</v>
      </c>
      <c r="H1683" s="38">
        <f t="shared" si="82"/>
        <v>1533</v>
      </c>
      <c r="I1683" s="38">
        <v>1018</v>
      </c>
      <c r="J1683" s="38">
        <v>515</v>
      </c>
      <c r="K1683" s="38">
        <v>503</v>
      </c>
      <c r="L1683" s="50">
        <f t="shared" si="83"/>
        <v>32.811480756686237</v>
      </c>
      <c r="M1683" s="38">
        <v>25</v>
      </c>
      <c r="N1683" s="50">
        <f t="shared" si="81"/>
        <v>1.6307893020221786</v>
      </c>
      <c r="O1683" s="38">
        <v>0</v>
      </c>
      <c r="P1683" s="38">
        <v>35.130000000000003</v>
      </c>
    </row>
    <row r="1684" spans="1:31" x14ac:dyDescent="0.25">
      <c r="A1684" s="38" t="s">
        <v>36</v>
      </c>
      <c r="B1684" s="38" t="s">
        <v>3570</v>
      </c>
      <c r="C1684" s="38" t="s">
        <v>3633</v>
      </c>
      <c r="D1684" s="38" t="s">
        <v>3633</v>
      </c>
      <c r="E1684" s="38" t="s">
        <v>3634</v>
      </c>
      <c r="F1684" s="38">
        <v>467</v>
      </c>
      <c r="G1684" s="38">
        <v>467</v>
      </c>
      <c r="H1684" s="38">
        <f t="shared" si="82"/>
        <v>901</v>
      </c>
      <c r="I1684" s="38">
        <v>591</v>
      </c>
      <c r="J1684" s="38">
        <v>310</v>
      </c>
      <c r="K1684" s="38">
        <v>281</v>
      </c>
      <c r="L1684" s="50">
        <f t="shared" si="83"/>
        <v>31.187569367369587</v>
      </c>
      <c r="M1684" s="38">
        <v>145</v>
      </c>
      <c r="N1684" s="50">
        <f t="shared" si="81"/>
        <v>16.093229744728081</v>
      </c>
      <c r="O1684" s="38">
        <v>0</v>
      </c>
      <c r="P1684" s="38">
        <v>4</v>
      </c>
    </row>
    <row r="1685" spans="1:31" x14ac:dyDescent="0.25">
      <c r="A1685" s="38" t="s">
        <v>36</v>
      </c>
      <c r="B1685" s="38" t="s">
        <v>3570</v>
      </c>
      <c r="C1685" s="38" t="s">
        <v>3633</v>
      </c>
      <c r="D1685" s="38" t="s">
        <v>3635</v>
      </c>
      <c r="E1685" s="38" t="s">
        <v>3636</v>
      </c>
      <c r="F1685" s="38">
        <v>523</v>
      </c>
      <c r="G1685" s="38">
        <v>523</v>
      </c>
      <c r="H1685" s="38">
        <f t="shared" si="82"/>
        <v>795</v>
      </c>
      <c r="I1685" s="38">
        <v>532</v>
      </c>
      <c r="J1685" s="38">
        <v>263</v>
      </c>
      <c r="K1685" s="38">
        <v>269</v>
      </c>
      <c r="L1685" s="50">
        <f t="shared" si="83"/>
        <v>33.836477987421382</v>
      </c>
      <c r="M1685" s="38">
        <v>70</v>
      </c>
      <c r="N1685" s="50">
        <f t="shared" si="81"/>
        <v>8.8050314465408803</v>
      </c>
      <c r="O1685" s="38">
        <v>0</v>
      </c>
      <c r="P1685" s="38">
        <v>0</v>
      </c>
    </row>
    <row r="1686" spans="1:31" x14ac:dyDescent="0.25">
      <c r="A1686" s="38" t="s">
        <v>36</v>
      </c>
      <c r="B1686" s="38" t="s">
        <v>3570</v>
      </c>
      <c r="C1686" s="38" t="s">
        <v>3633</v>
      </c>
      <c r="D1686" s="38" t="s">
        <v>3637</v>
      </c>
      <c r="E1686" s="38" t="s">
        <v>3638</v>
      </c>
      <c r="F1686" s="38">
        <v>473</v>
      </c>
      <c r="G1686" s="38">
        <v>473</v>
      </c>
      <c r="H1686" s="38">
        <f t="shared" si="82"/>
        <v>612</v>
      </c>
      <c r="I1686" s="38">
        <v>398</v>
      </c>
      <c r="J1686" s="38">
        <v>214</v>
      </c>
      <c r="K1686" s="38">
        <v>184</v>
      </c>
      <c r="L1686" s="50">
        <f t="shared" si="83"/>
        <v>30.065359477124183</v>
      </c>
      <c r="M1686" s="38">
        <v>0</v>
      </c>
      <c r="N1686" s="50">
        <f t="shared" ref="N1686:N1749" si="84">M1686/H1686*100</f>
        <v>0</v>
      </c>
      <c r="O1686" s="38">
        <v>0</v>
      </c>
      <c r="P1686" s="38">
        <v>0</v>
      </c>
    </row>
    <row r="1687" spans="1:31" x14ac:dyDescent="0.25">
      <c r="A1687" s="38" t="s">
        <v>36</v>
      </c>
      <c r="B1687" s="38" t="s">
        <v>3570</v>
      </c>
      <c r="C1687" s="38" t="s">
        <v>3633</v>
      </c>
      <c r="D1687" s="38" t="s">
        <v>3639</v>
      </c>
      <c r="E1687" s="38" t="s">
        <v>3640</v>
      </c>
      <c r="F1687" s="38">
        <v>508</v>
      </c>
      <c r="G1687" s="38">
        <v>508</v>
      </c>
      <c r="H1687" s="38">
        <f t="shared" si="82"/>
        <v>530</v>
      </c>
      <c r="I1687" s="38">
        <v>350</v>
      </c>
      <c r="J1687" s="38">
        <v>180</v>
      </c>
      <c r="K1687" s="38">
        <v>170</v>
      </c>
      <c r="L1687" s="50">
        <f t="shared" si="83"/>
        <v>32.075471698113205</v>
      </c>
      <c r="M1687" s="38">
        <v>0</v>
      </c>
      <c r="N1687" s="50">
        <f t="shared" si="84"/>
        <v>0</v>
      </c>
      <c r="O1687" s="38">
        <v>0</v>
      </c>
      <c r="P1687" s="38">
        <v>0</v>
      </c>
    </row>
    <row r="1688" spans="1:31" x14ac:dyDescent="0.25">
      <c r="A1688" s="38" t="s">
        <v>36</v>
      </c>
      <c r="B1688" s="38" t="s">
        <v>3570</v>
      </c>
      <c r="C1688" s="38" t="s">
        <v>3633</v>
      </c>
      <c r="D1688" s="38" t="s">
        <v>3641</v>
      </c>
      <c r="E1688" s="38" t="s">
        <v>3642</v>
      </c>
      <c r="F1688" s="38">
        <v>994</v>
      </c>
      <c r="G1688" s="38">
        <v>994</v>
      </c>
      <c r="H1688" s="38">
        <f t="shared" si="82"/>
        <v>1738</v>
      </c>
      <c r="I1688" s="38">
        <v>1125</v>
      </c>
      <c r="J1688" s="38">
        <v>613</v>
      </c>
      <c r="K1688" s="38">
        <v>512</v>
      </c>
      <c r="L1688" s="50">
        <f t="shared" si="83"/>
        <v>29.459148446490218</v>
      </c>
      <c r="M1688" s="38">
        <v>27</v>
      </c>
      <c r="N1688" s="50">
        <f t="shared" si="84"/>
        <v>1.5535097813578826</v>
      </c>
      <c r="O1688" s="38">
        <v>0</v>
      </c>
      <c r="P1688" s="38">
        <v>44</v>
      </c>
    </row>
    <row r="1689" spans="1:31" x14ac:dyDescent="0.25">
      <c r="A1689" s="38" t="s">
        <v>36</v>
      </c>
      <c r="B1689" s="41" t="s">
        <v>3570</v>
      </c>
      <c r="C1689" s="41" t="s">
        <v>3643</v>
      </c>
      <c r="D1689" s="41" t="s">
        <v>3644</v>
      </c>
      <c r="E1689" s="41" t="s">
        <v>3645</v>
      </c>
      <c r="F1689" s="41">
        <v>1027</v>
      </c>
      <c r="G1689" s="41">
        <v>1027</v>
      </c>
      <c r="H1689" s="38">
        <f t="shared" si="82"/>
        <v>757</v>
      </c>
      <c r="I1689" s="41">
        <v>503</v>
      </c>
      <c r="J1689" s="41">
        <v>254</v>
      </c>
      <c r="K1689" s="41">
        <v>249</v>
      </c>
      <c r="L1689" s="50">
        <f t="shared" si="83"/>
        <v>32.892998678996037</v>
      </c>
      <c r="M1689" s="41">
        <v>25</v>
      </c>
      <c r="N1689" s="50">
        <f t="shared" si="84"/>
        <v>3.3025099075297231</v>
      </c>
      <c r="O1689" s="41">
        <v>0</v>
      </c>
      <c r="P1689" s="41">
        <v>164</v>
      </c>
      <c r="Q1689" s="43" t="s">
        <v>44</v>
      </c>
      <c r="R1689" s="24">
        <v>46167</v>
      </c>
      <c r="S1689" s="44"/>
      <c r="T1689" s="43">
        <v>137.98949999999999</v>
      </c>
      <c r="U1689" s="43"/>
      <c r="V1689" s="43"/>
      <c r="W1689" s="43"/>
      <c r="X1689" s="43"/>
      <c r="Y1689" s="43"/>
      <c r="Z1689" s="5"/>
      <c r="AB1689" s="5">
        <v>50</v>
      </c>
      <c r="AC1689" s="41" t="s">
        <v>3644</v>
      </c>
      <c r="AD1689" s="44">
        <v>26.116803999999998</v>
      </c>
      <c r="AE1689" s="44">
        <v>71.673883000000004</v>
      </c>
    </row>
    <row r="1690" spans="1:31" x14ac:dyDescent="0.25">
      <c r="A1690" s="38" t="s">
        <v>36</v>
      </c>
      <c r="B1690" s="38" t="s">
        <v>3570</v>
      </c>
      <c r="C1690" s="38" t="s">
        <v>3643</v>
      </c>
      <c r="D1690" s="38" t="s">
        <v>3646</v>
      </c>
      <c r="E1690" s="38" t="s">
        <v>3647</v>
      </c>
      <c r="F1690" s="38">
        <v>1246</v>
      </c>
      <c r="G1690" s="38">
        <v>1246</v>
      </c>
      <c r="H1690" s="38">
        <f t="shared" si="82"/>
        <v>1057</v>
      </c>
      <c r="I1690" s="38">
        <v>700</v>
      </c>
      <c r="J1690" s="38">
        <v>357</v>
      </c>
      <c r="K1690" s="38">
        <v>343</v>
      </c>
      <c r="L1690" s="50">
        <f t="shared" si="83"/>
        <v>32.450331125827816</v>
      </c>
      <c r="M1690" s="38">
        <v>11</v>
      </c>
      <c r="N1690" s="50">
        <f t="shared" si="84"/>
        <v>1.0406811731315044</v>
      </c>
      <c r="O1690" s="38">
        <v>0</v>
      </c>
      <c r="P1690" s="38">
        <v>0</v>
      </c>
      <c r="Q1690" s="39" t="s">
        <v>44</v>
      </c>
      <c r="R1690" s="7">
        <v>46167</v>
      </c>
      <c r="S1690" s="40"/>
      <c r="T1690" s="39">
        <v>1.6188</v>
      </c>
      <c r="U1690" s="39"/>
      <c r="V1690" s="39"/>
      <c r="W1690" s="39"/>
      <c r="X1690" s="39"/>
      <c r="Y1690" s="39"/>
      <c r="Z1690" s="3"/>
      <c r="AB1690" s="3"/>
      <c r="AC1690" s="38" t="s">
        <v>3648</v>
      </c>
      <c r="AD1690" s="2"/>
      <c r="AE1690" s="40"/>
    </row>
    <row r="1691" spans="1:31" x14ac:dyDescent="0.25">
      <c r="A1691" s="38" t="s">
        <v>36</v>
      </c>
      <c r="B1691" s="38" t="s">
        <v>3570</v>
      </c>
      <c r="C1691" s="38" t="s">
        <v>3643</v>
      </c>
      <c r="D1691" s="38" t="s">
        <v>3649</v>
      </c>
      <c r="E1691" s="38" t="s">
        <v>3650</v>
      </c>
      <c r="F1691" s="38">
        <v>423</v>
      </c>
      <c r="G1691" s="38">
        <v>423</v>
      </c>
      <c r="H1691" s="38">
        <f t="shared" si="82"/>
        <v>624</v>
      </c>
      <c r="I1691" s="38">
        <v>412</v>
      </c>
      <c r="J1691" s="38">
        <v>212</v>
      </c>
      <c r="K1691" s="38">
        <v>200</v>
      </c>
      <c r="L1691" s="50">
        <f t="shared" si="83"/>
        <v>32.051282051282051</v>
      </c>
      <c r="M1691" s="38">
        <v>0</v>
      </c>
      <c r="N1691" s="50">
        <f t="shared" si="84"/>
        <v>0</v>
      </c>
      <c r="O1691" s="38">
        <v>0</v>
      </c>
      <c r="P1691" s="38">
        <v>41</v>
      </c>
      <c r="Q1691" s="39" t="s">
        <v>44</v>
      </c>
      <c r="R1691" s="7">
        <v>46167</v>
      </c>
      <c r="S1691" s="40"/>
      <c r="T1691" s="39">
        <v>65.113900000000001</v>
      </c>
      <c r="U1691" s="39"/>
      <c r="V1691" s="39"/>
      <c r="W1691" s="39"/>
      <c r="X1691" s="39"/>
      <c r="Y1691" s="39"/>
      <c r="Z1691" s="3"/>
      <c r="AB1691" s="3"/>
      <c r="AC1691" s="38" t="s">
        <v>3649</v>
      </c>
      <c r="AD1691" s="2"/>
      <c r="AE1691" s="40"/>
    </row>
    <row r="1692" spans="1:31" x14ac:dyDescent="0.25">
      <c r="A1692" s="38" t="s">
        <v>36</v>
      </c>
      <c r="B1692" s="38" t="s">
        <v>3570</v>
      </c>
      <c r="C1692" s="38" t="s">
        <v>3643</v>
      </c>
      <c r="D1692" s="38" t="s">
        <v>3651</v>
      </c>
      <c r="E1692" s="38" t="s">
        <v>3652</v>
      </c>
      <c r="F1692" s="38">
        <v>634</v>
      </c>
      <c r="G1692" s="38">
        <v>634</v>
      </c>
      <c r="H1692" s="38">
        <f t="shared" si="82"/>
        <v>929</v>
      </c>
      <c r="I1692" s="38">
        <v>607</v>
      </c>
      <c r="J1692" s="38">
        <v>322</v>
      </c>
      <c r="K1692" s="38">
        <v>285</v>
      </c>
      <c r="L1692" s="50">
        <f t="shared" si="83"/>
        <v>30.678148546824541</v>
      </c>
      <c r="M1692" s="38">
        <v>151</v>
      </c>
      <c r="N1692" s="50">
        <f t="shared" si="84"/>
        <v>16.254036598493002</v>
      </c>
      <c r="O1692" s="38">
        <v>0</v>
      </c>
      <c r="P1692" s="38">
        <v>0</v>
      </c>
      <c r="Q1692" s="39" t="s">
        <v>44</v>
      </c>
      <c r="R1692" s="7">
        <v>46167</v>
      </c>
      <c r="S1692" s="40"/>
      <c r="T1692" s="39">
        <v>0</v>
      </c>
      <c r="U1692" s="39"/>
      <c r="V1692" s="39"/>
      <c r="W1692" s="39"/>
      <c r="X1692" s="39"/>
      <c r="Y1692" s="39"/>
      <c r="Z1692" s="3"/>
      <c r="AB1692" s="3"/>
      <c r="AC1692" s="38" t="s">
        <v>3651</v>
      </c>
      <c r="AD1692" s="2"/>
      <c r="AE1692" s="40"/>
    </row>
    <row r="1693" spans="1:31" x14ac:dyDescent="0.25">
      <c r="A1693" s="38" t="s">
        <v>36</v>
      </c>
      <c r="B1693" s="38" t="s">
        <v>3570</v>
      </c>
      <c r="C1693" s="38" t="s">
        <v>3643</v>
      </c>
      <c r="D1693" s="38" t="s">
        <v>2033</v>
      </c>
      <c r="E1693" s="38" t="s">
        <v>3653</v>
      </c>
      <c r="F1693" s="38">
        <v>818</v>
      </c>
      <c r="G1693" s="38">
        <v>818</v>
      </c>
      <c r="H1693" s="38">
        <f t="shared" si="82"/>
        <v>727</v>
      </c>
      <c r="I1693" s="38">
        <v>469</v>
      </c>
      <c r="J1693" s="38">
        <v>258</v>
      </c>
      <c r="K1693" s="38">
        <v>211</v>
      </c>
      <c r="L1693" s="50">
        <f t="shared" si="83"/>
        <v>29.023383768913341</v>
      </c>
      <c r="M1693" s="38">
        <v>0</v>
      </c>
      <c r="N1693" s="50">
        <f t="shared" si="84"/>
        <v>0</v>
      </c>
      <c r="O1693" s="38">
        <v>0</v>
      </c>
      <c r="P1693" s="38">
        <v>28</v>
      </c>
      <c r="Q1693" s="39" t="s">
        <v>44</v>
      </c>
      <c r="R1693" s="7">
        <v>46167</v>
      </c>
      <c r="S1693" s="40"/>
      <c r="T1693" s="39">
        <v>0</v>
      </c>
      <c r="U1693" s="39"/>
      <c r="V1693" s="39"/>
      <c r="W1693" s="39"/>
      <c r="X1693" s="39"/>
      <c r="Y1693" s="39"/>
      <c r="Z1693" s="3"/>
      <c r="AB1693" s="3"/>
      <c r="AC1693" s="38" t="s">
        <v>2033</v>
      </c>
      <c r="AD1693" s="2"/>
      <c r="AE1693" s="40"/>
    </row>
    <row r="1694" spans="1:31" x14ac:dyDescent="0.25">
      <c r="A1694" s="38" t="s">
        <v>36</v>
      </c>
      <c r="B1694" s="38" t="s">
        <v>3570</v>
      </c>
      <c r="C1694" s="38" t="s">
        <v>3654</v>
      </c>
      <c r="D1694" s="38" t="s">
        <v>3655</v>
      </c>
      <c r="E1694" s="38" t="s">
        <v>3656</v>
      </c>
      <c r="F1694" s="38">
        <v>2889</v>
      </c>
      <c r="G1694" s="38">
        <v>2889</v>
      </c>
      <c r="H1694" s="38">
        <f t="shared" si="82"/>
        <v>3275</v>
      </c>
      <c r="I1694" s="38">
        <v>2134</v>
      </c>
      <c r="J1694" s="38">
        <v>1141</v>
      </c>
      <c r="K1694" s="38">
        <v>993</v>
      </c>
      <c r="L1694" s="50">
        <f t="shared" si="83"/>
        <v>30.320610687022903</v>
      </c>
      <c r="M1694" s="38">
        <v>27</v>
      </c>
      <c r="N1694" s="50">
        <f t="shared" si="84"/>
        <v>0.82442748091603058</v>
      </c>
      <c r="O1694" s="38">
        <v>0</v>
      </c>
      <c r="P1694" s="38">
        <v>0</v>
      </c>
    </row>
    <row r="1695" spans="1:31" x14ac:dyDescent="0.25">
      <c r="A1695" s="38" t="s">
        <v>36</v>
      </c>
      <c r="B1695" s="38" t="s">
        <v>3570</v>
      </c>
      <c r="C1695" s="38" t="s">
        <v>3657</v>
      </c>
      <c r="D1695" s="38" t="s">
        <v>3658</v>
      </c>
      <c r="E1695" s="38" t="s">
        <v>3659</v>
      </c>
      <c r="F1695" s="38">
        <v>714.71</v>
      </c>
      <c r="G1695" s="38">
        <v>714.71</v>
      </c>
      <c r="H1695" s="38">
        <f t="shared" si="82"/>
        <v>1269</v>
      </c>
      <c r="I1695" s="38">
        <v>827</v>
      </c>
      <c r="J1695" s="38">
        <v>442</v>
      </c>
      <c r="K1695" s="38">
        <v>385</v>
      </c>
      <c r="L1695" s="50">
        <f t="shared" si="83"/>
        <v>30.338849487785659</v>
      </c>
      <c r="M1695" s="38">
        <v>40</v>
      </c>
      <c r="N1695" s="50">
        <f t="shared" si="84"/>
        <v>3.1520882584712369</v>
      </c>
      <c r="O1695" s="38">
        <v>0</v>
      </c>
      <c r="P1695" s="38">
        <v>36.08</v>
      </c>
    </row>
    <row r="1696" spans="1:31" x14ac:dyDescent="0.25">
      <c r="A1696" s="38" t="s">
        <v>36</v>
      </c>
      <c r="B1696" s="38" t="s">
        <v>3570</v>
      </c>
      <c r="C1696" s="38" t="s">
        <v>3657</v>
      </c>
      <c r="D1696" s="38" t="s">
        <v>3660</v>
      </c>
      <c r="E1696" s="38" t="s">
        <v>3661</v>
      </c>
      <c r="F1696" s="38">
        <v>803.74</v>
      </c>
      <c r="G1696" s="38">
        <v>803.74</v>
      </c>
      <c r="H1696" s="38">
        <f t="shared" si="82"/>
        <v>1005</v>
      </c>
      <c r="I1696" s="38">
        <v>658</v>
      </c>
      <c r="J1696" s="38">
        <v>347</v>
      </c>
      <c r="K1696" s="38">
        <v>311</v>
      </c>
      <c r="L1696" s="50">
        <f t="shared" si="83"/>
        <v>30.945273631840799</v>
      </c>
      <c r="M1696" s="38">
        <v>12</v>
      </c>
      <c r="N1696" s="50">
        <f t="shared" si="84"/>
        <v>1.1940298507462688</v>
      </c>
      <c r="O1696" s="38">
        <v>0</v>
      </c>
      <c r="P1696" s="38">
        <v>24.09</v>
      </c>
    </row>
    <row r="1697" spans="1:16" x14ac:dyDescent="0.25">
      <c r="A1697" s="38" t="s">
        <v>36</v>
      </c>
      <c r="B1697" s="38" t="s">
        <v>3570</v>
      </c>
      <c r="C1697" s="38" t="s">
        <v>3657</v>
      </c>
      <c r="D1697" s="38" t="s">
        <v>3662</v>
      </c>
      <c r="E1697" s="38" t="s">
        <v>3663</v>
      </c>
      <c r="F1697" s="38">
        <v>1041.94</v>
      </c>
      <c r="G1697" s="38">
        <v>1041.94</v>
      </c>
      <c r="H1697" s="38">
        <f t="shared" si="82"/>
        <v>1309</v>
      </c>
      <c r="I1697" s="38">
        <v>874</v>
      </c>
      <c r="J1697" s="38">
        <v>435</v>
      </c>
      <c r="K1697" s="38">
        <v>439</v>
      </c>
      <c r="L1697" s="50">
        <f t="shared" si="83"/>
        <v>33.537051184110005</v>
      </c>
      <c r="M1697" s="38">
        <v>0</v>
      </c>
      <c r="N1697" s="50">
        <f t="shared" si="84"/>
        <v>0</v>
      </c>
      <c r="O1697" s="38">
        <v>0</v>
      </c>
      <c r="P1697" s="38">
        <v>0</v>
      </c>
    </row>
    <row r="1698" spans="1:16" x14ac:dyDescent="0.25">
      <c r="A1698" s="38" t="s">
        <v>36</v>
      </c>
      <c r="B1698" s="38" t="s">
        <v>3570</v>
      </c>
      <c r="C1698" s="38" t="s">
        <v>3657</v>
      </c>
      <c r="D1698" s="38" t="s">
        <v>3664</v>
      </c>
      <c r="E1698" s="38" t="s">
        <v>3665</v>
      </c>
      <c r="F1698" s="38">
        <v>736.95</v>
      </c>
      <c r="G1698" s="38">
        <v>736.95</v>
      </c>
      <c r="H1698" s="38">
        <f t="shared" si="82"/>
        <v>943</v>
      </c>
      <c r="I1698" s="38">
        <v>615</v>
      </c>
      <c r="J1698" s="38">
        <v>328</v>
      </c>
      <c r="K1698" s="38">
        <v>287</v>
      </c>
      <c r="L1698" s="50">
        <f t="shared" si="83"/>
        <v>30.434782608695656</v>
      </c>
      <c r="M1698" s="38">
        <v>0</v>
      </c>
      <c r="N1698" s="50">
        <f t="shared" si="84"/>
        <v>0</v>
      </c>
      <c r="O1698" s="38">
        <v>0</v>
      </c>
      <c r="P1698" s="38">
        <v>0</v>
      </c>
    </row>
    <row r="1699" spans="1:16" x14ac:dyDescent="0.25">
      <c r="A1699" s="38" t="s">
        <v>36</v>
      </c>
      <c r="B1699" s="38" t="s">
        <v>3570</v>
      </c>
      <c r="C1699" s="38" t="s">
        <v>3666</v>
      </c>
      <c r="D1699" s="38" t="s">
        <v>3666</v>
      </c>
      <c r="E1699" s="38" t="s">
        <v>3667</v>
      </c>
      <c r="F1699" s="38">
        <v>1639</v>
      </c>
      <c r="G1699" s="38">
        <v>1639</v>
      </c>
      <c r="H1699" s="38">
        <f t="shared" si="82"/>
        <v>2724</v>
      </c>
      <c r="I1699" s="38">
        <v>1812</v>
      </c>
      <c r="J1699" s="38">
        <v>912</v>
      </c>
      <c r="K1699" s="38">
        <v>900</v>
      </c>
      <c r="L1699" s="50">
        <f t="shared" si="83"/>
        <v>33.039647577092509</v>
      </c>
      <c r="M1699" s="38">
        <v>11</v>
      </c>
      <c r="N1699" s="50">
        <f t="shared" si="84"/>
        <v>0.40381791483113072</v>
      </c>
      <c r="O1699" s="38">
        <v>0</v>
      </c>
      <c r="P1699" s="38">
        <v>0</v>
      </c>
    </row>
    <row r="1700" spans="1:16" x14ac:dyDescent="0.25">
      <c r="A1700" s="38" t="s">
        <v>36</v>
      </c>
      <c r="B1700" s="38" t="s">
        <v>3570</v>
      </c>
      <c r="C1700" s="38" t="s">
        <v>3666</v>
      </c>
      <c r="D1700" s="38" t="s">
        <v>3668</v>
      </c>
      <c r="E1700" s="38" t="s">
        <v>3669</v>
      </c>
      <c r="F1700" s="38">
        <v>1457</v>
      </c>
      <c r="G1700" s="38">
        <v>1457</v>
      </c>
      <c r="H1700" s="38">
        <f t="shared" si="82"/>
        <v>1621</v>
      </c>
      <c r="I1700" s="38">
        <v>1052</v>
      </c>
      <c r="J1700" s="38">
        <v>569</v>
      </c>
      <c r="K1700" s="38">
        <v>483</v>
      </c>
      <c r="L1700" s="50">
        <f t="shared" si="83"/>
        <v>29.796421961752007</v>
      </c>
      <c r="M1700" s="38">
        <v>145</v>
      </c>
      <c r="N1700" s="50">
        <f t="shared" si="84"/>
        <v>8.9450956199876615</v>
      </c>
      <c r="O1700" s="38">
        <v>0</v>
      </c>
      <c r="P1700" s="38">
        <v>0</v>
      </c>
    </row>
    <row r="1701" spans="1:16" x14ac:dyDescent="0.25">
      <c r="A1701" s="38" t="s">
        <v>36</v>
      </c>
      <c r="B1701" s="38" t="s">
        <v>3570</v>
      </c>
      <c r="C1701" s="38" t="s">
        <v>3670</v>
      </c>
      <c r="D1701" s="38" t="s">
        <v>3671</v>
      </c>
      <c r="E1701" s="38" t="s">
        <v>3672</v>
      </c>
      <c r="F1701" s="38">
        <v>1653.2</v>
      </c>
      <c r="G1701" s="38">
        <v>1653.2</v>
      </c>
      <c r="H1701" s="38">
        <f t="shared" si="82"/>
        <v>1503</v>
      </c>
      <c r="I1701" s="38">
        <v>977</v>
      </c>
      <c r="J1701" s="38">
        <v>526</v>
      </c>
      <c r="K1701" s="38">
        <v>451</v>
      </c>
      <c r="L1701" s="50">
        <f t="shared" si="83"/>
        <v>30.006653359946771</v>
      </c>
      <c r="M1701" s="38">
        <v>80</v>
      </c>
      <c r="N1701" s="50">
        <f t="shared" si="84"/>
        <v>5.3226879574184958</v>
      </c>
      <c r="O1701" s="38">
        <v>0</v>
      </c>
      <c r="P1701" s="38">
        <v>143.75</v>
      </c>
    </row>
    <row r="1702" spans="1:16" x14ac:dyDescent="0.25">
      <c r="A1702" s="38" t="s">
        <v>36</v>
      </c>
      <c r="B1702" s="38" t="s">
        <v>3570</v>
      </c>
      <c r="C1702" s="38" t="s">
        <v>3670</v>
      </c>
      <c r="D1702" s="38" t="s">
        <v>3673</v>
      </c>
      <c r="E1702" s="38" t="s">
        <v>3674</v>
      </c>
      <c r="F1702" s="38">
        <v>1080.49</v>
      </c>
      <c r="G1702" s="38">
        <v>1080.49</v>
      </c>
      <c r="H1702" s="38">
        <f t="shared" si="82"/>
        <v>452</v>
      </c>
      <c r="I1702" s="38">
        <v>301</v>
      </c>
      <c r="J1702" s="38">
        <v>151</v>
      </c>
      <c r="K1702" s="38">
        <v>150</v>
      </c>
      <c r="L1702" s="50">
        <f t="shared" si="83"/>
        <v>33.185840707964601</v>
      </c>
      <c r="M1702" s="38">
        <v>2</v>
      </c>
      <c r="N1702" s="50">
        <f t="shared" si="84"/>
        <v>0.44247787610619471</v>
      </c>
      <c r="O1702" s="38">
        <v>0</v>
      </c>
      <c r="P1702" s="38">
        <v>0</v>
      </c>
    </row>
    <row r="1703" spans="1:16" x14ac:dyDescent="0.25">
      <c r="A1703" s="38" t="s">
        <v>36</v>
      </c>
      <c r="B1703" s="38" t="s">
        <v>3570</v>
      </c>
      <c r="C1703" s="38" t="s">
        <v>3670</v>
      </c>
      <c r="D1703" s="38" t="s">
        <v>3675</v>
      </c>
      <c r="E1703" s="38" t="s">
        <v>3676</v>
      </c>
      <c r="F1703" s="38">
        <v>1983.45</v>
      </c>
      <c r="G1703" s="38">
        <v>1983.45</v>
      </c>
      <c r="H1703" s="38">
        <f t="shared" si="82"/>
        <v>1752</v>
      </c>
      <c r="I1703" s="38">
        <v>1141</v>
      </c>
      <c r="J1703" s="38">
        <v>611</v>
      </c>
      <c r="K1703" s="38">
        <v>530</v>
      </c>
      <c r="L1703" s="50">
        <f t="shared" si="83"/>
        <v>30.251141552511417</v>
      </c>
      <c r="M1703" s="38">
        <v>161</v>
      </c>
      <c r="N1703" s="50">
        <f t="shared" si="84"/>
        <v>9.1894977168949765</v>
      </c>
      <c r="O1703" s="38">
        <v>0</v>
      </c>
      <c r="P1703" s="38">
        <v>126.75</v>
      </c>
    </row>
    <row r="1704" spans="1:16" x14ac:dyDescent="0.25">
      <c r="A1704" s="38" t="s">
        <v>36</v>
      </c>
      <c r="B1704" s="38" t="s">
        <v>3570</v>
      </c>
      <c r="C1704" s="38" t="s">
        <v>3670</v>
      </c>
      <c r="D1704" s="38" t="s">
        <v>3677</v>
      </c>
      <c r="E1704" s="38" t="s">
        <v>3678</v>
      </c>
      <c r="F1704" s="38">
        <v>271.77</v>
      </c>
      <c r="G1704" s="38">
        <v>271.77</v>
      </c>
      <c r="H1704" s="38">
        <f t="shared" si="82"/>
        <v>373</v>
      </c>
      <c r="I1704" s="38">
        <v>245</v>
      </c>
      <c r="J1704" s="38">
        <v>128</v>
      </c>
      <c r="K1704" s="38">
        <v>117</v>
      </c>
      <c r="L1704" s="50">
        <f t="shared" si="83"/>
        <v>31.367292225201069</v>
      </c>
      <c r="M1704" s="38">
        <v>0</v>
      </c>
      <c r="N1704" s="50">
        <f t="shared" si="84"/>
        <v>0</v>
      </c>
      <c r="O1704" s="38">
        <v>0</v>
      </c>
      <c r="P1704" s="38">
        <v>11.65</v>
      </c>
    </row>
    <row r="1705" spans="1:16" x14ac:dyDescent="0.25">
      <c r="A1705" s="38" t="s">
        <v>36</v>
      </c>
      <c r="B1705" s="38" t="s">
        <v>3570</v>
      </c>
      <c r="C1705" s="38" t="s">
        <v>3670</v>
      </c>
      <c r="D1705" s="38" t="s">
        <v>3679</v>
      </c>
      <c r="E1705" s="38" t="s">
        <v>3680</v>
      </c>
      <c r="F1705" s="38">
        <v>1583.14</v>
      </c>
      <c r="G1705" s="38">
        <v>1583.14</v>
      </c>
      <c r="H1705" s="38">
        <f t="shared" si="82"/>
        <v>869</v>
      </c>
      <c r="I1705" s="38">
        <v>579</v>
      </c>
      <c r="J1705" s="38">
        <v>290</v>
      </c>
      <c r="K1705" s="38">
        <v>289</v>
      </c>
      <c r="L1705" s="50">
        <f t="shared" si="83"/>
        <v>33.256616800920597</v>
      </c>
      <c r="M1705" s="38">
        <v>26</v>
      </c>
      <c r="N1705" s="50">
        <f t="shared" si="84"/>
        <v>2.991944764096663</v>
      </c>
      <c r="O1705" s="38">
        <v>0</v>
      </c>
      <c r="P1705" s="38">
        <v>0</v>
      </c>
    </row>
    <row r="1706" spans="1:16" x14ac:dyDescent="0.25">
      <c r="A1706" s="38" t="s">
        <v>36</v>
      </c>
      <c r="B1706" s="38" t="s">
        <v>3570</v>
      </c>
      <c r="C1706" s="38" t="s">
        <v>3670</v>
      </c>
      <c r="D1706" s="38" t="s">
        <v>3681</v>
      </c>
      <c r="E1706" s="38" t="s">
        <v>3682</v>
      </c>
      <c r="F1706" s="38">
        <v>1045.8399999999999</v>
      </c>
      <c r="G1706" s="38">
        <v>1045.8399999999999</v>
      </c>
      <c r="H1706" s="38">
        <f t="shared" si="82"/>
        <v>1398</v>
      </c>
      <c r="I1706" s="38">
        <v>927</v>
      </c>
      <c r="J1706" s="38">
        <v>471</v>
      </c>
      <c r="K1706" s="38">
        <v>456</v>
      </c>
      <c r="L1706" s="50">
        <f t="shared" si="83"/>
        <v>32.618025751072963</v>
      </c>
      <c r="M1706" s="38">
        <v>0</v>
      </c>
      <c r="N1706" s="50">
        <f t="shared" si="84"/>
        <v>0</v>
      </c>
      <c r="O1706" s="38">
        <v>0</v>
      </c>
      <c r="P1706" s="38">
        <v>12.4</v>
      </c>
    </row>
    <row r="1707" spans="1:16" x14ac:dyDescent="0.25">
      <c r="A1707" s="38" t="s">
        <v>36</v>
      </c>
      <c r="B1707" s="38" t="s">
        <v>3570</v>
      </c>
      <c r="C1707" s="38" t="s">
        <v>3670</v>
      </c>
      <c r="D1707" s="38" t="s">
        <v>3683</v>
      </c>
      <c r="E1707" s="38" t="s">
        <v>3684</v>
      </c>
      <c r="F1707" s="38">
        <v>1178.46</v>
      </c>
      <c r="G1707" s="38">
        <v>1178.46</v>
      </c>
      <c r="H1707" s="38">
        <f t="shared" si="82"/>
        <v>892</v>
      </c>
      <c r="I1707" s="38">
        <v>589</v>
      </c>
      <c r="J1707" s="38">
        <v>303</v>
      </c>
      <c r="K1707" s="38">
        <v>286</v>
      </c>
      <c r="L1707" s="50">
        <f t="shared" si="83"/>
        <v>32.062780269058294</v>
      </c>
      <c r="M1707" s="38">
        <v>5</v>
      </c>
      <c r="N1707" s="50">
        <f t="shared" si="84"/>
        <v>0.5605381165919282</v>
      </c>
      <c r="O1707" s="38">
        <v>0</v>
      </c>
      <c r="P1707" s="38">
        <v>17.7</v>
      </c>
    </row>
    <row r="1708" spans="1:16" x14ac:dyDescent="0.25">
      <c r="A1708" s="38" t="s">
        <v>36</v>
      </c>
      <c r="B1708" s="38" t="s">
        <v>3570</v>
      </c>
      <c r="C1708" s="38" t="s">
        <v>3670</v>
      </c>
      <c r="D1708" s="38" t="s">
        <v>3685</v>
      </c>
      <c r="E1708" s="38" t="s">
        <v>3686</v>
      </c>
      <c r="F1708" s="38">
        <v>1845.97</v>
      </c>
      <c r="G1708" s="38">
        <v>1845.97</v>
      </c>
      <c r="H1708" s="38">
        <f t="shared" si="82"/>
        <v>1291</v>
      </c>
      <c r="I1708" s="38">
        <v>846</v>
      </c>
      <c r="J1708" s="38">
        <v>445</v>
      </c>
      <c r="K1708" s="38">
        <v>401</v>
      </c>
      <c r="L1708" s="50">
        <f t="shared" si="83"/>
        <v>31.061192873741284</v>
      </c>
      <c r="M1708" s="38">
        <v>0</v>
      </c>
      <c r="N1708" s="50">
        <f t="shared" si="84"/>
        <v>0</v>
      </c>
      <c r="O1708" s="38">
        <v>0</v>
      </c>
      <c r="P1708" s="38">
        <v>0</v>
      </c>
    </row>
    <row r="1709" spans="1:16" x14ac:dyDescent="0.25">
      <c r="A1709" s="38" t="s">
        <v>36</v>
      </c>
      <c r="B1709" s="38" t="s">
        <v>3570</v>
      </c>
      <c r="C1709" s="38" t="s">
        <v>3687</v>
      </c>
      <c r="D1709" s="38" t="s">
        <v>3688</v>
      </c>
      <c r="E1709" s="38" t="s">
        <v>3689</v>
      </c>
      <c r="F1709" s="38">
        <v>1473</v>
      </c>
      <c r="G1709" s="38">
        <v>1473</v>
      </c>
      <c r="H1709" s="38">
        <f t="shared" si="82"/>
        <v>2718</v>
      </c>
      <c r="I1709" s="38">
        <v>1775</v>
      </c>
      <c r="J1709" s="38">
        <v>943</v>
      </c>
      <c r="K1709" s="38">
        <v>832</v>
      </c>
      <c r="L1709" s="50">
        <f t="shared" si="83"/>
        <v>30.610743193524652</v>
      </c>
      <c r="M1709" s="38">
        <v>65</v>
      </c>
      <c r="N1709" s="50">
        <f t="shared" si="84"/>
        <v>2.3914643119941132</v>
      </c>
      <c r="O1709" s="38">
        <v>0</v>
      </c>
      <c r="P1709" s="38">
        <v>0</v>
      </c>
    </row>
    <row r="1710" spans="1:16" x14ac:dyDescent="0.25">
      <c r="A1710" s="38" t="s">
        <v>36</v>
      </c>
      <c r="B1710" s="38" t="s">
        <v>3570</v>
      </c>
      <c r="C1710" s="38" t="s">
        <v>3687</v>
      </c>
      <c r="D1710" s="38" t="s">
        <v>3690</v>
      </c>
      <c r="E1710" s="38" t="s">
        <v>3691</v>
      </c>
      <c r="F1710" s="38">
        <v>1141</v>
      </c>
      <c r="G1710" s="38">
        <v>1141</v>
      </c>
      <c r="H1710" s="38">
        <f t="shared" si="82"/>
        <v>1493</v>
      </c>
      <c r="I1710" s="38">
        <v>971</v>
      </c>
      <c r="J1710" s="38">
        <v>522</v>
      </c>
      <c r="K1710" s="38">
        <v>449</v>
      </c>
      <c r="L1710" s="50">
        <f t="shared" si="83"/>
        <v>30.073677160080376</v>
      </c>
      <c r="M1710" s="38">
        <v>72</v>
      </c>
      <c r="N1710" s="50">
        <f t="shared" si="84"/>
        <v>4.8225050234427327</v>
      </c>
      <c r="O1710" s="38">
        <v>0</v>
      </c>
      <c r="P1710" s="38">
        <v>0</v>
      </c>
    </row>
    <row r="1711" spans="1:16" x14ac:dyDescent="0.25">
      <c r="A1711" s="38" t="s">
        <v>36</v>
      </c>
      <c r="B1711" s="38" t="s">
        <v>3570</v>
      </c>
      <c r="C1711" s="38" t="s">
        <v>3687</v>
      </c>
      <c r="D1711" s="38" t="s">
        <v>3692</v>
      </c>
      <c r="E1711" s="38" t="s">
        <v>3693</v>
      </c>
      <c r="F1711" s="38">
        <v>718</v>
      </c>
      <c r="G1711" s="38">
        <v>718</v>
      </c>
      <c r="H1711" s="38">
        <f t="shared" si="82"/>
        <v>1070</v>
      </c>
      <c r="I1711" s="38">
        <v>706</v>
      </c>
      <c r="J1711" s="38">
        <v>364</v>
      </c>
      <c r="K1711" s="38">
        <v>342</v>
      </c>
      <c r="L1711" s="50">
        <f t="shared" si="83"/>
        <v>31.962616822429908</v>
      </c>
      <c r="M1711" s="38">
        <v>109</v>
      </c>
      <c r="N1711" s="50">
        <f t="shared" si="84"/>
        <v>10.186915887850468</v>
      </c>
      <c r="O1711" s="38">
        <v>0</v>
      </c>
      <c r="P1711" s="38">
        <v>0</v>
      </c>
    </row>
    <row r="1712" spans="1:16" x14ac:dyDescent="0.25">
      <c r="A1712" s="38" t="s">
        <v>36</v>
      </c>
      <c r="B1712" s="38" t="s">
        <v>3570</v>
      </c>
      <c r="C1712" s="38" t="s">
        <v>3687</v>
      </c>
      <c r="D1712" s="38" t="s">
        <v>1480</v>
      </c>
      <c r="E1712" s="38" t="s">
        <v>3694</v>
      </c>
      <c r="F1712" s="38">
        <v>438</v>
      </c>
      <c r="G1712" s="38">
        <v>438</v>
      </c>
      <c r="H1712" s="38">
        <f t="shared" si="82"/>
        <v>395</v>
      </c>
      <c r="I1712" s="38">
        <v>261</v>
      </c>
      <c r="J1712" s="38">
        <v>134</v>
      </c>
      <c r="K1712" s="38">
        <v>127</v>
      </c>
      <c r="L1712" s="50">
        <f t="shared" si="83"/>
        <v>32.151898734177216</v>
      </c>
      <c r="M1712" s="38">
        <v>1</v>
      </c>
      <c r="N1712" s="50">
        <f t="shared" si="84"/>
        <v>0.25316455696202533</v>
      </c>
      <c r="O1712" s="38">
        <v>0</v>
      </c>
      <c r="P1712" s="38">
        <v>0</v>
      </c>
    </row>
    <row r="1713" spans="1:31" x14ac:dyDescent="0.25">
      <c r="A1713" s="38" t="s">
        <v>36</v>
      </c>
      <c r="B1713" s="38" t="s">
        <v>3570</v>
      </c>
      <c r="C1713" s="38" t="s">
        <v>3695</v>
      </c>
      <c r="D1713" s="38" t="s">
        <v>3696</v>
      </c>
      <c r="E1713" s="38" t="s">
        <v>3697</v>
      </c>
      <c r="F1713" s="38">
        <v>424</v>
      </c>
      <c r="G1713" s="38">
        <v>424</v>
      </c>
      <c r="H1713" s="38">
        <f t="shared" si="82"/>
        <v>766</v>
      </c>
      <c r="I1713" s="38">
        <v>504</v>
      </c>
      <c r="J1713" s="38">
        <v>262</v>
      </c>
      <c r="K1713" s="38">
        <v>242</v>
      </c>
      <c r="L1713" s="50">
        <f t="shared" si="83"/>
        <v>31.592689295039168</v>
      </c>
      <c r="M1713" s="38">
        <v>26</v>
      </c>
      <c r="N1713" s="50">
        <f t="shared" si="84"/>
        <v>3.3942558746736298</v>
      </c>
      <c r="O1713" s="38">
        <v>0</v>
      </c>
      <c r="P1713" s="38">
        <v>11</v>
      </c>
    </row>
    <row r="1714" spans="1:31" x14ac:dyDescent="0.25">
      <c r="A1714" s="38" t="s">
        <v>36</v>
      </c>
      <c r="B1714" s="38" t="s">
        <v>3570</v>
      </c>
      <c r="C1714" s="38" t="s">
        <v>3695</v>
      </c>
      <c r="D1714" s="38" t="s">
        <v>3698</v>
      </c>
      <c r="E1714" s="38" t="s">
        <v>3699</v>
      </c>
      <c r="F1714" s="38">
        <v>1153</v>
      </c>
      <c r="G1714" s="38">
        <v>1153</v>
      </c>
      <c r="H1714" s="38">
        <f t="shared" si="82"/>
        <v>1162</v>
      </c>
      <c r="I1714" s="38">
        <v>777</v>
      </c>
      <c r="J1714" s="38">
        <v>385</v>
      </c>
      <c r="K1714" s="38">
        <v>392</v>
      </c>
      <c r="L1714" s="50">
        <f t="shared" si="83"/>
        <v>33.734939759036145</v>
      </c>
      <c r="M1714" s="38">
        <v>18</v>
      </c>
      <c r="N1714" s="50">
        <f t="shared" si="84"/>
        <v>1.5490533562822719</v>
      </c>
      <c r="O1714" s="38">
        <v>0</v>
      </c>
      <c r="P1714" s="38">
        <v>93</v>
      </c>
    </row>
    <row r="1715" spans="1:31" x14ac:dyDescent="0.25">
      <c r="A1715" s="38" t="s">
        <v>36</v>
      </c>
      <c r="B1715" s="38" t="s">
        <v>3570</v>
      </c>
      <c r="C1715" s="38" t="s">
        <v>3695</v>
      </c>
      <c r="D1715" s="38" t="s">
        <v>3700</v>
      </c>
      <c r="E1715" s="38" t="s">
        <v>3701</v>
      </c>
      <c r="F1715" s="38">
        <v>448</v>
      </c>
      <c r="G1715" s="38">
        <v>448</v>
      </c>
      <c r="H1715" s="38">
        <f t="shared" si="82"/>
        <v>625</v>
      </c>
      <c r="I1715" s="38">
        <v>412</v>
      </c>
      <c r="J1715" s="38">
        <v>213</v>
      </c>
      <c r="K1715" s="38">
        <v>199</v>
      </c>
      <c r="L1715" s="50">
        <f t="shared" si="83"/>
        <v>31.840000000000003</v>
      </c>
      <c r="M1715" s="38">
        <v>0</v>
      </c>
      <c r="N1715" s="50">
        <f t="shared" si="84"/>
        <v>0</v>
      </c>
      <c r="O1715" s="38">
        <v>0</v>
      </c>
      <c r="P1715" s="38">
        <v>13</v>
      </c>
    </row>
    <row r="1716" spans="1:31" x14ac:dyDescent="0.25">
      <c r="A1716" s="38" t="s">
        <v>36</v>
      </c>
      <c r="B1716" s="38" t="s">
        <v>3570</v>
      </c>
      <c r="C1716" s="38" t="s">
        <v>3695</v>
      </c>
      <c r="D1716" s="38" t="s">
        <v>3702</v>
      </c>
      <c r="E1716" s="38" t="s">
        <v>3703</v>
      </c>
      <c r="F1716" s="38">
        <v>478</v>
      </c>
      <c r="G1716" s="38">
        <v>478</v>
      </c>
      <c r="H1716" s="38">
        <f t="shared" si="82"/>
        <v>416</v>
      </c>
      <c r="I1716" s="38">
        <v>272</v>
      </c>
      <c r="J1716" s="38">
        <v>144</v>
      </c>
      <c r="K1716" s="38">
        <v>128</v>
      </c>
      <c r="L1716" s="50">
        <f t="shared" si="83"/>
        <v>30.76923076923077</v>
      </c>
      <c r="M1716" s="38">
        <v>10</v>
      </c>
      <c r="N1716" s="50">
        <f t="shared" si="84"/>
        <v>2.4038461538461542</v>
      </c>
      <c r="O1716" s="38">
        <v>0</v>
      </c>
      <c r="P1716" s="38">
        <v>8</v>
      </c>
    </row>
    <row r="1717" spans="1:31" x14ac:dyDescent="0.25">
      <c r="A1717" s="38" t="s">
        <v>36</v>
      </c>
      <c r="B1717" s="38" t="s">
        <v>3570</v>
      </c>
      <c r="C1717" s="38" t="s">
        <v>3695</v>
      </c>
      <c r="D1717" s="38" t="s">
        <v>3704</v>
      </c>
      <c r="E1717" s="38" t="s">
        <v>3705</v>
      </c>
      <c r="F1717" s="38">
        <v>482</v>
      </c>
      <c r="G1717" s="38">
        <v>482</v>
      </c>
      <c r="H1717" s="38">
        <f t="shared" si="82"/>
        <v>683</v>
      </c>
      <c r="I1717" s="38">
        <v>451</v>
      </c>
      <c r="J1717" s="38">
        <v>232</v>
      </c>
      <c r="K1717" s="38">
        <v>219</v>
      </c>
      <c r="L1717" s="50">
        <f t="shared" si="83"/>
        <v>32.064421669106878</v>
      </c>
      <c r="M1717" s="38">
        <v>0</v>
      </c>
      <c r="N1717" s="50">
        <f t="shared" si="84"/>
        <v>0</v>
      </c>
      <c r="O1717" s="38">
        <v>0</v>
      </c>
      <c r="P1717" s="38">
        <v>0</v>
      </c>
    </row>
    <row r="1718" spans="1:31" x14ac:dyDescent="0.25">
      <c r="A1718" s="38" t="s">
        <v>36</v>
      </c>
      <c r="B1718" s="38" t="s">
        <v>3570</v>
      </c>
      <c r="C1718" s="38" t="s">
        <v>3695</v>
      </c>
      <c r="D1718" s="38" t="s">
        <v>3706</v>
      </c>
      <c r="E1718" s="38" t="s">
        <v>3707</v>
      </c>
      <c r="F1718" s="38">
        <v>233</v>
      </c>
      <c r="G1718" s="38">
        <v>233</v>
      </c>
      <c r="H1718" s="38">
        <f t="shared" si="82"/>
        <v>1016</v>
      </c>
      <c r="I1718" s="38">
        <v>671</v>
      </c>
      <c r="J1718" s="38">
        <v>345</v>
      </c>
      <c r="K1718" s="38">
        <v>326</v>
      </c>
      <c r="L1718" s="50">
        <f t="shared" si="83"/>
        <v>32.086614173228348</v>
      </c>
      <c r="M1718" s="38">
        <v>121</v>
      </c>
      <c r="N1718" s="50">
        <f t="shared" si="84"/>
        <v>11.909448818897637</v>
      </c>
      <c r="O1718" s="38">
        <v>0</v>
      </c>
      <c r="P1718" s="38">
        <v>44</v>
      </c>
    </row>
    <row r="1719" spans="1:31" x14ac:dyDescent="0.25">
      <c r="A1719" s="38" t="s">
        <v>36</v>
      </c>
      <c r="B1719" s="38" t="s">
        <v>3570</v>
      </c>
      <c r="C1719" s="38" t="s">
        <v>3695</v>
      </c>
      <c r="D1719" s="38" t="s">
        <v>3708</v>
      </c>
      <c r="E1719" s="38" t="s">
        <v>3709</v>
      </c>
      <c r="F1719" s="38">
        <v>576</v>
      </c>
      <c r="G1719" s="38">
        <v>576</v>
      </c>
      <c r="H1719" s="38">
        <f t="shared" si="82"/>
        <v>533</v>
      </c>
      <c r="I1719" s="38">
        <v>354</v>
      </c>
      <c r="J1719" s="38">
        <v>179</v>
      </c>
      <c r="K1719" s="38">
        <v>175</v>
      </c>
      <c r="L1719" s="50">
        <f t="shared" si="83"/>
        <v>32.833020637898684</v>
      </c>
      <c r="M1719" s="38">
        <v>18</v>
      </c>
      <c r="N1719" s="50">
        <f t="shared" si="84"/>
        <v>3.3771106941838651</v>
      </c>
      <c r="O1719" s="38">
        <v>0</v>
      </c>
      <c r="P1719" s="38">
        <v>14</v>
      </c>
    </row>
    <row r="1720" spans="1:31" x14ac:dyDescent="0.25">
      <c r="A1720" s="38" t="s">
        <v>36</v>
      </c>
      <c r="B1720" s="38" t="s">
        <v>3570</v>
      </c>
      <c r="C1720" s="38" t="s">
        <v>3695</v>
      </c>
      <c r="D1720" s="38" t="s">
        <v>3710</v>
      </c>
      <c r="E1720" s="38" t="s">
        <v>3711</v>
      </c>
      <c r="F1720" s="38">
        <v>608</v>
      </c>
      <c r="G1720" s="38">
        <v>608</v>
      </c>
      <c r="H1720" s="38">
        <f t="shared" si="82"/>
        <v>590</v>
      </c>
      <c r="I1720" s="38">
        <v>386</v>
      </c>
      <c r="J1720" s="38">
        <v>204</v>
      </c>
      <c r="K1720" s="38">
        <v>182</v>
      </c>
      <c r="L1720" s="50">
        <f t="shared" si="83"/>
        <v>30.847457627118647</v>
      </c>
      <c r="M1720" s="38">
        <v>0</v>
      </c>
      <c r="N1720" s="50">
        <f t="shared" si="84"/>
        <v>0</v>
      </c>
      <c r="O1720" s="38">
        <v>0</v>
      </c>
      <c r="P1720" s="38">
        <v>1</v>
      </c>
    </row>
    <row r="1721" spans="1:31" x14ac:dyDescent="0.25">
      <c r="A1721" s="38" t="s">
        <v>36</v>
      </c>
      <c r="B1721" s="38" t="s">
        <v>3570</v>
      </c>
      <c r="C1721" s="38" t="s">
        <v>3695</v>
      </c>
      <c r="D1721" s="38" t="s">
        <v>3712</v>
      </c>
      <c r="E1721" s="38" t="s">
        <v>3713</v>
      </c>
      <c r="F1721" s="38">
        <v>1349</v>
      </c>
      <c r="G1721" s="38">
        <v>1349</v>
      </c>
      <c r="H1721" s="38">
        <f t="shared" si="82"/>
        <v>988</v>
      </c>
      <c r="I1721" s="38">
        <v>645</v>
      </c>
      <c r="J1721" s="38">
        <v>343</v>
      </c>
      <c r="K1721" s="38">
        <v>302</v>
      </c>
      <c r="L1721" s="50">
        <f t="shared" si="83"/>
        <v>30.5668016194332</v>
      </c>
      <c r="M1721" s="38">
        <v>55</v>
      </c>
      <c r="N1721" s="50">
        <f t="shared" si="84"/>
        <v>5.566801619433198</v>
      </c>
      <c r="O1721" s="38">
        <v>0</v>
      </c>
      <c r="P1721" s="38">
        <v>6</v>
      </c>
    </row>
    <row r="1722" spans="1:31" x14ac:dyDescent="0.25">
      <c r="A1722" s="38" t="s">
        <v>36</v>
      </c>
      <c r="B1722" s="38" t="s">
        <v>3570</v>
      </c>
      <c r="C1722" s="38" t="s">
        <v>3714</v>
      </c>
      <c r="D1722" s="38" t="s">
        <v>3715</v>
      </c>
      <c r="E1722" s="38" t="s">
        <v>3716</v>
      </c>
      <c r="F1722" s="38">
        <v>895.05</v>
      </c>
      <c r="G1722" s="38">
        <v>895.05</v>
      </c>
      <c r="H1722" s="38">
        <f t="shared" si="82"/>
        <v>1566</v>
      </c>
      <c r="I1722" s="38">
        <v>1021</v>
      </c>
      <c r="J1722" s="38">
        <v>545</v>
      </c>
      <c r="K1722" s="38">
        <v>476</v>
      </c>
      <c r="L1722" s="50">
        <f t="shared" si="83"/>
        <v>30.395913154533844</v>
      </c>
      <c r="M1722" s="38">
        <v>126</v>
      </c>
      <c r="N1722" s="50">
        <f t="shared" si="84"/>
        <v>8.0459770114942533</v>
      </c>
      <c r="O1722" s="38">
        <v>0</v>
      </c>
      <c r="P1722" s="38">
        <v>395.03</v>
      </c>
    </row>
    <row r="1723" spans="1:31" x14ac:dyDescent="0.25">
      <c r="A1723" s="38" t="s">
        <v>36</v>
      </c>
      <c r="B1723" s="38" t="s">
        <v>3570</v>
      </c>
      <c r="C1723" s="38" t="s">
        <v>3714</v>
      </c>
      <c r="D1723" s="38" t="s">
        <v>3717</v>
      </c>
      <c r="E1723" s="38" t="s">
        <v>3718</v>
      </c>
      <c r="F1723" s="38">
        <v>1136.6500000000001</v>
      </c>
      <c r="G1723" s="38">
        <v>1136.6500000000001</v>
      </c>
      <c r="H1723" s="38">
        <f t="shared" si="82"/>
        <v>1544</v>
      </c>
      <c r="I1723" s="38">
        <v>1004</v>
      </c>
      <c r="J1723" s="38">
        <v>540</v>
      </c>
      <c r="K1723" s="38">
        <v>464</v>
      </c>
      <c r="L1723" s="50">
        <f t="shared" si="83"/>
        <v>30.051813471502591</v>
      </c>
      <c r="M1723" s="38">
        <v>161</v>
      </c>
      <c r="N1723" s="50">
        <f t="shared" si="84"/>
        <v>10.427461139896373</v>
      </c>
      <c r="O1723" s="38">
        <v>0</v>
      </c>
      <c r="P1723" s="38">
        <v>28</v>
      </c>
    </row>
    <row r="1724" spans="1:31" x14ac:dyDescent="0.25">
      <c r="A1724" s="38" t="s">
        <v>36</v>
      </c>
      <c r="B1724" s="38" t="s">
        <v>3570</v>
      </c>
      <c r="C1724" s="38" t="s">
        <v>3714</v>
      </c>
      <c r="D1724" s="38" t="s">
        <v>3719</v>
      </c>
      <c r="E1724" s="38" t="s">
        <v>3720</v>
      </c>
      <c r="F1724" s="38">
        <v>336.13</v>
      </c>
      <c r="G1724" s="38">
        <v>336.13</v>
      </c>
      <c r="H1724" s="38">
        <f t="shared" si="82"/>
        <v>257</v>
      </c>
      <c r="I1724" s="38">
        <v>168</v>
      </c>
      <c r="J1724" s="38">
        <v>89</v>
      </c>
      <c r="K1724" s="38">
        <v>79</v>
      </c>
      <c r="L1724" s="50">
        <f t="shared" si="83"/>
        <v>30.739299610894943</v>
      </c>
      <c r="M1724" s="38">
        <v>0</v>
      </c>
      <c r="N1724" s="50">
        <f t="shared" si="84"/>
        <v>0</v>
      </c>
      <c r="O1724" s="38">
        <v>0</v>
      </c>
      <c r="P1724" s="38">
        <v>0</v>
      </c>
    </row>
    <row r="1725" spans="1:31" x14ac:dyDescent="0.25">
      <c r="A1725" s="38" t="s">
        <v>36</v>
      </c>
      <c r="B1725" s="38" t="s">
        <v>3570</v>
      </c>
      <c r="C1725" s="38" t="s">
        <v>3714</v>
      </c>
      <c r="D1725" s="38" t="s">
        <v>3721</v>
      </c>
      <c r="E1725" s="38" t="s">
        <v>3722</v>
      </c>
      <c r="F1725" s="38">
        <v>609.75</v>
      </c>
      <c r="G1725" s="38">
        <v>609.75</v>
      </c>
      <c r="H1725" s="38">
        <f t="shared" si="82"/>
        <v>1135</v>
      </c>
      <c r="I1725" s="38">
        <v>751</v>
      </c>
      <c r="J1725" s="38">
        <v>384</v>
      </c>
      <c r="K1725" s="38">
        <v>367</v>
      </c>
      <c r="L1725" s="50">
        <f t="shared" si="83"/>
        <v>32.334801762114537</v>
      </c>
      <c r="M1725" s="38">
        <v>135</v>
      </c>
      <c r="N1725" s="50">
        <f t="shared" si="84"/>
        <v>11.894273127753303</v>
      </c>
      <c r="O1725" s="38">
        <v>0</v>
      </c>
      <c r="P1725" s="38">
        <v>0</v>
      </c>
    </row>
    <row r="1726" spans="1:31" x14ac:dyDescent="0.25">
      <c r="A1726" s="38" t="s">
        <v>36</v>
      </c>
      <c r="B1726" s="38" t="s">
        <v>3570</v>
      </c>
      <c r="C1726" s="38" t="s">
        <v>3714</v>
      </c>
      <c r="D1726" s="38" t="s">
        <v>3723</v>
      </c>
      <c r="E1726" s="38" t="s">
        <v>3724</v>
      </c>
      <c r="F1726" s="38">
        <v>619.73</v>
      </c>
      <c r="G1726" s="38">
        <v>619.73</v>
      </c>
      <c r="H1726" s="38">
        <f t="shared" si="82"/>
        <v>1226</v>
      </c>
      <c r="I1726" s="38">
        <v>795</v>
      </c>
      <c r="J1726" s="38">
        <v>431</v>
      </c>
      <c r="K1726" s="38">
        <v>364</v>
      </c>
      <c r="L1726" s="50">
        <f t="shared" si="83"/>
        <v>29.690048939641112</v>
      </c>
      <c r="M1726" s="38">
        <v>128</v>
      </c>
      <c r="N1726" s="50">
        <f t="shared" si="84"/>
        <v>10.440456769983687</v>
      </c>
      <c r="O1726" s="38">
        <v>0</v>
      </c>
      <c r="P1726" s="38">
        <v>0</v>
      </c>
    </row>
    <row r="1727" spans="1:31" x14ac:dyDescent="0.25">
      <c r="A1727" s="38" t="s">
        <v>36</v>
      </c>
      <c r="B1727" s="38" t="s">
        <v>3570</v>
      </c>
      <c r="C1727" s="38" t="s">
        <v>3725</v>
      </c>
      <c r="D1727" s="38" t="s">
        <v>3726</v>
      </c>
      <c r="E1727" s="38" t="s">
        <v>3727</v>
      </c>
      <c r="F1727" s="38">
        <v>1009</v>
      </c>
      <c r="G1727" s="38">
        <v>1009</v>
      </c>
      <c r="H1727" s="38">
        <f t="shared" si="82"/>
        <v>1271</v>
      </c>
      <c r="I1727" s="38">
        <v>838</v>
      </c>
      <c r="J1727" s="38">
        <v>433</v>
      </c>
      <c r="K1727" s="38">
        <v>405</v>
      </c>
      <c r="L1727" s="50">
        <f t="shared" si="83"/>
        <v>31.864673485444534</v>
      </c>
      <c r="M1727" s="38">
        <v>0</v>
      </c>
      <c r="N1727" s="50">
        <f t="shared" si="84"/>
        <v>0</v>
      </c>
      <c r="O1727" s="38">
        <v>0</v>
      </c>
      <c r="P1727" s="38">
        <v>0</v>
      </c>
      <c r="Q1727" s="39" t="s">
        <v>44</v>
      </c>
      <c r="R1727" s="7">
        <v>46192</v>
      </c>
      <c r="S1727" s="40"/>
      <c r="T1727" s="39">
        <v>2.8409</v>
      </c>
      <c r="U1727" s="39"/>
      <c r="V1727" s="39"/>
      <c r="W1727" s="39"/>
      <c r="X1727" s="39"/>
      <c r="Y1727" s="39"/>
      <c r="Z1727" s="3"/>
      <c r="AB1727" s="3"/>
      <c r="AC1727" s="38" t="s">
        <v>3726</v>
      </c>
      <c r="AD1727" s="2"/>
      <c r="AE1727" s="40"/>
    </row>
    <row r="1728" spans="1:31" x14ac:dyDescent="0.25">
      <c r="A1728" s="38" t="s">
        <v>36</v>
      </c>
      <c r="B1728" s="38" t="s">
        <v>3570</v>
      </c>
      <c r="C1728" s="38" t="s">
        <v>3725</v>
      </c>
      <c r="D1728" s="38" t="s">
        <v>3728</v>
      </c>
      <c r="E1728" s="38" t="s">
        <v>3729</v>
      </c>
      <c r="F1728" s="38">
        <v>1197.56</v>
      </c>
      <c r="G1728" s="38">
        <v>1197.56</v>
      </c>
      <c r="H1728" s="38">
        <f t="shared" si="82"/>
        <v>1180</v>
      </c>
      <c r="I1728" s="38">
        <v>773</v>
      </c>
      <c r="J1728" s="38">
        <v>407</v>
      </c>
      <c r="K1728" s="38">
        <v>366</v>
      </c>
      <c r="L1728" s="50">
        <f t="shared" si="83"/>
        <v>31.016949152542374</v>
      </c>
      <c r="M1728" s="38">
        <v>64</v>
      </c>
      <c r="N1728" s="50">
        <f t="shared" si="84"/>
        <v>5.4237288135593218</v>
      </c>
      <c r="O1728" s="38">
        <v>0</v>
      </c>
      <c r="P1728" s="38">
        <v>0</v>
      </c>
      <c r="Q1728" s="39" t="s">
        <v>44</v>
      </c>
      <c r="R1728" s="7">
        <v>46192</v>
      </c>
      <c r="S1728" s="40"/>
      <c r="T1728" s="39">
        <v>0.8337</v>
      </c>
      <c r="U1728" s="39"/>
      <c r="V1728" s="39"/>
      <c r="W1728" s="39"/>
      <c r="X1728" s="39"/>
      <c r="Y1728" s="39"/>
      <c r="Z1728" s="3"/>
      <c r="AB1728" s="3"/>
      <c r="AC1728" s="38" t="s">
        <v>3728</v>
      </c>
      <c r="AD1728" s="2"/>
      <c r="AE1728" s="40"/>
    </row>
    <row r="1729" spans="1:31" x14ac:dyDescent="0.25">
      <c r="A1729" s="38" t="s">
        <v>36</v>
      </c>
      <c r="B1729" s="38" t="s">
        <v>3570</v>
      </c>
      <c r="C1729" s="38" t="s">
        <v>3725</v>
      </c>
      <c r="D1729" s="38" t="s">
        <v>3730</v>
      </c>
      <c r="E1729" s="38" t="s">
        <v>3731</v>
      </c>
      <c r="F1729" s="38">
        <v>1050.27</v>
      </c>
      <c r="G1729" s="38">
        <v>1050.27</v>
      </c>
      <c r="H1729" s="38">
        <f t="shared" si="82"/>
        <v>1282</v>
      </c>
      <c r="I1729" s="38">
        <v>839</v>
      </c>
      <c r="J1729" s="38">
        <v>443</v>
      </c>
      <c r="K1729" s="38">
        <v>396</v>
      </c>
      <c r="L1729" s="50">
        <f t="shared" si="83"/>
        <v>30.88923556942278</v>
      </c>
      <c r="M1729" s="38">
        <v>0</v>
      </c>
      <c r="N1729" s="50">
        <f t="shared" si="84"/>
        <v>0</v>
      </c>
      <c r="O1729" s="38">
        <v>0</v>
      </c>
      <c r="P1729" s="38">
        <v>0</v>
      </c>
      <c r="Q1729" s="39" t="s">
        <v>44</v>
      </c>
      <c r="R1729" s="7">
        <v>46192</v>
      </c>
      <c r="S1729" s="40"/>
      <c r="T1729" s="39">
        <v>0</v>
      </c>
      <c r="U1729" s="39"/>
      <c r="V1729" s="39"/>
      <c r="W1729" s="39"/>
      <c r="X1729" s="39"/>
      <c r="Y1729" s="39"/>
      <c r="Z1729" s="3"/>
      <c r="AB1729" s="3"/>
      <c r="AC1729" s="38" t="s">
        <v>3730</v>
      </c>
      <c r="AD1729" s="2"/>
      <c r="AE1729" s="40"/>
    </row>
    <row r="1730" spans="1:31" x14ac:dyDescent="0.25">
      <c r="A1730" s="38" t="s">
        <v>36</v>
      </c>
      <c r="B1730" s="38" t="s">
        <v>3570</v>
      </c>
      <c r="C1730" s="38" t="s">
        <v>3725</v>
      </c>
      <c r="D1730" s="38" t="s">
        <v>3732</v>
      </c>
      <c r="E1730" s="38" t="s">
        <v>3733</v>
      </c>
      <c r="F1730" s="38">
        <v>753.28</v>
      </c>
      <c r="G1730" s="38">
        <v>753.28</v>
      </c>
      <c r="H1730" s="38">
        <f t="shared" si="82"/>
        <v>719</v>
      </c>
      <c r="I1730" s="38">
        <v>472</v>
      </c>
      <c r="J1730" s="38">
        <v>247</v>
      </c>
      <c r="K1730" s="38">
        <v>225</v>
      </c>
      <c r="L1730" s="50">
        <f t="shared" si="83"/>
        <v>31.29346314325452</v>
      </c>
      <c r="M1730" s="38">
        <v>58</v>
      </c>
      <c r="N1730" s="50">
        <f t="shared" si="84"/>
        <v>8.0667593880389425</v>
      </c>
      <c r="O1730" s="38">
        <v>0</v>
      </c>
      <c r="P1730" s="38">
        <v>0</v>
      </c>
      <c r="Q1730" s="39" t="s">
        <v>44</v>
      </c>
      <c r="R1730" s="7">
        <v>46192</v>
      </c>
      <c r="S1730" s="40"/>
      <c r="T1730" s="39">
        <v>1.9262999999999999</v>
      </c>
      <c r="U1730" s="39"/>
      <c r="V1730" s="39"/>
      <c r="W1730" s="39"/>
      <c r="X1730" s="39"/>
      <c r="Y1730" s="39"/>
      <c r="Z1730" s="3"/>
      <c r="AB1730" s="3"/>
      <c r="AC1730" s="38" t="s">
        <v>3732</v>
      </c>
      <c r="AD1730" s="2"/>
      <c r="AE1730" s="40"/>
    </row>
    <row r="1731" spans="1:31" x14ac:dyDescent="0.25">
      <c r="A1731" s="38" t="s">
        <v>36</v>
      </c>
      <c r="B1731" s="38" t="s">
        <v>3570</v>
      </c>
      <c r="C1731" s="38" t="s">
        <v>3725</v>
      </c>
      <c r="D1731" s="38" t="s">
        <v>3734</v>
      </c>
      <c r="E1731" s="38" t="s">
        <v>3735</v>
      </c>
      <c r="F1731" s="38">
        <v>840</v>
      </c>
      <c r="G1731" s="38">
        <v>840</v>
      </c>
      <c r="H1731" s="38">
        <f t="shared" si="82"/>
        <v>998</v>
      </c>
      <c r="I1731" s="38">
        <v>648</v>
      </c>
      <c r="J1731" s="38">
        <v>350</v>
      </c>
      <c r="K1731" s="38">
        <v>298</v>
      </c>
      <c r="L1731" s="50">
        <f t="shared" si="83"/>
        <v>29.859719438877757</v>
      </c>
      <c r="M1731" s="38">
        <v>0</v>
      </c>
      <c r="N1731" s="50">
        <f t="shared" si="84"/>
        <v>0</v>
      </c>
      <c r="O1731" s="38">
        <v>0</v>
      </c>
      <c r="P1731" s="38">
        <v>0</v>
      </c>
      <c r="Q1731" s="39" t="s">
        <v>44</v>
      </c>
      <c r="R1731" s="7">
        <v>46192</v>
      </c>
      <c r="S1731" s="40"/>
      <c r="T1731" s="39">
        <v>0</v>
      </c>
      <c r="U1731" s="39"/>
      <c r="V1731" s="39"/>
      <c r="W1731" s="39"/>
      <c r="X1731" s="39"/>
      <c r="Y1731" s="39"/>
      <c r="Z1731" s="3"/>
      <c r="AB1731" s="3"/>
      <c r="AC1731" s="38" t="s">
        <v>3734</v>
      </c>
      <c r="AD1731" s="2"/>
      <c r="AE1731" s="40"/>
    </row>
    <row r="1732" spans="1:31" x14ac:dyDescent="0.25">
      <c r="A1732" s="38" t="s">
        <v>36</v>
      </c>
      <c r="B1732" s="38" t="s">
        <v>3570</v>
      </c>
      <c r="C1732" s="38" t="s">
        <v>3736</v>
      </c>
      <c r="D1732" s="38" t="s">
        <v>3737</v>
      </c>
      <c r="E1732" s="38" t="s">
        <v>3738</v>
      </c>
      <c r="F1732" s="38">
        <v>3209</v>
      </c>
      <c r="G1732" s="38">
        <v>3209</v>
      </c>
      <c r="H1732" s="38">
        <f t="shared" si="82"/>
        <v>4024</v>
      </c>
      <c r="I1732" s="38">
        <v>2646</v>
      </c>
      <c r="J1732" s="38">
        <v>1378</v>
      </c>
      <c r="K1732" s="38">
        <v>1268</v>
      </c>
      <c r="L1732" s="50">
        <f t="shared" si="83"/>
        <v>31.510934393638173</v>
      </c>
      <c r="M1732" s="38">
        <v>154</v>
      </c>
      <c r="N1732" s="50">
        <f t="shared" si="84"/>
        <v>3.8270377733598413</v>
      </c>
      <c r="O1732" s="38">
        <v>0</v>
      </c>
      <c r="P1732" s="38">
        <v>0</v>
      </c>
    </row>
    <row r="1733" spans="1:31" x14ac:dyDescent="0.25">
      <c r="A1733" s="38" t="s">
        <v>36</v>
      </c>
      <c r="B1733" s="38" t="s">
        <v>3570</v>
      </c>
      <c r="C1733" s="38" t="s">
        <v>3739</v>
      </c>
      <c r="D1733" s="38" t="s">
        <v>3740</v>
      </c>
      <c r="E1733" s="38" t="s">
        <v>3741</v>
      </c>
      <c r="F1733" s="38">
        <v>512.71</v>
      </c>
      <c r="G1733" s="38">
        <v>512.71</v>
      </c>
      <c r="H1733" s="38">
        <f t="shared" ref="H1733:H1796" si="85">I1733+J1733</f>
        <v>1244</v>
      </c>
      <c r="I1733" s="38">
        <v>814</v>
      </c>
      <c r="J1733" s="38">
        <v>430</v>
      </c>
      <c r="K1733" s="38">
        <v>384</v>
      </c>
      <c r="L1733" s="50">
        <f t="shared" si="83"/>
        <v>30.868167202572351</v>
      </c>
      <c r="M1733" s="38">
        <v>106</v>
      </c>
      <c r="N1733" s="50">
        <f t="shared" si="84"/>
        <v>8.520900321543408</v>
      </c>
      <c r="O1733" s="38">
        <v>0</v>
      </c>
      <c r="P1733" s="38">
        <v>1</v>
      </c>
    </row>
    <row r="1734" spans="1:31" x14ac:dyDescent="0.25">
      <c r="A1734" s="38" t="s">
        <v>36</v>
      </c>
      <c r="B1734" s="38" t="s">
        <v>3570</v>
      </c>
      <c r="C1734" s="38" t="s">
        <v>3739</v>
      </c>
      <c r="D1734" s="38" t="s">
        <v>3742</v>
      </c>
      <c r="E1734" s="38" t="s">
        <v>3743</v>
      </c>
      <c r="F1734" s="38">
        <v>693</v>
      </c>
      <c r="G1734" s="38">
        <v>693</v>
      </c>
      <c r="H1734" s="38">
        <f t="shared" si="85"/>
        <v>1024</v>
      </c>
      <c r="I1734" s="38">
        <v>673</v>
      </c>
      <c r="J1734" s="38">
        <v>351</v>
      </c>
      <c r="K1734" s="38">
        <v>322</v>
      </c>
      <c r="L1734" s="50">
        <f t="shared" ref="L1734:L1797" si="86">K1734/H1734*100</f>
        <v>31.4453125</v>
      </c>
      <c r="M1734" s="38">
        <v>0</v>
      </c>
      <c r="N1734" s="50">
        <f t="shared" si="84"/>
        <v>0</v>
      </c>
      <c r="O1734" s="38">
        <v>0</v>
      </c>
      <c r="P1734" s="38">
        <v>0</v>
      </c>
    </row>
    <row r="1735" spans="1:31" x14ac:dyDescent="0.25">
      <c r="A1735" s="38" t="s">
        <v>36</v>
      </c>
      <c r="B1735" s="38" t="s">
        <v>3570</v>
      </c>
      <c r="C1735" s="38" t="s">
        <v>3739</v>
      </c>
      <c r="D1735" s="38" t="s">
        <v>3744</v>
      </c>
      <c r="E1735" s="38" t="s">
        <v>3745</v>
      </c>
      <c r="F1735" s="38">
        <v>706</v>
      </c>
      <c r="G1735" s="38">
        <v>706</v>
      </c>
      <c r="H1735" s="38">
        <f t="shared" si="85"/>
        <v>1184</v>
      </c>
      <c r="I1735" s="38">
        <v>767</v>
      </c>
      <c r="J1735" s="38">
        <v>417</v>
      </c>
      <c r="K1735" s="38">
        <v>350</v>
      </c>
      <c r="L1735" s="50">
        <f t="shared" si="86"/>
        <v>29.560810810810811</v>
      </c>
      <c r="M1735" s="38">
        <v>0</v>
      </c>
      <c r="N1735" s="50">
        <f t="shared" si="84"/>
        <v>0</v>
      </c>
      <c r="O1735" s="38">
        <v>0</v>
      </c>
      <c r="P1735" s="38">
        <v>0</v>
      </c>
    </row>
    <row r="1736" spans="1:31" x14ac:dyDescent="0.25">
      <c r="A1736" s="38" t="s">
        <v>36</v>
      </c>
      <c r="B1736" s="38" t="s">
        <v>3570</v>
      </c>
      <c r="C1736" s="38" t="s">
        <v>3739</v>
      </c>
      <c r="D1736" s="38" t="s">
        <v>3746</v>
      </c>
      <c r="E1736" s="38" t="s">
        <v>3747</v>
      </c>
      <c r="F1736" s="38">
        <v>1100</v>
      </c>
      <c r="G1736" s="38">
        <v>1100</v>
      </c>
      <c r="H1736" s="38">
        <f t="shared" si="85"/>
        <v>962</v>
      </c>
      <c r="I1736" s="38">
        <v>633</v>
      </c>
      <c r="J1736" s="38">
        <v>329</v>
      </c>
      <c r="K1736" s="38">
        <v>304</v>
      </c>
      <c r="L1736" s="50">
        <f t="shared" si="86"/>
        <v>31.600831600831604</v>
      </c>
      <c r="M1736" s="38">
        <v>31</v>
      </c>
      <c r="N1736" s="50">
        <f t="shared" si="84"/>
        <v>3.2224532224532227</v>
      </c>
      <c r="O1736" s="38">
        <v>0</v>
      </c>
      <c r="P1736" s="38">
        <v>0</v>
      </c>
    </row>
    <row r="1737" spans="1:31" x14ac:dyDescent="0.25">
      <c r="A1737" s="38" t="s">
        <v>36</v>
      </c>
      <c r="B1737" s="38" t="s">
        <v>3570</v>
      </c>
      <c r="C1737" s="38" t="s">
        <v>3748</v>
      </c>
      <c r="D1737" s="38" t="s">
        <v>3749</v>
      </c>
      <c r="E1737" s="38" t="s">
        <v>3750</v>
      </c>
      <c r="F1737" s="38">
        <v>1441</v>
      </c>
      <c r="G1737" s="38">
        <v>1441</v>
      </c>
      <c r="H1737" s="38">
        <f t="shared" si="85"/>
        <v>1581</v>
      </c>
      <c r="I1737" s="38">
        <v>1039</v>
      </c>
      <c r="J1737" s="38">
        <v>542</v>
      </c>
      <c r="K1737" s="38">
        <v>497</v>
      </c>
      <c r="L1737" s="50">
        <f t="shared" si="86"/>
        <v>31.435800126502212</v>
      </c>
      <c r="M1737" s="38">
        <v>187</v>
      </c>
      <c r="N1737" s="50">
        <f t="shared" si="84"/>
        <v>11.827956989247312</v>
      </c>
      <c r="O1737" s="38">
        <v>0</v>
      </c>
      <c r="P1737" s="38">
        <v>7</v>
      </c>
    </row>
    <row r="1738" spans="1:31" x14ac:dyDescent="0.25">
      <c r="A1738" s="38" t="s">
        <v>36</v>
      </c>
      <c r="B1738" s="38" t="s">
        <v>3570</v>
      </c>
      <c r="C1738" s="38" t="s">
        <v>3748</v>
      </c>
      <c r="D1738" s="38" t="s">
        <v>3751</v>
      </c>
      <c r="E1738" s="38" t="s">
        <v>3752</v>
      </c>
      <c r="F1738" s="38">
        <v>1109</v>
      </c>
      <c r="G1738" s="38">
        <v>1109</v>
      </c>
      <c r="H1738" s="38">
        <f t="shared" si="85"/>
        <v>1116</v>
      </c>
      <c r="I1738" s="38">
        <v>742</v>
      </c>
      <c r="J1738" s="38">
        <v>374</v>
      </c>
      <c r="K1738" s="38">
        <v>368</v>
      </c>
      <c r="L1738" s="50">
        <f t="shared" si="86"/>
        <v>32.974910394265237</v>
      </c>
      <c r="M1738" s="38">
        <v>99</v>
      </c>
      <c r="N1738" s="50">
        <f t="shared" si="84"/>
        <v>8.870967741935484</v>
      </c>
      <c r="O1738" s="38">
        <v>0</v>
      </c>
      <c r="P1738" s="38">
        <v>56</v>
      </c>
    </row>
    <row r="1739" spans="1:31" x14ac:dyDescent="0.25">
      <c r="A1739" s="38" t="s">
        <v>36</v>
      </c>
      <c r="B1739" s="38" t="s">
        <v>3570</v>
      </c>
      <c r="C1739" s="38" t="s">
        <v>3748</v>
      </c>
      <c r="D1739" s="38" t="s">
        <v>770</v>
      </c>
      <c r="E1739" s="38" t="s">
        <v>3753</v>
      </c>
      <c r="F1739" s="38">
        <v>1150</v>
      </c>
      <c r="G1739" s="38">
        <v>1150</v>
      </c>
      <c r="H1739" s="38">
        <f t="shared" si="85"/>
        <v>967</v>
      </c>
      <c r="I1739" s="38">
        <v>640</v>
      </c>
      <c r="J1739" s="38">
        <v>327</v>
      </c>
      <c r="K1739" s="38">
        <v>313</v>
      </c>
      <c r="L1739" s="50">
        <f t="shared" si="86"/>
        <v>32.368148914167527</v>
      </c>
      <c r="M1739" s="38">
        <v>0</v>
      </c>
      <c r="N1739" s="50">
        <f t="shared" si="84"/>
        <v>0</v>
      </c>
      <c r="O1739" s="38">
        <v>0</v>
      </c>
      <c r="P1739" s="38">
        <v>3</v>
      </c>
    </row>
    <row r="1740" spans="1:31" x14ac:dyDescent="0.25">
      <c r="A1740" s="38" t="s">
        <v>36</v>
      </c>
      <c r="B1740" s="38" t="s">
        <v>3570</v>
      </c>
      <c r="C1740" s="38" t="s">
        <v>3748</v>
      </c>
      <c r="D1740" s="38" t="s">
        <v>3754</v>
      </c>
      <c r="E1740" s="38" t="s">
        <v>3755</v>
      </c>
      <c r="F1740" s="38">
        <v>659</v>
      </c>
      <c r="G1740" s="38">
        <v>659</v>
      </c>
      <c r="H1740" s="38">
        <f t="shared" si="85"/>
        <v>485</v>
      </c>
      <c r="I1740" s="38">
        <v>317</v>
      </c>
      <c r="J1740" s="38">
        <v>168</v>
      </c>
      <c r="K1740" s="38">
        <v>149</v>
      </c>
      <c r="L1740" s="50">
        <f t="shared" si="86"/>
        <v>30.721649484536083</v>
      </c>
      <c r="M1740" s="38">
        <v>0</v>
      </c>
      <c r="N1740" s="50">
        <f t="shared" si="84"/>
        <v>0</v>
      </c>
      <c r="O1740" s="38">
        <v>0</v>
      </c>
      <c r="P1740" s="38">
        <v>8</v>
      </c>
    </row>
    <row r="1741" spans="1:31" x14ac:dyDescent="0.25">
      <c r="A1741" s="38" t="s">
        <v>36</v>
      </c>
      <c r="B1741" s="38" t="s">
        <v>3570</v>
      </c>
      <c r="C1741" s="38" t="s">
        <v>3748</v>
      </c>
      <c r="D1741" s="38" t="s">
        <v>3756</v>
      </c>
      <c r="E1741" s="38" t="s">
        <v>3757</v>
      </c>
      <c r="F1741" s="38">
        <v>442</v>
      </c>
      <c r="G1741" s="38">
        <v>442</v>
      </c>
      <c r="H1741" s="38">
        <f t="shared" si="85"/>
        <v>382</v>
      </c>
      <c r="I1741" s="38">
        <v>248</v>
      </c>
      <c r="J1741" s="38">
        <v>134</v>
      </c>
      <c r="K1741" s="38">
        <v>114</v>
      </c>
      <c r="L1741" s="50">
        <f t="shared" si="86"/>
        <v>29.842931937172771</v>
      </c>
      <c r="M1741" s="38">
        <v>0</v>
      </c>
      <c r="N1741" s="50">
        <f t="shared" si="84"/>
        <v>0</v>
      </c>
      <c r="O1741" s="38">
        <v>0</v>
      </c>
      <c r="P1741" s="38">
        <v>0</v>
      </c>
    </row>
    <row r="1742" spans="1:31" x14ac:dyDescent="0.25">
      <c r="A1742" s="38" t="s">
        <v>36</v>
      </c>
      <c r="B1742" s="38" t="s">
        <v>3570</v>
      </c>
      <c r="C1742" s="38" t="s">
        <v>3748</v>
      </c>
      <c r="D1742" s="38" t="s">
        <v>3758</v>
      </c>
      <c r="E1742" s="38" t="s">
        <v>3759</v>
      </c>
      <c r="F1742" s="38">
        <v>1152</v>
      </c>
      <c r="G1742" s="38">
        <v>1152</v>
      </c>
      <c r="H1742" s="38">
        <f t="shared" si="85"/>
        <v>1138</v>
      </c>
      <c r="I1742" s="38">
        <v>750</v>
      </c>
      <c r="J1742" s="38">
        <v>388</v>
      </c>
      <c r="K1742" s="38">
        <v>362</v>
      </c>
      <c r="L1742" s="50">
        <f t="shared" si="86"/>
        <v>31.810193321616868</v>
      </c>
      <c r="M1742" s="38">
        <v>3</v>
      </c>
      <c r="N1742" s="50">
        <f t="shared" si="84"/>
        <v>0.26362038664323373</v>
      </c>
      <c r="O1742" s="38">
        <v>0</v>
      </c>
      <c r="P1742" s="38">
        <v>50</v>
      </c>
    </row>
    <row r="1743" spans="1:31" x14ac:dyDescent="0.25">
      <c r="A1743" s="38" t="s">
        <v>36</v>
      </c>
      <c r="B1743" s="38" t="s">
        <v>3570</v>
      </c>
      <c r="C1743" s="38" t="s">
        <v>3748</v>
      </c>
      <c r="D1743" s="38" t="s">
        <v>3760</v>
      </c>
      <c r="E1743" s="38" t="s">
        <v>3761</v>
      </c>
      <c r="F1743" s="38">
        <v>909</v>
      </c>
      <c r="G1743" s="38">
        <v>909</v>
      </c>
      <c r="H1743" s="38">
        <f t="shared" si="85"/>
        <v>978</v>
      </c>
      <c r="I1743" s="38">
        <v>638</v>
      </c>
      <c r="J1743" s="38">
        <v>340</v>
      </c>
      <c r="K1743" s="38">
        <v>298</v>
      </c>
      <c r="L1743" s="50">
        <f t="shared" si="86"/>
        <v>30.470347648261757</v>
      </c>
      <c r="M1743" s="38">
        <v>224</v>
      </c>
      <c r="N1743" s="50">
        <f t="shared" si="84"/>
        <v>22.903885480572598</v>
      </c>
      <c r="O1743" s="38">
        <v>0</v>
      </c>
      <c r="P1743" s="38">
        <v>0</v>
      </c>
    </row>
    <row r="1744" spans="1:31" x14ac:dyDescent="0.25">
      <c r="A1744" s="38" t="s">
        <v>36</v>
      </c>
      <c r="B1744" s="38" t="s">
        <v>3570</v>
      </c>
      <c r="C1744" s="38" t="s">
        <v>3748</v>
      </c>
      <c r="D1744" s="38" t="s">
        <v>3762</v>
      </c>
      <c r="E1744" s="38" t="s">
        <v>3763</v>
      </c>
      <c r="F1744" s="38">
        <v>1163</v>
      </c>
      <c r="G1744" s="38">
        <v>1163</v>
      </c>
      <c r="H1744" s="38">
        <f t="shared" si="85"/>
        <v>1513</v>
      </c>
      <c r="I1744" s="38">
        <v>993</v>
      </c>
      <c r="J1744" s="38">
        <v>520</v>
      </c>
      <c r="K1744" s="38">
        <v>473</v>
      </c>
      <c r="L1744" s="50">
        <f t="shared" si="86"/>
        <v>31.262392597488432</v>
      </c>
      <c r="M1744" s="38">
        <v>117</v>
      </c>
      <c r="N1744" s="50">
        <f t="shared" si="84"/>
        <v>7.7329808327825518</v>
      </c>
      <c r="O1744" s="38">
        <v>0</v>
      </c>
      <c r="P1744" s="38">
        <v>10</v>
      </c>
    </row>
    <row r="1745" spans="1:31" x14ac:dyDescent="0.25">
      <c r="A1745" s="38" t="s">
        <v>36</v>
      </c>
      <c r="B1745" s="38" t="s">
        <v>3570</v>
      </c>
      <c r="C1745" s="38" t="s">
        <v>3764</v>
      </c>
      <c r="D1745" s="38" t="s">
        <v>3764</v>
      </c>
      <c r="E1745" s="38" t="s">
        <v>3765</v>
      </c>
      <c r="F1745" s="38">
        <v>2976.64</v>
      </c>
      <c r="G1745" s="38">
        <v>2976.64</v>
      </c>
      <c r="H1745" s="38">
        <f t="shared" si="85"/>
        <v>3016</v>
      </c>
      <c r="I1745" s="38">
        <v>1971</v>
      </c>
      <c r="J1745" s="38">
        <v>1045</v>
      </c>
      <c r="K1745" s="38">
        <v>926</v>
      </c>
      <c r="L1745" s="50">
        <f t="shared" si="86"/>
        <v>30.702917771883286</v>
      </c>
      <c r="M1745" s="38">
        <v>65</v>
      </c>
      <c r="N1745" s="50">
        <f t="shared" si="84"/>
        <v>2.1551724137931036</v>
      </c>
      <c r="O1745" s="38">
        <v>0</v>
      </c>
      <c r="P1745" s="38">
        <v>23.06</v>
      </c>
      <c r="AC1745" s="117"/>
      <c r="AD1745" s="121"/>
    </row>
    <row r="1746" spans="1:31" x14ac:dyDescent="0.25">
      <c r="A1746" s="38" t="s">
        <v>36</v>
      </c>
      <c r="B1746" s="38" t="s">
        <v>3570</v>
      </c>
      <c r="C1746" s="38" t="s">
        <v>3764</v>
      </c>
      <c r="D1746" s="38" t="s">
        <v>3766</v>
      </c>
      <c r="E1746" s="38" t="s">
        <v>3767</v>
      </c>
      <c r="F1746" s="38">
        <v>1030.1099999999999</v>
      </c>
      <c r="G1746" s="38">
        <v>1030.1099999999999</v>
      </c>
      <c r="H1746" s="38">
        <f t="shared" si="85"/>
        <v>1050</v>
      </c>
      <c r="I1746" s="38">
        <v>685</v>
      </c>
      <c r="J1746" s="38">
        <v>365</v>
      </c>
      <c r="K1746" s="38">
        <v>320</v>
      </c>
      <c r="L1746" s="50">
        <f t="shared" si="86"/>
        <v>30.476190476190478</v>
      </c>
      <c r="M1746" s="38">
        <v>98</v>
      </c>
      <c r="N1746" s="50">
        <f t="shared" si="84"/>
        <v>9.3333333333333339</v>
      </c>
      <c r="O1746" s="38">
        <v>0</v>
      </c>
      <c r="P1746" s="38">
        <v>0</v>
      </c>
    </row>
    <row r="1747" spans="1:31" x14ac:dyDescent="0.25">
      <c r="A1747" s="38" t="s">
        <v>36</v>
      </c>
      <c r="B1747" s="38" t="s">
        <v>3570</v>
      </c>
      <c r="C1747" s="38" t="s">
        <v>3768</v>
      </c>
      <c r="D1747" s="38" t="s">
        <v>3768</v>
      </c>
      <c r="E1747" s="38" t="s">
        <v>3769</v>
      </c>
      <c r="F1747" s="38">
        <v>1326.25</v>
      </c>
      <c r="G1747" s="38">
        <v>1326.25</v>
      </c>
      <c r="H1747" s="38">
        <f t="shared" si="85"/>
        <v>1600</v>
      </c>
      <c r="I1747" s="38">
        <v>1052</v>
      </c>
      <c r="J1747" s="38">
        <v>548</v>
      </c>
      <c r="K1747" s="38">
        <v>504</v>
      </c>
      <c r="L1747" s="50">
        <f t="shared" si="86"/>
        <v>31.5</v>
      </c>
      <c r="M1747" s="38">
        <v>0</v>
      </c>
      <c r="N1747" s="50">
        <f t="shared" si="84"/>
        <v>0</v>
      </c>
      <c r="O1747" s="38">
        <v>0</v>
      </c>
      <c r="P1747" s="38">
        <v>0</v>
      </c>
    </row>
    <row r="1748" spans="1:31" x14ac:dyDescent="0.25">
      <c r="A1748" s="38" t="s">
        <v>36</v>
      </c>
      <c r="B1748" s="38" t="s">
        <v>3570</v>
      </c>
      <c r="C1748" s="38" t="s">
        <v>3768</v>
      </c>
      <c r="D1748" s="38" t="s">
        <v>3770</v>
      </c>
      <c r="E1748" s="38" t="s">
        <v>3771</v>
      </c>
      <c r="F1748" s="38">
        <v>1100.71</v>
      </c>
      <c r="G1748" s="38">
        <v>1100.71</v>
      </c>
      <c r="H1748" s="38">
        <f t="shared" si="85"/>
        <v>1496</v>
      </c>
      <c r="I1748" s="38">
        <v>989</v>
      </c>
      <c r="J1748" s="38">
        <v>507</v>
      </c>
      <c r="K1748" s="38">
        <v>482</v>
      </c>
      <c r="L1748" s="50">
        <f t="shared" si="86"/>
        <v>32.219251336898395</v>
      </c>
      <c r="M1748" s="38">
        <v>40</v>
      </c>
      <c r="N1748" s="50">
        <f t="shared" si="84"/>
        <v>2.6737967914438503</v>
      </c>
      <c r="O1748" s="38">
        <v>0</v>
      </c>
      <c r="P1748" s="38">
        <v>0</v>
      </c>
    </row>
    <row r="1749" spans="1:31" x14ac:dyDescent="0.25">
      <c r="A1749" s="38" t="s">
        <v>36</v>
      </c>
      <c r="B1749" s="38" t="s">
        <v>3570</v>
      </c>
      <c r="C1749" s="38" t="s">
        <v>3768</v>
      </c>
      <c r="D1749" s="38" t="s">
        <v>561</v>
      </c>
      <c r="E1749" s="38" t="s">
        <v>3772</v>
      </c>
      <c r="F1749" s="38">
        <v>1257</v>
      </c>
      <c r="G1749" s="38">
        <v>1257</v>
      </c>
      <c r="H1749" s="38">
        <f t="shared" si="85"/>
        <v>1447</v>
      </c>
      <c r="I1749" s="38">
        <v>948</v>
      </c>
      <c r="J1749" s="38">
        <v>499</v>
      </c>
      <c r="K1749" s="38">
        <v>449</v>
      </c>
      <c r="L1749" s="50">
        <f t="shared" si="86"/>
        <v>31.029716655148583</v>
      </c>
      <c r="M1749" s="38">
        <v>15</v>
      </c>
      <c r="N1749" s="50">
        <f t="shared" si="84"/>
        <v>1.0366275051831375</v>
      </c>
      <c r="O1749" s="38">
        <v>0</v>
      </c>
      <c r="P1749" s="38">
        <v>0</v>
      </c>
    </row>
    <row r="1750" spans="1:31" x14ac:dyDescent="0.25">
      <c r="A1750" s="38" t="s">
        <v>36</v>
      </c>
      <c r="B1750" s="38" t="s">
        <v>3570</v>
      </c>
      <c r="C1750" s="38" t="s">
        <v>2565</v>
      </c>
      <c r="D1750" s="38" t="s">
        <v>2565</v>
      </c>
      <c r="E1750" s="38" t="s">
        <v>3773</v>
      </c>
      <c r="F1750" s="38">
        <v>520.78</v>
      </c>
      <c r="G1750" s="38">
        <v>520.78</v>
      </c>
      <c r="H1750" s="38">
        <f t="shared" si="85"/>
        <v>1288</v>
      </c>
      <c r="I1750" s="38">
        <v>854</v>
      </c>
      <c r="J1750" s="38">
        <v>434</v>
      </c>
      <c r="K1750" s="38">
        <v>420</v>
      </c>
      <c r="L1750" s="50">
        <f t="shared" si="86"/>
        <v>32.608695652173914</v>
      </c>
      <c r="M1750" s="38">
        <v>315</v>
      </c>
      <c r="N1750" s="50">
        <f t="shared" ref="N1750:N1813" si="87">M1750/H1750*100</f>
        <v>24.456521739130434</v>
      </c>
      <c r="O1750" s="38">
        <v>0</v>
      </c>
      <c r="P1750" s="38">
        <v>0.55000000000000004</v>
      </c>
    </row>
    <row r="1751" spans="1:31" x14ac:dyDescent="0.25">
      <c r="A1751" s="38" t="s">
        <v>36</v>
      </c>
      <c r="B1751" s="38" t="s">
        <v>3570</v>
      </c>
      <c r="C1751" s="38" t="s">
        <v>2565</v>
      </c>
      <c r="D1751" s="38" t="s">
        <v>3774</v>
      </c>
      <c r="E1751" s="38" t="s">
        <v>3775</v>
      </c>
      <c r="F1751" s="38">
        <v>928.98</v>
      </c>
      <c r="G1751" s="38">
        <v>928.98</v>
      </c>
      <c r="H1751" s="38">
        <f t="shared" si="85"/>
        <v>1234</v>
      </c>
      <c r="I1751" s="38">
        <v>814</v>
      </c>
      <c r="J1751" s="38">
        <v>420</v>
      </c>
      <c r="K1751" s="38">
        <v>394</v>
      </c>
      <c r="L1751" s="50">
        <f t="shared" si="86"/>
        <v>31.928687196110211</v>
      </c>
      <c r="M1751" s="38">
        <v>5</v>
      </c>
      <c r="N1751" s="50">
        <f t="shared" si="87"/>
        <v>0.4051863857374392</v>
      </c>
      <c r="O1751" s="38">
        <v>0</v>
      </c>
      <c r="P1751" s="38">
        <v>6.81</v>
      </c>
    </row>
    <row r="1752" spans="1:31" x14ac:dyDescent="0.25">
      <c r="A1752" s="38" t="s">
        <v>36</v>
      </c>
      <c r="B1752" s="38" t="s">
        <v>3570</v>
      </c>
      <c r="C1752" s="38" t="s">
        <v>2565</v>
      </c>
      <c r="D1752" s="38" t="s">
        <v>3776</v>
      </c>
      <c r="E1752" s="38" t="s">
        <v>3777</v>
      </c>
      <c r="F1752" s="38">
        <v>870.28</v>
      </c>
      <c r="G1752" s="38">
        <v>870.28</v>
      </c>
      <c r="H1752" s="38">
        <f t="shared" si="85"/>
        <v>904</v>
      </c>
      <c r="I1752" s="38">
        <v>589</v>
      </c>
      <c r="J1752" s="38">
        <v>315</v>
      </c>
      <c r="K1752" s="38">
        <v>274</v>
      </c>
      <c r="L1752" s="50">
        <f t="shared" si="86"/>
        <v>30.309734513274339</v>
      </c>
      <c r="M1752" s="38">
        <v>0</v>
      </c>
      <c r="N1752" s="50">
        <f t="shared" si="87"/>
        <v>0</v>
      </c>
      <c r="O1752" s="38">
        <v>0</v>
      </c>
      <c r="P1752" s="38">
        <v>0</v>
      </c>
    </row>
    <row r="1753" spans="1:31" x14ac:dyDescent="0.25">
      <c r="A1753" s="38" t="s">
        <v>36</v>
      </c>
      <c r="B1753" s="38" t="s">
        <v>3570</v>
      </c>
      <c r="C1753" s="38" t="s">
        <v>2565</v>
      </c>
      <c r="D1753" s="38" t="s">
        <v>3778</v>
      </c>
      <c r="E1753" s="38" t="s">
        <v>3779</v>
      </c>
      <c r="F1753" s="38">
        <v>1627.27</v>
      </c>
      <c r="G1753" s="38">
        <v>1627.27</v>
      </c>
      <c r="H1753" s="38">
        <f t="shared" si="85"/>
        <v>1578</v>
      </c>
      <c r="I1753" s="38">
        <v>1036</v>
      </c>
      <c r="J1753" s="38">
        <v>542</v>
      </c>
      <c r="K1753" s="38">
        <v>494</v>
      </c>
      <c r="L1753" s="50">
        <f t="shared" si="86"/>
        <v>31.305449936628644</v>
      </c>
      <c r="M1753" s="38">
        <v>26</v>
      </c>
      <c r="N1753" s="50">
        <f t="shared" si="87"/>
        <v>1.6476552598225602</v>
      </c>
      <c r="O1753" s="38">
        <v>0</v>
      </c>
      <c r="P1753" s="38">
        <v>0</v>
      </c>
    </row>
    <row r="1754" spans="1:31" x14ac:dyDescent="0.25">
      <c r="A1754" s="38" t="s">
        <v>36</v>
      </c>
      <c r="B1754" s="41" t="s">
        <v>3570</v>
      </c>
      <c r="C1754" s="41" t="s">
        <v>3780</v>
      </c>
      <c r="D1754" s="41" t="s">
        <v>3780</v>
      </c>
      <c r="E1754" s="41" t="s">
        <v>3781</v>
      </c>
      <c r="F1754" s="41">
        <v>1079</v>
      </c>
      <c r="G1754" s="41">
        <v>1079</v>
      </c>
      <c r="H1754" s="38">
        <f t="shared" si="85"/>
        <v>1087</v>
      </c>
      <c r="I1754" s="41">
        <v>711</v>
      </c>
      <c r="J1754" s="41">
        <v>376</v>
      </c>
      <c r="K1754" s="41">
        <v>335</v>
      </c>
      <c r="L1754" s="50">
        <f t="shared" si="86"/>
        <v>30.818767249310024</v>
      </c>
      <c r="M1754" s="41">
        <v>112</v>
      </c>
      <c r="N1754" s="50">
        <f t="shared" si="87"/>
        <v>10.303587856485741</v>
      </c>
      <c r="O1754" s="41">
        <v>0</v>
      </c>
      <c r="P1754" s="41">
        <v>150</v>
      </c>
      <c r="Q1754" s="43" t="s">
        <v>44</v>
      </c>
      <c r="R1754" s="24">
        <v>46114</v>
      </c>
      <c r="S1754" s="44"/>
      <c r="T1754" s="43">
        <v>157.98089999999999</v>
      </c>
      <c r="U1754" s="43"/>
      <c r="V1754" s="43"/>
      <c r="W1754" s="43"/>
      <c r="X1754" s="43"/>
      <c r="Y1754" s="43"/>
      <c r="Z1754" s="5"/>
      <c r="AB1754" s="5">
        <v>20</v>
      </c>
      <c r="AC1754" s="41" t="s">
        <v>3780</v>
      </c>
      <c r="AD1754" s="44">
        <v>26.184830000000002</v>
      </c>
      <c r="AE1754" s="44">
        <v>71.952256000000006</v>
      </c>
    </row>
    <row r="1755" spans="1:31" x14ac:dyDescent="0.25">
      <c r="A1755" s="38" t="s">
        <v>36</v>
      </c>
      <c r="B1755" s="38" t="s">
        <v>3570</v>
      </c>
      <c r="C1755" s="38" t="s">
        <v>3780</v>
      </c>
      <c r="D1755" s="38" t="s">
        <v>561</v>
      </c>
      <c r="E1755" s="38" t="s">
        <v>3782</v>
      </c>
      <c r="F1755" s="38">
        <v>327.61</v>
      </c>
      <c r="G1755" s="38">
        <v>327.61</v>
      </c>
      <c r="H1755" s="38">
        <f t="shared" si="85"/>
        <v>381</v>
      </c>
      <c r="I1755" s="38">
        <v>245</v>
      </c>
      <c r="J1755" s="38">
        <v>136</v>
      </c>
      <c r="K1755" s="38">
        <v>109</v>
      </c>
      <c r="L1755" s="50">
        <f t="shared" si="86"/>
        <v>28.608923884514436</v>
      </c>
      <c r="M1755" s="38">
        <v>0</v>
      </c>
      <c r="N1755" s="50">
        <f t="shared" si="87"/>
        <v>0</v>
      </c>
      <c r="O1755" s="38">
        <v>0</v>
      </c>
      <c r="P1755" s="38">
        <v>0</v>
      </c>
      <c r="Q1755" s="39" t="s">
        <v>44</v>
      </c>
      <c r="R1755" s="7">
        <v>46114</v>
      </c>
      <c r="S1755" s="40"/>
      <c r="T1755" s="39">
        <v>0</v>
      </c>
      <c r="U1755" s="39"/>
      <c r="V1755" s="39"/>
      <c r="W1755" s="39"/>
      <c r="X1755" s="39"/>
      <c r="Y1755" s="39"/>
      <c r="Z1755" s="3"/>
      <c r="AB1755" s="3"/>
      <c r="AC1755" s="38" t="s">
        <v>561</v>
      </c>
      <c r="AD1755" s="2"/>
      <c r="AE1755" s="40"/>
    </row>
    <row r="1756" spans="1:31" x14ac:dyDescent="0.25">
      <c r="A1756" s="38" t="s">
        <v>36</v>
      </c>
      <c r="B1756" s="41" t="s">
        <v>3570</v>
      </c>
      <c r="C1756" s="41" t="s">
        <v>3780</v>
      </c>
      <c r="D1756" s="41" t="s">
        <v>770</v>
      </c>
      <c r="E1756" s="41" t="s">
        <v>3783</v>
      </c>
      <c r="F1756" s="41">
        <v>645</v>
      </c>
      <c r="G1756" s="41">
        <v>645</v>
      </c>
      <c r="H1756" s="38">
        <f t="shared" si="85"/>
        <v>476</v>
      </c>
      <c r="I1756" s="41">
        <v>314</v>
      </c>
      <c r="J1756" s="41">
        <v>162</v>
      </c>
      <c r="K1756" s="41">
        <v>152</v>
      </c>
      <c r="L1756" s="50">
        <f t="shared" si="86"/>
        <v>31.932773109243694</v>
      </c>
      <c r="M1756" s="41">
        <v>0</v>
      </c>
      <c r="N1756" s="50">
        <f t="shared" si="87"/>
        <v>0</v>
      </c>
      <c r="O1756" s="41">
        <v>0</v>
      </c>
      <c r="P1756" s="41">
        <v>0</v>
      </c>
      <c r="Q1756" s="43" t="s">
        <v>44</v>
      </c>
      <c r="R1756" s="24">
        <v>46114</v>
      </c>
      <c r="S1756" s="44"/>
      <c r="T1756" s="43">
        <v>4.0225999999999997</v>
      </c>
      <c r="U1756" s="43"/>
      <c r="V1756" s="43"/>
      <c r="W1756" s="43"/>
      <c r="X1756" s="43"/>
      <c r="Y1756" s="43"/>
      <c r="Z1756" s="5"/>
      <c r="AB1756" s="5">
        <v>4</v>
      </c>
      <c r="AC1756" s="41" t="s">
        <v>770</v>
      </c>
      <c r="AD1756" s="44">
        <v>26.170309</v>
      </c>
      <c r="AE1756" s="44">
        <v>71.863308000000004</v>
      </c>
    </row>
    <row r="1757" spans="1:31" x14ac:dyDescent="0.25">
      <c r="A1757" s="38" t="s">
        <v>36</v>
      </c>
      <c r="B1757" s="38" t="s">
        <v>3570</v>
      </c>
      <c r="C1757" s="38" t="s">
        <v>3784</v>
      </c>
      <c r="D1757" s="38" t="s">
        <v>3785</v>
      </c>
      <c r="E1757" s="38" t="s">
        <v>3786</v>
      </c>
      <c r="F1757" s="38">
        <v>1005</v>
      </c>
      <c r="G1757" s="38">
        <v>1005</v>
      </c>
      <c r="H1757" s="38">
        <f t="shared" si="85"/>
        <v>2538</v>
      </c>
      <c r="I1757" s="38">
        <v>1640</v>
      </c>
      <c r="J1757" s="38">
        <v>898</v>
      </c>
      <c r="K1757" s="38">
        <v>742</v>
      </c>
      <c r="L1757" s="50">
        <f t="shared" si="86"/>
        <v>29.235618597320723</v>
      </c>
      <c r="M1757" s="38">
        <v>216</v>
      </c>
      <c r="N1757" s="50">
        <f t="shared" si="87"/>
        <v>8.5106382978723403</v>
      </c>
      <c r="O1757" s="38">
        <v>0</v>
      </c>
      <c r="P1757" s="38">
        <v>30</v>
      </c>
    </row>
    <row r="1758" spans="1:31" x14ac:dyDescent="0.25">
      <c r="A1758" s="38" t="s">
        <v>36</v>
      </c>
      <c r="B1758" s="38" t="s">
        <v>3570</v>
      </c>
      <c r="C1758" s="38" t="s">
        <v>3784</v>
      </c>
      <c r="D1758" s="38" t="s">
        <v>2928</v>
      </c>
      <c r="E1758" s="38" t="s">
        <v>3787</v>
      </c>
      <c r="F1758" s="38">
        <v>1004</v>
      </c>
      <c r="G1758" s="38">
        <v>1004</v>
      </c>
      <c r="H1758" s="38">
        <f t="shared" si="85"/>
        <v>1056</v>
      </c>
      <c r="I1758" s="38">
        <v>684</v>
      </c>
      <c r="J1758" s="38">
        <v>372</v>
      </c>
      <c r="K1758" s="38">
        <v>312</v>
      </c>
      <c r="L1758" s="50">
        <f t="shared" si="86"/>
        <v>29.545454545454547</v>
      </c>
      <c r="M1758" s="38">
        <v>0</v>
      </c>
      <c r="N1758" s="50">
        <f t="shared" si="87"/>
        <v>0</v>
      </c>
      <c r="O1758" s="38">
        <v>0</v>
      </c>
      <c r="P1758" s="38">
        <v>4</v>
      </c>
    </row>
    <row r="1759" spans="1:31" x14ac:dyDescent="0.25">
      <c r="A1759" s="38" t="s">
        <v>36</v>
      </c>
      <c r="B1759" s="38" t="s">
        <v>3570</v>
      </c>
      <c r="C1759" s="38" t="s">
        <v>3784</v>
      </c>
      <c r="D1759" s="38" t="s">
        <v>3788</v>
      </c>
      <c r="E1759" s="38" t="s">
        <v>3789</v>
      </c>
      <c r="F1759" s="38">
        <v>983</v>
      </c>
      <c r="G1759" s="38">
        <v>983</v>
      </c>
      <c r="H1759" s="38">
        <f t="shared" si="85"/>
        <v>767</v>
      </c>
      <c r="I1759" s="38">
        <v>498</v>
      </c>
      <c r="J1759" s="38">
        <v>269</v>
      </c>
      <c r="K1759" s="38">
        <v>229</v>
      </c>
      <c r="L1759" s="50">
        <f t="shared" si="86"/>
        <v>29.856584093872229</v>
      </c>
      <c r="M1759" s="38">
        <v>0</v>
      </c>
      <c r="N1759" s="50">
        <f t="shared" si="87"/>
        <v>0</v>
      </c>
      <c r="O1759" s="38">
        <v>0</v>
      </c>
      <c r="P1759" s="38">
        <v>0</v>
      </c>
    </row>
    <row r="1760" spans="1:31" x14ac:dyDescent="0.25">
      <c r="A1760" s="38" t="s">
        <v>36</v>
      </c>
      <c r="B1760" s="38" t="s">
        <v>3570</v>
      </c>
      <c r="C1760" s="38" t="s">
        <v>3790</v>
      </c>
      <c r="D1760" s="38" t="s">
        <v>3790</v>
      </c>
      <c r="E1760" s="38" t="s">
        <v>3791</v>
      </c>
      <c r="F1760" s="38">
        <v>1675.61</v>
      </c>
      <c r="G1760" s="38">
        <v>1675.61</v>
      </c>
      <c r="H1760" s="38">
        <f t="shared" si="85"/>
        <v>1458</v>
      </c>
      <c r="I1760" s="38">
        <v>957</v>
      </c>
      <c r="J1760" s="38">
        <v>501</v>
      </c>
      <c r="K1760" s="38">
        <v>456</v>
      </c>
      <c r="L1760" s="50">
        <f t="shared" si="86"/>
        <v>31.275720164609055</v>
      </c>
      <c r="M1760" s="38">
        <v>16</v>
      </c>
      <c r="N1760" s="50">
        <f t="shared" si="87"/>
        <v>1.0973936899862824</v>
      </c>
      <c r="O1760" s="38">
        <v>0</v>
      </c>
      <c r="P1760" s="38">
        <v>28.1</v>
      </c>
      <c r="AC1760" s="117"/>
      <c r="AD1760" s="121"/>
    </row>
    <row r="1761" spans="1:31" x14ac:dyDescent="0.25">
      <c r="A1761" s="38" t="s">
        <v>36</v>
      </c>
      <c r="B1761" s="38" t="s">
        <v>3570</v>
      </c>
      <c r="C1761" s="38" t="s">
        <v>3790</v>
      </c>
      <c r="D1761" s="38" t="s">
        <v>3790</v>
      </c>
      <c r="E1761" s="38" t="s">
        <v>3791</v>
      </c>
      <c r="F1761" s="38">
        <v>1675.61</v>
      </c>
      <c r="G1761" s="38">
        <v>1675.61</v>
      </c>
      <c r="H1761" s="38">
        <f t="shared" si="85"/>
        <v>1458</v>
      </c>
      <c r="I1761" s="38">
        <v>957</v>
      </c>
      <c r="J1761" s="38">
        <v>501</v>
      </c>
      <c r="K1761" s="38">
        <v>456</v>
      </c>
      <c r="L1761" s="50">
        <f t="shared" si="86"/>
        <v>31.275720164609055</v>
      </c>
      <c r="M1761" s="38">
        <v>16</v>
      </c>
      <c r="N1761" s="50">
        <f t="shared" si="87"/>
        <v>1.0973936899862824</v>
      </c>
      <c r="O1761" s="38">
        <v>0</v>
      </c>
      <c r="P1761" s="38">
        <v>28.1</v>
      </c>
      <c r="AC1761" s="117"/>
      <c r="AD1761" s="121"/>
    </row>
    <row r="1762" spans="1:31" x14ac:dyDescent="0.25">
      <c r="A1762" s="38" t="s">
        <v>36</v>
      </c>
      <c r="B1762" s="38" t="s">
        <v>3570</v>
      </c>
      <c r="C1762" s="38" t="s">
        <v>3790</v>
      </c>
      <c r="D1762" s="38" t="s">
        <v>3792</v>
      </c>
      <c r="E1762" s="38" t="s">
        <v>3793</v>
      </c>
      <c r="F1762" s="38">
        <v>1704.46</v>
      </c>
      <c r="G1762" s="38">
        <v>1704.46</v>
      </c>
      <c r="H1762" s="38">
        <f t="shared" si="85"/>
        <v>1330</v>
      </c>
      <c r="I1762" s="38">
        <v>884</v>
      </c>
      <c r="J1762" s="38">
        <v>446</v>
      </c>
      <c r="K1762" s="38">
        <v>438</v>
      </c>
      <c r="L1762" s="50">
        <f t="shared" si="86"/>
        <v>32.932330827067666</v>
      </c>
      <c r="M1762" s="38">
        <v>0</v>
      </c>
      <c r="N1762" s="50">
        <f t="shared" si="87"/>
        <v>0</v>
      </c>
      <c r="O1762" s="38">
        <v>0</v>
      </c>
      <c r="P1762" s="38">
        <v>2.11</v>
      </c>
    </row>
    <row r="1763" spans="1:31" x14ac:dyDescent="0.25">
      <c r="A1763" s="38" t="s">
        <v>36</v>
      </c>
      <c r="B1763" s="38" t="s">
        <v>3570</v>
      </c>
      <c r="C1763" s="38" t="s">
        <v>3790</v>
      </c>
      <c r="D1763" s="38" t="s">
        <v>3794</v>
      </c>
      <c r="E1763" s="38" t="s">
        <v>3795</v>
      </c>
      <c r="F1763" s="38">
        <v>1352.1</v>
      </c>
      <c r="G1763" s="38">
        <v>1352.1</v>
      </c>
      <c r="H1763" s="38">
        <f t="shared" si="85"/>
        <v>772</v>
      </c>
      <c r="I1763" s="38">
        <v>503</v>
      </c>
      <c r="J1763" s="38">
        <v>269</v>
      </c>
      <c r="K1763" s="38">
        <v>234</v>
      </c>
      <c r="L1763" s="50">
        <f t="shared" si="86"/>
        <v>30.310880829015545</v>
      </c>
      <c r="M1763" s="38">
        <v>0</v>
      </c>
      <c r="N1763" s="50">
        <f t="shared" si="87"/>
        <v>0</v>
      </c>
      <c r="O1763" s="38">
        <v>0</v>
      </c>
      <c r="P1763" s="38">
        <v>83.04</v>
      </c>
    </row>
    <row r="1764" spans="1:31" x14ac:dyDescent="0.25">
      <c r="A1764" s="38" t="s">
        <v>36</v>
      </c>
      <c r="B1764" s="38" t="s">
        <v>3570</v>
      </c>
      <c r="C1764" s="38" t="s">
        <v>3790</v>
      </c>
      <c r="D1764" s="38" t="s">
        <v>3796</v>
      </c>
      <c r="E1764" s="38" t="s">
        <v>3797</v>
      </c>
      <c r="F1764" s="38">
        <v>1173.6300000000001</v>
      </c>
      <c r="G1764" s="38">
        <v>1173.6300000000001</v>
      </c>
      <c r="H1764" s="38">
        <f t="shared" si="85"/>
        <v>791</v>
      </c>
      <c r="I1764" s="38">
        <v>506</v>
      </c>
      <c r="J1764" s="38">
        <v>285</v>
      </c>
      <c r="K1764" s="38">
        <v>221</v>
      </c>
      <c r="L1764" s="50">
        <f t="shared" si="86"/>
        <v>27.939317319848296</v>
      </c>
      <c r="M1764" s="38">
        <v>0</v>
      </c>
      <c r="N1764" s="50">
        <f t="shared" si="87"/>
        <v>0</v>
      </c>
      <c r="O1764" s="38">
        <v>0</v>
      </c>
      <c r="P1764" s="38">
        <v>0</v>
      </c>
    </row>
    <row r="1765" spans="1:31" x14ac:dyDescent="0.25">
      <c r="A1765" s="38" t="s">
        <v>36</v>
      </c>
      <c r="B1765" s="38" t="s">
        <v>3570</v>
      </c>
      <c r="C1765" s="38" t="s">
        <v>3798</v>
      </c>
      <c r="D1765" s="38" t="s">
        <v>2863</v>
      </c>
      <c r="E1765" s="38" t="s">
        <v>3799</v>
      </c>
      <c r="F1765" s="38">
        <v>1008.66</v>
      </c>
      <c r="G1765" s="38">
        <v>1008.66</v>
      </c>
      <c r="H1765" s="38">
        <f t="shared" si="85"/>
        <v>989</v>
      </c>
      <c r="I1765" s="38">
        <v>653</v>
      </c>
      <c r="J1765" s="38">
        <v>336</v>
      </c>
      <c r="K1765" s="38">
        <v>317</v>
      </c>
      <c r="L1765" s="50">
        <f t="shared" si="86"/>
        <v>32.052578361981801</v>
      </c>
      <c r="M1765" s="38">
        <v>4</v>
      </c>
      <c r="N1765" s="50">
        <f t="shared" si="87"/>
        <v>0.40444893832153694</v>
      </c>
      <c r="O1765" s="38">
        <v>0</v>
      </c>
      <c r="P1765" s="38">
        <v>0</v>
      </c>
    </row>
    <row r="1766" spans="1:31" x14ac:dyDescent="0.25">
      <c r="A1766" s="38" t="s">
        <v>36</v>
      </c>
      <c r="B1766" s="38" t="s">
        <v>3570</v>
      </c>
      <c r="C1766" s="38" t="s">
        <v>3798</v>
      </c>
      <c r="D1766" s="38" t="s">
        <v>3800</v>
      </c>
      <c r="E1766" s="38" t="s">
        <v>3801</v>
      </c>
      <c r="F1766" s="38">
        <v>853.72</v>
      </c>
      <c r="G1766" s="38">
        <v>853.72</v>
      </c>
      <c r="H1766" s="38">
        <f t="shared" si="85"/>
        <v>927</v>
      </c>
      <c r="I1766" s="38">
        <v>598</v>
      </c>
      <c r="J1766" s="38">
        <v>329</v>
      </c>
      <c r="K1766" s="38">
        <v>269</v>
      </c>
      <c r="L1766" s="50">
        <f t="shared" si="86"/>
        <v>29.018338727076593</v>
      </c>
      <c r="M1766" s="38">
        <v>0</v>
      </c>
      <c r="N1766" s="50">
        <f t="shared" si="87"/>
        <v>0</v>
      </c>
      <c r="O1766" s="38">
        <v>0</v>
      </c>
      <c r="P1766" s="38">
        <v>0</v>
      </c>
    </row>
    <row r="1767" spans="1:31" x14ac:dyDescent="0.25">
      <c r="A1767" s="38" t="s">
        <v>36</v>
      </c>
      <c r="B1767" s="38" t="s">
        <v>3570</v>
      </c>
      <c r="C1767" s="38" t="s">
        <v>3798</v>
      </c>
      <c r="D1767" s="38" t="s">
        <v>754</v>
      </c>
      <c r="E1767" s="38" t="s">
        <v>3802</v>
      </c>
      <c r="F1767" s="38">
        <v>1416.16</v>
      </c>
      <c r="G1767" s="38">
        <v>1416.16</v>
      </c>
      <c r="H1767" s="38">
        <f t="shared" si="85"/>
        <v>1413</v>
      </c>
      <c r="I1767" s="38">
        <v>918</v>
      </c>
      <c r="J1767" s="38">
        <v>495</v>
      </c>
      <c r="K1767" s="38">
        <v>423</v>
      </c>
      <c r="L1767" s="50">
        <f t="shared" si="86"/>
        <v>29.936305732484076</v>
      </c>
      <c r="M1767" s="38">
        <v>48</v>
      </c>
      <c r="N1767" s="50">
        <f t="shared" si="87"/>
        <v>3.397027600849257</v>
      </c>
      <c r="O1767" s="38">
        <v>0</v>
      </c>
      <c r="P1767" s="38">
        <v>0</v>
      </c>
    </row>
    <row r="1768" spans="1:31" x14ac:dyDescent="0.25">
      <c r="A1768" s="38" t="s">
        <v>36</v>
      </c>
      <c r="B1768" s="38" t="s">
        <v>3570</v>
      </c>
      <c r="C1768" s="38" t="s">
        <v>3798</v>
      </c>
      <c r="D1768" s="38" t="s">
        <v>3803</v>
      </c>
      <c r="E1768" s="38" t="s">
        <v>3804</v>
      </c>
      <c r="F1768" s="38">
        <v>1269.26</v>
      </c>
      <c r="G1768" s="38">
        <v>1269.26</v>
      </c>
      <c r="H1768" s="38">
        <f t="shared" si="85"/>
        <v>1599</v>
      </c>
      <c r="I1768" s="38">
        <v>1047</v>
      </c>
      <c r="J1768" s="38">
        <v>552</v>
      </c>
      <c r="K1768" s="38">
        <v>495</v>
      </c>
      <c r="L1768" s="50">
        <f t="shared" si="86"/>
        <v>30.956848030018762</v>
      </c>
      <c r="M1768" s="38">
        <v>117</v>
      </c>
      <c r="N1768" s="50">
        <f t="shared" si="87"/>
        <v>7.3170731707317067</v>
      </c>
      <c r="O1768" s="38">
        <v>0</v>
      </c>
      <c r="P1768" s="38">
        <v>66.95</v>
      </c>
    </row>
    <row r="1769" spans="1:31" x14ac:dyDescent="0.25">
      <c r="A1769" s="38" t="s">
        <v>36</v>
      </c>
      <c r="B1769" s="38" t="s">
        <v>3570</v>
      </c>
      <c r="C1769" s="38" t="s">
        <v>3798</v>
      </c>
      <c r="D1769" s="38" t="s">
        <v>3805</v>
      </c>
      <c r="E1769" s="38" t="s">
        <v>3806</v>
      </c>
      <c r="F1769" s="38">
        <v>1037.96</v>
      </c>
      <c r="G1769" s="38">
        <v>1037.96</v>
      </c>
      <c r="H1769" s="38">
        <f t="shared" si="85"/>
        <v>1143</v>
      </c>
      <c r="I1769" s="38">
        <v>754</v>
      </c>
      <c r="J1769" s="38">
        <v>389</v>
      </c>
      <c r="K1769" s="38">
        <v>365</v>
      </c>
      <c r="L1769" s="50">
        <f t="shared" si="86"/>
        <v>31.933508311461068</v>
      </c>
      <c r="M1769" s="38">
        <v>57</v>
      </c>
      <c r="N1769" s="50">
        <f t="shared" si="87"/>
        <v>4.9868766404199478</v>
      </c>
      <c r="O1769" s="38">
        <v>0</v>
      </c>
      <c r="P1769" s="38">
        <v>0</v>
      </c>
    </row>
    <row r="1770" spans="1:31" x14ac:dyDescent="0.25">
      <c r="A1770" s="38" t="s">
        <v>36</v>
      </c>
      <c r="B1770" s="38" t="s">
        <v>3570</v>
      </c>
      <c r="C1770" s="38" t="s">
        <v>3798</v>
      </c>
      <c r="D1770" s="38" t="s">
        <v>965</v>
      </c>
      <c r="E1770" s="38" t="s">
        <v>3807</v>
      </c>
      <c r="F1770" s="38">
        <v>829.55</v>
      </c>
      <c r="G1770" s="38">
        <v>829.55</v>
      </c>
      <c r="H1770" s="38">
        <f t="shared" si="85"/>
        <v>953</v>
      </c>
      <c r="I1770" s="38">
        <v>632</v>
      </c>
      <c r="J1770" s="38">
        <v>321</v>
      </c>
      <c r="K1770" s="38">
        <v>311</v>
      </c>
      <c r="L1770" s="50">
        <f t="shared" si="86"/>
        <v>32.633788037775446</v>
      </c>
      <c r="M1770" s="38">
        <v>0</v>
      </c>
      <c r="N1770" s="50">
        <f t="shared" si="87"/>
        <v>0</v>
      </c>
      <c r="O1770" s="38">
        <v>0</v>
      </c>
      <c r="P1770" s="38">
        <v>0</v>
      </c>
    </row>
    <row r="1771" spans="1:31" x14ac:dyDescent="0.25">
      <c r="A1771" s="38" t="s">
        <v>36</v>
      </c>
      <c r="B1771" s="38" t="s">
        <v>3570</v>
      </c>
      <c r="C1771" s="38" t="s">
        <v>3808</v>
      </c>
      <c r="D1771" s="38" t="s">
        <v>3808</v>
      </c>
      <c r="E1771" s="38" t="s">
        <v>3809</v>
      </c>
      <c r="F1771" s="38">
        <v>1316.2</v>
      </c>
      <c r="G1771" s="38">
        <v>1316.2</v>
      </c>
      <c r="H1771" s="38">
        <f t="shared" si="85"/>
        <v>1464</v>
      </c>
      <c r="I1771" s="38">
        <v>969</v>
      </c>
      <c r="J1771" s="38">
        <v>495</v>
      </c>
      <c r="K1771" s="38">
        <v>474</v>
      </c>
      <c r="L1771" s="50">
        <f t="shared" si="86"/>
        <v>32.377049180327873</v>
      </c>
      <c r="M1771" s="38">
        <v>206</v>
      </c>
      <c r="N1771" s="50">
        <f t="shared" si="87"/>
        <v>14.071038251366119</v>
      </c>
      <c r="O1771" s="38">
        <v>0</v>
      </c>
      <c r="P1771" s="38">
        <v>22.18</v>
      </c>
    </row>
    <row r="1772" spans="1:31" x14ac:dyDescent="0.25">
      <c r="A1772" s="38" t="s">
        <v>36</v>
      </c>
      <c r="B1772" s="38" t="s">
        <v>3570</v>
      </c>
      <c r="C1772" s="38" t="s">
        <v>3808</v>
      </c>
      <c r="D1772" s="38" t="s">
        <v>3810</v>
      </c>
      <c r="E1772" s="38" t="s">
        <v>3811</v>
      </c>
      <c r="F1772" s="38">
        <v>1108.5</v>
      </c>
      <c r="G1772" s="38">
        <v>1108.5</v>
      </c>
      <c r="H1772" s="38">
        <f t="shared" si="85"/>
        <v>1272</v>
      </c>
      <c r="I1772" s="38">
        <v>834</v>
      </c>
      <c r="J1772" s="38">
        <v>438</v>
      </c>
      <c r="K1772" s="38">
        <v>396</v>
      </c>
      <c r="L1772" s="50">
        <f t="shared" si="86"/>
        <v>31.132075471698112</v>
      </c>
      <c r="M1772" s="38">
        <v>61</v>
      </c>
      <c r="N1772" s="50">
        <f t="shared" si="87"/>
        <v>4.7955974842767297</v>
      </c>
      <c r="O1772" s="38">
        <v>0</v>
      </c>
      <c r="P1772" s="38">
        <v>32.08</v>
      </c>
    </row>
    <row r="1773" spans="1:31" x14ac:dyDescent="0.25">
      <c r="A1773" s="38" t="s">
        <v>36</v>
      </c>
      <c r="B1773" s="38" t="s">
        <v>3570</v>
      </c>
      <c r="C1773" s="38" t="s">
        <v>3812</v>
      </c>
      <c r="D1773" s="38" t="s">
        <v>3813</v>
      </c>
      <c r="E1773" s="38" t="s">
        <v>3814</v>
      </c>
      <c r="F1773" s="38">
        <v>1933.6</v>
      </c>
      <c r="G1773" s="38">
        <v>1933.6</v>
      </c>
      <c r="H1773" s="38">
        <f t="shared" si="85"/>
        <v>2259</v>
      </c>
      <c r="I1773" s="38">
        <v>1476</v>
      </c>
      <c r="J1773" s="38">
        <v>783</v>
      </c>
      <c r="K1773" s="38">
        <v>693</v>
      </c>
      <c r="L1773" s="50">
        <f t="shared" si="86"/>
        <v>30.677290836653388</v>
      </c>
      <c r="M1773" s="38">
        <v>40</v>
      </c>
      <c r="N1773" s="50">
        <f t="shared" si="87"/>
        <v>1.7706949977866311</v>
      </c>
      <c r="O1773" s="38">
        <v>50.18</v>
      </c>
      <c r="P1773" s="38">
        <v>204.06</v>
      </c>
      <c r="Q1773" s="34" t="s">
        <v>43</v>
      </c>
      <c r="R1773" s="9">
        <v>44580</v>
      </c>
      <c r="S1773" s="34"/>
      <c r="T1773" s="34">
        <v>204</v>
      </c>
      <c r="U1773" s="34"/>
      <c r="V1773" s="34"/>
      <c r="W1773" s="34"/>
      <c r="X1773" s="34"/>
      <c r="Y1773" s="34"/>
      <c r="Z1773" s="109"/>
      <c r="AB1773" s="109"/>
      <c r="AC1773" s="34" t="s">
        <v>3815</v>
      </c>
      <c r="AD1773" s="34">
        <v>25.262454000000002</v>
      </c>
      <c r="AE1773" s="34">
        <v>71.704539999999994</v>
      </c>
    </row>
    <row r="1774" spans="1:31" x14ac:dyDescent="0.25">
      <c r="A1774" s="38" t="s">
        <v>36</v>
      </c>
      <c r="B1774" s="38" t="s">
        <v>3570</v>
      </c>
      <c r="C1774" s="38" t="s">
        <v>3812</v>
      </c>
      <c r="D1774" s="38" t="s">
        <v>3813</v>
      </c>
      <c r="E1774" s="38" t="s">
        <v>3814</v>
      </c>
      <c r="F1774" s="38">
        <v>1933.6</v>
      </c>
      <c r="G1774" s="38">
        <v>1933.6</v>
      </c>
      <c r="H1774" s="38">
        <f t="shared" si="85"/>
        <v>2259</v>
      </c>
      <c r="I1774" s="38">
        <v>1476</v>
      </c>
      <c r="J1774" s="38">
        <v>783</v>
      </c>
      <c r="K1774" s="38">
        <v>693</v>
      </c>
      <c r="L1774" s="50">
        <f t="shared" si="86"/>
        <v>30.677290836653388</v>
      </c>
      <c r="M1774" s="38">
        <v>40</v>
      </c>
      <c r="N1774" s="50">
        <f t="shared" si="87"/>
        <v>1.7706949977866311</v>
      </c>
      <c r="O1774" s="38">
        <v>50.18</v>
      </c>
      <c r="P1774" s="38">
        <v>204.06</v>
      </c>
      <c r="AC1774" s="117"/>
      <c r="AD1774" s="121"/>
    </row>
    <row r="1775" spans="1:31" x14ac:dyDescent="0.25">
      <c r="A1775" s="38" t="s">
        <v>36</v>
      </c>
      <c r="B1775" s="38" t="s">
        <v>3570</v>
      </c>
      <c r="C1775" s="38" t="s">
        <v>3812</v>
      </c>
      <c r="D1775" s="38" t="s">
        <v>3813</v>
      </c>
      <c r="E1775" s="38" t="s">
        <v>3814</v>
      </c>
      <c r="F1775" s="38">
        <v>1933.6</v>
      </c>
      <c r="G1775" s="38">
        <v>1933.6</v>
      </c>
      <c r="H1775" s="38">
        <f t="shared" si="85"/>
        <v>2259</v>
      </c>
      <c r="I1775" s="38">
        <v>1476</v>
      </c>
      <c r="J1775" s="38">
        <v>783</v>
      </c>
      <c r="K1775" s="38">
        <v>693</v>
      </c>
      <c r="L1775" s="50">
        <f t="shared" si="86"/>
        <v>30.677290836653388</v>
      </c>
      <c r="M1775" s="38">
        <v>40</v>
      </c>
      <c r="N1775" s="50">
        <f t="shared" si="87"/>
        <v>1.7706949977866311</v>
      </c>
      <c r="O1775" s="38">
        <v>50.18</v>
      </c>
      <c r="P1775" s="38">
        <v>204.06</v>
      </c>
      <c r="AC1775" s="117"/>
      <c r="AD1775" s="121"/>
    </row>
    <row r="1776" spans="1:31" x14ac:dyDescent="0.25">
      <c r="A1776" s="38" t="s">
        <v>36</v>
      </c>
      <c r="B1776" s="38" t="s">
        <v>3570</v>
      </c>
      <c r="C1776" s="38" t="s">
        <v>3812</v>
      </c>
      <c r="D1776" s="38" t="s">
        <v>3816</v>
      </c>
      <c r="E1776" s="38" t="s">
        <v>3817</v>
      </c>
      <c r="F1776" s="38">
        <v>1451.86</v>
      </c>
      <c r="G1776" s="38">
        <v>1451.86</v>
      </c>
      <c r="H1776" s="38">
        <f t="shared" si="85"/>
        <v>1572</v>
      </c>
      <c r="I1776" s="38">
        <v>1029</v>
      </c>
      <c r="J1776" s="38">
        <v>543</v>
      </c>
      <c r="K1776" s="38">
        <v>486</v>
      </c>
      <c r="L1776" s="50">
        <f t="shared" si="86"/>
        <v>30.916030534351147</v>
      </c>
      <c r="M1776" s="38">
        <v>100</v>
      </c>
      <c r="N1776" s="50">
        <f t="shared" si="87"/>
        <v>6.3613231552162848</v>
      </c>
      <c r="O1776" s="38">
        <v>0</v>
      </c>
      <c r="P1776" s="38">
        <v>16.04</v>
      </c>
    </row>
    <row r="1777" spans="1:30" x14ac:dyDescent="0.25">
      <c r="A1777" s="38" t="s">
        <v>36</v>
      </c>
      <c r="B1777" s="38" t="s">
        <v>3570</v>
      </c>
      <c r="C1777" s="38" t="s">
        <v>3818</v>
      </c>
      <c r="D1777" s="38" t="s">
        <v>3819</v>
      </c>
      <c r="E1777" s="38" t="s">
        <v>3820</v>
      </c>
      <c r="F1777" s="38">
        <v>1214.6500000000001</v>
      </c>
      <c r="G1777" s="38">
        <v>1214.6500000000001</v>
      </c>
      <c r="H1777" s="38">
        <f t="shared" si="85"/>
        <v>2398</v>
      </c>
      <c r="I1777" s="38">
        <v>1578</v>
      </c>
      <c r="J1777" s="38">
        <v>820</v>
      </c>
      <c r="K1777" s="38">
        <v>758</v>
      </c>
      <c r="L1777" s="50">
        <f t="shared" si="86"/>
        <v>31.609674728940785</v>
      </c>
      <c r="M1777" s="38">
        <v>258</v>
      </c>
      <c r="N1777" s="50">
        <f t="shared" si="87"/>
        <v>10.758965804837365</v>
      </c>
      <c r="O1777" s="38">
        <v>0</v>
      </c>
      <c r="P1777" s="38">
        <v>75.42</v>
      </c>
      <c r="AC1777" s="117"/>
      <c r="AD1777" s="121"/>
    </row>
    <row r="1778" spans="1:30" x14ac:dyDescent="0.25">
      <c r="A1778" s="38" t="s">
        <v>36</v>
      </c>
      <c r="B1778" s="38" t="s">
        <v>3570</v>
      </c>
      <c r="C1778" s="38" t="s">
        <v>3818</v>
      </c>
      <c r="D1778" s="38" t="s">
        <v>3819</v>
      </c>
      <c r="E1778" s="38" t="s">
        <v>3820</v>
      </c>
      <c r="F1778" s="38"/>
      <c r="G1778" s="38"/>
      <c r="H1778" s="38">
        <f t="shared" si="85"/>
        <v>0</v>
      </c>
      <c r="I1778" s="38"/>
      <c r="J1778" s="38"/>
      <c r="K1778" s="38"/>
      <c r="L1778" s="50"/>
      <c r="M1778" s="38"/>
      <c r="N1778" s="50"/>
      <c r="O1778" s="38">
        <v>0</v>
      </c>
      <c r="P1778" s="38">
        <v>75.42</v>
      </c>
      <c r="AC1778" s="117"/>
      <c r="AD1778" s="117"/>
    </row>
    <row r="1779" spans="1:30" x14ac:dyDescent="0.25">
      <c r="A1779" s="38" t="s">
        <v>36</v>
      </c>
      <c r="B1779" s="38" t="s">
        <v>3570</v>
      </c>
      <c r="C1779" s="38" t="s">
        <v>3818</v>
      </c>
      <c r="D1779" s="38" t="s">
        <v>3819</v>
      </c>
      <c r="E1779" s="38" t="s">
        <v>3820</v>
      </c>
      <c r="F1779" s="38">
        <v>1214.6500000000001</v>
      </c>
      <c r="G1779" s="38">
        <v>1214.6500000000001</v>
      </c>
      <c r="H1779" s="38">
        <f t="shared" si="85"/>
        <v>2398</v>
      </c>
      <c r="I1779" s="38">
        <v>1578</v>
      </c>
      <c r="J1779" s="38">
        <v>820</v>
      </c>
      <c r="K1779" s="38">
        <v>758</v>
      </c>
      <c r="L1779" s="50">
        <f t="shared" si="86"/>
        <v>31.609674728940785</v>
      </c>
      <c r="M1779" s="38">
        <v>258</v>
      </c>
      <c r="N1779" s="50">
        <f t="shared" si="87"/>
        <v>10.758965804837365</v>
      </c>
      <c r="O1779" s="38">
        <v>0</v>
      </c>
      <c r="P1779" s="38">
        <v>75.42</v>
      </c>
      <c r="AC1779" s="117"/>
      <c r="AD1779" s="121"/>
    </row>
    <row r="1780" spans="1:30" x14ac:dyDescent="0.25">
      <c r="A1780" s="38" t="s">
        <v>36</v>
      </c>
      <c r="B1780" s="38" t="s">
        <v>3570</v>
      </c>
      <c r="C1780" s="38" t="s">
        <v>3818</v>
      </c>
      <c r="D1780" s="38" t="s">
        <v>3821</v>
      </c>
      <c r="E1780" s="38" t="s">
        <v>3822</v>
      </c>
      <c r="F1780" s="38">
        <v>1112.51</v>
      </c>
      <c r="G1780" s="38">
        <v>1112.51</v>
      </c>
      <c r="H1780" s="38">
        <f t="shared" si="85"/>
        <v>908</v>
      </c>
      <c r="I1780" s="38">
        <v>598</v>
      </c>
      <c r="J1780" s="38">
        <v>310</v>
      </c>
      <c r="K1780" s="38">
        <v>288</v>
      </c>
      <c r="L1780" s="50">
        <f t="shared" si="86"/>
        <v>31.718061674008812</v>
      </c>
      <c r="M1780" s="38">
        <v>32</v>
      </c>
      <c r="N1780" s="50">
        <f t="shared" si="87"/>
        <v>3.5242290748898681</v>
      </c>
      <c r="O1780" s="38">
        <v>0</v>
      </c>
      <c r="P1780" s="38">
        <v>0</v>
      </c>
    </row>
    <row r="1781" spans="1:30" x14ac:dyDescent="0.25">
      <c r="A1781" s="38" t="s">
        <v>36</v>
      </c>
      <c r="B1781" s="38" t="s">
        <v>3570</v>
      </c>
      <c r="C1781" s="38" t="s">
        <v>3818</v>
      </c>
      <c r="D1781" s="38" t="s">
        <v>3823</v>
      </c>
      <c r="E1781" s="38" t="s">
        <v>3824</v>
      </c>
      <c r="F1781" s="38">
        <v>542.87</v>
      </c>
      <c r="G1781" s="38">
        <v>542.87</v>
      </c>
      <c r="H1781" s="38">
        <f t="shared" si="85"/>
        <v>658</v>
      </c>
      <c r="I1781" s="38">
        <v>430</v>
      </c>
      <c r="J1781" s="38">
        <v>228</v>
      </c>
      <c r="K1781" s="38">
        <v>202</v>
      </c>
      <c r="L1781" s="50">
        <f t="shared" si="86"/>
        <v>30.69908814589666</v>
      </c>
      <c r="M1781" s="38">
        <v>108</v>
      </c>
      <c r="N1781" s="50">
        <f t="shared" si="87"/>
        <v>16.413373860182372</v>
      </c>
      <c r="O1781" s="38">
        <v>0</v>
      </c>
      <c r="P1781" s="38">
        <v>108.88</v>
      </c>
      <c r="AC1781" s="117"/>
      <c r="AD1781" s="121"/>
    </row>
    <row r="1782" spans="1:30" x14ac:dyDescent="0.25">
      <c r="A1782" s="38" t="s">
        <v>36</v>
      </c>
      <c r="B1782" s="38" t="s">
        <v>3570</v>
      </c>
      <c r="C1782" s="38" t="s">
        <v>3818</v>
      </c>
      <c r="D1782" s="38" t="s">
        <v>3590</v>
      </c>
      <c r="E1782" s="38" t="s">
        <v>3825</v>
      </c>
      <c r="F1782" s="38">
        <v>1169.1199999999999</v>
      </c>
      <c r="G1782" s="38">
        <v>1169.1199999999999</v>
      </c>
      <c r="H1782" s="38">
        <f t="shared" si="85"/>
        <v>1200</v>
      </c>
      <c r="I1782" s="38">
        <v>780</v>
      </c>
      <c r="J1782" s="38">
        <v>420</v>
      </c>
      <c r="K1782" s="38">
        <v>360</v>
      </c>
      <c r="L1782" s="50">
        <f t="shared" si="86"/>
        <v>30</v>
      </c>
      <c r="M1782" s="38">
        <v>64</v>
      </c>
      <c r="N1782" s="50">
        <f t="shared" si="87"/>
        <v>5.3333333333333339</v>
      </c>
      <c r="O1782" s="38">
        <v>0</v>
      </c>
      <c r="P1782" s="38">
        <v>59.32</v>
      </c>
      <c r="AC1782" s="117"/>
      <c r="AD1782" s="121"/>
    </row>
    <row r="1783" spans="1:30" x14ac:dyDescent="0.25">
      <c r="A1783" s="38" t="s">
        <v>36</v>
      </c>
      <c r="B1783" s="38" t="s">
        <v>3570</v>
      </c>
      <c r="C1783" s="38" t="s">
        <v>3818</v>
      </c>
      <c r="D1783" s="38" t="s">
        <v>3826</v>
      </c>
      <c r="E1783" s="38" t="s">
        <v>3827</v>
      </c>
      <c r="F1783" s="38">
        <v>623.98</v>
      </c>
      <c r="G1783" s="38">
        <v>623.98</v>
      </c>
      <c r="H1783" s="38">
        <f t="shared" si="85"/>
        <v>420</v>
      </c>
      <c r="I1783" s="38">
        <v>276</v>
      </c>
      <c r="J1783" s="38">
        <v>144</v>
      </c>
      <c r="K1783" s="38">
        <v>132</v>
      </c>
      <c r="L1783" s="50">
        <f t="shared" si="86"/>
        <v>31.428571428571427</v>
      </c>
      <c r="M1783" s="38">
        <v>17</v>
      </c>
      <c r="N1783" s="50">
        <f t="shared" si="87"/>
        <v>4.0476190476190474</v>
      </c>
      <c r="O1783" s="38">
        <v>0</v>
      </c>
      <c r="P1783" s="38">
        <v>147.94999999999999</v>
      </c>
      <c r="AC1783" s="117"/>
      <c r="AD1783" s="121"/>
    </row>
    <row r="1784" spans="1:30" x14ac:dyDescent="0.25">
      <c r="A1784" s="38" t="s">
        <v>36</v>
      </c>
      <c r="B1784" s="38" t="s">
        <v>3570</v>
      </c>
      <c r="C1784" s="38" t="s">
        <v>3818</v>
      </c>
      <c r="D1784" s="38" t="s">
        <v>3828</v>
      </c>
      <c r="E1784" s="38" t="s">
        <v>3829</v>
      </c>
      <c r="F1784" s="38">
        <v>1158.31</v>
      </c>
      <c r="G1784" s="38">
        <v>1158.31</v>
      </c>
      <c r="H1784" s="38">
        <f t="shared" si="85"/>
        <v>938</v>
      </c>
      <c r="I1784" s="38">
        <v>618</v>
      </c>
      <c r="J1784" s="38">
        <v>320</v>
      </c>
      <c r="K1784" s="38">
        <v>298</v>
      </c>
      <c r="L1784" s="50">
        <f t="shared" si="86"/>
        <v>31.769722814498934</v>
      </c>
      <c r="M1784" s="38">
        <v>108</v>
      </c>
      <c r="N1784" s="50">
        <f t="shared" si="87"/>
        <v>11.513859275053305</v>
      </c>
      <c r="O1784" s="38">
        <v>0</v>
      </c>
      <c r="P1784" s="38">
        <v>93.49</v>
      </c>
      <c r="AC1784" s="117"/>
      <c r="AD1784" s="121"/>
    </row>
    <row r="1785" spans="1:30" x14ac:dyDescent="0.25">
      <c r="A1785" s="38" t="s">
        <v>36</v>
      </c>
      <c r="B1785" s="38" t="s">
        <v>3570</v>
      </c>
      <c r="C1785" s="38" t="s">
        <v>3830</v>
      </c>
      <c r="D1785" s="38" t="s">
        <v>3831</v>
      </c>
      <c r="E1785" s="38" t="s">
        <v>3832</v>
      </c>
      <c r="F1785" s="38">
        <v>1000.99</v>
      </c>
      <c r="G1785" s="38">
        <v>1000.99</v>
      </c>
      <c r="H1785" s="38">
        <f t="shared" si="85"/>
        <v>1605</v>
      </c>
      <c r="I1785" s="38">
        <v>1046</v>
      </c>
      <c r="J1785" s="38">
        <v>559</v>
      </c>
      <c r="K1785" s="38">
        <v>487</v>
      </c>
      <c r="L1785" s="50">
        <f t="shared" si="86"/>
        <v>30.342679127725859</v>
      </c>
      <c r="M1785" s="38">
        <v>101</v>
      </c>
      <c r="N1785" s="50">
        <f t="shared" si="87"/>
        <v>6.2928348909657315</v>
      </c>
      <c r="O1785" s="38">
        <v>0</v>
      </c>
      <c r="P1785" s="38">
        <v>21.11</v>
      </c>
    </row>
    <row r="1786" spans="1:30" x14ac:dyDescent="0.25">
      <c r="A1786" s="38" t="s">
        <v>36</v>
      </c>
      <c r="B1786" s="38" t="s">
        <v>3570</v>
      </c>
      <c r="C1786" s="38" t="s">
        <v>3830</v>
      </c>
      <c r="D1786" s="38" t="s">
        <v>594</v>
      </c>
      <c r="E1786" s="38" t="s">
        <v>3833</v>
      </c>
      <c r="F1786" s="38">
        <v>757.31</v>
      </c>
      <c r="G1786" s="38">
        <v>757.31</v>
      </c>
      <c r="H1786" s="38">
        <f t="shared" si="85"/>
        <v>1073</v>
      </c>
      <c r="I1786" s="38">
        <v>716</v>
      </c>
      <c r="J1786" s="38">
        <v>357</v>
      </c>
      <c r="K1786" s="38">
        <v>359</v>
      </c>
      <c r="L1786" s="50">
        <f t="shared" si="86"/>
        <v>33.457595526561043</v>
      </c>
      <c r="M1786" s="38">
        <v>133</v>
      </c>
      <c r="N1786" s="50">
        <f t="shared" si="87"/>
        <v>12.39515377446412</v>
      </c>
      <c r="O1786" s="38">
        <v>0</v>
      </c>
      <c r="P1786" s="38">
        <v>11.13</v>
      </c>
    </row>
    <row r="1787" spans="1:30" x14ac:dyDescent="0.25">
      <c r="A1787" s="38" t="s">
        <v>36</v>
      </c>
      <c r="B1787" s="38" t="s">
        <v>3570</v>
      </c>
      <c r="C1787" s="38" t="s">
        <v>3830</v>
      </c>
      <c r="D1787" s="38" t="s">
        <v>3834</v>
      </c>
      <c r="E1787" s="38" t="s">
        <v>3835</v>
      </c>
      <c r="F1787" s="38">
        <v>591.37</v>
      </c>
      <c r="G1787" s="38">
        <v>591.37</v>
      </c>
      <c r="H1787" s="38">
        <f t="shared" si="85"/>
        <v>733</v>
      </c>
      <c r="I1787" s="38">
        <v>485</v>
      </c>
      <c r="J1787" s="38">
        <v>248</v>
      </c>
      <c r="K1787" s="38">
        <v>237</v>
      </c>
      <c r="L1787" s="50">
        <f t="shared" si="86"/>
        <v>32.332878581173262</v>
      </c>
      <c r="M1787" s="38">
        <v>0</v>
      </c>
      <c r="N1787" s="50">
        <f t="shared" si="87"/>
        <v>0</v>
      </c>
      <c r="O1787" s="38">
        <v>0</v>
      </c>
      <c r="P1787" s="38">
        <v>0</v>
      </c>
    </row>
    <row r="1788" spans="1:30" x14ac:dyDescent="0.25">
      <c r="A1788" s="38" t="s">
        <v>36</v>
      </c>
      <c r="B1788" s="38" t="s">
        <v>3570</v>
      </c>
      <c r="C1788" s="38" t="s">
        <v>3830</v>
      </c>
      <c r="D1788" s="38" t="s">
        <v>3836</v>
      </c>
      <c r="E1788" s="38" t="s">
        <v>3837</v>
      </c>
      <c r="F1788" s="38">
        <v>1040.52</v>
      </c>
      <c r="G1788" s="38">
        <v>1040.52</v>
      </c>
      <c r="H1788" s="38">
        <f t="shared" si="85"/>
        <v>753</v>
      </c>
      <c r="I1788" s="38">
        <v>493</v>
      </c>
      <c r="J1788" s="38">
        <v>260</v>
      </c>
      <c r="K1788" s="38">
        <v>233</v>
      </c>
      <c r="L1788" s="50">
        <f t="shared" si="86"/>
        <v>30.942895086321382</v>
      </c>
      <c r="M1788" s="38">
        <v>77</v>
      </c>
      <c r="N1788" s="50">
        <f t="shared" si="87"/>
        <v>10.225763612217795</v>
      </c>
      <c r="O1788" s="38">
        <v>0</v>
      </c>
      <c r="P1788" s="38">
        <v>0</v>
      </c>
    </row>
    <row r="1789" spans="1:30" x14ac:dyDescent="0.25">
      <c r="A1789" s="38" t="s">
        <v>36</v>
      </c>
      <c r="B1789" s="38" t="s">
        <v>3570</v>
      </c>
      <c r="C1789" s="38" t="s">
        <v>3830</v>
      </c>
      <c r="D1789" s="38" t="s">
        <v>1620</v>
      </c>
      <c r="E1789" s="38" t="s">
        <v>3838</v>
      </c>
      <c r="F1789" s="38">
        <v>1082.1199999999999</v>
      </c>
      <c r="G1789" s="38">
        <v>1082.1199999999999</v>
      </c>
      <c r="H1789" s="38">
        <f t="shared" si="85"/>
        <v>1263</v>
      </c>
      <c r="I1789" s="38">
        <v>842</v>
      </c>
      <c r="J1789" s="38">
        <v>421</v>
      </c>
      <c r="K1789" s="38">
        <v>421</v>
      </c>
      <c r="L1789" s="50">
        <f t="shared" si="86"/>
        <v>33.333333333333329</v>
      </c>
      <c r="M1789" s="38">
        <v>110</v>
      </c>
      <c r="N1789" s="50">
        <f t="shared" si="87"/>
        <v>8.7094220110847189</v>
      </c>
      <c r="O1789" s="38">
        <v>0</v>
      </c>
      <c r="P1789" s="38">
        <v>15.11</v>
      </c>
    </row>
    <row r="1790" spans="1:30" x14ac:dyDescent="0.25">
      <c r="A1790" s="38" t="s">
        <v>36</v>
      </c>
      <c r="B1790" s="38" t="s">
        <v>3570</v>
      </c>
      <c r="C1790" s="38" t="s">
        <v>3830</v>
      </c>
      <c r="D1790" s="38" t="s">
        <v>3839</v>
      </c>
      <c r="E1790" s="38" t="s">
        <v>3840</v>
      </c>
      <c r="F1790" s="38">
        <v>1453.79</v>
      </c>
      <c r="G1790" s="38">
        <v>1453.79</v>
      </c>
      <c r="H1790" s="38">
        <f t="shared" si="85"/>
        <v>1024</v>
      </c>
      <c r="I1790" s="38">
        <v>664</v>
      </c>
      <c r="J1790" s="38">
        <v>360</v>
      </c>
      <c r="K1790" s="38">
        <v>304</v>
      </c>
      <c r="L1790" s="50">
        <f t="shared" si="86"/>
        <v>29.6875</v>
      </c>
      <c r="M1790" s="38">
        <v>183</v>
      </c>
      <c r="N1790" s="50">
        <f t="shared" si="87"/>
        <v>17.87109375</v>
      </c>
      <c r="O1790" s="38">
        <v>0</v>
      </c>
      <c r="P1790" s="38">
        <v>0</v>
      </c>
    </row>
    <row r="1791" spans="1:30" x14ac:dyDescent="0.25">
      <c r="A1791" s="38" t="s">
        <v>36</v>
      </c>
      <c r="B1791" s="38" t="s">
        <v>3570</v>
      </c>
      <c r="C1791" s="38" t="s">
        <v>3841</v>
      </c>
      <c r="D1791" s="38" t="s">
        <v>3842</v>
      </c>
      <c r="E1791" s="38" t="s">
        <v>3843</v>
      </c>
      <c r="F1791" s="38">
        <v>1081.3499999999999</v>
      </c>
      <c r="G1791" s="38">
        <v>1081.3499999999999</v>
      </c>
      <c r="H1791" s="38">
        <f t="shared" si="85"/>
        <v>2654</v>
      </c>
      <c r="I1791" s="38">
        <v>1716</v>
      </c>
      <c r="J1791" s="38">
        <v>938</v>
      </c>
      <c r="K1791" s="38">
        <v>778</v>
      </c>
      <c r="L1791" s="50">
        <f t="shared" si="86"/>
        <v>29.314242652599848</v>
      </c>
      <c r="M1791" s="38">
        <v>206</v>
      </c>
      <c r="N1791" s="50">
        <f t="shared" si="87"/>
        <v>7.7618688771665418</v>
      </c>
      <c r="O1791" s="38">
        <v>0</v>
      </c>
      <c r="P1791" s="38">
        <v>97.76</v>
      </c>
      <c r="AC1791" s="117"/>
      <c r="AD1791" s="121"/>
    </row>
    <row r="1792" spans="1:30" x14ac:dyDescent="0.25">
      <c r="A1792" s="38" t="s">
        <v>36</v>
      </c>
      <c r="B1792" s="38" t="s">
        <v>3570</v>
      </c>
      <c r="C1792" s="38" t="s">
        <v>3841</v>
      </c>
      <c r="D1792" s="38" t="s">
        <v>3844</v>
      </c>
      <c r="E1792" s="38" t="s">
        <v>3845</v>
      </c>
      <c r="F1792" s="38">
        <v>851.85</v>
      </c>
      <c r="G1792" s="38">
        <v>851.85</v>
      </c>
      <c r="H1792" s="38">
        <f t="shared" si="85"/>
        <v>994</v>
      </c>
      <c r="I1792" s="38">
        <v>657</v>
      </c>
      <c r="J1792" s="38">
        <v>337</v>
      </c>
      <c r="K1792" s="38">
        <v>320</v>
      </c>
      <c r="L1792" s="50">
        <f t="shared" si="86"/>
        <v>32.193158953722332</v>
      </c>
      <c r="M1792" s="38">
        <v>42</v>
      </c>
      <c r="N1792" s="50">
        <f t="shared" si="87"/>
        <v>4.225352112676056</v>
      </c>
      <c r="O1792" s="38">
        <v>0</v>
      </c>
      <c r="P1792" s="38">
        <v>3.01</v>
      </c>
    </row>
    <row r="1793" spans="1:30" x14ac:dyDescent="0.25">
      <c r="A1793" s="38" t="s">
        <v>36</v>
      </c>
      <c r="B1793" s="38" t="s">
        <v>3570</v>
      </c>
      <c r="C1793" s="38" t="s">
        <v>3841</v>
      </c>
      <c r="D1793" s="38" t="s">
        <v>3846</v>
      </c>
      <c r="E1793" s="38" t="s">
        <v>3847</v>
      </c>
      <c r="F1793" s="38">
        <v>682.6</v>
      </c>
      <c r="G1793" s="38">
        <v>682.6</v>
      </c>
      <c r="H1793" s="38">
        <f t="shared" si="85"/>
        <v>872</v>
      </c>
      <c r="I1793" s="38">
        <v>573</v>
      </c>
      <c r="J1793" s="38">
        <v>299</v>
      </c>
      <c r="K1793" s="38">
        <v>274</v>
      </c>
      <c r="L1793" s="50">
        <f t="shared" si="86"/>
        <v>31.422018348623855</v>
      </c>
      <c r="M1793" s="38">
        <v>0</v>
      </c>
      <c r="N1793" s="50">
        <f t="shared" si="87"/>
        <v>0</v>
      </c>
      <c r="O1793" s="38">
        <v>0</v>
      </c>
      <c r="P1793" s="38">
        <v>0</v>
      </c>
    </row>
    <row r="1794" spans="1:30" x14ac:dyDescent="0.25">
      <c r="A1794" s="38" t="s">
        <v>36</v>
      </c>
      <c r="B1794" s="38" t="s">
        <v>3570</v>
      </c>
      <c r="C1794" s="38" t="s">
        <v>3841</v>
      </c>
      <c r="D1794" s="38" t="s">
        <v>3848</v>
      </c>
      <c r="E1794" s="38" t="s">
        <v>3849</v>
      </c>
      <c r="F1794" s="38">
        <v>691.02</v>
      </c>
      <c r="G1794" s="38">
        <v>691.02</v>
      </c>
      <c r="H1794" s="38">
        <f t="shared" si="85"/>
        <v>836</v>
      </c>
      <c r="I1794" s="38">
        <v>546</v>
      </c>
      <c r="J1794" s="38">
        <v>290</v>
      </c>
      <c r="K1794" s="38">
        <v>256</v>
      </c>
      <c r="L1794" s="50">
        <f t="shared" si="86"/>
        <v>30.62200956937799</v>
      </c>
      <c r="M1794" s="38">
        <v>27</v>
      </c>
      <c r="N1794" s="50">
        <f t="shared" si="87"/>
        <v>3.2296650717703352</v>
      </c>
      <c r="O1794" s="38">
        <v>0</v>
      </c>
      <c r="P1794" s="38">
        <v>0</v>
      </c>
    </row>
    <row r="1795" spans="1:30" x14ac:dyDescent="0.25">
      <c r="A1795" s="38" t="s">
        <v>36</v>
      </c>
      <c r="B1795" s="38" t="s">
        <v>3570</v>
      </c>
      <c r="C1795" s="38" t="s">
        <v>3841</v>
      </c>
      <c r="D1795" s="38" t="s">
        <v>3850</v>
      </c>
      <c r="E1795" s="38" t="s">
        <v>3851</v>
      </c>
      <c r="F1795" s="38">
        <v>772.3</v>
      </c>
      <c r="G1795" s="38">
        <v>772.3</v>
      </c>
      <c r="H1795" s="38">
        <f t="shared" si="85"/>
        <v>980</v>
      </c>
      <c r="I1795" s="38">
        <v>644</v>
      </c>
      <c r="J1795" s="38">
        <v>336</v>
      </c>
      <c r="K1795" s="38">
        <v>308</v>
      </c>
      <c r="L1795" s="50">
        <f t="shared" si="86"/>
        <v>31.428571428571427</v>
      </c>
      <c r="M1795" s="38">
        <v>0</v>
      </c>
      <c r="N1795" s="50">
        <f t="shared" si="87"/>
        <v>0</v>
      </c>
      <c r="O1795" s="38">
        <v>0</v>
      </c>
      <c r="P1795" s="38">
        <v>1.68</v>
      </c>
    </row>
    <row r="1796" spans="1:30" x14ac:dyDescent="0.25">
      <c r="A1796" s="38" t="s">
        <v>36</v>
      </c>
      <c r="B1796" s="38" t="s">
        <v>3570</v>
      </c>
      <c r="C1796" s="38" t="s">
        <v>3841</v>
      </c>
      <c r="D1796" s="38" t="s">
        <v>3852</v>
      </c>
      <c r="E1796" s="38" t="s">
        <v>3853</v>
      </c>
      <c r="F1796" s="38">
        <v>1126.72</v>
      </c>
      <c r="G1796" s="38">
        <v>1126.72</v>
      </c>
      <c r="H1796" s="38">
        <f t="shared" si="85"/>
        <v>1206</v>
      </c>
      <c r="I1796" s="38">
        <v>785</v>
      </c>
      <c r="J1796" s="38">
        <v>421</v>
      </c>
      <c r="K1796" s="38">
        <v>364</v>
      </c>
      <c r="L1796" s="50">
        <f t="shared" si="86"/>
        <v>30.182421227197349</v>
      </c>
      <c r="M1796" s="38">
        <v>21</v>
      </c>
      <c r="N1796" s="50">
        <f t="shared" si="87"/>
        <v>1.7412935323383085</v>
      </c>
      <c r="O1796" s="38">
        <v>0</v>
      </c>
      <c r="P1796" s="38">
        <v>0</v>
      </c>
    </row>
    <row r="1797" spans="1:30" x14ac:dyDescent="0.25">
      <c r="A1797" s="38" t="s">
        <v>36</v>
      </c>
      <c r="B1797" s="38" t="s">
        <v>3570</v>
      </c>
      <c r="C1797" s="38" t="s">
        <v>3854</v>
      </c>
      <c r="D1797" s="38" t="s">
        <v>3855</v>
      </c>
      <c r="E1797" s="38" t="s">
        <v>3856</v>
      </c>
      <c r="F1797" s="38">
        <v>758.63</v>
      </c>
      <c r="G1797" s="38">
        <v>758.63</v>
      </c>
      <c r="H1797" s="38">
        <f t="shared" ref="H1797:H1860" si="88">I1797+J1797</f>
        <v>1770</v>
      </c>
      <c r="I1797" s="38">
        <v>1164</v>
      </c>
      <c r="J1797" s="38">
        <v>606</v>
      </c>
      <c r="K1797" s="38">
        <v>558</v>
      </c>
      <c r="L1797" s="50">
        <f t="shared" si="86"/>
        <v>31.525423728813561</v>
      </c>
      <c r="M1797" s="38">
        <v>275</v>
      </c>
      <c r="N1797" s="50">
        <f t="shared" si="87"/>
        <v>15.53672316384181</v>
      </c>
      <c r="O1797" s="38">
        <v>0</v>
      </c>
      <c r="P1797" s="38">
        <v>43.55</v>
      </c>
    </row>
    <row r="1798" spans="1:30" x14ac:dyDescent="0.25">
      <c r="A1798" s="38" t="s">
        <v>36</v>
      </c>
      <c r="B1798" s="38" t="s">
        <v>3570</v>
      </c>
      <c r="C1798" s="38" t="s">
        <v>3854</v>
      </c>
      <c r="D1798" s="38" t="s">
        <v>3857</v>
      </c>
      <c r="E1798" s="38" t="s">
        <v>3858</v>
      </c>
      <c r="F1798" s="38">
        <v>1274.8699999999999</v>
      </c>
      <c r="G1798" s="38">
        <v>1274.8699999999999</v>
      </c>
      <c r="H1798" s="38">
        <f t="shared" si="88"/>
        <v>1160</v>
      </c>
      <c r="I1798" s="38">
        <v>758</v>
      </c>
      <c r="J1798" s="38">
        <v>402</v>
      </c>
      <c r="K1798" s="38">
        <v>356</v>
      </c>
      <c r="L1798" s="50">
        <f t="shared" ref="L1798:L1861" si="89">K1798/H1798*100</f>
        <v>30.689655172413794</v>
      </c>
      <c r="M1798" s="38">
        <v>0</v>
      </c>
      <c r="N1798" s="50">
        <f t="shared" si="87"/>
        <v>0</v>
      </c>
      <c r="O1798" s="38">
        <v>0</v>
      </c>
      <c r="P1798" s="38">
        <v>0</v>
      </c>
    </row>
    <row r="1799" spans="1:30" x14ac:dyDescent="0.25">
      <c r="A1799" s="38" t="s">
        <v>36</v>
      </c>
      <c r="B1799" s="38" t="s">
        <v>3570</v>
      </c>
      <c r="C1799" s="38" t="s">
        <v>3854</v>
      </c>
      <c r="D1799" s="38" t="s">
        <v>3859</v>
      </c>
      <c r="E1799" s="38" t="s">
        <v>3860</v>
      </c>
      <c r="F1799" s="38">
        <v>918.04</v>
      </c>
      <c r="G1799" s="38">
        <v>918.04</v>
      </c>
      <c r="H1799" s="38">
        <f t="shared" si="88"/>
        <v>1051</v>
      </c>
      <c r="I1799" s="38">
        <v>685</v>
      </c>
      <c r="J1799" s="38">
        <v>366</v>
      </c>
      <c r="K1799" s="38">
        <v>319</v>
      </c>
      <c r="L1799" s="50">
        <f t="shared" si="89"/>
        <v>30.352045670789725</v>
      </c>
      <c r="M1799" s="38">
        <v>95</v>
      </c>
      <c r="N1799" s="50">
        <f t="shared" si="87"/>
        <v>9.0390104662226456</v>
      </c>
      <c r="O1799" s="38">
        <v>0</v>
      </c>
      <c r="P1799" s="38">
        <v>0.73</v>
      </c>
    </row>
    <row r="1800" spans="1:30" x14ac:dyDescent="0.25">
      <c r="A1800" s="38" t="s">
        <v>36</v>
      </c>
      <c r="B1800" s="38" t="s">
        <v>3570</v>
      </c>
      <c r="C1800" s="38" t="s">
        <v>3854</v>
      </c>
      <c r="D1800" s="38" t="s">
        <v>3861</v>
      </c>
      <c r="E1800" s="38" t="s">
        <v>3862</v>
      </c>
      <c r="F1800" s="38">
        <v>572.65</v>
      </c>
      <c r="G1800" s="38">
        <v>572.65</v>
      </c>
      <c r="H1800" s="38">
        <f t="shared" si="88"/>
        <v>830</v>
      </c>
      <c r="I1800" s="38">
        <v>543</v>
      </c>
      <c r="J1800" s="38">
        <v>287</v>
      </c>
      <c r="K1800" s="38">
        <v>256</v>
      </c>
      <c r="L1800" s="50">
        <f t="shared" si="89"/>
        <v>30.843373493975907</v>
      </c>
      <c r="M1800" s="38">
        <v>54</v>
      </c>
      <c r="N1800" s="50">
        <f t="shared" si="87"/>
        <v>6.5060240963855414</v>
      </c>
      <c r="O1800" s="38">
        <v>0</v>
      </c>
      <c r="P1800" s="38">
        <v>0</v>
      </c>
    </row>
    <row r="1801" spans="1:30" x14ac:dyDescent="0.25">
      <c r="A1801" s="38" t="s">
        <v>36</v>
      </c>
      <c r="B1801" s="38" t="s">
        <v>3570</v>
      </c>
      <c r="C1801" s="38" t="s">
        <v>3854</v>
      </c>
      <c r="D1801" s="38" t="s">
        <v>3863</v>
      </c>
      <c r="E1801" s="38" t="s">
        <v>3864</v>
      </c>
      <c r="F1801" s="38">
        <v>703.17</v>
      </c>
      <c r="G1801" s="38">
        <v>703.17</v>
      </c>
      <c r="H1801" s="38">
        <f t="shared" si="88"/>
        <v>1091</v>
      </c>
      <c r="I1801" s="38">
        <v>709</v>
      </c>
      <c r="J1801" s="38">
        <v>382</v>
      </c>
      <c r="K1801" s="38">
        <v>327</v>
      </c>
      <c r="L1801" s="50">
        <f t="shared" si="89"/>
        <v>29.97250229147571</v>
      </c>
      <c r="M1801" s="38">
        <v>63</v>
      </c>
      <c r="N1801" s="50">
        <f t="shared" si="87"/>
        <v>5.7745187901008252</v>
      </c>
      <c r="O1801" s="38">
        <v>0</v>
      </c>
      <c r="P1801" s="38">
        <v>0</v>
      </c>
    </row>
    <row r="1802" spans="1:30" x14ac:dyDescent="0.25">
      <c r="A1802" s="38" t="s">
        <v>36</v>
      </c>
      <c r="B1802" s="38" t="s">
        <v>3570</v>
      </c>
      <c r="C1802" s="38" t="s">
        <v>3865</v>
      </c>
      <c r="D1802" s="38" t="s">
        <v>3865</v>
      </c>
      <c r="E1802" s="38" t="s">
        <v>3866</v>
      </c>
      <c r="F1802" s="38">
        <v>1670.75</v>
      </c>
      <c r="G1802" s="38">
        <v>1670.75</v>
      </c>
      <c r="H1802" s="38">
        <f t="shared" si="88"/>
        <v>2125</v>
      </c>
      <c r="I1802" s="38">
        <v>1389</v>
      </c>
      <c r="J1802" s="38">
        <v>736</v>
      </c>
      <c r="K1802" s="38">
        <v>653</v>
      </c>
      <c r="L1802" s="50">
        <f t="shared" si="89"/>
        <v>30.729411764705883</v>
      </c>
      <c r="M1802" s="38">
        <v>2</v>
      </c>
      <c r="N1802" s="50">
        <f t="shared" si="87"/>
        <v>9.4117647058823528E-2</v>
      </c>
      <c r="O1802" s="38">
        <v>0</v>
      </c>
      <c r="P1802" s="38">
        <v>0</v>
      </c>
    </row>
    <row r="1803" spans="1:30" x14ac:dyDescent="0.25">
      <c r="A1803" s="38" t="s">
        <v>36</v>
      </c>
      <c r="B1803" s="38" t="s">
        <v>3570</v>
      </c>
      <c r="C1803" s="38" t="s">
        <v>3865</v>
      </c>
      <c r="D1803" s="38" t="s">
        <v>1871</v>
      </c>
      <c r="E1803" s="38" t="s">
        <v>3867</v>
      </c>
      <c r="F1803" s="38">
        <v>1076.82</v>
      </c>
      <c r="G1803" s="38">
        <v>1076.82</v>
      </c>
      <c r="H1803" s="38">
        <f t="shared" si="88"/>
        <v>1344</v>
      </c>
      <c r="I1803" s="38">
        <v>883</v>
      </c>
      <c r="J1803" s="38">
        <v>461</v>
      </c>
      <c r="K1803" s="38">
        <v>422</v>
      </c>
      <c r="L1803" s="50">
        <f t="shared" si="89"/>
        <v>31.398809523809522</v>
      </c>
      <c r="M1803" s="38">
        <v>19</v>
      </c>
      <c r="N1803" s="50">
        <f t="shared" si="87"/>
        <v>1.4136904761904763</v>
      </c>
      <c r="O1803" s="38">
        <v>0</v>
      </c>
      <c r="P1803" s="38">
        <v>6</v>
      </c>
    </row>
    <row r="1804" spans="1:30" x14ac:dyDescent="0.25">
      <c r="A1804" s="38" t="s">
        <v>36</v>
      </c>
      <c r="B1804" s="38" t="s">
        <v>3570</v>
      </c>
      <c r="C1804" s="38" t="s">
        <v>3868</v>
      </c>
      <c r="D1804" s="38" t="s">
        <v>3869</v>
      </c>
      <c r="E1804" s="38" t="s">
        <v>3870</v>
      </c>
      <c r="F1804" s="38">
        <v>1090</v>
      </c>
      <c r="G1804" s="38">
        <v>1090</v>
      </c>
      <c r="H1804" s="38">
        <f t="shared" si="88"/>
        <v>1882</v>
      </c>
      <c r="I1804" s="38">
        <v>1231</v>
      </c>
      <c r="J1804" s="38">
        <v>651</v>
      </c>
      <c r="K1804" s="38">
        <v>580</v>
      </c>
      <c r="L1804" s="50">
        <f t="shared" si="89"/>
        <v>30.818278427205104</v>
      </c>
      <c r="M1804" s="38">
        <v>24</v>
      </c>
      <c r="N1804" s="50">
        <f t="shared" si="87"/>
        <v>1.2752391073326248</v>
      </c>
      <c r="O1804" s="38">
        <v>0</v>
      </c>
      <c r="P1804" s="38">
        <v>112</v>
      </c>
      <c r="AC1804" s="117"/>
      <c r="AD1804" s="121"/>
    </row>
    <row r="1805" spans="1:30" x14ac:dyDescent="0.25">
      <c r="A1805" s="38" t="s">
        <v>36</v>
      </c>
      <c r="B1805" s="38" t="s">
        <v>3570</v>
      </c>
      <c r="C1805" s="38" t="s">
        <v>3868</v>
      </c>
      <c r="D1805" s="38" t="s">
        <v>195</v>
      </c>
      <c r="E1805" s="38" t="s">
        <v>3871</v>
      </c>
      <c r="F1805" s="38">
        <v>1613</v>
      </c>
      <c r="G1805" s="38">
        <v>1613</v>
      </c>
      <c r="H1805" s="38">
        <f t="shared" si="88"/>
        <v>2274</v>
      </c>
      <c r="I1805" s="38">
        <v>1472</v>
      </c>
      <c r="J1805" s="38">
        <v>802</v>
      </c>
      <c r="K1805" s="38">
        <v>670</v>
      </c>
      <c r="L1805" s="50">
        <f t="shared" si="89"/>
        <v>29.463500439753737</v>
      </c>
      <c r="M1805" s="38">
        <v>185</v>
      </c>
      <c r="N1805" s="50">
        <f t="shared" si="87"/>
        <v>8.1354441512752853</v>
      </c>
      <c r="O1805" s="38">
        <v>3</v>
      </c>
      <c r="P1805" s="38">
        <v>0</v>
      </c>
    </row>
    <row r="1806" spans="1:30" x14ac:dyDescent="0.25">
      <c r="A1806" s="38" t="s">
        <v>36</v>
      </c>
      <c r="B1806" s="38" t="s">
        <v>3570</v>
      </c>
      <c r="C1806" s="38" t="s">
        <v>3868</v>
      </c>
      <c r="D1806" s="38" t="s">
        <v>3872</v>
      </c>
      <c r="E1806" s="38" t="s">
        <v>3873</v>
      </c>
      <c r="F1806" s="38">
        <v>816</v>
      </c>
      <c r="G1806" s="38">
        <v>816</v>
      </c>
      <c r="H1806" s="38">
        <f t="shared" si="88"/>
        <v>716</v>
      </c>
      <c r="I1806" s="38">
        <v>472</v>
      </c>
      <c r="J1806" s="38">
        <v>244</v>
      </c>
      <c r="K1806" s="38">
        <v>228</v>
      </c>
      <c r="L1806" s="50">
        <f t="shared" si="89"/>
        <v>31.843575418994412</v>
      </c>
      <c r="M1806" s="38">
        <v>0</v>
      </c>
      <c r="N1806" s="50">
        <f t="shared" si="87"/>
        <v>0</v>
      </c>
      <c r="O1806" s="38">
        <v>0</v>
      </c>
      <c r="P1806" s="38">
        <v>0</v>
      </c>
    </row>
    <row r="1807" spans="1:30" x14ac:dyDescent="0.25">
      <c r="A1807" s="38" t="s">
        <v>36</v>
      </c>
      <c r="B1807" s="38" t="s">
        <v>3570</v>
      </c>
      <c r="C1807" s="38" t="s">
        <v>3874</v>
      </c>
      <c r="D1807" s="38" t="s">
        <v>3874</v>
      </c>
      <c r="E1807" s="38" t="s">
        <v>3875</v>
      </c>
      <c r="F1807" s="38">
        <v>860</v>
      </c>
      <c r="G1807" s="38">
        <v>860</v>
      </c>
      <c r="H1807" s="38">
        <f t="shared" si="88"/>
        <v>1288</v>
      </c>
      <c r="I1807" s="38">
        <v>852</v>
      </c>
      <c r="J1807" s="38">
        <v>436</v>
      </c>
      <c r="K1807" s="38">
        <v>416</v>
      </c>
      <c r="L1807" s="50">
        <f t="shared" si="89"/>
        <v>32.298136645962735</v>
      </c>
      <c r="M1807" s="38">
        <v>45</v>
      </c>
      <c r="N1807" s="50">
        <f t="shared" si="87"/>
        <v>3.4937888198757761</v>
      </c>
      <c r="O1807" s="38">
        <v>0</v>
      </c>
      <c r="P1807" s="38">
        <v>0</v>
      </c>
    </row>
    <row r="1808" spans="1:30" x14ac:dyDescent="0.25">
      <c r="A1808" s="38" t="s">
        <v>36</v>
      </c>
      <c r="B1808" s="38" t="s">
        <v>3570</v>
      </c>
      <c r="C1808" s="38" t="s">
        <v>3874</v>
      </c>
      <c r="D1808" s="38" t="s">
        <v>3876</v>
      </c>
      <c r="E1808" s="38" t="s">
        <v>3877</v>
      </c>
      <c r="F1808" s="38">
        <v>1108</v>
      </c>
      <c r="G1808" s="38">
        <v>1108</v>
      </c>
      <c r="H1808" s="38">
        <f t="shared" si="88"/>
        <v>1256</v>
      </c>
      <c r="I1808" s="38">
        <v>828</v>
      </c>
      <c r="J1808" s="38">
        <v>428</v>
      </c>
      <c r="K1808" s="38">
        <v>400</v>
      </c>
      <c r="L1808" s="50">
        <f t="shared" si="89"/>
        <v>31.847133757961782</v>
      </c>
      <c r="M1808" s="38">
        <v>116</v>
      </c>
      <c r="N1808" s="50">
        <f t="shared" si="87"/>
        <v>9.2356687898089174</v>
      </c>
      <c r="O1808" s="38">
        <v>0</v>
      </c>
      <c r="P1808" s="38">
        <v>0</v>
      </c>
    </row>
    <row r="1809" spans="1:31" x14ac:dyDescent="0.25">
      <c r="A1809" s="38" t="s">
        <v>36</v>
      </c>
      <c r="B1809" s="38" t="s">
        <v>3570</v>
      </c>
      <c r="C1809" s="38" t="s">
        <v>3874</v>
      </c>
      <c r="D1809" s="38" t="s">
        <v>3878</v>
      </c>
      <c r="E1809" s="38" t="s">
        <v>3879</v>
      </c>
      <c r="F1809" s="38">
        <v>1006</v>
      </c>
      <c r="G1809" s="38">
        <v>1006</v>
      </c>
      <c r="H1809" s="38">
        <f t="shared" si="88"/>
        <v>1049</v>
      </c>
      <c r="I1809" s="38">
        <v>690</v>
      </c>
      <c r="J1809" s="38">
        <v>359</v>
      </c>
      <c r="K1809" s="38">
        <v>331</v>
      </c>
      <c r="L1809" s="50">
        <f t="shared" si="89"/>
        <v>31.553860819828405</v>
      </c>
      <c r="M1809" s="38">
        <v>0</v>
      </c>
      <c r="N1809" s="50">
        <f t="shared" si="87"/>
        <v>0</v>
      </c>
      <c r="O1809" s="38">
        <v>0</v>
      </c>
      <c r="P1809" s="38">
        <v>17</v>
      </c>
    </row>
    <row r="1810" spans="1:31" x14ac:dyDescent="0.25">
      <c r="A1810" s="38" t="s">
        <v>36</v>
      </c>
      <c r="B1810" s="38" t="s">
        <v>3880</v>
      </c>
      <c r="C1810" s="38" t="s">
        <v>3881</v>
      </c>
      <c r="D1810" s="38" t="s">
        <v>3882</v>
      </c>
      <c r="E1810" s="38" t="s">
        <v>3883</v>
      </c>
      <c r="F1810" s="38">
        <v>2458.06</v>
      </c>
      <c r="G1810" s="38">
        <v>2458.06</v>
      </c>
      <c r="H1810" s="38">
        <f t="shared" si="88"/>
        <v>4294</v>
      </c>
      <c r="I1810" s="38">
        <v>2827</v>
      </c>
      <c r="J1810" s="38">
        <v>1467</v>
      </c>
      <c r="K1810" s="38">
        <v>1360</v>
      </c>
      <c r="L1810" s="50">
        <f t="shared" si="89"/>
        <v>31.672100605496041</v>
      </c>
      <c r="M1810" s="38">
        <v>139</v>
      </c>
      <c r="N1810" s="50">
        <f t="shared" si="87"/>
        <v>3.2370749883558454</v>
      </c>
      <c r="O1810" s="38">
        <v>0</v>
      </c>
      <c r="P1810" s="38">
        <v>43.84</v>
      </c>
      <c r="Q1810" s="96" t="s">
        <v>160</v>
      </c>
      <c r="R1810" s="14">
        <v>44587</v>
      </c>
      <c r="S1810" s="97"/>
      <c r="T1810" s="85">
        <v>41.76</v>
      </c>
      <c r="U1810" s="96"/>
      <c r="V1810" s="96"/>
      <c r="W1810" s="96"/>
      <c r="X1810" s="96"/>
      <c r="Y1810" s="96"/>
      <c r="AB1810" s="85">
        <v>40</v>
      </c>
      <c r="AC1810" s="15" t="s">
        <v>3882</v>
      </c>
      <c r="AD1810" s="36">
        <v>25.166242</v>
      </c>
      <c r="AE1810" s="97">
        <v>71.674300000000002</v>
      </c>
    </row>
    <row r="1811" spans="1:31" x14ac:dyDescent="0.25">
      <c r="A1811" s="38" t="s">
        <v>36</v>
      </c>
      <c r="B1811" s="38" t="s">
        <v>3880</v>
      </c>
      <c r="C1811" s="38" t="s">
        <v>3881</v>
      </c>
      <c r="D1811" s="38" t="s">
        <v>3885</v>
      </c>
      <c r="E1811" s="38" t="s">
        <v>3886</v>
      </c>
      <c r="F1811" s="38">
        <v>761.08</v>
      </c>
      <c r="G1811" s="38">
        <v>761.08</v>
      </c>
      <c r="H1811" s="38">
        <f t="shared" si="88"/>
        <v>1439</v>
      </c>
      <c r="I1811" s="38">
        <v>940</v>
      </c>
      <c r="J1811" s="38">
        <v>499</v>
      </c>
      <c r="K1811" s="38">
        <v>441</v>
      </c>
      <c r="L1811" s="50">
        <f t="shared" si="89"/>
        <v>30.646282140375259</v>
      </c>
      <c r="M1811" s="38">
        <v>133</v>
      </c>
      <c r="N1811" s="50">
        <f t="shared" si="87"/>
        <v>9.2425295343988889</v>
      </c>
      <c r="O1811" s="38">
        <v>6.21</v>
      </c>
      <c r="P1811" s="38">
        <v>0</v>
      </c>
    </row>
    <row r="1812" spans="1:31" x14ac:dyDescent="0.25">
      <c r="A1812" s="38" t="s">
        <v>36</v>
      </c>
      <c r="B1812" s="38" t="s">
        <v>3880</v>
      </c>
      <c r="C1812" s="38" t="s">
        <v>3881</v>
      </c>
      <c r="D1812" s="38" t="s">
        <v>3887</v>
      </c>
      <c r="E1812" s="38" t="s">
        <v>3888</v>
      </c>
      <c r="F1812" s="38">
        <v>326.14</v>
      </c>
      <c r="G1812" s="38">
        <v>326.14</v>
      </c>
      <c r="H1812" s="38">
        <f t="shared" si="88"/>
        <v>491</v>
      </c>
      <c r="I1812" s="38">
        <v>321</v>
      </c>
      <c r="J1812" s="38">
        <v>170</v>
      </c>
      <c r="K1812" s="38">
        <v>151</v>
      </c>
      <c r="L1812" s="50">
        <f t="shared" si="89"/>
        <v>30.753564154786151</v>
      </c>
      <c r="M1812" s="38">
        <v>7</v>
      </c>
      <c r="N1812" s="50">
        <f t="shared" si="87"/>
        <v>1.4256619144602851</v>
      </c>
      <c r="O1812" s="38">
        <v>0</v>
      </c>
      <c r="P1812" s="38">
        <v>0</v>
      </c>
    </row>
    <row r="1813" spans="1:31" x14ac:dyDescent="0.25">
      <c r="A1813" s="38" t="s">
        <v>36</v>
      </c>
      <c r="B1813" s="38" t="s">
        <v>3880</v>
      </c>
      <c r="C1813" s="38" t="s">
        <v>3881</v>
      </c>
      <c r="D1813" s="38" t="s">
        <v>2962</v>
      </c>
      <c r="E1813" s="38" t="s">
        <v>3889</v>
      </c>
      <c r="F1813" s="38">
        <v>312</v>
      </c>
      <c r="G1813" s="38">
        <v>312</v>
      </c>
      <c r="H1813" s="38">
        <f t="shared" si="88"/>
        <v>363</v>
      </c>
      <c r="I1813" s="38">
        <v>242</v>
      </c>
      <c r="J1813" s="38">
        <v>121</v>
      </c>
      <c r="K1813" s="38">
        <v>121</v>
      </c>
      <c r="L1813" s="50">
        <f t="shared" si="89"/>
        <v>33.333333333333329</v>
      </c>
      <c r="M1813" s="38">
        <v>0</v>
      </c>
      <c r="N1813" s="50">
        <f t="shared" si="87"/>
        <v>0</v>
      </c>
      <c r="O1813" s="38">
        <v>0</v>
      </c>
      <c r="P1813" s="38">
        <v>0</v>
      </c>
    </row>
    <row r="1814" spans="1:31" x14ac:dyDescent="0.25">
      <c r="A1814" s="38" t="s">
        <v>36</v>
      </c>
      <c r="B1814" s="38" t="s">
        <v>3880</v>
      </c>
      <c r="C1814" s="38" t="s">
        <v>3890</v>
      </c>
      <c r="D1814" s="38" t="s">
        <v>3891</v>
      </c>
      <c r="E1814" s="38" t="s">
        <v>3892</v>
      </c>
      <c r="F1814" s="38">
        <v>683.52</v>
      </c>
      <c r="G1814" s="38">
        <v>683.52</v>
      </c>
      <c r="H1814" s="38">
        <f t="shared" si="88"/>
        <v>1419</v>
      </c>
      <c r="I1814" s="38">
        <v>929</v>
      </c>
      <c r="J1814" s="38">
        <v>490</v>
      </c>
      <c r="K1814" s="38">
        <v>439</v>
      </c>
      <c r="L1814" s="50">
        <f t="shared" si="89"/>
        <v>30.937279774489078</v>
      </c>
      <c r="M1814" s="38">
        <v>0</v>
      </c>
      <c r="N1814" s="50">
        <f t="shared" ref="N1814:N1877" si="90">M1814/H1814*100</f>
        <v>0</v>
      </c>
      <c r="O1814" s="38">
        <v>0</v>
      </c>
      <c r="P1814" s="38">
        <v>6.25</v>
      </c>
    </row>
    <row r="1815" spans="1:31" x14ac:dyDescent="0.25">
      <c r="A1815" s="38" t="s">
        <v>36</v>
      </c>
      <c r="B1815" s="38" t="s">
        <v>3880</v>
      </c>
      <c r="C1815" s="38" t="s">
        <v>3890</v>
      </c>
      <c r="D1815" s="38" t="s">
        <v>3893</v>
      </c>
      <c r="E1815" s="38" t="s">
        <v>3894</v>
      </c>
      <c r="F1815" s="38">
        <v>343.53</v>
      </c>
      <c r="G1815" s="38">
        <v>343.53</v>
      </c>
      <c r="H1815" s="38">
        <f t="shared" si="88"/>
        <v>618</v>
      </c>
      <c r="I1815" s="38">
        <v>412</v>
      </c>
      <c r="J1815" s="38">
        <v>206</v>
      </c>
      <c r="K1815" s="38">
        <v>206</v>
      </c>
      <c r="L1815" s="50">
        <f t="shared" si="89"/>
        <v>33.333333333333329</v>
      </c>
      <c r="M1815" s="38">
        <v>21</v>
      </c>
      <c r="N1815" s="50">
        <f t="shared" si="90"/>
        <v>3.3980582524271843</v>
      </c>
      <c r="O1815" s="38">
        <v>0</v>
      </c>
      <c r="P1815" s="38">
        <v>1.1599999999999999</v>
      </c>
    </row>
    <row r="1816" spans="1:31" x14ac:dyDescent="0.25">
      <c r="A1816" s="38" t="s">
        <v>36</v>
      </c>
      <c r="B1816" s="38" t="s">
        <v>3880</v>
      </c>
      <c r="C1816" s="38" t="s">
        <v>3890</v>
      </c>
      <c r="D1816" s="38" t="s">
        <v>3895</v>
      </c>
      <c r="E1816" s="38" t="s">
        <v>3896</v>
      </c>
      <c r="F1816" s="38">
        <v>251.81</v>
      </c>
      <c r="G1816" s="38">
        <v>251.81</v>
      </c>
      <c r="H1816" s="38">
        <f t="shared" si="88"/>
        <v>510</v>
      </c>
      <c r="I1816" s="38">
        <v>334</v>
      </c>
      <c r="J1816" s="38">
        <v>176</v>
      </c>
      <c r="K1816" s="38">
        <v>158</v>
      </c>
      <c r="L1816" s="50">
        <f t="shared" si="89"/>
        <v>30.980392156862745</v>
      </c>
      <c r="M1816" s="38">
        <v>68</v>
      </c>
      <c r="N1816" s="50">
        <f t="shared" si="90"/>
        <v>13.333333333333334</v>
      </c>
      <c r="O1816" s="38">
        <v>0</v>
      </c>
      <c r="P1816" s="38">
        <v>0.82</v>
      </c>
    </row>
    <row r="1817" spans="1:31" x14ac:dyDescent="0.25">
      <c r="A1817" s="38" t="s">
        <v>36</v>
      </c>
      <c r="B1817" s="38" t="s">
        <v>3880</v>
      </c>
      <c r="C1817" s="38" t="s">
        <v>3890</v>
      </c>
      <c r="D1817" s="38" t="s">
        <v>3897</v>
      </c>
      <c r="E1817" s="38" t="s">
        <v>3898</v>
      </c>
      <c r="F1817" s="38">
        <v>573.16999999999996</v>
      </c>
      <c r="G1817" s="38">
        <v>573.16999999999996</v>
      </c>
      <c r="H1817" s="38">
        <f t="shared" si="88"/>
        <v>937</v>
      </c>
      <c r="I1817" s="38">
        <v>612</v>
      </c>
      <c r="J1817" s="38">
        <v>325</v>
      </c>
      <c r="K1817" s="38">
        <v>287</v>
      </c>
      <c r="L1817" s="50">
        <f t="shared" si="89"/>
        <v>30.629669156883672</v>
      </c>
      <c r="M1817" s="38">
        <v>0</v>
      </c>
      <c r="N1817" s="50">
        <f t="shared" si="90"/>
        <v>0</v>
      </c>
      <c r="O1817" s="38">
        <v>0</v>
      </c>
      <c r="P1817" s="38">
        <v>0.5</v>
      </c>
    </row>
    <row r="1818" spans="1:31" x14ac:dyDescent="0.25">
      <c r="A1818" s="38" t="s">
        <v>36</v>
      </c>
      <c r="B1818" s="38" t="s">
        <v>3880</v>
      </c>
      <c r="C1818" s="38" t="s">
        <v>3890</v>
      </c>
      <c r="D1818" s="38" t="s">
        <v>3899</v>
      </c>
      <c r="E1818" s="38" t="s">
        <v>3900</v>
      </c>
      <c r="F1818" s="38">
        <v>474.22</v>
      </c>
      <c r="G1818" s="38">
        <v>474.22</v>
      </c>
      <c r="H1818" s="38">
        <f t="shared" si="88"/>
        <v>370</v>
      </c>
      <c r="I1818" s="38">
        <v>247</v>
      </c>
      <c r="J1818" s="38">
        <v>123</v>
      </c>
      <c r="K1818" s="38">
        <v>124</v>
      </c>
      <c r="L1818" s="50">
        <f t="shared" si="89"/>
        <v>33.513513513513516</v>
      </c>
      <c r="M1818" s="38">
        <v>27</v>
      </c>
      <c r="N1818" s="50">
        <f t="shared" si="90"/>
        <v>7.2972972972972974</v>
      </c>
      <c r="O1818" s="38">
        <v>0</v>
      </c>
      <c r="P1818" s="38">
        <v>4.2300000000000004</v>
      </c>
    </row>
    <row r="1819" spans="1:31" x14ac:dyDescent="0.25">
      <c r="A1819" s="38" t="s">
        <v>36</v>
      </c>
      <c r="B1819" s="38" t="s">
        <v>3880</v>
      </c>
      <c r="C1819" s="38" t="s">
        <v>3890</v>
      </c>
      <c r="D1819" s="38" t="s">
        <v>3901</v>
      </c>
      <c r="E1819" s="38" t="s">
        <v>3902</v>
      </c>
      <c r="F1819" s="38">
        <v>318.95999999999998</v>
      </c>
      <c r="G1819" s="38">
        <v>318.95999999999998</v>
      </c>
      <c r="H1819" s="38">
        <f t="shared" si="88"/>
        <v>585</v>
      </c>
      <c r="I1819" s="38">
        <v>383</v>
      </c>
      <c r="J1819" s="38">
        <v>202</v>
      </c>
      <c r="K1819" s="38">
        <v>181</v>
      </c>
      <c r="L1819" s="50">
        <f t="shared" si="89"/>
        <v>30.94017094017094</v>
      </c>
      <c r="M1819" s="38">
        <v>0</v>
      </c>
      <c r="N1819" s="50">
        <f t="shared" si="90"/>
        <v>0</v>
      </c>
      <c r="O1819" s="38">
        <v>0</v>
      </c>
      <c r="P1819" s="38">
        <v>0</v>
      </c>
    </row>
    <row r="1820" spans="1:31" x14ac:dyDescent="0.25">
      <c r="A1820" s="38" t="s">
        <v>36</v>
      </c>
      <c r="B1820" s="38" t="s">
        <v>3880</v>
      </c>
      <c r="C1820" s="38" t="s">
        <v>3903</v>
      </c>
      <c r="D1820" s="38" t="s">
        <v>3904</v>
      </c>
      <c r="E1820" s="38" t="s">
        <v>3905</v>
      </c>
      <c r="F1820" s="38">
        <v>943.78</v>
      </c>
      <c r="G1820" s="38">
        <v>943.78</v>
      </c>
      <c r="H1820" s="38">
        <f t="shared" si="88"/>
        <v>1634</v>
      </c>
      <c r="I1820" s="38">
        <v>1073</v>
      </c>
      <c r="J1820" s="38">
        <v>561</v>
      </c>
      <c r="K1820" s="38">
        <v>512</v>
      </c>
      <c r="L1820" s="50">
        <f t="shared" si="89"/>
        <v>31.334149326805381</v>
      </c>
      <c r="M1820" s="38">
        <v>130</v>
      </c>
      <c r="N1820" s="50">
        <f t="shared" si="90"/>
        <v>7.9559363525091795</v>
      </c>
      <c r="O1820" s="38">
        <v>0</v>
      </c>
      <c r="P1820" s="38">
        <v>20.58</v>
      </c>
      <c r="Q1820" s="98" t="s">
        <v>44</v>
      </c>
      <c r="R1820" s="7">
        <v>44589</v>
      </c>
      <c r="S1820" s="99"/>
      <c r="T1820" s="4">
        <v>97.781000000000006</v>
      </c>
      <c r="U1820" s="98"/>
      <c r="V1820" s="98"/>
      <c r="W1820" s="98"/>
      <c r="X1820" s="98"/>
      <c r="Y1820" s="98"/>
      <c r="AB1820" s="20"/>
      <c r="AC1820" s="11" t="s">
        <v>3904</v>
      </c>
      <c r="AD1820" s="61"/>
      <c r="AE1820" s="99"/>
    </row>
    <row r="1821" spans="1:31" x14ac:dyDescent="0.25">
      <c r="A1821" s="38" t="s">
        <v>36</v>
      </c>
      <c r="B1821" s="38" t="s">
        <v>3880</v>
      </c>
      <c r="C1821" s="38" t="s">
        <v>3903</v>
      </c>
      <c r="D1821" s="38" t="s">
        <v>3906</v>
      </c>
      <c r="E1821" s="38" t="s">
        <v>3907</v>
      </c>
      <c r="F1821" s="38">
        <v>1264.4100000000001</v>
      </c>
      <c r="G1821" s="38">
        <v>1264.4100000000001</v>
      </c>
      <c r="H1821" s="38">
        <f t="shared" si="88"/>
        <v>2794</v>
      </c>
      <c r="I1821" s="38">
        <v>1832</v>
      </c>
      <c r="J1821" s="38">
        <v>962</v>
      </c>
      <c r="K1821" s="38">
        <v>870</v>
      </c>
      <c r="L1821" s="50">
        <f t="shared" si="89"/>
        <v>31.138153185397282</v>
      </c>
      <c r="M1821" s="38">
        <v>107</v>
      </c>
      <c r="N1821" s="50">
        <f t="shared" si="90"/>
        <v>3.8296349319971368</v>
      </c>
      <c r="O1821" s="38">
        <v>0</v>
      </c>
      <c r="P1821" s="38">
        <v>0</v>
      </c>
    </row>
    <row r="1822" spans="1:31" x14ac:dyDescent="0.25">
      <c r="A1822" s="38" t="s">
        <v>36</v>
      </c>
      <c r="B1822" s="38" t="s">
        <v>3880</v>
      </c>
      <c r="C1822" s="38" t="s">
        <v>3903</v>
      </c>
      <c r="D1822" s="38" t="s">
        <v>3908</v>
      </c>
      <c r="E1822" s="38" t="s">
        <v>3909</v>
      </c>
      <c r="F1822" s="38">
        <v>1334.85</v>
      </c>
      <c r="G1822" s="38">
        <v>1334.85</v>
      </c>
      <c r="H1822" s="38">
        <f t="shared" si="88"/>
        <v>1627</v>
      </c>
      <c r="I1822" s="38">
        <v>1080</v>
      </c>
      <c r="J1822" s="38">
        <v>547</v>
      </c>
      <c r="K1822" s="38">
        <v>533</v>
      </c>
      <c r="L1822" s="50">
        <f t="shared" si="89"/>
        <v>32.759680393362018</v>
      </c>
      <c r="M1822" s="38">
        <v>91</v>
      </c>
      <c r="N1822" s="50">
        <f t="shared" si="90"/>
        <v>5.5931161647203442</v>
      </c>
      <c r="O1822" s="38">
        <v>0</v>
      </c>
      <c r="P1822" s="38">
        <v>218.02</v>
      </c>
    </row>
    <row r="1823" spans="1:31" x14ac:dyDescent="0.25">
      <c r="A1823" s="38" t="s">
        <v>36</v>
      </c>
      <c r="B1823" s="38" t="s">
        <v>3880</v>
      </c>
      <c r="C1823" s="38" t="s">
        <v>3910</v>
      </c>
      <c r="D1823" s="38" t="s">
        <v>3911</v>
      </c>
      <c r="E1823" s="38" t="s">
        <v>3912</v>
      </c>
      <c r="F1823" s="38">
        <v>1288.04</v>
      </c>
      <c r="G1823" s="38">
        <v>1288.04</v>
      </c>
      <c r="H1823" s="38">
        <f t="shared" si="88"/>
        <v>2510</v>
      </c>
      <c r="I1823" s="38">
        <v>1655</v>
      </c>
      <c r="J1823" s="38">
        <v>855</v>
      </c>
      <c r="K1823" s="38">
        <v>800</v>
      </c>
      <c r="L1823" s="50">
        <f t="shared" si="89"/>
        <v>31.872509960159363</v>
      </c>
      <c r="M1823" s="38">
        <v>301</v>
      </c>
      <c r="N1823" s="50">
        <f t="shared" si="90"/>
        <v>11.99203187250996</v>
      </c>
      <c r="O1823" s="38">
        <v>0</v>
      </c>
      <c r="P1823" s="38">
        <v>0</v>
      </c>
      <c r="Q1823" s="96" t="s">
        <v>44</v>
      </c>
      <c r="R1823" s="14">
        <v>44910</v>
      </c>
      <c r="S1823" s="97"/>
      <c r="T1823" s="235">
        <v>79</v>
      </c>
      <c r="U1823" s="96"/>
      <c r="V1823" s="96"/>
      <c r="W1823" s="96"/>
      <c r="X1823" s="96"/>
      <c r="Y1823" s="96"/>
      <c r="AB1823" s="85"/>
      <c r="AC1823" s="15" t="s">
        <v>3913</v>
      </c>
      <c r="AD1823" s="36"/>
      <c r="AE1823" s="97"/>
    </row>
    <row r="1824" spans="1:31" x14ac:dyDescent="0.25">
      <c r="A1824" s="38" t="s">
        <v>36</v>
      </c>
      <c r="B1824" s="38" t="s">
        <v>3880</v>
      </c>
      <c r="C1824" s="38" t="s">
        <v>3910</v>
      </c>
      <c r="D1824" s="38" t="s">
        <v>3914</v>
      </c>
      <c r="E1824" s="38" t="s">
        <v>3915</v>
      </c>
      <c r="F1824" s="38">
        <v>863</v>
      </c>
      <c r="G1824" s="38">
        <v>863</v>
      </c>
      <c r="H1824" s="38">
        <f t="shared" si="88"/>
        <v>1890</v>
      </c>
      <c r="I1824" s="38">
        <v>1251</v>
      </c>
      <c r="J1824" s="38">
        <v>639</v>
      </c>
      <c r="K1824" s="38">
        <v>612</v>
      </c>
      <c r="L1824" s="50">
        <f t="shared" si="89"/>
        <v>32.38095238095238</v>
      </c>
      <c r="M1824" s="38">
        <v>140</v>
      </c>
      <c r="N1824" s="50">
        <f t="shared" si="90"/>
        <v>7.4074074074074066</v>
      </c>
      <c r="O1824" s="38">
        <v>0</v>
      </c>
      <c r="P1824" s="38">
        <v>0</v>
      </c>
      <c r="Q1824" s="96" t="s">
        <v>44</v>
      </c>
      <c r="R1824" s="14">
        <v>44545</v>
      </c>
      <c r="S1824" s="97"/>
      <c r="T1824" s="235">
        <v>44.12</v>
      </c>
      <c r="U1824" s="96"/>
      <c r="V1824" s="96"/>
      <c r="W1824" s="96"/>
      <c r="X1824" s="96"/>
      <c r="Y1824" s="96"/>
      <c r="AB1824" s="85"/>
      <c r="AC1824" s="15" t="s">
        <v>3916</v>
      </c>
      <c r="AD1824" s="36"/>
      <c r="AE1824" s="97"/>
    </row>
    <row r="1825" spans="1:31" x14ac:dyDescent="0.25">
      <c r="A1825" s="38" t="s">
        <v>36</v>
      </c>
      <c r="B1825" s="38" t="s">
        <v>3880</v>
      </c>
      <c r="C1825" s="38" t="s">
        <v>3917</v>
      </c>
      <c r="D1825" s="38" t="s">
        <v>3918</v>
      </c>
      <c r="E1825" s="38" t="s">
        <v>3919</v>
      </c>
      <c r="F1825" s="38">
        <v>307.08</v>
      </c>
      <c r="G1825" s="38">
        <v>307.08</v>
      </c>
      <c r="H1825" s="38">
        <f t="shared" si="88"/>
        <v>529</v>
      </c>
      <c r="I1825" s="38">
        <v>351</v>
      </c>
      <c r="J1825" s="38">
        <v>178</v>
      </c>
      <c r="K1825" s="38">
        <v>173</v>
      </c>
      <c r="L1825" s="50">
        <f t="shared" si="89"/>
        <v>32.703213610586012</v>
      </c>
      <c r="M1825" s="38">
        <v>0</v>
      </c>
      <c r="N1825" s="50">
        <f t="shared" si="90"/>
        <v>0</v>
      </c>
      <c r="O1825" s="38">
        <v>0</v>
      </c>
      <c r="P1825" s="38">
        <v>0</v>
      </c>
    </row>
    <row r="1826" spans="1:31" x14ac:dyDescent="0.25">
      <c r="A1826" s="38" t="s">
        <v>36</v>
      </c>
      <c r="B1826" s="38" t="s">
        <v>3880</v>
      </c>
      <c r="C1826" s="38" t="s">
        <v>3917</v>
      </c>
      <c r="D1826" s="38" t="s">
        <v>3920</v>
      </c>
      <c r="E1826" s="38" t="s">
        <v>3921</v>
      </c>
      <c r="F1826" s="38">
        <v>426.84</v>
      </c>
      <c r="G1826" s="38">
        <v>426.84</v>
      </c>
      <c r="H1826" s="38">
        <f t="shared" si="88"/>
        <v>883</v>
      </c>
      <c r="I1826" s="38">
        <v>588</v>
      </c>
      <c r="J1826" s="38">
        <v>295</v>
      </c>
      <c r="K1826" s="38">
        <v>293</v>
      </c>
      <c r="L1826" s="50">
        <f t="shared" si="89"/>
        <v>33.182332955832386</v>
      </c>
      <c r="M1826" s="38">
        <v>11</v>
      </c>
      <c r="N1826" s="50">
        <f t="shared" si="90"/>
        <v>1.245753114382786</v>
      </c>
      <c r="O1826" s="38">
        <v>0</v>
      </c>
      <c r="P1826" s="38">
        <v>35.549999999999997</v>
      </c>
      <c r="Q1826" s="35" t="s">
        <v>43</v>
      </c>
      <c r="R1826" s="100">
        <v>44546</v>
      </c>
      <c r="S1826" s="35"/>
      <c r="T1826" s="35">
        <v>36</v>
      </c>
      <c r="U1826" s="35"/>
      <c r="V1826" s="35"/>
      <c r="W1826" s="35"/>
      <c r="X1826" s="35"/>
      <c r="Y1826" s="35"/>
      <c r="AB1826" s="87"/>
      <c r="AC1826" s="35" t="s">
        <v>3922</v>
      </c>
      <c r="AD1826" s="35">
        <v>25.045566999999998</v>
      </c>
      <c r="AE1826" s="35">
        <v>71.662773000000001</v>
      </c>
    </row>
    <row r="1827" spans="1:31" x14ac:dyDescent="0.25">
      <c r="A1827" s="38" t="s">
        <v>36</v>
      </c>
      <c r="B1827" s="38" t="s">
        <v>3880</v>
      </c>
      <c r="C1827" s="38" t="s">
        <v>3917</v>
      </c>
      <c r="D1827" s="38" t="s">
        <v>3923</v>
      </c>
      <c r="E1827" s="38"/>
      <c r="F1827" s="38"/>
      <c r="G1827" s="38"/>
      <c r="H1827" s="38">
        <f t="shared" si="88"/>
        <v>0</v>
      </c>
      <c r="I1827" s="38"/>
      <c r="J1827" s="38"/>
      <c r="K1827" s="38"/>
      <c r="L1827" s="50"/>
      <c r="M1827" s="38"/>
      <c r="N1827" s="50"/>
      <c r="O1827" s="38"/>
      <c r="P1827" s="38"/>
      <c r="Q1827" s="35" t="s">
        <v>43</v>
      </c>
      <c r="R1827" s="100">
        <v>44546</v>
      </c>
      <c r="S1827" s="187"/>
      <c r="T1827" s="235">
        <v>0</v>
      </c>
      <c r="U1827" s="35"/>
      <c r="V1827" s="35"/>
      <c r="W1827" s="35"/>
      <c r="X1827" s="35"/>
      <c r="Y1827" s="35"/>
      <c r="AB1827" s="87">
        <v>15</v>
      </c>
      <c r="AC1827" s="35" t="s">
        <v>3924</v>
      </c>
      <c r="AD1827" s="35">
        <v>25.053270000000001</v>
      </c>
      <c r="AE1827" s="187">
        <v>71.645358999999999</v>
      </c>
    </row>
    <row r="1828" spans="1:31" x14ac:dyDescent="0.25">
      <c r="A1828" s="38" t="s">
        <v>36</v>
      </c>
      <c r="B1828" s="38" t="s">
        <v>3880</v>
      </c>
      <c r="C1828" s="38" t="s">
        <v>3917</v>
      </c>
      <c r="D1828" s="38" t="s">
        <v>3925</v>
      </c>
      <c r="E1828" s="38" t="s">
        <v>3926</v>
      </c>
      <c r="F1828" s="38">
        <v>282.75</v>
      </c>
      <c r="G1828" s="38">
        <v>282.75</v>
      </c>
      <c r="H1828" s="38">
        <f t="shared" si="88"/>
        <v>515</v>
      </c>
      <c r="I1828" s="38">
        <v>335</v>
      </c>
      <c r="J1828" s="38">
        <v>180</v>
      </c>
      <c r="K1828" s="38">
        <v>155</v>
      </c>
      <c r="L1828" s="50">
        <f t="shared" si="89"/>
        <v>30.097087378640776</v>
      </c>
      <c r="M1828" s="38">
        <v>0</v>
      </c>
      <c r="N1828" s="50">
        <f t="shared" si="90"/>
        <v>0</v>
      </c>
      <c r="O1828" s="38">
        <v>0</v>
      </c>
      <c r="P1828" s="38">
        <v>11.91</v>
      </c>
    </row>
    <row r="1829" spans="1:31" x14ac:dyDescent="0.25">
      <c r="A1829" s="38" t="s">
        <v>36</v>
      </c>
      <c r="B1829" s="38" t="s">
        <v>3880</v>
      </c>
      <c r="C1829" s="38" t="s">
        <v>3917</v>
      </c>
      <c r="D1829" s="38" t="s">
        <v>3923</v>
      </c>
      <c r="E1829" s="38" t="s">
        <v>3927</v>
      </c>
      <c r="F1829" s="38">
        <v>1133.05</v>
      </c>
      <c r="G1829" s="38">
        <v>1133.05</v>
      </c>
      <c r="H1829" s="38">
        <f t="shared" si="88"/>
        <v>3806</v>
      </c>
      <c r="I1829" s="38">
        <v>2500</v>
      </c>
      <c r="J1829" s="38">
        <v>1306</v>
      </c>
      <c r="K1829" s="38">
        <v>1194</v>
      </c>
      <c r="L1829" s="50">
        <f t="shared" si="89"/>
        <v>31.371518654755647</v>
      </c>
      <c r="M1829" s="38">
        <v>152</v>
      </c>
      <c r="N1829" s="50">
        <f t="shared" si="90"/>
        <v>3.9936941671045716</v>
      </c>
      <c r="O1829" s="38">
        <v>0</v>
      </c>
      <c r="P1829" s="38">
        <v>6.07</v>
      </c>
      <c r="Q1829" s="35" t="s">
        <v>43</v>
      </c>
      <c r="R1829" s="100">
        <v>44546</v>
      </c>
      <c r="S1829" s="35"/>
      <c r="T1829" s="35">
        <v>6</v>
      </c>
      <c r="U1829" s="35"/>
      <c r="V1829" s="35"/>
      <c r="W1829" s="35"/>
      <c r="X1829" s="35"/>
      <c r="Y1829" s="35"/>
      <c r="AB1829" s="87"/>
      <c r="AC1829" s="35" t="s">
        <v>3924</v>
      </c>
      <c r="AD1829" s="35">
        <v>25.051615000000002</v>
      </c>
      <c r="AE1829" s="35">
        <v>71.641977999999995</v>
      </c>
    </row>
    <row r="1830" spans="1:31" x14ac:dyDescent="0.25">
      <c r="A1830" s="38" t="s">
        <v>36</v>
      </c>
      <c r="B1830" s="38" t="s">
        <v>3880</v>
      </c>
      <c r="C1830" s="38" t="s">
        <v>3928</v>
      </c>
      <c r="D1830" s="38" t="s">
        <v>1942</v>
      </c>
      <c r="E1830" s="38" t="s">
        <v>3929</v>
      </c>
      <c r="F1830" s="38">
        <v>706.88</v>
      </c>
      <c r="G1830" s="38">
        <v>706.88</v>
      </c>
      <c r="H1830" s="38">
        <f t="shared" si="88"/>
        <v>2218</v>
      </c>
      <c r="I1830" s="38">
        <v>1437</v>
      </c>
      <c r="J1830" s="38">
        <v>781</v>
      </c>
      <c r="K1830" s="38">
        <v>656</v>
      </c>
      <c r="L1830" s="50">
        <f t="shared" si="89"/>
        <v>29.576194770063118</v>
      </c>
      <c r="M1830" s="38">
        <v>162</v>
      </c>
      <c r="N1830" s="50">
        <f t="shared" si="90"/>
        <v>7.3038773669972956</v>
      </c>
      <c r="O1830" s="38">
        <v>0</v>
      </c>
      <c r="P1830" s="38">
        <v>37.54</v>
      </c>
      <c r="Q1830" s="61" t="s">
        <v>43</v>
      </c>
      <c r="R1830" s="7">
        <v>44550</v>
      </c>
      <c r="S1830" s="61"/>
      <c r="T1830" s="20">
        <v>0</v>
      </c>
      <c r="U1830" s="61"/>
      <c r="V1830" s="61"/>
      <c r="W1830" s="61"/>
      <c r="X1830" s="61"/>
      <c r="Y1830" s="61"/>
      <c r="AB1830" s="20"/>
      <c r="AC1830" s="11" t="s">
        <v>1942</v>
      </c>
      <c r="AD1830" s="61">
        <v>0</v>
      </c>
      <c r="AE1830" s="61"/>
    </row>
    <row r="1831" spans="1:31" x14ac:dyDescent="0.25">
      <c r="A1831" s="38" t="s">
        <v>36</v>
      </c>
      <c r="B1831" s="38" t="s">
        <v>3880</v>
      </c>
      <c r="C1831" s="38" t="s">
        <v>3928</v>
      </c>
      <c r="D1831" s="11" t="s">
        <v>3930</v>
      </c>
      <c r="E1831" s="38"/>
      <c r="F1831" s="38"/>
      <c r="G1831" s="38"/>
      <c r="H1831" s="38">
        <f t="shared" si="88"/>
        <v>0</v>
      </c>
      <c r="I1831" s="38"/>
      <c r="J1831" s="38"/>
      <c r="K1831" s="38"/>
      <c r="L1831" s="50"/>
      <c r="M1831" s="38"/>
      <c r="N1831" s="50"/>
      <c r="O1831" s="38"/>
      <c r="P1831" s="38"/>
      <c r="Q1831" s="61" t="s">
        <v>43</v>
      </c>
      <c r="R1831" s="7">
        <v>44550</v>
      </c>
      <c r="S1831" s="61"/>
      <c r="T1831" s="20">
        <v>0</v>
      </c>
      <c r="U1831" s="61"/>
      <c r="V1831" s="61"/>
      <c r="W1831" s="61"/>
      <c r="X1831" s="61"/>
      <c r="Y1831" s="61"/>
      <c r="AB1831" s="20"/>
      <c r="AC1831" s="11" t="s">
        <v>3930</v>
      </c>
      <c r="AD1831" s="61">
        <v>0</v>
      </c>
      <c r="AE1831" s="61"/>
    </row>
    <row r="1832" spans="1:31" x14ac:dyDescent="0.25">
      <c r="A1832" s="38" t="s">
        <v>36</v>
      </c>
      <c r="B1832" s="38" t="s">
        <v>3880</v>
      </c>
      <c r="C1832" s="38" t="s">
        <v>3928</v>
      </c>
      <c r="D1832" s="38" t="s">
        <v>2656</v>
      </c>
      <c r="E1832" s="38" t="s">
        <v>3931</v>
      </c>
      <c r="F1832" s="38">
        <v>509.61</v>
      </c>
      <c r="G1832" s="38">
        <v>509.61</v>
      </c>
      <c r="H1832" s="38">
        <f t="shared" si="88"/>
        <v>1439</v>
      </c>
      <c r="I1832" s="38">
        <v>945</v>
      </c>
      <c r="J1832" s="38">
        <v>494</v>
      </c>
      <c r="K1832" s="38">
        <v>451</v>
      </c>
      <c r="L1832" s="50">
        <f t="shared" si="89"/>
        <v>31.341209173036834</v>
      </c>
      <c r="M1832" s="38">
        <v>0</v>
      </c>
      <c r="N1832" s="50">
        <f t="shared" si="90"/>
        <v>0</v>
      </c>
      <c r="O1832" s="38">
        <v>0</v>
      </c>
      <c r="P1832" s="38">
        <v>0</v>
      </c>
      <c r="Q1832" s="61" t="s">
        <v>43</v>
      </c>
      <c r="R1832" s="7">
        <v>44550</v>
      </c>
      <c r="S1832" s="61"/>
      <c r="T1832" s="20">
        <v>0</v>
      </c>
      <c r="U1832" s="61"/>
      <c r="V1832" s="61"/>
      <c r="W1832" s="61"/>
      <c r="X1832" s="61"/>
      <c r="Y1832" s="61"/>
      <c r="AB1832" s="20"/>
      <c r="AC1832" s="11" t="s">
        <v>3932</v>
      </c>
      <c r="AD1832" s="61">
        <v>0</v>
      </c>
      <c r="AE1832" s="61"/>
    </row>
    <row r="1833" spans="1:31" x14ac:dyDescent="0.25">
      <c r="A1833" s="38" t="s">
        <v>36</v>
      </c>
      <c r="B1833" s="38" t="s">
        <v>3880</v>
      </c>
      <c r="C1833" s="38" t="s">
        <v>3933</v>
      </c>
      <c r="D1833" s="38" t="s">
        <v>3934</v>
      </c>
      <c r="E1833" s="38" t="s">
        <v>3935</v>
      </c>
      <c r="F1833" s="38">
        <v>746.48</v>
      </c>
      <c r="G1833" s="38">
        <v>746.48</v>
      </c>
      <c r="H1833" s="38">
        <f t="shared" si="88"/>
        <v>1764</v>
      </c>
      <c r="I1833" s="38">
        <v>1146</v>
      </c>
      <c r="J1833" s="38">
        <v>618</v>
      </c>
      <c r="K1833" s="38">
        <v>528</v>
      </c>
      <c r="L1833" s="50">
        <f t="shared" si="89"/>
        <v>29.931972789115648</v>
      </c>
      <c r="M1833" s="38">
        <v>44</v>
      </c>
      <c r="N1833" s="50">
        <f t="shared" si="90"/>
        <v>2.4943310657596371</v>
      </c>
      <c r="O1833" s="38">
        <v>0</v>
      </c>
      <c r="P1833" s="38">
        <v>57.07</v>
      </c>
      <c r="Q1833" s="35" t="s">
        <v>43</v>
      </c>
      <c r="R1833" s="100">
        <v>44557</v>
      </c>
      <c r="S1833" s="35"/>
      <c r="T1833" s="35">
        <v>30</v>
      </c>
      <c r="U1833" s="35"/>
      <c r="V1833" s="35"/>
      <c r="W1833" s="35"/>
      <c r="X1833" s="35"/>
      <c r="Y1833" s="35"/>
      <c r="AB1833" s="87">
        <v>90</v>
      </c>
      <c r="AC1833" s="35" t="s">
        <v>3936</v>
      </c>
      <c r="AD1833" s="35">
        <v>25.286155999999998</v>
      </c>
      <c r="AE1833" s="35">
        <v>71.899411000000001</v>
      </c>
    </row>
    <row r="1834" spans="1:31" x14ac:dyDescent="0.25">
      <c r="A1834" s="38" t="s">
        <v>36</v>
      </c>
      <c r="B1834" s="38" t="s">
        <v>3880</v>
      </c>
      <c r="C1834" s="38" t="s">
        <v>3933</v>
      </c>
      <c r="D1834" s="38" t="s">
        <v>3934</v>
      </c>
      <c r="E1834" s="38" t="s">
        <v>3935</v>
      </c>
      <c r="F1834" s="38"/>
      <c r="G1834" s="38"/>
      <c r="H1834" s="38">
        <f t="shared" si="88"/>
        <v>0</v>
      </c>
      <c r="I1834" s="38"/>
      <c r="J1834" s="38"/>
      <c r="K1834" s="38"/>
      <c r="L1834" s="50"/>
      <c r="M1834" s="38"/>
      <c r="N1834" s="50"/>
      <c r="O1834" s="38">
        <v>0</v>
      </c>
      <c r="P1834" s="38">
        <v>57.07</v>
      </c>
      <c r="AC1834" s="117"/>
      <c r="AD1834" s="117"/>
    </row>
    <row r="1835" spans="1:31" x14ac:dyDescent="0.25">
      <c r="A1835" s="38" t="s">
        <v>36</v>
      </c>
      <c r="B1835" s="38" t="s">
        <v>3880</v>
      </c>
      <c r="C1835" s="38" t="s">
        <v>3933</v>
      </c>
      <c r="D1835" s="38" t="s">
        <v>3937</v>
      </c>
      <c r="E1835" s="38" t="s">
        <v>3938</v>
      </c>
      <c r="F1835" s="38">
        <v>134.88999999999999</v>
      </c>
      <c r="G1835" s="38">
        <v>134.88999999999999</v>
      </c>
      <c r="H1835" s="38">
        <f t="shared" si="88"/>
        <v>624</v>
      </c>
      <c r="I1835" s="38">
        <v>410</v>
      </c>
      <c r="J1835" s="38">
        <v>214</v>
      </c>
      <c r="K1835" s="38">
        <v>196</v>
      </c>
      <c r="L1835" s="50">
        <f t="shared" si="89"/>
        <v>31.410256410256409</v>
      </c>
      <c r="M1835" s="38">
        <v>3</v>
      </c>
      <c r="N1835" s="50">
        <f t="shared" si="90"/>
        <v>0.48076923076923078</v>
      </c>
      <c r="O1835" s="38">
        <v>0</v>
      </c>
      <c r="P1835" s="38">
        <v>0</v>
      </c>
    </row>
    <row r="1836" spans="1:31" x14ac:dyDescent="0.25">
      <c r="A1836" s="38" t="s">
        <v>36</v>
      </c>
      <c r="B1836" s="38" t="s">
        <v>3880</v>
      </c>
      <c r="C1836" s="38" t="s">
        <v>3933</v>
      </c>
      <c r="D1836" s="38" t="s">
        <v>2500</v>
      </c>
      <c r="E1836" s="38" t="s">
        <v>3939</v>
      </c>
      <c r="F1836" s="38">
        <v>555.04999999999995</v>
      </c>
      <c r="G1836" s="38">
        <v>555.04999999999995</v>
      </c>
      <c r="H1836" s="38">
        <f t="shared" si="88"/>
        <v>605</v>
      </c>
      <c r="I1836" s="38">
        <v>389</v>
      </c>
      <c r="J1836" s="38">
        <v>216</v>
      </c>
      <c r="K1836" s="38">
        <v>173</v>
      </c>
      <c r="L1836" s="50">
        <f t="shared" si="89"/>
        <v>28.595041322314053</v>
      </c>
      <c r="M1836" s="38">
        <v>0</v>
      </c>
      <c r="N1836" s="50">
        <f t="shared" si="90"/>
        <v>0</v>
      </c>
      <c r="O1836" s="38">
        <v>0</v>
      </c>
      <c r="P1836" s="38">
        <v>0</v>
      </c>
    </row>
    <row r="1837" spans="1:31" x14ac:dyDescent="0.25">
      <c r="A1837" s="38" t="s">
        <v>36</v>
      </c>
      <c r="B1837" s="38" t="s">
        <v>3880</v>
      </c>
      <c r="C1837" s="38" t="s">
        <v>3933</v>
      </c>
      <c r="D1837" s="38" t="s">
        <v>3940</v>
      </c>
      <c r="E1837" s="38" t="s">
        <v>3941</v>
      </c>
      <c r="F1837" s="38">
        <v>1347.63</v>
      </c>
      <c r="G1837" s="38">
        <v>1347.63</v>
      </c>
      <c r="H1837" s="38">
        <f t="shared" si="88"/>
        <v>900</v>
      </c>
      <c r="I1837" s="38">
        <v>588</v>
      </c>
      <c r="J1837" s="38">
        <v>312</v>
      </c>
      <c r="K1837" s="38">
        <v>276</v>
      </c>
      <c r="L1837" s="50">
        <f t="shared" si="89"/>
        <v>30.666666666666664</v>
      </c>
      <c r="M1837" s="38">
        <v>79</v>
      </c>
      <c r="N1837" s="50">
        <f t="shared" si="90"/>
        <v>8.7777777777777768</v>
      </c>
      <c r="O1837" s="38">
        <v>0</v>
      </c>
      <c r="P1837" s="38">
        <v>2.31</v>
      </c>
    </row>
    <row r="1838" spans="1:31" x14ac:dyDescent="0.25">
      <c r="A1838" s="38" t="s">
        <v>36</v>
      </c>
      <c r="B1838" s="38" t="s">
        <v>3880</v>
      </c>
      <c r="C1838" s="38" t="s">
        <v>3942</v>
      </c>
      <c r="D1838" s="38" t="s">
        <v>3942</v>
      </c>
      <c r="E1838" s="38" t="s">
        <v>3943</v>
      </c>
      <c r="F1838" s="38">
        <v>1098.48</v>
      </c>
      <c r="G1838" s="38">
        <v>1098.48</v>
      </c>
      <c r="H1838" s="38">
        <f t="shared" si="88"/>
        <v>2448</v>
      </c>
      <c r="I1838" s="38">
        <v>1610</v>
      </c>
      <c r="J1838" s="38">
        <v>838</v>
      </c>
      <c r="K1838" s="38">
        <v>772</v>
      </c>
      <c r="L1838" s="50">
        <f t="shared" si="89"/>
        <v>31.535947712418299</v>
      </c>
      <c r="M1838" s="38">
        <v>167</v>
      </c>
      <c r="N1838" s="50">
        <f t="shared" si="90"/>
        <v>6.8218954248366011</v>
      </c>
      <c r="O1838" s="38">
        <v>0</v>
      </c>
      <c r="P1838" s="38">
        <v>3.21</v>
      </c>
      <c r="Q1838" s="96" t="s">
        <v>160</v>
      </c>
      <c r="R1838" s="14">
        <v>44552</v>
      </c>
      <c r="S1838" s="97"/>
      <c r="T1838" s="15">
        <v>11.98</v>
      </c>
      <c r="U1838" s="96"/>
      <c r="V1838" s="96"/>
      <c r="W1838" s="96"/>
      <c r="X1838" s="96"/>
      <c r="Y1838" s="96"/>
      <c r="AB1838" s="85"/>
      <c r="AC1838" s="15" t="s">
        <v>2064</v>
      </c>
      <c r="AD1838" s="36"/>
      <c r="AE1838" s="97"/>
    </row>
    <row r="1839" spans="1:31" x14ac:dyDescent="0.25">
      <c r="A1839" s="38" t="s">
        <v>36</v>
      </c>
      <c r="B1839" s="38" t="s">
        <v>3880</v>
      </c>
      <c r="C1839" s="38" t="s">
        <v>3942</v>
      </c>
      <c r="D1839" s="38" t="s">
        <v>3944</v>
      </c>
      <c r="E1839" s="38" t="s">
        <v>3945</v>
      </c>
      <c r="F1839" s="38">
        <v>414.96</v>
      </c>
      <c r="G1839" s="38">
        <v>414.96</v>
      </c>
      <c r="H1839" s="38">
        <f t="shared" si="88"/>
        <v>1634</v>
      </c>
      <c r="I1839" s="38">
        <v>1067</v>
      </c>
      <c r="J1839" s="38">
        <v>567</v>
      </c>
      <c r="K1839" s="38">
        <v>500</v>
      </c>
      <c r="L1839" s="50">
        <f t="shared" si="89"/>
        <v>30.599755201958384</v>
      </c>
      <c r="M1839" s="38">
        <v>0</v>
      </c>
      <c r="N1839" s="50">
        <f t="shared" si="90"/>
        <v>0</v>
      </c>
      <c r="O1839" s="38">
        <v>0</v>
      </c>
      <c r="P1839" s="38">
        <v>1.33</v>
      </c>
    </row>
    <row r="1840" spans="1:31" x14ac:dyDescent="0.25">
      <c r="A1840" s="38" t="s">
        <v>36</v>
      </c>
      <c r="B1840" s="38" t="s">
        <v>3880</v>
      </c>
      <c r="C1840" s="38" t="s">
        <v>3942</v>
      </c>
      <c r="D1840" s="38" t="s">
        <v>3946</v>
      </c>
      <c r="E1840" s="38" t="s">
        <v>3947</v>
      </c>
      <c r="F1840" s="38">
        <v>952.12</v>
      </c>
      <c r="G1840" s="38">
        <v>952.12</v>
      </c>
      <c r="H1840" s="38">
        <f t="shared" si="88"/>
        <v>1325</v>
      </c>
      <c r="I1840" s="38">
        <v>859</v>
      </c>
      <c r="J1840" s="38">
        <v>466</v>
      </c>
      <c r="K1840" s="38">
        <v>393</v>
      </c>
      <c r="L1840" s="50">
        <f t="shared" si="89"/>
        <v>29.660377358490564</v>
      </c>
      <c r="M1840" s="38">
        <v>60</v>
      </c>
      <c r="N1840" s="50">
        <f t="shared" si="90"/>
        <v>4.5283018867924527</v>
      </c>
      <c r="O1840" s="38">
        <v>0</v>
      </c>
      <c r="P1840" s="38">
        <v>16.940000000000001</v>
      </c>
    </row>
    <row r="1841" spans="1:31" x14ac:dyDescent="0.25">
      <c r="A1841" s="38" t="s">
        <v>36</v>
      </c>
      <c r="B1841" s="38" t="s">
        <v>3880</v>
      </c>
      <c r="C1841" s="38" t="s">
        <v>3948</v>
      </c>
      <c r="D1841" s="38" t="s">
        <v>3948</v>
      </c>
      <c r="E1841" s="38" t="s">
        <v>3949</v>
      </c>
      <c r="F1841" s="38">
        <v>1755</v>
      </c>
      <c r="G1841" s="38">
        <v>1755</v>
      </c>
      <c r="H1841" s="38">
        <f t="shared" si="88"/>
        <v>1871</v>
      </c>
      <c r="I1841" s="38">
        <v>1242</v>
      </c>
      <c r="J1841" s="38">
        <v>629</v>
      </c>
      <c r="K1841" s="38">
        <v>613</v>
      </c>
      <c r="L1841" s="50">
        <f t="shared" si="89"/>
        <v>32.763228220203104</v>
      </c>
      <c r="M1841" s="38">
        <v>117</v>
      </c>
      <c r="N1841" s="50">
        <f t="shared" si="90"/>
        <v>6.2533404596472471</v>
      </c>
      <c r="O1841" s="38">
        <v>0</v>
      </c>
      <c r="P1841" s="38">
        <v>0</v>
      </c>
      <c r="Q1841" s="35" t="s">
        <v>43</v>
      </c>
      <c r="R1841" s="100">
        <v>44558</v>
      </c>
      <c r="S1841" s="35"/>
      <c r="T1841" s="35">
        <v>8</v>
      </c>
      <c r="U1841" s="35"/>
      <c r="V1841" s="35"/>
      <c r="W1841" s="35"/>
      <c r="X1841" s="35"/>
      <c r="Y1841" s="35"/>
      <c r="AB1841" s="87"/>
      <c r="AC1841" s="35" t="s">
        <v>3950</v>
      </c>
      <c r="AD1841" s="35">
        <v>25.23245</v>
      </c>
      <c r="AE1841" s="35">
        <v>71.869268000000005</v>
      </c>
    </row>
    <row r="1842" spans="1:31" x14ac:dyDescent="0.25">
      <c r="A1842" s="38" t="s">
        <v>36</v>
      </c>
      <c r="B1842" s="38" t="s">
        <v>3880</v>
      </c>
      <c r="C1842" s="38" t="s">
        <v>3948</v>
      </c>
      <c r="D1842" s="38" t="s">
        <v>3951</v>
      </c>
      <c r="E1842" s="38" t="s">
        <v>3952</v>
      </c>
      <c r="F1842" s="38">
        <v>290</v>
      </c>
      <c r="G1842" s="38">
        <v>290</v>
      </c>
      <c r="H1842" s="38">
        <f t="shared" si="88"/>
        <v>421</v>
      </c>
      <c r="I1842" s="38">
        <v>274</v>
      </c>
      <c r="J1842" s="38">
        <v>147</v>
      </c>
      <c r="K1842" s="38">
        <v>127</v>
      </c>
      <c r="L1842" s="50">
        <f t="shared" si="89"/>
        <v>30.166270783847981</v>
      </c>
      <c r="M1842" s="38">
        <v>40</v>
      </c>
      <c r="N1842" s="50">
        <f t="shared" si="90"/>
        <v>9.5011876484560567</v>
      </c>
      <c r="O1842" s="38">
        <v>0</v>
      </c>
      <c r="P1842" s="38">
        <v>0</v>
      </c>
    </row>
    <row r="1843" spans="1:31" x14ac:dyDescent="0.25">
      <c r="A1843" s="38" t="s">
        <v>36</v>
      </c>
      <c r="B1843" s="38" t="s">
        <v>3880</v>
      </c>
      <c r="C1843" s="38" t="s">
        <v>3948</v>
      </c>
      <c r="D1843" s="38" t="s">
        <v>3953</v>
      </c>
      <c r="E1843" s="38" t="s">
        <v>3954</v>
      </c>
      <c r="F1843" s="38">
        <v>1666</v>
      </c>
      <c r="G1843" s="38">
        <v>1666</v>
      </c>
      <c r="H1843" s="38">
        <f t="shared" si="88"/>
        <v>2782</v>
      </c>
      <c r="I1843" s="38">
        <v>1835</v>
      </c>
      <c r="J1843" s="38">
        <v>947</v>
      </c>
      <c r="K1843" s="38">
        <v>888</v>
      </c>
      <c r="L1843" s="50">
        <f t="shared" si="89"/>
        <v>31.919482386772106</v>
      </c>
      <c r="M1843" s="38">
        <v>353</v>
      </c>
      <c r="N1843" s="50">
        <f t="shared" si="90"/>
        <v>12.688713156002876</v>
      </c>
      <c r="O1843" s="38">
        <v>0</v>
      </c>
      <c r="P1843" s="38">
        <v>0</v>
      </c>
    </row>
    <row r="1844" spans="1:31" x14ac:dyDescent="0.25">
      <c r="A1844" s="38" t="s">
        <v>36</v>
      </c>
      <c r="B1844" s="38" t="s">
        <v>3880</v>
      </c>
      <c r="C1844" s="38" t="s">
        <v>3955</v>
      </c>
      <c r="D1844" s="38" t="s">
        <v>3956</v>
      </c>
      <c r="E1844" s="38" t="s">
        <v>3957</v>
      </c>
      <c r="F1844" s="38">
        <v>642.71</v>
      </c>
      <c r="G1844" s="38">
        <v>642.71</v>
      </c>
      <c r="H1844" s="38">
        <f t="shared" si="88"/>
        <v>1707</v>
      </c>
      <c r="I1844" s="38">
        <v>1120</v>
      </c>
      <c r="J1844" s="38">
        <v>587</v>
      </c>
      <c r="K1844" s="38">
        <v>533</v>
      </c>
      <c r="L1844" s="50">
        <f t="shared" si="89"/>
        <v>31.224370240187465</v>
      </c>
      <c r="M1844" s="38">
        <v>156</v>
      </c>
      <c r="N1844" s="50">
        <f t="shared" si="90"/>
        <v>9.1388400702987695</v>
      </c>
      <c r="O1844" s="38">
        <v>0</v>
      </c>
      <c r="P1844" s="38">
        <v>44.52</v>
      </c>
    </row>
    <row r="1845" spans="1:31" x14ac:dyDescent="0.25">
      <c r="A1845" s="38" t="s">
        <v>36</v>
      </c>
      <c r="B1845" s="38" t="s">
        <v>3880</v>
      </c>
      <c r="C1845" s="38" t="s">
        <v>3955</v>
      </c>
      <c r="D1845" s="38" t="s">
        <v>3958</v>
      </c>
      <c r="E1845" s="38" t="s">
        <v>3959</v>
      </c>
      <c r="F1845" s="38">
        <v>337.57</v>
      </c>
      <c r="G1845" s="38">
        <v>337.57</v>
      </c>
      <c r="H1845" s="38">
        <f t="shared" si="88"/>
        <v>882</v>
      </c>
      <c r="I1845" s="38">
        <v>567</v>
      </c>
      <c r="J1845" s="38">
        <v>315</v>
      </c>
      <c r="K1845" s="38">
        <v>252</v>
      </c>
      <c r="L1845" s="50">
        <f t="shared" si="89"/>
        <v>28.571428571428569</v>
      </c>
      <c r="M1845" s="38">
        <v>18</v>
      </c>
      <c r="N1845" s="50">
        <f t="shared" si="90"/>
        <v>2.0408163265306123</v>
      </c>
      <c r="O1845" s="38">
        <v>0</v>
      </c>
      <c r="P1845" s="38">
        <v>3.48</v>
      </c>
    </row>
    <row r="1846" spans="1:31" x14ac:dyDescent="0.25">
      <c r="A1846" s="38" t="s">
        <v>36</v>
      </c>
      <c r="B1846" s="38" t="s">
        <v>3880</v>
      </c>
      <c r="C1846" s="38" t="s">
        <v>3955</v>
      </c>
      <c r="D1846" s="38" t="s">
        <v>3960</v>
      </c>
      <c r="E1846" s="38" t="s">
        <v>3961</v>
      </c>
      <c r="F1846" s="38">
        <v>686.22</v>
      </c>
      <c r="G1846" s="38">
        <v>686.22</v>
      </c>
      <c r="H1846" s="38">
        <f t="shared" si="88"/>
        <v>1291</v>
      </c>
      <c r="I1846" s="38">
        <v>858</v>
      </c>
      <c r="J1846" s="38">
        <v>433</v>
      </c>
      <c r="K1846" s="38">
        <v>425</v>
      </c>
      <c r="L1846" s="50">
        <f t="shared" si="89"/>
        <v>32.920216886134781</v>
      </c>
      <c r="M1846" s="38">
        <v>102</v>
      </c>
      <c r="N1846" s="50">
        <f t="shared" si="90"/>
        <v>7.9008520526723469</v>
      </c>
      <c r="O1846" s="38">
        <v>0</v>
      </c>
      <c r="P1846" s="38">
        <v>0</v>
      </c>
    </row>
    <row r="1847" spans="1:31" x14ac:dyDescent="0.25">
      <c r="A1847" s="38" t="s">
        <v>36</v>
      </c>
      <c r="B1847" s="38" t="s">
        <v>3880</v>
      </c>
      <c r="C1847" s="38" t="s">
        <v>3962</v>
      </c>
      <c r="D1847" s="38" t="s">
        <v>3962</v>
      </c>
      <c r="E1847" s="38" t="s">
        <v>3963</v>
      </c>
      <c r="F1847" s="38">
        <v>1578.48</v>
      </c>
      <c r="G1847" s="38">
        <v>1578.48</v>
      </c>
      <c r="H1847" s="38">
        <f t="shared" si="88"/>
        <v>1693</v>
      </c>
      <c r="I1847" s="38">
        <v>1115</v>
      </c>
      <c r="J1847" s="38">
        <v>578</v>
      </c>
      <c r="K1847" s="38">
        <v>537</v>
      </c>
      <c r="L1847" s="50">
        <f t="shared" si="89"/>
        <v>31.718842291789723</v>
      </c>
      <c r="M1847" s="38">
        <v>145</v>
      </c>
      <c r="N1847" s="50">
        <f t="shared" si="90"/>
        <v>8.5646780862374481</v>
      </c>
      <c r="O1847" s="38">
        <v>117.48</v>
      </c>
      <c r="P1847" s="38">
        <v>8.09</v>
      </c>
      <c r="Q1847" s="35" t="s">
        <v>43</v>
      </c>
      <c r="R1847" s="100">
        <v>44568</v>
      </c>
      <c r="S1847" s="35"/>
      <c r="T1847" s="35">
        <v>8</v>
      </c>
      <c r="U1847" s="35"/>
      <c r="V1847" s="35"/>
      <c r="W1847" s="35"/>
      <c r="X1847" s="35"/>
      <c r="Y1847" s="35"/>
      <c r="AB1847" s="87">
        <v>3</v>
      </c>
      <c r="AC1847" s="35" t="s">
        <v>3964</v>
      </c>
      <c r="AD1847" s="35">
        <v>25.111367000000001</v>
      </c>
      <c r="AE1847" s="35">
        <v>71.715746999999993</v>
      </c>
    </row>
    <row r="1848" spans="1:31" x14ac:dyDescent="0.25">
      <c r="A1848" s="38" t="s">
        <v>36</v>
      </c>
      <c r="B1848" s="38" t="s">
        <v>3880</v>
      </c>
      <c r="C1848" s="38" t="s">
        <v>3962</v>
      </c>
      <c r="D1848" s="38" t="s">
        <v>3965</v>
      </c>
      <c r="E1848" s="38" t="s">
        <v>3966</v>
      </c>
      <c r="F1848" s="38">
        <v>588.66999999999996</v>
      </c>
      <c r="G1848" s="38">
        <v>588.66999999999996</v>
      </c>
      <c r="H1848" s="38">
        <f t="shared" si="88"/>
        <v>1308</v>
      </c>
      <c r="I1848" s="38">
        <v>860</v>
      </c>
      <c r="J1848" s="38">
        <v>448</v>
      </c>
      <c r="K1848" s="38">
        <v>412</v>
      </c>
      <c r="L1848" s="50">
        <f t="shared" si="89"/>
        <v>31.49847094801223</v>
      </c>
      <c r="M1848" s="38">
        <v>78</v>
      </c>
      <c r="N1848" s="50">
        <f t="shared" si="90"/>
        <v>5.9633027522935782</v>
      </c>
      <c r="O1848" s="38">
        <v>0</v>
      </c>
      <c r="P1848" s="38">
        <v>1.26</v>
      </c>
    </row>
    <row r="1849" spans="1:31" x14ac:dyDescent="0.25">
      <c r="A1849" s="38" t="s">
        <v>36</v>
      </c>
      <c r="B1849" s="38" t="s">
        <v>3880</v>
      </c>
      <c r="C1849" s="38" t="s">
        <v>3967</v>
      </c>
      <c r="D1849" s="38" t="s">
        <v>3968</v>
      </c>
      <c r="E1849" s="38" t="s">
        <v>3969</v>
      </c>
      <c r="F1849" s="38">
        <v>636.36</v>
      </c>
      <c r="G1849" s="38">
        <v>636.36</v>
      </c>
      <c r="H1849" s="38">
        <f t="shared" si="88"/>
        <v>1878</v>
      </c>
      <c r="I1849" s="38">
        <v>1226</v>
      </c>
      <c r="J1849" s="38">
        <v>652</v>
      </c>
      <c r="K1849" s="38">
        <v>574</v>
      </c>
      <c r="L1849" s="50">
        <f t="shared" si="89"/>
        <v>30.564430244941427</v>
      </c>
      <c r="M1849" s="38">
        <v>102</v>
      </c>
      <c r="N1849" s="50">
        <f t="shared" si="90"/>
        <v>5.4313099041533546</v>
      </c>
      <c r="O1849" s="38">
        <v>0</v>
      </c>
      <c r="P1849" s="38">
        <v>42.05</v>
      </c>
      <c r="Q1849" s="96" t="s">
        <v>44</v>
      </c>
      <c r="R1849" s="14">
        <v>44554</v>
      </c>
      <c r="S1849" s="97"/>
      <c r="T1849" s="235">
        <v>41.71</v>
      </c>
      <c r="U1849" s="96"/>
      <c r="V1849" s="96"/>
      <c r="W1849" s="96"/>
      <c r="X1849" s="96"/>
      <c r="Y1849" s="96"/>
      <c r="AB1849" s="85"/>
      <c r="AC1849" s="15" t="s">
        <v>3970</v>
      </c>
      <c r="AD1849" s="36"/>
      <c r="AE1849" s="97"/>
    </row>
    <row r="1850" spans="1:31" x14ac:dyDescent="0.25">
      <c r="A1850" s="38" t="s">
        <v>36</v>
      </c>
      <c r="B1850" s="38" t="s">
        <v>3880</v>
      </c>
      <c r="C1850" s="38" t="s">
        <v>3967</v>
      </c>
      <c r="D1850" s="38" t="s">
        <v>3971</v>
      </c>
      <c r="E1850" s="38" t="s">
        <v>3972</v>
      </c>
      <c r="F1850" s="38">
        <v>1090.3800000000001</v>
      </c>
      <c r="G1850" s="38">
        <v>1090.3800000000001</v>
      </c>
      <c r="H1850" s="38">
        <f t="shared" si="88"/>
        <v>1746</v>
      </c>
      <c r="I1850" s="38">
        <v>1150</v>
      </c>
      <c r="J1850" s="38">
        <v>596</v>
      </c>
      <c r="K1850" s="38">
        <v>554</v>
      </c>
      <c r="L1850" s="50">
        <f t="shared" si="89"/>
        <v>31.729667812142036</v>
      </c>
      <c r="M1850" s="38">
        <v>45</v>
      </c>
      <c r="N1850" s="50">
        <f t="shared" si="90"/>
        <v>2.5773195876288657</v>
      </c>
      <c r="O1850" s="38">
        <v>4.3</v>
      </c>
      <c r="P1850" s="38">
        <v>5.3</v>
      </c>
      <c r="Q1850" s="127" t="s">
        <v>160</v>
      </c>
      <c r="R1850" s="128">
        <v>44554</v>
      </c>
      <c r="S1850" s="129"/>
      <c r="T1850" s="131">
        <v>30.4</v>
      </c>
      <c r="U1850" s="127"/>
      <c r="V1850" s="127"/>
      <c r="W1850" s="127"/>
      <c r="X1850" s="127"/>
      <c r="Y1850" s="127"/>
      <c r="AB1850" s="130"/>
      <c r="AC1850" s="131" t="s">
        <v>3973</v>
      </c>
      <c r="AD1850" s="132"/>
      <c r="AE1850" s="129"/>
    </row>
    <row r="1851" spans="1:31" x14ac:dyDescent="0.25">
      <c r="A1851" s="38" t="s">
        <v>36</v>
      </c>
      <c r="B1851" s="38" t="s">
        <v>3880</v>
      </c>
      <c r="C1851" s="38" t="s">
        <v>3967</v>
      </c>
      <c r="D1851" s="38" t="s">
        <v>1167</v>
      </c>
      <c r="E1851" s="38" t="s">
        <v>3974</v>
      </c>
      <c r="F1851" s="38">
        <v>548.74</v>
      </c>
      <c r="G1851" s="38">
        <v>548.74</v>
      </c>
      <c r="H1851" s="38">
        <f t="shared" si="88"/>
        <v>905</v>
      </c>
      <c r="I1851" s="38">
        <v>598</v>
      </c>
      <c r="J1851" s="38">
        <v>307</v>
      </c>
      <c r="K1851" s="38">
        <v>291</v>
      </c>
      <c r="L1851" s="50">
        <f t="shared" si="89"/>
        <v>32.154696132596683</v>
      </c>
      <c r="M1851" s="38">
        <v>9</v>
      </c>
      <c r="N1851" s="50">
        <f t="shared" si="90"/>
        <v>0.99447513812154686</v>
      </c>
      <c r="O1851" s="38">
        <v>0</v>
      </c>
      <c r="P1851" s="38">
        <v>0</v>
      </c>
      <c r="Q1851" s="98" t="s">
        <v>160</v>
      </c>
      <c r="R1851" s="7">
        <v>44554</v>
      </c>
      <c r="S1851" s="99"/>
      <c r="T1851" s="11">
        <v>2.8</v>
      </c>
      <c r="U1851" s="98"/>
      <c r="V1851" s="98"/>
      <c r="W1851" s="98"/>
      <c r="X1851" s="98"/>
      <c r="Y1851" s="98"/>
      <c r="AB1851" s="20"/>
      <c r="AC1851" s="11" t="s">
        <v>2002</v>
      </c>
      <c r="AD1851" s="61"/>
      <c r="AE1851" s="99"/>
    </row>
    <row r="1852" spans="1:31" x14ac:dyDescent="0.25">
      <c r="A1852" s="38" t="s">
        <v>36</v>
      </c>
      <c r="B1852" s="33" t="s">
        <v>3880</v>
      </c>
      <c r="C1852" s="33" t="s">
        <v>3880</v>
      </c>
      <c r="D1852" s="33" t="s">
        <v>3975</v>
      </c>
      <c r="E1852" s="38" t="s">
        <v>3976</v>
      </c>
      <c r="F1852" s="33">
        <v>1510.83</v>
      </c>
      <c r="G1852" s="33">
        <v>1510.83</v>
      </c>
      <c r="H1852" s="38">
        <f t="shared" si="88"/>
        <v>9609</v>
      </c>
      <c r="I1852" s="38">
        <v>6336</v>
      </c>
      <c r="J1852" s="38">
        <v>3273</v>
      </c>
      <c r="K1852" s="38">
        <v>3063</v>
      </c>
      <c r="L1852" s="50">
        <f t="shared" si="89"/>
        <v>31.876365906962224</v>
      </c>
      <c r="M1852" s="38">
        <v>661</v>
      </c>
      <c r="N1852" s="50">
        <f t="shared" si="90"/>
        <v>6.8789676345093138</v>
      </c>
      <c r="O1852" s="33">
        <v>158.49</v>
      </c>
      <c r="P1852" s="33">
        <v>83.82</v>
      </c>
      <c r="Q1852" s="96" t="s">
        <v>44</v>
      </c>
      <c r="R1852" s="14">
        <v>44547</v>
      </c>
      <c r="S1852" s="97"/>
      <c r="T1852" s="235">
        <v>487.5</v>
      </c>
      <c r="U1852" s="96"/>
      <c r="V1852" s="96"/>
      <c r="W1852" s="96"/>
      <c r="X1852" s="96"/>
      <c r="Y1852" s="96"/>
      <c r="Z1852" s="15"/>
      <c r="AB1852" s="85"/>
      <c r="AC1852" s="15" t="s">
        <v>3884</v>
      </c>
      <c r="AD1852" s="36"/>
      <c r="AE1852" s="97"/>
    </row>
    <row r="1853" spans="1:31" x14ac:dyDescent="0.25">
      <c r="A1853" s="38" t="s">
        <v>36</v>
      </c>
      <c r="B1853" s="33" t="s">
        <v>3880</v>
      </c>
      <c r="C1853" s="33" t="s">
        <v>3880</v>
      </c>
      <c r="D1853" s="33" t="s">
        <v>3975</v>
      </c>
      <c r="E1853" s="38"/>
      <c r="F1853" s="33"/>
      <c r="G1853" s="33"/>
      <c r="H1853" s="38">
        <f t="shared" si="88"/>
        <v>0</v>
      </c>
      <c r="I1853" s="38"/>
      <c r="J1853" s="38"/>
      <c r="K1853" s="38"/>
      <c r="L1853" s="50"/>
      <c r="M1853" s="38"/>
      <c r="N1853" s="50"/>
      <c r="O1853" s="33"/>
      <c r="P1853" s="33"/>
      <c r="Q1853" s="158" t="s">
        <v>44</v>
      </c>
      <c r="R1853" s="14">
        <v>44547</v>
      </c>
      <c r="S1853" s="160"/>
      <c r="T1853" s="15">
        <v>12.9742</v>
      </c>
      <c r="U1853" s="158"/>
      <c r="V1853" s="158"/>
      <c r="W1853" s="158"/>
      <c r="X1853" s="158"/>
      <c r="Y1853" s="158"/>
      <c r="Z1853" s="15"/>
      <c r="AB1853" s="16">
        <v>37</v>
      </c>
      <c r="AC1853" s="15" t="s">
        <v>3884</v>
      </c>
      <c r="AD1853" s="161">
        <v>25.193673</v>
      </c>
      <c r="AE1853" s="160">
        <v>71.711978999999999</v>
      </c>
    </row>
    <row r="1854" spans="1:31" x14ac:dyDescent="0.25">
      <c r="A1854" s="38" t="s">
        <v>36</v>
      </c>
      <c r="B1854" s="38" t="s">
        <v>3880</v>
      </c>
      <c r="C1854" s="38" t="s">
        <v>3880</v>
      </c>
      <c r="D1854" s="38" t="s">
        <v>3977</v>
      </c>
      <c r="E1854" s="38" t="s">
        <v>3978</v>
      </c>
      <c r="F1854" s="38">
        <v>214.94</v>
      </c>
      <c r="G1854" s="38">
        <v>214.94</v>
      </c>
      <c r="H1854" s="38">
        <f t="shared" si="88"/>
        <v>1572</v>
      </c>
      <c r="I1854" s="38">
        <v>1026</v>
      </c>
      <c r="J1854" s="38">
        <v>546</v>
      </c>
      <c r="K1854" s="38">
        <v>480</v>
      </c>
      <c r="L1854" s="50">
        <f t="shared" si="89"/>
        <v>30.534351145038169</v>
      </c>
      <c r="M1854" s="38">
        <v>111</v>
      </c>
      <c r="N1854" s="50">
        <f t="shared" si="90"/>
        <v>7.0610687022900773</v>
      </c>
      <c r="O1854" s="38">
        <v>0</v>
      </c>
      <c r="P1854" s="38">
        <v>0</v>
      </c>
      <c r="Q1854" s="36" t="s">
        <v>43</v>
      </c>
      <c r="R1854" s="14">
        <v>44548</v>
      </c>
      <c r="S1854" s="36"/>
      <c r="T1854" s="85">
        <v>0</v>
      </c>
      <c r="U1854" s="36"/>
      <c r="V1854" s="36"/>
      <c r="W1854" s="36"/>
      <c r="X1854" s="36"/>
      <c r="Y1854" s="36"/>
      <c r="AB1854" s="85"/>
      <c r="AC1854" s="15" t="s">
        <v>3979</v>
      </c>
      <c r="AD1854" s="36">
        <v>0</v>
      </c>
      <c r="AE1854" s="36"/>
    </row>
    <row r="1855" spans="1:31" x14ac:dyDescent="0.25">
      <c r="A1855" s="38" t="s">
        <v>36</v>
      </c>
      <c r="B1855" s="38" t="s">
        <v>3880</v>
      </c>
      <c r="C1855" s="38" t="s">
        <v>3880</v>
      </c>
      <c r="D1855" s="38" t="s">
        <v>3980</v>
      </c>
      <c r="E1855" s="38" t="s">
        <v>3981</v>
      </c>
      <c r="F1855" s="38">
        <v>733.89</v>
      </c>
      <c r="G1855" s="38">
        <v>733.89</v>
      </c>
      <c r="H1855" s="38">
        <f t="shared" si="88"/>
        <v>870</v>
      </c>
      <c r="I1855" s="38">
        <v>567</v>
      </c>
      <c r="J1855" s="38">
        <v>303</v>
      </c>
      <c r="K1855" s="38">
        <v>264</v>
      </c>
      <c r="L1855" s="50">
        <f t="shared" si="89"/>
        <v>30.344827586206897</v>
      </c>
      <c r="M1855" s="38">
        <v>29</v>
      </c>
      <c r="N1855" s="50">
        <f t="shared" si="90"/>
        <v>3.3333333333333335</v>
      </c>
      <c r="O1855" s="38">
        <v>0</v>
      </c>
      <c r="P1855" s="38">
        <v>0</v>
      </c>
      <c r="Q1855" s="36" t="s">
        <v>43</v>
      </c>
      <c r="R1855" s="14">
        <v>44547</v>
      </c>
      <c r="S1855" s="36"/>
      <c r="T1855" s="85">
        <v>0</v>
      </c>
      <c r="U1855" s="36"/>
      <c r="V1855" s="36"/>
      <c r="W1855" s="36"/>
      <c r="X1855" s="36"/>
      <c r="Y1855" s="36"/>
      <c r="AB1855" s="85"/>
      <c r="AC1855" s="15" t="s">
        <v>3982</v>
      </c>
      <c r="AD1855" s="36">
        <v>0</v>
      </c>
      <c r="AE1855" s="36"/>
    </row>
    <row r="1856" spans="1:31" x14ac:dyDescent="0.25">
      <c r="A1856" s="38" t="s">
        <v>36</v>
      </c>
      <c r="B1856" s="38" t="s">
        <v>3880</v>
      </c>
      <c r="C1856" s="38" t="s">
        <v>3983</v>
      </c>
      <c r="D1856" s="38" t="s">
        <v>3984</v>
      </c>
      <c r="E1856" s="38" t="s">
        <v>3985</v>
      </c>
      <c r="F1856" s="38">
        <v>960.1</v>
      </c>
      <c r="G1856" s="38">
        <v>960.1</v>
      </c>
      <c r="H1856" s="38">
        <f t="shared" si="88"/>
        <v>2324</v>
      </c>
      <c r="I1856" s="38">
        <v>1529</v>
      </c>
      <c r="J1856" s="38">
        <v>795</v>
      </c>
      <c r="K1856" s="38">
        <v>734</v>
      </c>
      <c r="L1856" s="50">
        <f t="shared" si="89"/>
        <v>31.583476764199659</v>
      </c>
      <c r="M1856" s="38">
        <v>170</v>
      </c>
      <c r="N1856" s="50">
        <f t="shared" si="90"/>
        <v>7.3149741824440619</v>
      </c>
      <c r="O1856" s="38">
        <v>0</v>
      </c>
      <c r="P1856" s="38">
        <v>0</v>
      </c>
      <c r="Q1856" s="96" t="s">
        <v>44</v>
      </c>
      <c r="R1856" s="14">
        <v>44571</v>
      </c>
      <c r="S1856" s="97"/>
      <c r="T1856" s="235">
        <v>102.2</v>
      </c>
      <c r="U1856" s="96"/>
      <c r="V1856" s="96"/>
      <c r="W1856" s="96"/>
      <c r="X1856" s="96"/>
      <c r="Y1856" s="96"/>
      <c r="AB1856" s="85"/>
      <c r="AC1856" s="15" t="s">
        <v>3986</v>
      </c>
      <c r="AD1856" s="36"/>
      <c r="AE1856" s="97"/>
    </row>
    <row r="1857" spans="1:31" x14ac:dyDescent="0.25">
      <c r="A1857" s="38" t="s">
        <v>36</v>
      </c>
      <c r="B1857" s="38" t="s">
        <v>3880</v>
      </c>
      <c r="C1857" s="38" t="s">
        <v>3983</v>
      </c>
      <c r="D1857" s="38" t="s">
        <v>3987</v>
      </c>
      <c r="E1857" s="38" t="s">
        <v>3988</v>
      </c>
      <c r="F1857" s="38">
        <v>972.08</v>
      </c>
      <c r="G1857" s="38">
        <v>972.08</v>
      </c>
      <c r="H1857" s="38">
        <f t="shared" si="88"/>
        <v>1240</v>
      </c>
      <c r="I1857" s="38">
        <v>802</v>
      </c>
      <c r="J1857" s="38">
        <v>438</v>
      </c>
      <c r="K1857" s="38">
        <v>364</v>
      </c>
      <c r="L1857" s="50">
        <f t="shared" si="89"/>
        <v>29.354838709677416</v>
      </c>
      <c r="M1857" s="38">
        <v>12</v>
      </c>
      <c r="N1857" s="50">
        <f t="shared" si="90"/>
        <v>0.967741935483871</v>
      </c>
      <c r="O1857" s="38">
        <v>101.15</v>
      </c>
      <c r="P1857" s="38">
        <v>103.96</v>
      </c>
      <c r="Q1857" s="96" t="s">
        <v>44</v>
      </c>
      <c r="R1857" s="14">
        <v>44571</v>
      </c>
      <c r="S1857" s="97"/>
      <c r="T1857" s="235">
        <v>64.66</v>
      </c>
      <c r="U1857" s="96"/>
      <c r="V1857" s="96"/>
      <c r="W1857" s="96"/>
      <c r="X1857" s="96"/>
      <c r="Y1857" s="96"/>
      <c r="AB1857" s="85"/>
      <c r="AC1857" s="15" t="s">
        <v>3989</v>
      </c>
      <c r="AD1857" s="36"/>
      <c r="AE1857" s="97"/>
    </row>
    <row r="1858" spans="1:31" x14ac:dyDescent="0.25">
      <c r="A1858" s="38" t="s">
        <v>36</v>
      </c>
      <c r="B1858" s="38" t="s">
        <v>3880</v>
      </c>
      <c r="C1858" s="38" t="s">
        <v>3983</v>
      </c>
      <c r="D1858" s="38" t="s">
        <v>1388</v>
      </c>
      <c r="E1858" s="38" t="s">
        <v>3990</v>
      </c>
      <c r="F1858" s="38">
        <v>609.04</v>
      </c>
      <c r="G1858" s="38">
        <v>609.04</v>
      </c>
      <c r="H1858" s="38">
        <f t="shared" si="88"/>
        <v>747</v>
      </c>
      <c r="I1858" s="38">
        <v>486</v>
      </c>
      <c r="J1858" s="38">
        <v>261</v>
      </c>
      <c r="K1858" s="38">
        <v>225</v>
      </c>
      <c r="L1858" s="50">
        <f t="shared" si="89"/>
        <v>30.120481927710845</v>
      </c>
      <c r="M1858" s="38">
        <v>0</v>
      </c>
      <c r="N1858" s="50">
        <f t="shared" si="90"/>
        <v>0</v>
      </c>
      <c r="O1858" s="38">
        <v>0</v>
      </c>
      <c r="P1858" s="38">
        <v>66.34</v>
      </c>
    </row>
    <row r="1859" spans="1:31" x14ac:dyDescent="0.25">
      <c r="A1859" s="38" t="s">
        <v>36</v>
      </c>
      <c r="B1859" s="38" t="s">
        <v>3880</v>
      </c>
      <c r="C1859" s="38" t="s">
        <v>3991</v>
      </c>
      <c r="D1859" s="38" t="s">
        <v>3992</v>
      </c>
      <c r="E1859" s="38" t="s">
        <v>3993</v>
      </c>
      <c r="F1859" s="38">
        <v>979.72</v>
      </c>
      <c r="G1859" s="38">
        <v>979.72</v>
      </c>
      <c r="H1859" s="38">
        <f t="shared" si="88"/>
        <v>1552</v>
      </c>
      <c r="I1859" s="38">
        <v>1018</v>
      </c>
      <c r="J1859" s="38">
        <v>534</v>
      </c>
      <c r="K1859" s="38">
        <v>484</v>
      </c>
      <c r="L1859" s="50">
        <f t="shared" si="89"/>
        <v>31.185567010309278</v>
      </c>
      <c r="M1859" s="38">
        <v>86</v>
      </c>
      <c r="N1859" s="50">
        <f t="shared" si="90"/>
        <v>5.5412371134020617</v>
      </c>
      <c r="O1859" s="38">
        <v>0</v>
      </c>
      <c r="P1859" s="38">
        <v>0</v>
      </c>
      <c r="Q1859" s="35" t="s">
        <v>43</v>
      </c>
      <c r="R1859" s="100">
        <v>44572</v>
      </c>
      <c r="S1859" s="35"/>
      <c r="T1859" s="35">
        <v>196</v>
      </c>
      <c r="U1859" s="35"/>
      <c r="V1859" s="35"/>
      <c r="W1859" s="35"/>
      <c r="X1859" s="35"/>
      <c r="Y1859" s="35"/>
      <c r="AB1859" s="87"/>
      <c r="AC1859" s="35" t="s">
        <v>3994</v>
      </c>
      <c r="AD1859" s="35">
        <v>25.323409999999999</v>
      </c>
      <c r="AE1859" s="35">
        <v>71.65813</v>
      </c>
    </row>
    <row r="1860" spans="1:31" x14ac:dyDescent="0.25">
      <c r="A1860" s="38" t="s">
        <v>36</v>
      </c>
      <c r="B1860" s="38" t="s">
        <v>3880</v>
      </c>
      <c r="C1860" s="38" t="s">
        <v>3991</v>
      </c>
      <c r="D1860" s="38" t="s">
        <v>3995</v>
      </c>
      <c r="E1860" s="38" t="s">
        <v>3996</v>
      </c>
      <c r="F1860" s="38">
        <v>696.43</v>
      </c>
      <c r="G1860" s="38">
        <v>696.43</v>
      </c>
      <c r="H1860" s="38">
        <f t="shared" si="88"/>
        <v>554</v>
      </c>
      <c r="I1860" s="38">
        <v>357</v>
      </c>
      <c r="J1860" s="38">
        <v>197</v>
      </c>
      <c r="K1860" s="38">
        <v>160</v>
      </c>
      <c r="L1860" s="50">
        <f t="shared" si="89"/>
        <v>28.880866425992778</v>
      </c>
      <c r="M1860" s="38">
        <v>0</v>
      </c>
      <c r="N1860" s="50">
        <f t="shared" si="90"/>
        <v>0</v>
      </c>
      <c r="O1860" s="38">
        <v>0</v>
      </c>
      <c r="P1860" s="38">
        <v>0</v>
      </c>
      <c r="Q1860" s="96" t="s">
        <v>160</v>
      </c>
      <c r="R1860" s="14">
        <v>44572</v>
      </c>
      <c r="S1860" s="97"/>
      <c r="T1860" s="15">
        <v>276.22179999999997</v>
      </c>
      <c r="U1860" s="96"/>
      <c r="V1860" s="96"/>
      <c r="W1860" s="96"/>
      <c r="X1860" s="96"/>
      <c r="Y1860" s="96"/>
      <c r="AB1860" s="85">
        <v>260</v>
      </c>
      <c r="AC1860" s="15" t="s">
        <v>3997</v>
      </c>
      <c r="AD1860" s="36">
        <v>25.307365999999998</v>
      </c>
      <c r="AE1860" s="97">
        <v>71.639787999999996</v>
      </c>
    </row>
    <row r="1861" spans="1:31" x14ac:dyDescent="0.25">
      <c r="A1861" s="38" t="s">
        <v>36</v>
      </c>
      <c r="B1861" s="33" t="s">
        <v>3880</v>
      </c>
      <c r="C1861" s="33" t="s">
        <v>3991</v>
      </c>
      <c r="D1861" s="33" t="s">
        <v>3998</v>
      </c>
      <c r="E1861" s="38" t="s">
        <v>3999</v>
      </c>
      <c r="F1861" s="33">
        <v>907.33</v>
      </c>
      <c r="G1861" s="33">
        <v>907.33</v>
      </c>
      <c r="H1861" s="38">
        <f t="shared" ref="H1861:H1924" si="91">I1861+J1861</f>
        <v>1409</v>
      </c>
      <c r="I1861" s="38">
        <v>911</v>
      </c>
      <c r="J1861" s="38">
        <v>498</v>
      </c>
      <c r="K1861" s="38">
        <v>413</v>
      </c>
      <c r="L1861" s="50">
        <f t="shared" si="89"/>
        <v>29.31156848828957</v>
      </c>
      <c r="M1861" s="38">
        <v>47</v>
      </c>
      <c r="N1861" s="50">
        <f t="shared" si="90"/>
        <v>3.3356990773598301</v>
      </c>
      <c r="O1861" s="33">
        <v>0</v>
      </c>
      <c r="P1861" s="33">
        <v>74</v>
      </c>
      <c r="Q1861" s="96" t="s">
        <v>44</v>
      </c>
      <c r="R1861" s="14">
        <v>44572</v>
      </c>
      <c r="S1861" s="97"/>
      <c r="T1861" s="235">
        <v>65</v>
      </c>
      <c r="U1861" s="96"/>
      <c r="V1861" s="96"/>
      <c r="W1861" s="96"/>
      <c r="X1861" s="96"/>
      <c r="Y1861" s="96"/>
      <c r="Z1861" s="15"/>
      <c r="AB1861" s="85"/>
      <c r="AC1861" s="15" t="s">
        <v>4000</v>
      </c>
      <c r="AD1861" s="36"/>
      <c r="AE1861" s="97"/>
    </row>
    <row r="1862" spans="1:31" x14ac:dyDescent="0.25">
      <c r="A1862" s="38" t="s">
        <v>36</v>
      </c>
      <c r="B1862" s="38" t="s">
        <v>3880</v>
      </c>
      <c r="C1862" s="38" t="s">
        <v>3991</v>
      </c>
      <c r="D1862" s="38" t="s">
        <v>4001</v>
      </c>
      <c r="E1862" s="38" t="s">
        <v>4002</v>
      </c>
      <c r="F1862" s="38">
        <v>464.41</v>
      </c>
      <c r="G1862" s="38">
        <v>464.41</v>
      </c>
      <c r="H1862" s="38">
        <f t="shared" si="91"/>
        <v>844</v>
      </c>
      <c r="I1862" s="38">
        <v>551</v>
      </c>
      <c r="J1862" s="38">
        <v>293</v>
      </c>
      <c r="K1862" s="38">
        <v>258</v>
      </c>
      <c r="L1862" s="50">
        <f t="shared" ref="L1862:L1925" si="92">K1862/H1862*100</f>
        <v>30.568720379146917</v>
      </c>
      <c r="M1862" s="38">
        <v>85</v>
      </c>
      <c r="N1862" s="50">
        <f t="shared" si="90"/>
        <v>10.071090047393366</v>
      </c>
      <c r="O1862" s="38">
        <v>0</v>
      </c>
      <c r="P1862" s="38">
        <v>0</v>
      </c>
      <c r="Q1862" s="36" t="s">
        <v>43</v>
      </c>
      <c r="R1862" s="14">
        <v>44572</v>
      </c>
      <c r="S1862" s="36"/>
      <c r="T1862" s="85">
        <v>0</v>
      </c>
      <c r="U1862" s="36"/>
      <c r="V1862" s="36"/>
      <c r="W1862" s="36"/>
      <c r="X1862" s="36"/>
      <c r="Y1862" s="36"/>
      <c r="AB1862" s="85"/>
      <c r="AC1862" s="15" t="s">
        <v>4001</v>
      </c>
      <c r="AD1862" s="36">
        <v>0</v>
      </c>
      <c r="AE1862" s="36"/>
    </row>
    <row r="1863" spans="1:31" ht="21" x14ac:dyDescent="0.25">
      <c r="A1863" s="38" t="s">
        <v>36</v>
      </c>
      <c r="B1863" s="38" t="s">
        <v>3880</v>
      </c>
      <c r="C1863" s="38" t="s">
        <v>4003</v>
      </c>
      <c r="D1863" s="38" t="s">
        <v>4003</v>
      </c>
      <c r="E1863" s="38" t="s">
        <v>4004</v>
      </c>
      <c r="F1863" s="38">
        <v>595.58000000000004</v>
      </c>
      <c r="G1863" s="38">
        <v>595.58000000000004</v>
      </c>
      <c r="H1863" s="38">
        <f t="shared" si="91"/>
        <v>1696</v>
      </c>
      <c r="I1863" s="38">
        <v>1115</v>
      </c>
      <c r="J1863" s="38">
        <v>581</v>
      </c>
      <c r="K1863" s="38">
        <v>534</v>
      </c>
      <c r="L1863" s="50">
        <f t="shared" si="92"/>
        <v>31.485849056603776</v>
      </c>
      <c r="M1863" s="38">
        <v>4</v>
      </c>
      <c r="N1863" s="50">
        <f t="shared" si="90"/>
        <v>0.23584905660377359</v>
      </c>
      <c r="O1863" s="38">
        <v>0</v>
      </c>
      <c r="P1863" s="38">
        <v>153.44999999999999</v>
      </c>
      <c r="Q1863" s="35" t="s">
        <v>43</v>
      </c>
      <c r="R1863" s="100">
        <v>44557</v>
      </c>
      <c r="S1863" s="35"/>
      <c r="T1863" s="35">
        <v>200</v>
      </c>
      <c r="U1863" s="35"/>
      <c r="V1863" s="35"/>
      <c r="W1863" s="35"/>
      <c r="X1863" s="35"/>
      <c r="Y1863" s="35"/>
      <c r="AB1863" s="87">
        <v>40</v>
      </c>
      <c r="AC1863" s="79" t="s">
        <v>4005</v>
      </c>
      <c r="AD1863" s="35">
        <v>25.172281999999999</v>
      </c>
      <c r="AE1863" s="35">
        <v>71.826528999999994</v>
      </c>
    </row>
    <row r="1864" spans="1:31" x14ac:dyDescent="0.25">
      <c r="A1864" s="38" t="s">
        <v>36</v>
      </c>
      <c r="B1864" s="38" t="s">
        <v>3880</v>
      </c>
      <c r="C1864" s="38" t="s">
        <v>4003</v>
      </c>
      <c r="D1864" s="38" t="s">
        <v>4003</v>
      </c>
      <c r="E1864" s="38" t="s">
        <v>4004</v>
      </c>
      <c r="F1864" s="38">
        <v>595.58000000000004</v>
      </c>
      <c r="G1864" s="38">
        <v>595.58000000000004</v>
      </c>
      <c r="H1864" s="38">
        <f t="shared" si="91"/>
        <v>1696</v>
      </c>
      <c r="I1864" s="38">
        <v>1115</v>
      </c>
      <c r="J1864" s="38">
        <v>581</v>
      </c>
      <c r="K1864" s="38">
        <v>534</v>
      </c>
      <c r="L1864" s="50">
        <f t="shared" si="92"/>
        <v>31.485849056603776</v>
      </c>
      <c r="M1864" s="38">
        <v>4</v>
      </c>
      <c r="N1864" s="50">
        <f t="shared" si="90"/>
        <v>0.23584905660377359</v>
      </c>
      <c r="O1864" s="38">
        <v>0</v>
      </c>
      <c r="P1864" s="38">
        <v>153.44999999999999</v>
      </c>
      <c r="Q1864" s="173"/>
      <c r="R1864" s="174">
        <v>44557</v>
      </c>
      <c r="S1864" s="173"/>
      <c r="T1864" s="161"/>
      <c r="U1864" s="173"/>
      <c r="V1864" s="173"/>
      <c r="W1864" s="173"/>
      <c r="X1864" s="173"/>
      <c r="Y1864" s="173"/>
      <c r="AB1864" s="239">
        <v>18</v>
      </c>
      <c r="AC1864" s="192" t="s">
        <v>4006</v>
      </c>
      <c r="AD1864" s="173">
        <v>25.172930000000001</v>
      </c>
      <c r="AE1864" s="173">
        <v>71.832155</v>
      </c>
    </row>
    <row r="1865" spans="1:31" x14ac:dyDescent="0.25">
      <c r="A1865" s="38" t="s">
        <v>36</v>
      </c>
      <c r="B1865" s="38" t="s">
        <v>3880</v>
      </c>
      <c r="C1865" s="38" t="s">
        <v>4003</v>
      </c>
      <c r="D1865" s="38" t="s">
        <v>4003</v>
      </c>
      <c r="E1865" s="38"/>
      <c r="F1865" s="38"/>
      <c r="G1865" s="38"/>
      <c r="H1865" s="38">
        <f t="shared" si="91"/>
        <v>0</v>
      </c>
      <c r="I1865" s="38"/>
      <c r="J1865" s="38"/>
      <c r="K1865" s="38"/>
      <c r="L1865" s="50"/>
      <c r="M1865" s="38"/>
      <c r="N1865" s="50"/>
      <c r="O1865" s="38"/>
      <c r="P1865" s="38"/>
      <c r="Q1865" s="158"/>
      <c r="R1865" s="159">
        <v>44557</v>
      </c>
      <c r="S1865" s="160"/>
      <c r="T1865" s="163"/>
      <c r="U1865" s="158"/>
      <c r="V1865" s="158"/>
      <c r="W1865" s="158"/>
      <c r="X1865" s="158"/>
      <c r="Y1865" s="158"/>
      <c r="AB1865" s="16">
        <v>20</v>
      </c>
      <c r="AC1865" s="192" t="s">
        <v>4007</v>
      </c>
      <c r="AD1865" s="161">
        <v>25.163222999999999</v>
      </c>
      <c r="AE1865" s="160">
        <v>71.802285999999995</v>
      </c>
    </row>
    <row r="1866" spans="1:31" ht="22.5" x14ac:dyDescent="0.25">
      <c r="A1866" s="38" t="s">
        <v>36</v>
      </c>
      <c r="B1866" s="38" t="s">
        <v>3880</v>
      </c>
      <c r="C1866" s="38" t="s">
        <v>4003</v>
      </c>
      <c r="D1866" s="38" t="s">
        <v>4003</v>
      </c>
      <c r="E1866" s="38"/>
      <c r="F1866" s="38"/>
      <c r="G1866" s="38"/>
      <c r="H1866" s="38">
        <f t="shared" si="91"/>
        <v>0</v>
      </c>
      <c r="I1866" s="38"/>
      <c r="J1866" s="38"/>
      <c r="K1866" s="38"/>
      <c r="L1866" s="50"/>
      <c r="M1866" s="38"/>
      <c r="N1866" s="50"/>
      <c r="O1866" s="38"/>
      <c r="P1866" s="38"/>
      <c r="Q1866" s="173"/>
      <c r="R1866" s="174">
        <v>44557</v>
      </c>
      <c r="S1866" s="173"/>
      <c r="T1866" s="239"/>
      <c r="U1866" s="173"/>
      <c r="V1866" s="173"/>
      <c r="W1866" s="173"/>
      <c r="X1866" s="173"/>
      <c r="Y1866" s="173"/>
      <c r="AB1866" s="239">
        <v>20</v>
      </c>
      <c r="AC1866" s="192" t="s">
        <v>4009</v>
      </c>
      <c r="AD1866" s="173">
        <v>25.170404000000001</v>
      </c>
      <c r="AE1866" s="173">
        <v>71.828833000000003</v>
      </c>
    </row>
    <row r="1867" spans="1:31" x14ac:dyDescent="0.25">
      <c r="A1867" s="38" t="s">
        <v>36</v>
      </c>
      <c r="B1867" s="38" t="s">
        <v>3880</v>
      </c>
      <c r="C1867" s="38" t="s">
        <v>4003</v>
      </c>
      <c r="D1867" s="38" t="s">
        <v>4010</v>
      </c>
      <c r="E1867" s="38" t="s">
        <v>4011</v>
      </c>
      <c r="F1867" s="38">
        <v>409.24</v>
      </c>
      <c r="G1867" s="38">
        <v>409.24</v>
      </c>
      <c r="H1867" s="38">
        <f t="shared" si="91"/>
        <v>1643</v>
      </c>
      <c r="I1867" s="38">
        <v>1080</v>
      </c>
      <c r="J1867" s="38">
        <v>563</v>
      </c>
      <c r="K1867" s="38">
        <v>517</v>
      </c>
      <c r="L1867" s="50">
        <f t="shared" si="92"/>
        <v>31.466828971393788</v>
      </c>
      <c r="M1867" s="38">
        <v>25</v>
      </c>
      <c r="N1867" s="50">
        <f t="shared" si="90"/>
        <v>1.5216068167985393</v>
      </c>
      <c r="O1867" s="38">
        <v>0</v>
      </c>
      <c r="P1867" s="38">
        <v>6.53</v>
      </c>
    </row>
    <row r="1868" spans="1:31" x14ac:dyDescent="0.25">
      <c r="A1868" s="38" t="s">
        <v>36</v>
      </c>
      <c r="B1868" s="38" t="s">
        <v>3880</v>
      </c>
      <c r="C1868" s="38" t="s">
        <v>4003</v>
      </c>
      <c r="D1868" s="38" t="s">
        <v>4012</v>
      </c>
      <c r="E1868" s="38" t="s">
        <v>4013</v>
      </c>
      <c r="F1868" s="38">
        <v>882.86</v>
      </c>
      <c r="G1868" s="38">
        <v>882.86</v>
      </c>
      <c r="H1868" s="38">
        <f t="shared" si="91"/>
        <v>645</v>
      </c>
      <c r="I1868" s="38">
        <v>429</v>
      </c>
      <c r="J1868" s="38">
        <v>216</v>
      </c>
      <c r="K1868" s="38">
        <v>213</v>
      </c>
      <c r="L1868" s="50">
        <f t="shared" si="92"/>
        <v>33.02325581395349</v>
      </c>
      <c r="M1868" s="38">
        <v>34</v>
      </c>
      <c r="N1868" s="50">
        <f t="shared" si="90"/>
        <v>5.2713178294573639</v>
      </c>
      <c r="O1868" s="38">
        <v>0</v>
      </c>
      <c r="P1868" s="38">
        <v>24.24</v>
      </c>
      <c r="Q1868" s="98" t="s">
        <v>160</v>
      </c>
      <c r="R1868" s="7">
        <v>44557</v>
      </c>
      <c r="S1868" s="99"/>
      <c r="T1868" s="11">
        <v>23.32</v>
      </c>
      <c r="U1868" s="98"/>
      <c r="V1868" s="98"/>
      <c r="W1868" s="98"/>
      <c r="X1868" s="98"/>
      <c r="Y1868" s="98"/>
      <c r="AB1868" s="20"/>
      <c r="AC1868" s="11" t="s">
        <v>4008</v>
      </c>
      <c r="AD1868" s="61"/>
      <c r="AE1868" s="99"/>
    </row>
    <row r="1869" spans="1:31" x14ac:dyDescent="0.25">
      <c r="A1869" s="38" t="s">
        <v>36</v>
      </c>
      <c r="B1869" s="38" t="s">
        <v>3880</v>
      </c>
      <c r="C1869" s="38" t="s">
        <v>4003</v>
      </c>
      <c r="D1869" s="38" t="s">
        <v>4014</v>
      </c>
      <c r="E1869" s="38" t="s">
        <v>4015</v>
      </c>
      <c r="F1869" s="38">
        <v>227.53</v>
      </c>
      <c r="G1869" s="38">
        <v>227.53</v>
      </c>
      <c r="H1869" s="38">
        <f t="shared" si="91"/>
        <v>437</v>
      </c>
      <c r="I1869" s="38">
        <v>289</v>
      </c>
      <c r="J1869" s="38">
        <v>148</v>
      </c>
      <c r="K1869" s="38">
        <v>141</v>
      </c>
      <c r="L1869" s="50">
        <f t="shared" si="92"/>
        <v>32.265446224256294</v>
      </c>
      <c r="M1869" s="38">
        <v>0</v>
      </c>
      <c r="N1869" s="50">
        <f t="shared" si="90"/>
        <v>0</v>
      </c>
      <c r="O1869" s="38">
        <v>0</v>
      </c>
      <c r="P1869" s="38">
        <v>0</v>
      </c>
    </row>
    <row r="1870" spans="1:31" x14ac:dyDescent="0.25">
      <c r="A1870" s="38" t="s">
        <v>36</v>
      </c>
      <c r="B1870" s="38" t="s">
        <v>3880</v>
      </c>
      <c r="C1870" s="38" t="s">
        <v>4016</v>
      </c>
      <c r="D1870" s="38" t="s">
        <v>4017</v>
      </c>
      <c r="E1870" s="38" t="s">
        <v>4018</v>
      </c>
      <c r="F1870" s="38">
        <v>2446</v>
      </c>
      <c r="G1870" s="38">
        <v>2446</v>
      </c>
      <c r="H1870" s="38">
        <f t="shared" si="91"/>
        <v>4785</v>
      </c>
      <c r="I1870" s="38">
        <v>3144</v>
      </c>
      <c r="J1870" s="38">
        <v>1641</v>
      </c>
      <c r="K1870" s="38">
        <v>1503</v>
      </c>
      <c r="L1870" s="50">
        <f t="shared" si="92"/>
        <v>31.410658307210031</v>
      </c>
      <c r="M1870" s="38">
        <v>475</v>
      </c>
      <c r="N1870" s="50">
        <f t="shared" si="90"/>
        <v>9.9268547544409618</v>
      </c>
      <c r="O1870" s="38">
        <v>0</v>
      </c>
      <c r="P1870" s="38">
        <v>8</v>
      </c>
      <c r="Q1870" s="98" t="s">
        <v>160</v>
      </c>
      <c r="R1870" s="7">
        <v>44558</v>
      </c>
      <c r="S1870" s="99"/>
      <c r="T1870" s="11">
        <v>2.8</v>
      </c>
      <c r="U1870" s="98"/>
      <c r="V1870" s="98"/>
      <c r="W1870" s="98"/>
      <c r="X1870" s="98"/>
      <c r="Y1870" s="98"/>
      <c r="AB1870" s="20"/>
      <c r="AC1870" s="11" t="s">
        <v>2003</v>
      </c>
      <c r="AD1870" s="61"/>
      <c r="AE1870" s="99"/>
    </row>
    <row r="1871" spans="1:31" x14ac:dyDescent="0.25">
      <c r="A1871" s="38" t="s">
        <v>36</v>
      </c>
      <c r="B1871" s="38" t="s">
        <v>3880</v>
      </c>
      <c r="C1871" s="38" t="s">
        <v>4016</v>
      </c>
      <c r="D1871" s="11" t="s">
        <v>4019</v>
      </c>
      <c r="E1871" s="38"/>
      <c r="F1871" s="38"/>
      <c r="G1871" s="38"/>
      <c r="H1871" s="38">
        <f t="shared" si="91"/>
        <v>0</v>
      </c>
      <c r="I1871" s="38"/>
      <c r="J1871" s="38"/>
      <c r="K1871" s="38"/>
      <c r="L1871" s="50"/>
      <c r="M1871" s="38"/>
      <c r="N1871" s="50"/>
      <c r="O1871" s="38"/>
      <c r="P1871" s="38"/>
      <c r="Q1871" s="98" t="s">
        <v>160</v>
      </c>
      <c r="R1871" s="7">
        <v>44558</v>
      </c>
      <c r="S1871" s="99"/>
      <c r="T1871" s="11">
        <v>27.1</v>
      </c>
      <c r="U1871" s="98"/>
      <c r="V1871" s="98"/>
      <c r="W1871" s="98"/>
      <c r="X1871" s="98"/>
      <c r="Y1871" s="98"/>
      <c r="AB1871" s="20"/>
      <c r="AC1871" s="11" t="s">
        <v>4019</v>
      </c>
      <c r="AD1871" s="61"/>
      <c r="AE1871" s="99"/>
    </row>
    <row r="1872" spans="1:31" x14ac:dyDescent="0.25">
      <c r="A1872" s="38" t="s">
        <v>36</v>
      </c>
      <c r="B1872" s="38" t="s">
        <v>3880</v>
      </c>
      <c r="C1872" s="38" t="s">
        <v>4016</v>
      </c>
      <c r="D1872" s="38" t="s">
        <v>4020</v>
      </c>
      <c r="E1872" s="38" t="s">
        <v>4021</v>
      </c>
      <c r="F1872" s="38">
        <v>432</v>
      </c>
      <c r="G1872" s="38">
        <v>432</v>
      </c>
      <c r="H1872" s="38">
        <f t="shared" si="91"/>
        <v>639</v>
      </c>
      <c r="I1872" s="38">
        <v>423</v>
      </c>
      <c r="J1872" s="38">
        <v>216</v>
      </c>
      <c r="K1872" s="38">
        <v>207</v>
      </c>
      <c r="L1872" s="50">
        <f t="shared" si="92"/>
        <v>32.394366197183103</v>
      </c>
      <c r="M1872" s="38">
        <v>0</v>
      </c>
      <c r="N1872" s="50">
        <f t="shared" si="90"/>
        <v>0</v>
      </c>
      <c r="O1872" s="38">
        <v>0</v>
      </c>
      <c r="P1872" s="38">
        <v>2</v>
      </c>
    </row>
    <row r="1873" spans="1:31" x14ac:dyDescent="0.25">
      <c r="A1873" s="38" t="s">
        <v>36</v>
      </c>
      <c r="B1873" s="38" t="s">
        <v>3880</v>
      </c>
      <c r="C1873" s="38" t="s">
        <v>4022</v>
      </c>
      <c r="D1873" s="38" t="s">
        <v>4023</v>
      </c>
      <c r="E1873" s="38" t="s">
        <v>4024</v>
      </c>
      <c r="F1873" s="38">
        <v>1222.08</v>
      </c>
      <c r="G1873" s="38">
        <v>1222.08</v>
      </c>
      <c r="H1873" s="38">
        <f t="shared" si="91"/>
        <v>2458</v>
      </c>
      <c r="I1873" s="38">
        <v>1609</v>
      </c>
      <c r="J1873" s="38">
        <v>849</v>
      </c>
      <c r="K1873" s="38">
        <v>760</v>
      </c>
      <c r="L1873" s="50">
        <f t="shared" si="92"/>
        <v>30.919446704637917</v>
      </c>
      <c r="M1873" s="38">
        <v>131</v>
      </c>
      <c r="N1873" s="50">
        <f t="shared" si="90"/>
        <v>5.3295362082994302</v>
      </c>
      <c r="O1873" s="38">
        <v>0</v>
      </c>
      <c r="P1873" s="38">
        <v>0</v>
      </c>
    </row>
    <row r="1874" spans="1:31" x14ac:dyDescent="0.25">
      <c r="A1874" s="38" t="s">
        <v>36</v>
      </c>
      <c r="B1874" s="38" t="s">
        <v>3880</v>
      </c>
      <c r="C1874" s="38" t="s">
        <v>4022</v>
      </c>
      <c r="D1874" s="38" t="s">
        <v>4025</v>
      </c>
      <c r="E1874" s="38">
        <v>2523.02</v>
      </c>
      <c r="F1874" s="38">
        <v>214.86</v>
      </c>
      <c r="G1874" s="38">
        <v>214.86</v>
      </c>
      <c r="H1874" s="38">
        <f t="shared" si="91"/>
        <v>167.06</v>
      </c>
      <c r="I1874" s="38">
        <v>108.92</v>
      </c>
      <c r="J1874" s="38">
        <v>58.14</v>
      </c>
      <c r="K1874" s="38"/>
      <c r="L1874" s="50">
        <f t="shared" si="92"/>
        <v>0</v>
      </c>
      <c r="M1874" s="38"/>
      <c r="N1874" s="50">
        <f t="shared" si="90"/>
        <v>0</v>
      </c>
      <c r="O1874" s="38"/>
      <c r="P1874" s="38"/>
      <c r="Q1874" s="158" t="s">
        <v>44</v>
      </c>
      <c r="R1874" s="159">
        <v>44559</v>
      </c>
      <c r="S1874" s="160"/>
      <c r="T1874" s="161">
        <v>0</v>
      </c>
      <c r="U1874" s="158"/>
      <c r="V1874" s="158"/>
      <c r="W1874" s="158"/>
      <c r="X1874" s="158"/>
      <c r="Y1874" s="158"/>
      <c r="AB1874" s="16">
        <v>16</v>
      </c>
      <c r="AC1874" s="163" t="s">
        <v>4026</v>
      </c>
      <c r="AD1874" s="161">
        <v>25.253464999999998</v>
      </c>
      <c r="AE1874" s="160">
        <v>71.637502999999995</v>
      </c>
    </row>
    <row r="1875" spans="1:31" x14ac:dyDescent="0.25">
      <c r="A1875" s="38" t="s">
        <v>36</v>
      </c>
      <c r="B1875" s="38" t="s">
        <v>3880</v>
      </c>
      <c r="C1875" s="38" t="s">
        <v>4022</v>
      </c>
      <c r="D1875" s="38" t="s">
        <v>4025</v>
      </c>
      <c r="E1875" s="38" t="s">
        <v>4027</v>
      </c>
      <c r="F1875" s="38">
        <v>2523.02</v>
      </c>
      <c r="G1875" s="38">
        <v>2523.02</v>
      </c>
      <c r="H1875" s="38">
        <f t="shared" si="91"/>
        <v>3784</v>
      </c>
      <c r="I1875" s="38">
        <v>2488</v>
      </c>
      <c r="J1875" s="38">
        <v>1296</v>
      </c>
      <c r="K1875" s="38">
        <v>1192</v>
      </c>
      <c r="L1875" s="50">
        <f t="shared" si="92"/>
        <v>31.501057082452434</v>
      </c>
      <c r="M1875" s="38">
        <v>63</v>
      </c>
      <c r="N1875" s="50">
        <f t="shared" si="90"/>
        <v>1.6649048625792813</v>
      </c>
      <c r="O1875" s="38">
        <v>214.86</v>
      </c>
      <c r="P1875" s="38">
        <v>108.92</v>
      </c>
      <c r="Q1875" s="158" t="s">
        <v>44</v>
      </c>
      <c r="R1875" s="159">
        <v>44559</v>
      </c>
      <c r="S1875" s="160"/>
      <c r="T1875" s="161">
        <v>0</v>
      </c>
      <c r="U1875" s="158"/>
      <c r="V1875" s="158"/>
      <c r="W1875" s="158"/>
      <c r="X1875" s="158"/>
      <c r="Y1875" s="158"/>
      <c r="AB1875" s="16">
        <v>16</v>
      </c>
      <c r="AC1875" s="163" t="s">
        <v>4025</v>
      </c>
      <c r="AD1875" s="161">
        <v>25.253471000000001</v>
      </c>
      <c r="AE1875" s="160">
        <v>71.637467999999998</v>
      </c>
    </row>
    <row r="1876" spans="1:31" x14ac:dyDescent="0.25">
      <c r="A1876" s="38" t="s">
        <v>36</v>
      </c>
      <c r="B1876" s="38" t="s">
        <v>3880</v>
      </c>
      <c r="C1876" s="38" t="s">
        <v>4028</v>
      </c>
      <c r="D1876" s="38" t="s">
        <v>4029</v>
      </c>
      <c r="E1876" s="38" t="s">
        <v>4030</v>
      </c>
      <c r="F1876" s="38">
        <v>1227.4100000000001</v>
      </c>
      <c r="G1876" s="38">
        <v>1227.4100000000001</v>
      </c>
      <c r="H1876" s="38">
        <f t="shared" si="91"/>
        <v>1924</v>
      </c>
      <c r="I1876" s="38">
        <v>1276</v>
      </c>
      <c r="J1876" s="38">
        <v>648</v>
      </c>
      <c r="K1876" s="38">
        <v>628</v>
      </c>
      <c r="L1876" s="50">
        <f t="shared" si="92"/>
        <v>32.640332640332645</v>
      </c>
      <c r="M1876" s="38">
        <v>104</v>
      </c>
      <c r="N1876" s="50">
        <f t="shared" si="90"/>
        <v>5.4054054054054053</v>
      </c>
      <c r="O1876" s="38">
        <v>0</v>
      </c>
      <c r="P1876" s="38">
        <v>135</v>
      </c>
      <c r="Q1876" s="132" t="s">
        <v>43</v>
      </c>
      <c r="R1876" s="128">
        <v>44560</v>
      </c>
      <c r="S1876" s="132"/>
      <c r="T1876" s="130">
        <v>0</v>
      </c>
      <c r="U1876" s="132"/>
      <c r="V1876" s="132"/>
      <c r="W1876" s="132"/>
      <c r="X1876" s="132"/>
      <c r="Y1876" s="132"/>
      <c r="AB1876" s="130"/>
      <c r="AC1876" s="131" t="s">
        <v>4031</v>
      </c>
      <c r="AD1876" s="132">
        <v>0</v>
      </c>
      <c r="AE1876" s="132"/>
    </row>
    <row r="1877" spans="1:31" x14ac:dyDescent="0.25">
      <c r="A1877" s="38" t="s">
        <v>36</v>
      </c>
      <c r="B1877" s="38" t="s">
        <v>3880</v>
      </c>
      <c r="C1877" s="38" t="s">
        <v>4028</v>
      </c>
      <c r="D1877" s="38" t="s">
        <v>1265</v>
      </c>
      <c r="E1877" s="38" t="s">
        <v>4032</v>
      </c>
      <c r="F1877" s="38">
        <v>376.59</v>
      </c>
      <c r="G1877" s="38">
        <v>376.59</v>
      </c>
      <c r="H1877" s="38">
        <f t="shared" si="91"/>
        <v>845</v>
      </c>
      <c r="I1877" s="38">
        <v>555</v>
      </c>
      <c r="J1877" s="38">
        <v>290</v>
      </c>
      <c r="K1877" s="38">
        <v>265</v>
      </c>
      <c r="L1877" s="50">
        <f t="shared" si="92"/>
        <v>31.360946745562128</v>
      </c>
      <c r="M1877" s="38">
        <v>45</v>
      </c>
      <c r="N1877" s="50">
        <f t="shared" si="90"/>
        <v>5.3254437869822491</v>
      </c>
      <c r="O1877" s="38">
        <v>0</v>
      </c>
      <c r="P1877" s="38">
        <v>0</v>
      </c>
      <c r="Q1877" s="36" t="s">
        <v>43</v>
      </c>
      <c r="R1877" s="14">
        <v>44560</v>
      </c>
      <c r="S1877" s="36"/>
      <c r="T1877" s="85">
        <v>0</v>
      </c>
      <c r="U1877" s="36"/>
      <c r="V1877" s="36"/>
      <c r="W1877" s="36"/>
      <c r="X1877" s="36"/>
      <c r="Y1877" s="36"/>
      <c r="AB1877" s="85"/>
      <c r="AC1877" s="15" t="s">
        <v>1267</v>
      </c>
      <c r="AD1877" s="36">
        <v>0</v>
      </c>
      <c r="AE1877" s="36"/>
    </row>
    <row r="1878" spans="1:31" x14ac:dyDescent="0.25">
      <c r="A1878" s="38" t="s">
        <v>36</v>
      </c>
      <c r="B1878" s="38" t="s">
        <v>3880</v>
      </c>
      <c r="C1878" s="38" t="s">
        <v>4028</v>
      </c>
      <c r="D1878" s="38" t="s">
        <v>4033</v>
      </c>
      <c r="E1878" s="38" t="s">
        <v>4034</v>
      </c>
      <c r="F1878" s="38">
        <v>613.52</v>
      </c>
      <c r="G1878" s="38">
        <v>613.52</v>
      </c>
      <c r="H1878" s="38">
        <f t="shared" si="91"/>
        <v>1906</v>
      </c>
      <c r="I1878" s="38">
        <v>1273</v>
      </c>
      <c r="J1878" s="38">
        <v>633</v>
      </c>
      <c r="K1878" s="38">
        <v>640</v>
      </c>
      <c r="L1878" s="50">
        <f t="shared" si="92"/>
        <v>33.57817418677859</v>
      </c>
      <c r="M1878" s="38">
        <v>308</v>
      </c>
      <c r="N1878" s="50">
        <f t="shared" ref="N1878:N1941" si="93">M1878/H1878*100</f>
        <v>16.159496327387199</v>
      </c>
      <c r="O1878" s="38">
        <v>0</v>
      </c>
      <c r="P1878" s="38">
        <v>0</v>
      </c>
      <c r="Q1878" s="61" t="s">
        <v>43</v>
      </c>
      <c r="R1878" s="7">
        <v>44560</v>
      </c>
      <c r="S1878" s="61"/>
      <c r="T1878" s="20">
        <v>0</v>
      </c>
      <c r="U1878" s="61"/>
      <c r="V1878" s="61"/>
      <c r="W1878" s="61"/>
      <c r="X1878" s="61"/>
      <c r="Y1878" s="61"/>
      <c r="AB1878" s="20"/>
      <c r="AC1878" s="11" t="s">
        <v>4031</v>
      </c>
      <c r="AD1878" s="61">
        <v>0</v>
      </c>
      <c r="AE1878" s="61"/>
    </row>
    <row r="1879" spans="1:31" x14ac:dyDescent="0.25">
      <c r="A1879" s="38" t="s">
        <v>36</v>
      </c>
      <c r="B1879" s="38" t="s">
        <v>3880</v>
      </c>
      <c r="C1879" s="38" t="s">
        <v>4035</v>
      </c>
      <c r="D1879" s="38" t="s">
        <v>4036</v>
      </c>
      <c r="E1879" s="38" t="s">
        <v>4037</v>
      </c>
      <c r="F1879" s="38">
        <v>1203.1300000000001</v>
      </c>
      <c r="G1879" s="38">
        <v>1203.1300000000001</v>
      </c>
      <c r="H1879" s="38">
        <f t="shared" si="91"/>
        <v>3341</v>
      </c>
      <c r="I1879" s="38">
        <v>2208</v>
      </c>
      <c r="J1879" s="38">
        <v>1133</v>
      </c>
      <c r="K1879" s="38">
        <v>1075</v>
      </c>
      <c r="L1879" s="50">
        <f t="shared" si="92"/>
        <v>32.175995211014666</v>
      </c>
      <c r="M1879" s="38">
        <v>240</v>
      </c>
      <c r="N1879" s="50">
        <f t="shared" si="93"/>
        <v>7.1834780005986225</v>
      </c>
      <c r="O1879" s="38">
        <v>50</v>
      </c>
      <c r="P1879" s="38">
        <v>56</v>
      </c>
      <c r="Q1879" s="158" t="s">
        <v>44</v>
      </c>
      <c r="R1879" s="159">
        <v>44560</v>
      </c>
      <c r="S1879" s="160"/>
      <c r="T1879" s="161">
        <v>0</v>
      </c>
      <c r="U1879" s="158"/>
      <c r="V1879" s="158"/>
      <c r="W1879" s="158"/>
      <c r="X1879" s="158"/>
      <c r="Y1879" s="158"/>
      <c r="AB1879" s="16">
        <v>16</v>
      </c>
      <c r="AC1879" s="163" t="s">
        <v>4036</v>
      </c>
      <c r="AD1879" s="161">
        <v>25.257194999999999</v>
      </c>
      <c r="AE1879" s="160">
        <v>71.741420000000005</v>
      </c>
    </row>
    <row r="1880" spans="1:31" x14ac:dyDescent="0.25">
      <c r="A1880" s="38" t="s">
        <v>36</v>
      </c>
      <c r="B1880" s="38" t="s">
        <v>3880</v>
      </c>
      <c r="C1880" s="38" t="s">
        <v>4035</v>
      </c>
      <c r="D1880" s="38" t="s">
        <v>4038</v>
      </c>
      <c r="E1880" s="38" t="s">
        <v>4039</v>
      </c>
      <c r="F1880" s="38">
        <v>1165.48</v>
      </c>
      <c r="G1880" s="38">
        <v>1165.48</v>
      </c>
      <c r="H1880" s="38">
        <f t="shared" si="91"/>
        <v>2031</v>
      </c>
      <c r="I1880" s="38">
        <v>1332</v>
      </c>
      <c r="J1880" s="38">
        <v>699</v>
      </c>
      <c r="K1880" s="38">
        <v>633</v>
      </c>
      <c r="L1880" s="50">
        <f t="shared" si="92"/>
        <v>31.166912850812405</v>
      </c>
      <c r="M1880" s="38">
        <v>0</v>
      </c>
      <c r="N1880" s="50">
        <f t="shared" si="93"/>
        <v>0</v>
      </c>
      <c r="O1880" s="38">
        <v>101</v>
      </c>
      <c r="P1880" s="38">
        <v>4</v>
      </c>
    </row>
    <row r="1881" spans="1:31" x14ac:dyDescent="0.25">
      <c r="A1881" s="38" t="s">
        <v>36</v>
      </c>
      <c r="B1881" s="38" t="s">
        <v>3880</v>
      </c>
      <c r="C1881" s="38" t="s">
        <v>4035</v>
      </c>
      <c r="D1881" s="38" t="s">
        <v>4040</v>
      </c>
      <c r="E1881" s="38" t="s">
        <v>4041</v>
      </c>
      <c r="F1881" s="38">
        <v>344.03</v>
      </c>
      <c r="G1881" s="38">
        <v>344.03</v>
      </c>
      <c r="H1881" s="38">
        <f t="shared" si="91"/>
        <v>455</v>
      </c>
      <c r="I1881" s="38">
        <v>301</v>
      </c>
      <c r="J1881" s="38">
        <v>154</v>
      </c>
      <c r="K1881" s="38">
        <v>147</v>
      </c>
      <c r="L1881" s="50">
        <f t="shared" si="92"/>
        <v>32.307692307692307</v>
      </c>
      <c r="M1881" s="38">
        <v>0</v>
      </c>
      <c r="N1881" s="50">
        <f t="shared" si="93"/>
        <v>0</v>
      </c>
      <c r="O1881" s="38">
        <v>23</v>
      </c>
      <c r="P1881" s="38">
        <v>108</v>
      </c>
      <c r="Q1881" s="98" t="s">
        <v>160</v>
      </c>
      <c r="R1881" s="7">
        <v>44561</v>
      </c>
      <c r="S1881" s="99"/>
      <c r="T1881" s="11">
        <v>108.44799999999999</v>
      </c>
      <c r="U1881" s="98"/>
      <c r="V1881" s="98"/>
      <c r="W1881" s="98"/>
      <c r="X1881" s="98"/>
      <c r="Y1881" s="98"/>
      <c r="AB1881" s="20"/>
      <c r="AC1881" s="11" t="s">
        <v>4042</v>
      </c>
      <c r="AD1881" s="61">
        <v>25.29148</v>
      </c>
      <c r="AE1881" s="99">
        <v>71.709672999999995</v>
      </c>
    </row>
    <row r="1882" spans="1:31" x14ac:dyDescent="0.25">
      <c r="A1882" s="38" t="s">
        <v>36</v>
      </c>
      <c r="B1882" s="38" t="s">
        <v>3880</v>
      </c>
      <c r="C1882" s="38" t="s">
        <v>4035</v>
      </c>
      <c r="D1882" s="38" t="s">
        <v>4043</v>
      </c>
      <c r="E1882" s="38" t="s">
        <v>4044</v>
      </c>
      <c r="F1882" s="38">
        <v>969.2</v>
      </c>
      <c r="G1882" s="38">
        <v>969.2</v>
      </c>
      <c r="H1882" s="38">
        <f t="shared" si="91"/>
        <v>1447</v>
      </c>
      <c r="I1882" s="38">
        <v>950</v>
      </c>
      <c r="J1882" s="38">
        <v>497</v>
      </c>
      <c r="K1882" s="38">
        <v>453</v>
      </c>
      <c r="L1882" s="50">
        <f t="shared" si="92"/>
        <v>31.30615065653075</v>
      </c>
      <c r="M1882" s="38">
        <v>60</v>
      </c>
      <c r="N1882" s="50">
        <f t="shared" si="93"/>
        <v>4.14651002073255</v>
      </c>
      <c r="O1882" s="38">
        <v>0</v>
      </c>
      <c r="P1882" s="38">
        <v>6</v>
      </c>
    </row>
    <row r="1883" spans="1:31" x14ac:dyDescent="0.25">
      <c r="A1883" s="38" t="s">
        <v>36</v>
      </c>
      <c r="B1883" s="38" t="s">
        <v>3880</v>
      </c>
      <c r="C1883" s="38" t="s">
        <v>4045</v>
      </c>
      <c r="D1883" s="38" t="s">
        <v>4046</v>
      </c>
      <c r="E1883" s="38" t="s">
        <v>4047</v>
      </c>
      <c r="F1883" s="38">
        <v>439.55</v>
      </c>
      <c r="G1883" s="38">
        <v>439.55</v>
      </c>
      <c r="H1883" s="38">
        <f t="shared" si="91"/>
        <v>610</v>
      </c>
      <c r="I1883" s="38">
        <v>405</v>
      </c>
      <c r="J1883" s="38">
        <v>205</v>
      </c>
      <c r="K1883" s="38">
        <v>200</v>
      </c>
      <c r="L1883" s="50">
        <f t="shared" si="92"/>
        <v>32.786885245901637</v>
      </c>
      <c r="M1883" s="38">
        <v>34</v>
      </c>
      <c r="N1883" s="50">
        <f t="shared" si="93"/>
        <v>5.5737704918032787</v>
      </c>
      <c r="O1883" s="38">
        <v>0</v>
      </c>
      <c r="P1883" s="38">
        <v>0</v>
      </c>
      <c r="Q1883" s="158" t="s">
        <v>44</v>
      </c>
      <c r="R1883" s="159">
        <v>44583</v>
      </c>
      <c r="S1883" s="160"/>
      <c r="T1883" s="161">
        <v>0</v>
      </c>
      <c r="U1883" s="158"/>
      <c r="V1883" s="158"/>
      <c r="W1883" s="158"/>
      <c r="X1883" s="158"/>
      <c r="Y1883" s="158"/>
      <c r="AB1883" s="16">
        <v>16</v>
      </c>
      <c r="AC1883" s="163" t="s">
        <v>4048</v>
      </c>
      <c r="AD1883" s="161">
        <v>25.323404</v>
      </c>
      <c r="AE1883" s="160">
        <v>71.711978999999999</v>
      </c>
    </row>
    <row r="1884" spans="1:31" x14ac:dyDescent="0.25">
      <c r="A1884" s="38" t="s">
        <v>36</v>
      </c>
      <c r="B1884" s="38" t="s">
        <v>3880</v>
      </c>
      <c r="C1884" s="38" t="s">
        <v>4045</v>
      </c>
      <c r="D1884" s="38" t="s">
        <v>1871</v>
      </c>
      <c r="E1884" s="38" t="s">
        <v>4049</v>
      </c>
      <c r="F1884" s="38">
        <v>262.82</v>
      </c>
      <c r="G1884" s="38">
        <v>262.82</v>
      </c>
      <c r="H1884" s="38">
        <f t="shared" si="91"/>
        <v>592</v>
      </c>
      <c r="I1884" s="38">
        <v>392</v>
      </c>
      <c r="J1884" s="38">
        <v>200</v>
      </c>
      <c r="K1884" s="38">
        <v>192</v>
      </c>
      <c r="L1884" s="50">
        <f t="shared" si="92"/>
        <v>32.432432432432435</v>
      </c>
      <c r="M1884" s="38">
        <v>0</v>
      </c>
      <c r="N1884" s="50">
        <f t="shared" si="93"/>
        <v>0</v>
      </c>
      <c r="O1884" s="38">
        <v>0</v>
      </c>
      <c r="P1884" s="38">
        <v>0</v>
      </c>
    </row>
    <row r="1885" spans="1:31" x14ac:dyDescent="0.25">
      <c r="A1885" s="38" t="s">
        <v>36</v>
      </c>
      <c r="B1885" s="38" t="s">
        <v>3880</v>
      </c>
      <c r="C1885" s="38" t="s">
        <v>4045</v>
      </c>
      <c r="D1885" s="38" t="s">
        <v>646</v>
      </c>
      <c r="E1885" s="38" t="s">
        <v>4050</v>
      </c>
      <c r="F1885" s="38">
        <v>331.68</v>
      </c>
      <c r="G1885" s="38">
        <v>331.68</v>
      </c>
      <c r="H1885" s="38">
        <f t="shared" si="91"/>
        <v>626</v>
      </c>
      <c r="I1885" s="38">
        <v>409</v>
      </c>
      <c r="J1885" s="38">
        <v>217</v>
      </c>
      <c r="K1885" s="38">
        <v>192</v>
      </c>
      <c r="L1885" s="50">
        <f t="shared" si="92"/>
        <v>30.670926517571885</v>
      </c>
      <c r="M1885" s="38">
        <v>0</v>
      </c>
      <c r="N1885" s="50">
        <f t="shared" si="93"/>
        <v>0</v>
      </c>
      <c r="O1885" s="38">
        <v>0</v>
      </c>
      <c r="P1885" s="38">
        <v>2</v>
      </c>
    </row>
    <row r="1886" spans="1:31" x14ac:dyDescent="0.25">
      <c r="A1886" s="38" t="s">
        <v>36</v>
      </c>
      <c r="B1886" s="38" t="s">
        <v>3880</v>
      </c>
      <c r="C1886" s="38" t="s">
        <v>4045</v>
      </c>
      <c r="D1886" s="38" t="s">
        <v>4051</v>
      </c>
      <c r="E1886" s="38" t="s">
        <v>4052</v>
      </c>
      <c r="F1886" s="38">
        <v>742.66</v>
      </c>
      <c r="G1886" s="38">
        <v>742.66</v>
      </c>
      <c r="H1886" s="38">
        <f t="shared" si="91"/>
        <v>1238</v>
      </c>
      <c r="I1886" s="38">
        <v>806</v>
      </c>
      <c r="J1886" s="38">
        <v>432</v>
      </c>
      <c r="K1886" s="38">
        <v>374</v>
      </c>
      <c r="L1886" s="50">
        <f t="shared" si="92"/>
        <v>30.210016155088855</v>
      </c>
      <c r="M1886" s="38">
        <v>63</v>
      </c>
      <c r="N1886" s="50">
        <f t="shared" si="93"/>
        <v>5.0888529886914373</v>
      </c>
      <c r="O1886" s="38">
        <v>0</v>
      </c>
      <c r="P1886" s="38">
        <v>14</v>
      </c>
      <c r="Q1886" s="98" t="s">
        <v>160</v>
      </c>
      <c r="R1886" s="7">
        <v>44583</v>
      </c>
      <c r="S1886" s="99"/>
      <c r="T1886" s="11">
        <v>13.31</v>
      </c>
      <c r="U1886" s="98"/>
      <c r="V1886" s="98"/>
      <c r="W1886" s="98"/>
      <c r="X1886" s="98"/>
      <c r="Y1886" s="98"/>
      <c r="AB1886" s="20"/>
      <c r="AC1886" s="11" t="s">
        <v>2069</v>
      </c>
      <c r="AD1886" s="61"/>
      <c r="AE1886" s="99"/>
    </row>
    <row r="1887" spans="1:31" x14ac:dyDescent="0.25">
      <c r="A1887" s="38" t="s">
        <v>36</v>
      </c>
      <c r="B1887" s="38" t="s">
        <v>3880</v>
      </c>
      <c r="C1887" s="38" t="s">
        <v>4045</v>
      </c>
      <c r="D1887" s="38" t="s">
        <v>4053</v>
      </c>
      <c r="E1887" s="38" t="s">
        <v>4054</v>
      </c>
      <c r="F1887" s="38">
        <v>464.78</v>
      </c>
      <c r="G1887" s="38">
        <v>464.78</v>
      </c>
      <c r="H1887" s="38">
        <f t="shared" si="91"/>
        <v>671</v>
      </c>
      <c r="I1887" s="38">
        <v>437</v>
      </c>
      <c r="J1887" s="38">
        <v>234</v>
      </c>
      <c r="K1887" s="38">
        <v>203</v>
      </c>
      <c r="L1887" s="50">
        <f t="shared" si="92"/>
        <v>30.253353204172878</v>
      </c>
      <c r="M1887" s="38">
        <v>0</v>
      </c>
      <c r="N1887" s="50">
        <f t="shared" si="93"/>
        <v>0</v>
      </c>
      <c r="O1887" s="38">
        <v>0</v>
      </c>
      <c r="P1887" s="38">
        <v>0</v>
      </c>
    </row>
    <row r="1888" spans="1:31" x14ac:dyDescent="0.25">
      <c r="A1888" s="38" t="s">
        <v>36</v>
      </c>
      <c r="B1888" s="38" t="s">
        <v>3880</v>
      </c>
      <c r="C1888" s="38" t="s">
        <v>4045</v>
      </c>
      <c r="D1888" s="38" t="s">
        <v>4055</v>
      </c>
      <c r="E1888" s="38" t="s">
        <v>4056</v>
      </c>
      <c r="F1888" s="38">
        <v>690.25</v>
      </c>
      <c r="G1888" s="38">
        <v>690.25</v>
      </c>
      <c r="H1888" s="38">
        <f t="shared" si="91"/>
        <v>880</v>
      </c>
      <c r="I1888" s="38">
        <v>577</v>
      </c>
      <c r="J1888" s="38">
        <v>303</v>
      </c>
      <c r="K1888" s="38">
        <v>274</v>
      </c>
      <c r="L1888" s="50">
        <f t="shared" si="92"/>
        <v>31.136363636363633</v>
      </c>
      <c r="M1888" s="38">
        <v>171</v>
      </c>
      <c r="N1888" s="50">
        <f t="shared" si="93"/>
        <v>19.43181818181818</v>
      </c>
      <c r="O1888" s="38">
        <v>0</v>
      </c>
      <c r="P1888" s="38">
        <v>0</v>
      </c>
    </row>
    <row r="1889" spans="1:31" x14ac:dyDescent="0.25">
      <c r="A1889" s="38" t="s">
        <v>36</v>
      </c>
      <c r="B1889" s="38" t="s">
        <v>3880</v>
      </c>
      <c r="C1889" s="38" t="s">
        <v>4057</v>
      </c>
      <c r="D1889" s="38" t="s">
        <v>4057</v>
      </c>
      <c r="E1889" s="38" t="s">
        <v>4058</v>
      </c>
      <c r="F1889" s="38">
        <v>1270.05</v>
      </c>
      <c r="G1889" s="38">
        <v>1270.05</v>
      </c>
      <c r="H1889" s="38">
        <f t="shared" si="91"/>
        <v>2225</v>
      </c>
      <c r="I1889" s="38">
        <v>1474</v>
      </c>
      <c r="J1889" s="38">
        <v>751</v>
      </c>
      <c r="K1889" s="38">
        <v>723</v>
      </c>
      <c r="L1889" s="50">
        <f t="shared" si="92"/>
        <v>32.49438202247191</v>
      </c>
      <c r="M1889" s="38">
        <v>86</v>
      </c>
      <c r="N1889" s="50">
        <f t="shared" si="93"/>
        <v>3.8651685393258424</v>
      </c>
      <c r="O1889" s="38">
        <v>0</v>
      </c>
      <c r="P1889" s="38">
        <v>0</v>
      </c>
    </row>
    <row r="1890" spans="1:31" x14ac:dyDescent="0.25">
      <c r="A1890" s="38" t="s">
        <v>36</v>
      </c>
      <c r="B1890" s="38" t="s">
        <v>3880</v>
      </c>
      <c r="C1890" s="38" t="s">
        <v>4057</v>
      </c>
      <c r="D1890" s="38" t="s">
        <v>4059</v>
      </c>
      <c r="E1890" s="38" t="s">
        <v>4060</v>
      </c>
      <c r="F1890" s="38">
        <v>1154.6099999999999</v>
      </c>
      <c r="G1890" s="38">
        <v>1154.6099999999999</v>
      </c>
      <c r="H1890" s="38">
        <f t="shared" si="91"/>
        <v>1300</v>
      </c>
      <c r="I1890" s="38">
        <v>854</v>
      </c>
      <c r="J1890" s="38">
        <v>446</v>
      </c>
      <c r="K1890" s="38">
        <v>408</v>
      </c>
      <c r="L1890" s="50">
        <f t="shared" si="92"/>
        <v>31.384615384615383</v>
      </c>
      <c r="M1890" s="38">
        <v>66</v>
      </c>
      <c r="N1890" s="50">
        <f t="shared" si="93"/>
        <v>5.0769230769230766</v>
      </c>
      <c r="O1890" s="38">
        <v>0</v>
      </c>
      <c r="P1890" s="38">
        <v>88.03</v>
      </c>
      <c r="Q1890" s="35" t="s">
        <v>43</v>
      </c>
      <c r="R1890" s="100">
        <v>44589</v>
      </c>
      <c r="S1890" s="35"/>
      <c r="T1890" s="35">
        <v>88</v>
      </c>
      <c r="U1890" s="35"/>
      <c r="V1890" s="35"/>
      <c r="W1890" s="35"/>
      <c r="X1890" s="35"/>
      <c r="Y1890" s="35"/>
      <c r="AB1890" s="87"/>
      <c r="AC1890" s="35" t="s">
        <v>4061</v>
      </c>
      <c r="AD1890" s="35">
        <v>25.054155999999999</v>
      </c>
      <c r="AE1890" s="35">
        <v>71.711479999999995</v>
      </c>
    </row>
    <row r="1891" spans="1:31" x14ac:dyDescent="0.25">
      <c r="A1891" s="38" t="s">
        <v>36</v>
      </c>
      <c r="B1891" s="38" t="s">
        <v>3880</v>
      </c>
      <c r="C1891" s="38" t="s">
        <v>4062</v>
      </c>
      <c r="D1891" s="38" t="s">
        <v>4063</v>
      </c>
      <c r="E1891" s="38" t="s">
        <v>4064</v>
      </c>
      <c r="F1891" s="38">
        <v>426.8</v>
      </c>
      <c r="G1891" s="38">
        <v>426.8</v>
      </c>
      <c r="H1891" s="38">
        <f t="shared" si="91"/>
        <v>1691</v>
      </c>
      <c r="I1891" s="38">
        <v>1101</v>
      </c>
      <c r="J1891" s="38">
        <v>590</v>
      </c>
      <c r="K1891" s="38">
        <v>511</v>
      </c>
      <c r="L1891" s="50">
        <f t="shared" si="92"/>
        <v>30.21880544056771</v>
      </c>
      <c r="M1891" s="38">
        <v>137</v>
      </c>
      <c r="N1891" s="50">
        <f t="shared" si="93"/>
        <v>8.1017149615612052</v>
      </c>
      <c r="O1891" s="38">
        <v>0</v>
      </c>
      <c r="P1891" s="38">
        <v>42.3</v>
      </c>
      <c r="Q1891" s="35" t="s">
        <v>43</v>
      </c>
      <c r="R1891" s="100">
        <v>44564</v>
      </c>
      <c r="S1891" s="35"/>
      <c r="T1891" s="35">
        <v>30</v>
      </c>
      <c r="U1891" s="35"/>
      <c r="V1891" s="35"/>
      <c r="W1891" s="35"/>
      <c r="X1891" s="35"/>
      <c r="Y1891" s="35"/>
      <c r="AB1891" s="87">
        <v>12</v>
      </c>
      <c r="AC1891" s="35" t="s">
        <v>4065</v>
      </c>
      <c r="AD1891" s="35">
        <v>25.130327999999999</v>
      </c>
      <c r="AE1891" s="35">
        <v>71.605087999999995</v>
      </c>
    </row>
    <row r="1892" spans="1:31" x14ac:dyDescent="0.25">
      <c r="A1892" s="38" t="s">
        <v>36</v>
      </c>
      <c r="B1892" s="38" t="s">
        <v>3880</v>
      </c>
      <c r="C1892" s="38" t="s">
        <v>4062</v>
      </c>
      <c r="D1892" s="38" t="s">
        <v>4066</v>
      </c>
      <c r="E1892" s="38" t="s">
        <v>4067</v>
      </c>
      <c r="F1892" s="38">
        <v>474.7</v>
      </c>
      <c r="G1892" s="38">
        <v>474.7</v>
      </c>
      <c r="H1892" s="38">
        <f t="shared" si="91"/>
        <v>797</v>
      </c>
      <c r="I1892" s="38">
        <v>522</v>
      </c>
      <c r="J1892" s="38">
        <v>275</v>
      </c>
      <c r="K1892" s="38">
        <v>247</v>
      </c>
      <c r="L1892" s="50">
        <f t="shared" si="92"/>
        <v>30.991217063989961</v>
      </c>
      <c r="M1892" s="38">
        <v>0</v>
      </c>
      <c r="N1892" s="50">
        <f t="shared" si="93"/>
        <v>0</v>
      </c>
      <c r="O1892" s="38">
        <v>0</v>
      </c>
      <c r="P1892" s="38">
        <v>0</v>
      </c>
    </row>
    <row r="1893" spans="1:31" x14ac:dyDescent="0.25">
      <c r="A1893" s="38" t="s">
        <v>36</v>
      </c>
      <c r="B1893" s="38" t="s">
        <v>3880</v>
      </c>
      <c r="C1893" s="38" t="s">
        <v>4062</v>
      </c>
      <c r="D1893" s="38" t="s">
        <v>4068</v>
      </c>
      <c r="E1893" s="38" t="s">
        <v>4069</v>
      </c>
      <c r="F1893" s="38">
        <v>520.61</v>
      </c>
      <c r="G1893" s="38">
        <v>520.61</v>
      </c>
      <c r="H1893" s="38">
        <f t="shared" si="91"/>
        <v>727</v>
      </c>
      <c r="I1893" s="38">
        <v>481</v>
      </c>
      <c r="J1893" s="38">
        <v>246</v>
      </c>
      <c r="K1893" s="38">
        <v>235</v>
      </c>
      <c r="L1893" s="50">
        <f t="shared" si="92"/>
        <v>32.324621733149932</v>
      </c>
      <c r="M1893" s="38">
        <v>9</v>
      </c>
      <c r="N1893" s="50">
        <f t="shared" si="93"/>
        <v>1.2379642365887207</v>
      </c>
      <c r="O1893" s="38">
        <v>75.650000000000006</v>
      </c>
      <c r="P1893" s="38">
        <v>18.8</v>
      </c>
    </row>
    <row r="1894" spans="1:31" x14ac:dyDescent="0.25">
      <c r="A1894" s="38" t="s">
        <v>36</v>
      </c>
      <c r="B1894" s="38" t="s">
        <v>3880</v>
      </c>
      <c r="C1894" s="38" t="s">
        <v>4070</v>
      </c>
      <c r="D1894" s="38" t="s">
        <v>4070</v>
      </c>
      <c r="E1894" s="38" t="s">
        <v>4071</v>
      </c>
      <c r="F1894" s="38">
        <v>506.8</v>
      </c>
      <c r="G1894" s="38">
        <v>506.8</v>
      </c>
      <c r="H1894" s="38">
        <f t="shared" si="91"/>
        <v>1070</v>
      </c>
      <c r="I1894" s="38">
        <v>697</v>
      </c>
      <c r="J1894" s="38">
        <v>373</v>
      </c>
      <c r="K1894" s="38">
        <v>324</v>
      </c>
      <c r="L1894" s="50">
        <f t="shared" si="92"/>
        <v>30.280373831775702</v>
      </c>
      <c r="M1894" s="38">
        <v>64</v>
      </c>
      <c r="N1894" s="50">
        <f t="shared" si="93"/>
        <v>5.9813084112149539</v>
      </c>
      <c r="O1894" s="38">
        <v>0</v>
      </c>
      <c r="P1894" s="38">
        <v>0</v>
      </c>
      <c r="Q1894" s="36" t="s">
        <v>43</v>
      </c>
      <c r="R1894" s="14">
        <v>44581</v>
      </c>
      <c r="S1894" s="36"/>
      <c r="T1894" s="85">
        <v>0</v>
      </c>
      <c r="U1894" s="36"/>
      <c r="V1894" s="36"/>
      <c r="W1894" s="36"/>
      <c r="X1894" s="36"/>
      <c r="Y1894" s="36"/>
      <c r="AB1894" s="85"/>
      <c r="AC1894" s="15" t="s">
        <v>4072</v>
      </c>
      <c r="AD1894" s="36">
        <v>0</v>
      </c>
      <c r="AE1894" s="36"/>
    </row>
    <row r="1895" spans="1:31" x14ac:dyDescent="0.25">
      <c r="A1895" s="38" t="s">
        <v>36</v>
      </c>
      <c r="B1895" s="38" t="s">
        <v>3880</v>
      </c>
      <c r="C1895" s="38" t="s">
        <v>4070</v>
      </c>
      <c r="D1895" s="38" t="s">
        <v>4073</v>
      </c>
      <c r="E1895" s="38" t="s">
        <v>4074</v>
      </c>
      <c r="F1895" s="38">
        <v>575.42999999999995</v>
      </c>
      <c r="G1895" s="38">
        <v>575.42999999999995</v>
      </c>
      <c r="H1895" s="38">
        <f t="shared" si="91"/>
        <v>699</v>
      </c>
      <c r="I1895" s="38">
        <v>461</v>
      </c>
      <c r="J1895" s="38">
        <v>238</v>
      </c>
      <c r="K1895" s="38">
        <v>223</v>
      </c>
      <c r="L1895" s="50">
        <f t="shared" si="92"/>
        <v>31.902718168812587</v>
      </c>
      <c r="M1895" s="38">
        <v>70</v>
      </c>
      <c r="N1895" s="50">
        <f t="shared" si="93"/>
        <v>10.014306151645208</v>
      </c>
      <c r="O1895" s="38">
        <v>0</v>
      </c>
      <c r="P1895" s="38">
        <v>0</v>
      </c>
    </row>
    <row r="1896" spans="1:31" x14ac:dyDescent="0.25">
      <c r="A1896" s="38" t="s">
        <v>36</v>
      </c>
      <c r="B1896" s="38" t="s">
        <v>3880</v>
      </c>
      <c r="C1896" s="38" t="s">
        <v>4070</v>
      </c>
      <c r="D1896" s="38" t="s">
        <v>4075</v>
      </c>
      <c r="E1896" s="38" t="s">
        <v>4076</v>
      </c>
      <c r="F1896" s="38">
        <v>404.88</v>
      </c>
      <c r="G1896" s="38">
        <v>404.88</v>
      </c>
      <c r="H1896" s="38">
        <f t="shared" si="91"/>
        <v>661</v>
      </c>
      <c r="I1896" s="38">
        <v>435</v>
      </c>
      <c r="J1896" s="38">
        <v>226</v>
      </c>
      <c r="K1896" s="38">
        <v>209</v>
      </c>
      <c r="L1896" s="50">
        <f t="shared" si="92"/>
        <v>31.61875945537065</v>
      </c>
      <c r="M1896" s="38">
        <v>84</v>
      </c>
      <c r="N1896" s="50">
        <f t="shared" si="93"/>
        <v>12.708018154311649</v>
      </c>
      <c r="O1896" s="38">
        <v>0</v>
      </c>
      <c r="P1896" s="38">
        <v>93.7</v>
      </c>
      <c r="Q1896" s="175" t="s">
        <v>44</v>
      </c>
      <c r="R1896" s="12">
        <v>44581</v>
      </c>
      <c r="S1896" s="176"/>
      <c r="T1896" s="236">
        <v>0</v>
      </c>
      <c r="U1896" s="175"/>
      <c r="V1896" s="175"/>
      <c r="W1896" s="175"/>
      <c r="X1896" s="175"/>
      <c r="Y1896" s="175"/>
      <c r="AB1896" s="240"/>
      <c r="AC1896" s="13" t="s">
        <v>4077</v>
      </c>
      <c r="AD1896" s="177"/>
      <c r="AE1896" s="176"/>
    </row>
    <row r="1897" spans="1:31" x14ac:dyDescent="0.25">
      <c r="A1897" s="38" t="s">
        <v>36</v>
      </c>
      <c r="B1897" s="38" t="s">
        <v>3880</v>
      </c>
      <c r="C1897" s="38" t="s">
        <v>4070</v>
      </c>
      <c r="D1897" s="38" t="s">
        <v>4078</v>
      </c>
      <c r="E1897" s="38" t="s">
        <v>4079</v>
      </c>
      <c r="F1897" s="38">
        <v>610.48</v>
      </c>
      <c r="G1897" s="38">
        <v>610.48</v>
      </c>
      <c r="H1897" s="38">
        <f t="shared" si="91"/>
        <v>1070</v>
      </c>
      <c r="I1897" s="38">
        <v>703</v>
      </c>
      <c r="J1897" s="38">
        <v>367</v>
      </c>
      <c r="K1897" s="38">
        <v>336</v>
      </c>
      <c r="L1897" s="50">
        <f t="shared" si="92"/>
        <v>31.401869158878505</v>
      </c>
      <c r="M1897" s="38">
        <v>71</v>
      </c>
      <c r="N1897" s="50">
        <f t="shared" si="93"/>
        <v>6.6355140186915893</v>
      </c>
      <c r="O1897" s="38">
        <v>0</v>
      </c>
      <c r="P1897" s="38">
        <v>0</v>
      </c>
    </row>
    <row r="1898" spans="1:31" x14ac:dyDescent="0.25">
      <c r="A1898" s="38" t="s">
        <v>36</v>
      </c>
      <c r="B1898" s="38" t="s">
        <v>3880</v>
      </c>
      <c r="C1898" s="38" t="s">
        <v>4080</v>
      </c>
      <c r="D1898" s="38" t="s">
        <v>4080</v>
      </c>
      <c r="E1898" s="38" t="s">
        <v>4081</v>
      </c>
      <c r="F1898" s="38">
        <v>512.65</v>
      </c>
      <c r="G1898" s="38">
        <v>512.65</v>
      </c>
      <c r="H1898" s="38">
        <f t="shared" si="91"/>
        <v>957</v>
      </c>
      <c r="I1898" s="38">
        <v>620</v>
      </c>
      <c r="J1898" s="38">
        <v>337</v>
      </c>
      <c r="K1898" s="38">
        <v>283</v>
      </c>
      <c r="L1898" s="50">
        <f t="shared" si="92"/>
        <v>29.571577847439919</v>
      </c>
      <c r="M1898" s="38">
        <v>0</v>
      </c>
      <c r="N1898" s="50">
        <f t="shared" si="93"/>
        <v>0</v>
      </c>
      <c r="O1898" s="38">
        <v>0</v>
      </c>
      <c r="P1898" s="38">
        <v>0</v>
      </c>
    </row>
    <row r="1899" spans="1:31" x14ac:dyDescent="0.25">
      <c r="A1899" s="38" t="s">
        <v>36</v>
      </c>
      <c r="B1899" s="38" t="s">
        <v>3880</v>
      </c>
      <c r="C1899" s="38" t="s">
        <v>4080</v>
      </c>
      <c r="D1899" s="38" t="s">
        <v>4082</v>
      </c>
      <c r="E1899" s="38" t="s">
        <v>4083</v>
      </c>
      <c r="F1899" s="38">
        <v>450.66</v>
      </c>
      <c r="G1899" s="38">
        <v>450.66</v>
      </c>
      <c r="H1899" s="38">
        <f t="shared" si="91"/>
        <v>1059</v>
      </c>
      <c r="I1899" s="38">
        <v>698</v>
      </c>
      <c r="J1899" s="38">
        <v>361</v>
      </c>
      <c r="K1899" s="38">
        <v>337</v>
      </c>
      <c r="L1899" s="50">
        <f t="shared" si="92"/>
        <v>31.822474032105756</v>
      </c>
      <c r="M1899" s="38">
        <v>0</v>
      </c>
      <c r="N1899" s="50">
        <f t="shared" si="93"/>
        <v>0</v>
      </c>
      <c r="O1899" s="38">
        <v>0</v>
      </c>
      <c r="P1899" s="38">
        <v>0</v>
      </c>
    </row>
    <row r="1900" spans="1:31" x14ac:dyDescent="0.25">
      <c r="A1900" s="38" t="s">
        <v>36</v>
      </c>
      <c r="B1900" s="38" t="s">
        <v>3880</v>
      </c>
      <c r="C1900" s="38" t="s">
        <v>4080</v>
      </c>
      <c r="D1900" s="38" t="s">
        <v>2071</v>
      </c>
      <c r="E1900" s="38" t="s">
        <v>4084</v>
      </c>
      <c r="F1900" s="38">
        <v>605.54999999999995</v>
      </c>
      <c r="G1900" s="38">
        <v>605.54999999999995</v>
      </c>
      <c r="H1900" s="38">
        <f t="shared" si="91"/>
        <v>1357</v>
      </c>
      <c r="I1900" s="38">
        <v>900</v>
      </c>
      <c r="J1900" s="38">
        <v>457</v>
      </c>
      <c r="K1900" s="38">
        <v>443</v>
      </c>
      <c r="L1900" s="50">
        <f t="shared" si="92"/>
        <v>32.645541635961678</v>
      </c>
      <c r="M1900" s="38">
        <v>10</v>
      </c>
      <c r="N1900" s="50">
        <f t="shared" si="93"/>
        <v>0.73691967575534267</v>
      </c>
      <c r="O1900" s="38">
        <v>0</v>
      </c>
      <c r="P1900" s="38">
        <v>20.41</v>
      </c>
      <c r="Q1900" s="96" t="s">
        <v>160</v>
      </c>
      <c r="R1900" s="14">
        <v>44587</v>
      </c>
      <c r="S1900" s="97"/>
      <c r="T1900" s="15">
        <v>20.190000000000001</v>
      </c>
      <c r="U1900" s="96"/>
      <c r="V1900" s="96"/>
      <c r="W1900" s="96"/>
      <c r="X1900" s="96"/>
      <c r="Y1900" s="96"/>
      <c r="AB1900" s="85"/>
      <c r="AC1900" s="15" t="s">
        <v>2071</v>
      </c>
      <c r="AD1900" s="36"/>
      <c r="AE1900" s="97"/>
    </row>
    <row r="1901" spans="1:31" x14ac:dyDescent="0.25">
      <c r="A1901" s="38" t="s">
        <v>36</v>
      </c>
      <c r="B1901" s="38" t="s">
        <v>3880</v>
      </c>
      <c r="C1901" s="38" t="s">
        <v>4080</v>
      </c>
      <c r="D1901" s="38" t="s">
        <v>4085</v>
      </c>
      <c r="E1901" s="38" t="s">
        <v>4086</v>
      </c>
      <c r="F1901" s="38">
        <v>556.4</v>
      </c>
      <c r="G1901" s="38">
        <v>556.4</v>
      </c>
      <c r="H1901" s="38">
        <f t="shared" si="91"/>
        <v>1230</v>
      </c>
      <c r="I1901" s="38">
        <v>814</v>
      </c>
      <c r="J1901" s="38">
        <v>416</v>
      </c>
      <c r="K1901" s="38">
        <v>398</v>
      </c>
      <c r="L1901" s="50">
        <f t="shared" si="92"/>
        <v>32.357723577235767</v>
      </c>
      <c r="M1901" s="38">
        <v>49</v>
      </c>
      <c r="N1901" s="50">
        <f t="shared" si="93"/>
        <v>3.9837398373983741</v>
      </c>
      <c r="O1901" s="38">
        <v>0</v>
      </c>
      <c r="P1901" s="38">
        <v>24.51</v>
      </c>
    </row>
    <row r="1902" spans="1:31" x14ac:dyDescent="0.25">
      <c r="A1902" s="38" t="s">
        <v>36</v>
      </c>
      <c r="B1902" s="38" t="s">
        <v>3880</v>
      </c>
      <c r="C1902" s="38" t="s">
        <v>4087</v>
      </c>
      <c r="D1902" s="38" t="s">
        <v>4088</v>
      </c>
      <c r="E1902" s="38" t="s">
        <v>4089</v>
      </c>
      <c r="F1902" s="38">
        <v>620.52</v>
      </c>
      <c r="G1902" s="38">
        <v>620.52</v>
      </c>
      <c r="H1902" s="38">
        <f t="shared" si="91"/>
        <v>1539</v>
      </c>
      <c r="I1902" s="38">
        <v>1029</v>
      </c>
      <c r="J1902" s="38">
        <v>510</v>
      </c>
      <c r="K1902" s="38">
        <v>519</v>
      </c>
      <c r="L1902" s="50">
        <f t="shared" si="92"/>
        <v>33.723196881091617</v>
      </c>
      <c r="M1902" s="38">
        <v>6</v>
      </c>
      <c r="N1902" s="50">
        <f t="shared" si="93"/>
        <v>0.38986354775828458</v>
      </c>
      <c r="O1902" s="38">
        <v>0</v>
      </c>
      <c r="P1902" s="38">
        <v>0</v>
      </c>
    </row>
    <row r="1903" spans="1:31" x14ac:dyDescent="0.25">
      <c r="A1903" s="38" t="s">
        <v>36</v>
      </c>
      <c r="B1903" s="38" t="s">
        <v>3880</v>
      </c>
      <c r="C1903" s="38" t="s">
        <v>4087</v>
      </c>
      <c r="D1903" s="38" t="s">
        <v>4090</v>
      </c>
      <c r="E1903" s="38" t="s">
        <v>4091</v>
      </c>
      <c r="F1903" s="38">
        <v>323.93</v>
      </c>
      <c r="G1903" s="38">
        <v>323.93</v>
      </c>
      <c r="H1903" s="38">
        <f t="shared" si="91"/>
        <v>527</v>
      </c>
      <c r="I1903" s="38">
        <v>350</v>
      </c>
      <c r="J1903" s="38">
        <v>177</v>
      </c>
      <c r="K1903" s="38">
        <v>173</v>
      </c>
      <c r="L1903" s="50">
        <f t="shared" si="92"/>
        <v>32.827324478178369</v>
      </c>
      <c r="M1903" s="38">
        <v>3</v>
      </c>
      <c r="N1903" s="50">
        <f t="shared" si="93"/>
        <v>0.56925996204933582</v>
      </c>
      <c r="O1903" s="38">
        <v>0</v>
      </c>
      <c r="P1903" s="38">
        <v>0</v>
      </c>
      <c r="Q1903" s="98" t="s">
        <v>160</v>
      </c>
      <c r="R1903" s="7">
        <v>44565</v>
      </c>
      <c r="S1903" s="99"/>
      <c r="T1903" s="11">
        <v>25</v>
      </c>
      <c r="U1903" s="98"/>
      <c r="V1903" s="98"/>
      <c r="W1903" s="98"/>
      <c r="X1903" s="98"/>
      <c r="Y1903" s="98"/>
      <c r="AB1903" s="20"/>
      <c r="AC1903" s="11" t="s">
        <v>4092</v>
      </c>
      <c r="AD1903" s="61"/>
      <c r="AE1903" s="99"/>
    </row>
    <row r="1904" spans="1:31" x14ac:dyDescent="0.25">
      <c r="A1904" s="38" t="s">
        <v>36</v>
      </c>
      <c r="B1904" s="38" t="s">
        <v>3880</v>
      </c>
      <c r="C1904" s="38" t="s">
        <v>4087</v>
      </c>
      <c r="D1904" s="38" t="s">
        <v>4093</v>
      </c>
      <c r="E1904" s="38" t="s">
        <v>4094</v>
      </c>
      <c r="F1904" s="38">
        <v>675.06</v>
      </c>
      <c r="G1904" s="38">
        <v>675.06</v>
      </c>
      <c r="H1904" s="38">
        <f t="shared" si="91"/>
        <v>929</v>
      </c>
      <c r="I1904" s="38">
        <v>620</v>
      </c>
      <c r="J1904" s="38">
        <v>309</v>
      </c>
      <c r="K1904" s="38">
        <v>311</v>
      </c>
      <c r="L1904" s="50">
        <f t="shared" si="92"/>
        <v>33.476856835306783</v>
      </c>
      <c r="M1904" s="38">
        <v>0</v>
      </c>
      <c r="N1904" s="50">
        <f t="shared" si="93"/>
        <v>0</v>
      </c>
      <c r="O1904" s="38">
        <v>0</v>
      </c>
      <c r="P1904" s="38">
        <v>0</v>
      </c>
    </row>
    <row r="1905" spans="1:31" x14ac:dyDescent="0.25">
      <c r="A1905" s="38" t="s">
        <v>36</v>
      </c>
      <c r="B1905" s="38" t="s">
        <v>3880</v>
      </c>
      <c r="C1905" s="38" t="s">
        <v>4087</v>
      </c>
      <c r="D1905" s="38" t="s">
        <v>4095</v>
      </c>
      <c r="E1905" s="38" t="s">
        <v>4096</v>
      </c>
      <c r="F1905" s="38">
        <v>36</v>
      </c>
      <c r="G1905" s="38">
        <v>36</v>
      </c>
      <c r="H1905" s="38">
        <f t="shared" si="91"/>
        <v>299</v>
      </c>
      <c r="I1905" s="38">
        <v>189</v>
      </c>
      <c r="J1905" s="38">
        <v>110</v>
      </c>
      <c r="K1905" s="38">
        <v>79</v>
      </c>
      <c r="L1905" s="50">
        <f t="shared" si="92"/>
        <v>26.421404682274247</v>
      </c>
      <c r="M1905" s="38">
        <v>0</v>
      </c>
      <c r="N1905" s="50">
        <f t="shared" si="93"/>
        <v>0</v>
      </c>
      <c r="O1905" s="38">
        <v>0</v>
      </c>
      <c r="P1905" s="38">
        <v>0</v>
      </c>
    </row>
    <row r="1906" spans="1:31" x14ac:dyDescent="0.25">
      <c r="A1906" s="38" t="s">
        <v>36</v>
      </c>
      <c r="B1906" s="38" t="s">
        <v>3880</v>
      </c>
      <c r="C1906" s="38" t="s">
        <v>4097</v>
      </c>
      <c r="D1906" s="38" t="s">
        <v>1970</v>
      </c>
      <c r="E1906" s="38" t="s">
        <v>4098</v>
      </c>
      <c r="F1906" s="38">
        <v>501</v>
      </c>
      <c r="G1906" s="38">
        <v>501</v>
      </c>
      <c r="H1906" s="38">
        <f t="shared" si="91"/>
        <v>1074</v>
      </c>
      <c r="I1906" s="38">
        <v>710</v>
      </c>
      <c r="J1906" s="38">
        <v>364</v>
      </c>
      <c r="K1906" s="38">
        <v>346</v>
      </c>
      <c r="L1906" s="50">
        <f t="shared" si="92"/>
        <v>32.216014897579143</v>
      </c>
      <c r="M1906" s="38">
        <v>122</v>
      </c>
      <c r="N1906" s="50">
        <f t="shared" si="93"/>
        <v>11.359404096834265</v>
      </c>
      <c r="O1906" s="38">
        <v>0</v>
      </c>
      <c r="P1906" s="38">
        <v>4</v>
      </c>
      <c r="Q1906" s="96" t="s">
        <v>160</v>
      </c>
      <c r="R1906" s="14">
        <v>44544</v>
      </c>
      <c r="S1906" s="97"/>
      <c r="T1906" s="15">
        <v>1</v>
      </c>
      <c r="U1906" s="96"/>
      <c r="V1906" s="96"/>
      <c r="W1906" s="96"/>
      <c r="X1906" s="96"/>
      <c r="Y1906" s="96"/>
      <c r="AB1906" s="85"/>
      <c r="AC1906" s="15" t="s">
        <v>1970</v>
      </c>
      <c r="AD1906" s="36"/>
      <c r="AE1906" s="97"/>
    </row>
    <row r="1907" spans="1:31" x14ac:dyDescent="0.25">
      <c r="A1907" s="38" t="s">
        <v>36</v>
      </c>
      <c r="B1907" s="38" t="s">
        <v>3880</v>
      </c>
      <c r="C1907" s="38" t="s">
        <v>4097</v>
      </c>
      <c r="D1907" s="38" t="s">
        <v>4099</v>
      </c>
      <c r="E1907" s="38" t="s">
        <v>4100</v>
      </c>
      <c r="F1907" s="38">
        <v>344</v>
      </c>
      <c r="G1907" s="38">
        <v>344</v>
      </c>
      <c r="H1907" s="38">
        <f t="shared" si="91"/>
        <v>613</v>
      </c>
      <c r="I1907" s="38">
        <v>407</v>
      </c>
      <c r="J1907" s="38">
        <v>206</v>
      </c>
      <c r="K1907" s="38">
        <v>201</v>
      </c>
      <c r="L1907" s="50">
        <f t="shared" si="92"/>
        <v>32.78955954323002</v>
      </c>
      <c r="M1907" s="38">
        <v>30</v>
      </c>
      <c r="N1907" s="50">
        <f t="shared" si="93"/>
        <v>4.8939641109298533</v>
      </c>
      <c r="O1907" s="38">
        <v>0</v>
      </c>
      <c r="P1907" s="38">
        <v>5</v>
      </c>
      <c r="Q1907" s="96" t="s">
        <v>160</v>
      </c>
      <c r="R1907" s="14">
        <v>44544</v>
      </c>
      <c r="S1907" s="97"/>
      <c r="T1907" s="15">
        <v>1.6</v>
      </c>
      <c r="U1907" s="96"/>
      <c r="V1907" s="96"/>
      <c r="W1907" s="96"/>
      <c r="X1907" s="96"/>
      <c r="Y1907" s="96"/>
      <c r="AB1907" s="85"/>
      <c r="AC1907" s="15" t="s">
        <v>2004</v>
      </c>
      <c r="AD1907" s="36"/>
      <c r="AE1907" s="97"/>
    </row>
    <row r="1908" spans="1:31" x14ac:dyDescent="0.25">
      <c r="A1908" s="38" t="s">
        <v>36</v>
      </c>
      <c r="B1908" s="38" t="s">
        <v>3880</v>
      </c>
      <c r="C1908" s="38" t="s">
        <v>4097</v>
      </c>
      <c r="D1908" s="38" t="s">
        <v>4101</v>
      </c>
      <c r="E1908" s="38" t="s">
        <v>4102</v>
      </c>
      <c r="F1908" s="38">
        <v>935</v>
      </c>
      <c r="G1908" s="38">
        <v>935</v>
      </c>
      <c r="H1908" s="38">
        <f t="shared" si="91"/>
        <v>3374</v>
      </c>
      <c r="I1908" s="38">
        <v>2225</v>
      </c>
      <c r="J1908" s="38">
        <v>1149</v>
      </c>
      <c r="K1908" s="38">
        <v>1076</v>
      </c>
      <c r="L1908" s="50">
        <f t="shared" si="92"/>
        <v>31.890930646117365</v>
      </c>
      <c r="M1908" s="38">
        <v>291</v>
      </c>
      <c r="N1908" s="50">
        <f t="shared" si="93"/>
        <v>8.6247777119146409</v>
      </c>
      <c r="O1908" s="38">
        <v>0</v>
      </c>
      <c r="P1908" s="38">
        <v>0</v>
      </c>
    </row>
    <row r="1909" spans="1:31" x14ac:dyDescent="0.25">
      <c r="A1909" s="38" t="s">
        <v>36</v>
      </c>
      <c r="B1909" s="38" t="s">
        <v>3880</v>
      </c>
      <c r="C1909" s="38" t="s">
        <v>4097</v>
      </c>
      <c r="D1909" s="38" t="s">
        <v>1156</v>
      </c>
      <c r="E1909" s="38" t="s">
        <v>4103</v>
      </c>
      <c r="F1909" s="38">
        <v>1091</v>
      </c>
      <c r="G1909" s="38">
        <v>1091</v>
      </c>
      <c r="H1909" s="38">
        <f t="shared" si="91"/>
        <v>1730</v>
      </c>
      <c r="I1909" s="38">
        <v>1134</v>
      </c>
      <c r="J1909" s="38">
        <v>596</v>
      </c>
      <c r="K1909" s="38">
        <v>538</v>
      </c>
      <c r="L1909" s="50">
        <f t="shared" si="92"/>
        <v>31.098265895953759</v>
      </c>
      <c r="M1909" s="38">
        <v>147</v>
      </c>
      <c r="N1909" s="50">
        <f t="shared" si="93"/>
        <v>8.497109826589595</v>
      </c>
      <c r="O1909" s="38">
        <v>0</v>
      </c>
      <c r="P1909" s="38">
        <v>0</v>
      </c>
    </row>
    <row r="1910" spans="1:31" x14ac:dyDescent="0.25">
      <c r="A1910" s="38" t="s">
        <v>36</v>
      </c>
      <c r="B1910" s="38" t="s">
        <v>3880</v>
      </c>
      <c r="C1910" s="38" t="s">
        <v>4097</v>
      </c>
      <c r="D1910" s="38" t="s">
        <v>4104</v>
      </c>
      <c r="E1910" s="38" t="s">
        <v>4105</v>
      </c>
      <c r="F1910" s="38">
        <v>690</v>
      </c>
      <c r="G1910" s="38">
        <v>690</v>
      </c>
      <c r="H1910" s="38">
        <f t="shared" si="91"/>
        <v>0</v>
      </c>
      <c r="I1910" s="38"/>
      <c r="J1910" s="38"/>
      <c r="K1910" s="38"/>
      <c r="L1910" s="50"/>
      <c r="M1910" s="38"/>
      <c r="N1910" s="50"/>
      <c r="O1910" s="38">
        <v>0</v>
      </c>
      <c r="P1910" s="38">
        <v>49</v>
      </c>
      <c r="Q1910" s="158" t="s">
        <v>44</v>
      </c>
      <c r="R1910" s="159">
        <v>44544</v>
      </c>
      <c r="S1910" s="160"/>
      <c r="T1910" s="234">
        <v>0</v>
      </c>
      <c r="U1910" s="158"/>
      <c r="V1910" s="158"/>
      <c r="W1910" s="158"/>
      <c r="X1910" s="158"/>
      <c r="Y1910" s="158"/>
      <c r="AB1910" s="16"/>
      <c r="AC1910" s="163" t="s">
        <v>4106</v>
      </c>
      <c r="AD1910" s="161"/>
      <c r="AE1910" s="160"/>
    </row>
    <row r="1911" spans="1:31" x14ac:dyDescent="0.25">
      <c r="A1911" s="38" t="s">
        <v>36</v>
      </c>
      <c r="B1911" s="38" t="s">
        <v>3880</v>
      </c>
      <c r="C1911" s="38" t="s">
        <v>2067</v>
      </c>
      <c r="D1911" s="38" t="s">
        <v>2067</v>
      </c>
      <c r="E1911" s="38" t="s">
        <v>4107</v>
      </c>
      <c r="F1911" s="38">
        <v>783.36</v>
      </c>
      <c r="G1911" s="38">
        <v>783.36</v>
      </c>
      <c r="H1911" s="38">
        <f t="shared" si="91"/>
        <v>2279</v>
      </c>
      <c r="I1911" s="38">
        <v>1521</v>
      </c>
      <c r="J1911" s="38">
        <v>758</v>
      </c>
      <c r="K1911" s="38">
        <v>763</v>
      </c>
      <c r="L1911" s="50">
        <f t="shared" si="92"/>
        <v>33.479596314172881</v>
      </c>
      <c r="M1911" s="38">
        <v>44</v>
      </c>
      <c r="N1911" s="50">
        <f t="shared" si="93"/>
        <v>1.9306713470820536</v>
      </c>
      <c r="O1911" s="38">
        <v>0</v>
      </c>
      <c r="P1911" s="38">
        <v>1.97</v>
      </c>
      <c r="Q1911" s="127" t="s">
        <v>160</v>
      </c>
      <c r="R1911" s="128">
        <v>44586</v>
      </c>
      <c r="S1911" s="129"/>
      <c r="T1911" s="131">
        <v>18.14</v>
      </c>
      <c r="U1911" s="127"/>
      <c r="V1911" s="127"/>
      <c r="W1911" s="127"/>
      <c r="X1911" s="127"/>
      <c r="Y1911" s="127"/>
      <c r="AB1911" s="130"/>
      <c r="AC1911" s="131" t="s">
        <v>2067</v>
      </c>
      <c r="AD1911" s="132"/>
      <c r="AE1911" s="129"/>
    </row>
    <row r="1912" spans="1:31" x14ac:dyDescent="0.25">
      <c r="A1912" s="38" t="s">
        <v>36</v>
      </c>
      <c r="B1912" s="38" t="s">
        <v>3880</v>
      </c>
      <c r="C1912" s="38" t="s">
        <v>2067</v>
      </c>
      <c r="D1912" s="38" t="s">
        <v>4108</v>
      </c>
      <c r="E1912" s="38" t="s">
        <v>4109</v>
      </c>
      <c r="F1912" s="38">
        <v>504.77</v>
      </c>
      <c r="G1912" s="38">
        <v>504.77</v>
      </c>
      <c r="H1912" s="38">
        <f t="shared" si="91"/>
        <v>957</v>
      </c>
      <c r="I1912" s="38">
        <v>625</v>
      </c>
      <c r="J1912" s="38">
        <v>332</v>
      </c>
      <c r="K1912" s="38">
        <v>293</v>
      </c>
      <c r="L1912" s="50">
        <f t="shared" si="92"/>
        <v>30.616509926854757</v>
      </c>
      <c r="M1912" s="38">
        <v>4</v>
      </c>
      <c r="N1912" s="50">
        <f t="shared" si="93"/>
        <v>0.41797283176593525</v>
      </c>
      <c r="O1912" s="38">
        <v>0</v>
      </c>
      <c r="P1912" s="38">
        <v>8.52</v>
      </c>
      <c r="Q1912" s="35" t="s">
        <v>43</v>
      </c>
      <c r="R1912" s="100">
        <v>44566</v>
      </c>
      <c r="S1912" s="35"/>
      <c r="T1912" s="35">
        <v>9</v>
      </c>
      <c r="U1912" s="35"/>
      <c r="V1912" s="35"/>
      <c r="W1912" s="35"/>
      <c r="X1912" s="35"/>
      <c r="Y1912" s="35"/>
      <c r="AB1912" s="94"/>
      <c r="AC1912" s="35" t="s">
        <v>4110</v>
      </c>
      <c r="AD1912" s="35">
        <v>25.08315</v>
      </c>
      <c r="AE1912" s="35">
        <v>71.658762999999993</v>
      </c>
    </row>
    <row r="1913" spans="1:31" x14ac:dyDescent="0.25">
      <c r="A1913" s="38" t="s">
        <v>36</v>
      </c>
      <c r="B1913" s="38" t="s">
        <v>3880</v>
      </c>
      <c r="C1913" s="38" t="s">
        <v>4111</v>
      </c>
      <c r="D1913" s="38" t="s">
        <v>4111</v>
      </c>
      <c r="E1913" s="38" t="s">
        <v>4112</v>
      </c>
      <c r="F1913" s="38">
        <v>816.97</v>
      </c>
      <c r="G1913" s="38">
        <v>816.97</v>
      </c>
      <c r="H1913" s="38">
        <f t="shared" si="91"/>
        <v>1498</v>
      </c>
      <c r="I1913" s="38">
        <v>985</v>
      </c>
      <c r="J1913" s="38">
        <v>513</v>
      </c>
      <c r="K1913" s="38">
        <v>472</v>
      </c>
      <c r="L1913" s="50">
        <f t="shared" si="92"/>
        <v>31.508678237650201</v>
      </c>
      <c r="M1913" s="38">
        <v>56</v>
      </c>
      <c r="N1913" s="50">
        <f t="shared" si="93"/>
        <v>3.7383177570093453</v>
      </c>
      <c r="O1913" s="38">
        <v>0</v>
      </c>
      <c r="P1913" s="38">
        <v>1.1000000000000001</v>
      </c>
      <c r="Q1913" s="96" t="s">
        <v>160</v>
      </c>
      <c r="R1913" s="14">
        <v>44580</v>
      </c>
      <c r="S1913" s="97"/>
      <c r="T1913" s="15">
        <v>0.64</v>
      </c>
      <c r="U1913" s="96"/>
      <c r="V1913" s="96"/>
      <c r="W1913" s="96"/>
      <c r="X1913" s="96"/>
      <c r="Y1913" s="96"/>
      <c r="AB1913" s="85"/>
      <c r="AC1913" s="15" t="s">
        <v>2005</v>
      </c>
      <c r="AD1913" s="36"/>
      <c r="AE1913" s="97"/>
    </row>
    <row r="1914" spans="1:31" x14ac:dyDescent="0.25">
      <c r="A1914" s="38" t="s">
        <v>36</v>
      </c>
      <c r="B1914" s="38" t="s">
        <v>3880</v>
      </c>
      <c r="C1914" s="38" t="s">
        <v>4111</v>
      </c>
      <c r="D1914" s="38" t="s">
        <v>4113</v>
      </c>
      <c r="E1914" s="38" t="s">
        <v>4114</v>
      </c>
      <c r="F1914" s="38">
        <v>200.63</v>
      </c>
      <c r="G1914" s="38">
        <v>200.63</v>
      </c>
      <c r="H1914" s="38">
        <f t="shared" si="91"/>
        <v>544</v>
      </c>
      <c r="I1914" s="38">
        <v>359</v>
      </c>
      <c r="J1914" s="38">
        <v>185</v>
      </c>
      <c r="K1914" s="38">
        <v>174</v>
      </c>
      <c r="L1914" s="50">
        <f t="shared" si="92"/>
        <v>31.985294117647058</v>
      </c>
      <c r="M1914" s="38">
        <v>0</v>
      </c>
      <c r="N1914" s="50">
        <f t="shared" si="93"/>
        <v>0</v>
      </c>
      <c r="O1914" s="38">
        <v>0</v>
      </c>
      <c r="P1914" s="38">
        <v>0</v>
      </c>
    </row>
    <row r="1915" spans="1:31" x14ac:dyDescent="0.25">
      <c r="A1915" s="38" t="s">
        <v>36</v>
      </c>
      <c r="B1915" s="38" t="s">
        <v>3880</v>
      </c>
      <c r="C1915" s="38" t="s">
        <v>4111</v>
      </c>
      <c r="D1915" s="38" t="s">
        <v>4115</v>
      </c>
      <c r="E1915" s="38" t="s">
        <v>4116</v>
      </c>
      <c r="F1915" s="38">
        <v>537.34</v>
      </c>
      <c r="G1915" s="38">
        <v>537.34</v>
      </c>
      <c r="H1915" s="38">
        <f t="shared" si="91"/>
        <v>488</v>
      </c>
      <c r="I1915" s="38">
        <v>324</v>
      </c>
      <c r="J1915" s="38">
        <v>164</v>
      </c>
      <c r="K1915" s="38">
        <v>160</v>
      </c>
      <c r="L1915" s="50">
        <f t="shared" si="92"/>
        <v>32.786885245901637</v>
      </c>
      <c r="M1915" s="38">
        <v>27</v>
      </c>
      <c r="N1915" s="50">
        <f t="shared" si="93"/>
        <v>5.5327868852459012</v>
      </c>
      <c r="O1915" s="38">
        <v>0</v>
      </c>
      <c r="P1915" s="38">
        <v>54.79</v>
      </c>
      <c r="Q1915" s="96" t="s">
        <v>160</v>
      </c>
      <c r="R1915" s="14">
        <v>44580</v>
      </c>
      <c r="S1915" s="97"/>
      <c r="T1915" s="15">
        <v>0.16</v>
      </c>
      <c r="U1915" s="96"/>
      <c r="V1915" s="96"/>
      <c r="W1915" s="96"/>
      <c r="X1915" s="96"/>
      <c r="Y1915" s="96"/>
      <c r="AB1915" s="85"/>
      <c r="AC1915" s="15" t="s">
        <v>2006</v>
      </c>
      <c r="AD1915" s="36"/>
      <c r="AE1915" s="97"/>
    </row>
    <row r="1916" spans="1:31" x14ac:dyDescent="0.25">
      <c r="A1916" s="38" t="s">
        <v>36</v>
      </c>
      <c r="B1916" s="38" t="s">
        <v>3880</v>
      </c>
      <c r="C1916" s="38" t="s">
        <v>4117</v>
      </c>
      <c r="D1916" s="38" t="s">
        <v>4117</v>
      </c>
      <c r="E1916" s="38" t="s">
        <v>4118</v>
      </c>
      <c r="F1916" s="38">
        <v>799.21</v>
      </c>
      <c r="G1916" s="38">
        <v>799.21</v>
      </c>
      <c r="H1916" s="38">
        <f t="shared" si="91"/>
        <v>2277</v>
      </c>
      <c r="I1916" s="38">
        <v>1488</v>
      </c>
      <c r="J1916" s="38">
        <v>789</v>
      </c>
      <c r="K1916" s="38">
        <v>699</v>
      </c>
      <c r="L1916" s="50">
        <f t="shared" si="92"/>
        <v>30.698287220026348</v>
      </c>
      <c r="M1916" s="38">
        <v>440</v>
      </c>
      <c r="N1916" s="50">
        <f t="shared" si="93"/>
        <v>19.323671497584542</v>
      </c>
      <c r="O1916" s="38">
        <v>0</v>
      </c>
      <c r="P1916" s="38">
        <v>5.34</v>
      </c>
      <c r="Q1916" s="96" t="s">
        <v>160</v>
      </c>
      <c r="R1916" s="14">
        <v>44582</v>
      </c>
      <c r="S1916" s="97"/>
      <c r="T1916" s="15">
        <v>20</v>
      </c>
      <c r="U1916" s="96"/>
      <c r="V1916" s="96"/>
      <c r="W1916" s="96"/>
      <c r="X1916" s="96"/>
      <c r="Y1916" s="96"/>
      <c r="AB1916" s="85"/>
      <c r="AC1916" s="15" t="s">
        <v>2073</v>
      </c>
      <c r="AD1916" s="36"/>
      <c r="AE1916" s="97"/>
    </row>
    <row r="1917" spans="1:31" x14ac:dyDescent="0.25">
      <c r="A1917" s="38" t="s">
        <v>36</v>
      </c>
      <c r="B1917" s="38" t="s">
        <v>3880</v>
      </c>
      <c r="C1917" s="38" t="s">
        <v>4117</v>
      </c>
      <c r="D1917" s="38" t="s">
        <v>4119</v>
      </c>
      <c r="E1917" s="38" t="s">
        <v>4120</v>
      </c>
      <c r="F1917" s="38">
        <v>1378.44</v>
      </c>
      <c r="G1917" s="38">
        <v>1378.44</v>
      </c>
      <c r="H1917" s="38">
        <f t="shared" si="91"/>
        <v>2694</v>
      </c>
      <c r="I1917" s="38">
        <v>1772</v>
      </c>
      <c r="J1917" s="38">
        <v>922</v>
      </c>
      <c r="K1917" s="38">
        <v>850</v>
      </c>
      <c r="L1917" s="50">
        <f t="shared" si="92"/>
        <v>31.551596139569416</v>
      </c>
      <c r="M1917" s="38">
        <v>56</v>
      </c>
      <c r="N1917" s="50">
        <f t="shared" si="93"/>
        <v>2.0786933927245732</v>
      </c>
      <c r="O1917" s="38">
        <v>0</v>
      </c>
      <c r="P1917" s="38">
        <v>0</v>
      </c>
    </row>
    <row r="1918" spans="1:31" x14ac:dyDescent="0.25">
      <c r="A1918" s="38" t="s">
        <v>36</v>
      </c>
      <c r="B1918" s="38" t="s">
        <v>3880</v>
      </c>
      <c r="C1918" s="38" t="s">
        <v>4121</v>
      </c>
      <c r="D1918" s="38" t="s">
        <v>4122</v>
      </c>
      <c r="E1918" s="38" t="s">
        <v>4123</v>
      </c>
      <c r="F1918" s="38">
        <v>701.17</v>
      </c>
      <c r="G1918" s="38">
        <v>701.17</v>
      </c>
      <c r="H1918" s="38">
        <f t="shared" si="91"/>
        <v>2187</v>
      </c>
      <c r="I1918" s="38">
        <v>1431</v>
      </c>
      <c r="J1918" s="38">
        <v>756</v>
      </c>
      <c r="K1918" s="38">
        <v>675</v>
      </c>
      <c r="L1918" s="50">
        <f t="shared" si="92"/>
        <v>30.864197530864196</v>
      </c>
      <c r="M1918" s="38">
        <v>67</v>
      </c>
      <c r="N1918" s="50">
        <f t="shared" si="93"/>
        <v>3.0635573845450388</v>
      </c>
      <c r="O1918" s="38">
        <v>0</v>
      </c>
      <c r="P1918" s="38">
        <v>40.51</v>
      </c>
      <c r="Q1918" s="35" t="s">
        <v>43</v>
      </c>
      <c r="R1918" s="100">
        <v>44567</v>
      </c>
      <c r="S1918" s="35"/>
      <c r="T1918" s="35">
        <v>41</v>
      </c>
      <c r="U1918" s="35"/>
      <c r="V1918" s="35"/>
      <c r="W1918" s="35"/>
      <c r="X1918" s="35"/>
      <c r="Y1918" s="35"/>
      <c r="AB1918" s="87">
        <v>8</v>
      </c>
      <c r="AC1918" s="35" t="s">
        <v>4124</v>
      </c>
      <c r="AD1918" s="35">
        <v>25.141344</v>
      </c>
      <c r="AE1918" s="35">
        <v>71.776889999999995</v>
      </c>
    </row>
    <row r="1919" spans="1:31" x14ac:dyDescent="0.25">
      <c r="A1919" s="38" t="s">
        <v>36</v>
      </c>
      <c r="B1919" s="38" t="s">
        <v>3880</v>
      </c>
      <c r="C1919" s="38" t="s">
        <v>4121</v>
      </c>
      <c r="D1919" s="38" t="s">
        <v>4122</v>
      </c>
      <c r="E1919" s="38"/>
      <c r="F1919" s="38"/>
      <c r="G1919" s="38"/>
      <c r="H1919" s="38">
        <f t="shared" si="91"/>
        <v>0</v>
      </c>
      <c r="I1919" s="38"/>
      <c r="J1919" s="38"/>
      <c r="K1919" s="38"/>
      <c r="L1919" s="50"/>
      <c r="M1919" s="38"/>
      <c r="N1919" s="50"/>
      <c r="O1919" s="38"/>
      <c r="P1919" s="38"/>
      <c r="Q1919" s="173"/>
      <c r="R1919" s="174">
        <v>44567</v>
      </c>
      <c r="S1919" s="173"/>
      <c r="T1919" s="234"/>
      <c r="U1919" s="173"/>
      <c r="V1919" s="173"/>
      <c r="W1919" s="173"/>
      <c r="X1919" s="173"/>
      <c r="Y1919" s="173"/>
      <c r="AB1919" s="239">
        <v>10</v>
      </c>
      <c r="AC1919" s="173" t="s">
        <v>4125</v>
      </c>
      <c r="AD1919" s="173">
        <v>25.124609</v>
      </c>
      <c r="AE1919" s="173">
        <v>71.768488000000005</v>
      </c>
    </row>
    <row r="1920" spans="1:31" x14ac:dyDescent="0.25">
      <c r="A1920" s="38" t="s">
        <v>36</v>
      </c>
      <c r="B1920" s="38" t="s">
        <v>3880</v>
      </c>
      <c r="C1920" s="38" t="s">
        <v>4121</v>
      </c>
      <c r="D1920" s="38" t="s">
        <v>4126</v>
      </c>
      <c r="E1920" s="38" t="s">
        <v>4127</v>
      </c>
      <c r="F1920" s="38">
        <v>679.06</v>
      </c>
      <c r="G1920" s="38">
        <v>679.06</v>
      </c>
      <c r="H1920" s="38">
        <f t="shared" si="91"/>
        <v>440</v>
      </c>
      <c r="I1920" s="38">
        <v>288</v>
      </c>
      <c r="J1920" s="38">
        <v>152</v>
      </c>
      <c r="K1920" s="38">
        <v>136</v>
      </c>
      <c r="L1920" s="50">
        <f t="shared" si="92"/>
        <v>30.909090909090907</v>
      </c>
      <c r="M1920" s="38">
        <v>10</v>
      </c>
      <c r="N1920" s="50">
        <f t="shared" si="93"/>
        <v>2.2727272727272729</v>
      </c>
      <c r="O1920" s="38">
        <v>0</v>
      </c>
      <c r="P1920" s="38">
        <v>40.18</v>
      </c>
      <c r="Q1920" s="96" t="s">
        <v>160</v>
      </c>
      <c r="R1920" s="14">
        <v>44567</v>
      </c>
      <c r="S1920" s="97"/>
      <c r="T1920" s="15">
        <v>21.6</v>
      </c>
      <c r="U1920" s="96"/>
      <c r="V1920" s="96"/>
      <c r="W1920" s="96"/>
      <c r="X1920" s="96"/>
      <c r="Y1920" s="96"/>
      <c r="AB1920" s="85"/>
      <c r="AC1920" s="15" t="s">
        <v>4128</v>
      </c>
      <c r="AD1920" s="36"/>
      <c r="AE1920" s="97"/>
    </row>
    <row r="1921" spans="1:31" x14ac:dyDescent="0.25">
      <c r="A1921" s="38" t="s">
        <v>36</v>
      </c>
      <c r="B1921" s="38" t="s">
        <v>3880</v>
      </c>
      <c r="C1921" s="38" t="s">
        <v>4121</v>
      </c>
      <c r="D1921" s="38" t="s">
        <v>4129</v>
      </c>
      <c r="E1921" s="38" t="s">
        <v>4130</v>
      </c>
      <c r="F1921" s="38">
        <v>552.86</v>
      </c>
      <c r="G1921" s="38">
        <v>552.86</v>
      </c>
      <c r="H1921" s="38">
        <f t="shared" si="91"/>
        <v>1113</v>
      </c>
      <c r="I1921" s="38">
        <v>729</v>
      </c>
      <c r="J1921" s="38">
        <v>384</v>
      </c>
      <c r="K1921" s="38">
        <v>345</v>
      </c>
      <c r="L1921" s="50">
        <f t="shared" si="92"/>
        <v>30.997304582210244</v>
      </c>
      <c r="M1921" s="38">
        <v>82</v>
      </c>
      <c r="N1921" s="50">
        <f t="shared" si="93"/>
        <v>7.3674752920035935</v>
      </c>
      <c r="O1921" s="38">
        <v>0</v>
      </c>
      <c r="P1921" s="38">
        <v>51.23</v>
      </c>
      <c r="Q1921" s="96" t="s">
        <v>160</v>
      </c>
      <c r="R1921" s="14">
        <v>44567</v>
      </c>
      <c r="S1921" s="97"/>
      <c r="T1921" s="15">
        <v>30.72</v>
      </c>
      <c r="U1921" s="96"/>
      <c r="V1921" s="96"/>
      <c r="W1921" s="96"/>
      <c r="X1921" s="96"/>
      <c r="Y1921" s="96"/>
      <c r="AB1921" s="85"/>
      <c r="AC1921" s="15" t="s">
        <v>4131</v>
      </c>
      <c r="AD1921" s="36"/>
      <c r="AE1921" s="97"/>
    </row>
    <row r="1922" spans="1:31" x14ac:dyDescent="0.25">
      <c r="A1922" s="38" t="s">
        <v>36</v>
      </c>
      <c r="B1922" s="38" t="s">
        <v>3880</v>
      </c>
      <c r="C1922" s="38" t="s">
        <v>4121</v>
      </c>
      <c r="D1922" s="38" t="s">
        <v>4132</v>
      </c>
      <c r="E1922" s="38" t="s">
        <v>4133</v>
      </c>
      <c r="F1922" s="38">
        <v>446.77</v>
      </c>
      <c r="G1922" s="38">
        <v>446.77</v>
      </c>
      <c r="H1922" s="38">
        <f t="shared" si="91"/>
        <v>692</v>
      </c>
      <c r="I1922" s="38">
        <v>454</v>
      </c>
      <c r="J1922" s="38">
        <v>238</v>
      </c>
      <c r="K1922" s="38">
        <v>216</v>
      </c>
      <c r="L1922" s="50">
        <f t="shared" si="92"/>
        <v>31.213872832369944</v>
      </c>
      <c r="M1922" s="38">
        <v>4</v>
      </c>
      <c r="N1922" s="50">
        <f t="shared" si="93"/>
        <v>0.57803468208092479</v>
      </c>
      <c r="O1922" s="38">
        <v>0</v>
      </c>
      <c r="P1922" s="38">
        <v>5.07</v>
      </c>
      <c r="Q1922" s="96" t="s">
        <v>160</v>
      </c>
      <c r="R1922" s="14">
        <v>44567</v>
      </c>
      <c r="S1922" s="97"/>
      <c r="T1922" s="15">
        <v>4.8</v>
      </c>
      <c r="U1922" s="96"/>
      <c r="V1922" s="96"/>
      <c r="W1922" s="96"/>
      <c r="X1922" s="96"/>
      <c r="Y1922" s="96"/>
      <c r="AB1922" s="85"/>
      <c r="AC1922" s="15" t="s">
        <v>2009</v>
      </c>
      <c r="AD1922" s="36"/>
      <c r="AE1922" s="97"/>
    </row>
    <row r="1923" spans="1:31" x14ac:dyDescent="0.25">
      <c r="A1923" s="38" t="s">
        <v>36</v>
      </c>
      <c r="B1923" s="38" t="s">
        <v>3880</v>
      </c>
      <c r="C1923" s="38" t="s">
        <v>4121</v>
      </c>
      <c r="D1923" s="38" t="s">
        <v>4134</v>
      </c>
      <c r="E1923" s="38" t="s">
        <v>4135</v>
      </c>
      <c r="F1923" s="38">
        <v>183.55</v>
      </c>
      <c r="G1923" s="38">
        <v>183.55</v>
      </c>
      <c r="H1923" s="38">
        <f t="shared" si="91"/>
        <v>691</v>
      </c>
      <c r="I1923" s="38">
        <v>460</v>
      </c>
      <c r="J1923" s="38">
        <v>231</v>
      </c>
      <c r="K1923" s="38">
        <v>229</v>
      </c>
      <c r="L1923" s="50">
        <f t="shared" si="92"/>
        <v>33.140376266280754</v>
      </c>
      <c r="M1923" s="38">
        <v>0</v>
      </c>
      <c r="N1923" s="50">
        <f t="shared" si="93"/>
        <v>0</v>
      </c>
      <c r="O1923" s="38">
        <v>0</v>
      </c>
      <c r="P1923" s="38">
        <v>16.579999999999998</v>
      </c>
      <c r="Q1923" s="96" t="s">
        <v>160</v>
      </c>
      <c r="R1923" s="14">
        <v>44567</v>
      </c>
      <c r="S1923" s="97"/>
      <c r="T1923" s="15">
        <v>18.239999999999998</v>
      </c>
      <c r="U1923" s="96"/>
      <c r="V1923" s="96"/>
      <c r="W1923" s="96"/>
      <c r="X1923" s="96"/>
      <c r="Y1923" s="96"/>
      <c r="AB1923" s="85"/>
      <c r="AC1923" s="15" t="s">
        <v>2075</v>
      </c>
      <c r="AD1923" s="36"/>
      <c r="AE1923" s="97"/>
    </row>
    <row r="1924" spans="1:31" x14ac:dyDescent="0.25">
      <c r="A1924" s="38" t="s">
        <v>36</v>
      </c>
      <c r="B1924" s="38" t="s">
        <v>3880</v>
      </c>
      <c r="C1924" s="38" t="s">
        <v>4121</v>
      </c>
      <c r="D1924" s="38" t="s">
        <v>986</v>
      </c>
      <c r="E1924" s="38" t="s">
        <v>4136</v>
      </c>
      <c r="F1924" s="38">
        <v>212.81</v>
      </c>
      <c r="G1924" s="38">
        <v>212.81</v>
      </c>
      <c r="H1924" s="38">
        <f t="shared" si="91"/>
        <v>268</v>
      </c>
      <c r="I1924" s="38">
        <v>179</v>
      </c>
      <c r="J1924" s="38">
        <v>89</v>
      </c>
      <c r="K1924" s="38">
        <v>90</v>
      </c>
      <c r="L1924" s="50">
        <f t="shared" si="92"/>
        <v>33.582089552238806</v>
      </c>
      <c r="M1924" s="38">
        <v>0</v>
      </c>
      <c r="N1924" s="50">
        <f t="shared" si="93"/>
        <v>0</v>
      </c>
      <c r="O1924" s="38">
        <v>0</v>
      </c>
      <c r="P1924" s="38">
        <v>0</v>
      </c>
    </row>
    <row r="1925" spans="1:31" x14ac:dyDescent="0.25">
      <c r="A1925" s="38" t="s">
        <v>36</v>
      </c>
      <c r="B1925" s="38" t="s">
        <v>3880</v>
      </c>
      <c r="C1925" s="38" t="s">
        <v>4121</v>
      </c>
      <c r="D1925" s="38" t="s">
        <v>4137</v>
      </c>
      <c r="E1925" s="38" t="s">
        <v>4138</v>
      </c>
      <c r="F1925" s="38">
        <v>287.61</v>
      </c>
      <c r="G1925" s="38">
        <v>287.61</v>
      </c>
      <c r="H1925" s="38">
        <f t="shared" ref="H1925:H1988" si="94">I1925+J1925</f>
        <v>765</v>
      </c>
      <c r="I1925" s="38">
        <v>503</v>
      </c>
      <c r="J1925" s="38">
        <v>262</v>
      </c>
      <c r="K1925" s="38">
        <v>241</v>
      </c>
      <c r="L1925" s="50">
        <f t="shared" si="92"/>
        <v>31.503267973856207</v>
      </c>
      <c r="M1925" s="38">
        <v>38</v>
      </c>
      <c r="N1925" s="50">
        <f t="shared" si="93"/>
        <v>4.9673202614379086</v>
      </c>
      <c r="O1925" s="38">
        <v>0</v>
      </c>
      <c r="P1925" s="38">
        <v>13.93</v>
      </c>
      <c r="Q1925" s="125" t="s">
        <v>160</v>
      </c>
      <c r="R1925" s="91">
        <v>44567</v>
      </c>
      <c r="S1925" s="126"/>
      <c r="T1925" s="71">
        <v>13.44</v>
      </c>
      <c r="U1925" s="125"/>
      <c r="V1925" s="125"/>
      <c r="W1925" s="125"/>
      <c r="X1925" s="125"/>
      <c r="Y1925" s="125"/>
      <c r="AB1925" s="92"/>
      <c r="AC1925" s="71" t="s">
        <v>2077</v>
      </c>
      <c r="AD1925" s="90"/>
      <c r="AE1925" s="126"/>
    </row>
    <row r="1926" spans="1:31" x14ac:dyDescent="0.25">
      <c r="A1926" s="38" t="s">
        <v>36</v>
      </c>
      <c r="B1926" s="38" t="s">
        <v>3880</v>
      </c>
      <c r="C1926" s="38" t="s">
        <v>4121</v>
      </c>
      <c r="D1926" s="38" t="s">
        <v>2007</v>
      </c>
      <c r="E1926" s="38" t="s">
        <v>4139</v>
      </c>
      <c r="F1926" s="38">
        <v>911.73</v>
      </c>
      <c r="G1926" s="38">
        <v>911.73</v>
      </c>
      <c r="H1926" s="38">
        <f t="shared" si="94"/>
        <v>507</v>
      </c>
      <c r="I1926" s="38">
        <v>340</v>
      </c>
      <c r="J1926" s="38">
        <v>167</v>
      </c>
      <c r="K1926" s="38">
        <v>173</v>
      </c>
      <c r="L1926" s="50">
        <f t="shared" ref="L1926:L1989" si="95">K1926/H1926*100</f>
        <v>34.122287968441817</v>
      </c>
      <c r="M1926" s="38">
        <v>0</v>
      </c>
      <c r="N1926" s="50">
        <f t="shared" si="93"/>
        <v>0</v>
      </c>
      <c r="O1926" s="38">
        <v>0</v>
      </c>
      <c r="P1926" s="38">
        <v>11.63</v>
      </c>
      <c r="Q1926" s="125" t="s">
        <v>160</v>
      </c>
      <c r="R1926" s="91">
        <v>44567</v>
      </c>
      <c r="S1926" s="126"/>
      <c r="T1926" s="71">
        <v>0.32</v>
      </c>
      <c r="U1926" s="125"/>
      <c r="V1926" s="125"/>
      <c r="W1926" s="125"/>
      <c r="X1926" s="125"/>
      <c r="Y1926" s="125"/>
      <c r="AB1926" s="92"/>
      <c r="AC1926" s="71" t="s">
        <v>2007</v>
      </c>
      <c r="AD1926" s="90"/>
      <c r="AE1926" s="126"/>
    </row>
    <row r="1927" spans="1:31" x14ac:dyDescent="0.25">
      <c r="A1927" s="38" t="s">
        <v>36</v>
      </c>
      <c r="B1927" s="38" t="s">
        <v>3880</v>
      </c>
      <c r="C1927" s="38" t="s">
        <v>3928</v>
      </c>
      <c r="D1927" s="11" t="s">
        <v>2062</v>
      </c>
      <c r="E1927" s="38">
        <v>509.61</v>
      </c>
      <c r="F1927" s="38">
        <v>0</v>
      </c>
      <c r="G1927" s="38">
        <v>0</v>
      </c>
      <c r="H1927" s="38">
        <f t="shared" si="94"/>
        <v>0</v>
      </c>
      <c r="I1927" s="38">
        <v>0</v>
      </c>
      <c r="J1927" s="38">
        <v>0</v>
      </c>
      <c r="K1927" s="38">
        <v>30.29</v>
      </c>
      <c r="L1927" s="50"/>
      <c r="M1927" s="38">
        <v>30.29</v>
      </c>
      <c r="N1927" s="50"/>
      <c r="Q1927" s="98" t="s">
        <v>160</v>
      </c>
      <c r="R1927" s="7">
        <v>44550</v>
      </c>
      <c r="S1927" s="99"/>
      <c r="T1927" s="11">
        <v>20</v>
      </c>
      <c r="U1927" s="98"/>
      <c r="V1927" s="98"/>
      <c r="W1927" s="98"/>
      <c r="X1927" s="98"/>
      <c r="Y1927" s="98"/>
      <c r="AB1927" s="20"/>
      <c r="AC1927" s="11" t="s">
        <v>2062</v>
      </c>
      <c r="AD1927" s="61"/>
      <c r="AE1927" s="99"/>
    </row>
    <row r="1928" spans="1:31" x14ac:dyDescent="0.25">
      <c r="A1928" s="38" t="s">
        <v>36</v>
      </c>
      <c r="B1928" s="38" t="s">
        <v>4140</v>
      </c>
      <c r="C1928" s="38" t="s">
        <v>4141</v>
      </c>
      <c r="D1928" s="38" t="s">
        <v>4142</v>
      </c>
      <c r="E1928" s="38" t="s">
        <v>4143</v>
      </c>
      <c r="F1928" s="38">
        <v>839.01</v>
      </c>
      <c r="G1928" s="38">
        <v>839.01</v>
      </c>
      <c r="H1928" s="38">
        <f t="shared" si="94"/>
        <v>1692</v>
      </c>
      <c r="I1928" s="38">
        <v>1111</v>
      </c>
      <c r="J1928" s="38">
        <v>581</v>
      </c>
      <c r="K1928" s="38">
        <v>530</v>
      </c>
      <c r="L1928" s="50">
        <f t="shared" si="95"/>
        <v>31.32387706855792</v>
      </c>
      <c r="M1928" s="38">
        <v>20</v>
      </c>
      <c r="N1928" s="50">
        <f t="shared" si="93"/>
        <v>1.1820330969267139</v>
      </c>
      <c r="O1928" s="38">
        <v>0</v>
      </c>
      <c r="P1928" s="38">
        <v>11.16</v>
      </c>
      <c r="Q1928" s="34" t="s">
        <v>43</v>
      </c>
      <c r="R1928" s="188">
        <v>44454</v>
      </c>
      <c r="S1928" s="61"/>
      <c r="T1928" s="20">
        <v>11</v>
      </c>
      <c r="U1928" s="34"/>
      <c r="V1928" s="34"/>
      <c r="W1928" s="34"/>
      <c r="X1928" s="34"/>
      <c r="Y1928" s="34"/>
      <c r="Z1928" s="109"/>
      <c r="AB1928" s="20">
        <v>9</v>
      </c>
      <c r="AC1928" s="34" t="s">
        <v>4144</v>
      </c>
      <c r="AD1928" s="61">
        <v>72.595177000000007</v>
      </c>
      <c r="AE1928" s="61">
        <v>26.078652000000002</v>
      </c>
    </row>
    <row r="1929" spans="1:31" x14ac:dyDescent="0.25">
      <c r="A1929" s="38" t="s">
        <v>36</v>
      </c>
      <c r="B1929" s="38" t="s">
        <v>4140</v>
      </c>
      <c r="C1929" s="38" t="s">
        <v>4141</v>
      </c>
      <c r="D1929" s="38" t="s">
        <v>4145</v>
      </c>
      <c r="E1929" s="38" t="s">
        <v>4146</v>
      </c>
      <c r="F1929" s="38">
        <v>485</v>
      </c>
      <c r="G1929" s="38">
        <v>485</v>
      </c>
      <c r="H1929" s="38">
        <f t="shared" si="94"/>
        <v>352</v>
      </c>
      <c r="I1929" s="38">
        <v>226</v>
      </c>
      <c r="J1929" s="38">
        <v>126</v>
      </c>
      <c r="K1929" s="38">
        <v>100</v>
      </c>
      <c r="L1929" s="50">
        <f t="shared" si="95"/>
        <v>28.40909090909091</v>
      </c>
      <c r="M1929" s="38">
        <v>0</v>
      </c>
      <c r="N1929" s="50">
        <f t="shared" si="93"/>
        <v>0</v>
      </c>
      <c r="O1929" s="38">
        <v>0</v>
      </c>
      <c r="P1929" s="38">
        <v>4</v>
      </c>
      <c r="Q1929" s="98" t="s">
        <v>160</v>
      </c>
      <c r="R1929" s="7">
        <v>44454</v>
      </c>
      <c r="S1929" s="99"/>
      <c r="T1929" s="11">
        <v>4</v>
      </c>
      <c r="U1929" s="98"/>
      <c r="V1929" s="98"/>
      <c r="W1929" s="98"/>
      <c r="X1929" s="98"/>
      <c r="Y1929" s="98"/>
      <c r="Z1929" s="20"/>
      <c r="AB1929" s="20"/>
      <c r="AC1929" s="11" t="s">
        <v>2037</v>
      </c>
      <c r="AD1929" s="61"/>
      <c r="AE1929" s="99"/>
    </row>
    <row r="1930" spans="1:31" x14ac:dyDescent="0.25">
      <c r="A1930" s="38" t="s">
        <v>36</v>
      </c>
      <c r="B1930" s="38" t="s">
        <v>4140</v>
      </c>
      <c r="C1930" s="38" t="s">
        <v>4141</v>
      </c>
      <c r="D1930" s="38" t="s">
        <v>4147</v>
      </c>
      <c r="E1930" s="38" t="s">
        <v>4148</v>
      </c>
      <c r="F1930" s="38">
        <v>165.83</v>
      </c>
      <c r="G1930" s="38">
        <v>165.83</v>
      </c>
      <c r="H1930" s="38">
        <f t="shared" si="94"/>
        <v>216</v>
      </c>
      <c r="I1930" s="38">
        <v>148</v>
      </c>
      <c r="J1930" s="38">
        <v>68</v>
      </c>
      <c r="K1930" s="38">
        <v>80</v>
      </c>
      <c r="L1930" s="50">
        <f t="shared" si="95"/>
        <v>37.037037037037038</v>
      </c>
      <c r="M1930" s="38">
        <v>0</v>
      </c>
      <c r="N1930" s="50">
        <f t="shared" si="93"/>
        <v>0</v>
      </c>
      <c r="O1930" s="38">
        <v>0</v>
      </c>
      <c r="P1930" s="38">
        <v>0</v>
      </c>
      <c r="Q1930" s="61" t="s">
        <v>43</v>
      </c>
      <c r="R1930" s="7">
        <v>44454</v>
      </c>
      <c r="S1930" s="61"/>
      <c r="T1930" s="20">
        <v>0</v>
      </c>
      <c r="U1930" s="61"/>
      <c r="V1930" s="61"/>
      <c r="W1930" s="61"/>
      <c r="X1930" s="61"/>
      <c r="Y1930" s="61"/>
      <c r="Z1930" s="20"/>
      <c r="AB1930" s="20"/>
      <c r="AC1930" s="11" t="s">
        <v>4149</v>
      </c>
      <c r="AD1930" s="61">
        <v>0</v>
      </c>
      <c r="AE1930" s="61"/>
    </row>
    <row r="1931" spans="1:31" x14ac:dyDescent="0.25">
      <c r="A1931" s="38" t="s">
        <v>36</v>
      </c>
      <c r="B1931" s="38" t="s">
        <v>4140</v>
      </c>
      <c r="C1931" s="38" t="s">
        <v>4141</v>
      </c>
      <c r="D1931" s="38" t="s">
        <v>4150</v>
      </c>
      <c r="E1931" s="38" t="s">
        <v>4151</v>
      </c>
      <c r="F1931" s="38">
        <v>531.17999999999995</v>
      </c>
      <c r="G1931" s="38">
        <v>531.17999999999995</v>
      </c>
      <c r="H1931" s="38">
        <f t="shared" si="94"/>
        <v>1333</v>
      </c>
      <c r="I1931" s="38">
        <v>884</v>
      </c>
      <c r="J1931" s="38">
        <v>449</v>
      </c>
      <c r="K1931" s="38">
        <v>435</v>
      </c>
      <c r="L1931" s="50">
        <f t="shared" si="95"/>
        <v>32.633158289572393</v>
      </c>
      <c r="M1931" s="38">
        <v>89</v>
      </c>
      <c r="N1931" s="50">
        <f t="shared" si="93"/>
        <v>6.6766691672918226</v>
      </c>
      <c r="O1931" s="38">
        <v>0</v>
      </c>
      <c r="P1931" s="38">
        <v>43.73</v>
      </c>
      <c r="Q1931" s="98" t="s">
        <v>160</v>
      </c>
      <c r="R1931" s="7">
        <v>44454</v>
      </c>
      <c r="S1931" s="99"/>
      <c r="T1931" s="11">
        <v>44</v>
      </c>
      <c r="U1931" s="98"/>
      <c r="V1931" s="98"/>
      <c r="W1931" s="98"/>
      <c r="X1931" s="98"/>
      <c r="Y1931" s="98"/>
      <c r="Z1931" s="20"/>
      <c r="AB1931" s="20"/>
      <c r="AC1931" s="11" t="s">
        <v>4152</v>
      </c>
      <c r="AD1931" s="61"/>
      <c r="AE1931" s="99"/>
    </row>
    <row r="1932" spans="1:31" x14ac:dyDescent="0.25">
      <c r="A1932" s="38" t="s">
        <v>36</v>
      </c>
      <c r="B1932" s="38" t="s">
        <v>4140</v>
      </c>
      <c r="C1932" s="38" t="s">
        <v>4141</v>
      </c>
      <c r="D1932" s="38" t="s">
        <v>974</v>
      </c>
      <c r="E1932" s="38" t="s">
        <v>4153</v>
      </c>
      <c r="F1932" s="38">
        <v>529.36</v>
      </c>
      <c r="G1932" s="38">
        <v>529.36</v>
      </c>
      <c r="H1932" s="38">
        <f t="shared" si="94"/>
        <v>414</v>
      </c>
      <c r="I1932" s="38">
        <v>276</v>
      </c>
      <c r="J1932" s="38">
        <v>138</v>
      </c>
      <c r="K1932" s="38">
        <v>138</v>
      </c>
      <c r="L1932" s="50">
        <f t="shared" si="95"/>
        <v>33.333333333333329</v>
      </c>
      <c r="M1932" s="38">
        <v>0</v>
      </c>
      <c r="N1932" s="50">
        <f t="shared" si="93"/>
        <v>0</v>
      </c>
      <c r="O1932" s="38">
        <v>0</v>
      </c>
      <c r="P1932" s="38">
        <v>0</v>
      </c>
      <c r="Q1932" s="61" t="s">
        <v>43</v>
      </c>
      <c r="R1932" s="7">
        <v>44454</v>
      </c>
      <c r="S1932" s="61"/>
      <c r="T1932" s="20">
        <v>0</v>
      </c>
      <c r="U1932" s="61"/>
      <c r="V1932" s="61"/>
      <c r="W1932" s="61"/>
      <c r="X1932" s="61"/>
      <c r="Y1932" s="61"/>
      <c r="Z1932" s="20"/>
      <c r="AB1932" s="20"/>
      <c r="AC1932" s="11" t="s">
        <v>4154</v>
      </c>
      <c r="AD1932" s="61">
        <v>0</v>
      </c>
      <c r="AE1932" s="61"/>
    </row>
    <row r="1933" spans="1:31" x14ac:dyDescent="0.25">
      <c r="A1933" s="38" t="s">
        <v>36</v>
      </c>
      <c r="B1933" s="38" t="s">
        <v>4140</v>
      </c>
      <c r="C1933" s="38" t="s">
        <v>4155</v>
      </c>
      <c r="D1933" s="38" t="s">
        <v>4155</v>
      </c>
      <c r="E1933" s="38" t="s">
        <v>4156</v>
      </c>
      <c r="F1933" s="38"/>
      <c r="G1933" s="38"/>
      <c r="H1933" s="38">
        <f t="shared" si="94"/>
        <v>0</v>
      </c>
      <c r="I1933" s="38"/>
      <c r="J1933" s="38"/>
      <c r="K1933" s="38"/>
      <c r="L1933" s="50"/>
      <c r="M1933" s="38"/>
      <c r="N1933" s="50"/>
      <c r="O1933" s="38">
        <v>0</v>
      </c>
      <c r="P1933" s="38">
        <v>0</v>
      </c>
      <c r="Q1933" s="61" t="s">
        <v>43</v>
      </c>
      <c r="R1933" s="10">
        <v>44453</v>
      </c>
      <c r="S1933" s="61"/>
      <c r="T1933" s="20">
        <v>6</v>
      </c>
      <c r="U1933" s="61"/>
      <c r="V1933" s="61"/>
      <c r="W1933" s="61"/>
      <c r="X1933" s="61"/>
      <c r="Y1933" s="61"/>
      <c r="Z1933" s="20"/>
      <c r="AB1933" s="20"/>
      <c r="AC1933" s="61" t="s">
        <v>4157</v>
      </c>
      <c r="AD1933" s="61">
        <v>72.611338000000003</v>
      </c>
      <c r="AE1933" s="61">
        <v>26.047892999999998</v>
      </c>
    </row>
    <row r="1934" spans="1:31" x14ac:dyDescent="0.25">
      <c r="A1934" s="38" t="s">
        <v>36</v>
      </c>
      <c r="B1934" s="38" t="s">
        <v>4140</v>
      </c>
      <c r="C1934" s="38" t="s">
        <v>4155</v>
      </c>
      <c r="D1934" s="38" t="s">
        <v>4158</v>
      </c>
      <c r="E1934" s="38" t="s">
        <v>4160</v>
      </c>
      <c r="F1934" s="38">
        <v>327.33999999999997</v>
      </c>
      <c r="G1934" s="38">
        <v>327.33999999999997</v>
      </c>
      <c r="H1934" s="38">
        <f t="shared" si="94"/>
        <v>399</v>
      </c>
      <c r="I1934" s="38">
        <v>262</v>
      </c>
      <c r="J1934" s="38">
        <v>137</v>
      </c>
      <c r="K1934" s="38">
        <v>125</v>
      </c>
      <c r="L1934" s="50">
        <f t="shared" si="95"/>
        <v>31.32832080200501</v>
      </c>
      <c r="M1934" s="38">
        <v>15</v>
      </c>
      <c r="N1934" s="50">
        <f t="shared" si="93"/>
        <v>3.7593984962406015</v>
      </c>
      <c r="O1934" s="38">
        <v>0</v>
      </c>
      <c r="P1934" s="38">
        <v>5.94</v>
      </c>
      <c r="Q1934" s="39" t="s">
        <v>44</v>
      </c>
      <c r="R1934" s="25">
        <v>44453</v>
      </c>
      <c r="S1934" s="40"/>
      <c r="T1934" s="237">
        <v>187</v>
      </c>
      <c r="U1934" s="39"/>
      <c r="V1934" s="39"/>
      <c r="W1934" s="39"/>
      <c r="X1934" s="39"/>
      <c r="Y1934" s="39"/>
      <c r="Z1934" s="3"/>
      <c r="AB1934" s="3"/>
      <c r="AC1934" s="60" t="s">
        <v>4159</v>
      </c>
      <c r="AD1934" s="2"/>
      <c r="AE1934" s="40"/>
    </row>
    <row r="1935" spans="1:31" x14ac:dyDescent="0.25">
      <c r="A1935" s="38" t="s">
        <v>36</v>
      </c>
      <c r="B1935" s="38" t="s">
        <v>4140</v>
      </c>
      <c r="C1935" s="38" t="s">
        <v>4161</v>
      </c>
      <c r="D1935" s="38" t="s">
        <v>2014</v>
      </c>
      <c r="E1935" s="38" t="s">
        <v>4162</v>
      </c>
      <c r="F1935" s="38">
        <v>900.78</v>
      </c>
      <c r="G1935" s="38">
        <v>900.78</v>
      </c>
      <c r="H1935" s="38">
        <f t="shared" si="94"/>
        <v>2329</v>
      </c>
      <c r="I1935" s="38">
        <v>1538</v>
      </c>
      <c r="J1935" s="38">
        <v>791</v>
      </c>
      <c r="K1935" s="38">
        <v>747</v>
      </c>
      <c r="L1935" s="50">
        <f t="shared" si="95"/>
        <v>32.073851438385574</v>
      </c>
      <c r="M1935" s="38">
        <v>89</v>
      </c>
      <c r="N1935" s="50">
        <f t="shared" si="93"/>
        <v>3.8213825676255904</v>
      </c>
      <c r="O1935" s="38">
        <v>0</v>
      </c>
      <c r="P1935" s="38">
        <v>6.02</v>
      </c>
      <c r="Q1935" s="98" t="s">
        <v>160</v>
      </c>
      <c r="R1935" s="7">
        <v>44452</v>
      </c>
      <c r="S1935" s="99"/>
      <c r="T1935" s="11">
        <v>6</v>
      </c>
      <c r="U1935" s="98"/>
      <c r="V1935" s="98"/>
      <c r="W1935" s="98"/>
      <c r="X1935" s="98"/>
      <c r="Y1935" s="98"/>
      <c r="Z1935" s="20"/>
      <c r="AB1935" s="20"/>
      <c r="AC1935" s="11" t="s">
        <v>2014</v>
      </c>
      <c r="AD1935" s="61"/>
      <c r="AE1935" s="99"/>
    </row>
    <row r="1936" spans="1:31" x14ac:dyDescent="0.25">
      <c r="A1936" s="38" t="s">
        <v>36</v>
      </c>
      <c r="B1936" s="38" t="s">
        <v>4140</v>
      </c>
      <c r="C1936" s="38" t="s">
        <v>4161</v>
      </c>
      <c r="D1936" s="38" t="s">
        <v>2083</v>
      </c>
      <c r="E1936" s="38" t="s">
        <v>4163</v>
      </c>
      <c r="F1936" s="38">
        <v>933.65</v>
      </c>
      <c r="G1936" s="38">
        <v>933.65</v>
      </c>
      <c r="H1936" s="38">
        <f t="shared" si="94"/>
        <v>1606</v>
      </c>
      <c r="I1936" s="38">
        <v>1063</v>
      </c>
      <c r="J1936" s="38">
        <v>543</v>
      </c>
      <c r="K1936" s="38">
        <v>520</v>
      </c>
      <c r="L1936" s="50">
        <f t="shared" si="95"/>
        <v>32.378580323785805</v>
      </c>
      <c r="M1936" s="38">
        <v>34</v>
      </c>
      <c r="N1936" s="50">
        <f t="shared" si="93"/>
        <v>2.1170610211706102</v>
      </c>
      <c r="O1936" s="38">
        <v>0</v>
      </c>
      <c r="P1936" s="38">
        <v>13.11</v>
      </c>
      <c r="Q1936" s="98" t="s">
        <v>160</v>
      </c>
      <c r="R1936" s="7">
        <v>44452</v>
      </c>
      <c r="S1936" s="99"/>
      <c r="T1936" s="11">
        <v>13</v>
      </c>
      <c r="U1936" s="98"/>
      <c r="V1936" s="98"/>
      <c r="W1936" s="98"/>
      <c r="X1936" s="98"/>
      <c r="Y1936" s="98"/>
      <c r="Z1936" s="20"/>
      <c r="AB1936" s="20"/>
      <c r="AC1936" s="11" t="s">
        <v>2083</v>
      </c>
      <c r="AD1936" s="61"/>
      <c r="AE1936" s="99"/>
    </row>
    <row r="1937" spans="1:31" x14ac:dyDescent="0.25">
      <c r="A1937" s="38" t="s">
        <v>36</v>
      </c>
      <c r="B1937" s="38" t="s">
        <v>4140</v>
      </c>
      <c r="C1937" s="38" t="s">
        <v>4161</v>
      </c>
      <c r="D1937" s="38" t="s">
        <v>4164</v>
      </c>
      <c r="E1937" s="38" t="s">
        <v>4165</v>
      </c>
      <c r="F1937" s="38">
        <v>520.29</v>
      </c>
      <c r="G1937" s="38">
        <v>520.29</v>
      </c>
      <c r="H1937" s="38">
        <f t="shared" si="94"/>
        <v>834</v>
      </c>
      <c r="I1937" s="38">
        <v>538</v>
      </c>
      <c r="J1937" s="38">
        <v>296</v>
      </c>
      <c r="K1937" s="38">
        <v>242</v>
      </c>
      <c r="L1937" s="50">
        <f t="shared" si="95"/>
        <v>29.016786570743403</v>
      </c>
      <c r="M1937" s="38">
        <v>56</v>
      </c>
      <c r="N1937" s="50">
        <f t="shared" si="93"/>
        <v>6.7146282973621103</v>
      </c>
      <c r="O1937" s="38">
        <v>0</v>
      </c>
      <c r="P1937" s="38">
        <v>19.03</v>
      </c>
      <c r="Q1937" s="61" t="s">
        <v>43</v>
      </c>
      <c r="R1937" s="7">
        <v>44452</v>
      </c>
      <c r="S1937" s="61"/>
      <c r="T1937" s="20">
        <v>0</v>
      </c>
      <c r="U1937" s="61"/>
      <c r="V1937" s="61"/>
      <c r="W1937" s="61"/>
      <c r="X1937" s="61"/>
      <c r="Y1937" s="61"/>
      <c r="Z1937" s="20"/>
      <c r="AB1937" s="20"/>
      <c r="AC1937" s="11" t="s">
        <v>4166</v>
      </c>
      <c r="AD1937" s="61">
        <v>0</v>
      </c>
      <c r="AE1937" s="61"/>
    </row>
    <row r="1938" spans="1:31" x14ac:dyDescent="0.25">
      <c r="A1938" s="38" t="s">
        <v>36</v>
      </c>
      <c r="B1938" s="38" t="s">
        <v>4140</v>
      </c>
      <c r="C1938" s="38" t="s">
        <v>4161</v>
      </c>
      <c r="D1938" s="38" t="s">
        <v>4167</v>
      </c>
      <c r="E1938" s="38" t="s">
        <v>4168</v>
      </c>
      <c r="F1938" s="38">
        <v>956.09</v>
      </c>
      <c r="G1938" s="38">
        <v>956.09</v>
      </c>
      <c r="H1938" s="38">
        <f t="shared" si="94"/>
        <v>1578</v>
      </c>
      <c r="I1938" s="38">
        <v>1039</v>
      </c>
      <c r="J1938" s="38">
        <v>539</v>
      </c>
      <c r="K1938" s="38">
        <v>500</v>
      </c>
      <c r="L1938" s="50">
        <f t="shared" si="95"/>
        <v>31.685678073510775</v>
      </c>
      <c r="M1938" s="38">
        <v>71</v>
      </c>
      <c r="N1938" s="50">
        <f t="shared" si="93"/>
        <v>4.49936628643853</v>
      </c>
      <c r="O1938" s="38">
        <v>0</v>
      </c>
      <c r="P1938" s="38">
        <v>10.92</v>
      </c>
      <c r="Q1938" s="98" t="s">
        <v>160</v>
      </c>
      <c r="R1938" s="7">
        <v>44452</v>
      </c>
      <c r="S1938" s="99"/>
      <c r="T1938" s="11">
        <v>11</v>
      </c>
      <c r="U1938" s="98"/>
      <c r="V1938" s="98"/>
      <c r="W1938" s="98"/>
      <c r="X1938" s="98"/>
      <c r="Y1938" s="98"/>
      <c r="Z1938" s="20"/>
      <c r="AB1938" s="20"/>
      <c r="AC1938" s="11" t="s">
        <v>2079</v>
      </c>
      <c r="AD1938" s="61"/>
      <c r="AE1938" s="99"/>
    </row>
    <row r="1939" spans="1:31" x14ac:dyDescent="0.25">
      <c r="A1939" s="38" t="s">
        <v>36</v>
      </c>
      <c r="B1939" s="38" t="s">
        <v>4140</v>
      </c>
      <c r="C1939" s="38" t="s">
        <v>4161</v>
      </c>
      <c r="D1939" s="38" t="s">
        <v>4169</v>
      </c>
      <c r="E1939" s="38" t="s">
        <v>4170</v>
      </c>
      <c r="F1939" s="38">
        <v>443.03</v>
      </c>
      <c r="G1939" s="38">
        <v>443.03</v>
      </c>
      <c r="H1939" s="38">
        <f t="shared" si="94"/>
        <v>731</v>
      </c>
      <c r="I1939" s="38">
        <v>479</v>
      </c>
      <c r="J1939" s="38">
        <v>252</v>
      </c>
      <c r="K1939" s="38">
        <v>227</v>
      </c>
      <c r="L1939" s="50">
        <f t="shared" si="95"/>
        <v>31.053351573187417</v>
      </c>
      <c r="M1939" s="38">
        <v>0</v>
      </c>
      <c r="N1939" s="50">
        <f t="shared" si="93"/>
        <v>0</v>
      </c>
      <c r="O1939" s="38">
        <v>0</v>
      </c>
      <c r="P1939" s="38">
        <v>0</v>
      </c>
      <c r="Q1939" s="61" t="s">
        <v>43</v>
      </c>
      <c r="R1939" s="7">
        <v>44452</v>
      </c>
      <c r="S1939" s="61"/>
      <c r="T1939" s="20">
        <v>0</v>
      </c>
      <c r="U1939" s="61"/>
      <c r="V1939" s="61"/>
      <c r="W1939" s="61"/>
      <c r="X1939" s="61"/>
      <c r="Y1939" s="61"/>
      <c r="Z1939" s="20"/>
      <c r="AB1939" s="20"/>
      <c r="AC1939" s="11" t="s">
        <v>4169</v>
      </c>
      <c r="AD1939" s="61">
        <v>0</v>
      </c>
      <c r="AE1939" s="61"/>
    </row>
    <row r="1940" spans="1:31" x14ac:dyDescent="0.25">
      <c r="A1940" s="38" t="s">
        <v>36</v>
      </c>
      <c r="B1940" s="38" t="s">
        <v>4140</v>
      </c>
      <c r="C1940" s="38" t="s">
        <v>4171</v>
      </c>
      <c r="D1940" s="38" t="s">
        <v>4172</v>
      </c>
      <c r="E1940" s="38" t="s">
        <v>4173</v>
      </c>
      <c r="F1940" s="38">
        <v>920.88</v>
      </c>
      <c r="G1940" s="38">
        <v>920.88</v>
      </c>
      <c r="H1940" s="38">
        <f t="shared" si="94"/>
        <v>2135</v>
      </c>
      <c r="I1940" s="38">
        <v>1404</v>
      </c>
      <c r="J1940" s="38">
        <v>731</v>
      </c>
      <c r="K1940" s="38">
        <v>673</v>
      </c>
      <c r="L1940" s="50">
        <f t="shared" si="95"/>
        <v>31.522248243559719</v>
      </c>
      <c r="M1940" s="38">
        <v>104</v>
      </c>
      <c r="N1940" s="50">
        <f t="shared" si="93"/>
        <v>4.8711943793911008</v>
      </c>
      <c r="O1940" s="38">
        <v>0</v>
      </c>
      <c r="P1940" s="38">
        <v>47.91</v>
      </c>
      <c r="Q1940" s="98" t="s">
        <v>160</v>
      </c>
      <c r="R1940" s="7">
        <v>44462</v>
      </c>
      <c r="S1940" s="99"/>
      <c r="T1940" s="11">
        <v>48</v>
      </c>
      <c r="U1940" s="98"/>
      <c r="V1940" s="98"/>
      <c r="W1940" s="98"/>
      <c r="X1940" s="98"/>
      <c r="Y1940" s="98"/>
      <c r="Z1940" s="20"/>
      <c r="AB1940" s="20"/>
      <c r="AC1940" s="11" t="s">
        <v>4174</v>
      </c>
      <c r="AD1940" s="61"/>
      <c r="AE1940" s="99"/>
    </row>
    <row r="1941" spans="1:31" x14ac:dyDescent="0.25">
      <c r="A1941" s="38" t="s">
        <v>36</v>
      </c>
      <c r="B1941" s="38" t="s">
        <v>4140</v>
      </c>
      <c r="C1941" s="38" t="s">
        <v>4171</v>
      </c>
      <c r="D1941" s="38" t="s">
        <v>4175</v>
      </c>
      <c r="E1941" s="38" t="s">
        <v>4176</v>
      </c>
      <c r="F1941" s="38">
        <v>689.68</v>
      </c>
      <c r="G1941" s="38">
        <v>689.68</v>
      </c>
      <c r="H1941" s="38">
        <f t="shared" si="94"/>
        <v>989</v>
      </c>
      <c r="I1941" s="38">
        <v>650</v>
      </c>
      <c r="J1941" s="38">
        <v>339</v>
      </c>
      <c r="K1941" s="38">
        <v>311</v>
      </c>
      <c r="L1941" s="50">
        <f t="shared" si="95"/>
        <v>31.445904954499493</v>
      </c>
      <c r="M1941" s="38">
        <v>77</v>
      </c>
      <c r="N1941" s="50">
        <f t="shared" si="93"/>
        <v>7.7856420626895853</v>
      </c>
      <c r="O1941" s="38">
        <v>0</v>
      </c>
      <c r="P1941" s="38">
        <v>11.47</v>
      </c>
      <c r="Q1941" s="98" t="s">
        <v>160</v>
      </c>
      <c r="R1941" s="7">
        <v>44462</v>
      </c>
      <c r="S1941" s="99"/>
      <c r="T1941" s="11">
        <v>11</v>
      </c>
      <c r="U1941" s="98"/>
      <c r="V1941" s="98"/>
      <c r="W1941" s="98"/>
      <c r="X1941" s="98"/>
      <c r="Y1941" s="98"/>
      <c r="Z1941" s="20"/>
      <c r="AB1941" s="20"/>
      <c r="AC1941" s="11" t="s">
        <v>2094</v>
      </c>
      <c r="AD1941" s="61"/>
      <c r="AE1941" s="99"/>
    </row>
    <row r="1942" spans="1:31" x14ac:dyDescent="0.25">
      <c r="A1942" s="38" t="s">
        <v>36</v>
      </c>
      <c r="B1942" s="38" t="s">
        <v>4140</v>
      </c>
      <c r="C1942" s="38" t="s">
        <v>4171</v>
      </c>
      <c r="D1942" s="38" t="s">
        <v>1041</v>
      </c>
      <c r="E1942" s="38" t="s">
        <v>4177</v>
      </c>
      <c r="F1942" s="38">
        <v>730.06</v>
      </c>
      <c r="G1942" s="38">
        <v>730.06</v>
      </c>
      <c r="H1942" s="38">
        <f t="shared" si="94"/>
        <v>776</v>
      </c>
      <c r="I1942" s="38">
        <v>520</v>
      </c>
      <c r="J1942" s="38">
        <v>256</v>
      </c>
      <c r="K1942" s="38">
        <v>264</v>
      </c>
      <c r="L1942" s="50">
        <f t="shared" si="95"/>
        <v>34.020618556701031</v>
      </c>
      <c r="M1942" s="38">
        <v>44</v>
      </c>
      <c r="N1942" s="50">
        <f t="shared" ref="N1942:N2005" si="96">M1942/H1942*100</f>
        <v>5.6701030927835054</v>
      </c>
      <c r="O1942" s="38">
        <v>0</v>
      </c>
      <c r="P1942" s="38">
        <v>38.520000000000003</v>
      </c>
      <c r="Q1942" s="98" t="s">
        <v>160</v>
      </c>
      <c r="R1942" s="7">
        <v>44462</v>
      </c>
      <c r="S1942" s="99"/>
      <c r="T1942" s="11">
        <v>39</v>
      </c>
      <c r="U1942" s="98"/>
      <c r="V1942" s="98"/>
      <c r="W1942" s="98"/>
      <c r="X1942" s="98"/>
      <c r="Y1942" s="98"/>
      <c r="Z1942" s="20"/>
      <c r="AB1942" s="20"/>
      <c r="AC1942" s="11" t="s">
        <v>4178</v>
      </c>
      <c r="AD1942" s="61"/>
      <c r="AE1942" s="99"/>
    </row>
    <row r="1943" spans="1:31" x14ac:dyDescent="0.25">
      <c r="A1943" s="38" t="s">
        <v>36</v>
      </c>
      <c r="B1943" s="38" t="s">
        <v>4140</v>
      </c>
      <c r="C1943" s="38" t="s">
        <v>4179</v>
      </c>
      <c r="D1943" s="38" t="s">
        <v>4180</v>
      </c>
      <c r="E1943" s="38" t="s">
        <v>4181</v>
      </c>
      <c r="F1943" s="38"/>
      <c r="G1943" s="38"/>
      <c r="H1943" s="38">
        <f t="shared" si="94"/>
        <v>0</v>
      </c>
      <c r="I1943" s="38"/>
      <c r="J1943" s="38"/>
      <c r="K1943" s="38"/>
      <c r="L1943" s="50"/>
      <c r="M1943" s="38"/>
      <c r="N1943" s="50"/>
      <c r="O1943" s="38">
        <v>0</v>
      </c>
      <c r="P1943" s="38">
        <v>27.01</v>
      </c>
      <c r="Q1943" s="98" t="s">
        <v>160</v>
      </c>
      <c r="R1943" s="7">
        <v>44461</v>
      </c>
      <c r="S1943" s="99"/>
      <c r="T1943" s="11">
        <v>27</v>
      </c>
      <c r="U1943" s="98"/>
      <c r="V1943" s="98"/>
      <c r="W1943" s="98"/>
      <c r="X1943" s="98"/>
      <c r="Y1943" s="98"/>
      <c r="Z1943" s="20"/>
      <c r="AB1943" s="20"/>
      <c r="AC1943" s="11" t="s">
        <v>4182</v>
      </c>
      <c r="AD1943" s="61"/>
      <c r="AE1943" s="99"/>
    </row>
    <row r="1944" spans="1:31" x14ac:dyDescent="0.25">
      <c r="A1944" s="38" t="s">
        <v>36</v>
      </c>
      <c r="B1944" s="38" t="s">
        <v>4140</v>
      </c>
      <c r="C1944" s="38" t="s">
        <v>4179</v>
      </c>
      <c r="D1944" s="38" t="s">
        <v>4183</v>
      </c>
      <c r="E1944" s="38" t="s">
        <v>4184</v>
      </c>
      <c r="F1944" s="38">
        <v>1364</v>
      </c>
      <c r="G1944" s="38">
        <v>1364</v>
      </c>
      <c r="H1944" s="38">
        <f t="shared" si="94"/>
        <v>993</v>
      </c>
      <c r="I1944" s="38">
        <v>648</v>
      </c>
      <c r="J1944" s="38">
        <v>345</v>
      </c>
      <c r="K1944" s="38">
        <v>303</v>
      </c>
      <c r="L1944" s="50">
        <f t="shared" si="95"/>
        <v>30.513595166163142</v>
      </c>
      <c r="M1944" s="38">
        <v>0</v>
      </c>
      <c r="N1944" s="50">
        <f t="shared" si="96"/>
        <v>0</v>
      </c>
      <c r="O1944" s="38">
        <v>0</v>
      </c>
      <c r="P1944" s="38">
        <v>36</v>
      </c>
      <c r="Q1944" s="61" t="s">
        <v>43</v>
      </c>
      <c r="R1944" s="10">
        <v>44461</v>
      </c>
      <c r="S1944" s="61"/>
      <c r="T1944" s="20">
        <v>36</v>
      </c>
      <c r="U1944" s="61"/>
      <c r="V1944" s="61"/>
      <c r="W1944" s="61"/>
      <c r="X1944" s="61"/>
      <c r="Y1944" s="61"/>
      <c r="Z1944" s="109"/>
      <c r="AB1944" s="20">
        <v>6</v>
      </c>
      <c r="AC1944" s="61" t="s">
        <v>4185</v>
      </c>
      <c r="AD1944" s="61">
        <v>72.56465</v>
      </c>
      <c r="AE1944" s="61">
        <v>26.083362999999999</v>
      </c>
    </row>
    <row r="1945" spans="1:31" x14ac:dyDescent="0.25">
      <c r="A1945" s="38" t="s">
        <v>36</v>
      </c>
      <c r="B1945" s="38" t="s">
        <v>4140</v>
      </c>
      <c r="C1945" s="38" t="s">
        <v>4186</v>
      </c>
      <c r="D1945" s="38" t="s">
        <v>4187</v>
      </c>
      <c r="E1945" s="38" t="s">
        <v>4188</v>
      </c>
      <c r="F1945" s="38"/>
      <c r="G1945" s="38"/>
      <c r="H1945" s="38">
        <f t="shared" si="94"/>
        <v>0</v>
      </c>
      <c r="I1945" s="38"/>
      <c r="J1945" s="38"/>
      <c r="K1945" s="38"/>
      <c r="L1945" s="50"/>
      <c r="M1945" s="38"/>
      <c r="N1945" s="50"/>
      <c r="O1945" s="38">
        <v>0</v>
      </c>
      <c r="P1945" s="38">
        <v>27</v>
      </c>
      <c r="Q1945" s="98" t="s">
        <v>160</v>
      </c>
      <c r="R1945" s="7">
        <v>44459</v>
      </c>
      <c r="S1945" s="99"/>
      <c r="T1945" s="11">
        <v>27</v>
      </c>
      <c r="U1945" s="98"/>
      <c r="V1945" s="98"/>
      <c r="W1945" s="98"/>
      <c r="X1945" s="98"/>
      <c r="Y1945" s="98"/>
      <c r="Z1945" s="20"/>
      <c r="AB1945" s="20"/>
      <c r="AC1945" s="11" t="s">
        <v>4189</v>
      </c>
      <c r="AD1945" s="61"/>
      <c r="AE1945" s="99"/>
    </row>
    <row r="1946" spans="1:31" x14ac:dyDescent="0.25">
      <c r="A1946" s="38" t="s">
        <v>36</v>
      </c>
      <c r="B1946" s="38" t="s">
        <v>4140</v>
      </c>
      <c r="C1946" s="38" t="s">
        <v>4186</v>
      </c>
      <c r="D1946" s="38" t="s">
        <v>4190</v>
      </c>
      <c r="E1946" s="38" t="s">
        <v>4191</v>
      </c>
      <c r="F1946" s="38">
        <v>393.16</v>
      </c>
      <c r="G1946" s="38">
        <v>393.16</v>
      </c>
      <c r="H1946" s="38">
        <f t="shared" si="94"/>
        <v>333</v>
      </c>
      <c r="I1946" s="38">
        <v>223</v>
      </c>
      <c r="J1946" s="38">
        <v>110</v>
      </c>
      <c r="K1946" s="38">
        <v>113</v>
      </c>
      <c r="L1946" s="50">
        <f t="shared" si="95"/>
        <v>33.933933933933936</v>
      </c>
      <c r="M1946" s="38">
        <v>0</v>
      </c>
      <c r="N1946" s="50">
        <f t="shared" si="96"/>
        <v>0</v>
      </c>
      <c r="O1946" s="38">
        <v>0</v>
      </c>
      <c r="P1946" s="38">
        <v>17</v>
      </c>
      <c r="Q1946" s="61" t="s">
        <v>160</v>
      </c>
      <c r="R1946" s="7">
        <v>44459</v>
      </c>
      <c r="S1946" s="99"/>
      <c r="T1946" s="11">
        <v>17</v>
      </c>
      <c r="U1946" s="61"/>
      <c r="V1946" s="61"/>
      <c r="W1946" s="61"/>
      <c r="X1946" s="61"/>
      <c r="Y1946" s="61"/>
      <c r="Z1946" s="20"/>
      <c r="AB1946" s="20"/>
      <c r="AC1946" s="11" t="s">
        <v>2096</v>
      </c>
      <c r="AD1946" s="61"/>
      <c r="AE1946" s="99"/>
    </row>
    <row r="1947" spans="1:31" x14ac:dyDescent="0.25">
      <c r="A1947" s="38" t="s">
        <v>36</v>
      </c>
      <c r="B1947" s="38" t="s">
        <v>4140</v>
      </c>
      <c r="C1947" s="38" t="s">
        <v>4186</v>
      </c>
      <c r="D1947" s="38" t="s">
        <v>4190</v>
      </c>
      <c r="E1947" s="38"/>
      <c r="F1947" s="38">
        <v>393.16</v>
      </c>
      <c r="G1947" s="38">
        <v>393.16</v>
      </c>
      <c r="H1947" s="38">
        <f t="shared" si="94"/>
        <v>333</v>
      </c>
      <c r="I1947" s="38">
        <v>223</v>
      </c>
      <c r="J1947" s="38">
        <v>110</v>
      </c>
      <c r="K1947" s="38">
        <v>113</v>
      </c>
      <c r="L1947" s="50">
        <f t="shared" si="95"/>
        <v>33.933933933933936</v>
      </c>
      <c r="M1947" s="38">
        <v>0</v>
      </c>
      <c r="N1947" s="50">
        <f t="shared" si="96"/>
        <v>0</v>
      </c>
      <c r="O1947" s="38">
        <v>0</v>
      </c>
      <c r="P1947" s="38">
        <v>17</v>
      </c>
      <c r="Q1947" s="2" t="s">
        <v>160</v>
      </c>
      <c r="R1947" s="25">
        <v>44459</v>
      </c>
      <c r="S1947" s="40"/>
      <c r="T1947" s="237">
        <v>17</v>
      </c>
      <c r="U1947" s="2"/>
      <c r="V1947" s="2"/>
      <c r="W1947" s="2"/>
      <c r="X1947" s="2"/>
      <c r="Y1947" s="2"/>
      <c r="Z1947" s="2"/>
      <c r="AB1947" s="3">
        <v>20</v>
      </c>
      <c r="AC1947" s="60" t="s">
        <v>2096</v>
      </c>
      <c r="AD1947" s="2">
        <v>25.912842000000001</v>
      </c>
      <c r="AE1947" s="40">
        <v>72.577949000000004</v>
      </c>
    </row>
    <row r="1948" spans="1:31" x14ac:dyDescent="0.25">
      <c r="A1948" s="38" t="s">
        <v>36</v>
      </c>
      <c r="B1948" s="38" t="s">
        <v>4140</v>
      </c>
      <c r="C1948" s="38" t="s">
        <v>4186</v>
      </c>
      <c r="D1948" s="38" t="s">
        <v>4192</v>
      </c>
      <c r="E1948" s="38" t="s">
        <v>4193</v>
      </c>
      <c r="F1948" s="38">
        <v>373.88</v>
      </c>
      <c r="G1948" s="38">
        <v>373.88</v>
      </c>
      <c r="H1948" s="38">
        <f t="shared" si="94"/>
        <v>641</v>
      </c>
      <c r="I1948" s="38">
        <v>421</v>
      </c>
      <c r="J1948" s="38">
        <v>220</v>
      </c>
      <c r="K1948" s="38">
        <v>201</v>
      </c>
      <c r="L1948" s="50">
        <f t="shared" si="95"/>
        <v>31.357254290171603</v>
      </c>
      <c r="M1948" s="38">
        <v>5</v>
      </c>
      <c r="N1948" s="50">
        <f t="shared" si="96"/>
        <v>0.78003120124804992</v>
      </c>
      <c r="O1948" s="38">
        <v>0</v>
      </c>
      <c r="P1948" s="38">
        <v>23</v>
      </c>
      <c r="Q1948" s="61" t="s">
        <v>160</v>
      </c>
      <c r="R1948" s="7">
        <v>44459</v>
      </c>
      <c r="S1948" s="99"/>
      <c r="T1948" s="11">
        <v>23</v>
      </c>
      <c r="U1948" s="61"/>
      <c r="V1948" s="61"/>
      <c r="W1948" s="61"/>
      <c r="X1948" s="61"/>
      <c r="Y1948" s="61"/>
      <c r="Z1948" s="20"/>
      <c r="AB1948" s="20"/>
      <c r="AC1948" s="11" t="s">
        <v>4194</v>
      </c>
      <c r="AD1948" s="61"/>
      <c r="AE1948" s="99"/>
    </row>
    <row r="1949" spans="1:31" x14ac:dyDescent="0.25">
      <c r="A1949" s="38" t="s">
        <v>36</v>
      </c>
      <c r="B1949" s="38" t="s">
        <v>4140</v>
      </c>
      <c r="C1949" s="38" t="s">
        <v>4186</v>
      </c>
      <c r="D1949" s="38" t="s">
        <v>4192</v>
      </c>
      <c r="E1949" s="38"/>
      <c r="F1949" s="38">
        <v>373.88</v>
      </c>
      <c r="G1949" s="38">
        <v>373.88</v>
      </c>
      <c r="H1949" s="38">
        <f t="shared" si="94"/>
        <v>641</v>
      </c>
      <c r="I1949" s="38">
        <v>421</v>
      </c>
      <c r="J1949" s="38">
        <v>220</v>
      </c>
      <c r="K1949" s="38">
        <v>201</v>
      </c>
      <c r="L1949" s="50">
        <f t="shared" si="95"/>
        <v>31.357254290171603</v>
      </c>
      <c r="M1949" s="38">
        <v>5</v>
      </c>
      <c r="N1949" s="50">
        <f t="shared" si="96"/>
        <v>0.78003120124804992</v>
      </c>
      <c r="O1949" s="38">
        <v>0</v>
      </c>
      <c r="P1949" s="38">
        <v>23</v>
      </c>
      <c r="Q1949" s="2" t="s">
        <v>160</v>
      </c>
      <c r="R1949" s="25">
        <v>44459</v>
      </c>
      <c r="S1949" s="40"/>
      <c r="T1949" s="237">
        <v>23</v>
      </c>
      <c r="U1949" s="2"/>
      <c r="V1949" s="2"/>
      <c r="W1949" s="2"/>
      <c r="X1949" s="2"/>
      <c r="Y1949" s="2"/>
      <c r="Z1949" s="2"/>
      <c r="AB1949" s="2">
        <v>20</v>
      </c>
      <c r="AC1949" s="60" t="s">
        <v>4194</v>
      </c>
      <c r="AD1949" s="2">
        <v>25.949293999999998</v>
      </c>
      <c r="AE1949" s="40">
        <v>72.589681999999996</v>
      </c>
    </row>
    <row r="1950" spans="1:31" x14ac:dyDescent="0.25">
      <c r="A1950" s="38" t="s">
        <v>36</v>
      </c>
      <c r="B1950" s="38" t="s">
        <v>4140</v>
      </c>
      <c r="C1950" s="38" t="s">
        <v>4186</v>
      </c>
      <c r="D1950" s="38" t="s">
        <v>4195</v>
      </c>
      <c r="E1950" s="38" t="s">
        <v>4196</v>
      </c>
      <c r="F1950" s="38">
        <v>235.89</v>
      </c>
      <c r="G1950" s="38">
        <v>235.89</v>
      </c>
      <c r="H1950" s="38">
        <f t="shared" si="94"/>
        <v>385</v>
      </c>
      <c r="I1950" s="38">
        <v>254</v>
      </c>
      <c r="J1950" s="38">
        <v>131</v>
      </c>
      <c r="K1950" s="38">
        <v>123</v>
      </c>
      <c r="L1950" s="50">
        <f t="shared" si="95"/>
        <v>31.948051948051948</v>
      </c>
      <c r="M1950" s="38">
        <v>0</v>
      </c>
      <c r="N1950" s="50">
        <f t="shared" si="96"/>
        <v>0</v>
      </c>
      <c r="O1950" s="38">
        <v>0</v>
      </c>
      <c r="P1950" s="38">
        <v>7</v>
      </c>
      <c r="Q1950" s="61" t="s">
        <v>160</v>
      </c>
      <c r="R1950" s="7">
        <v>44459</v>
      </c>
      <c r="S1950" s="99"/>
      <c r="T1950" s="11">
        <v>7</v>
      </c>
      <c r="U1950" s="61"/>
      <c r="V1950" s="61"/>
      <c r="W1950" s="61"/>
      <c r="X1950" s="61"/>
      <c r="Y1950" s="61"/>
      <c r="Z1950" s="20"/>
      <c r="AB1950" s="20"/>
      <c r="AC1950" s="11" t="s">
        <v>2039</v>
      </c>
      <c r="AD1950" s="61"/>
      <c r="AE1950" s="99"/>
    </row>
    <row r="1951" spans="1:31" x14ac:dyDescent="0.25">
      <c r="A1951" s="38" t="s">
        <v>36</v>
      </c>
      <c r="B1951" s="38" t="s">
        <v>4140</v>
      </c>
      <c r="C1951" s="38" t="s">
        <v>4186</v>
      </c>
      <c r="D1951" s="38" t="s">
        <v>4195</v>
      </c>
      <c r="E1951" s="38">
        <v>235.89</v>
      </c>
      <c r="F1951" s="38">
        <v>235.89</v>
      </c>
      <c r="G1951" s="38">
        <v>235.89</v>
      </c>
      <c r="H1951" s="38">
        <f t="shared" si="94"/>
        <v>385</v>
      </c>
      <c r="I1951" s="38">
        <v>254</v>
      </c>
      <c r="J1951" s="38">
        <v>131</v>
      </c>
      <c r="K1951" s="38">
        <v>123</v>
      </c>
      <c r="L1951" s="50">
        <f t="shared" si="95"/>
        <v>31.948051948051948</v>
      </c>
      <c r="M1951" s="38">
        <v>0</v>
      </c>
      <c r="N1951" s="50">
        <f t="shared" si="96"/>
        <v>0</v>
      </c>
      <c r="O1951" s="38">
        <v>0</v>
      </c>
      <c r="P1951" s="38">
        <v>7</v>
      </c>
      <c r="Q1951" s="2" t="s">
        <v>160</v>
      </c>
      <c r="R1951" s="25">
        <v>44459</v>
      </c>
      <c r="S1951" s="40"/>
      <c r="T1951" s="237">
        <v>7</v>
      </c>
      <c r="U1951" s="2"/>
      <c r="V1951" s="2"/>
      <c r="W1951" s="2"/>
      <c r="X1951" s="2"/>
      <c r="Y1951" s="2"/>
      <c r="Z1951" s="2"/>
      <c r="AB1951" s="2">
        <v>20</v>
      </c>
      <c r="AC1951" s="60" t="s">
        <v>2039</v>
      </c>
      <c r="AD1951" s="2">
        <v>25.949252000000001</v>
      </c>
      <c r="AE1951" s="40">
        <v>72.589798999999999</v>
      </c>
    </row>
    <row r="1952" spans="1:31" x14ac:dyDescent="0.25">
      <c r="A1952" s="38" t="s">
        <v>36</v>
      </c>
      <c r="B1952" s="38" t="s">
        <v>4140</v>
      </c>
      <c r="C1952" s="38" t="s">
        <v>4186</v>
      </c>
      <c r="D1952" s="38" t="s">
        <v>4197</v>
      </c>
      <c r="E1952" s="38" t="s">
        <v>4198</v>
      </c>
      <c r="F1952" s="38">
        <v>1437</v>
      </c>
      <c r="G1952" s="38">
        <v>1437</v>
      </c>
      <c r="H1952" s="38">
        <f t="shared" si="94"/>
        <v>1648</v>
      </c>
      <c r="I1952" s="38">
        <v>1090</v>
      </c>
      <c r="J1952" s="38">
        <v>558</v>
      </c>
      <c r="K1952" s="38">
        <v>532</v>
      </c>
      <c r="L1952" s="50">
        <f t="shared" si="95"/>
        <v>32.281553398058257</v>
      </c>
      <c r="M1952" s="38">
        <v>41</v>
      </c>
      <c r="N1952" s="50">
        <f t="shared" si="96"/>
        <v>2.487864077669903</v>
      </c>
      <c r="O1952" s="38">
        <v>0</v>
      </c>
      <c r="P1952" s="38">
        <v>310</v>
      </c>
      <c r="Q1952" s="39" t="s">
        <v>44</v>
      </c>
      <c r="R1952" s="25">
        <v>44459</v>
      </c>
      <c r="S1952" s="40"/>
      <c r="T1952" s="237">
        <v>310</v>
      </c>
      <c r="U1952" s="39"/>
      <c r="V1952" s="39"/>
      <c r="W1952" s="39"/>
      <c r="X1952" s="39"/>
      <c r="Y1952" s="39"/>
      <c r="Z1952" s="3"/>
      <c r="AB1952" s="3"/>
      <c r="AC1952" s="60" t="s">
        <v>4199</v>
      </c>
      <c r="AD1952" s="2"/>
      <c r="AE1952" s="40"/>
    </row>
    <row r="1953" spans="1:31" x14ac:dyDescent="0.25">
      <c r="A1953" s="38" t="s">
        <v>36</v>
      </c>
      <c r="B1953" s="38" t="s">
        <v>4140</v>
      </c>
      <c r="C1953" s="38" t="s">
        <v>4200</v>
      </c>
      <c r="D1953" s="38" t="s">
        <v>4201</v>
      </c>
      <c r="E1953" s="38" t="s">
        <v>4202</v>
      </c>
      <c r="F1953" s="38">
        <v>1372</v>
      </c>
      <c r="G1953" s="38">
        <v>1372</v>
      </c>
      <c r="H1953" s="38">
        <f t="shared" si="94"/>
        <v>3124</v>
      </c>
      <c r="I1953" s="38">
        <v>2056</v>
      </c>
      <c r="J1953" s="38">
        <v>1068</v>
      </c>
      <c r="K1953" s="38">
        <v>988</v>
      </c>
      <c r="L1953" s="50">
        <f t="shared" si="95"/>
        <v>31.626120358514726</v>
      </c>
      <c r="M1953" s="38">
        <v>64</v>
      </c>
      <c r="N1953" s="50">
        <f t="shared" si="96"/>
        <v>2.0486555697823303</v>
      </c>
      <c r="O1953" s="38">
        <v>0</v>
      </c>
      <c r="P1953" s="38">
        <v>97</v>
      </c>
      <c r="Q1953" s="39" t="s">
        <v>44</v>
      </c>
      <c r="R1953" s="25">
        <v>44567</v>
      </c>
      <c r="S1953" s="40"/>
      <c r="T1953" s="237">
        <v>97</v>
      </c>
      <c r="U1953" s="39"/>
      <c r="V1953" s="39"/>
      <c r="W1953" s="39"/>
      <c r="X1953" s="39"/>
      <c r="Y1953" s="39"/>
      <c r="Z1953" s="3"/>
      <c r="AB1953" s="3"/>
      <c r="AC1953" s="60" t="s">
        <v>4203</v>
      </c>
      <c r="AD1953" s="2"/>
      <c r="AE1953" s="40"/>
    </row>
    <row r="1954" spans="1:31" x14ac:dyDescent="0.25">
      <c r="A1954" s="38" t="s">
        <v>36</v>
      </c>
      <c r="B1954" s="38" t="s">
        <v>4140</v>
      </c>
      <c r="C1954" s="38" t="s">
        <v>4200</v>
      </c>
      <c r="D1954" s="38" t="s">
        <v>4204</v>
      </c>
      <c r="E1954" s="38" t="s">
        <v>4202</v>
      </c>
      <c r="F1954" s="38"/>
      <c r="G1954" s="38"/>
      <c r="H1954" s="38">
        <f t="shared" si="94"/>
        <v>0</v>
      </c>
      <c r="I1954" s="38"/>
      <c r="J1954" s="38"/>
      <c r="K1954" s="38"/>
      <c r="L1954" s="50"/>
      <c r="M1954" s="38"/>
      <c r="N1954" s="50"/>
      <c r="O1954" s="38">
        <v>0</v>
      </c>
      <c r="P1954" s="38">
        <v>97</v>
      </c>
      <c r="Q1954" s="98" t="s">
        <v>160</v>
      </c>
      <c r="R1954" s="7">
        <v>44567</v>
      </c>
      <c r="S1954" s="99"/>
      <c r="T1954" s="11">
        <v>48</v>
      </c>
      <c r="U1954" s="98"/>
      <c r="V1954" s="98"/>
      <c r="W1954" s="98"/>
      <c r="X1954" s="98"/>
      <c r="Y1954" s="98"/>
      <c r="Z1954" s="20"/>
      <c r="AB1954" s="20"/>
      <c r="AC1954" s="11" t="s">
        <v>4205</v>
      </c>
      <c r="AD1954" s="61"/>
      <c r="AE1954" s="99"/>
    </row>
    <row r="1955" spans="1:31" x14ac:dyDescent="0.25">
      <c r="A1955" s="38" t="s">
        <v>36</v>
      </c>
      <c r="B1955" s="38" t="s">
        <v>4140</v>
      </c>
      <c r="C1955" s="38" t="s">
        <v>4200</v>
      </c>
      <c r="D1955" s="38" t="s">
        <v>4206</v>
      </c>
      <c r="E1955" s="38" t="s">
        <v>4207</v>
      </c>
      <c r="F1955" s="38">
        <v>589</v>
      </c>
      <c r="G1955" s="38">
        <v>589</v>
      </c>
      <c r="H1955" s="38">
        <f t="shared" si="94"/>
        <v>903</v>
      </c>
      <c r="I1955" s="38">
        <v>598</v>
      </c>
      <c r="J1955" s="38">
        <v>305</v>
      </c>
      <c r="K1955" s="38">
        <v>293</v>
      </c>
      <c r="L1955" s="50">
        <f t="shared" si="95"/>
        <v>32.447397563676631</v>
      </c>
      <c r="M1955" s="38">
        <v>0</v>
      </c>
      <c r="N1955" s="50">
        <f t="shared" si="96"/>
        <v>0</v>
      </c>
      <c r="O1955" s="38">
        <v>0</v>
      </c>
      <c r="P1955" s="38">
        <v>0</v>
      </c>
      <c r="Q1955" s="98" t="s">
        <v>160</v>
      </c>
      <c r="R1955" s="7">
        <v>44567</v>
      </c>
      <c r="S1955" s="99"/>
      <c r="T1955" s="11">
        <v>6</v>
      </c>
      <c r="U1955" s="98"/>
      <c r="V1955" s="98"/>
      <c r="W1955" s="98"/>
      <c r="X1955" s="98"/>
      <c r="Y1955" s="98"/>
      <c r="Z1955" s="20"/>
      <c r="AB1955" s="20"/>
      <c r="AC1955" s="11" t="s">
        <v>2041</v>
      </c>
      <c r="AD1955" s="61"/>
      <c r="AE1955" s="99"/>
    </row>
    <row r="1956" spans="1:31" x14ac:dyDescent="0.25">
      <c r="A1956" s="38" t="s">
        <v>36</v>
      </c>
      <c r="B1956" s="38" t="s">
        <v>4140</v>
      </c>
      <c r="C1956" s="38" t="s">
        <v>4208</v>
      </c>
      <c r="D1956" s="38" t="s">
        <v>4208</v>
      </c>
      <c r="E1956" s="38" t="s">
        <v>4209</v>
      </c>
      <c r="F1956" s="38">
        <v>1836</v>
      </c>
      <c r="G1956" s="38">
        <v>1836</v>
      </c>
      <c r="H1956" s="38">
        <f t="shared" si="94"/>
        <v>4573</v>
      </c>
      <c r="I1956" s="38">
        <v>3009</v>
      </c>
      <c r="J1956" s="38">
        <v>1564</v>
      </c>
      <c r="K1956" s="38">
        <v>1445</v>
      </c>
      <c r="L1956" s="50">
        <f t="shared" si="95"/>
        <v>31.59851301115242</v>
      </c>
      <c r="M1956" s="38">
        <v>126</v>
      </c>
      <c r="N1956" s="50">
        <f t="shared" si="96"/>
        <v>2.7553028646402797</v>
      </c>
      <c r="O1956" s="38">
        <v>6</v>
      </c>
      <c r="P1956" s="38">
        <v>60</v>
      </c>
      <c r="Q1956" s="98" t="s">
        <v>160</v>
      </c>
      <c r="R1956" s="7">
        <v>44576</v>
      </c>
      <c r="S1956" s="99"/>
      <c r="T1956" s="11">
        <v>60</v>
      </c>
      <c r="U1956" s="98"/>
      <c r="V1956" s="98"/>
      <c r="W1956" s="98"/>
      <c r="X1956" s="98"/>
      <c r="Y1956" s="98"/>
      <c r="Z1956" s="20"/>
      <c r="AB1956" s="20"/>
      <c r="AC1956" s="11" t="s">
        <v>4210</v>
      </c>
      <c r="AD1956" s="61"/>
      <c r="AE1956" s="99"/>
    </row>
    <row r="1957" spans="1:31" x14ac:dyDescent="0.25">
      <c r="A1957" s="38" t="s">
        <v>36</v>
      </c>
      <c r="B1957" s="38" t="s">
        <v>4140</v>
      </c>
      <c r="C1957" s="38" t="s">
        <v>4211</v>
      </c>
      <c r="D1957" s="38" t="s">
        <v>824</v>
      </c>
      <c r="E1957" s="38" t="s">
        <v>4212</v>
      </c>
      <c r="F1957" s="38"/>
      <c r="G1957" s="38"/>
      <c r="H1957" s="38">
        <f t="shared" si="94"/>
        <v>0</v>
      </c>
      <c r="I1957" s="38"/>
      <c r="J1957" s="38"/>
      <c r="K1957" s="38"/>
      <c r="L1957" s="50"/>
      <c r="M1957" s="38"/>
      <c r="N1957" s="50"/>
      <c r="O1957" s="38">
        <v>0</v>
      </c>
      <c r="P1957" s="38">
        <v>554.12</v>
      </c>
      <c r="Q1957" s="61" t="s">
        <v>43</v>
      </c>
      <c r="R1957" s="10">
        <v>44456</v>
      </c>
      <c r="S1957" s="61"/>
      <c r="T1957" s="20">
        <v>554</v>
      </c>
      <c r="U1957" s="61"/>
      <c r="V1957" s="61"/>
      <c r="W1957" s="61"/>
      <c r="X1957" s="61"/>
      <c r="Y1957" s="61"/>
      <c r="Z1957" s="109"/>
      <c r="AB1957" s="20">
        <v>129</v>
      </c>
      <c r="AC1957" s="61" t="s">
        <v>4213</v>
      </c>
      <c r="AD1957" s="61">
        <v>72.565842000000004</v>
      </c>
      <c r="AE1957" s="61">
        <v>26.197652000000001</v>
      </c>
    </row>
    <row r="1958" spans="1:31" x14ac:dyDescent="0.25">
      <c r="A1958" s="38" t="s">
        <v>36</v>
      </c>
      <c r="B1958" s="38" t="s">
        <v>4140</v>
      </c>
      <c r="C1958" s="38" t="s">
        <v>4214</v>
      </c>
      <c r="D1958" s="38" t="s">
        <v>4215</v>
      </c>
      <c r="E1958" s="38" t="s">
        <v>4216</v>
      </c>
      <c r="F1958" s="38">
        <v>792.82</v>
      </c>
      <c r="G1958" s="38">
        <v>792.82</v>
      </c>
      <c r="H1958" s="38">
        <f t="shared" si="94"/>
        <v>935</v>
      </c>
      <c r="I1958" s="38">
        <v>618</v>
      </c>
      <c r="J1958" s="38">
        <v>317</v>
      </c>
      <c r="K1958" s="38">
        <v>301</v>
      </c>
      <c r="L1958" s="50">
        <f t="shared" si="95"/>
        <v>32.192513368983953</v>
      </c>
      <c r="M1958" s="38">
        <v>65</v>
      </c>
      <c r="N1958" s="50">
        <f t="shared" si="96"/>
        <v>6.9518716577540109</v>
      </c>
      <c r="O1958" s="38">
        <v>0</v>
      </c>
      <c r="P1958" s="38">
        <v>0</v>
      </c>
      <c r="AC1958" s="117"/>
      <c r="AD1958" s="117"/>
    </row>
    <row r="1959" spans="1:31" x14ac:dyDescent="0.25">
      <c r="A1959" s="38" t="s">
        <v>36</v>
      </c>
      <c r="B1959" s="38" t="s">
        <v>4140</v>
      </c>
      <c r="C1959" s="38" t="s">
        <v>4214</v>
      </c>
      <c r="D1959" s="38" t="s">
        <v>4217</v>
      </c>
      <c r="E1959" s="38" t="s">
        <v>4218</v>
      </c>
      <c r="F1959" s="38">
        <v>153.38999999999999</v>
      </c>
      <c r="G1959" s="38">
        <v>153.38999999999999</v>
      </c>
      <c r="H1959" s="38">
        <f t="shared" si="94"/>
        <v>0</v>
      </c>
      <c r="I1959" s="38">
        <v>0</v>
      </c>
      <c r="J1959" s="38">
        <v>0</v>
      </c>
      <c r="K1959" s="38">
        <v>0</v>
      </c>
      <c r="L1959" s="50"/>
      <c r="M1959" s="38">
        <v>0</v>
      </c>
      <c r="N1959" s="50"/>
      <c r="O1959" s="38">
        <v>0</v>
      </c>
      <c r="P1959" s="38">
        <v>3</v>
      </c>
    </row>
    <row r="1960" spans="1:31" x14ac:dyDescent="0.25">
      <c r="A1960" s="38" t="s">
        <v>36</v>
      </c>
      <c r="B1960" s="38" t="s">
        <v>4140</v>
      </c>
      <c r="C1960" s="38" t="s">
        <v>4214</v>
      </c>
      <c r="D1960" s="38" t="s">
        <v>4219</v>
      </c>
      <c r="E1960" s="38" t="s">
        <v>4220</v>
      </c>
      <c r="F1960" s="38">
        <v>2824</v>
      </c>
      <c r="G1960" s="38">
        <v>2824</v>
      </c>
      <c r="H1960" s="38">
        <f t="shared" si="94"/>
        <v>1270</v>
      </c>
      <c r="I1960" s="38">
        <v>831</v>
      </c>
      <c r="J1960" s="38">
        <v>439</v>
      </c>
      <c r="K1960" s="38">
        <v>392</v>
      </c>
      <c r="L1960" s="50">
        <f t="shared" si="95"/>
        <v>30.866141732283463</v>
      </c>
      <c r="M1960" s="38">
        <v>0</v>
      </c>
      <c r="N1960" s="50">
        <f t="shared" si="96"/>
        <v>0</v>
      </c>
      <c r="O1960" s="38">
        <v>1</v>
      </c>
      <c r="P1960" s="38">
        <v>104</v>
      </c>
    </row>
    <row r="1961" spans="1:31" x14ac:dyDescent="0.25">
      <c r="A1961" s="38" t="s">
        <v>36</v>
      </c>
      <c r="B1961" s="38" t="s">
        <v>4140</v>
      </c>
      <c r="C1961" s="38" t="s">
        <v>4214</v>
      </c>
      <c r="D1961" s="38" t="s">
        <v>4221</v>
      </c>
      <c r="E1961" s="38" t="s">
        <v>4222</v>
      </c>
      <c r="F1961" s="38">
        <v>979.83</v>
      </c>
      <c r="G1961" s="38">
        <v>979.83</v>
      </c>
      <c r="H1961" s="38">
        <f t="shared" si="94"/>
        <v>1061</v>
      </c>
      <c r="I1961" s="38">
        <v>705</v>
      </c>
      <c r="J1961" s="38">
        <v>356</v>
      </c>
      <c r="K1961" s="38">
        <v>349</v>
      </c>
      <c r="L1961" s="50">
        <f t="shared" si="95"/>
        <v>32.89349670122526</v>
      </c>
      <c r="M1961" s="38">
        <v>133</v>
      </c>
      <c r="N1961" s="50">
        <f t="shared" si="96"/>
        <v>12.535344015080113</v>
      </c>
      <c r="O1961" s="38">
        <v>0</v>
      </c>
      <c r="P1961" s="38">
        <v>143</v>
      </c>
      <c r="AC1961" s="117"/>
      <c r="AD1961" s="117"/>
    </row>
    <row r="1962" spans="1:31" x14ac:dyDescent="0.25">
      <c r="A1962" s="38" t="s">
        <v>36</v>
      </c>
      <c r="B1962" s="38" t="s">
        <v>4140</v>
      </c>
      <c r="C1962" s="38" t="s">
        <v>4214</v>
      </c>
      <c r="D1962" s="38" t="s">
        <v>4223</v>
      </c>
      <c r="E1962" s="38" t="s">
        <v>4224</v>
      </c>
      <c r="F1962" s="38">
        <v>208.93</v>
      </c>
      <c r="G1962" s="38">
        <v>208.93</v>
      </c>
      <c r="H1962" s="38">
        <f t="shared" si="94"/>
        <v>207</v>
      </c>
      <c r="I1962" s="38">
        <v>138</v>
      </c>
      <c r="J1962" s="38">
        <v>69</v>
      </c>
      <c r="K1962" s="38">
        <v>69</v>
      </c>
      <c r="L1962" s="50">
        <f t="shared" si="95"/>
        <v>33.333333333333329</v>
      </c>
      <c r="M1962" s="38">
        <v>0</v>
      </c>
      <c r="N1962" s="50">
        <f t="shared" si="96"/>
        <v>0</v>
      </c>
      <c r="O1962" s="38">
        <v>0</v>
      </c>
      <c r="P1962" s="38">
        <v>17</v>
      </c>
    </row>
    <row r="1963" spans="1:31" x14ac:dyDescent="0.25">
      <c r="A1963" s="38" t="s">
        <v>36</v>
      </c>
      <c r="B1963" s="38" t="s">
        <v>4140</v>
      </c>
      <c r="C1963" s="38" t="s">
        <v>4214</v>
      </c>
      <c r="D1963" s="38" t="s">
        <v>4225</v>
      </c>
      <c r="E1963" s="38" t="s">
        <v>4226</v>
      </c>
      <c r="F1963" s="38">
        <v>388.37</v>
      </c>
      <c r="G1963" s="38">
        <v>388.37</v>
      </c>
      <c r="H1963" s="38">
        <f t="shared" si="94"/>
        <v>1069</v>
      </c>
      <c r="I1963" s="38">
        <v>703</v>
      </c>
      <c r="J1963" s="38">
        <v>366</v>
      </c>
      <c r="K1963" s="38">
        <v>337</v>
      </c>
      <c r="L1963" s="50">
        <f t="shared" si="95"/>
        <v>31.524789522918617</v>
      </c>
      <c r="M1963" s="38">
        <v>0</v>
      </c>
      <c r="N1963" s="50">
        <f t="shared" si="96"/>
        <v>0</v>
      </c>
      <c r="O1963" s="38">
        <v>0</v>
      </c>
      <c r="P1963" s="38">
        <v>21.37</v>
      </c>
    </row>
    <row r="1964" spans="1:31" x14ac:dyDescent="0.25">
      <c r="A1964" s="38" t="s">
        <v>36</v>
      </c>
      <c r="B1964" s="38" t="s">
        <v>4140</v>
      </c>
      <c r="C1964" s="38" t="s">
        <v>4214</v>
      </c>
      <c r="D1964" s="38" t="s">
        <v>4227</v>
      </c>
      <c r="E1964" s="38" t="s">
        <v>4228</v>
      </c>
      <c r="F1964" s="38">
        <v>801</v>
      </c>
      <c r="G1964" s="38">
        <v>801</v>
      </c>
      <c r="H1964" s="38">
        <f t="shared" si="94"/>
        <v>980</v>
      </c>
      <c r="I1964" s="38">
        <v>650</v>
      </c>
      <c r="J1964" s="38">
        <v>330</v>
      </c>
      <c r="K1964" s="38">
        <v>320</v>
      </c>
      <c r="L1964" s="50">
        <f t="shared" si="95"/>
        <v>32.653061224489797</v>
      </c>
      <c r="M1964" s="38">
        <v>0</v>
      </c>
      <c r="N1964" s="50">
        <f t="shared" si="96"/>
        <v>0</v>
      </c>
      <c r="O1964" s="38">
        <v>0</v>
      </c>
      <c r="P1964" s="38">
        <v>17</v>
      </c>
    </row>
    <row r="1965" spans="1:31" x14ac:dyDescent="0.25">
      <c r="A1965" s="38" t="s">
        <v>36</v>
      </c>
      <c r="B1965" s="38" t="s">
        <v>4140</v>
      </c>
      <c r="C1965" s="38" t="s">
        <v>4229</v>
      </c>
      <c r="D1965" s="38" t="s">
        <v>4230</v>
      </c>
      <c r="E1965" s="38" t="s">
        <v>4231</v>
      </c>
      <c r="F1965" s="38">
        <v>741</v>
      </c>
      <c r="G1965" s="38">
        <v>741</v>
      </c>
      <c r="H1965" s="38">
        <f t="shared" si="94"/>
        <v>1814</v>
      </c>
      <c r="I1965" s="38">
        <v>1196</v>
      </c>
      <c r="J1965" s="38">
        <v>618</v>
      </c>
      <c r="K1965" s="38">
        <v>578</v>
      </c>
      <c r="L1965" s="50">
        <f t="shared" si="95"/>
        <v>31.863285556780596</v>
      </c>
      <c r="M1965" s="38">
        <v>0</v>
      </c>
      <c r="N1965" s="50">
        <f t="shared" si="96"/>
        <v>0</v>
      </c>
      <c r="O1965" s="38">
        <v>0</v>
      </c>
      <c r="P1965" s="38">
        <v>11</v>
      </c>
    </row>
    <row r="1966" spans="1:31" x14ac:dyDescent="0.25">
      <c r="A1966" s="38" t="s">
        <v>36</v>
      </c>
      <c r="B1966" s="38" t="s">
        <v>4140</v>
      </c>
      <c r="C1966" s="38" t="s">
        <v>4229</v>
      </c>
      <c r="D1966" s="38" t="s">
        <v>4232</v>
      </c>
      <c r="E1966" s="38" t="s">
        <v>4233</v>
      </c>
      <c r="F1966" s="38">
        <v>565</v>
      </c>
      <c r="G1966" s="38">
        <v>565</v>
      </c>
      <c r="H1966" s="38">
        <f t="shared" si="94"/>
        <v>1708</v>
      </c>
      <c r="I1966" s="38">
        <v>1124</v>
      </c>
      <c r="J1966" s="38">
        <v>584</v>
      </c>
      <c r="K1966" s="38">
        <v>540</v>
      </c>
      <c r="L1966" s="50">
        <f t="shared" si="95"/>
        <v>31.615925058548012</v>
      </c>
      <c r="M1966" s="38">
        <v>0</v>
      </c>
      <c r="N1966" s="50">
        <f t="shared" si="96"/>
        <v>0</v>
      </c>
      <c r="O1966" s="38">
        <v>0</v>
      </c>
      <c r="P1966" s="38">
        <v>60</v>
      </c>
    </row>
    <row r="1967" spans="1:31" x14ac:dyDescent="0.25">
      <c r="A1967" s="38" t="s">
        <v>36</v>
      </c>
      <c r="B1967" s="38" t="s">
        <v>4140</v>
      </c>
      <c r="C1967" s="38" t="s">
        <v>4229</v>
      </c>
      <c r="D1967" s="38" t="s">
        <v>4234</v>
      </c>
      <c r="E1967" s="38" t="s">
        <v>4235</v>
      </c>
      <c r="F1967" s="38">
        <v>1324</v>
      </c>
      <c r="G1967" s="38">
        <v>1324</v>
      </c>
      <c r="H1967" s="38">
        <f t="shared" si="94"/>
        <v>2190</v>
      </c>
      <c r="I1967" s="38">
        <v>1437</v>
      </c>
      <c r="J1967" s="38">
        <v>753</v>
      </c>
      <c r="K1967" s="38">
        <v>684</v>
      </c>
      <c r="L1967" s="50">
        <f t="shared" si="95"/>
        <v>31.232876712328768</v>
      </c>
      <c r="M1967" s="38">
        <v>168</v>
      </c>
      <c r="N1967" s="50">
        <f t="shared" si="96"/>
        <v>7.6712328767123292</v>
      </c>
      <c r="O1967" s="38">
        <v>0</v>
      </c>
      <c r="P1967" s="38">
        <v>79</v>
      </c>
    </row>
    <row r="1968" spans="1:31" x14ac:dyDescent="0.25">
      <c r="A1968" s="38" t="s">
        <v>36</v>
      </c>
      <c r="B1968" s="38" t="s">
        <v>4140</v>
      </c>
      <c r="C1968" s="38" t="s">
        <v>4236</v>
      </c>
      <c r="D1968" s="38" t="s">
        <v>4237</v>
      </c>
      <c r="E1968" s="38" t="s">
        <v>4238</v>
      </c>
      <c r="F1968" s="38">
        <v>2179</v>
      </c>
      <c r="G1968" s="38">
        <v>2179</v>
      </c>
      <c r="H1968" s="38">
        <f t="shared" si="94"/>
        <v>3939</v>
      </c>
      <c r="I1968" s="38">
        <v>2610</v>
      </c>
      <c r="J1968" s="38">
        <v>1329</v>
      </c>
      <c r="K1968" s="38">
        <v>1281</v>
      </c>
      <c r="L1968" s="50">
        <f t="shared" si="95"/>
        <v>32.520944402132521</v>
      </c>
      <c r="M1968" s="38">
        <v>77</v>
      </c>
      <c r="N1968" s="50">
        <f t="shared" si="96"/>
        <v>1.9548108657019547</v>
      </c>
      <c r="O1968" s="38">
        <v>0</v>
      </c>
      <c r="P1968" s="38">
        <v>66</v>
      </c>
      <c r="Q1968" s="39" t="s">
        <v>44</v>
      </c>
      <c r="R1968" s="25">
        <v>44447</v>
      </c>
      <c r="S1968" s="40"/>
      <c r="T1968" s="237">
        <v>66</v>
      </c>
      <c r="U1968" s="39"/>
      <c r="V1968" s="39"/>
      <c r="W1968" s="39"/>
      <c r="X1968" s="39"/>
      <c r="Y1968" s="39"/>
      <c r="Z1968" s="3"/>
      <c r="AB1968" s="3"/>
      <c r="AC1968" s="60" t="s">
        <v>4239</v>
      </c>
      <c r="AD1968" s="2"/>
      <c r="AE1968" s="40"/>
    </row>
    <row r="1969" spans="1:31" x14ac:dyDescent="0.25">
      <c r="A1969" s="38" t="s">
        <v>36</v>
      </c>
      <c r="B1969" s="38" t="s">
        <v>4140</v>
      </c>
      <c r="C1969" s="38" t="s">
        <v>4236</v>
      </c>
      <c r="D1969" s="38" t="s">
        <v>4240</v>
      </c>
      <c r="E1969" s="38" t="s">
        <v>4241</v>
      </c>
      <c r="F1969" s="38">
        <v>469</v>
      </c>
      <c r="G1969" s="38">
        <v>469</v>
      </c>
      <c r="H1969" s="38">
        <f t="shared" si="94"/>
        <v>703</v>
      </c>
      <c r="I1969" s="38">
        <v>468</v>
      </c>
      <c r="J1969" s="38">
        <v>235</v>
      </c>
      <c r="K1969" s="38">
        <v>233</v>
      </c>
      <c r="L1969" s="50">
        <f t="shared" si="95"/>
        <v>33.143669985775247</v>
      </c>
      <c r="M1969" s="38">
        <v>37</v>
      </c>
      <c r="N1969" s="50">
        <f t="shared" si="96"/>
        <v>5.2631578947368416</v>
      </c>
      <c r="O1969" s="38">
        <v>0</v>
      </c>
      <c r="P1969" s="38">
        <v>14</v>
      </c>
      <c r="Q1969" s="98" t="s">
        <v>160</v>
      </c>
      <c r="R1969" s="7">
        <v>44447</v>
      </c>
      <c r="S1969" s="99"/>
      <c r="T1969" s="11">
        <v>14</v>
      </c>
      <c r="U1969" s="98"/>
      <c r="V1969" s="98"/>
      <c r="W1969" s="98"/>
      <c r="X1969" s="98"/>
      <c r="Y1969" s="98"/>
      <c r="Z1969" s="20"/>
      <c r="AB1969" s="20"/>
      <c r="AC1969" s="11" t="s">
        <v>2090</v>
      </c>
      <c r="AD1969" s="61"/>
      <c r="AE1969" s="99"/>
    </row>
    <row r="1970" spans="1:31" x14ac:dyDescent="0.25">
      <c r="A1970" s="38" t="s">
        <v>36</v>
      </c>
      <c r="B1970" s="38" t="s">
        <v>4140</v>
      </c>
      <c r="C1970" s="38" t="s">
        <v>4236</v>
      </c>
      <c r="D1970" s="38" t="s">
        <v>4242</v>
      </c>
      <c r="E1970" s="38" t="s">
        <v>4243</v>
      </c>
      <c r="F1970" s="38">
        <v>585</v>
      </c>
      <c r="G1970" s="38">
        <v>585</v>
      </c>
      <c r="H1970" s="38">
        <f t="shared" si="94"/>
        <v>1101</v>
      </c>
      <c r="I1970" s="38">
        <v>725</v>
      </c>
      <c r="J1970" s="38">
        <v>376</v>
      </c>
      <c r="K1970" s="38">
        <v>349</v>
      </c>
      <c r="L1970" s="50">
        <f t="shared" si="95"/>
        <v>31.698455949137148</v>
      </c>
      <c r="M1970" s="38">
        <v>0</v>
      </c>
      <c r="N1970" s="50">
        <f t="shared" si="96"/>
        <v>0</v>
      </c>
      <c r="O1970" s="38">
        <v>0</v>
      </c>
      <c r="P1970" s="38">
        <v>8</v>
      </c>
      <c r="Q1970" s="98" t="s">
        <v>160</v>
      </c>
      <c r="R1970" s="7">
        <v>44447</v>
      </c>
      <c r="S1970" s="99"/>
      <c r="T1970" s="11">
        <v>8</v>
      </c>
      <c r="U1970" s="98"/>
      <c r="V1970" s="98"/>
      <c r="W1970" s="98"/>
      <c r="X1970" s="98"/>
      <c r="Y1970" s="98"/>
      <c r="Z1970" s="20"/>
      <c r="AB1970" s="20"/>
      <c r="AC1970" s="11" t="s">
        <v>2035</v>
      </c>
      <c r="AD1970" s="61"/>
      <c r="AE1970" s="99"/>
    </row>
    <row r="1971" spans="1:31" x14ac:dyDescent="0.25">
      <c r="A1971" s="38" t="s">
        <v>36</v>
      </c>
      <c r="B1971" s="38" t="s">
        <v>4140</v>
      </c>
      <c r="C1971" s="38" t="s">
        <v>4244</v>
      </c>
      <c r="D1971" s="38" t="s">
        <v>4244</v>
      </c>
      <c r="E1971" s="38" t="s">
        <v>4245</v>
      </c>
      <c r="F1971" s="38">
        <v>1782.89</v>
      </c>
      <c r="G1971" s="38">
        <v>1782.89</v>
      </c>
      <c r="H1971" s="38">
        <f t="shared" si="94"/>
        <v>2412</v>
      </c>
      <c r="I1971" s="38">
        <v>1580</v>
      </c>
      <c r="J1971" s="38">
        <v>832</v>
      </c>
      <c r="K1971" s="38">
        <v>748</v>
      </c>
      <c r="L1971" s="50">
        <f t="shared" si="95"/>
        <v>31.01160862354892</v>
      </c>
      <c r="M1971" s="38">
        <v>197</v>
      </c>
      <c r="N1971" s="50">
        <f t="shared" si="96"/>
        <v>8.1674958540630183</v>
      </c>
      <c r="O1971" s="38">
        <v>0</v>
      </c>
      <c r="P1971" s="38">
        <v>176.76</v>
      </c>
      <c r="Q1971" s="39" t="s">
        <v>44</v>
      </c>
      <c r="R1971" s="25">
        <v>44448</v>
      </c>
      <c r="S1971" s="40"/>
      <c r="T1971" s="237">
        <v>177</v>
      </c>
      <c r="U1971" s="39"/>
      <c r="V1971" s="39"/>
      <c r="W1971" s="39"/>
      <c r="X1971" s="39"/>
      <c r="Y1971" s="39"/>
      <c r="Z1971" s="3"/>
      <c r="AB1971" s="3"/>
      <c r="AC1971" s="60" t="s">
        <v>4246</v>
      </c>
      <c r="AD1971" s="2"/>
      <c r="AE1971" s="40"/>
    </row>
    <row r="1972" spans="1:31" x14ac:dyDescent="0.25">
      <c r="A1972" s="38" t="s">
        <v>36</v>
      </c>
      <c r="B1972" s="38" t="s">
        <v>4140</v>
      </c>
      <c r="C1972" s="38" t="s">
        <v>4244</v>
      </c>
      <c r="D1972" s="38" t="s">
        <v>4247</v>
      </c>
      <c r="E1972" s="38" t="s">
        <v>4248</v>
      </c>
      <c r="F1972" s="38">
        <v>785</v>
      </c>
      <c r="G1972" s="38">
        <v>785</v>
      </c>
      <c r="H1972" s="38">
        <f t="shared" si="94"/>
        <v>1594</v>
      </c>
      <c r="I1972" s="38">
        <v>1039</v>
      </c>
      <c r="J1972" s="38">
        <v>555</v>
      </c>
      <c r="K1972" s="38">
        <v>484</v>
      </c>
      <c r="L1972" s="50">
        <f t="shared" si="95"/>
        <v>30.363864491844417</v>
      </c>
      <c r="M1972" s="38">
        <v>1</v>
      </c>
      <c r="N1972" s="50">
        <f t="shared" si="96"/>
        <v>6.2735257214554571E-2</v>
      </c>
      <c r="O1972" s="38">
        <v>0</v>
      </c>
      <c r="P1972" s="38">
        <v>47</v>
      </c>
      <c r="Q1972" s="98" t="s">
        <v>160</v>
      </c>
      <c r="R1972" s="7">
        <v>44448</v>
      </c>
      <c r="S1972" s="99"/>
      <c r="T1972" s="11">
        <v>47</v>
      </c>
      <c r="U1972" s="98"/>
      <c r="V1972" s="98"/>
      <c r="W1972" s="98"/>
      <c r="X1972" s="98"/>
      <c r="Y1972" s="98"/>
      <c r="Z1972" s="20"/>
      <c r="AB1972" s="20"/>
      <c r="AC1972" s="11" t="s">
        <v>4249</v>
      </c>
      <c r="AD1972" s="61"/>
      <c r="AE1972" s="99"/>
    </row>
    <row r="1973" spans="1:31" x14ac:dyDescent="0.25">
      <c r="A1973" s="38" t="s">
        <v>36</v>
      </c>
      <c r="B1973" s="38" t="s">
        <v>4140</v>
      </c>
      <c r="C1973" s="38" t="s">
        <v>4140</v>
      </c>
      <c r="D1973" s="38" t="s">
        <v>4250</v>
      </c>
      <c r="E1973" s="38" t="s">
        <v>4251</v>
      </c>
      <c r="F1973" s="38">
        <v>3928</v>
      </c>
      <c r="G1973" s="38">
        <v>3928</v>
      </c>
      <c r="H1973" s="38">
        <f t="shared" si="94"/>
        <v>7993</v>
      </c>
      <c r="I1973" s="38">
        <v>5274</v>
      </c>
      <c r="J1973" s="38">
        <v>2719</v>
      </c>
      <c r="K1973" s="38">
        <v>2555</v>
      </c>
      <c r="L1973" s="50">
        <f t="shared" si="95"/>
        <v>31.965469786062805</v>
      </c>
      <c r="M1973" s="38">
        <v>622</v>
      </c>
      <c r="N1973" s="50">
        <f t="shared" si="96"/>
        <v>7.7818090829475786</v>
      </c>
      <c r="O1973" s="38">
        <v>8</v>
      </c>
      <c r="P1973" s="38">
        <v>210</v>
      </c>
      <c r="Q1973" s="61" t="s">
        <v>43</v>
      </c>
      <c r="R1973" s="10">
        <v>44452</v>
      </c>
      <c r="S1973" s="61"/>
      <c r="T1973" s="20">
        <v>210</v>
      </c>
      <c r="U1973" s="61"/>
      <c r="V1973" s="61"/>
      <c r="W1973" s="61"/>
      <c r="X1973" s="61"/>
      <c r="Y1973" s="61"/>
      <c r="Z1973" s="20"/>
      <c r="AB1973" s="20">
        <v>144</v>
      </c>
      <c r="AC1973" s="61" t="s">
        <v>4252</v>
      </c>
      <c r="AD1973" s="61">
        <v>72.577115000000006</v>
      </c>
      <c r="AE1973" s="61">
        <v>26.044803000000002</v>
      </c>
    </row>
    <row r="1974" spans="1:31" x14ac:dyDescent="0.25">
      <c r="A1974" s="38" t="s">
        <v>36</v>
      </c>
      <c r="B1974" s="38" t="s">
        <v>4140</v>
      </c>
      <c r="C1974" s="38" t="s">
        <v>4140</v>
      </c>
      <c r="D1974" s="38" t="s">
        <v>4253</v>
      </c>
      <c r="E1974" s="38" t="s">
        <v>4254</v>
      </c>
      <c r="F1974" s="38">
        <v>287.66000000000003</v>
      </c>
      <c r="G1974" s="38">
        <v>287.66000000000003</v>
      </c>
      <c r="H1974" s="38">
        <f t="shared" si="94"/>
        <v>750</v>
      </c>
      <c r="I1974" s="38">
        <v>486</v>
      </c>
      <c r="J1974" s="38">
        <v>264</v>
      </c>
      <c r="K1974" s="38">
        <v>222</v>
      </c>
      <c r="L1974" s="50">
        <f t="shared" si="95"/>
        <v>29.599999999999998</v>
      </c>
      <c r="M1974" s="38">
        <v>97</v>
      </c>
      <c r="N1974" s="50">
        <f t="shared" si="96"/>
        <v>12.933333333333334</v>
      </c>
      <c r="O1974" s="38">
        <v>0</v>
      </c>
      <c r="P1974" s="38">
        <v>16.27</v>
      </c>
      <c r="Q1974" s="98" t="s">
        <v>160</v>
      </c>
      <c r="R1974" s="7">
        <v>44452</v>
      </c>
      <c r="S1974" s="99"/>
      <c r="T1974" s="11">
        <v>16</v>
      </c>
      <c r="U1974" s="98"/>
      <c r="V1974" s="98"/>
      <c r="W1974" s="98"/>
      <c r="X1974" s="98"/>
      <c r="Y1974" s="98"/>
      <c r="Z1974" s="20"/>
      <c r="AB1974" s="20"/>
      <c r="AC1974" s="11" t="s">
        <v>2086</v>
      </c>
      <c r="AD1974" s="61"/>
      <c r="AE1974" s="99"/>
    </row>
    <row r="1975" spans="1:31" x14ac:dyDescent="0.25">
      <c r="A1975" s="38" t="s">
        <v>36</v>
      </c>
      <c r="B1975" s="38" t="s">
        <v>4140</v>
      </c>
      <c r="C1975" s="38" t="s">
        <v>4255</v>
      </c>
      <c r="D1975" s="38" t="s">
        <v>4256</v>
      </c>
      <c r="E1975" s="38" t="s">
        <v>4257</v>
      </c>
      <c r="F1975" s="38">
        <v>1385.22</v>
      </c>
      <c r="G1975" s="38">
        <v>1385.22</v>
      </c>
      <c r="H1975" s="38">
        <f t="shared" si="94"/>
        <v>2305</v>
      </c>
      <c r="I1975" s="38">
        <v>1535</v>
      </c>
      <c r="J1975" s="38">
        <v>770</v>
      </c>
      <c r="K1975" s="38">
        <v>765</v>
      </c>
      <c r="L1975" s="50">
        <f t="shared" si="95"/>
        <v>33.188720173535792</v>
      </c>
      <c r="M1975" s="38">
        <v>30</v>
      </c>
      <c r="N1975" s="50">
        <f t="shared" si="96"/>
        <v>1.3015184381778742</v>
      </c>
      <c r="O1975" s="38">
        <v>0</v>
      </c>
      <c r="P1975" s="38">
        <v>118.74</v>
      </c>
      <c r="AC1975" s="117"/>
      <c r="AD1975" s="117"/>
    </row>
    <row r="1976" spans="1:31" x14ac:dyDescent="0.25">
      <c r="A1976" s="38" t="s">
        <v>36</v>
      </c>
      <c r="B1976" s="38" t="s">
        <v>4140</v>
      </c>
      <c r="C1976" s="38" t="s">
        <v>4255</v>
      </c>
      <c r="D1976" s="38" t="s">
        <v>4003</v>
      </c>
      <c r="E1976" s="38" t="s">
        <v>4258</v>
      </c>
      <c r="F1976" s="38">
        <v>1305.31</v>
      </c>
      <c r="G1976" s="38">
        <v>1305.31</v>
      </c>
      <c r="H1976" s="38">
        <f t="shared" si="94"/>
        <v>1866</v>
      </c>
      <c r="I1976" s="38">
        <v>1221</v>
      </c>
      <c r="J1976" s="38">
        <v>645</v>
      </c>
      <c r="K1976" s="38">
        <v>576</v>
      </c>
      <c r="L1976" s="50">
        <f t="shared" si="95"/>
        <v>30.868167202572351</v>
      </c>
      <c r="M1976" s="38">
        <v>56</v>
      </c>
      <c r="N1976" s="50">
        <f t="shared" si="96"/>
        <v>3.0010718113612005</v>
      </c>
      <c r="O1976" s="38">
        <v>0</v>
      </c>
      <c r="P1976" s="38">
        <v>54.05</v>
      </c>
    </row>
    <row r="1977" spans="1:31" x14ac:dyDescent="0.25">
      <c r="A1977" s="38" t="s">
        <v>36</v>
      </c>
      <c r="B1977" s="38" t="s">
        <v>4140</v>
      </c>
      <c r="C1977" s="38" t="s">
        <v>4255</v>
      </c>
      <c r="D1977" s="38" t="s">
        <v>4259</v>
      </c>
      <c r="E1977" s="38" t="s">
        <v>4260</v>
      </c>
      <c r="F1977" s="38">
        <v>1166.05</v>
      </c>
      <c r="G1977" s="38">
        <v>1166.05</v>
      </c>
      <c r="H1977" s="38">
        <f t="shared" si="94"/>
        <v>1612</v>
      </c>
      <c r="I1977" s="38">
        <v>1070</v>
      </c>
      <c r="J1977" s="38">
        <v>542</v>
      </c>
      <c r="K1977" s="38">
        <v>528</v>
      </c>
      <c r="L1977" s="50">
        <f t="shared" si="95"/>
        <v>32.754342431761785</v>
      </c>
      <c r="M1977" s="38">
        <v>0</v>
      </c>
      <c r="N1977" s="50">
        <f t="shared" si="96"/>
        <v>0</v>
      </c>
      <c r="O1977" s="38">
        <v>0</v>
      </c>
      <c r="P1977" s="38">
        <v>0</v>
      </c>
    </row>
    <row r="1978" spans="1:31" x14ac:dyDescent="0.25">
      <c r="A1978" s="38" t="s">
        <v>36</v>
      </c>
      <c r="B1978" s="38" t="s">
        <v>4140</v>
      </c>
      <c r="C1978" s="38" t="s">
        <v>4255</v>
      </c>
      <c r="D1978" s="38" t="s">
        <v>4261</v>
      </c>
      <c r="E1978" s="38" t="s">
        <v>4262</v>
      </c>
      <c r="F1978" s="38">
        <v>1694.62</v>
      </c>
      <c r="G1978" s="38">
        <v>1694.62</v>
      </c>
      <c r="H1978" s="38">
        <f t="shared" si="94"/>
        <v>778</v>
      </c>
      <c r="I1978" s="38">
        <v>499</v>
      </c>
      <c r="J1978" s="38">
        <v>279</v>
      </c>
      <c r="K1978" s="38">
        <v>220</v>
      </c>
      <c r="L1978" s="50">
        <f t="shared" si="95"/>
        <v>28.277634961439592</v>
      </c>
      <c r="M1978" s="38">
        <v>120</v>
      </c>
      <c r="N1978" s="50">
        <f t="shared" si="96"/>
        <v>15.424164524421593</v>
      </c>
      <c r="O1978" s="38">
        <v>0</v>
      </c>
      <c r="P1978" s="38">
        <v>61.1</v>
      </c>
    </row>
    <row r="1979" spans="1:31" x14ac:dyDescent="0.25">
      <c r="A1979" s="38" t="s">
        <v>36</v>
      </c>
      <c r="B1979" s="38" t="s">
        <v>4140</v>
      </c>
      <c r="C1979" s="38" t="s">
        <v>4263</v>
      </c>
      <c r="D1979" s="38" t="s">
        <v>4263</v>
      </c>
      <c r="E1979" s="38" t="s">
        <v>4264</v>
      </c>
      <c r="F1979" s="38"/>
      <c r="G1979" s="38"/>
      <c r="H1979" s="38">
        <f t="shared" si="94"/>
        <v>0</v>
      </c>
      <c r="I1979" s="38"/>
      <c r="J1979" s="38"/>
      <c r="K1979" s="38"/>
      <c r="L1979" s="50"/>
      <c r="M1979" s="38"/>
      <c r="N1979" s="50"/>
      <c r="O1979" s="38">
        <v>0</v>
      </c>
      <c r="P1979" s="38">
        <v>2</v>
      </c>
      <c r="Q1979" s="98" t="s">
        <v>160</v>
      </c>
      <c r="R1979" s="7">
        <v>44463</v>
      </c>
      <c r="S1979" s="99"/>
      <c r="T1979" s="20">
        <v>2</v>
      </c>
      <c r="U1979" s="98"/>
      <c r="V1979" s="98"/>
      <c r="W1979" s="98"/>
      <c r="X1979" s="98"/>
      <c r="Y1979" s="98"/>
      <c r="Z1979" s="20"/>
      <c r="AB1979" s="20"/>
      <c r="AC1979" s="11" t="s">
        <v>4265</v>
      </c>
      <c r="AD1979" s="61"/>
      <c r="AE1979" s="99"/>
    </row>
    <row r="1980" spans="1:31" x14ac:dyDescent="0.25">
      <c r="A1980" s="38" t="s">
        <v>36</v>
      </c>
      <c r="B1980" s="38" t="s">
        <v>4140</v>
      </c>
      <c r="C1980" s="38" t="s">
        <v>4263</v>
      </c>
      <c r="D1980" s="38" t="s">
        <v>4266</v>
      </c>
      <c r="E1980" s="38" t="s">
        <v>4267</v>
      </c>
      <c r="F1980" s="38">
        <v>604</v>
      </c>
      <c r="G1980" s="38">
        <v>604</v>
      </c>
      <c r="H1980" s="38">
        <f t="shared" si="94"/>
        <v>1276</v>
      </c>
      <c r="I1980" s="38">
        <v>855</v>
      </c>
      <c r="J1980" s="38">
        <v>421</v>
      </c>
      <c r="K1980" s="38">
        <v>434</v>
      </c>
      <c r="L1980" s="50">
        <f t="shared" si="95"/>
        <v>34.012539184952978</v>
      </c>
      <c r="M1980" s="38">
        <v>24</v>
      </c>
      <c r="N1980" s="50">
        <f t="shared" si="96"/>
        <v>1.8808777429467085</v>
      </c>
      <c r="O1980" s="38">
        <v>0</v>
      </c>
      <c r="P1980" s="38">
        <v>58</v>
      </c>
      <c r="Q1980" s="98" t="s">
        <v>160</v>
      </c>
      <c r="R1980" s="7">
        <v>44463</v>
      </c>
      <c r="S1980" s="99"/>
      <c r="T1980" s="11">
        <v>58</v>
      </c>
      <c r="U1980" s="98"/>
      <c r="V1980" s="98"/>
      <c r="W1980" s="98"/>
      <c r="X1980" s="98"/>
      <c r="Y1980" s="98"/>
      <c r="Z1980" s="20"/>
      <c r="AB1980" s="20"/>
      <c r="AC1980" s="11" t="s">
        <v>4268</v>
      </c>
      <c r="AD1980" s="61"/>
      <c r="AE1980" s="99"/>
    </row>
    <row r="1981" spans="1:31" x14ac:dyDescent="0.25">
      <c r="A1981" s="38" t="s">
        <v>36</v>
      </c>
      <c r="B1981" s="38" t="s">
        <v>4140</v>
      </c>
      <c r="C1981" s="38" t="s">
        <v>4263</v>
      </c>
      <c r="D1981" s="38" t="s">
        <v>4269</v>
      </c>
      <c r="E1981" s="38" t="s">
        <v>4270</v>
      </c>
      <c r="F1981" s="38"/>
      <c r="G1981" s="38"/>
      <c r="H1981" s="38">
        <f t="shared" si="94"/>
        <v>0</v>
      </c>
      <c r="I1981" s="38"/>
      <c r="J1981" s="38"/>
      <c r="K1981" s="38"/>
      <c r="L1981" s="50"/>
      <c r="M1981" s="38"/>
      <c r="N1981" s="50"/>
      <c r="O1981" s="38">
        <v>0</v>
      </c>
      <c r="P1981" s="38">
        <v>13</v>
      </c>
      <c r="Q1981" s="98" t="s">
        <v>160</v>
      </c>
      <c r="R1981" s="7">
        <v>44463</v>
      </c>
      <c r="S1981" s="99"/>
      <c r="T1981" s="11">
        <v>13</v>
      </c>
      <c r="U1981" s="98"/>
      <c r="V1981" s="98"/>
      <c r="W1981" s="98"/>
      <c r="X1981" s="98"/>
      <c r="Y1981" s="98"/>
      <c r="Z1981" s="20"/>
      <c r="AB1981" s="20"/>
      <c r="AC1981" s="11" t="s">
        <v>2088</v>
      </c>
      <c r="AD1981" s="61"/>
      <c r="AE1981" s="99"/>
    </row>
    <row r="1982" spans="1:31" x14ac:dyDescent="0.25">
      <c r="A1982" s="38" t="s">
        <v>36</v>
      </c>
      <c r="B1982" s="38" t="s">
        <v>4140</v>
      </c>
      <c r="C1982" s="38" t="s">
        <v>4271</v>
      </c>
      <c r="D1982" s="38" t="s">
        <v>4272</v>
      </c>
      <c r="E1982" s="38" t="s">
        <v>4273</v>
      </c>
      <c r="F1982" s="38">
        <v>2657</v>
      </c>
      <c r="G1982" s="38">
        <v>2657</v>
      </c>
      <c r="H1982" s="38">
        <f t="shared" si="94"/>
        <v>4029</v>
      </c>
      <c r="I1982" s="38">
        <v>2634</v>
      </c>
      <c r="J1982" s="38">
        <v>1395</v>
      </c>
      <c r="K1982" s="38">
        <v>1239</v>
      </c>
      <c r="L1982" s="50">
        <f t="shared" si="95"/>
        <v>30.752047654504839</v>
      </c>
      <c r="M1982" s="38">
        <v>254</v>
      </c>
      <c r="N1982" s="50">
        <f t="shared" si="96"/>
        <v>6.3042938694465134</v>
      </c>
      <c r="O1982" s="38">
        <v>0</v>
      </c>
      <c r="P1982" s="38">
        <v>502</v>
      </c>
      <c r="Q1982" s="61" t="s">
        <v>43</v>
      </c>
      <c r="R1982" s="25">
        <v>44447</v>
      </c>
      <c r="S1982" s="61"/>
      <c r="T1982" s="20">
        <v>302</v>
      </c>
      <c r="U1982" s="61"/>
      <c r="V1982" s="61"/>
      <c r="W1982" s="61"/>
      <c r="X1982" s="61"/>
      <c r="Y1982" s="61"/>
      <c r="Z1982" s="109"/>
      <c r="AB1982" s="20">
        <v>110</v>
      </c>
      <c r="AC1982" s="61" t="s">
        <v>4274</v>
      </c>
      <c r="AD1982" s="61">
        <v>72.587964999999997</v>
      </c>
      <c r="AE1982" s="61">
        <v>26.206233999999998</v>
      </c>
    </row>
    <row r="1983" spans="1:31" x14ac:dyDescent="0.25">
      <c r="A1983" s="38" t="s">
        <v>36</v>
      </c>
      <c r="B1983" s="38" t="s">
        <v>4140</v>
      </c>
      <c r="C1983" s="38" t="s">
        <v>4271</v>
      </c>
      <c r="D1983" s="38" t="s">
        <v>4275</v>
      </c>
      <c r="E1983" s="38" t="s">
        <v>4276</v>
      </c>
      <c r="F1983" s="38">
        <v>473</v>
      </c>
      <c r="G1983" s="38">
        <v>473</v>
      </c>
      <c r="H1983" s="38">
        <f t="shared" si="94"/>
        <v>809</v>
      </c>
      <c r="I1983" s="38">
        <v>520</v>
      </c>
      <c r="J1983" s="38">
        <v>289</v>
      </c>
      <c r="K1983" s="38">
        <v>231</v>
      </c>
      <c r="L1983" s="50">
        <f t="shared" si="95"/>
        <v>28.553770086526576</v>
      </c>
      <c r="M1983" s="38">
        <v>54</v>
      </c>
      <c r="N1983" s="50">
        <f t="shared" si="96"/>
        <v>6.6749072929542645</v>
      </c>
      <c r="O1983" s="38">
        <v>0</v>
      </c>
      <c r="P1983" s="38">
        <v>84</v>
      </c>
      <c r="Q1983" s="39" t="s">
        <v>44</v>
      </c>
      <c r="R1983" s="25">
        <v>44447</v>
      </c>
      <c r="S1983" s="40"/>
      <c r="T1983" s="237">
        <v>84</v>
      </c>
      <c r="U1983" s="39"/>
      <c r="V1983" s="39"/>
      <c r="W1983" s="39"/>
      <c r="X1983" s="39"/>
      <c r="Y1983" s="39"/>
      <c r="Z1983" s="3"/>
      <c r="AB1983" s="3"/>
      <c r="AC1983" s="60" t="s">
        <v>4277</v>
      </c>
      <c r="AD1983" s="2"/>
      <c r="AE1983" s="40"/>
    </row>
    <row r="1984" spans="1:31" x14ac:dyDescent="0.25">
      <c r="A1984" s="38" t="s">
        <v>36</v>
      </c>
      <c r="B1984" s="38" t="s">
        <v>4140</v>
      </c>
      <c r="C1984" s="38" t="s">
        <v>4278</v>
      </c>
      <c r="D1984" s="38" t="s">
        <v>4279</v>
      </c>
      <c r="E1984" s="38" t="s">
        <v>4280</v>
      </c>
      <c r="F1984" s="38"/>
      <c r="G1984" s="38"/>
      <c r="H1984" s="38">
        <f t="shared" si="94"/>
        <v>0</v>
      </c>
      <c r="I1984" s="38"/>
      <c r="J1984" s="38"/>
      <c r="K1984" s="38"/>
      <c r="L1984" s="50"/>
      <c r="M1984" s="38"/>
      <c r="N1984" s="50"/>
      <c r="O1984" s="38">
        <v>0</v>
      </c>
      <c r="P1984" s="38">
        <v>32.020000000000003</v>
      </c>
      <c r="Q1984" s="34" t="s">
        <v>43</v>
      </c>
      <c r="R1984" s="88">
        <v>44454</v>
      </c>
      <c r="S1984" s="34"/>
      <c r="T1984" s="89">
        <v>32</v>
      </c>
      <c r="U1984" s="34"/>
      <c r="V1984" s="34"/>
      <c r="W1984" s="34"/>
      <c r="X1984" s="34"/>
      <c r="Y1984" s="34"/>
      <c r="Z1984" s="109"/>
      <c r="AB1984" s="89">
        <v>4</v>
      </c>
      <c r="AC1984" s="34" t="s">
        <v>4281</v>
      </c>
      <c r="AD1984" s="34">
        <v>72.364924999999999</v>
      </c>
      <c r="AE1984" s="34">
        <v>25.936522</v>
      </c>
    </row>
    <row r="1985" spans="1:31" x14ac:dyDescent="0.25">
      <c r="A1985" s="38" t="s">
        <v>36</v>
      </c>
      <c r="B1985" s="38" t="s">
        <v>4140</v>
      </c>
      <c r="C1985" s="38" t="s">
        <v>4278</v>
      </c>
      <c r="D1985" s="38" t="s">
        <v>4282</v>
      </c>
      <c r="E1985" s="38" t="s">
        <v>4283</v>
      </c>
      <c r="F1985" s="38">
        <v>689.69</v>
      </c>
      <c r="G1985" s="38">
        <v>689.69</v>
      </c>
      <c r="H1985" s="38">
        <f t="shared" si="94"/>
        <v>573</v>
      </c>
      <c r="I1985" s="38">
        <v>375</v>
      </c>
      <c r="J1985" s="38">
        <v>198</v>
      </c>
      <c r="K1985" s="38">
        <v>177</v>
      </c>
      <c r="L1985" s="50">
        <f t="shared" si="95"/>
        <v>30.890052356020941</v>
      </c>
      <c r="M1985" s="38">
        <v>0</v>
      </c>
      <c r="N1985" s="50">
        <f t="shared" si="96"/>
        <v>0</v>
      </c>
      <c r="O1985" s="38">
        <v>0</v>
      </c>
      <c r="P1985" s="38">
        <v>0</v>
      </c>
      <c r="Q1985" s="61" t="s">
        <v>43</v>
      </c>
      <c r="R1985" s="7">
        <v>44454</v>
      </c>
      <c r="S1985" s="61"/>
      <c r="T1985" s="20">
        <v>0</v>
      </c>
      <c r="U1985" s="61"/>
      <c r="V1985" s="61"/>
      <c r="W1985" s="61"/>
      <c r="X1985" s="61"/>
      <c r="Y1985" s="61"/>
      <c r="Z1985" s="20"/>
      <c r="AB1985" s="20"/>
      <c r="AC1985" s="11" t="s">
        <v>4284</v>
      </c>
      <c r="AD1985" s="61">
        <v>0</v>
      </c>
      <c r="AE1985" s="61"/>
    </row>
    <row r="1986" spans="1:31" x14ac:dyDescent="0.25">
      <c r="A1986" s="38" t="s">
        <v>36</v>
      </c>
      <c r="B1986" s="38" t="s">
        <v>4140</v>
      </c>
      <c r="C1986" s="38" t="s">
        <v>4285</v>
      </c>
      <c r="D1986" s="38" t="s">
        <v>4286</v>
      </c>
      <c r="E1986" s="38" t="s">
        <v>4287</v>
      </c>
      <c r="F1986" s="38"/>
      <c r="G1986" s="38"/>
      <c r="H1986" s="38">
        <f t="shared" si="94"/>
        <v>0</v>
      </c>
      <c r="I1986" s="38"/>
      <c r="J1986" s="38"/>
      <c r="K1986" s="38"/>
      <c r="L1986" s="50"/>
      <c r="M1986" s="38"/>
      <c r="N1986" s="50"/>
      <c r="O1986" s="38">
        <v>0</v>
      </c>
      <c r="P1986" s="38">
        <v>124.02</v>
      </c>
      <c r="Q1986" s="61" t="s">
        <v>43</v>
      </c>
      <c r="R1986" s="188">
        <v>44448</v>
      </c>
      <c r="S1986" s="61"/>
      <c r="T1986" s="20">
        <v>124</v>
      </c>
      <c r="U1986" s="61"/>
      <c r="V1986" s="61"/>
      <c r="W1986" s="61"/>
      <c r="X1986" s="61"/>
      <c r="Y1986" s="61"/>
      <c r="Z1986" s="109"/>
      <c r="AB1986" s="20">
        <v>35</v>
      </c>
      <c r="AC1986" s="34" t="s">
        <v>4288</v>
      </c>
      <c r="AD1986" s="61">
        <v>71.392667000000003</v>
      </c>
      <c r="AE1986" s="61">
        <v>24.658601000000001</v>
      </c>
    </row>
    <row r="1987" spans="1:31" x14ac:dyDescent="0.25">
      <c r="A1987" s="38" t="s">
        <v>36</v>
      </c>
      <c r="B1987" s="38" t="s">
        <v>4140</v>
      </c>
      <c r="C1987" s="38" t="s">
        <v>4285</v>
      </c>
      <c r="D1987" s="38" t="s">
        <v>4289</v>
      </c>
      <c r="E1987" s="38" t="s">
        <v>4290</v>
      </c>
      <c r="F1987" s="38">
        <v>879.2</v>
      </c>
      <c r="G1987" s="38">
        <v>879.2</v>
      </c>
      <c r="H1987" s="38">
        <f t="shared" si="94"/>
        <v>986</v>
      </c>
      <c r="I1987" s="38">
        <v>649</v>
      </c>
      <c r="J1987" s="38">
        <v>337</v>
      </c>
      <c r="K1987" s="38">
        <v>312</v>
      </c>
      <c r="L1987" s="50">
        <f t="shared" si="95"/>
        <v>31.643002028397564</v>
      </c>
      <c r="M1987" s="38">
        <v>18</v>
      </c>
      <c r="N1987" s="50">
        <f t="shared" si="96"/>
        <v>1.8255578093306288</v>
      </c>
      <c r="O1987" s="38">
        <v>0</v>
      </c>
      <c r="P1987" s="38">
        <v>8.02</v>
      </c>
      <c r="Q1987" s="98" t="s">
        <v>160</v>
      </c>
      <c r="R1987" s="7">
        <v>44448</v>
      </c>
      <c r="S1987" s="99"/>
      <c r="T1987" s="11">
        <v>8</v>
      </c>
      <c r="U1987" s="98"/>
      <c r="V1987" s="98"/>
      <c r="W1987" s="98"/>
      <c r="X1987" s="98"/>
      <c r="Y1987" s="98"/>
      <c r="Z1987" s="20"/>
      <c r="AB1987" s="20"/>
      <c r="AC1987" s="11" t="s">
        <v>2011</v>
      </c>
      <c r="AD1987" s="61"/>
      <c r="AE1987" s="99"/>
    </row>
    <row r="1988" spans="1:31" x14ac:dyDescent="0.25">
      <c r="A1988" s="38" t="s">
        <v>36</v>
      </c>
      <c r="B1988" s="38" t="s">
        <v>4140</v>
      </c>
      <c r="C1988" s="38" t="s">
        <v>4291</v>
      </c>
      <c r="D1988" s="38" t="s">
        <v>4292</v>
      </c>
      <c r="E1988" s="38" t="s">
        <v>4293</v>
      </c>
      <c r="F1988" s="38">
        <v>749</v>
      </c>
      <c r="G1988" s="38">
        <v>749</v>
      </c>
      <c r="H1988" s="38">
        <f t="shared" si="94"/>
        <v>1722</v>
      </c>
      <c r="I1988" s="38">
        <v>1155</v>
      </c>
      <c r="J1988" s="38">
        <v>567</v>
      </c>
      <c r="K1988" s="38">
        <v>588</v>
      </c>
      <c r="L1988" s="50">
        <f t="shared" si="95"/>
        <v>34.146341463414636</v>
      </c>
      <c r="M1988" s="38">
        <v>25</v>
      </c>
      <c r="N1988" s="50">
        <f t="shared" si="96"/>
        <v>1.4518002322880372</v>
      </c>
      <c r="O1988" s="38">
        <v>0</v>
      </c>
      <c r="P1988" s="38">
        <v>13</v>
      </c>
      <c r="Q1988" s="98" t="s">
        <v>160</v>
      </c>
      <c r="R1988" s="7">
        <v>44459</v>
      </c>
      <c r="S1988" s="99"/>
      <c r="T1988" s="11">
        <v>13</v>
      </c>
      <c r="U1988" s="98"/>
      <c r="V1988" s="98"/>
      <c r="W1988" s="98"/>
      <c r="X1988" s="98"/>
      <c r="Y1988" s="98"/>
      <c r="Z1988" s="20"/>
      <c r="AB1988" s="20"/>
      <c r="AC1988" s="11" t="s">
        <v>2092</v>
      </c>
      <c r="AD1988" s="61"/>
      <c r="AE1988" s="99"/>
    </row>
    <row r="1989" spans="1:31" x14ac:dyDescent="0.25">
      <c r="A1989" s="38" t="s">
        <v>36</v>
      </c>
      <c r="B1989" s="38" t="s">
        <v>4140</v>
      </c>
      <c r="C1989" s="38" t="s">
        <v>4291</v>
      </c>
      <c r="D1989" s="38" t="s">
        <v>4294</v>
      </c>
      <c r="E1989" s="38" t="s">
        <v>4295</v>
      </c>
      <c r="F1989" s="38">
        <v>474</v>
      </c>
      <c r="G1989" s="38">
        <v>474</v>
      </c>
      <c r="H1989" s="38">
        <f t="shared" ref="H1989:H2052" si="97">I1989+J1989</f>
        <v>1330</v>
      </c>
      <c r="I1989" s="38">
        <v>882</v>
      </c>
      <c r="J1989" s="38">
        <v>448</v>
      </c>
      <c r="K1989" s="38">
        <v>434</v>
      </c>
      <c r="L1989" s="50">
        <f t="shared" si="95"/>
        <v>32.631578947368425</v>
      </c>
      <c r="M1989" s="38">
        <v>13</v>
      </c>
      <c r="N1989" s="50">
        <f t="shared" si="96"/>
        <v>0.97744360902255645</v>
      </c>
      <c r="O1989" s="38">
        <v>0</v>
      </c>
      <c r="P1989" s="38">
        <v>48</v>
      </c>
      <c r="Q1989" s="98" t="s">
        <v>160</v>
      </c>
      <c r="R1989" s="7">
        <v>44459</v>
      </c>
      <c r="S1989" s="99"/>
      <c r="T1989" s="11">
        <v>48</v>
      </c>
      <c r="U1989" s="98"/>
      <c r="V1989" s="98"/>
      <c r="W1989" s="98"/>
      <c r="X1989" s="98"/>
      <c r="Y1989" s="98"/>
      <c r="Z1989" s="20"/>
      <c r="AB1989" s="20"/>
      <c r="AC1989" s="11" t="s">
        <v>4296</v>
      </c>
      <c r="AD1989" s="61"/>
      <c r="AE1989" s="99"/>
    </row>
    <row r="1990" spans="1:31" x14ac:dyDescent="0.25">
      <c r="A1990" s="38" t="s">
        <v>36</v>
      </c>
      <c r="B1990" s="38" t="s">
        <v>4140</v>
      </c>
      <c r="C1990" s="38" t="s">
        <v>4291</v>
      </c>
      <c r="D1990" s="38" t="s">
        <v>4297</v>
      </c>
      <c r="E1990" s="38" t="s">
        <v>4298</v>
      </c>
      <c r="F1990" s="38">
        <v>1008</v>
      </c>
      <c r="G1990" s="38">
        <v>1008</v>
      </c>
      <c r="H1990" s="38">
        <f t="shared" si="97"/>
        <v>1083</v>
      </c>
      <c r="I1990" s="38">
        <v>724</v>
      </c>
      <c r="J1990" s="38">
        <v>359</v>
      </c>
      <c r="K1990" s="38">
        <v>365</v>
      </c>
      <c r="L1990" s="50">
        <f t="shared" ref="L1990:L2053" si="98">K1990/H1990*100</f>
        <v>33.702677746999079</v>
      </c>
      <c r="M1990" s="38">
        <v>5</v>
      </c>
      <c r="N1990" s="50">
        <f t="shared" si="96"/>
        <v>0.46168051708217916</v>
      </c>
      <c r="O1990" s="38">
        <v>0</v>
      </c>
      <c r="P1990" s="38">
        <v>82</v>
      </c>
      <c r="Q1990" s="39" t="s">
        <v>44</v>
      </c>
      <c r="R1990" s="25">
        <v>44459</v>
      </c>
      <c r="S1990" s="40"/>
      <c r="T1990" s="237">
        <v>82</v>
      </c>
      <c r="U1990" s="39"/>
      <c r="V1990" s="39"/>
      <c r="W1990" s="39"/>
      <c r="X1990" s="39"/>
      <c r="Y1990" s="39"/>
      <c r="Z1990" s="3"/>
      <c r="AB1990" s="3"/>
      <c r="AC1990" s="60" t="s">
        <v>4299</v>
      </c>
      <c r="AD1990" s="2"/>
      <c r="AE1990" s="40"/>
    </row>
    <row r="1991" spans="1:31" x14ac:dyDescent="0.25">
      <c r="A1991" s="38" t="s">
        <v>36</v>
      </c>
      <c r="B1991" s="38" t="s">
        <v>4140</v>
      </c>
      <c r="C1991" s="38" t="s">
        <v>1600</v>
      </c>
      <c r="D1991" s="38" t="s">
        <v>1600</v>
      </c>
      <c r="E1991" s="38" t="s">
        <v>4300</v>
      </c>
      <c r="F1991" s="38">
        <v>1194.2</v>
      </c>
      <c r="G1991" s="38">
        <v>1194.2</v>
      </c>
      <c r="H1991" s="38">
        <f t="shared" si="97"/>
        <v>1921</v>
      </c>
      <c r="I1991" s="38">
        <v>1262</v>
      </c>
      <c r="J1991" s="38">
        <v>659</v>
      </c>
      <c r="K1991" s="38">
        <v>603</v>
      </c>
      <c r="L1991" s="50">
        <f t="shared" si="98"/>
        <v>31.389901093180633</v>
      </c>
      <c r="M1991" s="38">
        <v>36</v>
      </c>
      <c r="N1991" s="50">
        <f t="shared" si="96"/>
        <v>1.8740239458615304</v>
      </c>
      <c r="O1991" s="38">
        <v>0</v>
      </c>
      <c r="P1991" s="38">
        <v>450.11</v>
      </c>
      <c r="Q1991" s="61" t="s">
        <v>43</v>
      </c>
      <c r="R1991" s="10">
        <v>44546</v>
      </c>
      <c r="S1991" s="61"/>
      <c r="T1991" s="20">
        <v>450</v>
      </c>
      <c r="U1991" s="61"/>
      <c r="V1991" s="61"/>
      <c r="W1991" s="61"/>
      <c r="X1991" s="61"/>
      <c r="Y1991" s="61"/>
      <c r="Z1991" s="109"/>
      <c r="AB1991" s="20">
        <v>50</v>
      </c>
      <c r="AC1991" s="61" t="s">
        <v>4301</v>
      </c>
      <c r="AD1991" s="61">
        <v>72.542986999999997</v>
      </c>
      <c r="AE1991" s="61">
        <v>26.115828</v>
      </c>
    </row>
    <row r="1992" spans="1:31" x14ac:dyDescent="0.25">
      <c r="A1992" s="38" t="s">
        <v>36</v>
      </c>
      <c r="B1992" s="38" t="s">
        <v>4140</v>
      </c>
      <c r="C1992" s="38" t="s">
        <v>1600</v>
      </c>
      <c r="D1992" s="38" t="s">
        <v>4302</v>
      </c>
      <c r="E1992" s="38" t="s">
        <v>4303</v>
      </c>
      <c r="F1992" s="38">
        <v>1767</v>
      </c>
      <c r="G1992" s="38">
        <v>1767</v>
      </c>
      <c r="H1992" s="38">
        <f t="shared" si="97"/>
        <v>1225</v>
      </c>
      <c r="I1992" s="38">
        <v>804</v>
      </c>
      <c r="J1992" s="38">
        <v>421</v>
      </c>
      <c r="K1992" s="38">
        <v>383</v>
      </c>
      <c r="L1992" s="50">
        <f t="shared" si="98"/>
        <v>31.265306122448976</v>
      </c>
      <c r="M1992" s="38">
        <v>0</v>
      </c>
      <c r="N1992" s="50">
        <f t="shared" si="96"/>
        <v>0</v>
      </c>
      <c r="O1992" s="38">
        <v>0</v>
      </c>
      <c r="P1992" s="38">
        <v>44</v>
      </c>
      <c r="Q1992" s="98" t="s">
        <v>160</v>
      </c>
      <c r="R1992" s="7">
        <v>44460</v>
      </c>
      <c r="S1992" s="99"/>
      <c r="T1992" s="11">
        <v>44</v>
      </c>
      <c r="U1992" s="98"/>
      <c r="V1992" s="98"/>
      <c r="W1992" s="98"/>
      <c r="X1992" s="98"/>
      <c r="Y1992" s="98"/>
      <c r="Z1992" s="20"/>
      <c r="AB1992" s="20"/>
      <c r="AC1992" s="11" t="s">
        <v>4304</v>
      </c>
      <c r="AD1992" s="61"/>
      <c r="AE1992" s="99"/>
    </row>
    <row r="1993" spans="1:31" x14ac:dyDescent="0.25">
      <c r="A1993" s="38" t="s">
        <v>36</v>
      </c>
      <c r="B1993" s="38" t="s">
        <v>4140</v>
      </c>
      <c r="C1993" s="38" t="s">
        <v>1600</v>
      </c>
      <c r="D1993" s="38" t="s">
        <v>4305</v>
      </c>
      <c r="E1993" s="38" t="s">
        <v>4306</v>
      </c>
      <c r="F1993" s="38">
        <v>931.75</v>
      </c>
      <c r="G1993" s="38">
        <v>931.75</v>
      </c>
      <c r="H1993" s="38">
        <f t="shared" si="97"/>
        <v>1060</v>
      </c>
      <c r="I1993" s="38">
        <v>709</v>
      </c>
      <c r="J1993" s="38">
        <v>351</v>
      </c>
      <c r="K1993" s="38">
        <v>358</v>
      </c>
      <c r="L1993" s="50">
        <f t="shared" si="98"/>
        <v>33.773584905660378</v>
      </c>
      <c r="M1993" s="38">
        <v>14</v>
      </c>
      <c r="N1993" s="50">
        <f t="shared" si="96"/>
        <v>1.3207547169811322</v>
      </c>
      <c r="O1993" s="38">
        <v>0</v>
      </c>
      <c r="P1993" s="38">
        <v>90.87</v>
      </c>
      <c r="Q1993" s="39" t="s">
        <v>44</v>
      </c>
      <c r="R1993" s="25">
        <v>44460</v>
      </c>
      <c r="S1993" s="40"/>
      <c r="T1993" s="237">
        <v>23.56</v>
      </c>
      <c r="U1993" s="39"/>
      <c r="V1993" s="39"/>
      <c r="W1993" s="39"/>
      <c r="X1993" s="39"/>
      <c r="Y1993" s="39"/>
      <c r="Z1993" s="3"/>
      <c r="AB1993" s="3"/>
      <c r="AC1993" s="60" t="s">
        <v>4307</v>
      </c>
      <c r="AD1993" s="2"/>
      <c r="AE1993" s="40"/>
    </row>
    <row r="1994" spans="1:31" x14ac:dyDescent="0.25">
      <c r="A1994" s="38" t="s">
        <v>36</v>
      </c>
      <c r="B1994" s="38" t="s">
        <v>4140</v>
      </c>
      <c r="C1994" s="38" t="s">
        <v>1600</v>
      </c>
      <c r="D1994" s="38" t="s">
        <v>4308</v>
      </c>
      <c r="E1994" s="38" t="s">
        <v>4309</v>
      </c>
      <c r="F1994" s="38">
        <v>316.81</v>
      </c>
      <c r="G1994" s="38">
        <v>316.81</v>
      </c>
      <c r="H1994" s="38">
        <f t="shared" si="97"/>
        <v>1216</v>
      </c>
      <c r="I1994" s="38">
        <v>811</v>
      </c>
      <c r="J1994" s="38">
        <v>405</v>
      </c>
      <c r="K1994" s="38">
        <v>406</v>
      </c>
      <c r="L1994" s="50">
        <f t="shared" si="98"/>
        <v>33.388157894736842</v>
      </c>
      <c r="M1994" s="38">
        <v>292</v>
      </c>
      <c r="N1994" s="50">
        <f t="shared" si="96"/>
        <v>24.013157894736842</v>
      </c>
      <c r="O1994" s="38">
        <v>0</v>
      </c>
      <c r="P1994" s="38">
        <v>2.02</v>
      </c>
      <c r="Q1994" s="98" t="s">
        <v>160</v>
      </c>
      <c r="R1994" s="7">
        <v>44460</v>
      </c>
      <c r="S1994" s="99"/>
      <c r="T1994" s="20">
        <v>2</v>
      </c>
      <c r="U1994" s="98"/>
      <c r="V1994" s="98"/>
      <c r="W1994" s="98"/>
      <c r="X1994" s="98"/>
      <c r="Y1994" s="98"/>
      <c r="Z1994" s="20"/>
      <c r="AB1994" s="20"/>
      <c r="AC1994" s="11" t="s">
        <v>65</v>
      </c>
      <c r="AD1994" s="61"/>
      <c r="AE1994" s="99"/>
    </row>
    <row r="1995" spans="1:31" x14ac:dyDescent="0.25">
      <c r="A1995" s="38" t="s">
        <v>36</v>
      </c>
      <c r="B1995" s="38" t="s">
        <v>4140</v>
      </c>
      <c r="C1995" s="38" t="s">
        <v>4310</v>
      </c>
      <c r="D1995" s="38" t="s">
        <v>4311</v>
      </c>
      <c r="E1995" s="38" t="s">
        <v>4312</v>
      </c>
      <c r="F1995" s="38"/>
      <c r="G1995" s="38"/>
      <c r="H1995" s="38">
        <f t="shared" si="97"/>
        <v>0</v>
      </c>
      <c r="I1995" s="38"/>
      <c r="J1995" s="38"/>
      <c r="K1995" s="38"/>
      <c r="L1995" s="50"/>
      <c r="M1995" s="38"/>
      <c r="N1995" s="50"/>
      <c r="O1995" s="38">
        <v>50.01</v>
      </c>
      <c r="P1995" s="38">
        <v>180.11</v>
      </c>
      <c r="Q1995" s="2" t="s">
        <v>44</v>
      </c>
      <c r="R1995" s="25">
        <v>44453</v>
      </c>
      <c r="S1995" s="40"/>
      <c r="T1995" s="237">
        <v>180</v>
      </c>
      <c r="U1995" s="2"/>
      <c r="V1995" s="2"/>
      <c r="W1995" s="2"/>
      <c r="X1995" s="2"/>
      <c r="Y1995" s="2"/>
      <c r="Z1995" s="3"/>
      <c r="AB1995" s="3">
        <v>15</v>
      </c>
      <c r="AC1995" s="60" t="s">
        <v>4313</v>
      </c>
      <c r="AD1995" s="2">
        <v>26.034331000000002</v>
      </c>
      <c r="AE1995" s="40">
        <v>72.483261999999996</v>
      </c>
    </row>
    <row r="1996" spans="1:31" x14ac:dyDescent="0.25">
      <c r="A1996" s="38" t="s">
        <v>36</v>
      </c>
      <c r="B1996" s="38" t="s">
        <v>4140</v>
      </c>
      <c r="C1996" s="38" t="s">
        <v>4310</v>
      </c>
      <c r="D1996" s="38" t="s">
        <v>4311</v>
      </c>
      <c r="E1996" s="38" t="s">
        <v>4312</v>
      </c>
      <c r="F1996" s="38"/>
      <c r="G1996" s="38"/>
      <c r="H1996" s="38">
        <f t="shared" si="97"/>
        <v>0</v>
      </c>
      <c r="I1996" s="38"/>
      <c r="J1996" s="38"/>
      <c r="K1996" s="38"/>
      <c r="L1996" s="50"/>
      <c r="M1996" s="38"/>
      <c r="N1996" s="50"/>
      <c r="O1996" s="38">
        <v>50.01</v>
      </c>
      <c r="P1996" s="38">
        <v>180.11</v>
      </c>
      <c r="Q1996" s="2"/>
      <c r="R1996" s="25">
        <v>44453</v>
      </c>
      <c r="S1996" s="40"/>
      <c r="T1996" s="237"/>
      <c r="U1996" s="2"/>
      <c r="V1996" s="2"/>
      <c r="W1996" s="2"/>
      <c r="X1996" s="2"/>
      <c r="Y1996" s="2"/>
      <c r="Z1996" s="3"/>
      <c r="AB1996" s="3">
        <v>15</v>
      </c>
      <c r="AC1996" s="60" t="s">
        <v>4313</v>
      </c>
      <c r="AD1996" s="2">
        <v>26.077446999999999</v>
      </c>
      <c r="AE1996" s="40">
        <v>72.496770999999995</v>
      </c>
    </row>
    <row r="1997" spans="1:31" x14ac:dyDescent="0.25">
      <c r="A1997" s="38" t="s">
        <v>36</v>
      </c>
      <c r="B1997" s="38" t="s">
        <v>4140</v>
      </c>
      <c r="C1997" s="38" t="s">
        <v>4310</v>
      </c>
      <c r="D1997" s="38" t="s">
        <v>4314</v>
      </c>
      <c r="E1997" s="38" t="s">
        <v>4315</v>
      </c>
      <c r="F1997" s="38">
        <v>926.36</v>
      </c>
      <c r="G1997" s="38">
        <v>926.36</v>
      </c>
      <c r="H1997" s="38">
        <f t="shared" si="97"/>
        <v>1475</v>
      </c>
      <c r="I1997" s="38">
        <v>962</v>
      </c>
      <c r="J1997" s="38">
        <v>513</v>
      </c>
      <c r="K1997" s="38">
        <v>449</v>
      </c>
      <c r="L1997" s="50">
        <f t="shared" si="98"/>
        <v>30.440677966101692</v>
      </c>
      <c r="M1997" s="38">
        <v>263</v>
      </c>
      <c r="N1997" s="50">
        <f t="shared" si="96"/>
        <v>17.83050847457627</v>
      </c>
      <c r="O1997" s="38">
        <v>0</v>
      </c>
      <c r="P1997" s="38">
        <v>22.07</v>
      </c>
      <c r="Q1997" s="98" t="s">
        <v>160</v>
      </c>
      <c r="R1997" s="7">
        <v>44453</v>
      </c>
      <c r="S1997" s="99"/>
      <c r="T1997" s="11">
        <v>22</v>
      </c>
      <c r="U1997" s="98"/>
      <c r="V1997" s="98"/>
      <c r="W1997" s="98"/>
      <c r="X1997" s="98"/>
      <c r="Y1997" s="98"/>
      <c r="Z1997" s="20"/>
      <c r="AB1997" s="20"/>
      <c r="AC1997" s="11" t="s">
        <v>4316</v>
      </c>
      <c r="AD1997" s="61"/>
      <c r="AE1997" s="99"/>
    </row>
    <row r="1998" spans="1:31" x14ac:dyDescent="0.25">
      <c r="A1998" s="38" t="s">
        <v>36</v>
      </c>
      <c r="B1998" s="38" t="s">
        <v>4140</v>
      </c>
      <c r="C1998" s="38" t="s">
        <v>4317</v>
      </c>
      <c r="D1998" s="38" t="s">
        <v>4317</v>
      </c>
      <c r="E1998" s="38" t="s">
        <v>4318</v>
      </c>
      <c r="F1998" s="38">
        <v>2152.0500000000002</v>
      </c>
      <c r="G1998" s="38">
        <v>2152.0500000000002</v>
      </c>
      <c r="H1998" s="38">
        <f t="shared" si="97"/>
        <v>2123</v>
      </c>
      <c r="I1998" s="38">
        <v>1416</v>
      </c>
      <c r="J1998" s="38">
        <v>707</v>
      </c>
      <c r="K1998" s="38">
        <v>709</v>
      </c>
      <c r="L1998" s="50">
        <f t="shared" si="98"/>
        <v>33.396137541215261</v>
      </c>
      <c r="M1998" s="38">
        <v>124</v>
      </c>
      <c r="N1998" s="50">
        <f t="shared" si="96"/>
        <v>5.840791333019312</v>
      </c>
      <c r="O1998" s="38">
        <v>0</v>
      </c>
      <c r="P1998" s="38">
        <v>87</v>
      </c>
      <c r="Q1998" s="34" t="s">
        <v>43</v>
      </c>
      <c r="R1998" s="88">
        <v>44456</v>
      </c>
      <c r="S1998" s="34"/>
      <c r="T1998" s="89">
        <v>87</v>
      </c>
      <c r="U1998" s="34"/>
      <c r="V1998" s="34"/>
      <c r="W1998" s="34"/>
      <c r="X1998" s="34"/>
      <c r="Y1998" s="34"/>
      <c r="Z1998" s="109"/>
      <c r="AB1998" s="89">
        <v>50</v>
      </c>
      <c r="AC1998" s="34" t="s">
        <v>4319</v>
      </c>
      <c r="AD1998" s="34">
        <v>72.389724000000001</v>
      </c>
      <c r="AE1998" s="34">
        <v>25.952002</v>
      </c>
    </row>
    <row r="1999" spans="1:31" x14ac:dyDescent="0.25">
      <c r="A1999" s="38" t="s">
        <v>36</v>
      </c>
      <c r="B1999" s="38" t="s">
        <v>4140</v>
      </c>
      <c r="C1999" s="38" t="s">
        <v>4317</v>
      </c>
      <c r="D1999" s="38" t="s">
        <v>4317</v>
      </c>
      <c r="E1999" s="38"/>
      <c r="F1999" s="38">
        <v>2152.0500000000002</v>
      </c>
      <c r="G1999" s="38">
        <v>2152.0500000000002</v>
      </c>
      <c r="H1999" s="38">
        <f t="shared" si="97"/>
        <v>2123</v>
      </c>
      <c r="I1999" s="38">
        <v>1416</v>
      </c>
      <c r="J1999" s="38">
        <v>707</v>
      </c>
      <c r="K1999" s="38">
        <v>709</v>
      </c>
      <c r="L1999" s="50">
        <f t="shared" si="98"/>
        <v>33.396137541215261</v>
      </c>
      <c r="M1999" s="38">
        <v>124</v>
      </c>
      <c r="N1999" s="50">
        <f t="shared" si="96"/>
        <v>5.840791333019312</v>
      </c>
      <c r="O1999" s="38">
        <v>0</v>
      </c>
      <c r="P1999" s="38">
        <v>87</v>
      </c>
      <c r="Q1999" s="34"/>
      <c r="R1999" s="88">
        <v>44456</v>
      </c>
      <c r="S1999" s="34"/>
      <c r="T1999" s="89"/>
      <c r="U1999" s="34"/>
      <c r="V1999" s="34"/>
      <c r="W1999" s="34"/>
      <c r="X1999" s="34"/>
      <c r="Y1999" s="34"/>
      <c r="Z1999" s="78"/>
      <c r="AB1999" s="89">
        <v>37</v>
      </c>
      <c r="AC1999" s="34" t="s">
        <v>4319</v>
      </c>
      <c r="AD1999" s="34">
        <v>25.952210000000001</v>
      </c>
      <c r="AE1999" s="34">
        <v>72.390573000000003</v>
      </c>
    </row>
    <row r="2000" spans="1:31" x14ac:dyDescent="0.25">
      <c r="A2000" s="38" t="s">
        <v>36</v>
      </c>
      <c r="B2000" s="38" t="s">
        <v>4140</v>
      </c>
      <c r="C2000" s="38" t="s">
        <v>4317</v>
      </c>
      <c r="D2000" s="38" t="s">
        <v>4320</v>
      </c>
      <c r="E2000" s="38" t="s">
        <v>4321</v>
      </c>
      <c r="F2000" s="38">
        <v>1740.25</v>
      </c>
      <c r="G2000" s="38">
        <v>1740.25</v>
      </c>
      <c r="H2000" s="38">
        <f t="shared" si="97"/>
        <v>1782</v>
      </c>
      <c r="I2000" s="38">
        <v>1175</v>
      </c>
      <c r="J2000" s="38">
        <v>607</v>
      </c>
      <c r="K2000" s="38">
        <v>568</v>
      </c>
      <c r="L2000" s="50">
        <f t="shared" si="98"/>
        <v>31.874298540965206</v>
      </c>
      <c r="M2000" s="38">
        <v>58</v>
      </c>
      <c r="N2000" s="50">
        <f t="shared" si="96"/>
        <v>3.2547699214365879</v>
      </c>
      <c r="O2000" s="38">
        <v>0</v>
      </c>
      <c r="P2000" s="38">
        <v>9</v>
      </c>
      <c r="Q2000" s="98" t="s">
        <v>160</v>
      </c>
      <c r="R2000" s="7">
        <v>44456</v>
      </c>
      <c r="S2000" s="99"/>
      <c r="T2000" s="11">
        <v>9</v>
      </c>
      <c r="U2000" s="98"/>
      <c r="V2000" s="98"/>
      <c r="W2000" s="98"/>
      <c r="X2000" s="98"/>
      <c r="Y2000" s="98"/>
      <c r="Z2000" s="20"/>
      <c r="AB2000" s="20"/>
      <c r="AC2000" s="11" t="s">
        <v>2031</v>
      </c>
      <c r="AD2000" s="61"/>
      <c r="AE2000" s="99"/>
    </row>
    <row r="2001" spans="1:31" x14ac:dyDescent="0.25">
      <c r="A2001" s="38" t="s">
        <v>36</v>
      </c>
      <c r="B2001" s="38" t="s">
        <v>4140</v>
      </c>
      <c r="C2001" s="38" t="s">
        <v>4322</v>
      </c>
      <c r="D2001" s="38" t="s">
        <v>4323</v>
      </c>
      <c r="E2001" s="38" t="s">
        <v>4324</v>
      </c>
      <c r="F2001" s="38">
        <v>650.25</v>
      </c>
      <c r="G2001" s="38">
        <v>650.25</v>
      </c>
      <c r="H2001" s="38">
        <f t="shared" si="97"/>
        <v>1270</v>
      </c>
      <c r="I2001" s="38">
        <v>830</v>
      </c>
      <c r="J2001" s="38">
        <v>440</v>
      </c>
      <c r="K2001" s="38">
        <v>390</v>
      </c>
      <c r="L2001" s="50">
        <f t="shared" si="98"/>
        <v>30.708661417322837</v>
      </c>
      <c r="M2001" s="38">
        <v>107</v>
      </c>
      <c r="N2001" s="50">
        <f t="shared" si="96"/>
        <v>8.4251968503937018</v>
      </c>
      <c r="O2001" s="38">
        <v>0</v>
      </c>
      <c r="P2001" s="38">
        <v>101.3</v>
      </c>
      <c r="AC2001" s="117"/>
      <c r="AD2001" s="121"/>
    </row>
    <row r="2002" spans="1:31" x14ac:dyDescent="0.25">
      <c r="A2002" s="38" t="s">
        <v>36</v>
      </c>
      <c r="B2002" s="38" t="s">
        <v>4140</v>
      </c>
      <c r="C2002" s="38" t="s">
        <v>4322</v>
      </c>
      <c r="D2002" s="38" t="s">
        <v>4325</v>
      </c>
      <c r="E2002" s="38" t="s">
        <v>4326</v>
      </c>
      <c r="F2002" s="38">
        <v>1472.98</v>
      </c>
      <c r="G2002" s="38">
        <v>1472.98</v>
      </c>
      <c r="H2002" s="38">
        <f t="shared" si="97"/>
        <v>1681</v>
      </c>
      <c r="I2002" s="38">
        <v>1113</v>
      </c>
      <c r="J2002" s="38">
        <v>568</v>
      </c>
      <c r="K2002" s="38">
        <v>545</v>
      </c>
      <c r="L2002" s="50">
        <f t="shared" si="98"/>
        <v>32.42117787031529</v>
      </c>
      <c r="M2002" s="38">
        <v>60</v>
      </c>
      <c r="N2002" s="50">
        <f t="shared" si="96"/>
        <v>3.569303985722784</v>
      </c>
      <c r="O2002" s="38">
        <v>0</v>
      </c>
      <c r="P2002" s="38">
        <v>19.149999999999999</v>
      </c>
    </row>
    <row r="2003" spans="1:31" x14ac:dyDescent="0.25">
      <c r="A2003" s="38" t="s">
        <v>36</v>
      </c>
      <c r="B2003" s="38" t="s">
        <v>4140</v>
      </c>
      <c r="C2003" s="38" t="s">
        <v>4322</v>
      </c>
      <c r="D2003" s="38" t="s">
        <v>4327</v>
      </c>
      <c r="E2003" s="38" t="s">
        <v>4328</v>
      </c>
      <c r="F2003" s="38">
        <v>168.98</v>
      </c>
      <c r="G2003" s="38">
        <v>168.98</v>
      </c>
      <c r="H2003" s="38">
        <f t="shared" si="97"/>
        <v>295</v>
      </c>
      <c r="I2003" s="38">
        <v>192</v>
      </c>
      <c r="J2003" s="38">
        <v>103</v>
      </c>
      <c r="K2003" s="38">
        <v>89</v>
      </c>
      <c r="L2003" s="50">
        <f t="shared" si="98"/>
        <v>30.16949152542373</v>
      </c>
      <c r="M2003" s="38">
        <v>0</v>
      </c>
      <c r="N2003" s="50">
        <f t="shared" si="96"/>
        <v>0</v>
      </c>
      <c r="O2003" s="38">
        <v>0</v>
      </c>
      <c r="P2003" s="38">
        <v>0</v>
      </c>
    </row>
    <row r="2004" spans="1:31" x14ac:dyDescent="0.25">
      <c r="A2004" s="38" t="s">
        <v>36</v>
      </c>
      <c r="B2004" s="38" t="s">
        <v>4140</v>
      </c>
      <c r="C2004" s="38" t="s">
        <v>4322</v>
      </c>
      <c r="D2004" s="38" t="s">
        <v>4329</v>
      </c>
      <c r="E2004" s="38" t="s">
        <v>4330</v>
      </c>
      <c r="F2004" s="38">
        <v>607.96</v>
      </c>
      <c r="G2004" s="38">
        <v>607.96</v>
      </c>
      <c r="H2004" s="38">
        <f t="shared" si="97"/>
        <v>478</v>
      </c>
      <c r="I2004" s="38">
        <v>308</v>
      </c>
      <c r="J2004" s="38">
        <v>170</v>
      </c>
      <c r="K2004" s="38">
        <v>138</v>
      </c>
      <c r="L2004" s="50">
        <f t="shared" si="98"/>
        <v>28.870292887029287</v>
      </c>
      <c r="M2004" s="38">
        <v>44</v>
      </c>
      <c r="N2004" s="50">
        <f t="shared" si="96"/>
        <v>9.2050209205020916</v>
      </c>
      <c r="O2004" s="38">
        <v>0</v>
      </c>
      <c r="P2004" s="38">
        <v>0</v>
      </c>
    </row>
    <row r="2005" spans="1:31" x14ac:dyDescent="0.25">
      <c r="A2005" s="38" t="s">
        <v>36</v>
      </c>
      <c r="B2005" s="38" t="s">
        <v>4140</v>
      </c>
      <c r="C2005" s="38" t="s">
        <v>4322</v>
      </c>
      <c r="D2005" s="38" t="s">
        <v>4331</v>
      </c>
      <c r="E2005" s="38" t="s">
        <v>4332</v>
      </c>
      <c r="F2005" s="38">
        <v>106.19</v>
      </c>
      <c r="G2005" s="38">
        <v>106.19</v>
      </c>
      <c r="H2005" s="38">
        <f t="shared" si="97"/>
        <v>78</v>
      </c>
      <c r="I2005" s="38">
        <v>51</v>
      </c>
      <c r="J2005" s="38">
        <v>27</v>
      </c>
      <c r="K2005" s="38">
        <v>24</v>
      </c>
      <c r="L2005" s="50">
        <f t="shared" si="98"/>
        <v>30.76923076923077</v>
      </c>
      <c r="M2005" s="38">
        <v>21</v>
      </c>
      <c r="N2005" s="50">
        <f t="shared" si="96"/>
        <v>26.923076923076923</v>
      </c>
      <c r="O2005" s="38">
        <v>0</v>
      </c>
      <c r="P2005" s="38">
        <v>0</v>
      </c>
    </row>
    <row r="2006" spans="1:31" x14ac:dyDescent="0.25">
      <c r="A2006" s="38" t="s">
        <v>36</v>
      </c>
      <c r="B2006" s="38" t="s">
        <v>4140</v>
      </c>
      <c r="C2006" s="38" t="s">
        <v>4322</v>
      </c>
      <c r="D2006" s="38" t="s">
        <v>4333</v>
      </c>
      <c r="E2006" s="38" t="s">
        <v>4334</v>
      </c>
      <c r="F2006" s="38">
        <v>705</v>
      </c>
      <c r="G2006" s="38">
        <v>705</v>
      </c>
      <c r="H2006" s="38">
        <f t="shared" si="97"/>
        <v>1460</v>
      </c>
      <c r="I2006" s="38">
        <v>960</v>
      </c>
      <c r="J2006" s="38">
        <v>500</v>
      </c>
      <c r="K2006" s="38">
        <v>460</v>
      </c>
      <c r="L2006" s="50">
        <f t="shared" si="98"/>
        <v>31.506849315068493</v>
      </c>
      <c r="M2006" s="38">
        <v>0</v>
      </c>
      <c r="N2006" s="50">
        <f t="shared" ref="N2006:N2069" si="99">M2006/H2006*100</f>
        <v>0</v>
      </c>
      <c r="O2006" s="38">
        <v>0</v>
      </c>
      <c r="P2006" s="38">
        <v>5.77</v>
      </c>
    </row>
    <row r="2007" spans="1:31" x14ac:dyDescent="0.25">
      <c r="A2007" s="38" t="s">
        <v>36</v>
      </c>
      <c r="B2007" s="38" t="s">
        <v>4140</v>
      </c>
      <c r="C2007" s="38" t="s">
        <v>4335</v>
      </c>
      <c r="D2007" s="38" t="s">
        <v>4336</v>
      </c>
      <c r="E2007" s="38" t="s">
        <v>4337</v>
      </c>
      <c r="F2007" s="38">
        <v>402.99</v>
      </c>
      <c r="G2007" s="38">
        <v>402.99</v>
      </c>
      <c r="H2007" s="38">
        <f t="shared" si="97"/>
        <v>897</v>
      </c>
      <c r="I2007" s="38">
        <v>591</v>
      </c>
      <c r="J2007" s="38">
        <v>306</v>
      </c>
      <c r="K2007" s="38">
        <v>285</v>
      </c>
      <c r="L2007" s="50">
        <f t="shared" si="98"/>
        <v>31.77257525083612</v>
      </c>
      <c r="M2007" s="38">
        <v>0</v>
      </c>
      <c r="N2007" s="50">
        <f t="shared" si="99"/>
        <v>0</v>
      </c>
      <c r="O2007" s="38">
        <v>0</v>
      </c>
      <c r="P2007" s="38">
        <v>61.07</v>
      </c>
      <c r="Q2007" s="98" t="s">
        <v>160</v>
      </c>
      <c r="R2007" s="7">
        <v>44454</v>
      </c>
      <c r="S2007" s="99"/>
      <c r="T2007" s="11">
        <v>57.47</v>
      </c>
      <c r="U2007" s="98"/>
      <c r="V2007" s="98"/>
      <c r="W2007" s="98"/>
      <c r="X2007" s="98"/>
      <c r="Y2007" s="98"/>
      <c r="Z2007" s="20"/>
      <c r="AB2007" s="20"/>
      <c r="AC2007" s="38" t="s">
        <v>4336</v>
      </c>
      <c r="AD2007" s="61"/>
      <c r="AE2007" s="99"/>
    </row>
    <row r="2008" spans="1:31" x14ac:dyDescent="0.25">
      <c r="A2008" s="38" t="s">
        <v>36</v>
      </c>
      <c r="B2008" s="38" t="s">
        <v>4140</v>
      </c>
      <c r="C2008" s="38" t="s">
        <v>4335</v>
      </c>
      <c r="D2008" s="38" t="s">
        <v>3760</v>
      </c>
      <c r="E2008" s="38" t="s">
        <v>4338</v>
      </c>
      <c r="F2008" s="38">
        <v>728.72</v>
      </c>
      <c r="G2008" s="38">
        <v>728.72</v>
      </c>
      <c r="H2008" s="38">
        <f t="shared" si="97"/>
        <v>891</v>
      </c>
      <c r="I2008" s="38">
        <v>592</v>
      </c>
      <c r="J2008" s="38">
        <v>299</v>
      </c>
      <c r="K2008" s="38">
        <v>293</v>
      </c>
      <c r="L2008" s="50">
        <f t="shared" si="98"/>
        <v>32.884399551066217</v>
      </c>
      <c r="M2008" s="38">
        <v>161</v>
      </c>
      <c r="N2008" s="50">
        <f t="shared" si="99"/>
        <v>18.069584736251404</v>
      </c>
      <c r="O2008" s="38">
        <v>0</v>
      </c>
      <c r="P2008" s="38">
        <v>84.03</v>
      </c>
      <c r="Q2008" s="61" t="s">
        <v>43</v>
      </c>
      <c r="R2008" s="7">
        <v>44454</v>
      </c>
      <c r="S2008" s="61"/>
      <c r="T2008" s="20">
        <v>0</v>
      </c>
      <c r="U2008" s="61"/>
      <c r="V2008" s="61"/>
      <c r="W2008" s="61"/>
      <c r="X2008" s="61"/>
      <c r="Y2008" s="61"/>
      <c r="Z2008" s="20"/>
      <c r="AB2008" s="20"/>
      <c r="AC2008" s="38" t="s">
        <v>3760</v>
      </c>
      <c r="AD2008" s="61">
        <v>0</v>
      </c>
      <c r="AE2008" s="61"/>
    </row>
    <row r="2009" spans="1:31" x14ac:dyDescent="0.25">
      <c r="A2009" s="38" t="s">
        <v>36</v>
      </c>
      <c r="B2009" s="38" t="s">
        <v>4140</v>
      </c>
      <c r="C2009" s="38" t="s">
        <v>4335</v>
      </c>
      <c r="D2009" s="38" t="s">
        <v>4339</v>
      </c>
      <c r="E2009" s="38" t="s">
        <v>4340</v>
      </c>
      <c r="F2009" s="38">
        <v>589.30999999999995</v>
      </c>
      <c r="G2009" s="38">
        <v>589.30999999999995</v>
      </c>
      <c r="H2009" s="38">
        <f t="shared" si="97"/>
        <v>697</v>
      </c>
      <c r="I2009" s="38">
        <v>461</v>
      </c>
      <c r="J2009" s="38">
        <v>236</v>
      </c>
      <c r="K2009" s="38">
        <v>225</v>
      </c>
      <c r="L2009" s="50">
        <f t="shared" si="98"/>
        <v>32.281205164992826</v>
      </c>
      <c r="M2009" s="38">
        <v>0</v>
      </c>
      <c r="N2009" s="50">
        <f t="shared" si="99"/>
        <v>0</v>
      </c>
      <c r="O2009" s="38">
        <v>0</v>
      </c>
      <c r="P2009" s="38">
        <v>17.239999999999998</v>
      </c>
      <c r="Q2009" s="61" t="s">
        <v>43</v>
      </c>
      <c r="R2009" s="7">
        <v>44454</v>
      </c>
      <c r="S2009" s="61"/>
      <c r="T2009" s="20">
        <v>0</v>
      </c>
      <c r="U2009" s="61"/>
      <c r="V2009" s="61"/>
      <c r="W2009" s="61"/>
      <c r="X2009" s="61"/>
      <c r="Y2009" s="61"/>
      <c r="Z2009" s="20"/>
      <c r="AB2009" s="20"/>
      <c r="AC2009" s="38" t="s">
        <v>4339</v>
      </c>
      <c r="AD2009" s="61">
        <v>0</v>
      </c>
      <c r="AE2009" s="61"/>
    </row>
    <row r="2010" spans="1:31" x14ac:dyDescent="0.25">
      <c r="A2010" s="38" t="s">
        <v>36</v>
      </c>
      <c r="B2010" s="38" t="s">
        <v>4140</v>
      </c>
      <c r="C2010" s="38" t="s">
        <v>4335</v>
      </c>
      <c r="D2010" s="38" t="s">
        <v>2043</v>
      </c>
      <c r="E2010" s="38" t="s">
        <v>4341</v>
      </c>
      <c r="F2010" s="38">
        <v>985.62</v>
      </c>
      <c r="G2010" s="38">
        <v>985.62</v>
      </c>
      <c r="H2010" s="38">
        <f t="shared" si="97"/>
        <v>1588</v>
      </c>
      <c r="I2010" s="38">
        <v>1036</v>
      </c>
      <c r="J2010" s="38">
        <v>552</v>
      </c>
      <c r="K2010" s="38">
        <v>484</v>
      </c>
      <c r="L2010" s="50">
        <f t="shared" si="98"/>
        <v>30.478589420654913</v>
      </c>
      <c r="M2010" s="38">
        <v>157</v>
      </c>
      <c r="N2010" s="50">
        <f t="shared" si="99"/>
        <v>9.886649874055415</v>
      </c>
      <c r="O2010" s="38">
        <v>0</v>
      </c>
      <c r="P2010" s="38">
        <v>6.01</v>
      </c>
      <c r="Q2010" s="98" t="s">
        <v>160</v>
      </c>
      <c r="R2010" s="7">
        <v>44454</v>
      </c>
      <c r="S2010" s="99"/>
      <c r="T2010" s="11">
        <v>5.6</v>
      </c>
      <c r="U2010" s="98"/>
      <c r="V2010" s="98"/>
      <c r="W2010" s="98"/>
      <c r="X2010" s="98"/>
      <c r="Y2010" s="98"/>
      <c r="Z2010" s="20"/>
      <c r="AB2010" s="20"/>
      <c r="AC2010" s="38" t="s">
        <v>2043</v>
      </c>
      <c r="AD2010" s="61"/>
      <c r="AE2010" s="99"/>
    </row>
    <row r="2011" spans="1:31" x14ac:dyDescent="0.25">
      <c r="A2011" s="38" t="s">
        <v>36</v>
      </c>
      <c r="B2011" s="38" t="s">
        <v>4140</v>
      </c>
      <c r="C2011" s="38" t="s">
        <v>4342</v>
      </c>
      <c r="D2011" s="38" t="s">
        <v>4343</v>
      </c>
      <c r="E2011" s="38" t="s">
        <v>4344</v>
      </c>
      <c r="F2011" s="38">
        <v>3208.13</v>
      </c>
      <c r="G2011" s="38">
        <v>3208.13</v>
      </c>
      <c r="H2011" s="38">
        <f t="shared" si="97"/>
        <v>6069</v>
      </c>
      <c r="I2011" s="38">
        <v>3967</v>
      </c>
      <c r="J2011" s="38">
        <v>2102</v>
      </c>
      <c r="K2011" s="38">
        <v>1865</v>
      </c>
      <c r="L2011" s="50">
        <f t="shared" si="98"/>
        <v>30.729939034437304</v>
      </c>
      <c r="M2011" s="38">
        <v>504</v>
      </c>
      <c r="N2011" s="50">
        <f t="shared" si="99"/>
        <v>8.3044982698961931</v>
      </c>
      <c r="O2011" s="38">
        <v>0</v>
      </c>
      <c r="P2011" s="38">
        <v>200.23</v>
      </c>
      <c r="Q2011" s="2" t="s">
        <v>44</v>
      </c>
      <c r="R2011" s="25">
        <v>44459</v>
      </c>
      <c r="S2011" s="40"/>
      <c r="T2011" s="237">
        <v>200</v>
      </c>
      <c r="U2011" s="2"/>
      <c r="V2011" s="2"/>
      <c r="W2011" s="2"/>
      <c r="X2011" s="2"/>
      <c r="Y2011" s="2"/>
      <c r="Z2011" s="3"/>
      <c r="AB2011" s="3">
        <v>15</v>
      </c>
      <c r="AC2011" s="60" t="s">
        <v>4345</v>
      </c>
      <c r="AD2011" s="2">
        <v>26.007031000000001</v>
      </c>
      <c r="AE2011" s="40">
        <v>72.479228000000006</v>
      </c>
    </row>
    <row r="2012" spans="1:31" x14ac:dyDescent="0.25">
      <c r="A2012" s="38" t="s">
        <v>36</v>
      </c>
      <c r="B2012" s="38" t="s">
        <v>4140</v>
      </c>
      <c r="C2012" s="38" t="s">
        <v>4342</v>
      </c>
      <c r="D2012" s="38" t="s">
        <v>4346</v>
      </c>
      <c r="E2012" s="38" t="s">
        <v>4347</v>
      </c>
      <c r="F2012" s="38">
        <v>2027.94</v>
      </c>
      <c r="G2012" s="38">
        <v>2027.94</v>
      </c>
      <c r="H2012" s="38">
        <f t="shared" si="97"/>
        <v>1493</v>
      </c>
      <c r="I2012" s="38">
        <v>974</v>
      </c>
      <c r="J2012" s="38">
        <v>519</v>
      </c>
      <c r="K2012" s="38">
        <v>455</v>
      </c>
      <c r="L2012" s="50">
        <f t="shared" si="98"/>
        <v>30.475552578700604</v>
      </c>
      <c r="M2012" s="38">
        <v>0</v>
      </c>
      <c r="N2012" s="50">
        <f t="shared" si="99"/>
        <v>0</v>
      </c>
      <c r="O2012" s="38">
        <v>0</v>
      </c>
      <c r="P2012" s="38">
        <v>80.33</v>
      </c>
      <c r="Q2012" s="44" t="s">
        <v>44</v>
      </c>
      <c r="R2012" s="27">
        <v>44459</v>
      </c>
      <c r="S2012" s="44"/>
      <c r="T2012" s="82">
        <v>80</v>
      </c>
      <c r="U2012" s="44"/>
      <c r="V2012" s="44"/>
      <c r="W2012" s="44"/>
      <c r="X2012" s="44"/>
      <c r="Y2012" s="44"/>
      <c r="Z2012" s="5"/>
      <c r="AB2012" s="5">
        <v>15</v>
      </c>
      <c r="AC2012" s="82" t="s">
        <v>4348</v>
      </c>
      <c r="AD2012" s="44">
        <v>25.935409</v>
      </c>
      <c r="AE2012" s="44">
        <v>72.459249999999997</v>
      </c>
    </row>
    <row r="2013" spans="1:31" x14ac:dyDescent="0.25">
      <c r="A2013" s="38" t="s">
        <v>36</v>
      </c>
      <c r="B2013" s="38" t="s">
        <v>4140</v>
      </c>
      <c r="C2013" s="38" t="s">
        <v>1954</v>
      </c>
      <c r="D2013" s="38" t="s">
        <v>1954</v>
      </c>
      <c r="E2013" s="38" t="s">
        <v>4349</v>
      </c>
      <c r="F2013" s="38">
        <v>2529.79</v>
      </c>
      <c r="G2013" s="38">
        <v>2529.79</v>
      </c>
      <c r="H2013" s="38">
        <f t="shared" si="97"/>
        <v>1905</v>
      </c>
      <c r="I2013" s="38">
        <v>1253</v>
      </c>
      <c r="J2013" s="38">
        <v>652</v>
      </c>
      <c r="K2013" s="38">
        <v>601</v>
      </c>
      <c r="L2013" s="50">
        <f t="shared" si="98"/>
        <v>31.548556430446194</v>
      </c>
      <c r="M2013" s="38">
        <v>86</v>
      </c>
      <c r="N2013" s="50">
        <f t="shared" si="99"/>
        <v>4.514435695538058</v>
      </c>
      <c r="O2013" s="38">
        <v>0</v>
      </c>
      <c r="P2013" s="38">
        <v>68.510000000000005</v>
      </c>
      <c r="AC2013" s="117"/>
      <c r="AD2013" s="121"/>
    </row>
    <row r="2014" spans="1:31" x14ac:dyDescent="0.25">
      <c r="A2014" s="38" t="s">
        <v>36</v>
      </c>
      <c r="B2014" s="38" t="s">
        <v>4140</v>
      </c>
      <c r="C2014" s="38" t="s">
        <v>1954</v>
      </c>
      <c r="D2014" s="38" t="s">
        <v>4350</v>
      </c>
      <c r="E2014" s="38" t="s">
        <v>4351</v>
      </c>
      <c r="F2014" s="38">
        <v>701.11</v>
      </c>
      <c r="G2014" s="38">
        <v>701.11</v>
      </c>
      <c r="H2014" s="38">
        <f t="shared" si="97"/>
        <v>419</v>
      </c>
      <c r="I2014" s="38">
        <v>276</v>
      </c>
      <c r="J2014" s="38">
        <v>143</v>
      </c>
      <c r="K2014" s="38">
        <v>133</v>
      </c>
      <c r="L2014" s="50">
        <f t="shared" si="98"/>
        <v>31.742243436754176</v>
      </c>
      <c r="M2014" s="38">
        <v>27</v>
      </c>
      <c r="N2014" s="50">
        <f t="shared" si="99"/>
        <v>6.4439140811455857</v>
      </c>
      <c r="O2014" s="38">
        <v>0</v>
      </c>
      <c r="P2014" s="38">
        <v>1.0900000000000001</v>
      </c>
    </row>
    <row r="2015" spans="1:31" x14ac:dyDescent="0.25">
      <c r="A2015" s="38" t="s">
        <v>36</v>
      </c>
      <c r="B2015" s="38" t="s">
        <v>4140</v>
      </c>
      <c r="C2015" s="38" t="s">
        <v>1954</v>
      </c>
      <c r="D2015" s="38" t="s">
        <v>4352</v>
      </c>
      <c r="E2015" s="38" t="s">
        <v>4353</v>
      </c>
      <c r="F2015" s="38">
        <v>1532.83</v>
      </c>
      <c r="G2015" s="38">
        <v>1532.83</v>
      </c>
      <c r="H2015" s="38">
        <f t="shared" si="97"/>
        <v>1860</v>
      </c>
      <c r="I2015" s="38">
        <v>1231</v>
      </c>
      <c r="J2015" s="38">
        <v>629</v>
      </c>
      <c r="K2015" s="38">
        <v>602</v>
      </c>
      <c r="L2015" s="50">
        <f t="shared" si="98"/>
        <v>32.365591397849464</v>
      </c>
      <c r="M2015" s="38">
        <v>14</v>
      </c>
      <c r="N2015" s="50">
        <f t="shared" si="99"/>
        <v>0.75268817204301075</v>
      </c>
      <c r="O2015" s="38">
        <v>0</v>
      </c>
      <c r="P2015" s="38">
        <v>90.48</v>
      </c>
    </row>
    <row r="2016" spans="1:31" x14ac:dyDescent="0.25">
      <c r="A2016" s="38" t="s">
        <v>36</v>
      </c>
      <c r="B2016" s="38" t="s">
        <v>4140</v>
      </c>
      <c r="C2016" s="38" t="s">
        <v>4354</v>
      </c>
      <c r="D2016" s="38" t="s">
        <v>4355</v>
      </c>
      <c r="E2016" s="38" t="s">
        <v>4356</v>
      </c>
      <c r="F2016" s="38">
        <v>6276.47</v>
      </c>
      <c r="G2016" s="38">
        <v>6276.47</v>
      </c>
      <c r="H2016" s="38">
        <f t="shared" si="97"/>
        <v>5383</v>
      </c>
      <c r="I2016" s="38">
        <v>3599</v>
      </c>
      <c r="J2016" s="38">
        <v>1784</v>
      </c>
      <c r="K2016" s="38">
        <v>1815</v>
      </c>
      <c r="L2016" s="50">
        <f t="shared" si="98"/>
        <v>33.717258034553218</v>
      </c>
      <c r="M2016" s="38">
        <v>181</v>
      </c>
      <c r="N2016" s="50">
        <f t="shared" si="99"/>
        <v>3.3624373026193575</v>
      </c>
      <c r="O2016" s="38">
        <v>857.01</v>
      </c>
      <c r="P2016" s="38">
        <v>248.09</v>
      </c>
      <c r="Q2016" s="39" t="s">
        <v>44</v>
      </c>
      <c r="R2016" s="25">
        <v>44453</v>
      </c>
      <c r="S2016" s="40"/>
      <c r="T2016" s="237">
        <v>65</v>
      </c>
      <c r="U2016" s="39"/>
      <c r="V2016" s="39"/>
      <c r="W2016" s="39"/>
      <c r="X2016" s="39"/>
      <c r="Y2016" s="39"/>
      <c r="Z2016" s="3"/>
      <c r="AB2016" s="3"/>
      <c r="AC2016" s="60" t="s">
        <v>4355</v>
      </c>
      <c r="AD2016" s="2"/>
      <c r="AE2016" s="40"/>
    </row>
    <row r="2017" spans="1:31" x14ac:dyDescent="0.25">
      <c r="A2017" s="38" t="s">
        <v>36</v>
      </c>
      <c r="B2017" s="38" t="s">
        <v>4140</v>
      </c>
      <c r="C2017" s="38" t="s">
        <v>4354</v>
      </c>
      <c r="D2017" s="38" t="s">
        <v>4357</v>
      </c>
      <c r="E2017" s="38" t="s">
        <v>4358</v>
      </c>
      <c r="F2017" s="38"/>
      <c r="G2017" s="38"/>
      <c r="H2017" s="38">
        <f t="shared" si="97"/>
        <v>0</v>
      </c>
      <c r="I2017" s="38"/>
      <c r="J2017" s="38"/>
      <c r="K2017" s="38"/>
      <c r="L2017" s="50"/>
      <c r="M2017" s="38"/>
      <c r="N2017" s="50"/>
      <c r="O2017" s="38">
        <v>70.010000000000005</v>
      </c>
      <c r="P2017" s="38">
        <v>256.12</v>
      </c>
      <c r="Q2017" s="39" t="s">
        <v>44</v>
      </c>
      <c r="R2017" s="25">
        <v>44453</v>
      </c>
      <c r="S2017" s="40"/>
      <c r="T2017" s="237">
        <v>256</v>
      </c>
      <c r="U2017" s="39"/>
      <c r="V2017" s="39"/>
      <c r="W2017" s="39"/>
      <c r="X2017" s="39"/>
      <c r="Y2017" s="39"/>
      <c r="Z2017" s="3"/>
      <c r="AB2017" s="3"/>
      <c r="AC2017" s="60" t="s">
        <v>4359</v>
      </c>
      <c r="AD2017" s="2"/>
      <c r="AE2017" s="40"/>
    </row>
    <row r="2018" spans="1:31" x14ac:dyDescent="0.25">
      <c r="A2018" s="38" t="s">
        <v>36</v>
      </c>
      <c r="B2018" s="38" t="s">
        <v>4140</v>
      </c>
      <c r="C2018" s="38" t="s">
        <v>4354</v>
      </c>
      <c r="D2018" s="38" t="s">
        <v>2033</v>
      </c>
      <c r="E2018" s="38" t="s">
        <v>4360</v>
      </c>
      <c r="F2018" s="38">
        <v>1089.5</v>
      </c>
      <c r="G2018" s="38">
        <v>1089.5</v>
      </c>
      <c r="H2018" s="38">
        <f t="shared" si="97"/>
        <v>780</v>
      </c>
      <c r="I2018" s="38">
        <v>512</v>
      </c>
      <c r="J2018" s="38">
        <v>268</v>
      </c>
      <c r="K2018" s="38">
        <v>244</v>
      </c>
      <c r="L2018" s="50">
        <f t="shared" si="98"/>
        <v>31.282051282051281</v>
      </c>
      <c r="M2018" s="38">
        <v>32</v>
      </c>
      <c r="N2018" s="50">
        <f t="shared" si="99"/>
        <v>4.1025641025641022</v>
      </c>
      <c r="O2018" s="38">
        <v>0</v>
      </c>
      <c r="P2018" s="38">
        <v>10.01</v>
      </c>
      <c r="Q2018" s="98" t="s">
        <v>160</v>
      </c>
      <c r="R2018" s="7">
        <v>44453</v>
      </c>
      <c r="S2018" s="99"/>
      <c r="T2018" s="11">
        <v>10</v>
      </c>
      <c r="U2018" s="98"/>
      <c r="V2018" s="98"/>
      <c r="W2018" s="98"/>
      <c r="X2018" s="98"/>
      <c r="Y2018" s="98"/>
      <c r="Z2018" s="20"/>
      <c r="AB2018" s="20"/>
      <c r="AC2018" s="11" t="s">
        <v>2033</v>
      </c>
      <c r="AD2018" s="61"/>
      <c r="AE2018" s="99"/>
    </row>
    <row r="2019" spans="1:31" x14ac:dyDescent="0.25">
      <c r="A2019" s="38" t="s">
        <v>36</v>
      </c>
      <c r="B2019" s="38" t="s">
        <v>4140</v>
      </c>
      <c r="C2019" s="38" t="s">
        <v>4354</v>
      </c>
      <c r="D2019" s="38" t="s">
        <v>1693</v>
      </c>
      <c r="E2019" s="38" t="s">
        <v>4361</v>
      </c>
      <c r="F2019" s="38">
        <v>1693.71</v>
      </c>
      <c r="G2019" s="38">
        <v>1693.71</v>
      </c>
      <c r="H2019" s="38">
        <f t="shared" si="97"/>
        <v>1040</v>
      </c>
      <c r="I2019" s="38">
        <v>683</v>
      </c>
      <c r="J2019" s="38">
        <v>357</v>
      </c>
      <c r="K2019" s="38">
        <v>326</v>
      </c>
      <c r="L2019" s="50">
        <f t="shared" si="98"/>
        <v>31.346153846153847</v>
      </c>
      <c r="M2019" s="38">
        <v>11</v>
      </c>
      <c r="N2019" s="50">
        <f t="shared" si="99"/>
        <v>1.0576923076923077</v>
      </c>
      <c r="O2019" s="38">
        <v>81.010000000000005</v>
      </c>
      <c r="P2019" s="38">
        <v>413.79</v>
      </c>
      <c r="Q2019" s="39" t="s">
        <v>44</v>
      </c>
      <c r="R2019" s="25">
        <v>44453</v>
      </c>
      <c r="S2019" s="40"/>
      <c r="T2019" s="237">
        <v>414</v>
      </c>
      <c r="U2019" s="39"/>
      <c r="V2019" s="39"/>
      <c r="W2019" s="39"/>
      <c r="X2019" s="39"/>
      <c r="Y2019" s="39"/>
      <c r="Z2019" s="3"/>
      <c r="AB2019" s="3"/>
      <c r="AC2019" s="60" t="s">
        <v>1691</v>
      </c>
      <c r="AD2019" s="2"/>
      <c r="AE2019" s="40"/>
    </row>
    <row r="2020" spans="1:31" x14ac:dyDescent="0.25">
      <c r="A2020" s="38" t="s">
        <v>36</v>
      </c>
      <c r="B2020" s="38" t="s">
        <v>4140</v>
      </c>
      <c r="C2020" s="38" t="s">
        <v>4362</v>
      </c>
      <c r="D2020" s="38" t="s">
        <v>4363</v>
      </c>
      <c r="E2020" s="38" t="s">
        <v>4364</v>
      </c>
      <c r="F2020" s="38">
        <v>880.39</v>
      </c>
      <c r="G2020" s="38">
        <v>880.39</v>
      </c>
      <c r="H2020" s="38">
        <f t="shared" si="97"/>
        <v>1547</v>
      </c>
      <c r="I2020" s="38">
        <v>1003</v>
      </c>
      <c r="J2020" s="38">
        <v>544</v>
      </c>
      <c r="K2020" s="38">
        <v>459</v>
      </c>
      <c r="L2020" s="50">
        <f t="shared" si="98"/>
        <v>29.670329670329672</v>
      </c>
      <c r="M2020" s="38">
        <v>73</v>
      </c>
      <c r="N2020" s="50">
        <f t="shared" si="99"/>
        <v>4.7188106011635425</v>
      </c>
      <c r="O2020" s="38">
        <v>0</v>
      </c>
      <c r="P2020" s="38">
        <v>157.11000000000001</v>
      </c>
      <c r="Q2020" s="61" t="s">
        <v>43</v>
      </c>
      <c r="R2020" s="10">
        <v>44462</v>
      </c>
      <c r="S2020" s="61"/>
      <c r="T2020" s="20">
        <v>92</v>
      </c>
      <c r="U2020" s="61"/>
      <c r="V2020" s="61"/>
      <c r="W2020" s="61"/>
      <c r="X2020" s="61"/>
      <c r="Y2020" s="61"/>
      <c r="Z2020" s="109"/>
      <c r="AB2020" s="20">
        <v>85</v>
      </c>
      <c r="AC2020" s="61" t="s">
        <v>2234</v>
      </c>
      <c r="AD2020" s="61">
        <v>72.484150999999997</v>
      </c>
      <c r="AE2020" s="61">
        <v>26.223362000000002</v>
      </c>
    </row>
    <row r="2021" spans="1:31" x14ac:dyDescent="0.25">
      <c r="A2021" s="38" t="s">
        <v>36</v>
      </c>
      <c r="B2021" s="38" t="s">
        <v>4140</v>
      </c>
      <c r="C2021" s="38" t="s">
        <v>4362</v>
      </c>
      <c r="D2021" s="38" t="s">
        <v>4363</v>
      </c>
      <c r="E2021" s="38" t="s">
        <v>4364</v>
      </c>
      <c r="F2021" s="38">
        <v>880.39</v>
      </c>
      <c r="G2021" s="38">
        <v>880.39</v>
      </c>
      <c r="H2021" s="38">
        <f t="shared" si="97"/>
        <v>1547</v>
      </c>
      <c r="I2021" s="38">
        <v>1003</v>
      </c>
      <c r="J2021" s="38">
        <v>544</v>
      </c>
      <c r="K2021" s="38">
        <v>459</v>
      </c>
      <c r="L2021" s="50">
        <f t="shared" si="98"/>
        <v>29.670329670329672</v>
      </c>
      <c r="M2021" s="38">
        <v>73</v>
      </c>
      <c r="N2021" s="50">
        <f t="shared" si="99"/>
        <v>4.7188106011635425</v>
      </c>
      <c r="O2021" s="38">
        <v>0</v>
      </c>
      <c r="P2021" s="38">
        <v>157.11000000000001</v>
      </c>
      <c r="Q2021" s="61" t="s">
        <v>43</v>
      </c>
      <c r="R2021" s="10">
        <v>44462</v>
      </c>
      <c r="S2021" s="61"/>
      <c r="T2021" s="20">
        <v>26</v>
      </c>
      <c r="U2021" s="61"/>
      <c r="V2021" s="61"/>
      <c r="W2021" s="61"/>
      <c r="X2021" s="61"/>
      <c r="Y2021" s="61"/>
      <c r="Z2021" s="109"/>
      <c r="AB2021" s="20">
        <v>22</v>
      </c>
      <c r="AC2021" s="61" t="s">
        <v>4365</v>
      </c>
      <c r="AD2021" s="61">
        <v>72.484274999999997</v>
      </c>
      <c r="AE2021" s="61">
        <v>26.223376999999999</v>
      </c>
    </row>
    <row r="2022" spans="1:31" x14ac:dyDescent="0.25">
      <c r="A2022" s="38" t="s">
        <v>36</v>
      </c>
      <c r="B2022" s="38" t="s">
        <v>4140</v>
      </c>
      <c r="C2022" s="38" t="s">
        <v>4362</v>
      </c>
      <c r="D2022" s="38" t="s">
        <v>4366</v>
      </c>
      <c r="E2022" s="38" t="s">
        <v>4367</v>
      </c>
      <c r="F2022" s="38">
        <v>676.71</v>
      </c>
      <c r="G2022" s="38">
        <v>676.71</v>
      </c>
      <c r="H2022" s="38">
        <f t="shared" si="97"/>
        <v>664</v>
      </c>
      <c r="I2022" s="38">
        <v>440</v>
      </c>
      <c r="J2022" s="38">
        <v>224</v>
      </c>
      <c r="K2022" s="38">
        <v>216</v>
      </c>
      <c r="L2022" s="50">
        <f t="shared" si="98"/>
        <v>32.53012048192771</v>
      </c>
      <c r="M2022" s="38">
        <v>15</v>
      </c>
      <c r="N2022" s="50">
        <f t="shared" si="99"/>
        <v>2.2590361445783134</v>
      </c>
      <c r="O2022" s="38">
        <v>0</v>
      </c>
      <c r="P2022" s="38">
        <v>117.07</v>
      </c>
      <c r="Q2022" s="39" t="s">
        <v>44</v>
      </c>
      <c r="R2022" s="25">
        <v>44462</v>
      </c>
      <c r="S2022" s="1"/>
      <c r="T2022" s="237">
        <v>117</v>
      </c>
      <c r="U2022" s="39"/>
      <c r="V2022" s="39"/>
      <c r="W2022" s="39"/>
      <c r="X2022" s="39"/>
      <c r="Y2022" s="39"/>
      <c r="Z2022" s="3"/>
      <c r="AB2022" s="3"/>
      <c r="AC2022" s="60" t="s">
        <v>4368</v>
      </c>
      <c r="AD2022" s="1">
        <v>0</v>
      </c>
      <c r="AE2022" s="1">
        <v>0</v>
      </c>
    </row>
    <row r="2023" spans="1:31" x14ac:dyDescent="0.25">
      <c r="A2023" s="38" t="s">
        <v>36</v>
      </c>
      <c r="B2023" s="38" t="s">
        <v>4140</v>
      </c>
      <c r="C2023" s="38" t="s">
        <v>4362</v>
      </c>
      <c r="D2023" s="38" t="s">
        <v>4369</v>
      </c>
      <c r="E2023" s="38" t="s">
        <v>4370</v>
      </c>
      <c r="F2023" s="38">
        <v>459.5</v>
      </c>
      <c r="G2023" s="38">
        <v>459.5</v>
      </c>
      <c r="H2023" s="38">
        <f t="shared" si="97"/>
        <v>826</v>
      </c>
      <c r="I2023" s="38">
        <v>541</v>
      </c>
      <c r="J2023" s="38">
        <v>285</v>
      </c>
      <c r="K2023" s="38">
        <v>256</v>
      </c>
      <c r="L2023" s="50">
        <f t="shared" si="98"/>
        <v>30.99273607748184</v>
      </c>
      <c r="M2023" s="38">
        <v>35</v>
      </c>
      <c r="N2023" s="50">
        <f t="shared" si="99"/>
        <v>4.2372881355932197</v>
      </c>
      <c r="O2023" s="38">
        <v>0</v>
      </c>
      <c r="P2023" s="38">
        <v>14.08</v>
      </c>
      <c r="Q2023" s="61" t="s">
        <v>43</v>
      </c>
      <c r="R2023" s="10">
        <v>44462</v>
      </c>
      <c r="S2023" s="61"/>
      <c r="T2023" s="20">
        <v>14</v>
      </c>
      <c r="U2023" s="61"/>
      <c r="V2023" s="61"/>
      <c r="W2023" s="61"/>
      <c r="X2023" s="61"/>
      <c r="Y2023" s="61"/>
      <c r="Z2023" s="109"/>
      <c r="AB2023" s="20">
        <v>12</v>
      </c>
      <c r="AC2023" s="61" t="s">
        <v>4371</v>
      </c>
      <c r="AD2023" s="61">
        <v>72.495304000000004</v>
      </c>
      <c r="AE2023" s="61">
        <v>26.202604999999998</v>
      </c>
    </row>
    <row r="2024" spans="1:31" x14ac:dyDescent="0.25">
      <c r="A2024" s="38" t="s">
        <v>36</v>
      </c>
      <c r="B2024" s="38" t="s">
        <v>4140</v>
      </c>
      <c r="C2024" s="38" t="s">
        <v>4362</v>
      </c>
      <c r="D2024" s="38" t="s">
        <v>4372</v>
      </c>
      <c r="E2024" s="38" t="s">
        <v>4373</v>
      </c>
      <c r="F2024" s="38">
        <v>1127.9000000000001</v>
      </c>
      <c r="G2024" s="38">
        <v>1127.9000000000001</v>
      </c>
      <c r="H2024" s="38">
        <f t="shared" si="97"/>
        <v>2502</v>
      </c>
      <c r="I2024" s="38">
        <v>1658</v>
      </c>
      <c r="J2024" s="38">
        <v>844</v>
      </c>
      <c r="K2024" s="38">
        <v>814</v>
      </c>
      <c r="L2024" s="50">
        <f t="shared" si="98"/>
        <v>32.533972821742609</v>
      </c>
      <c r="M2024" s="38">
        <v>185</v>
      </c>
      <c r="N2024" s="50">
        <f t="shared" si="99"/>
        <v>7.3940847322142291</v>
      </c>
      <c r="O2024" s="38">
        <v>0</v>
      </c>
      <c r="P2024" s="38">
        <v>28.11</v>
      </c>
      <c r="Q2024" s="61" t="s">
        <v>43</v>
      </c>
      <c r="R2024" s="10">
        <v>44462</v>
      </c>
      <c r="S2024" s="61"/>
      <c r="T2024" s="20">
        <v>28</v>
      </c>
      <c r="U2024" s="61"/>
      <c r="V2024" s="61"/>
      <c r="W2024" s="61"/>
      <c r="X2024" s="61"/>
      <c r="Y2024" s="61"/>
      <c r="Z2024" s="109"/>
      <c r="AB2024" s="20"/>
      <c r="AC2024" s="61" t="s">
        <v>4374</v>
      </c>
      <c r="AD2024" s="61">
        <v>72.526009000000002</v>
      </c>
      <c r="AE2024" s="61">
        <v>26.242194000000001</v>
      </c>
    </row>
    <row r="2025" spans="1:31" x14ac:dyDescent="0.25">
      <c r="A2025" s="38" t="s">
        <v>36</v>
      </c>
      <c r="B2025" s="38" t="s">
        <v>4140</v>
      </c>
      <c r="C2025" s="38" t="s">
        <v>4375</v>
      </c>
      <c r="D2025" s="38" t="s">
        <v>4375</v>
      </c>
      <c r="E2025" s="38" t="s">
        <v>4376</v>
      </c>
      <c r="F2025" s="38">
        <v>2794.84</v>
      </c>
      <c r="G2025" s="38">
        <v>2794.84</v>
      </c>
      <c r="H2025" s="38">
        <f t="shared" si="97"/>
        <v>3125</v>
      </c>
      <c r="I2025" s="38">
        <v>2048</v>
      </c>
      <c r="J2025" s="38">
        <v>1077</v>
      </c>
      <c r="K2025" s="38">
        <v>971</v>
      </c>
      <c r="L2025" s="50">
        <f t="shared" si="98"/>
        <v>31.071999999999999</v>
      </c>
      <c r="M2025" s="38">
        <v>181</v>
      </c>
      <c r="N2025" s="50">
        <f t="shared" si="99"/>
        <v>5.7919999999999998</v>
      </c>
      <c r="O2025" s="38">
        <v>0</v>
      </c>
      <c r="P2025" s="38">
        <v>301.93</v>
      </c>
      <c r="Q2025" s="34" t="s">
        <v>43</v>
      </c>
      <c r="R2025" s="7">
        <v>44456</v>
      </c>
      <c r="S2025" s="34"/>
      <c r="T2025" s="34">
        <v>25</v>
      </c>
      <c r="U2025" s="34"/>
      <c r="V2025" s="34"/>
      <c r="W2025" s="34"/>
      <c r="X2025" s="34"/>
      <c r="Y2025" s="34"/>
      <c r="Z2025" s="109"/>
      <c r="AB2025" s="89">
        <v>25</v>
      </c>
      <c r="AC2025" s="34" t="s">
        <v>4377</v>
      </c>
      <c r="AD2025" s="34">
        <v>72.494889999999998</v>
      </c>
      <c r="AE2025" s="34">
        <v>26.016587000000001</v>
      </c>
    </row>
    <row r="2026" spans="1:31" x14ac:dyDescent="0.25">
      <c r="A2026" s="38" t="s">
        <v>36</v>
      </c>
      <c r="B2026" s="38" t="s">
        <v>4140</v>
      </c>
      <c r="C2026" s="38" t="s">
        <v>4375</v>
      </c>
      <c r="D2026" s="38" t="s">
        <v>4378</v>
      </c>
      <c r="E2026" s="38" t="s">
        <v>4379</v>
      </c>
      <c r="F2026" s="38">
        <v>1158.3900000000001</v>
      </c>
      <c r="G2026" s="38">
        <v>1158.3900000000001</v>
      </c>
      <c r="H2026" s="38">
        <f t="shared" si="97"/>
        <v>916</v>
      </c>
      <c r="I2026" s="38">
        <v>608</v>
      </c>
      <c r="J2026" s="38">
        <v>308</v>
      </c>
      <c r="K2026" s="38">
        <v>300</v>
      </c>
      <c r="L2026" s="50">
        <f t="shared" si="98"/>
        <v>32.751091703056765</v>
      </c>
      <c r="M2026" s="38">
        <v>51</v>
      </c>
      <c r="N2026" s="50">
        <f t="shared" si="99"/>
        <v>5.5676855895196509</v>
      </c>
      <c r="O2026" s="38">
        <v>0</v>
      </c>
      <c r="P2026" s="38">
        <v>25.11</v>
      </c>
      <c r="Q2026" s="39" t="s">
        <v>44</v>
      </c>
      <c r="R2026" s="25">
        <v>44456</v>
      </c>
      <c r="S2026" s="1"/>
      <c r="T2026" s="237">
        <v>19.149999999999999</v>
      </c>
      <c r="U2026" s="39"/>
      <c r="V2026" s="39"/>
      <c r="W2026" s="39"/>
      <c r="X2026" s="39"/>
      <c r="Y2026" s="39"/>
      <c r="Z2026" s="3"/>
      <c r="AB2026" s="3"/>
      <c r="AC2026" s="60" t="s">
        <v>4380</v>
      </c>
      <c r="AD2026" s="1">
        <v>0</v>
      </c>
      <c r="AE2026" s="1">
        <v>0</v>
      </c>
    </row>
    <row r="2027" spans="1:31" x14ac:dyDescent="0.25">
      <c r="A2027" s="38" t="s">
        <v>36</v>
      </c>
      <c r="B2027" s="38" t="s">
        <v>4140</v>
      </c>
      <c r="C2027" s="38" t="s">
        <v>4381</v>
      </c>
      <c r="D2027" s="38" t="s">
        <v>4382</v>
      </c>
      <c r="E2027" s="38" t="s">
        <v>4383</v>
      </c>
      <c r="F2027" s="38">
        <v>3606</v>
      </c>
      <c r="G2027" s="38">
        <v>3606</v>
      </c>
      <c r="H2027" s="38">
        <f t="shared" si="97"/>
        <v>3483</v>
      </c>
      <c r="I2027" s="38">
        <v>2307</v>
      </c>
      <c r="J2027" s="38">
        <v>1176</v>
      </c>
      <c r="K2027" s="38">
        <v>1131</v>
      </c>
      <c r="L2027" s="50">
        <f t="shared" si="98"/>
        <v>32.472006890611546</v>
      </c>
      <c r="M2027" s="38">
        <v>152</v>
      </c>
      <c r="N2027" s="50">
        <f t="shared" si="99"/>
        <v>4.3640539764570772</v>
      </c>
      <c r="O2027" s="38">
        <v>0</v>
      </c>
      <c r="P2027" s="38">
        <v>268.10000000000002</v>
      </c>
      <c r="AC2027" s="117"/>
      <c r="AD2027" s="121"/>
    </row>
    <row r="2028" spans="1:31" x14ac:dyDescent="0.25">
      <c r="A2028" s="38" t="s">
        <v>36</v>
      </c>
      <c r="B2028" s="38" t="s">
        <v>4140</v>
      </c>
      <c r="C2028" s="38" t="s">
        <v>4381</v>
      </c>
      <c r="D2028" s="38" t="s">
        <v>4384</v>
      </c>
      <c r="E2028" s="38" t="s">
        <v>4385</v>
      </c>
      <c r="F2028" s="38">
        <v>2450</v>
      </c>
      <c r="G2028" s="38">
        <v>2450</v>
      </c>
      <c r="H2028" s="38">
        <f t="shared" si="97"/>
        <v>1900</v>
      </c>
      <c r="I2028" s="38">
        <v>1271</v>
      </c>
      <c r="J2028" s="38">
        <v>629</v>
      </c>
      <c r="K2028" s="38">
        <v>642</v>
      </c>
      <c r="L2028" s="50">
        <f t="shared" si="98"/>
        <v>33.789473684210527</v>
      </c>
      <c r="M2028" s="38">
        <v>174</v>
      </c>
      <c r="N2028" s="50">
        <f t="shared" si="99"/>
        <v>9.1578947368421044</v>
      </c>
      <c r="O2028" s="38">
        <v>0</v>
      </c>
      <c r="P2028" s="38">
        <v>0</v>
      </c>
      <c r="AC2028" s="117"/>
      <c r="AD2028" s="121"/>
    </row>
    <row r="2029" spans="1:31" x14ac:dyDescent="0.25">
      <c r="A2029" s="38" t="s">
        <v>36</v>
      </c>
      <c r="B2029" s="38" t="s">
        <v>4386</v>
      </c>
      <c r="C2029" s="38" t="s">
        <v>4387</v>
      </c>
      <c r="D2029" s="38" t="s">
        <v>4388</v>
      </c>
      <c r="E2029" s="38" t="s">
        <v>4389</v>
      </c>
      <c r="F2029" s="38">
        <v>1015.11</v>
      </c>
      <c r="G2029" s="38">
        <v>1015.11</v>
      </c>
      <c r="H2029" s="38">
        <f t="shared" si="97"/>
        <v>1507</v>
      </c>
      <c r="I2029" s="38">
        <v>976</v>
      </c>
      <c r="J2029" s="38">
        <v>531</v>
      </c>
      <c r="K2029" s="38">
        <v>445</v>
      </c>
      <c r="L2029" s="50">
        <f t="shared" si="98"/>
        <v>29.528865295288654</v>
      </c>
      <c r="M2029" s="38">
        <v>34</v>
      </c>
      <c r="N2029" s="50">
        <f t="shared" si="99"/>
        <v>2.2561380225613803</v>
      </c>
      <c r="O2029" s="38">
        <v>0</v>
      </c>
      <c r="P2029" s="38">
        <v>15.05</v>
      </c>
      <c r="Q2029" s="98" t="s">
        <v>43</v>
      </c>
      <c r="R2029" s="17">
        <v>44557</v>
      </c>
      <c r="S2029" s="61"/>
      <c r="T2029" s="20">
        <v>14.4</v>
      </c>
      <c r="U2029" s="98"/>
      <c r="V2029" s="98"/>
      <c r="W2029" s="98"/>
      <c r="X2029" s="98"/>
      <c r="Y2029" s="98"/>
      <c r="Z2029" s="20"/>
      <c r="AB2029" s="20"/>
      <c r="AC2029" s="11" t="s">
        <v>4390</v>
      </c>
      <c r="AD2029" s="61"/>
      <c r="AE2029" s="61"/>
    </row>
    <row r="2030" spans="1:31" x14ac:dyDescent="0.25">
      <c r="A2030" s="38" t="s">
        <v>36</v>
      </c>
      <c r="B2030" s="38" t="s">
        <v>4386</v>
      </c>
      <c r="C2030" s="38" t="s">
        <v>4387</v>
      </c>
      <c r="D2030" s="38" t="s">
        <v>4392</v>
      </c>
      <c r="E2030" s="38" t="s">
        <v>4393</v>
      </c>
      <c r="F2030" s="38">
        <v>1496.98</v>
      </c>
      <c r="G2030" s="38">
        <v>1496.98</v>
      </c>
      <c r="H2030" s="38">
        <f t="shared" si="97"/>
        <v>1973</v>
      </c>
      <c r="I2030" s="38">
        <v>1296</v>
      </c>
      <c r="J2030" s="38">
        <v>677</v>
      </c>
      <c r="K2030" s="38">
        <v>619</v>
      </c>
      <c r="L2030" s="50">
        <f t="shared" si="98"/>
        <v>31.373542828180433</v>
      </c>
      <c r="M2030" s="38">
        <v>74</v>
      </c>
      <c r="N2030" s="50">
        <f t="shared" si="99"/>
        <v>3.7506335529650277</v>
      </c>
      <c r="O2030" s="38">
        <v>0</v>
      </c>
      <c r="P2030" s="38">
        <v>97.05</v>
      </c>
      <c r="Q2030" s="98" t="s">
        <v>43</v>
      </c>
      <c r="R2030" s="17">
        <v>44557</v>
      </c>
      <c r="S2030" s="61"/>
      <c r="T2030" s="20">
        <v>95.36</v>
      </c>
      <c r="U2030" s="98"/>
      <c r="V2030" s="98"/>
      <c r="W2030" s="98"/>
      <c r="X2030" s="98"/>
      <c r="Y2030" s="98"/>
      <c r="Z2030" s="20"/>
      <c r="AB2030" s="20"/>
      <c r="AC2030" s="11" t="s">
        <v>4394</v>
      </c>
      <c r="AD2030" s="61"/>
      <c r="AE2030" s="61"/>
    </row>
    <row r="2031" spans="1:31" x14ac:dyDescent="0.25">
      <c r="A2031" s="38" t="s">
        <v>36</v>
      </c>
      <c r="B2031" s="38" t="s">
        <v>4386</v>
      </c>
      <c r="C2031" s="38" t="s">
        <v>4387</v>
      </c>
      <c r="D2031" s="38" t="s">
        <v>4395</v>
      </c>
      <c r="E2031" s="38" t="s">
        <v>4396</v>
      </c>
      <c r="F2031" s="38">
        <v>1012.95</v>
      </c>
      <c r="G2031" s="38">
        <v>1012.95</v>
      </c>
      <c r="H2031" s="38">
        <f t="shared" si="97"/>
        <v>2090</v>
      </c>
      <c r="I2031" s="38">
        <v>1384</v>
      </c>
      <c r="J2031" s="38">
        <v>706</v>
      </c>
      <c r="K2031" s="38">
        <v>678</v>
      </c>
      <c r="L2031" s="50">
        <f t="shared" si="98"/>
        <v>32.440191387559807</v>
      </c>
      <c r="M2031" s="38">
        <v>48</v>
      </c>
      <c r="N2031" s="50">
        <f t="shared" si="99"/>
        <v>2.2966507177033493</v>
      </c>
      <c r="O2031" s="38">
        <v>0</v>
      </c>
      <c r="P2031" s="38">
        <v>0</v>
      </c>
      <c r="Q2031" s="61" t="s">
        <v>43</v>
      </c>
      <c r="R2031" s="7">
        <v>44557</v>
      </c>
      <c r="S2031" s="61"/>
      <c r="T2031" s="20">
        <v>0</v>
      </c>
      <c r="U2031" s="61"/>
      <c r="V2031" s="61"/>
      <c r="W2031" s="61"/>
      <c r="X2031" s="61"/>
      <c r="Y2031" s="61"/>
      <c r="Z2031" s="20"/>
      <c r="AB2031" s="20"/>
      <c r="AC2031" s="11" t="s">
        <v>4397</v>
      </c>
      <c r="AD2031" s="61">
        <v>0</v>
      </c>
      <c r="AE2031" s="61"/>
    </row>
    <row r="2032" spans="1:31" x14ac:dyDescent="0.25">
      <c r="A2032" s="38" t="s">
        <v>36</v>
      </c>
      <c r="B2032" s="38" t="s">
        <v>4386</v>
      </c>
      <c r="C2032" s="38" t="s">
        <v>4387</v>
      </c>
      <c r="D2032" s="38" t="s">
        <v>4398</v>
      </c>
      <c r="E2032" s="38" t="s">
        <v>4399</v>
      </c>
      <c r="F2032" s="38">
        <v>793.72</v>
      </c>
      <c r="G2032" s="38">
        <v>793.72</v>
      </c>
      <c r="H2032" s="38">
        <f t="shared" si="97"/>
        <v>567</v>
      </c>
      <c r="I2032" s="38">
        <v>365</v>
      </c>
      <c r="J2032" s="38">
        <v>202</v>
      </c>
      <c r="K2032" s="38">
        <v>163</v>
      </c>
      <c r="L2032" s="50">
        <f t="shared" si="98"/>
        <v>28.747795414462079</v>
      </c>
      <c r="M2032" s="38">
        <v>0</v>
      </c>
      <c r="N2032" s="50">
        <f t="shared" si="99"/>
        <v>0</v>
      </c>
      <c r="O2032" s="38">
        <v>0</v>
      </c>
      <c r="P2032" s="38">
        <v>32.5</v>
      </c>
      <c r="Q2032" s="98" t="s">
        <v>43</v>
      </c>
      <c r="R2032" s="17">
        <v>44557</v>
      </c>
      <c r="S2032" s="61"/>
      <c r="T2032" s="20">
        <v>32.159999999999997</v>
      </c>
      <c r="U2032" s="98"/>
      <c r="V2032" s="98"/>
      <c r="W2032" s="98"/>
      <c r="X2032" s="98"/>
      <c r="Y2032" s="98"/>
      <c r="Z2032" s="20"/>
      <c r="AB2032" s="20"/>
      <c r="AC2032" s="11" t="s">
        <v>4400</v>
      </c>
      <c r="AD2032" s="61"/>
      <c r="AE2032" s="61"/>
    </row>
    <row r="2033" spans="1:31" x14ac:dyDescent="0.25">
      <c r="A2033" s="38" t="s">
        <v>36</v>
      </c>
      <c r="B2033" s="38" t="s">
        <v>4386</v>
      </c>
      <c r="C2033" s="38" t="s">
        <v>4387</v>
      </c>
      <c r="D2033" s="38" t="s">
        <v>2728</v>
      </c>
      <c r="E2033" s="38" t="s">
        <v>4401</v>
      </c>
      <c r="F2033" s="38">
        <v>801.28</v>
      </c>
      <c r="G2033" s="38">
        <v>801.28</v>
      </c>
      <c r="H2033" s="38">
        <f t="shared" si="97"/>
        <v>1028</v>
      </c>
      <c r="I2033" s="38">
        <v>658</v>
      </c>
      <c r="J2033" s="38">
        <v>370</v>
      </c>
      <c r="K2033" s="38">
        <v>288</v>
      </c>
      <c r="L2033" s="50">
        <f t="shared" si="98"/>
        <v>28.01556420233463</v>
      </c>
      <c r="M2033" s="38">
        <v>26</v>
      </c>
      <c r="N2033" s="50">
        <f t="shared" si="99"/>
        <v>2.5291828793774318</v>
      </c>
      <c r="O2033" s="38">
        <v>0</v>
      </c>
      <c r="P2033" s="38">
        <v>3.5</v>
      </c>
      <c r="Q2033" s="98" t="s">
        <v>43</v>
      </c>
      <c r="R2033" s="17">
        <v>44557</v>
      </c>
      <c r="S2033" s="61"/>
      <c r="T2033" s="20">
        <v>3.84</v>
      </c>
      <c r="U2033" s="98"/>
      <c r="V2033" s="98"/>
      <c r="W2033" s="98"/>
      <c r="X2033" s="98"/>
      <c r="Y2033" s="98"/>
      <c r="Z2033" s="20"/>
      <c r="AB2033" s="20"/>
      <c r="AC2033" s="11" t="s">
        <v>4402</v>
      </c>
      <c r="AD2033" s="61"/>
      <c r="AE2033" s="61"/>
    </row>
    <row r="2034" spans="1:31" x14ac:dyDescent="0.25">
      <c r="A2034" s="38" t="s">
        <v>36</v>
      </c>
      <c r="B2034" s="38" t="s">
        <v>4386</v>
      </c>
      <c r="C2034" s="38" t="s">
        <v>4403</v>
      </c>
      <c r="D2034" s="38" t="s">
        <v>4404</v>
      </c>
      <c r="E2034" s="38" t="s">
        <v>4405</v>
      </c>
      <c r="F2034" s="38">
        <v>988</v>
      </c>
      <c r="G2034" s="38">
        <v>988</v>
      </c>
      <c r="H2034" s="38">
        <f t="shared" si="97"/>
        <v>1227</v>
      </c>
      <c r="I2034" s="38">
        <v>814</v>
      </c>
      <c r="J2034" s="38">
        <v>413</v>
      </c>
      <c r="K2034" s="38">
        <v>401</v>
      </c>
      <c r="L2034" s="50">
        <f t="shared" si="98"/>
        <v>32.681336593317035</v>
      </c>
      <c r="M2034" s="38">
        <v>0</v>
      </c>
      <c r="N2034" s="50">
        <f t="shared" si="99"/>
        <v>0</v>
      </c>
      <c r="O2034" s="38">
        <v>0</v>
      </c>
      <c r="P2034" s="38">
        <v>0</v>
      </c>
    </row>
    <row r="2035" spans="1:31" x14ac:dyDescent="0.25">
      <c r="A2035" s="38" t="s">
        <v>36</v>
      </c>
      <c r="B2035" s="38" t="s">
        <v>4386</v>
      </c>
      <c r="C2035" s="38" t="s">
        <v>4403</v>
      </c>
      <c r="D2035" s="38" t="s">
        <v>4406</v>
      </c>
      <c r="E2035" s="38" t="s">
        <v>4407</v>
      </c>
      <c r="F2035" s="38">
        <v>1417</v>
      </c>
      <c r="G2035" s="38">
        <v>1417</v>
      </c>
      <c r="H2035" s="38">
        <f t="shared" si="97"/>
        <v>2045</v>
      </c>
      <c r="I2035" s="38">
        <v>1341</v>
      </c>
      <c r="J2035" s="38">
        <v>704</v>
      </c>
      <c r="K2035" s="38">
        <v>637</v>
      </c>
      <c r="L2035" s="50">
        <f t="shared" si="98"/>
        <v>31.149144254278728</v>
      </c>
      <c r="M2035" s="38">
        <v>23</v>
      </c>
      <c r="N2035" s="50">
        <f t="shared" si="99"/>
        <v>1.1246943765281174</v>
      </c>
      <c r="O2035" s="38">
        <v>0</v>
      </c>
      <c r="P2035" s="38">
        <v>12</v>
      </c>
    </row>
    <row r="2036" spans="1:31" x14ac:dyDescent="0.25">
      <c r="A2036" s="38" t="s">
        <v>36</v>
      </c>
      <c r="B2036" s="38" t="s">
        <v>4386</v>
      </c>
      <c r="C2036" s="38" t="s">
        <v>4408</v>
      </c>
      <c r="D2036" s="38" t="s">
        <v>4409</v>
      </c>
      <c r="E2036" s="38" t="s">
        <v>4410</v>
      </c>
      <c r="F2036" s="38">
        <v>1802.55</v>
      </c>
      <c r="G2036" s="38">
        <v>1802.55</v>
      </c>
      <c r="H2036" s="38">
        <f t="shared" si="97"/>
        <v>2648</v>
      </c>
      <c r="I2036" s="38">
        <v>1734</v>
      </c>
      <c r="J2036" s="38">
        <v>914</v>
      </c>
      <c r="K2036" s="38">
        <v>820</v>
      </c>
      <c r="L2036" s="50">
        <f t="shared" si="98"/>
        <v>30.966767371601208</v>
      </c>
      <c r="M2036" s="38">
        <v>134</v>
      </c>
      <c r="N2036" s="50">
        <f t="shared" si="99"/>
        <v>5.0604229607250755</v>
      </c>
      <c r="O2036" s="38">
        <v>0</v>
      </c>
      <c r="P2036" s="38">
        <v>4</v>
      </c>
    </row>
    <row r="2037" spans="1:31" x14ac:dyDescent="0.25">
      <c r="A2037" s="38" t="s">
        <v>36</v>
      </c>
      <c r="B2037" s="38" t="s">
        <v>4386</v>
      </c>
      <c r="C2037" s="38" t="s">
        <v>4408</v>
      </c>
      <c r="D2037" s="38" t="s">
        <v>4411</v>
      </c>
      <c r="E2037" s="38" t="s">
        <v>4412</v>
      </c>
      <c r="F2037" s="38">
        <v>685.22</v>
      </c>
      <c r="G2037" s="38">
        <v>685.22</v>
      </c>
      <c r="H2037" s="38">
        <f t="shared" si="97"/>
        <v>894</v>
      </c>
      <c r="I2037" s="38">
        <v>591</v>
      </c>
      <c r="J2037" s="38">
        <v>303</v>
      </c>
      <c r="K2037" s="38">
        <v>288</v>
      </c>
      <c r="L2037" s="50">
        <f t="shared" si="98"/>
        <v>32.214765100671137</v>
      </c>
      <c r="M2037" s="38">
        <v>25</v>
      </c>
      <c r="N2037" s="50">
        <f t="shared" si="99"/>
        <v>2.796420581655481</v>
      </c>
      <c r="O2037" s="38">
        <v>0</v>
      </c>
      <c r="P2037" s="38">
        <v>0</v>
      </c>
    </row>
    <row r="2038" spans="1:31" x14ac:dyDescent="0.25">
      <c r="A2038" s="38" t="s">
        <v>36</v>
      </c>
      <c r="B2038" s="38" t="s">
        <v>4386</v>
      </c>
      <c r="C2038" s="38" t="s">
        <v>4408</v>
      </c>
      <c r="D2038" s="38" t="s">
        <v>4413</v>
      </c>
      <c r="E2038" s="38" t="s">
        <v>4414</v>
      </c>
      <c r="F2038" s="38">
        <v>539</v>
      </c>
      <c r="G2038" s="38">
        <v>539</v>
      </c>
      <c r="H2038" s="38">
        <f t="shared" si="97"/>
        <v>761</v>
      </c>
      <c r="I2038" s="38">
        <v>498</v>
      </c>
      <c r="J2038" s="38">
        <v>263</v>
      </c>
      <c r="K2038" s="38">
        <v>235</v>
      </c>
      <c r="L2038" s="50">
        <f t="shared" si="98"/>
        <v>30.880420499342971</v>
      </c>
      <c r="M2038" s="38">
        <v>129</v>
      </c>
      <c r="N2038" s="50">
        <f t="shared" si="99"/>
        <v>16.951379763469117</v>
      </c>
      <c r="O2038" s="38">
        <v>0</v>
      </c>
      <c r="P2038" s="38">
        <v>44</v>
      </c>
    </row>
    <row r="2039" spans="1:31" x14ac:dyDescent="0.25">
      <c r="A2039" s="38" t="s">
        <v>36</v>
      </c>
      <c r="B2039" s="38" t="s">
        <v>4386</v>
      </c>
      <c r="C2039" s="38" t="s">
        <v>4408</v>
      </c>
      <c r="D2039" s="38" t="s">
        <v>4415</v>
      </c>
      <c r="E2039" s="38" t="s">
        <v>4416</v>
      </c>
      <c r="F2039" s="38">
        <v>1021.98</v>
      </c>
      <c r="G2039" s="38">
        <v>1021.98</v>
      </c>
      <c r="H2039" s="38">
        <f t="shared" si="97"/>
        <v>1146</v>
      </c>
      <c r="I2039" s="38">
        <v>755</v>
      </c>
      <c r="J2039" s="38">
        <v>391</v>
      </c>
      <c r="K2039" s="38">
        <v>364</v>
      </c>
      <c r="L2039" s="50">
        <f t="shared" si="98"/>
        <v>31.762652705061083</v>
      </c>
      <c r="M2039" s="38">
        <v>0</v>
      </c>
      <c r="N2039" s="50">
        <f t="shared" si="99"/>
        <v>0</v>
      </c>
      <c r="O2039" s="38">
        <v>0</v>
      </c>
      <c r="P2039" s="38">
        <v>0</v>
      </c>
    </row>
    <row r="2040" spans="1:31" x14ac:dyDescent="0.25">
      <c r="A2040" s="38" t="s">
        <v>36</v>
      </c>
      <c r="B2040" s="38" t="s">
        <v>4386</v>
      </c>
      <c r="C2040" s="38" t="s">
        <v>4417</v>
      </c>
      <c r="D2040" s="38" t="s">
        <v>4418</v>
      </c>
      <c r="E2040" s="38" t="s">
        <v>4419</v>
      </c>
      <c r="F2040" s="38">
        <v>675.61</v>
      </c>
      <c r="G2040" s="38">
        <v>675.61</v>
      </c>
      <c r="H2040" s="38">
        <f t="shared" si="97"/>
        <v>955</v>
      </c>
      <c r="I2040" s="38">
        <v>625</v>
      </c>
      <c r="J2040" s="38">
        <v>330</v>
      </c>
      <c r="K2040" s="38">
        <v>295</v>
      </c>
      <c r="L2040" s="50">
        <f t="shared" si="98"/>
        <v>30.890052356020941</v>
      </c>
      <c r="M2040" s="38">
        <v>0</v>
      </c>
      <c r="N2040" s="50">
        <f t="shared" si="99"/>
        <v>0</v>
      </c>
      <c r="O2040" s="38">
        <v>0</v>
      </c>
      <c r="P2040" s="38">
        <v>1</v>
      </c>
    </row>
    <row r="2041" spans="1:31" x14ac:dyDescent="0.25">
      <c r="A2041" s="38" t="s">
        <v>36</v>
      </c>
      <c r="B2041" s="38" t="s">
        <v>4386</v>
      </c>
      <c r="C2041" s="38" t="s">
        <v>4417</v>
      </c>
      <c r="D2041" s="38" t="s">
        <v>4420</v>
      </c>
      <c r="E2041" s="38" t="s">
        <v>4421</v>
      </c>
      <c r="F2041" s="38">
        <v>614.30999999999995</v>
      </c>
      <c r="G2041" s="38">
        <v>614.30999999999995</v>
      </c>
      <c r="H2041" s="38">
        <f t="shared" si="97"/>
        <v>855</v>
      </c>
      <c r="I2041" s="38">
        <v>559</v>
      </c>
      <c r="J2041" s="38">
        <v>296</v>
      </c>
      <c r="K2041" s="38">
        <v>263</v>
      </c>
      <c r="L2041" s="50">
        <f t="shared" si="98"/>
        <v>30.760233918128655</v>
      </c>
      <c r="M2041" s="38">
        <v>0</v>
      </c>
      <c r="N2041" s="50">
        <f t="shared" si="99"/>
        <v>0</v>
      </c>
      <c r="O2041" s="38">
        <v>0</v>
      </c>
      <c r="P2041" s="38">
        <v>0</v>
      </c>
    </row>
    <row r="2042" spans="1:31" x14ac:dyDescent="0.25">
      <c r="A2042" s="38" t="s">
        <v>36</v>
      </c>
      <c r="B2042" s="38" t="s">
        <v>4386</v>
      </c>
      <c r="C2042" s="38" t="s">
        <v>4417</v>
      </c>
      <c r="D2042" s="38" t="s">
        <v>4422</v>
      </c>
      <c r="E2042" s="38" t="s">
        <v>4423</v>
      </c>
      <c r="F2042" s="38">
        <v>1175.07</v>
      </c>
      <c r="G2042" s="38">
        <v>1175.07</v>
      </c>
      <c r="H2042" s="38">
        <f t="shared" si="97"/>
        <v>1845</v>
      </c>
      <c r="I2042" s="38">
        <v>1215</v>
      </c>
      <c r="J2042" s="38">
        <v>630</v>
      </c>
      <c r="K2042" s="38">
        <v>585</v>
      </c>
      <c r="L2042" s="50">
        <f t="shared" si="98"/>
        <v>31.707317073170731</v>
      </c>
      <c r="M2042" s="38">
        <v>250</v>
      </c>
      <c r="N2042" s="50">
        <f t="shared" si="99"/>
        <v>13.550135501355012</v>
      </c>
      <c r="O2042" s="38">
        <v>0</v>
      </c>
      <c r="P2042" s="38">
        <v>0</v>
      </c>
    </row>
    <row r="2043" spans="1:31" x14ac:dyDescent="0.25">
      <c r="A2043" s="38" t="s">
        <v>36</v>
      </c>
      <c r="B2043" s="38" t="s">
        <v>4386</v>
      </c>
      <c r="C2043" s="38" t="s">
        <v>4424</v>
      </c>
      <c r="D2043" s="38" t="s">
        <v>4425</v>
      </c>
      <c r="E2043" s="38" t="s">
        <v>4426</v>
      </c>
      <c r="F2043" s="38">
        <v>384</v>
      </c>
      <c r="G2043" s="38">
        <v>384</v>
      </c>
      <c r="H2043" s="38">
        <f t="shared" si="97"/>
        <v>728</v>
      </c>
      <c r="I2043" s="38">
        <v>481</v>
      </c>
      <c r="J2043" s="38">
        <v>247</v>
      </c>
      <c r="K2043" s="38">
        <v>234</v>
      </c>
      <c r="L2043" s="50">
        <f t="shared" si="98"/>
        <v>32.142857142857146</v>
      </c>
      <c r="M2043" s="38">
        <v>11</v>
      </c>
      <c r="N2043" s="50">
        <f t="shared" si="99"/>
        <v>1.5109890109890109</v>
      </c>
      <c r="O2043" s="38">
        <v>0</v>
      </c>
      <c r="P2043" s="38">
        <v>7</v>
      </c>
      <c r="Q2043" s="98" t="s">
        <v>43</v>
      </c>
      <c r="R2043" s="17">
        <v>44544</v>
      </c>
      <c r="S2043" s="61"/>
      <c r="T2043" s="20">
        <v>42</v>
      </c>
      <c r="U2043" s="98"/>
      <c r="V2043" s="98"/>
      <c r="W2043" s="98"/>
      <c r="X2043" s="98"/>
      <c r="Y2043" s="98"/>
      <c r="Z2043" s="20"/>
      <c r="AB2043" s="20"/>
      <c r="AC2043" s="11" t="s">
        <v>4427</v>
      </c>
      <c r="AD2043" s="61"/>
      <c r="AE2043" s="61"/>
    </row>
    <row r="2044" spans="1:31" x14ac:dyDescent="0.25">
      <c r="A2044" s="38" t="s">
        <v>36</v>
      </c>
      <c r="B2044" s="38" t="s">
        <v>4386</v>
      </c>
      <c r="C2044" s="38" t="s">
        <v>4424</v>
      </c>
      <c r="D2044" s="38" t="s">
        <v>4428</v>
      </c>
      <c r="E2044" s="38" t="s">
        <v>4429</v>
      </c>
      <c r="F2044" s="38">
        <v>1190</v>
      </c>
      <c r="G2044" s="38">
        <v>1190</v>
      </c>
      <c r="H2044" s="38">
        <f t="shared" si="97"/>
        <v>1731</v>
      </c>
      <c r="I2044" s="38">
        <v>1134</v>
      </c>
      <c r="J2044" s="38">
        <v>597</v>
      </c>
      <c r="K2044" s="38">
        <v>537</v>
      </c>
      <c r="L2044" s="50">
        <f t="shared" si="98"/>
        <v>31.022530329289427</v>
      </c>
      <c r="M2044" s="38">
        <v>0</v>
      </c>
      <c r="N2044" s="50">
        <f t="shared" si="99"/>
        <v>0</v>
      </c>
      <c r="O2044" s="38">
        <v>0</v>
      </c>
      <c r="P2044" s="38">
        <v>1</v>
      </c>
      <c r="Q2044" s="98" t="s">
        <v>43</v>
      </c>
      <c r="R2044" s="17">
        <v>44544</v>
      </c>
      <c r="S2044" s="61"/>
      <c r="T2044" s="20">
        <v>6</v>
      </c>
      <c r="U2044" s="98"/>
      <c r="V2044" s="98"/>
      <c r="W2044" s="98"/>
      <c r="X2044" s="98"/>
      <c r="Y2044" s="98"/>
      <c r="Z2044" s="20"/>
      <c r="AB2044" s="20"/>
      <c r="AC2044" s="11" t="s">
        <v>4430</v>
      </c>
      <c r="AD2044" s="61"/>
      <c r="AE2044" s="61"/>
    </row>
    <row r="2045" spans="1:31" x14ac:dyDescent="0.25">
      <c r="A2045" s="38" t="s">
        <v>36</v>
      </c>
      <c r="B2045" s="38" t="s">
        <v>4386</v>
      </c>
      <c r="C2045" s="38" t="s">
        <v>4424</v>
      </c>
      <c r="D2045" s="38" t="s">
        <v>4431</v>
      </c>
      <c r="E2045" s="38" t="s">
        <v>4432</v>
      </c>
      <c r="F2045" s="38">
        <v>915</v>
      </c>
      <c r="G2045" s="38">
        <v>915</v>
      </c>
      <c r="H2045" s="38">
        <f t="shared" si="97"/>
        <v>851</v>
      </c>
      <c r="I2045" s="38">
        <v>565</v>
      </c>
      <c r="J2045" s="38">
        <v>286</v>
      </c>
      <c r="K2045" s="38">
        <v>279</v>
      </c>
      <c r="L2045" s="50">
        <f t="shared" si="98"/>
        <v>32.784958871915393</v>
      </c>
      <c r="M2045" s="38">
        <v>0</v>
      </c>
      <c r="N2045" s="50">
        <f t="shared" si="99"/>
        <v>0</v>
      </c>
      <c r="O2045" s="38">
        <v>0</v>
      </c>
      <c r="P2045" s="38">
        <v>2</v>
      </c>
      <c r="Q2045" s="98" t="s">
        <v>43</v>
      </c>
      <c r="R2045" s="17">
        <v>44544</v>
      </c>
      <c r="S2045" s="61"/>
      <c r="T2045" s="20">
        <v>2</v>
      </c>
      <c r="U2045" s="98"/>
      <c r="V2045" s="98"/>
      <c r="W2045" s="98"/>
      <c r="X2045" s="98"/>
      <c r="Y2045" s="98"/>
      <c r="Z2045" s="20"/>
      <c r="AB2045" s="20"/>
      <c r="AC2045" s="11" t="s">
        <v>4433</v>
      </c>
      <c r="AD2045" s="61"/>
      <c r="AE2045" s="61"/>
    </row>
    <row r="2046" spans="1:31" x14ac:dyDescent="0.25">
      <c r="A2046" s="38" t="s">
        <v>36</v>
      </c>
      <c r="B2046" s="38" t="s">
        <v>4386</v>
      </c>
      <c r="C2046" s="38" t="s">
        <v>4424</v>
      </c>
      <c r="D2046" s="38" t="s">
        <v>4434</v>
      </c>
      <c r="E2046" s="38" t="s">
        <v>4435</v>
      </c>
      <c r="F2046" s="38">
        <v>1076</v>
      </c>
      <c r="G2046" s="38">
        <v>1076</v>
      </c>
      <c r="H2046" s="38">
        <f t="shared" si="97"/>
        <v>681</v>
      </c>
      <c r="I2046" s="38">
        <v>442</v>
      </c>
      <c r="J2046" s="38">
        <v>239</v>
      </c>
      <c r="K2046" s="38">
        <v>203</v>
      </c>
      <c r="L2046" s="50">
        <f t="shared" si="98"/>
        <v>29.809104258443465</v>
      </c>
      <c r="M2046" s="38">
        <v>0</v>
      </c>
      <c r="N2046" s="50">
        <f t="shared" si="99"/>
        <v>0</v>
      </c>
      <c r="O2046" s="38">
        <v>0</v>
      </c>
      <c r="P2046" s="38">
        <v>0</v>
      </c>
      <c r="Q2046" s="61" t="s">
        <v>43</v>
      </c>
      <c r="R2046" s="7">
        <v>44544</v>
      </c>
      <c r="S2046" s="61"/>
      <c r="T2046" s="20">
        <v>0</v>
      </c>
      <c r="U2046" s="61"/>
      <c r="V2046" s="61"/>
      <c r="W2046" s="61"/>
      <c r="X2046" s="61"/>
      <c r="Y2046" s="61"/>
      <c r="Z2046" s="20"/>
      <c r="AB2046" s="20"/>
      <c r="AC2046" s="11" t="s">
        <v>4436</v>
      </c>
      <c r="AD2046" s="61">
        <v>0</v>
      </c>
      <c r="AE2046" s="61"/>
    </row>
    <row r="2047" spans="1:31" x14ac:dyDescent="0.25">
      <c r="A2047" s="38" t="s">
        <v>36</v>
      </c>
      <c r="B2047" s="38" t="s">
        <v>4386</v>
      </c>
      <c r="C2047" s="38" t="s">
        <v>4424</v>
      </c>
      <c r="D2047" s="38" t="s">
        <v>4437</v>
      </c>
      <c r="E2047" s="38" t="s">
        <v>4438</v>
      </c>
      <c r="F2047" s="38">
        <v>483</v>
      </c>
      <c r="G2047" s="38">
        <v>483</v>
      </c>
      <c r="H2047" s="38">
        <f t="shared" si="97"/>
        <v>941</v>
      </c>
      <c r="I2047" s="38">
        <v>627</v>
      </c>
      <c r="J2047" s="38">
        <v>314</v>
      </c>
      <c r="K2047" s="38">
        <v>313</v>
      </c>
      <c r="L2047" s="50">
        <f t="shared" si="98"/>
        <v>33.262486716259296</v>
      </c>
      <c r="M2047" s="38">
        <v>115</v>
      </c>
      <c r="N2047" s="50">
        <f t="shared" si="99"/>
        <v>12.221041445270989</v>
      </c>
      <c r="O2047" s="38">
        <v>0</v>
      </c>
      <c r="P2047" s="38">
        <v>0</v>
      </c>
      <c r="Q2047" s="61" t="s">
        <v>43</v>
      </c>
      <c r="R2047" s="7">
        <v>44544</v>
      </c>
      <c r="S2047" s="61"/>
      <c r="T2047" s="20">
        <v>0</v>
      </c>
      <c r="U2047" s="61"/>
      <c r="V2047" s="61"/>
      <c r="W2047" s="61"/>
      <c r="X2047" s="61"/>
      <c r="Y2047" s="61"/>
      <c r="Z2047" s="20"/>
      <c r="AB2047" s="20"/>
      <c r="AC2047" s="11" t="s">
        <v>4439</v>
      </c>
      <c r="AD2047" s="61">
        <v>0</v>
      </c>
      <c r="AE2047" s="61"/>
    </row>
    <row r="2048" spans="1:31" x14ac:dyDescent="0.25">
      <c r="A2048" s="38" t="s">
        <v>36</v>
      </c>
      <c r="B2048" s="38" t="s">
        <v>4386</v>
      </c>
      <c r="C2048" s="38" t="s">
        <v>4424</v>
      </c>
      <c r="D2048" s="38" t="s">
        <v>4440</v>
      </c>
      <c r="E2048" s="38" t="s">
        <v>4441</v>
      </c>
      <c r="F2048" s="38">
        <v>1328</v>
      </c>
      <c r="G2048" s="38">
        <v>1328</v>
      </c>
      <c r="H2048" s="38">
        <f t="shared" si="97"/>
        <v>1530</v>
      </c>
      <c r="I2048" s="38">
        <v>992</v>
      </c>
      <c r="J2048" s="38">
        <v>538</v>
      </c>
      <c r="K2048" s="38">
        <v>454</v>
      </c>
      <c r="L2048" s="50">
        <f t="shared" si="98"/>
        <v>29.673202614379086</v>
      </c>
      <c r="M2048" s="38">
        <v>106</v>
      </c>
      <c r="N2048" s="50">
        <f t="shared" si="99"/>
        <v>6.9281045751633989</v>
      </c>
      <c r="O2048" s="38">
        <v>0</v>
      </c>
      <c r="P2048" s="38">
        <v>211</v>
      </c>
      <c r="Q2048" s="98" t="s">
        <v>43</v>
      </c>
      <c r="R2048" s="17">
        <v>44544</v>
      </c>
      <c r="S2048" s="61"/>
      <c r="T2048" s="20">
        <v>193.28</v>
      </c>
      <c r="U2048" s="98"/>
      <c r="V2048" s="98"/>
      <c r="W2048" s="98"/>
      <c r="X2048" s="98"/>
      <c r="Y2048" s="98"/>
      <c r="Z2048" s="20"/>
      <c r="AB2048" s="20"/>
      <c r="AC2048" s="11" t="s">
        <v>4442</v>
      </c>
      <c r="AD2048" s="61"/>
      <c r="AE2048" s="61"/>
    </row>
    <row r="2049" spans="1:31" x14ac:dyDescent="0.25">
      <c r="A2049" s="38" t="s">
        <v>36</v>
      </c>
      <c r="B2049" s="38" t="s">
        <v>4386</v>
      </c>
      <c r="C2049" s="38" t="s">
        <v>4443</v>
      </c>
      <c r="D2049" s="38" t="s">
        <v>4444</v>
      </c>
      <c r="E2049" s="38" t="s">
        <v>4445</v>
      </c>
      <c r="F2049" s="38">
        <v>1513</v>
      </c>
      <c r="G2049" s="38">
        <v>1513</v>
      </c>
      <c r="H2049" s="38">
        <f t="shared" si="97"/>
        <v>1719</v>
      </c>
      <c r="I2049" s="38">
        <v>1127</v>
      </c>
      <c r="J2049" s="38">
        <v>592</v>
      </c>
      <c r="K2049" s="38">
        <v>535</v>
      </c>
      <c r="L2049" s="50">
        <f t="shared" si="98"/>
        <v>31.12274578243165</v>
      </c>
      <c r="M2049" s="38">
        <v>29</v>
      </c>
      <c r="N2049" s="50">
        <f t="shared" si="99"/>
        <v>1.6870273414776031</v>
      </c>
      <c r="O2049" s="38">
        <v>0</v>
      </c>
      <c r="P2049" s="38">
        <v>60</v>
      </c>
    </row>
    <row r="2050" spans="1:31" x14ac:dyDescent="0.25">
      <c r="A2050" s="38" t="s">
        <v>36</v>
      </c>
      <c r="B2050" s="38" t="s">
        <v>4386</v>
      </c>
      <c r="C2050" s="38" t="s">
        <v>4443</v>
      </c>
      <c r="D2050" s="38" t="s">
        <v>4446</v>
      </c>
      <c r="E2050" s="38" t="s">
        <v>4447</v>
      </c>
      <c r="F2050" s="38">
        <v>635</v>
      </c>
      <c r="G2050" s="38">
        <v>635</v>
      </c>
      <c r="H2050" s="38">
        <f t="shared" si="97"/>
        <v>939</v>
      </c>
      <c r="I2050" s="38">
        <v>616</v>
      </c>
      <c r="J2050" s="38">
        <v>323</v>
      </c>
      <c r="K2050" s="38">
        <v>293</v>
      </c>
      <c r="L2050" s="50">
        <f t="shared" si="98"/>
        <v>31.203407880724178</v>
      </c>
      <c r="M2050" s="38">
        <v>181</v>
      </c>
      <c r="N2050" s="50">
        <f t="shared" si="99"/>
        <v>19.275825346112885</v>
      </c>
      <c r="O2050" s="38">
        <v>0</v>
      </c>
      <c r="P2050" s="38">
        <v>0</v>
      </c>
    </row>
    <row r="2051" spans="1:31" x14ac:dyDescent="0.25">
      <c r="A2051" s="38" t="s">
        <v>36</v>
      </c>
      <c r="B2051" s="38" t="s">
        <v>4386</v>
      </c>
      <c r="C2051" s="38" t="s">
        <v>4443</v>
      </c>
      <c r="D2051" s="38" t="s">
        <v>4448</v>
      </c>
      <c r="E2051" s="38" t="s">
        <v>4449</v>
      </c>
      <c r="F2051" s="38">
        <v>1718</v>
      </c>
      <c r="G2051" s="38">
        <v>1718</v>
      </c>
      <c r="H2051" s="38">
        <f t="shared" si="97"/>
        <v>1505</v>
      </c>
      <c r="I2051" s="38">
        <v>977</v>
      </c>
      <c r="J2051" s="38">
        <v>528</v>
      </c>
      <c r="K2051" s="38">
        <v>449</v>
      </c>
      <c r="L2051" s="50">
        <f t="shared" si="98"/>
        <v>29.833887043189367</v>
      </c>
      <c r="M2051" s="38">
        <v>2</v>
      </c>
      <c r="N2051" s="50">
        <f t="shared" si="99"/>
        <v>0.13289036544850499</v>
      </c>
      <c r="O2051" s="38">
        <v>0</v>
      </c>
      <c r="P2051" s="38">
        <v>0</v>
      </c>
    </row>
    <row r="2052" spans="1:31" x14ac:dyDescent="0.25">
      <c r="A2052" s="38" t="s">
        <v>36</v>
      </c>
      <c r="B2052" s="38" t="s">
        <v>4386</v>
      </c>
      <c r="C2052" s="38" t="s">
        <v>4450</v>
      </c>
      <c r="D2052" s="38" t="s">
        <v>4451</v>
      </c>
      <c r="E2052" s="38" t="s">
        <v>4452</v>
      </c>
      <c r="F2052" s="38">
        <v>2015.13</v>
      </c>
      <c r="G2052" s="38">
        <v>2015.13</v>
      </c>
      <c r="H2052" s="38">
        <f t="shared" si="97"/>
        <v>1729</v>
      </c>
      <c r="I2052" s="38">
        <v>1119</v>
      </c>
      <c r="J2052" s="38">
        <v>610</v>
      </c>
      <c r="K2052" s="38">
        <v>509</v>
      </c>
      <c r="L2052" s="50">
        <f t="shared" si="98"/>
        <v>29.438982070561021</v>
      </c>
      <c r="M2052" s="38">
        <v>18</v>
      </c>
      <c r="N2052" s="50">
        <f t="shared" si="99"/>
        <v>1.0410641989589358</v>
      </c>
      <c r="O2052" s="38">
        <v>826.95</v>
      </c>
      <c r="P2052" s="38">
        <v>135.79</v>
      </c>
      <c r="Q2052" s="34" t="s">
        <v>43</v>
      </c>
      <c r="R2052" s="9">
        <v>44558</v>
      </c>
      <c r="S2052" s="34"/>
      <c r="T2052" s="34"/>
      <c r="U2052" s="34"/>
      <c r="V2052" s="34"/>
      <c r="W2052" s="34"/>
      <c r="X2052" s="34"/>
      <c r="Y2052" s="34"/>
      <c r="Z2052" s="109"/>
      <c r="AB2052" s="34">
        <v>136</v>
      </c>
      <c r="AC2052" s="34" t="s">
        <v>4453</v>
      </c>
      <c r="AD2052" s="34">
        <v>25.381761000000001</v>
      </c>
      <c r="AE2052" s="34">
        <v>71.795434999999998</v>
      </c>
    </row>
    <row r="2053" spans="1:31" x14ac:dyDescent="0.25">
      <c r="A2053" s="38" t="s">
        <v>36</v>
      </c>
      <c r="B2053" s="38" t="s">
        <v>4386</v>
      </c>
      <c r="C2053" s="38" t="s">
        <v>4450</v>
      </c>
      <c r="D2053" s="38" t="s">
        <v>4454</v>
      </c>
      <c r="E2053" s="38" t="s">
        <v>4455</v>
      </c>
      <c r="F2053" s="38">
        <v>1028.18</v>
      </c>
      <c r="G2053" s="38">
        <v>1028.18</v>
      </c>
      <c r="H2053" s="38">
        <f t="shared" ref="H2053:H2116" si="100">I2053+J2053</f>
        <v>1726</v>
      </c>
      <c r="I2053" s="38">
        <v>1140</v>
      </c>
      <c r="J2053" s="38">
        <v>586</v>
      </c>
      <c r="K2053" s="38">
        <v>554</v>
      </c>
      <c r="L2053" s="50">
        <f t="shared" si="98"/>
        <v>32.097334878331402</v>
      </c>
      <c r="M2053" s="38">
        <v>65</v>
      </c>
      <c r="N2053" s="50">
        <f t="shared" si="99"/>
        <v>3.7659327925840094</v>
      </c>
      <c r="O2053" s="38">
        <v>0</v>
      </c>
      <c r="P2053" s="38">
        <v>17.16</v>
      </c>
    </row>
    <row r="2054" spans="1:31" x14ac:dyDescent="0.25">
      <c r="A2054" s="38" t="s">
        <v>36</v>
      </c>
      <c r="B2054" s="38" t="s">
        <v>4386</v>
      </c>
      <c r="C2054" s="38" t="s">
        <v>4450</v>
      </c>
      <c r="D2054" s="38" t="s">
        <v>4456</v>
      </c>
      <c r="E2054" s="38" t="s">
        <v>4457</v>
      </c>
      <c r="F2054" s="38">
        <v>342.05</v>
      </c>
      <c r="G2054" s="38">
        <v>342.05</v>
      </c>
      <c r="H2054" s="38">
        <f t="shared" si="100"/>
        <v>1016</v>
      </c>
      <c r="I2054" s="38">
        <v>670</v>
      </c>
      <c r="J2054" s="38">
        <v>346</v>
      </c>
      <c r="K2054" s="38">
        <v>324</v>
      </c>
      <c r="L2054" s="50">
        <f t="shared" ref="L2054:L2117" si="101">K2054/H2054*100</f>
        <v>31.889763779527559</v>
      </c>
      <c r="M2054" s="38">
        <v>37</v>
      </c>
      <c r="N2054" s="50">
        <f t="shared" si="99"/>
        <v>3.6417322834645667</v>
      </c>
      <c r="O2054" s="38">
        <v>0</v>
      </c>
      <c r="P2054" s="38">
        <v>0</v>
      </c>
    </row>
    <row r="2055" spans="1:31" x14ac:dyDescent="0.25">
      <c r="A2055" s="38" t="s">
        <v>36</v>
      </c>
      <c r="B2055" s="38" t="s">
        <v>4386</v>
      </c>
      <c r="C2055" s="38" t="s">
        <v>4458</v>
      </c>
      <c r="D2055" s="38" t="s">
        <v>4459</v>
      </c>
      <c r="E2055" s="38" t="s">
        <v>4460</v>
      </c>
      <c r="F2055" s="38">
        <v>1061.8800000000001</v>
      </c>
      <c r="G2055" s="38">
        <v>1061.8800000000001</v>
      </c>
      <c r="H2055" s="38">
        <f t="shared" si="100"/>
        <v>2612</v>
      </c>
      <c r="I2055" s="38">
        <v>1712</v>
      </c>
      <c r="J2055" s="38">
        <v>900</v>
      </c>
      <c r="K2055" s="38">
        <v>812</v>
      </c>
      <c r="L2055" s="50">
        <f t="shared" si="101"/>
        <v>31.087289433384381</v>
      </c>
      <c r="M2055" s="38">
        <v>44</v>
      </c>
      <c r="N2055" s="50">
        <f t="shared" si="99"/>
        <v>1.6845329249617151</v>
      </c>
      <c r="O2055" s="38">
        <v>0</v>
      </c>
      <c r="P2055" s="38">
        <v>14.11</v>
      </c>
      <c r="Q2055" s="98" t="s">
        <v>43</v>
      </c>
      <c r="R2055" s="17">
        <v>44550</v>
      </c>
      <c r="S2055" s="61"/>
      <c r="T2055" s="20">
        <v>14</v>
      </c>
      <c r="U2055" s="98"/>
      <c r="V2055" s="98"/>
      <c r="W2055" s="98"/>
      <c r="X2055" s="98"/>
      <c r="Y2055" s="98"/>
      <c r="Z2055" s="20"/>
      <c r="AB2055" s="20"/>
      <c r="AC2055" s="11" t="s">
        <v>4461</v>
      </c>
      <c r="AD2055" s="61"/>
      <c r="AE2055" s="61"/>
    </row>
    <row r="2056" spans="1:31" x14ac:dyDescent="0.25">
      <c r="A2056" s="38" t="s">
        <v>36</v>
      </c>
      <c r="B2056" s="38" t="s">
        <v>4386</v>
      </c>
      <c r="C2056" s="38" t="s">
        <v>4458</v>
      </c>
      <c r="D2056" s="38" t="s">
        <v>4462</v>
      </c>
      <c r="E2056" s="38" t="s">
        <v>4463</v>
      </c>
      <c r="F2056" s="38">
        <v>607.72</v>
      </c>
      <c r="G2056" s="38">
        <v>607.72</v>
      </c>
      <c r="H2056" s="38">
        <f t="shared" si="100"/>
        <v>1082</v>
      </c>
      <c r="I2056" s="38">
        <v>705</v>
      </c>
      <c r="J2056" s="38">
        <v>377</v>
      </c>
      <c r="K2056" s="38">
        <v>328</v>
      </c>
      <c r="L2056" s="50">
        <f t="shared" si="101"/>
        <v>30.314232902033272</v>
      </c>
      <c r="M2056" s="38">
        <v>0</v>
      </c>
      <c r="N2056" s="50">
        <f t="shared" si="99"/>
        <v>0</v>
      </c>
      <c r="O2056" s="38">
        <v>0</v>
      </c>
      <c r="P2056" s="38">
        <v>0</v>
      </c>
      <c r="Q2056" s="61" t="s">
        <v>43</v>
      </c>
      <c r="R2056" s="7">
        <v>44550</v>
      </c>
      <c r="S2056" s="61"/>
      <c r="T2056" s="20">
        <v>0</v>
      </c>
      <c r="U2056" s="61"/>
      <c r="V2056" s="61"/>
      <c r="W2056" s="61"/>
      <c r="X2056" s="61"/>
      <c r="Y2056" s="61"/>
      <c r="Z2056" s="20"/>
      <c r="AB2056" s="20"/>
      <c r="AC2056" s="11" t="s">
        <v>4464</v>
      </c>
      <c r="AD2056" s="61">
        <v>0</v>
      </c>
      <c r="AE2056" s="61"/>
    </row>
    <row r="2057" spans="1:31" x14ac:dyDescent="0.25">
      <c r="A2057" s="38" t="s">
        <v>36</v>
      </c>
      <c r="B2057" s="38" t="s">
        <v>4386</v>
      </c>
      <c r="C2057" s="38" t="s">
        <v>4458</v>
      </c>
      <c r="D2057" s="38" t="s">
        <v>4465</v>
      </c>
      <c r="E2057" s="38" t="s">
        <v>4466</v>
      </c>
      <c r="F2057" s="38">
        <v>450.04</v>
      </c>
      <c r="G2057" s="38">
        <v>450.04</v>
      </c>
      <c r="H2057" s="38">
        <f t="shared" si="100"/>
        <v>966</v>
      </c>
      <c r="I2057" s="38">
        <v>641</v>
      </c>
      <c r="J2057" s="38">
        <v>325</v>
      </c>
      <c r="K2057" s="38">
        <v>316</v>
      </c>
      <c r="L2057" s="50">
        <f t="shared" si="101"/>
        <v>32.712215320910978</v>
      </c>
      <c r="M2057" s="38">
        <v>0</v>
      </c>
      <c r="N2057" s="50">
        <f t="shared" si="99"/>
        <v>0</v>
      </c>
      <c r="O2057" s="38">
        <v>0</v>
      </c>
      <c r="P2057" s="38">
        <v>0</v>
      </c>
      <c r="Q2057" s="61" t="s">
        <v>43</v>
      </c>
      <c r="R2057" s="7">
        <v>44550</v>
      </c>
      <c r="S2057" s="61"/>
      <c r="T2057" s="20">
        <v>0</v>
      </c>
      <c r="U2057" s="61"/>
      <c r="V2057" s="61"/>
      <c r="W2057" s="61"/>
      <c r="X2057" s="61"/>
      <c r="Y2057" s="61"/>
      <c r="Z2057" s="20"/>
      <c r="AB2057" s="20"/>
      <c r="AC2057" s="11" t="s">
        <v>4467</v>
      </c>
      <c r="AD2057" s="61">
        <v>0</v>
      </c>
      <c r="AE2057" s="61"/>
    </row>
    <row r="2058" spans="1:31" x14ac:dyDescent="0.25">
      <c r="A2058" s="38" t="s">
        <v>36</v>
      </c>
      <c r="B2058" s="38" t="s">
        <v>4386</v>
      </c>
      <c r="C2058" s="38" t="s">
        <v>4468</v>
      </c>
      <c r="D2058" s="38" t="s">
        <v>4469</v>
      </c>
      <c r="E2058" s="38" t="s">
        <v>4470</v>
      </c>
      <c r="F2058" s="38">
        <v>751.54</v>
      </c>
      <c r="G2058" s="38">
        <v>751.54</v>
      </c>
      <c r="H2058" s="38">
        <f t="shared" si="100"/>
        <v>1875</v>
      </c>
      <c r="I2058" s="38">
        <v>1250</v>
      </c>
      <c r="J2058" s="38">
        <v>625</v>
      </c>
      <c r="K2058" s="38">
        <v>625</v>
      </c>
      <c r="L2058" s="50">
        <f t="shared" si="101"/>
        <v>33.333333333333329</v>
      </c>
      <c r="M2058" s="38">
        <v>40</v>
      </c>
      <c r="N2058" s="50">
        <f t="shared" si="99"/>
        <v>2.1333333333333333</v>
      </c>
      <c r="O2058" s="38">
        <v>0</v>
      </c>
      <c r="P2058" s="38">
        <v>20.51</v>
      </c>
      <c r="Q2058" s="98" t="s">
        <v>43</v>
      </c>
      <c r="R2058" s="17">
        <v>44536</v>
      </c>
      <c r="S2058" s="61"/>
      <c r="T2058" s="20">
        <v>21</v>
      </c>
      <c r="U2058" s="98"/>
      <c r="V2058" s="98"/>
      <c r="W2058" s="98"/>
      <c r="X2058" s="98"/>
      <c r="Y2058" s="98"/>
      <c r="Z2058" s="20"/>
      <c r="AB2058" s="20"/>
      <c r="AC2058" s="11" t="s">
        <v>4471</v>
      </c>
      <c r="AD2058" s="61"/>
      <c r="AE2058" s="61"/>
    </row>
    <row r="2059" spans="1:31" x14ac:dyDescent="0.25">
      <c r="A2059" s="38" t="s">
        <v>36</v>
      </c>
      <c r="B2059" s="38" t="s">
        <v>4386</v>
      </c>
      <c r="C2059" s="38" t="s">
        <v>4468</v>
      </c>
      <c r="D2059" s="38" t="s">
        <v>4472</v>
      </c>
      <c r="E2059" s="38" t="s">
        <v>4473</v>
      </c>
      <c r="F2059" s="38">
        <v>1293.74</v>
      </c>
      <c r="G2059" s="38">
        <v>1293.74</v>
      </c>
      <c r="H2059" s="38">
        <f t="shared" si="100"/>
        <v>2152</v>
      </c>
      <c r="I2059" s="38">
        <v>1426</v>
      </c>
      <c r="J2059" s="38">
        <v>726</v>
      </c>
      <c r="K2059" s="38">
        <v>700</v>
      </c>
      <c r="L2059" s="50">
        <f t="shared" si="101"/>
        <v>32.52788104089219</v>
      </c>
      <c r="M2059" s="38">
        <v>119</v>
      </c>
      <c r="N2059" s="50">
        <f t="shared" si="99"/>
        <v>5.529739776951673</v>
      </c>
      <c r="O2059" s="38">
        <v>0</v>
      </c>
      <c r="P2059" s="38">
        <v>24.02</v>
      </c>
      <c r="Q2059" s="98" t="s">
        <v>43</v>
      </c>
      <c r="R2059" s="17">
        <v>44536</v>
      </c>
      <c r="S2059" s="61"/>
      <c r="T2059" s="20">
        <v>24</v>
      </c>
      <c r="U2059" s="98"/>
      <c r="V2059" s="98"/>
      <c r="W2059" s="98"/>
      <c r="X2059" s="98"/>
      <c r="Y2059" s="98"/>
      <c r="Z2059" s="20"/>
      <c r="AB2059" s="20"/>
      <c r="AC2059" s="11" t="s">
        <v>4474</v>
      </c>
      <c r="AD2059" s="61"/>
      <c r="AE2059" s="61"/>
    </row>
    <row r="2060" spans="1:31" x14ac:dyDescent="0.25">
      <c r="A2060" s="38" t="s">
        <v>36</v>
      </c>
      <c r="B2060" s="38" t="s">
        <v>4386</v>
      </c>
      <c r="C2060" s="38" t="s">
        <v>4468</v>
      </c>
      <c r="D2060" s="38" t="s">
        <v>4475</v>
      </c>
      <c r="E2060" s="38" t="s">
        <v>4476</v>
      </c>
      <c r="F2060" s="38">
        <v>983.81</v>
      </c>
      <c r="G2060" s="38">
        <v>983.81</v>
      </c>
      <c r="H2060" s="38">
        <f t="shared" si="100"/>
        <v>2048</v>
      </c>
      <c r="I2060" s="38">
        <v>1362</v>
      </c>
      <c r="J2060" s="38">
        <v>686</v>
      </c>
      <c r="K2060" s="38">
        <v>676</v>
      </c>
      <c r="L2060" s="50">
        <f t="shared" si="101"/>
        <v>33.0078125</v>
      </c>
      <c r="M2060" s="38">
        <v>226</v>
      </c>
      <c r="N2060" s="50">
        <f t="shared" si="99"/>
        <v>11.03515625</v>
      </c>
      <c r="O2060" s="38">
        <v>0</v>
      </c>
      <c r="P2060" s="38">
        <v>14</v>
      </c>
      <c r="Q2060" s="98" t="s">
        <v>43</v>
      </c>
      <c r="R2060" s="17">
        <v>44536</v>
      </c>
      <c r="S2060" s="61"/>
      <c r="T2060" s="20">
        <v>14</v>
      </c>
      <c r="U2060" s="98"/>
      <c r="V2060" s="98"/>
      <c r="W2060" s="98"/>
      <c r="X2060" s="98"/>
      <c r="Y2060" s="98"/>
      <c r="Z2060" s="20"/>
      <c r="AB2060" s="20"/>
      <c r="AC2060" s="11" t="s">
        <v>4477</v>
      </c>
      <c r="AD2060" s="61"/>
      <c r="AE2060" s="61"/>
    </row>
    <row r="2061" spans="1:31" x14ac:dyDescent="0.25">
      <c r="A2061" s="38" t="s">
        <v>36</v>
      </c>
      <c r="B2061" s="38" t="s">
        <v>4386</v>
      </c>
      <c r="C2061" s="38" t="s">
        <v>4478</v>
      </c>
      <c r="D2061" s="38" t="s">
        <v>4479</v>
      </c>
      <c r="E2061" s="38" t="s">
        <v>4480</v>
      </c>
      <c r="F2061" s="38">
        <v>1446</v>
      </c>
      <c r="G2061" s="38">
        <v>1446</v>
      </c>
      <c r="H2061" s="38">
        <f t="shared" si="100"/>
        <v>2306</v>
      </c>
      <c r="I2061" s="38">
        <v>1526</v>
      </c>
      <c r="J2061" s="38">
        <v>780</v>
      </c>
      <c r="K2061" s="38">
        <v>746</v>
      </c>
      <c r="L2061" s="50">
        <f t="shared" si="101"/>
        <v>32.350390286209887</v>
      </c>
      <c r="M2061" s="38">
        <v>133</v>
      </c>
      <c r="N2061" s="50">
        <f t="shared" si="99"/>
        <v>5.7675628794449265</v>
      </c>
      <c r="O2061" s="38">
        <v>0</v>
      </c>
      <c r="P2061" s="38">
        <v>17</v>
      </c>
    </row>
    <row r="2062" spans="1:31" x14ac:dyDescent="0.25">
      <c r="A2062" s="38" t="s">
        <v>36</v>
      </c>
      <c r="B2062" s="38" t="s">
        <v>4386</v>
      </c>
      <c r="C2062" s="38" t="s">
        <v>4478</v>
      </c>
      <c r="D2062" s="38" t="s">
        <v>4481</v>
      </c>
      <c r="E2062" s="38" t="s">
        <v>4482</v>
      </c>
      <c r="F2062" s="38">
        <v>722</v>
      </c>
      <c r="G2062" s="38">
        <v>722</v>
      </c>
      <c r="H2062" s="38">
        <f t="shared" si="100"/>
        <v>1051</v>
      </c>
      <c r="I2062" s="38">
        <v>695</v>
      </c>
      <c r="J2062" s="38">
        <v>356</v>
      </c>
      <c r="K2062" s="38">
        <v>339</v>
      </c>
      <c r="L2062" s="50">
        <f t="shared" si="101"/>
        <v>32.254995242626073</v>
      </c>
      <c r="M2062" s="38">
        <v>30</v>
      </c>
      <c r="N2062" s="50">
        <f t="shared" si="99"/>
        <v>2.8544243577545196</v>
      </c>
      <c r="O2062" s="38">
        <v>0</v>
      </c>
      <c r="P2062" s="38">
        <v>5</v>
      </c>
    </row>
    <row r="2063" spans="1:31" x14ac:dyDescent="0.25">
      <c r="A2063" s="38" t="s">
        <v>36</v>
      </c>
      <c r="B2063" s="38" t="s">
        <v>4386</v>
      </c>
      <c r="C2063" s="38" t="s">
        <v>4483</v>
      </c>
      <c r="D2063" s="38" t="s">
        <v>4483</v>
      </c>
      <c r="E2063" s="38" t="s">
        <v>4484</v>
      </c>
      <c r="F2063" s="38">
        <v>901</v>
      </c>
      <c r="G2063" s="38">
        <v>901</v>
      </c>
      <c r="H2063" s="38">
        <f t="shared" si="100"/>
        <v>1461</v>
      </c>
      <c r="I2063" s="38">
        <v>951</v>
      </c>
      <c r="J2063" s="38">
        <v>510</v>
      </c>
      <c r="K2063" s="38">
        <v>441</v>
      </c>
      <c r="L2063" s="50">
        <f t="shared" si="101"/>
        <v>30.184804928131413</v>
      </c>
      <c r="M2063" s="38">
        <v>0</v>
      </c>
      <c r="N2063" s="50">
        <f t="shared" si="99"/>
        <v>0</v>
      </c>
      <c r="O2063" s="38">
        <v>0</v>
      </c>
      <c r="P2063" s="38">
        <v>4</v>
      </c>
      <c r="Q2063" s="98" t="s">
        <v>43</v>
      </c>
      <c r="R2063" s="17">
        <v>44503</v>
      </c>
      <c r="S2063" s="61"/>
      <c r="T2063" s="20">
        <v>4</v>
      </c>
      <c r="U2063" s="98"/>
      <c r="V2063" s="98"/>
      <c r="W2063" s="98"/>
      <c r="X2063" s="98"/>
      <c r="Y2063" s="98"/>
      <c r="Z2063" s="20"/>
      <c r="AB2063" s="20"/>
      <c r="AC2063" s="11" t="s">
        <v>4485</v>
      </c>
      <c r="AD2063" s="61"/>
      <c r="AE2063" s="61"/>
    </row>
    <row r="2064" spans="1:31" x14ac:dyDescent="0.25">
      <c r="A2064" s="38" t="s">
        <v>36</v>
      </c>
      <c r="B2064" s="38" t="s">
        <v>4386</v>
      </c>
      <c r="C2064" s="38" t="s">
        <v>4483</v>
      </c>
      <c r="D2064" s="38" t="s">
        <v>4486</v>
      </c>
      <c r="E2064" s="38" t="s">
        <v>4487</v>
      </c>
      <c r="F2064" s="38">
        <v>1335</v>
      </c>
      <c r="G2064" s="38">
        <v>1335</v>
      </c>
      <c r="H2064" s="38">
        <f t="shared" si="100"/>
        <v>1766</v>
      </c>
      <c r="I2064" s="38">
        <v>1187</v>
      </c>
      <c r="J2064" s="38">
        <v>579</v>
      </c>
      <c r="K2064" s="38">
        <v>608</v>
      </c>
      <c r="L2064" s="50">
        <f t="shared" si="101"/>
        <v>34.428086070215173</v>
      </c>
      <c r="M2064" s="38">
        <v>35</v>
      </c>
      <c r="N2064" s="50">
        <f t="shared" si="99"/>
        <v>1.9818799546998869</v>
      </c>
      <c r="O2064" s="38">
        <v>0</v>
      </c>
      <c r="P2064" s="38">
        <v>22</v>
      </c>
      <c r="Q2064" s="98" t="s">
        <v>43</v>
      </c>
      <c r="R2064" s="17">
        <v>44503</v>
      </c>
      <c r="S2064" s="61"/>
      <c r="T2064" s="20">
        <v>22</v>
      </c>
      <c r="U2064" s="98"/>
      <c r="V2064" s="98"/>
      <c r="W2064" s="98"/>
      <c r="X2064" s="98"/>
      <c r="Y2064" s="98"/>
      <c r="Z2064" s="20"/>
      <c r="AB2064" s="20"/>
      <c r="AC2064" s="11" t="s">
        <v>4488</v>
      </c>
      <c r="AD2064" s="61"/>
      <c r="AE2064" s="61"/>
    </row>
    <row r="2065" spans="1:31" x14ac:dyDescent="0.25">
      <c r="A2065" s="38" t="s">
        <v>36</v>
      </c>
      <c r="B2065" s="38" t="s">
        <v>4386</v>
      </c>
      <c r="C2065" s="38" t="s">
        <v>4489</v>
      </c>
      <c r="D2065" s="38" t="s">
        <v>4490</v>
      </c>
      <c r="E2065" s="38" t="s">
        <v>4491</v>
      </c>
      <c r="F2065" s="38">
        <v>991.09</v>
      </c>
      <c r="G2065" s="38">
        <v>991.09</v>
      </c>
      <c r="H2065" s="38">
        <f t="shared" si="100"/>
        <v>3053</v>
      </c>
      <c r="I2065" s="38">
        <v>2010</v>
      </c>
      <c r="J2065" s="38">
        <v>1043</v>
      </c>
      <c r="K2065" s="38">
        <v>967</v>
      </c>
      <c r="L2065" s="50">
        <f t="shared" si="101"/>
        <v>31.673763511300361</v>
      </c>
      <c r="M2065" s="38">
        <v>143</v>
      </c>
      <c r="N2065" s="50">
        <f t="shared" si="99"/>
        <v>4.6839174582377989</v>
      </c>
      <c r="O2065" s="38">
        <v>0</v>
      </c>
      <c r="P2065" s="38">
        <v>33.04</v>
      </c>
      <c r="Q2065" s="34" t="s">
        <v>43</v>
      </c>
      <c r="R2065" s="9">
        <v>44543</v>
      </c>
      <c r="S2065" s="34"/>
      <c r="T2065" s="34"/>
      <c r="U2065" s="34"/>
      <c r="V2065" s="34"/>
      <c r="W2065" s="34"/>
      <c r="X2065" s="34"/>
      <c r="Y2065" s="34"/>
      <c r="Z2065" s="109"/>
      <c r="AB2065" s="34">
        <v>33</v>
      </c>
      <c r="AC2065" s="34" t="s">
        <v>4492</v>
      </c>
      <c r="AD2065" s="34">
        <v>25.299102000000001</v>
      </c>
      <c r="AE2065" s="34">
        <v>71.782684000000003</v>
      </c>
    </row>
    <row r="2066" spans="1:31" x14ac:dyDescent="0.25">
      <c r="A2066" s="38" t="s">
        <v>36</v>
      </c>
      <c r="B2066" s="38" t="s">
        <v>4386</v>
      </c>
      <c r="C2066" s="38" t="s">
        <v>4489</v>
      </c>
      <c r="D2066" s="38" t="s">
        <v>4493</v>
      </c>
      <c r="E2066" s="38" t="s">
        <v>4494</v>
      </c>
      <c r="F2066" s="38">
        <v>251.09</v>
      </c>
      <c r="G2066" s="38">
        <v>251.09</v>
      </c>
      <c r="H2066" s="38">
        <f t="shared" si="100"/>
        <v>758</v>
      </c>
      <c r="I2066" s="38">
        <v>495</v>
      </c>
      <c r="J2066" s="38">
        <v>263</v>
      </c>
      <c r="K2066" s="38">
        <v>232</v>
      </c>
      <c r="L2066" s="50">
        <f t="shared" si="101"/>
        <v>30.606860158311346</v>
      </c>
      <c r="M2066" s="38">
        <v>175</v>
      </c>
      <c r="N2066" s="50">
        <f t="shared" si="99"/>
        <v>23.087071240105541</v>
      </c>
      <c r="O2066" s="38">
        <v>0</v>
      </c>
      <c r="P2066" s="38">
        <v>21.69</v>
      </c>
    </row>
    <row r="2067" spans="1:31" x14ac:dyDescent="0.25">
      <c r="A2067" s="38" t="s">
        <v>36</v>
      </c>
      <c r="B2067" s="38" t="s">
        <v>4386</v>
      </c>
      <c r="C2067" s="38" t="s">
        <v>4489</v>
      </c>
      <c r="D2067" s="38" t="s">
        <v>4495</v>
      </c>
      <c r="E2067" s="38" t="s">
        <v>4496</v>
      </c>
      <c r="F2067" s="38">
        <v>243.66</v>
      </c>
      <c r="G2067" s="38">
        <v>243.66</v>
      </c>
      <c r="H2067" s="38">
        <f t="shared" si="100"/>
        <v>576</v>
      </c>
      <c r="I2067" s="38">
        <v>382</v>
      </c>
      <c r="J2067" s="38">
        <v>194</v>
      </c>
      <c r="K2067" s="38">
        <v>188</v>
      </c>
      <c r="L2067" s="50">
        <f t="shared" si="101"/>
        <v>32.638888888888893</v>
      </c>
      <c r="M2067" s="38">
        <v>124</v>
      </c>
      <c r="N2067" s="50">
        <f t="shared" si="99"/>
        <v>21.527777777777779</v>
      </c>
      <c r="O2067" s="38">
        <v>0</v>
      </c>
      <c r="P2067" s="38">
        <v>0</v>
      </c>
    </row>
    <row r="2068" spans="1:31" x14ac:dyDescent="0.25">
      <c r="A2068" s="38" t="s">
        <v>36</v>
      </c>
      <c r="B2068" s="38" t="s">
        <v>4386</v>
      </c>
      <c r="C2068" s="38" t="s">
        <v>4497</v>
      </c>
      <c r="D2068" s="38" t="s">
        <v>4498</v>
      </c>
      <c r="E2068" s="38" t="s">
        <v>4499</v>
      </c>
      <c r="F2068" s="38">
        <v>396.35</v>
      </c>
      <c r="G2068" s="38">
        <v>396.35</v>
      </c>
      <c r="H2068" s="38">
        <f t="shared" si="100"/>
        <v>763</v>
      </c>
      <c r="I2068" s="38">
        <v>511</v>
      </c>
      <c r="J2068" s="38">
        <v>252</v>
      </c>
      <c r="K2068" s="38">
        <v>259</v>
      </c>
      <c r="L2068" s="50">
        <f t="shared" si="101"/>
        <v>33.944954128440372</v>
      </c>
      <c r="M2068" s="38">
        <v>0</v>
      </c>
      <c r="N2068" s="50">
        <f t="shared" si="99"/>
        <v>0</v>
      </c>
      <c r="O2068" s="38">
        <v>0</v>
      </c>
      <c r="P2068" s="38">
        <v>4.91</v>
      </c>
      <c r="Q2068" s="98" t="s">
        <v>43</v>
      </c>
      <c r="R2068" s="17">
        <v>44536</v>
      </c>
      <c r="S2068" s="61"/>
      <c r="T2068" s="20">
        <v>5</v>
      </c>
      <c r="U2068" s="98"/>
      <c r="V2068" s="98"/>
      <c r="W2068" s="98"/>
      <c r="X2068" s="98"/>
      <c r="Y2068" s="98"/>
      <c r="Z2068" s="20"/>
      <c r="AB2068" s="20"/>
      <c r="AC2068" s="11" t="s">
        <v>4500</v>
      </c>
      <c r="AD2068" s="61"/>
      <c r="AE2068" s="61"/>
    </row>
    <row r="2069" spans="1:31" x14ac:dyDescent="0.25">
      <c r="A2069" s="38" t="s">
        <v>36</v>
      </c>
      <c r="B2069" s="38" t="s">
        <v>4386</v>
      </c>
      <c r="C2069" s="38" t="s">
        <v>4497</v>
      </c>
      <c r="D2069" s="38" t="s">
        <v>4501</v>
      </c>
      <c r="E2069" s="38" t="s">
        <v>4502</v>
      </c>
      <c r="F2069" s="38">
        <v>514.55999999999995</v>
      </c>
      <c r="G2069" s="38">
        <v>514.55999999999995</v>
      </c>
      <c r="H2069" s="38">
        <f t="shared" si="100"/>
        <v>917</v>
      </c>
      <c r="I2069" s="38">
        <v>603</v>
      </c>
      <c r="J2069" s="38">
        <v>314</v>
      </c>
      <c r="K2069" s="38">
        <v>289</v>
      </c>
      <c r="L2069" s="50">
        <f t="shared" si="101"/>
        <v>31.515812431842967</v>
      </c>
      <c r="M2069" s="38">
        <v>0</v>
      </c>
      <c r="N2069" s="50">
        <f t="shared" si="99"/>
        <v>0</v>
      </c>
      <c r="O2069" s="38">
        <v>0</v>
      </c>
      <c r="P2069" s="38">
        <v>7.13</v>
      </c>
      <c r="Q2069" s="98" t="s">
        <v>43</v>
      </c>
      <c r="R2069" s="17">
        <v>44536</v>
      </c>
      <c r="S2069" s="61"/>
      <c r="T2069" s="20">
        <v>7</v>
      </c>
      <c r="U2069" s="98"/>
      <c r="V2069" s="98"/>
      <c r="W2069" s="98"/>
      <c r="X2069" s="98"/>
      <c r="Y2069" s="98"/>
      <c r="Z2069" s="20"/>
      <c r="AB2069" s="20"/>
      <c r="AC2069" s="11" t="s">
        <v>4503</v>
      </c>
      <c r="AD2069" s="61"/>
      <c r="AE2069" s="61"/>
    </row>
    <row r="2070" spans="1:31" x14ac:dyDescent="0.25">
      <c r="A2070" s="38" t="s">
        <v>36</v>
      </c>
      <c r="B2070" s="38" t="s">
        <v>4386</v>
      </c>
      <c r="C2070" s="38" t="s">
        <v>4497</v>
      </c>
      <c r="D2070" s="38" t="s">
        <v>195</v>
      </c>
      <c r="E2070" s="38" t="s">
        <v>4504</v>
      </c>
      <c r="F2070" s="38">
        <v>381.21</v>
      </c>
      <c r="G2070" s="38">
        <v>381.21</v>
      </c>
      <c r="H2070" s="38">
        <f t="shared" si="100"/>
        <v>911</v>
      </c>
      <c r="I2070" s="38">
        <v>604</v>
      </c>
      <c r="J2070" s="38">
        <v>307</v>
      </c>
      <c r="K2070" s="38">
        <v>297</v>
      </c>
      <c r="L2070" s="50">
        <f t="shared" si="101"/>
        <v>32.601536772777166</v>
      </c>
      <c r="M2070" s="38">
        <v>102</v>
      </c>
      <c r="N2070" s="50">
        <f t="shared" ref="N2070:N2133" si="102">M2070/H2070*100</f>
        <v>11.19648737650933</v>
      </c>
      <c r="O2070" s="38">
        <v>0</v>
      </c>
      <c r="P2070" s="38">
        <v>4.79</v>
      </c>
      <c r="Q2070" s="98" t="s">
        <v>43</v>
      </c>
      <c r="R2070" s="17">
        <v>44536</v>
      </c>
      <c r="S2070" s="61"/>
      <c r="T2070" s="20">
        <v>5</v>
      </c>
      <c r="U2070" s="98"/>
      <c r="V2070" s="98"/>
      <c r="W2070" s="98"/>
      <c r="X2070" s="98"/>
      <c r="Y2070" s="98"/>
      <c r="Z2070" s="20"/>
      <c r="AB2070" s="20"/>
      <c r="AC2070" s="11" t="s">
        <v>4505</v>
      </c>
      <c r="AD2070" s="61"/>
      <c r="AE2070" s="61"/>
    </row>
    <row r="2071" spans="1:31" x14ac:dyDescent="0.25">
      <c r="A2071" s="38" t="s">
        <v>36</v>
      </c>
      <c r="B2071" s="38" t="s">
        <v>4386</v>
      </c>
      <c r="C2071" s="38" t="s">
        <v>4497</v>
      </c>
      <c r="D2071" s="38" t="s">
        <v>4506</v>
      </c>
      <c r="E2071" s="38" t="s">
        <v>4507</v>
      </c>
      <c r="F2071" s="38">
        <v>848.79</v>
      </c>
      <c r="G2071" s="38">
        <v>848.79</v>
      </c>
      <c r="H2071" s="38">
        <f t="shared" si="100"/>
        <v>1094</v>
      </c>
      <c r="I2071" s="38">
        <v>729</v>
      </c>
      <c r="J2071" s="38">
        <v>365</v>
      </c>
      <c r="K2071" s="38">
        <v>364</v>
      </c>
      <c r="L2071" s="50">
        <f t="shared" si="101"/>
        <v>33.272394881170023</v>
      </c>
      <c r="M2071" s="38">
        <v>42</v>
      </c>
      <c r="N2071" s="50">
        <f t="shared" si="102"/>
        <v>3.8391224862888484</v>
      </c>
      <c r="O2071" s="38">
        <v>0</v>
      </c>
      <c r="P2071" s="38">
        <v>0</v>
      </c>
      <c r="Q2071" s="61" t="s">
        <v>43</v>
      </c>
      <c r="R2071" s="7">
        <v>44536</v>
      </c>
      <c r="S2071" s="61"/>
      <c r="T2071" s="20">
        <v>0</v>
      </c>
      <c r="U2071" s="61"/>
      <c r="V2071" s="61"/>
      <c r="W2071" s="61"/>
      <c r="X2071" s="61"/>
      <c r="Y2071" s="61"/>
      <c r="Z2071" s="20"/>
      <c r="AB2071" s="20"/>
      <c r="AC2071" s="11" t="s">
        <v>4508</v>
      </c>
      <c r="AD2071" s="61">
        <v>0</v>
      </c>
      <c r="AE2071" s="61"/>
    </row>
    <row r="2072" spans="1:31" x14ac:dyDescent="0.25">
      <c r="A2072" s="38" t="s">
        <v>36</v>
      </c>
      <c r="B2072" s="38" t="s">
        <v>4386</v>
      </c>
      <c r="C2072" s="38" t="s">
        <v>4509</v>
      </c>
      <c r="D2072" s="38" t="s">
        <v>4510</v>
      </c>
      <c r="E2072" s="38" t="s">
        <v>4511</v>
      </c>
      <c r="F2072" s="38">
        <v>1086</v>
      </c>
      <c r="G2072" s="38">
        <v>1086</v>
      </c>
      <c r="H2072" s="38">
        <f t="shared" si="100"/>
        <v>4110</v>
      </c>
      <c r="I2072" s="38">
        <v>2681</v>
      </c>
      <c r="J2072" s="38">
        <v>1429</v>
      </c>
      <c r="K2072" s="38">
        <v>1252</v>
      </c>
      <c r="L2072" s="50">
        <f t="shared" si="101"/>
        <v>30.46228710462287</v>
      </c>
      <c r="M2072" s="38">
        <v>160</v>
      </c>
      <c r="N2072" s="50">
        <f t="shared" si="102"/>
        <v>3.8929440389294405</v>
      </c>
      <c r="O2072" s="38">
        <v>0</v>
      </c>
      <c r="P2072" s="38">
        <v>24</v>
      </c>
      <c r="Q2072" s="98" t="s">
        <v>43</v>
      </c>
      <c r="R2072" s="17">
        <v>44523</v>
      </c>
      <c r="S2072" s="61"/>
      <c r="T2072" s="20">
        <v>24</v>
      </c>
      <c r="U2072" s="98"/>
      <c r="V2072" s="98"/>
      <c r="W2072" s="98"/>
      <c r="X2072" s="98"/>
      <c r="Y2072" s="98"/>
      <c r="Z2072" s="109"/>
      <c r="AB2072" s="20">
        <v>425</v>
      </c>
      <c r="AC2072" s="11" t="s">
        <v>4391</v>
      </c>
      <c r="AD2072" s="61">
        <v>71.915515999999997</v>
      </c>
      <c r="AE2072" s="61">
        <v>25.463346999999999</v>
      </c>
    </row>
    <row r="2073" spans="1:31" x14ac:dyDescent="0.25">
      <c r="A2073" s="38" t="s">
        <v>36</v>
      </c>
      <c r="B2073" s="38" t="s">
        <v>4386</v>
      </c>
      <c r="C2073" s="38" t="s">
        <v>4512</v>
      </c>
      <c r="D2073" s="38" t="s">
        <v>4513</v>
      </c>
      <c r="E2073" s="38" t="s">
        <v>4514</v>
      </c>
      <c r="F2073" s="38">
        <v>756</v>
      </c>
      <c r="G2073" s="38">
        <v>756</v>
      </c>
      <c r="H2073" s="38">
        <f t="shared" si="100"/>
        <v>1321</v>
      </c>
      <c r="I2073" s="38">
        <v>864</v>
      </c>
      <c r="J2073" s="38">
        <v>457</v>
      </c>
      <c r="K2073" s="38">
        <v>407</v>
      </c>
      <c r="L2073" s="50">
        <f t="shared" si="101"/>
        <v>30.809992429977289</v>
      </c>
      <c r="M2073" s="38">
        <v>73</v>
      </c>
      <c r="N2073" s="50">
        <f t="shared" si="102"/>
        <v>5.5261165783497352</v>
      </c>
      <c r="O2073" s="38">
        <v>0</v>
      </c>
      <c r="P2073" s="38">
        <v>60</v>
      </c>
      <c r="Q2073" s="34" t="s">
        <v>43</v>
      </c>
      <c r="R2073" s="9">
        <v>44491</v>
      </c>
      <c r="S2073" s="34"/>
      <c r="T2073" s="34"/>
      <c r="U2073" s="34"/>
      <c r="V2073" s="34"/>
      <c r="W2073" s="34"/>
      <c r="X2073" s="34"/>
      <c r="Y2073" s="34"/>
      <c r="Z2073" s="109"/>
      <c r="AB2073" s="34">
        <v>60</v>
      </c>
      <c r="AC2073" s="34" t="s">
        <v>4515</v>
      </c>
      <c r="AD2073" s="34">
        <v>25.462774</v>
      </c>
      <c r="AE2073" s="34">
        <v>71.914033000000003</v>
      </c>
    </row>
    <row r="2074" spans="1:31" x14ac:dyDescent="0.25">
      <c r="A2074" s="38" t="s">
        <v>36</v>
      </c>
      <c r="B2074" s="38" t="s">
        <v>4386</v>
      </c>
      <c r="C2074" s="38" t="s">
        <v>4512</v>
      </c>
      <c r="D2074" s="38" t="s">
        <v>596</v>
      </c>
      <c r="E2074" s="38" t="s">
        <v>4516</v>
      </c>
      <c r="F2074" s="38">
        <v>792</v>
      </c>
      <c r="G2074" s="38">
        <v>792</v>
      </c>
      <c r="H2074" s="38">
        <f t="shared" si="100"/>
        <v>1607</v>
      </c>
      <c r="I2074" s="38">
        <v>1065</v>
      </c>
      <c r="J2074" s="38">
        <v>542</v>
      </c>
      <c r="K2074" s="38">
        <v>523</v>
      </c>
      <c r="L2074" s="50">
        <f t="shared" si="101"/>
        <v>32.545115121344118</v>
      </c>
      <c r="M2074" s="38">
        <v>181</v>
      </c>
      <c r="N2074" s="50">
        <f t="shared" si="102"/>
        <v>11.263223397635345</v>
      </c>
      <c r="O2074" s="38">
        <v>0</v>
      </c>
      <c r="P2074" s="38">
        <v>10</v>
      </c>
      <c r="AC2074" s="117"/>
      <c r="AD2074" s="117"/>
    </row>
    <row r="2075" spans="1:31" x14ac:dyDescent="0.25">
      <c r="A2075" s="38" t="s">
        <v>36</v>
      </c>
      <c r="B2075" s="38" t="s">
        <v>4386</v>
      </c>
      <c r="C2075" s="38" t="s">
        <v>4512</v>
      </c>
      <c r="D2075" s="38" t="s">
        <v>596</v>
      </c>
      <c r="E2075" s="38" t="s">
        <v>4516</v>
      </c>
      <c r="F2075" s="38">
        <v>792</v>
      </c>
      <c r="G2075" s="38">
        <v>792</v>
      </c>
      <c r="H2075" s="38">
        <f t="shared" si="100"/>
        <v>1607</v>
      </c>
      <c r="I2075" s="38">
        <v>1065</v>
      </c>
      <c r="J2075" s="38">
        <v>542</v>
      </c>
      <c r="K2075" s="38">
        <v>523</v>
      </c>
      <c r="L2075" s="50">
        <f t="shared" si="101"/>
        <v>32.545115121344118</v>
      </c>
      <c r="M2075" s="38">
        <v>181</v>
      </c>
      <c r="N2075" s="50">
        <f t="shared" si="102"/>
        <v>11.263223397635345</v>
      </c>
      <c r="O2075" s="38">
        <v>0</v>
      </c>
      <c r="P2075" s="38">
        <v>10</v>
      </c>
      <c r="AC2075" s="117"/>
      <c r="AD2075" s="117"/>
    </row>
    <row r="2076" spans="1:31" x14ac:dyDescent="0.25">
      <c r="A2076" s="38" t="s">
        <v>36</v>
      </c>
      <c r="B2076" s="38" t="s">
        <v>4386</v>
      </c>
      <c r="C2076" s="38" t="s">
        <v>4517</v>
      </c>
      <c r="D2076" s="38" t="s">
        <v>4518</v>
      </c>
      <c r="E2076" s="38" t="s">
        <v>4519</v>
      </c>
      <c r="F2076" s="38">
        <v>1336</v>
      </c>
      <c r="G2076" s="38">
        <v>1336</v>
      </c>
      <c r="H2076" s="38">
        <f t="shared" si="100"/>
        <v>2422</v>
      </c>
      <c r="I2076" s="38">
        <v>1595</v>
      </c>
      <c r="J2076" s="38">
        <v>827</v>
      </c>
      <c r="K2076" s="38">
        <v>768</v>
      </c>
      <c r="L2076" s="50">
        <f t="shared" si="101"/>
        <v>31.709331131296448</v>
      </c>
      <c r="M2076" s="38">
        <v>319</v>
      </c>
      <c r="N2076" s="50">
        <f t="shared" si="102"/>
        <v>13.170933113129646</v>
      </c>
      <c r="O2076" s="38">
        <v>0</v>
      </c>
      <c r="P2076" s="38">
        <v>20</v>
      </c>
      <c r="Q2076" s="98" t="s">
        <v>43</v>
      </c>
      <c r="R2076" s="17">
        <v>44537</v>
      </c>
      <c r="S2076" s="61"/>
      <c r="T2076" s="20">
        <v>58</v>
      </c>
      <c r="U2076" s="98"/>
      <c r="V2076" s="98"/>
      <c r="W2076" s="98"/>
      <c r="X2076" s="98"/>
      <c r="Y2076" s="98"/>
      <c r="Z2076" s="20"/>
      <c r="AB2076" s="20"/>
      <c r="AC2076" s="11" t="s">
        <v>1046</v>
      </c>
      <c r="AD2076" s="61"/>
      <c r="AE2076" s="61"/>
    </row>
    <row r="2077" spans="1:31" x14ac:dyDescent="0.25">
      <c r="A2077" s="38" t="s">
        <v>36</v>
      </c>
      <c r="B2077" s="38" t="s">
        <v>4386</v>
      </c>
      <c r="C2077" s="38" t="s">
        <v>4517</v>
      </c>
      <c r="D2077" s="38" t="s">
        <v>1868</v>
      </c>
      <c r="E2077" s="38" t="s">
        <v>4520</v>
      </c>
      <c r="F2077" s="38">
        <v>1167</v>
      </c>
      <c r="G2077" s="38">
        <v>1167</v>
      </c>
      <c r="H2077" s="38">
        <f t="shared" si="100"/>
        <v>1938</v>
      </c>
      <c r="I2077" s="38">
        <v>1270</v>
      </c>
      <c r="J2077" s="38">
        <v>668</v>
      </c>
      <c r="K2077" s="38">
        <v>602</v>
      </c>
      <c r="L2077" s="50">
        <f t="shared" si="101"/>
        <v>31.062951496388031</v>
      </c>
      <c r="M2077" s="38">
        <v>0</v>
      </c>
      <c r="N2077" s="50">
        <f t="shared" si="102"/>
        <v>0</v>
      </c>
      <c r="O2077" s="38">
        <v>0</v>
      </c>
      <c r="P2077" s="38">
        <v>3</v>
      </c>
    </row>
    <row r="2078" spans="1:31" x14ac:dyDescent="0.25">
      <c r="A2078" s="38" t="s">
        <v>36</v>
      </c>
      <c r="B2078" s="38" t="s">
        <v>4386</v>
      </c>
      <c r="C2078" s="38" t="s">
        <v>4521</v>
      </c>
      <c r="D2078" s="38" t="s">
        <v>4522</v>
      </c>
      <c r="E2078" s="38" t="s">
        <v>4523</v>
      </c>
      <c r="F2078" s="38">
        <v>1102.04</v>
      </c>
      <c r="G2078" s="38">
        <v>1102.04</v>
      </c>
      <c r="H2078" s="38">
        <f t="shared" si="100"/>
        <v>3493</v>
      </c>
      <c r="I2078" s="38">
        <v>2288</v>
      </c>
      <c r="J2078" s="38">
        <v>1205</v>
      </c>
      <c r="K2078" s="38">
        <v>1083</v>
      </c>
      <c r="L2078" s="50">
        <f t="shared" si="101"/>
        <v>31.004866876610365</v>
      </c>
      <c r="M2078" s="38">
        <v>210</v>
      </c>
      <c r="N2078" s="50">
        <f t="shared" si="102"/>
        <v>6.0120240480961922</v>
      </c>
      <c r="O2078" s="38">
        <v>82.69</v>
      </c>
      <c r="P2078" s="38">
        <v>112.65</v>
      </c>
      <c r="Q2078" s="34" t="s">
        <v>43</v>
      </c>
      <c r="R2078" s="9">
        <v>44537</v>
      </c>
      <c r="S2078" s="34"/>
      <c r="T2078" s="34"/>
      <c r="U2078" s="34"/>
      <c r="V2078" s="34"/>
      <c r="W2078" s="34"/>
      <c r="X2078" s="34"/>
      <c r="Y2078" s="34"/>
      <c r="Z2078" s="109"/>
      <c r="AB2078" s="34">
        <v>113</v>
      </c>
      <c r="AC2078" s="34" t="s">
        <v>4524</v>
      </c>
      <c r="AD2078" s="34">
        <v>25.404782000000001</v>
      </c>
      <c r="AE2078" s="34">
        <v>71.841943999999998</v>
      </c>
    </row>
    <row r="2079" spans="1:31" x14ac:dyDescent="0.25">
      <c r="A2079" s="38" t="s">
        <v>36</v>
      </c>
      <c r="B2079" s="38" t="s">
        <v>4386</v>
      </c>
      <c r="C2079" s="38" t="s">
        <v>4521</v>
      </c>
      <c r="D2079" s="38" t="s">
        <v>4525</v>
      </c>
      <c r="E2079" s="38" t="s">
        <v>4526</v>
      </c>
      <c r="F2079" s="38">
        <v>510.12</v>
      </c>
      <c r="G2079" s="38">
        <v>510.12</v>
      </c>
      <c r="H2079" s="38">
        <f t="shared" si="100"/>
        <v>1804</v>
      </c>
      <c r="I2079" s="38">
        <v>1176</v>
      </c>
      <c r="J2079" s="38">
        <v>628</v>
      </c>
      <c r="K2079" s="38">
        <v>548</v>
      </c>
      <c r="L2079" s="50">
        <f t="shared" si="101"/>
        <v>30.376940133037696</v>
      </c>
      <c r="M2079" s="38">
        <v>86</v>
      </c>
      <c r="N2079" s="50">
        <f t="shared" si="102"/>
        <v>4.7671840354767179</v>
      </c>
      <c r="O2079" s="38">
        <v>0</v>
      </c>
      <c r="P2079" s="38">
        <v>19.079999999999998</v>
      </c>
      <c r="Q2079" s="98" t="s">
        <v>43</v>
      </c>
      <c r="R2079" s="17">
        <v>44537</v>
      </c>
      <c r="S2079" s="61"/>
      <c r="T2079" s="20">
        <v>19</v>
      </c>
      <c r="U2079" s="98"/>
      <c r="V2079" s="98"/>
      <c r="W2079" s="98"/>
      <c r="X2079" s="98"/>
      <c r="Y2079" s="98"/>
      <c r="Z2079" s="20"/>
      <c r="AB2079" s="20"/>
      <c r="AC2079" s="11" t="s">
        <v>4527</v>
      </c>
      <c r="AD2079" s="61"/>
      <c r="AE2079" s="61"/>
    </row>
    <row r="2080" spans="1:31" x14ac:dyDescent="0.25">
      <c r="A2080" s="38" t="s">
        <v>36</v>
      </c>
      <c r="B2080" s="38" t="s">
        <v>4386</v>
      </c>
      <c r="C2080" s="38" t="s">
        <v>4521</v>
      </c>
      <c r="D2080" s="38" t="s">
        <v>4528</v>
      </c>
      <c r="E2080" s="38" t="s">
        <v>4529</v>
      </c>
      <c r="F2080" s="38">
        <v>388.08</v>
      </c>
      <c r="G2080" s="38">
        <v>388.08</v>
      </c>
      <c r="H2080" s="38">
        <f t="shared" si="100"/>
        <v>518</v>
      </c>
      <c r="I2080" s="38">
        <v>330</v>
      </c>
      <c r="J2080" s="38">
        <v>188</v>
      </c>
      <c r="K2080" s="38">
        <v>142</v>
      </c>
      <c r="L2080" s="50">
        <f t="shared" si="101"/>
        <v>27.413127413127413</v>
      </c>
      <c r="M2080" s="38">
        <v>0</v>
      </c>
      <c r="N2080" s="50">
        <f t="shared" si="102"/>
        <v>0</v>
      </c>
      <c r="O2080" s="38">
        <v>0</v>
      </c>
      <c r="P2080" s="38">
        <v>16.190000000000001</v>
      </c>
      <c r="Q2080" s="98" t="s">
        <v>43</v>
      </c>
      <c r="R2080" s="17">
        <v>44537</v>
      </c>
      <c r="S2080" s="61"/>
      <c r="T2080" s="20">
        <v>16</v>
      </c>
      <c r="U2080" s="98"/>
      <c r="V2080" s="98"/>
      <c r="W2080" s="98"/>
      <c r="X2080" s="98"/>
      <c r="Y2080" s="98"/>
      <c r="Z2080" s="20"/>
      <c r="AB2080" s="20"/>
      <c r="AC2080" s="11" t="s">
        <v>4530</v>
      </c>
      <c r="AD2080" s="61"/>
      <c r="AE2080" s="61"/>
    </row>
    <row r="2081" spans="1:31" x14ac:dyDescent="0.25">
      <c r="A2081" s="38" t="s">
        <v>36</v>
      </c>
      <c r="B2081" s="38" t="s">
        <v>4386</v>
      </c>
      <c r="C2081" s="38" t="s">
        <v>4521</v>
      </c>
      <c r="D2081" s="38" t="s">
        <v>4531</v>
      </c>
      <c r="E2081" s="38" t="s">
        <v>4532</v>
      </c>
      <c r="F2081" s="38">
        <v>574.35</v>
      </c>
      <c r="G2081" s="38">
        <v>574.35</v>
      </c>
      <c r="H2081" s="38">
        <f t="shared" si="100"/>
        <v>539</v>
      </c>
      <c r="I2081" s="38">
        <v>358</v>
      </c>
      <c r="J2081" s="38">
        <v>181</v>
      </c>
      <c r="K2081" s="38">
        <v>177</v>
      </c>
      <c r="L2081" s="50">
        <f t="shared" si="101"/>
        <v>32.838589981447122</v>
      </c>
      <c r="M2081" s="38">
        <v>8</v>
      </c>
      <c r="N2081" s="50">
        <f t="shared" si="102"/>
        <v>1.4842300556586272</v>
      </c>
      <c r="O2081" s="38">
        <v>14.31</v>
      </c>
      <c r="P2081" s="38">
        <v>3.24</v>
      </c>
      <c r="Q2081" s="98" t="s">
        <v>43</v>
      </c>
      <c r="R2081" s="17">
        <v>44537</v>
      </c>
      <c r="S2081" s="61"/>
      <c r="T2081" s="20">
        <v>3</v>
      </c>
      <c r="U2081" s="98"/>
      <c r="V2081" s="98"/>
      <c r="W2081" s="98"/>
      <c r="X2081" s="98"/>
      <c r="Y2081" s="98"/>
      <c r="Z2081" s="20"/>
      <c r="AB2081" s="20"/>
      <c r="AC2081" s="11" t="s">
        <v>4533</v>
      </c>
      <c r="AD2081" s="61"/>
      <c r="AE2081" s="61"/>
    </row>
    <row r="2082" spans="1:31" x14ac:dyDescent="0.25">
      <c r="A2082" s="38" t="s">
        <v>36</v>
      </c>
      <c r="B2082" s="38" t="s">
        <v>4386</v>
      </c>
      <c r="C2082" s="38" t="s">
        <v>4521</v>
      </c>
      <c r="D2082" s="38" t="s">
        <v>4534</v>
      </c>
      <c r="E2082" s="38" t="s">
        <v>4535</v>
      </c>
      <c r="F2082" s="38">
        <v>422.73</v>
      </c>
      <c r="G2082" s="38">
        <v>422.73</v>
      </c>
      <c r="H2082" s="38">
        <f t="shared" si="100"/>
        <v>425</v>
      </c>
      <c r="I2082" s="38">
        <v>279</v>
      </c>
      <c r="J2082" s="38">
        <v>146</v>
      </c>
      <c r="K2082" s="38">
        <v>133</v>
      </c>
      <c r="L2082" s="50">
        <f t="shared" si="101"/>
        <v>31.294117647058822</v>
      </c>
      <c r="M2082" s="38">
        <v>16</v>
      </c>
      <c r="N2082" s="50">
        <f t="shared" si="102"/>
        <v>3.7647058823529407</v>
      </c>
      <c r="O2082" s="38">
        <v>0</v>
      </c>
      <c r="P2082" s="38">
        <v>6.42</v>
      </c>
      <c r="Q2082" s="98" t="s">
        <v>43</v>
      </c>
      <c r="R2082" s="17">
        <v>44537</v>
      </c>
      <c r="S2082" s="61"/>
      <c r="T2082" s="20">
        <v>6</v>
      </c>
      <c r="U2082" s="98"/>
      <c r="V2082" s="98"/>
      <c r="W2082" s="98"/>
      <c r="X2082" s="98"/>
      <c r="Y2082" s="98"/>
      <c r="Z2082" s="20"/>
      <c r="AB2082" s="20"/>
      <c r="AC2082" s="11" t="s">
        <v>4534</v>
      </c>
      <c r="AD2082" s="61"/>
      <c r="AE2082" s="61"/>
    </row>
    <row r="2083" spans="1:31" x14ac:dyDescent="0.25">
      <c r="A2083" s="38" t="s">
        <v>36</v>
      </c>
      <c r="B2083" s="38" t="s">
        <v>4386</v>
      </c>
      <c r="C2083" s="38" t="s">
        <v>4536</v>
      </c>
      <c r="D2083" s="38" t="s">
        <v>4537</v>
      </c>
      <c r="E2083" s="38" t="s">
        <v>4538</v>
      </c>
      <c r="F2083" s="38">
        <v>819.51</v>
      </c>
      <c r="G2083" s="38">
        <v>819.51</v>
      </c>
      <c r="H2083" s="38">
        <f t="shared" si="100"/>
        <v>1162</v>
      </c>
      <c r="I2083" s="38">
        <v>744</v>
      </c>
      <c r="J2083" s="38">
        <v>418</v>
      </c>
      <c r="K2083" s="38">
        <v>326</v>
      </c>
      <c r="L2083" s="50">
        <f t="shared" si="101"/>
        <v>28.055077452667813</v>
      </c>
      <c r="M2083" s="38">
        <v>0</v>
      </c>
      <c r="N2083" s="50">
        <f t="shared" si="102"/>
        <v>0</v>
      </c>
      <c r="O2083" s="38">
        <v>0</v>
      </c>
      <c r="P2083" s="38">
        <v>24</v>
      </c>
    </row>
    <row r="2084" spans="1:31" x14ac:dyDescent="0.25">
      <c r="A2084" s="38" t="s">
        <v>36</v>
      </c>
      <c r="B2084" s="38" t="s">
        <v>4386</v>
      </c>
      <c r="C2084" s="38" t="s">
        <v>4536</v>
      </c>
      <c r="D2084" s="38" t="s">
        <v>4539</v>
      </c>
      <c r="E2084" s="38" t="s">
        <v>4540</v>
      </c>
      <c r="F2084" s="38">
        <v>600.66999999999996</v>
      </c>
      <c r="G2084" s="38">
        <v>600.66999999999996</v>
      </c>
      <c r="H2084" s="38">
        <f t="shared" si="100"/>
        <v>482</v>
      </c>
      <c r="I2084" s="38">
        <v>319</v>
      </c>
      <c r="J2084" s="38">
        <v>163</v>
      </c>
      <c r="K2084" s="38">
        <v>156</v>
      </c>
      <c r="L2084" s="50">
        <f t="shared" si="101"/>
        <v>32.365145228215766</v>
      </c>
      <c r="M2084" s="38">
        <v>3</v>
      </c>
      <c r="N2084" s="50">
        <f t="shared" si="102"/>
        <v>0.62240663900414939</v>
      </c>
      <c r="O2084" s="38">
        <v>0</v>
      </c>
      <c r="P2084" s="38">
        <v>1.69</v>
      </c>
    </row>
    <row r="2085" spans="1:31" x14ac:dyDescent="0.25">
      <c r="A2085" s="38" t="s">
        <v>36</v>
      </c>
      <c r="B2085" s="38" t="s">
        <v>4386</v>
      </c>
      <c r="C2085" s="38" t="s">
        <v>4536</v>
      </c>
      <c r="D2085" s="38" t="s">
        <v>4541</v>
      </c>
      <c r="E2085" s="38" t="s">
        <v>4542</v>
      </c>
      <c r="F2085" s="38">
        <v>622.15</v>
      </c>
      <c r="G2085" s="38">
        <v>622.15</v>
      </c>
      <c r="H2085" s="38">
        <f t="shared" si="100"/>
        <v>1059</v>
      </c>
      <c r="I2085" s="38">
        <v>692</v>
      </c>
      <c r="J2085" s="38">
        <v>367</v>
      </c>
      <c r="K2085" s="38">
        <v>325</v>
      </c>
      <c r="L2085" s="50">
        <f t="shared" si="101"/>
        <v>30.689329556185079</v>
      </c>
      <c r="M2085" s="38">
        <v>117</v>
      </c>
      <c r="N2085" s="50">
        <f t="shared" si="102"/>
        <v>11.048158640226628</v>
      </c>
      <c r="O2085" s="38">
        <v>0</v>
      </c>
      <c r="P2085" s="38">
        <v>11</v>
      </c>
    </row>
    <row r="2086" spans="1:31" x14ac:dyDescent="0.25">
      <c r="A2086" s="38" t="s">
        <v>36</v>
      </c>
      <c r="B2086" s="38" t="s">
        <v>4386</v>
      </c>
      <c r="C2086" s="38" t="s">
        <v>4536</v>
      </c>
      <c r="D2086" s="38" t="s">
        <v>4543</v>
      </c>
      <c r="E2086" s="38" t="s">
        <v>4544</v>
      </c>
      <c r="F2086" s="38">
        <v>231.99</v>
      </c>
      <c r="G2086" s="38">
        <v>231.99</v>
      </c>
      <c r="H2086" s="38">
        <f t="shared" si="100"/>
        <v>347</v>
      </c>
      <c r="I2086" s="38">
        <v>230</v>
      </c>
      <c r="J2086" s="38">
        <v>117</v>
      </c>
      <c r="K2086" s="38">
        <v>113</v>
      </c>
      <c r="L2086" s="50">
        <f t="shared" si="101"/>
        <v>32.564841498559076</v>
      </c>
      <c r="M2086" s="38">
        <v>0</v>
      </c>
      <c r="N2086" s="50">
        <f t="shared" si="102"/>
        <v>0</v>
      </c>
      <c r="O2086" s="38">
        <v>0</v>
      </c>
      <c r="P2086" s="38">
        <v>0</v>
      </c>
    </row>
    <row r="2087" spans="1:31" x14ac:dyDescent="0.25">
      <c r="A2087" s="38" t="s">
        <v>36</v>
      </c>
      <c r="B2087" s="38" t="s">
        <v>4386</v>
      </c>
      <c r="C2087" s="38" t="s">
        <v>4536</v>
      </c>
      <c r="D2087" s="38" t="s">
        <v>4545</v>
      </c>
      <c r="E2087" s="38" t="s">
        <v>4546</v>
      </c>
      <c r="F2087" s="38">
        <v>442.93</v>
      </c>
      <c r="G2087" s="38">
        <v>442.93</v>
      </c>
      <c r="H2087" s="38">
        <f t="shared" si="100"/>
        <v>493</v>
      </c>
      <c r="I2087" s="38">
        <v>323</v>
      </c>
      <c r="J2087" s="38">
        <v>170</v>
      </c>
      <c r="K2087" s="38">
        <v>153</v>
      </c>
      <c r="L2087" s="50">
        <f t="shared" si="101"/>
        <v>31.03448275862069</v>
      </c>
      <c r="M2087" s="38">
        <v>1</v>
      </c>
      <c r="N2087" s="50">
        <f t="shared" si="102"/>
        <v>0.20283975659229209</v>
      </c>
      <c r="O2087" s="38">
        <v>0</v>
      </c>
      <c r="P2087" s="38">
        <v>0</v>
      </c>
    </row>
    <row r="2088" spans="1:31" x14ac:dyDescent="0.25">
      <c r="A2088" s="38" t="s">
        <v>36</v>
      </c>
      <c r="B2088" s="38" t="s">
        <v>4386</v>
      </c>
      <c r="C2088" s="38" t="s">
        <v>4536</v>
      </c>
      <c r="D2088" s="38" t="s">
        <v>4547</v>
      </c>
      <c r="E2088" s="38" t="s">
        <v>4548</v>
      </c>
      <c r="F2088" s="38">
        <v>441.41</v>
      </c>
      <c r="G2088" s="38">
        <v>441.41</v>
      </c>
      <c r="H2088" s="38">
        <f t="shared" si="100"/>
        <v>394</v>
      </c>
      <c r="I2088" s="38">
        <v>256</v>
      </c>
      <c r="J2088" s="38">
        <v>138</v>
      </c>
      <c r="K2088" s="38">
        <v>118</v>
      </c>
      <c r="L2088" s="50">
        <f t="shared" si="101"/>
        <v>29.949238578680205</v>
      </c>
      <c r="M2088" s="38">
        <v>16</v>
      </c>
      <c r="N2088" s="50">
        <f t="shared" si="102"/>
        <v>4.0609137055837561</v>
      </c>
      <c r="O2088" s="38">
        <v>0</v>
      </c>
      <c r="P2088" s="38">
        <v>0</v>
      </c>
    </row>
    <row r="2089" spans="1:31" x14ac:dyDescent="0.25">
      <c r="A2089" s="38" t="s">
        <v>36</v>
      </c>
      <c r="B2089" s="38" t="s">
        <v>4386</v>
      </c>
      <c r="C2089" s="38" t="s">
        <v>4549</v>
      </c>
      <c r="D2089" s="38" t="s">
        <v>4550</v>
      </c>
      <c r="E2089" s="38" t="s">
        <v>4551</v>
      </c>
      <c r="F2089" s="38">
        <v>1485.46</v>
      </c>
      <c r="G2089" s="38">
        <v>1485.46</v>
      </c>
      <c r="H2089" s="38">
        <f t="shared" si="100"/>
        <v>1838</v>
      </c>
      <c r="I2089" s="38">
        <v>1203</v>
      </c>
      <c r="J2089" s="38">
        <v>635</v>
      </c>
      <c r="K2089" s="38">
        <v>568</v>
      </c>
      <c r="L2089" s="50">
        <f t="shared" si="101"/>
        <v>30.903155603917305</v>
      </c>
      <c r="M2089" s="38">
        <v>75</v>
      </c>
      <c r="N2089" s="50">
        <f t="shared" si="102"/>
        <v>4.0805223068552774</v>
      </c>
      <c r="O2089" s="38">
        <v>0</v>
      </c>
      <c r="P2089" s="38">
        <v>0</v>
      </c>
    </row>
    <row r="2090" spans="1:31" x14ac:dyDescent="0.25">
      <c r="A2090" s="38" t="s">
        <v>36</v>
      </c>
      <c r="B2090" s="38" t="s">
        <v>4386</v>
      </c>
      <c r="C2090" s="38" t="s">
        <v>4549</v>
      </c>
      <c r="D2090" s="38" t="s">
        <v>4552</v>
      </c>
      <c r="E2090" s="38" t="s">
        <v>4553</v>
      </c>
      <c r="F2090" s="38">
        <v>234.7</v>
      </c>
      <c r="G2090" s="38">
        <v>234.7</v>
      </c>
      <c r="H2090" s="38">
        <f t="shared" si="100"/>
        <v>355</v>
      </c>
      <c r="I2090" s="38">
        <v>224</v>
      </c>
      <c r="J2090" s="38">
        <v>131</v>
      </c>
      <c r="K2090" s="38">
        <v>93</v>
      </c>
      <c r="L2090" s="50">
        <f t="shared" si="101"/>
        <v>26.197183098591548</v>
      </c>
      <c r="M2090" s="38">
        <v>11</v>
      </c>
      <c r="N2090" s="50">
        <f t="shared" si="102"/>
        <v>3.0985915492957745</v>
      </c>
      <c r="O2090" s="38">
        <v>0</v>
      </c>
      <c r="P2090" s="38">
        <v>0</v>
      </c>
    </row>
    <row r="2091" spans="1:31" x14ac:dyDescent="0.25">
      <c r="A2091" s="38" t="s">
        <v>36</v>
      </c>
      <c r="B2091" s="38" t="s">
        <v>4386</v>
      </c>
      <c r="C2091" s="38" t="s">
        <v>4549</v>
      </c>
      <c r="D2091" s="38" t="s">
        <v>4554</v>
      </c>
      <c r="E2091" s="38" t="s">
        <v>4555</v>
      </c>
      <c r="F2091" s="38">
        <v>241.31</v>
      </c>
      <c r="G2091" s="38">
        <v>241.31</v>
      </c>
      <c r="H2091" s="38">
        <f t="shared" si="100"/>
        <v>375</v>
      </c>
      <c r="I2091" s="38">
        <v>246</v>
      </c>
      <c r="J2091" s="38">
        <v>129</v>
      </c>
      <c r="K2091" s="38">
        <v>117</v>
      </c>
      <c r="L2091" s="50">
        <f t="shared" si="101"/>
        <v>31.2</v>
      </c>
      <c r="M2091" s="38">
        <v>0</v>
      </c>
      <c r="N2091" s="50">
        <f t="shared" si="102"/>
        <v>0</v>
      </c>
      <c r="O2091" s="38">
        <v>0</v>
      </c>
      <c r="P2091" s="38">
        <v>0</v>
      </c>
    </row>
    <row r="2092" spans="1:31" x14ac:dyDescent="0.25">
      <c r="A2092" s="38" t="s">
        <v>36</v>
      </c>
      <c r="B2092" s="38" t="s">
        <v>4386</v>
      </c>
      <c r="C2092" s="38" t="s">
        <v>4556</v>
      </c>
      <c r="D2092" s="38" t="s">
        <v>4557</v>
      </c>
      <c r="E2092" s="38" t="s">
        <v>4558</v>
      </c>
      <c r="F2092" s="38">
        <v>574.38</v>
      </c>
      <c r="G2092" s="38">
        <v>574.38</v>
      </c>
      <c r="H2092" s="38">
        <f t="shared" si="100"/>
        <v>1551</v>
      </c>
      <c r="I2092" s="38">
        <v>1025</v>
      </c>
      <c r="J2092" s="38">
        <v>526</v>
      </c>
      <c r="K2092" s="38">
        <v>499</v>
      </c>
      <c r="L2092" s="50">
        <f t="shared" si="101"/>
        <v>32.172791747259829</v>
      </c>
      <c r="M2092" s="38">
        <v>0</v>
      </c>
      <c r="N2092" s="50">
        <f t="shared" si="102"/>
        <v>0</v>
      </c>
      <c r="O2092" s="38">
        <v>0</v>
      </c>
      <c r="P2092" s="38">
        <v>23.19</v>
      </c>
    </row>
    <row r="2093" spans="1:31" x14ac:dyDescent="0.25">
      <c r="A2093" s="38" t="s">
        <v>36</v>
      </c>
      <c r="B2093" s="38" t="s">
        <v>4386</v>
      </c>
      <c r="C2093" s="38" t="s">
        <v>4556</v>
      </c>
      <c r="D2093" s="38" t="s">
        <v>4559</v>
      </c>
      <c r="E2093" s="38" t="s">
        <v>4560</v>
      </c>
      <c r="F2093" s="38">
        <v>200.26</v>
      </c>
      <c r="G2093" s="38">
        <v>200.26</v>
      </c>
      <c r="H2093" s="38">
        <f t="shared" si="100"/>
        <v>585</v>
      </c>
      <c r="I2093" s="38">
        <v>382</v>
      </c>
      <c r="J2093" s="38">
        <v>203</v>
      </c>
      <c r="K2093" s="38">
        <v>179</v>
      </c>
      <c r="L2093" s="50">
        <f t="shared" si="101"/>
        <v>30.5982905982906</v>
      </c>
      <c r="M2093" s="38">
        <v>0</v>
      </c>
      <c r="N2093" s="50">
        <f t="shared" si="102"/>
        <v>0</v>
      </c>
      <c r="O2093" s="38">
        <v>0</v>
      </c>
      <c r="P2093" s="38">
        <v>0</v>
      </c>
    </row>
    <row r="2094" spans="1:31" x14ac:dyDescent="0.25">
      <c r="A2094" s="38" t="s">
        <v>36</v>
      </c>
      <c r="B2094" s="38" t="s">
        <v>4386</v>
      </c>
      <c r="C2094" s="38" t="s">
        <v>4556</v>
      </c>
      <c r="D2094" s="38" t="s">
        <v>4561</v>
      </c>
      <c r="E2094" s="38" t="s">
        <v>4562</v>
      </c>
      <c r="F2094" s="38">
        <v>433.01</v>
      </c>
      <c r="G2094" s="38">
        <v>433.01</v>
      </c>
      <c r="H2094" s="38">
        <f t="shared" si="100"/>
        <v>637</v>
      </c>
      <c r="I2094" s="38">
        <v>417</v>
      </c>
      <c r="J2094" s="38">
        <v>220</v>
      </c>
      <c r="K2094" s="38">
        <v>197</v>
      </c>
      <c r="L2094" s="50">
        <f t="shared" si="101"/>
        <v>30.926216640502357</v>
      </c>
      <c r="M2094" s="38">
        <v>14</v>
      </c>
      <c r="N2094" s="50">
        <f t="shared" si="102"/>
        <v>2.197802197802198</v>
      </c>
      <c r="O2094" s="38">
        <v>0</v>
      </c>
      <c r="P2094" s="38">
        <v>0.94</v>
      </c>
    </row>
    <row r="2095" spans="1:31" x14ac:dyDescent="0.25">
      <c r="A2095" s="38" t="s">
        <v>36</v>
      </c>
      <c r="B2095" s="38" t="s">
        <v>4386</v>
      </c>
      <c r="C2095" s="38" t="s">
        <v>4556</v>
      </c>
      <c r="D2095" s="38" t="s">
        <v>4563</v>
      </c>
      <c r="E2095" s="38" t="s">
        <v>4564</v>
      </c>
      <c r="F2095" s="38">
        <v>746.34</v>
      </c>
      <c r="G2095" s="38">
        <v>746.34</v>
      </c>
      <c r="H2095" s="38">
        <f t="shared" si="100"/>
        <v>1415</v>
      </c>
      <c r="I2095" s="38">
        <v>924</v>
      </c>
      <c r="J2095" s="38">
        <v>491</v>
      </c>
      <c r="K2095" s="38">
        <v>433</v>
      </c>
      <c r="L2095" s="50">
        <f t="shared" si="101"/>
        <v>30.600706713780916</v>
      </c>
      <c r="M2095" s="38">
        <v>81</v>
      </c>
      <c r="N2095" s="50">
        <f t="shared" si="102"/>
        <v>5.7243816254416959</v>
      </c>
      <c r="O2095" s="38">
        <v>0</v>
      </c>
      <c r="P2095" s="38">
        <v>0</v>
      </c>
    </row>
    <row r="2096" spans="1:31" x14ac:dyDescent="0.25">
      <c r="A2096" s="38" t="s">
        <v>36</v>
      </c>
      <c r="B2096" s="38" t="s">
        <v>4565</v>
      </c>
      <c r="C2096" s="38" t="s">
        <v>4566</v>
      </c>
      <c r="D2096" s="190" t="s">
        <v>4567</v>
      </c>
      <c r="E2096" s="38" t="s">
        <v>4568</v>
      </c>
      <c r="F2096" s="11">
        <v>644.29999999999995</v>
      </c>
      <c r="G2096" s="11">
        <v>644.29999999999995</v>
      </c>
      <c r="H2096" s="38">
        <f t="shared" si="100"/>
        <v>869</v>
      </c>
      <c r="I2096" s="11">
        <v>572</v>
      </c>
      <c r="J2096" s="11">
        <v>297</v>
      </c>
      <c r="K2096" s="11">
        <v>275</v>
      </c>
      <c r="L2096" s="50">
        <f t="shared" si="101"/>
        <v>31.645569620253166</v>
      </c>
      <c r="M2096" s="11">
        <v>47</v>
      </c>
      <c r="N2096" s="50">
        <f t="shared" si="102"/>
        <v>5.4085155350978136</v>
      </c>
      <c r="O2096" s="38">
        <v>0</v>
      </c>
      <c r="P2096" s="38">
        <v>66.05</v>
      </c>
      <c r="Q2096" s="34" t="s">
        <v>43</v>
      </c>
      <c r="R2096" s="88">
        <v>44538</v>
      </c>
      <c r="S2096" s="34"/>
      <c r="T2096" s="89">
        <v>66</v>
      </c>
      <c r="U2096" s="34"/>
      <c r="V2096" s="34"/>
      <c r="W2096" s="34"/>
      <c r="X2096" s="34"/>
      <c r="Y2096" s="34"/>
      <c r="Z2096" s="109"/>
      <c r="AB2096" s="89">
        <v>52</v>
      </c>
      <c r="AC2096" s="34" t="s">
        <v>4569</v>
      </c>
      <c r="AD2096" s="34">
        <v>70.778308999999993</v>
      </c>
      <c r="AE2096" s="34">
        <v>25.671175999999999</v>
      </c>
    </row>
    <row r="2097" spans="1:31" x14ac:dyDescent="0.25">
      <c r="A2097" s="38" t="s">
        <v>36</v>
      </c>
      <c r="B2097" s="38" t="s">
        <v>4565</v>
      </c>
      <c r="C2097" s="38" t="s">
        <v>4566</v>
      </c>
      <c r="D2097" s="190" t="s">
        <v>4570</v>
      </c>
      <c r="E2097" s="38" t="s">
        <v>4571</v>
      </c>
      <c r="F2097" s="38">
        <v>114</v>
      </c>
      <c r="G2097" s="38">
        <v>114</v>
      </c>
      <c r="H2097" s="38">
        <f t="shared" si="100"/>
        <v>524</v>
      </c>
      <c r="I2097" s="38">
        <v>354</v>
      </c>
      <c r="J2097" s="38">
        <v>170</v>
      </c>
      <c r="K2097" s="38">
        <v>184</v>
      </c>
      <c r="L2097" s="50">
        <f t="shared" si="101"/>
        <v>35.114503816793892</v>
      </c>
      <c r="M2097" s="38">
        <v>5</v>
      </c>
      <c r="N2097" s="50">
        <f t="shared" si="102"/>
        <v>0.95419847328244278</v>
      </c>
      <c r="O2097" s="38">
        <v>0</v>
      </c>
      <c r="P2097" s="38">
        <v>0</v>
      </c>
      <c r="Q2097" s="99" t="s">
        <v>43</v>
      </c>
      <c r="R2097" s="17">
        <v>44538</v>
      </c>
      <c r="S2097" s="61"/>
      <c r="T2097" s="20">
        <v>12</v>
      </c>
      <c r="U2097" s="99"/>
      <c r="V2097" s="99"/>
      <c r="W2097" s="99"/>
      <c r="X2097" s="99"/>
      <c r="Y2097" s="99"/>
      <c r="Z2097" s="20"/>
      <c r="AB2097" s="20"/>
      <c r="AC2097" s="38" t="s">
        <v>4570</v>
      </c>
      <c r="AD2097" s="61"/>
      <c r="AE2097" s="61"/>
    </row>
    <row r="2098" spans="1:31" x14ac:dyDescent="0.25">
      <c r="A2098" s="38" t="s">
        <v>36</v>
      </c>
      <c r="B2098" s="38" t="s">
        <v>4565</v>
      </c>
      <c r="C2098" s="38" t="s">
        <v>4566</v>
      </c>
      <c r="D2098" s="190" t="s">
        <v>4572</v>
      </c>
      <c r="E2098" s="38" t="s">
        <v>4573</v>
      </c>
      <c r="F2098" s="38">
        <v>239.1</v>
      </c>
      <c r="G2098" s="38">
        <v>239.1</v>
      </c>
      <c r="H2098" s="38">
        <f t="shared" si="100"/>
        <v>1274</v>
      </c>
      <c r="I2098" s="38">
        <v>835</v>
      </c>
      <c r="J2098" s="38">
        <v>439</v>
      </c>
      <c r="K2098" s="38">
        <v>396</v>
      </c>
      <c r="L2098" s="50">
        <f t="shared" si="101"/>
        <v>31.083202511773937</v>
      </c>
      <c r="M2098" s="38">
        <v>7</v>
      </c>
      <c r="N2098" s="50">
        <f t="shared" si="102"/>
        <v>0.5494505494505495</v>
      </c>
      <c r="O2098" s="38">
        <v>0</v>
      </c>
      <c r="P2098" s="38">
        <v>8.0500000000000007</v>
      </c>
      <c r="Q2098" s="99" t="s">
        <v>43</v>
      </c>
      <c r="R2098" s="17">
        <v>44538</v>
      </c>
      <c r="S2098" s="61"/>
      <c r="T2098" s="20">
        <v>8</v>
      </c>
      <c r="U2098" s="99"/>
      <c r="V2098" s="99"/>
      <c r="W2098" s="99"/>
      <c r="X2098" s="99"/>
      <c r="Y2098" s="99"/>
      <c r="Z2098" s="20"/>
      <c r="AB2098" s="20"/>
      <c r="AC2098" s="38" t="s">
        <v>4572</v>
      </c>
      <c r="AD2098" s="61"/>
      <c r="AE2098" s="61"/>
    </row>
    <row r="2099" spans="1:31" x14ac:dyDescent="0.25">
      <c r="A2099" s="38" t="s">
        <v>36</v>
      </c>
      <c r="B2099" s="38" t="s">
        <v>4565</v>
      </c>
      <c r="C2099" s="38" t="s">
        <v>4566</v>
      </c>
      <c r="D2099" s="190" t="s">
        <v>4574</v>
      </c>
      <c r="E2099" s="38" t="s">
        <v>4575</v>
      </c>
      <c r="F2099" s="38">
        <v>512</v>
      </c>
      <c r="G2099" s="38">
        <v>512</v>
      </c>
      <c r="H2099" s="38">
        <f t="shared" si="100"/>
        <v>377</v>
      </c>
      <c r="I2099" s="38">
        <v>248</v>
      </c>
      <c r="J2099" s="38">
        <v>129</v>
      </c>
      <c r="K2099" s="38">
        <v>119</v>
      </c>
      <c r="L2099" s="50">
        <f t="shared" si="101"/>
        <v>31.564986737400531</v>
      </c>
      <c r="M2099" s="38">
        <v>0</v>
      </c>
      <c r="N2099" s="50">
        <f t="shared" si="102"/>
        <v>0</v>
      </c>
      <c r="O2099" s="38">
        <v>0</v>
      </c>
      <c r="P2099" s="38">
        <v>3</v>
      </c>
      <c r="Q2099" s="99" t="s">
        <v>43</v>
      </c>
      <c r="R2099" s="17">
        <v>44538</v>
      </c>
      <c r="S2099" s="61"/>
      <c r="T2099" s="20">
        <v>3</v>
      </c>
      <c r="U2099" s="99"/>
      <c r="V2099" s="99"/>
      <c r="W2099" s="99"/>
      <c r="X2099" s="99"/>
      <c r="Y2099" s="99"/>
      <c r="Z2099" s="20"/>
      <c r="AB2099" s="20"/>
      <c r="AC2099" s="38" t="s">
        <v>4574</v>
      </c>
      <c r="AD2099" s="61"/>
      <c r="AE2099" s="61"/>
    </row>
    <row r="2100" spans="1:31" x14ac:dyDescent="0.25">
      <c r="A2100" s="38" t="s">
        <v>36</v>
      </c>
      <c r="B2100" s="38" t="s">
        <v>4565</v>
      </c>
      <c r="C2100" s="38" t="s">
        <v>4566</v>
      </c>
      <c r="D2100" s="190" t="s">
        <v>481</v>
      </c>
      <c r="E2100" s="38" t="s">
        <v>4576</v>
      </c>
      <c r="F2100" s="38">
        <v>299.89999999999998</v>
      </c>
      <c r="G2100" s="38">
        <v>299.89999999999998</v>
      </c>
      <c r="H2100" s="38">
        <f t="shared" si="100"/>
        <v>488</v>
      </c>
      <c r="I2100" s="38">
        <v>307</v>
      </c>
      <c r="J2100" s="38">
        <v>181</v>
      </c>
      <c r="K2100" s="38">
        <v>126</v>
      </c>
      <c r="L2100" s="50">
        <f t="shared" si="101"/>
        <v>25.819672131147541</v>
      </c>
      <c r="M2100" s="38">
        <v>21</v>
      </c>
      <c r="N2100" s="50">
        <f t="shared" si="102"/>
        <v>4.3032786885245899</v>
      </c>
      <c r="O2100" s="38">
        <v>0</v>
      </c>
      <c r="P2100" s="38">
        <v>0</v>
      </c>
      <c r="Q2100" s="61" t="s">
        <v>43</v>
      </c>
      <c r="R2100" s="17">
        <v>44538</v>
      </c>
      <c r="S2100" s="61"/>
      <c r="T2100" s="20">
        <v>0</v>
      </c>
      <c r="U2100" s="61"/>
      <c r="V2100" s="61"/>
      <c r="W2100" s="61"/>
      <c r="X2100" s="61"/>
      <c r="Y2100" s="61"/>
      <c r="Z2100" s="20"/>
      <c r="AB2100" s="20"/>
      <c r="AC2100" s="38" t="s">
        <v>481</v>
      </c>
      <c r="AD2100" s="61">
        <v>0</v>
      </c>
      <c r="AE2100" s="61"/>
    </row>
    <row r="2101" spans="1:31" x14ac:dyDescent="0.25">
      <c r="A2101" s="38" t="s">
        <v>36</v>
      </c>
      <c r="B2101" s="38" t="s">
        <v>4565</v>
      </c>
      <c r="C2101" s="38" t="s">
        <v>4566</v>
      </c>
      <c r="D2101" s="190" t="s">
        <v>4577</v>
      </c>
      <c r="E2101" s="38" t="s">
        <v>4578</v>
      </c>
      <c r="F2101" s="38">
        <v>405.9</v>
      </c>
      <c r="G2101" s="38">
        <v>405.9</v>
      </c>
      <c r="H2101" s="38">
        <f t="shared" si="100"/>
        <v>366</v>
      </c>
      <c r="I2101" s="38">
        <v>239</v>
      </c>
      <c r="J2101" s="38">
        <v>127</v>
      </c>
      <c r="K2101" s="38">
        <v>112</v>
      </c>
      <c r="L2101" s="50">
        <f t="shared" si="101"/>
        <v>30.601092896174865</v>
      </c>
      <c r="M2101" s="38">
        <v>5</v>
      </c>
      <c r="N2101" s="50">
        <f t="shared" si="102"/>
        <v>1.3661202185792349</v>
      </c>
      <c r="O2101" s="38">
        <v>0</v>
      </c>
      <c r="P2101" s="38">
        <v>32.299999999999997</v>
      </c>
      <c r="Q2101" s="99" t="s">
        <v>43</v>
      </c>
      <c r="R2101" s="17">
        <v>44538</v>
      </c>
      <c r="S2101" s="61"/>
      <c r="T2101" s="20">
        <v>32</v>
      </c>
      <c r="U2101" s="99"/>
      <c r="V2101" s="99"/>
      <c r="W2101" s="99"/>
      <c r="X2101" s="99"/>
      <c r="Y2101" s="99"/>
      <c r="Z2101" s="20"/>
      <c r="AB2101" s="20"/>
      <c r="AC2101" s="38" t="s">
        <v>4577</v>
      </c>
      <c r="AD2101" s="61"/>
      <c r="AE2101" s="61"/>
    </row>
    <row r="2102" spans="1:31" x14ac:dyDescent="0.25">
      <c r="A2102" s="38" t="s">
        <v>36</v>
      </c>
      <c r="B2102" s="38" t="s">
        <v>4565</v>
      </c>
      <c r="C2102" s="38" t="s">
        <v>4566</v>
      </c>
      <c r="D2102" s="190" t="s">
        <v>4579</v>
      </c>
      <c r="E2102" s="38" t="s">
        <v>4580</v>
      </c>
      <c r="F2102" s="38">
        <v>650.4</v>
      </c>
      <c r="G2102" s="38">
        <v>650.4</v>
      </c>
      <c r="H2102" s="38">
        <f t="shared" si="100"/>
        <v>436</v>
      </c>
      <c r="I2102" s="38">
        <v>285</v>
      </c>
      <c r="J2102" s="38">
        <v>151</v>
      </c>
      <c r="K2102" s="38">
        <v>134</v>
      </c>
      <c r="L2102" s="50">
        <f t="shared" si="101"/>
        <v>30.73394495412844</v>
      </c>
      <c r="M2102" s="38">
        <v>13</v>
      </c>
      <c r="N2102" s="50">
        <f t="shared" si="102"/>
        <v>2.9816513761467891</v>
      </c>
      <c r="O2102" s="38">
        <v>0</v>
      </c>
      <c r="P2102" s="38">
        <v>112.09</v>
      </c>
      <c r="Q2102" s="99" t="s">
        <v>43</v>
      </c>
      <c r="R2102" s="17">
        <v>44538</v>
      </c>
      <c r="S2102" s="61"/>
      <c r="T2102" s="20">
        <v>112</v>
      </c>
      <c r="U2102" s="99"/>
      <c r="V2102" s="99"/>
      <c r="W2102" s="99"/>
      <c r="X2102" s="99"/>
      <c r="Y2102" s="99"/>
      <c r="Z2102" s="20"/>
      <c r="AB2102" s="20"/>
      <c r="AC2102" s="38" t="s">
        <v>4579</v>
      </c>
      <c r="AD2102" s="61"/>
      <c r="AE2102" s="61"/>
    </row>
    <row r="2103" spans="1:31" x14ac:dyDescent="0.25">
      <c r="A2103" s="38" t="s">
        <v>36</v>
      </c>
      <c r="B2103" s="38" t="s">
        <v>4565</v>
      </c>
      <c r="C2103" s="38" t="s">
        <v>4581</v>
      </c>
      <c r="D2103" s="190" t="s">
        <v>4582</v>
      </c>
      <c r="E2103" s="38" t="s">
        <v>4583</v>
      </c>
      <c r="F2103" s="11">
        <v>2465</v>
      </c>
      <c r="G2103" s="11">
        <v>2465</v>
      </c>
      <c r="H2103" s="38">
        <f t="shared" si="100"/>
        <v>1243</v>
      </c>
      <c r="I2103" s="11">
        <v>800</v>
      </c>
      <c r="J2103" s="11">
        <v>443</v>
      </c>
      <c r="K2103" s="11">
        <v>357</v>
      </c>
      <c r="L2103" s="50">
        <f t="shared" si="101"/>
        <v>28.720836685438456</v>
      </c>
      <c r="M2103" s="11">
        <v>25</v>
      </c>
      <c r="N2103" s="50">
        <f t="shared" si="102"/>
        <v>2.0112630732099759</v>
      </c>
      <c r="O2103" s="38">
        <v>0</v>
      </c>
      <c r="P2103" s="38">
        <v>0</v>
      </c>
      <c r="Q2103" s="99" t="s">
        <v>43</v>
      </c>
      <c r="R2103" s="17">
        <v>44526</v>
      </c>
      <c r="S2103" s="61"/>
      <c r="T2103" s="20">
        <v>97.99</v>
      </c>
      <c r="U2103" s="99"/>
      <c r="V2103" s="99"/>
      <c r="W2103" s="99"/>
      <c r="X2103" s="99"/>
      <c r="Y2103" s="99"/>
      <c r="Z2103" s="20"/>
      <c r="AB2103" s="20"/>
      <c r="AC2103" s="38" t="s">
        <v>4582</v>
      </c>
      <c r="AD2103" s="61"/>
      <c r="AE2103" s="61"/>
    </row>
    <row r="2104" spans="1:31" x14ac:dyDescent="0.25">
      <c r="A2104" s="38" t="s">
        <v>36</v>
      </c>
      <c r="B2104" s="38" t="s">
        <v>4565</v>
      </c>
      <c r="C2104" s="38" t="s">
        <v>4581</v>
      </c>
      <c r="D2104" s="190" t="s">
        <v>4584</v>
      </c>
      <c r="E2104" s="38" t="s">
        <v>4585</v>
      </c>
      <c r="F2104" s="38">
        <v>2332</v>
      </c>
      <c r="G2104" s="38">
        <v>2332</v>
      </c>
      <c r="H2104" s="38">
        <f t="shared" si="100"/>
        <v>1989</v>
      </c>
      <c r="I2104" s="38">
        <v>1289</v>
      </c>
      <c r="J2104" s="38">
        <v>700</v>
      </c>
      <c r="K2104" s="38">
        <v>589</v>
      </c>
      <c r="L2104" s="50">
        <f t="shared" si="101"/>
        <v>29.612870789341379</v>
      </c>
      <c r="M2104" s="38">
        <v>65</v>
      </c>
      <c r="N2104" s="50">
        <f t="shared" si="102"/>
        <v>3.2679738562091507</v>
      </c>
      <c r="O2104" s="38">
        <v>0</v>
      </c>
      <c r="P2104" s="38">
        <v>0</v>
      </c>
      <c r="Q2104" s="99" t="s">
        <v>43</v>
      </c>
      <c r="R2104" s="17">
        <v>44526</v>
      </c>
      <c r="S2104" s="61"/>
      <c r="T2104" s="20">
        <v>37.090000000000003</v>
      </c>
      <c r="U2104" s="99"/>
      <c r="V2104" s="99"/>
      <c r="W2104" s="99"/>
      <c r="X2104" s="99"/>
      <c r="Y2104" s="99"/>
      <c r="Z2104" s="20"/>
      <c r="AB2104" s="20"/>
      <c r="AC2104" s="38" t="s">
        <v>4584</v>
      </c>
      <c r="AD2104" s="61"/>
      <c r="AE2104" s="61"/>
    </row>
    <row r="2105" spans="1:31" x14ac:dyDescent="0.25">
      <c r="A2105" s="38" t="s">
        <v>36</v>
      </c>
      <c r="B2105" s="38" t="s">
        <v>4565</v>
      </c>
      <c r="C2105" s="38" t="s">
        <v>4581</v>
      </c>
      <c r="D2105" s="190" t="s">
        <v>4586</v>
      </c>
      <c r="E2105" s="38" t="s">
        <v>4587</v>
      </c>
      <c r="F2105" s="38">
        <v>566</v>
      </c>
      <c r="G2105" s="38">
        <v>566</v>
      </c>
      <c r="H2105" s="38">
        <f t="shared" si="100"/>
        <v>375</v>
      </c>
      <c r="I2105" s="38">
        <v>240</v>
      </c>
      <c r="J2105" s="38">
        <v>135</v>
      </c>
      <c r="K2105" s="38">
        <v>105</v>
      </c>
      <c r="L2105" s="50">
        <f t="shared" si="101"/>
        <v>28.000000000000004</v>
      </c>
      <c r="M2105" s="38">
        <v>5</v>
      </c>
      <c r="N2105" s="50">
        <f t="shared" si="102"/>
        <v>1.3333333333333335</v>
      </c>
      <c r="O2105" s="38">
        <v>0</v>
      </c>
      <c r="P2105" s="38">
        <v>0</v>
      </c>
      <c r="Q2105" s="99" t="s">
        <v>43</v>
      </c>
      <c r="R2105" s="17">
        <v>44526</v>
      </c>
      <c r="S2105" s="61"/>
      <c r="T2105" s="20">
        <v>37.950000000000003</v>
      </c>
      <c r="U2105" s="99"/>
      <c r="V2105" s="99"/>
      <c r="W2105" s="99"/>
      <c r="X2105" s="99"/>
      <c r="Y2105" s="99"/>
      <c r="Z2105" s="20"/>
      <c r="AB2105" s="20"/>
      <c r="AC2105" s="38" t="s">
        <v>4586</v>
      </c>
      <c r="AD2105" s="61"/>
      <c r="AE2105" s="61"/>
    </row>
    <row r="2106" spans="1:31" x14ac:dyDescent="0.25">
      <c r="A2106" s="38" t="s">
        <v>36</v>
      </c>
      <c r="B2106" s="38" t="s">
        <v>4565</v>
      </c>
      <c r="C2106" s="38" t="s">
        <v>4581</v>
      </c>
      <c r="D2106" s="190" t="s">
        <v>4588</v>
      </c>
      <c r="E2106" s="38" t="s">
        <v>4589</v>
      </c>
      <c r="F2106" s="38">
        <v>1140</v>
      </c>
      <c r="G2106" s="38">
        <v>1140</v>
      </c>
      <c r="H2106" s="38">
        <f t="shared" si="100"/>
        <v>712</v>
      </c>
      <c r="I2106" s="38">
        <v>462</v>
      </c>
      <c r="J2106" s="38">
        <v>250</v>
      </c>
      <c r="K2106" s="38">
        <v>212</v>
      </c>
      <c r="L2106" s="50">
        <f t="shared" si="101"/>
        <v>29.775280898876407</v>
      </c>
      <c r="M2106" s="38">
        <v>9</v>
      </c>
      <c r="N2106" s="50">
        <f t="shared" si="102"/>
        <v>1.2640449438202246</v>
      </c>
      <c r="O2106" s="38">
        <v>0</v>
      </c>
      <c r="P2106" s="38">
        <v>0</v>
      </c>
      <c r="Q2106" s="61" t="s">
        <v>43</v>
      </c>
      <c r="R2106" s="17">
        <v>44526</v>
      </c>
      <c r="S2106" s="61"/>
      <c r="T2106" s="20">
        <v>0</v>
      </c>
      <c r="U2106" s="61"/>
      <c r="V2106" s="61"/>
      <c r="W2106" s="61"/>
      <c r="X2106" s="61"/>
      <c r="Y2106" s="61"/>
      <c r="Z2106" s="20"/>
      <c r="AB2106" s="20"/>
      <c r="AC2106" s="38" t="s">
        <v>4588</v>
      </c>
      <c r="AD2106" s="61">
        <v>0</v>
      </c>
      <c r="AE2106" s="61"/>
    </row>
    <row r="2107" spans="1:31" x14ac:dyDescent="0.25">
      <c r="A2107" s="38" t="s">
        <v>36</v>
      </c>
      <c r="B2107" s="38" t="s">
        <v>4565</v>
      </c>
      <c r="C2107" s="38" t="s">
        <v>4590</v>
      </c>
      <c r="D2107" s="190" t="s">
        <v>4590</v>
      </c>
      <c r="E2107" s="38" t="s">
        <v>4591</v>
      </c>
      <c r="F2107" s="38">
        <v>1445</v>
      </c>
      <c r="G2107" s="38">
        <v>1445</v>
      </c>
      <c r="H2107" s="38">
        <f t="shared" si="100"/>
        <v>1612</v>
      </c>
      <c r="I2107" s="38">
        <v>1050</v>
      </c>
      <c r="J2107" s="38">
        <v>562</v>
      </c>
      <c r="K2107" s="38">
        <v>488</v>
      </c>
      <c r="L2107" s="50">
        <f t="shared" si="101"/>
        <v>30.272952853598017</v>
      </c>
      <c r="M2107" s="38">
        <v>0</v>
      </c>
      <c r="N2107" s="50">
        <f t="shared" si="102"/>
        <v>0</v>
      </c>
      <c r="O2107" s="38">
        <v>0</v>
      </c>
      <c r="P2107" s="38">
        <v>18</v>
      </c>
      <c r="Q2107" s="34" t="s">
        <v>43</v>
      </c>
      <c r="R2107" s="9">
        <v>44516</v>
      </c>
      <c r="S2107" s="34"/>
      <c r="T2107" s="34">
        <v>18</v>
      </c>
      <c r="U2107" s="34"/>
      <c r="V2107" s="34"/>
      <c r="W2107" s="34"/>
      <c r="X2107" s="34"/>
      <c r="Y2107" s="34"/>
      <c r="Z2107" s="109"/>
      <c r="AB2107" s="109"/>
      <c r="AC2107" s="34" t="s">
        <v>4592</v>
      </c>
      <c r="AD2107" s="34">
        <v>25.852575000000002</v>
      </c>
      <c r="AE2107" s="34">
        <v>71.080787999999998</v>
      </c>
    </row>
    <row r="2108" spans="1:31" x14ac:dyDescent="0.25">
      <c r="A2108" s="38" t="s">
        <v>36</v>
      </c>
      <c r="B2108" s="38" t="s">
        <v>4565</v>
      </c>
      <c r="C2108" s="38" t="s">
        <v>4590</v>
      </c>
      <c r="D2108" s="190" t="s">
        <v>4593</v>
      </c>
      <c r="E2108" s="38" t="s">
        <v>4594</v>
      </c>
      <c r="F2108" s="38">
        <v>863</v>
      </c>
      <c r="G2108" s="38">
        <v>863</v>
      </c>
      <c r="H2108" s="38">
        <f t="shared" si="100"/>
        <v>998</v>
      </c>
      <c r="I2108" s="38">
        <v>645</v>
      </c>
      <c r="J2108" s="38">
        <v>353</v>
      </c>
      <c r="K2108" s="38">
        <v>292</v>
      </c>
      <c r="L2108" s="50">
        <f t="shared" si="101"/>
        <v>29.258517034068138</v>
      </c>
      <c r="M2108" s="38">
        <v>125</v>
      </c>
      <c r="N2108" s="50">
        <f t="shared" si="102"/>
        <v>12.525050100200399</v>
      </c>
      <c r="O2108" s="38">
        <v>0</v>
      </c>
      <c r="P2108" s="38">
        <v>0</v>
      </c>
      <c r="Q2108" s="61" t="s">
        <v>43</v>
      </c>
      <c r="R2108" s="8">
        <v>44516</v>
      </c>
      <c r="S2108" s="61"/>
      <c r="T2108" s="20">
        <v>5</v>
      </c>
      <c r="U2108" s="61"/>
      <c r="V2108" s="61"/>
      <c r="W2108" s="61"/>
      <c r="X2108" s="61"/>
      <c r="Y2108" s="61"/>
      <c r="Z2108" s="20"/>
      <c r="AB2108" s="20"/>
      <c r="AC2108" s="38" t="s">
        <v>4593</v>
      </c>
      <c r="AD2108" s="61">
        <v>0</v>
      </c>
      <c r="AE2108" s="61"/>
    </row>
    <row r="2109" spans="1:31" x14ac:dyDescent="0.25">
      <c r="A2109" s="38" t="s">
        <v>36</v>
      </c>
      <c r="B2109" s="38" t="s">
        <v>4565</v>
      </c>
      <c r="C2109" s="38" t="s">
        <v>4590</v>
      </c>
      <c r="D2109" s="190" t="s">
        <v>4595</v>
      </c>
      <c r="E2109" s="38" t="s">
        <v>4596</v>
      </c>
      <c r="F2109" s="38">
        <v>1795.26</v>
      </c>
      <c r="G2109" s="38">
        <v>1795.26</v>
      </c>
      <c r="H2109" s="38">
        <f t="shared" si="100"/>
        <v>1753</v>
      </c>
      <c r="I2109" s="38">
        <v>1155</v>
      </c>
      <c r="J2109" s="38">
        <v>598</v>
      </c>
      <c r="K2109" s="38">
        <v>557</v>
      </c>
      <c r="L2109" s="50">
        <f t="shared" si="101"/>
        <v>31.774101540216769</v>
      </c>
      <c r="M2109" s="38">
        <v>0</v>
      </c>
      <c r="N2109" s="50">
        <f t="shared" si="102"/>
        <v>0</v>
      </c>
      <c r="O2109" s="38">
        <v>0</v>
      </c>
      <c r="P2109" s="38">
        <v>47.27</v>
      </c>
      <c r="Q2109" s="34" t="s">
        <v>43</v>
      </c>
      <c r="R2109" s="9">
        <v>44516</v>
      </c>
      <c r="S2109" s="34"/>
      <c r="T2109" s="34">
        <v>47</v>
      </c>
      <c r="U2109" s="34"/>
      <c r="V2109" s="34"/>
      <c r="W2109" s="34"/>
      <c r="X2109" s="34"/>
      <c r="Y2109" s="34"/>
      <c r="Z2109" s="109"/>
      <c r="AB2109" s="109"/>
      <c r="AC2109" s="34" t="s">
        <v>4597</v>
      </c>
      <c r="AD2109" s="34">
        <v>25.832644999999999</v>
      </c>
      <c r="AE2109" s="34">
        <v>71.042338999999998</v>
      </c>
    </row>
    <row r="2110" spans="1:31" x14ac:dyDescent="0.25">
      <c r="A2110" s="38" t="s">
        <v>36</v>
      </c>
      <c r="B2110" s="38" t="s">
        <v>4565</v>
      </c>
      <c r="C2110" s="38" t="s">
        <v>4590</v>
      </c>
      <c r="D2110" s="190" t="s">
        <v>4068</v>
      </c>
      <c r="E2110" s="38" t="s">
        <v>4598</v>
      </c>
      <c r="F2110" s="38">
        <v>401.74</v>
      </c>
      <c r="G2110" s="38">
        <v>401.74</v>
      </c>
      <c r="H2110" s="38">
        <f t="shared" si="100"/>
        <v>149</v>
      </c>
      <c r="I2110" s="38">
        <v>98</v>
      </c>
      <c r="J2110" s="38">
        <v>51</v>
      </c>
      <c r="K2110" s="38">
        <v>47</v>
      </c>
      <c r="L2110" s="50">
        <f t="shared" si="101"/>
        <v>31.543624161073826</v>
      </c>
      <c r="M2110" s="38">
        <v>0</v>
      </c>
      <c r="N2110" s="50">
        <f t="shared" si="102"/>
        <v>0</v>
      </c>
      <c r="O2110" s="38">
        <v>0</v>
      </c>
      <c r="P2110" s="38">
        <v>87.73</v>
      </c>
      <c r="Q2110" s="99" t="s">
        <v>43</v>
      </c>
      <c r="R2110" s="8">
        <v>44516</v>
      </c>
      <c r="S2110" s="61"/>
      <c r="T2110" s="20">
        <v>87</v>
      </c>
      <c r="U2110" s="99"/>
      <c r="V2110" s="99"/>
      <c r="W2110" s="99"/>
      <c r="X2110" s="99"/>
      <c r="Y2110" s="99"/>
      <c r="Z2110" s="20"/>
      <c r="AB2110" s="20"/>
      <c r="AC2110" s="38" t="s">
        <v>4068</v>
      </c>
      <c r="AD2110" s="61"/>
      <c r="AE2110" s="61"/>
    </row>
    <row r="2111" spans="1:31" x14ac:dyDescent="0.25">
      <c r="A2111" s="38" t="s">
        <v>36</v>
      </c>
      <c r="B2111" s="38" t="s">
        <v>4565</v>
      </c>
      <c r="C2111" s="38" t="s">
        <v>4590</v>
      </c>
      <c r="D2111" s="190" t="s">
        <v>1436</v>
      </c>
      <c r="E2111" s="38" t="s">
        <v>4599</v>
      </c>
      <c r="F2111" s="38">
        <v>752</v>
      </c>
      <c r="G2111" s="38">
        <v>752</v>
      </c>
      <c r="H2111" s="38">
        <f t="shared" si="100"/>
        <v>31</v>
      </c>
      <c r="I2111" s="38">
        <v>20</v>
      </c>
      <c r="J2111" s="38">
        <v>11</v>
      </c>
      <c r="K2111" s="38">
        <v>9</v>
      </c>
      <c r="L2111" s="50">
        <f t="shared" si="101"/>
        <v>29.032258064516132</v>
      </c>
      <c r="M2111" s="38">
        <v>0</v>
      </c>
      <c r="N2111" s="50">
        <f t="shared" si="102"/>
        <v>0</v>
      </c>
      <c r="O2111" s="38">
        <v>0</v>
      </c>
      <c r="P2111" s="38">
        <v>27</v>
      </c>
      <c r="Q2111" s="99" t="s">
        <v>43</v>
      </c>
      <c r="R2111" s="8">
        <v>44516</v>
      </c>
      <c r="S2111" s="61"/>
      <c r="T2111" s="20">
        <v>27</v>
      </c>
      <c r="U2111" s="99"/>
      <c r="V2111" s="99"/>
      <c r="W2111" s="99"/>
      <c r="X2111" s="99"/>
      <c r="Y2111" s="99"/>
      <c r="Z2111" s="20"/>
      <c r="AB2111" s="20"/>
      <c r="AC2111" s="38" t="s">
        <v>1436</v>
      </c>
      <c r="AD2111" s="61"/>
      <c r="AE2111" s="61"/>
    </row>
    <row r="2112" spans="1:31" x14ac:dyDescent="0.25">
      <c r="A2112" s="38" t="s">
        <v>36</v>
      </c>
      <c r="B2112" s="41" t="s">
        <v>4565</v>
      </c>
      <c r="C2112" s="41" t="s">
        <v>4590</v>
      </c>
      <c r="D2112" s="41" t="s">
        <v>1436</v>
      </c>
      <c r="E2112" s="41" t="s">
        <v>4599</v>
      </c>
      <c r="F2112" s="41">
        <v>752</v>
      </c>
      <c r="G2112" s="41">
        <v>752</v>
      </c>
      <c r="H2112" s="38">
        <f t="shared" si="100"/>
        <v>31</v>
      </c>
      <c r="I2112" s="41">
        <v>20</v>
      </c>
      <c r="J2112" s="41">
        <v>11</v>
      </c>
      <c r="K2112" s="41">
        <v>9</v>
      </c>
      <c r="L2112" s="50">
        <f t="shared" si="101"/>
        <v>29.032258064516132</v>
      </c>
      <c r="M2112" s="41">
        <v>0</v>
      </c>
      <c r="N2112" s="50">
        <f t="shared" si="102"/>
        <v>0</v>
      </c>
      <c r="O2112" s="41">
        <v>0</v>
      </c>
      <c r="P2112" s="41">
        <v>27</v>
      </c>
      <c r="Q2112" s="44"/>
      <c r="R2112" s="31">
        <v>44516</v>
      </c>
      <c r="S2112" s="44"/>
      <c r="T2112" s="18">
        <v>10</v>
      </c>
      <c r="U2112" s="44"/>
      <c r="V2112" s="44"/>
      <c r="W2112" s="44"/>
      <c r="X2112" s="44"/>
      <c r="Y2112" s="44"/>
      <c r="Z2112" s="5"/>
      <c r="AB2112" s="5">
        <v>23</v>
      </c>
      <c r="AC2112" s="41" t="s">
        <v>1436</v>
      </c>
      <c r="AD2112" s="44">
        <v>25.846969999999999</v>
      </c>
      <c r="AE2112" s="44">
        <v>70.973743999999996</v>
      </c>
    </row>
    <row r="2113" spans="1:31" x14ac:dyDescent="0.25">
      <c r="A2113" s="38" t="s">
        <v>36</v>
      </c>
      <c r="B2113" s="38" t="s">
        <v>4565</v>
      </c>
      <c r="C2113" s="38" t="s">
        <v>4590</v>
      </c>
      <c r="D2113" s="190" t="s">
        <v>4600</v>
      </c>
      <c r="E2113" s="38" t="s">
        <v>4601</v>
      </c>
      <c r="F2113" s="38">
        <v>472</v>
      </c>
      <c r="G2113" s="38">
        <v>472</v>
      </c>
      <c r="H2113" s="38">
        <f t="shared" si="100"/>
        <v>475</v>
      </c>
      <c r="I2113" s="38">
        <v>315</v>
      </c>
      <c r="J2113" s="38">
        <v>160</v>
      </c>
      <c r="K2113" s="38">
        <v>155</v>
      </c>
      <c r="L2113" s="50">
        <f t="shared" si="101"/>
        <v>32.631578947368425</v>
      </c>
      <c r="M2113" s="38">
        <v>0</v>
      </c>
      <c r="N2113" s="50">
        <f t="shared" si="102"/>
        <v>0</v>
      </c>
      <c r="O2113" s="38">
        <v>0</v>
      </c>
      <c r="P2113" s="38">
        <v>0</v>
      </c>
      <c r="Q2113" s="61" t="s">
        <v>43</v>
      </c>
      <c r="R2113" s="8">
        <v>44516</v>
      </c>
      <c r="S2113" s="61"/>
      <c r="T2113" s="20">
        <v>7</v>
      </c>
      <c r="U2113" s="61"/>
      <c r="V2113" s="61"/>
      <c r="W2113" s="61"/>
      <c r="X2113" s="61"/>
      <c r="Y2113" s="61"/>
      <c r="Z2113" s="20"/>
      <c r="AB2113" s="20"/>
      <c r="AC2113" s="38" t="s">
        <v>4600</v>
      </c>
      <c r="AD2113" s="61">
        <v>0</v>
      </c>
      <c r="AE2113" s="61"/>
    </row>
    <row r="2114" spans="1:31" x14ac:dyDescent="0.25">
      <c r="A2114" s="38" t="s">
        <v>36</v>
      </c>
      <c r="B2114" s="38" t="s">
        <v>4565</v>
      </c>
      <c r="C2114" s="38" t="s">
        <v>4602</v>
      </c>
      <c r="D2114" s="190" t="s">
        <v>4603</v>
      </c>
      <c r="E2114" s="38" t="s">
        <v>4604</v>
      </c>
      <c r="F2114" s="38">
        <v>1935</v>
      </c>
      <c r="G2114" s="38">
        <v>1935</v>
      </c>
      <c r="H2114" s="38">
        <f t="shared" si="100"/>
        <v>1968</v>
      </c>
      <c r="I2114" s="38">
        <v>1270</v>
      </c>
      <c r="J2114" s="38">
        <v>698</v>
      </c>
      <c r="K2114" s="38">
        <v>572</v>
      </c>
      <c r="L2114" s="50">
        <f t="shared" si="101"/>
        <v>29.065040650406505</v>
      </c>
      <c r="M2114" s="38">
        <v>44</v>
      </c>
      <c r="N2114" s="50">
        <f t="shared" si="102"/>
        <v>2.2357723577235773</v>
      </c>
      <c r="O2114" s="38">
        <v>0</v>
      </c>
      <c r="P2114" s="38">
        <v>104.36</v>
      </c>
      <c r="Q2114" s="34" t="s">
        <v>43</v>
      </c>
      <c r="R2114" s="9">
        <v>44524</v>
      </c>
      <c r="S2114" s="34"/>
      <c r="T2114" s="34">
        <v>55</v>
      </c>
      <c r="U2114" s="34"/>
      <c r="V2114" s="34"/>
      <c r="W2114" s="34"/>
      <c r="X2114" s="34"/>
      <c r="Y2114" s="34"/>
      <c r="Z2114" s="109"/>
      <c r="AB2114" s="109"/>
      <c r="AC2114" s="34" t="s">
        <v>4605</v>
      </c>
      <c r="AD2114" s="34">
        <v>25.741568999999998</v>
      </c>
      <c r="AE2114" s="34">
        <v>70.976906999999997</v>
      </c>
    </row>
    <row r="2115" spans="1:31" x14ac:dyDescent="0.25">
      <c r="A2115" s="38" t="s">
        <v>36</v>
      </c>
      <c r="B2115" s="38" t="s">
        <v>4565</v>
      </c>
      <c r="C2115" s="38" t="s">
        <v>4602</v>
      </c>
      <c r="D2115" s="190" t="s">
        <v>4606</v>
      </c>
      <c r="E2115" s="38" t="s">
        <v>4607</v>
      </c>
      <c r="F2115" s="38">
        <v>1150.45</v>
      </c>
      <c r="G2115" s="38">
        <v>1150.45</v>
      </c>
      <c r="H2115" s="38">
        <f t="shared" si="100"/>
        <v>541</v>
      </c>
      <c r="I2115" s="38">
        <v>342</v>
      </c>
      <c r="J2115" s="38">
        <v>199</v>
      </c>
      <c r="K2115" s="38">
        <v>143</v>
      </c>
      <c r="L2115" s="50">
        <f t="shared" si="101"/>
        <v>26.432532347504623</v>
      </c>
      <c r="M2115" s="38">
        <v>0</v>
      </c>
      <c r="N2115" s="50">
        <f t="shared" si="102"/>
        <v>0</v>
      </c>
      <c r="O2115" s="38">
        <v>0</v>
      </c>
      <c r="P2115" s="38">
        <v>280.10000000000002</v>
      </c>
      <c r="Q2115" s="34" t="s">
        <v>43</v>
      </c>
      <c r="R2115" s="9">
        <v>44524</v>
      </c>
      <c r="S2115" s="34"/>
      <c r="T2115" s="34">
        <v>280</v>
      </c>
      <c r="U2115" s="34"/>
      <c r="V2115" s="34"/>
      <c r="W2115" s="34"/>
      <c r="X2115" s="34"/>
      <c r="Y2115" s="34"/>
      <c r="Z2115" s="109"/>
      <c r="AB2115" s="109"/>
      <c r="AC2115" s="34" t="s">
        <v>4608</v>
      </c>
      <c r="AD2115" s="34">
        <v>25.715515</v>
      </c>
      <c r="AE2115" s="34">
        <v>70.959316999999999</v>
      </c>
    </row>
    <row r="2116" spans="1:31" x14ac:dyDescent="0.25">
      <c r="A2116" s="38" t="s">
        <v>36</v>
      </c>
      <c r="B2116" s="38" t="s">
        <v>4565</v>
      </c>
      <c r="C2116" s="38" t="s">
        <v>4602</v>
      </c>
      <c r="D2116" s="190" t="s">
        <v>4609</v>
      </c>
      <c r="E2116" s="38" t="s">
        <v>4610</v>
      </c>
      <c r="F2116" s="38">
        <v>604.95000000000005</v>
      </c>
      <c r="G2116" s="38">
        <v>604.95000000000005</v>
      </c>
      <c r="H2116" s="38">
        <f t="shared" si="100"/>
        <v>341</v>
      </c>
      <c r="I2116" s="38">
        <v>226</v>
      </c>
      <c r="J2116" s="38">
        <v>115</v>
      </c>
      <c r="K2116" s="38">
        <v>111</v>
      </c>
      <c r="L2116" s="50">
        <f t="shared" si="101"/>
        <v>32.551319648093838</v>
      </c>
      <c r="M2116" s="38">
        <v>44</v>
      </c>
      <c r="N2116" s="50">
        <f t="shared" si="102"/>
        <v>12.903225806451612</v>
      </c>
      <c r="O2116" s="38">
        <v>0</v>
      </c>
      <c r="P2116" s="38">
        <v>8.74</v>
      </c>
      <c r="Q2116" s="99" t="s">
        <v>43</v>
      </c>
      <c r="R2116" s="8">
        <v>44524</v>
      </c>
      <c r="S2116" s="61"/>
      <c r="T2116" s="20">
        <v>9</v>
      </c>
      <c r="U2116" s="99"/>
      <c r="V2116" s="99"/>
      <c r="W2116" s="99"/>
      <c r="X2116" s="99"/>
      <c r="Y2116" s="99"/>
      <c r="Z2116" s="20"/>
      <c r="AB2116" s="20"/>
      <c r="AC2116" s="51" t="s">
        <v>4609</v>
      </c>
      <c r="AD2116" s="61"/>
      <c r="AE2116" s="61"/>
    </row>
    <row r="2117" spans="1:31" x14ac:dyDescent="0.25">
      <c r="A2117" s="38" t="s">
        <v>36</v>
      </c>
      <c r="B2117" s="38" t="s">
        <v>4565</v>
      </c>
      <c r="C2117" s="38" t="s">
        <v>4602</v>
      </c>
      <c r="D2117" s="190" t="s">
        <v>4611</v>
      </c>
      <c r="E2117" s="38" t="s">
        <v>4612</v>
      </c>
      <c r="F2117" s="38">
        <v>1402.69</v>
      </c>
      <c r="G2117" s="38">
        <v>1402.69</v>
      </c>
      <c r="H2117" s="38">
        <f t="shared" ref="H2117:H2180" si="103">I2117+J2117</f>
        <v>1206</v>
      </c>
      <c r="I2117" s="38">
        <v>791</v>
      </c>
      <c r="J2117" s="38">
        <v>415</v>
      </c>
      <c r="K2117" s="38">
        <v>376</v>
      </c>
      <c r="L2117" s="50">
        <f t="shared" si="101"/>
        <v>31.177446102819239</v>
      </c>
      <c r="M2117" s="38">
        <v>52</v>
      </c>
      <c r="N2117" s="50">
        <f t="shared" si="102"/>
        <v>4.3117744610281923</v>
      </c>
      <c r="O2117" s="38">
        <v>0</v>
      </c>
      <c r="P2117" s="38">
        <v>9.64</v>
      </c>
      <c r="Q2117" s="99" t="s">
        <v>43</v>
      </c>
      <c r="R2117" s="8">
        <v>44524</v>
      </c>
      <c r="S2117" s="61"/>
      <c r="T2117" s="20">
        <v>10</v>
      </c>
      <c r="U2117" s="99"/>
      <c r="V2117" s="99"/>
      <c r="W2117" s="99"/>
      <c r="X2117" s="99"/>
      <c r="Y2117" s="99"/>
      <c r="Z2117" s="20"/>
      <c r="AB2117" s="20"/>
      <c r="AC2117" s="51" t="s">
        <v>4613</v>
      </c>
      <c r="AD2117" s="61"/>
      <c r="AE2117" s="61"/>
    </row>
    <row r="2118" spans="1:31" x14ac:dyDescent="0.25">
      <c r="A2118" s="38" t="s">
        <v>36</v>
      </c>
      <c r="B2118" s="38" t="s">
        <v>4565</v>
      </c>
      <c r="C2118" s="38" t="s">
        <v>4614</v>
      </c>
      <c r="D2118" s="190" t="s">
        <v>4615</v>
      </c>
      <c r="E2118" s="38" t="s">
        <v>4616</v>
      </c>
      <c r="F2118" s="38">
        <v>756</v>
      </c>
      <c r="G2118" s="38">
        <v>756</v>
      </c>
      <c r="H2118" s="38">
        <f t="shared" si="103"/>
        <v>566</v>
      </c>
      <c r="I2118" s="38">
        <v>383</v>
      </c>
      <c r="J2118" s="38">
        <v>183</v>
      </c>
      <c r="K2118" s="38">
        <v>200</v>
      </c>
      <c r="L2118" s="50">
        <f t="shared" ref="L2118:L2181" si="104">K2118/H2118*100</f>
        <v>35.335689045936398</v>
      </c>
      <c r="M2118" s="38">
        <v>19</v>
      </c>
      <c r="N2118" s="50">
        <f t="shared" si="102"/>
        <v>3.3568904593639579</v>
      </c>
      <c r="O2118" s="38">
        <v>0</v>
      </c>
      <c r="P2118" s="38">
        <v>0</v>
      </c>
      <c r="Q2118" s="99" t="s">
        <v>43</v>
      </c>
      <c r="R2118" s="17">
        <v>44530</v>
      </c>
      <c r="S2118" s="61"/>
      <c r="T2118" s="20">
        <v>60</v>
      </c>
      <c r="U2118" s="99"/>
      <c r="V2118" s="99"/>
      <c r="W2118" s="99"/>
      <c r="X2118" s="99"/>
      <c r="Y2118" s="99"/>
      <c r="Z2118" s="20"/>
      <c r="AB2118" s="20"/>
      <c r="AC2118" s="38" t="s">
        <v>4615</v>
      </c>
      <c r="AD2118" s="61"/>
      <c r="AE2118" s="61"/>
    </row>
    <row r="2119" spans="1:31" x14ac:dyDescent="0.25">
      <c r="A2119" s="38" t="s">
        <v>36</v>
      </c>
      <c r="B2119" s="38" t="s">
        <v>4565</v>
      </c>
      <c r="C2119" s="38" t="s">
        <v>4614</v>
      </c>
      <c r="D2119" s="190" t="s">
        <v>4617</v>
      </c>
      <c r="E2119" s="38" t="s">
        <v>4618</v>
      </c>
      <c r="F2119" s="38">
        <v>332</v>
      </c>
      <c r="G2119" s="38">
        <v>332</v>
      </c>
      <c r="H2119" s="38">
        <f t="shared" si="103"/>
        <v>260</v>
      </c>
      <c r="I2119" s="38">
        <v>169</v>
      </c>
      <c r="J2119" s="38">
        <v>91</v>
      </c>
      <c r="K2119" s="38">
        <v>78</v>
      </c>
      <c r="L2119" s="50">
        <f t="shared" si="104"/>
        <v>30</v>
      </c>
      <c r="M2119" s="38">
        <v>0</v>
      </c>
      <c r="N2119" s="50">
        <f t="shared" si="102"/>
        <v>0</v>
      </c>
      <c r="O2119" s="38">
        <v>23</v>
      </c>
      <c r="P2119" s="38">
        <v>0</v>
      </c>
      <c r="Q2119" s="99" t="s">
        <v>43</v>
      </c>
      <c r="R2119" s="17">
        <v>44530</v>
      </c>
      <c r="S2119" s="61"/>
      <c r="T2119" s="20">
        <v>19.420000000000002</v>
      </c>
      <c r="U2119" s="99"/>
      <c r="V2119" s="99"/>
      <c r="W2119" s="99"/>
      <c r="X2119" s="99"/>
      <c r="Y2119" s="99"/>
      <c r="Z2119" s="20"/>
      <c r="AB2119" s="20"/>
      <c r="AC2119" s="38" t="s">
        <v>4617</v>
      </c>
      <c r="AD2119" s="61"/>
      <c r="AE2119" s="61"/>
    </row>
    <row r="2120" spans="1:31" x14ac:dyDescent="0.25">
      <c r="A2120" s="38" t="s">
        <v>36</v>
      </c>
      <c r="B2120" s="38" t="s">
        <v>4565</v>
      </c>
      <c r="C2120" s="38" t="s">
        <v>4614</v>
      </c>
      <c r="D2120" s="190" t="s">
        <v>4619</v>
      </c>
      <c r="E2120" s="38" t="s">
        <v>4620</v>
      </c>
      <c r="F2120" s="38">
        <v>390</v>
      </c>
      <c r="G2120" s="38">
        <v>390</v>
      </c>
      <c r="H2120" s="38">
        <f t="shared" si="103"/>
        <v>431</v>
      </c>
      <c r="I2120" s="38">
        <v>284</v>
      </c>
      <c r="J2120" s="38">
        <v>147</v>
      </c>
      <c r="K2120" s="38">
        <v>137</v>
      </c>
      <c r="L2120" s="50">
        <f t="shared" si="104"/>
        <v>31.786542923433874</v>
      </c>
      <c r="M2120" s="38">
        <v>0</v>
      </c>
      <c r="N2120" s="50">
        <f t="shared" si="102"/>
        <v>0</v>
      </c>
      <c r="O2120" s="38">
        <v>0</v>
      </c>
      <c r="P2120" s="38">
        <v>0</v>
      </c>
      <c r="Q2120" s="61" t="s">
        <v>43</v>
      </c>
      <c r="R2120" s="17">
        <v>44530</v>
      </c>
      <c r="S2120" s="61"/>
      <c r="T2120" s="20">
        <v>0</v>
      </c>
      <c r="U2120" s="61"/>
      <c r="V2120" s="61"/>
      <c r="W2120" s="61"/>
      <c r="X2120" s="61"/>
      <c r="Y2120" s="61"/>
      <c r="Z2120" s="20"/>
      <c r="AB2120" s="20"/>
      <c r="AC2120" s="38" t="s">
        <v>4619</v>
      </c>
      <c r="AD2120" s="61">
        <v>0</v>
      </c>
      <c r="AE2120" s="61"/>
    </row>
    <row r="2121" spans="1:31" x14ac:dyDescent="0.25">
      <c r="A2121" s="38" t="s">
        <v>36</v>
      </c>
      <c r="B2121" s="38" t="s">
        <v>4565</v>
      </c>
      <c r="C2121" s="38" t="s">
        <v>4614</v>
      </c>
      <c r="D2121" s="190" t="s">
        <v>4621</v>
      </c>
      <c r="E2121" s="38" t="s">
        <v>4622</v>
      </c>
      <c r="F2121" s="38">
        <v>685</v>
      </c>
      <c r="G2121" s="38">
        <v>685</v>
      </c>
      <c r="H2121" s="38">
        <f t="shared" si="103"/>
        <v>791</v>
      </c>
      <c r="I2121" s="38">
        <v>523</v>
      </c>
      <c r="J2121" s="38">
        <v>268</v>
      </c>
      <c r="K2121" s="38">
        <v>255</v>
      </c>
      <c r="L2121" s="50">
        <f t="shared" si="104"/>
        <v>32.237673830594183</v>
      </c>
      <c r="M2121" s="38">
        <v>0</v>
      </c>
      <c r="N2121" s="50">
        <f t="shared" si="102"/>
        <v>0</v>
      </c>
      <c r="O2121" s="38">
        <v>0</v>
      </c>
      <c r="P2121" s="38">
        <v>0</v>
      </c>
      <c r="Q2121" s="99" t="s">
        <v>43</v>
      </c>
      <c r="R2121" s="17">
        <v>44530</v>
      </c>
      <c r="S2121" s="61"/>
      <c r="T2121" s="20">
        <v>21.4</v>
      </c>
      <c r="U2121" s="99"/>
      <c r="V2121" s="99"/>
      <c r="W2121" s="99"/>
      <c r="X2121" s="99"/>
      <c r="Y2121" s="99"/>
      <c r="Z2121" s="20"/>
      <c r="AB2121" s="20"/>
      <c r="AC2121" s="38" t="s">
        <v>4621</v>
      </c>
      <c r="AD2121" s="61"/>
      <c r="AE2121" s="61"/>
    </row>
    <row r="2122" spans="1:31" x14ac:dyDescent="0.25">
      <c r="A2122" s="38" t="s">
        <v>36</v>
      </c>
      <c r="B2122" s="38" t="s">
        <v>4565</v>
      </c>
      <c r="C2122" s="38" t="s">
        <v>4614</v>
      </c>
      <c r="D2122" s="190" t="s">
        <v>4623</v>
      </c>
      <c r="E2122" s="38" t="s">
        <v>4624</v>
      </c>
      <c r="F2122" s="38">
        <v>1003</v>
      </c>
      <c r="G2122" s="38">
        <v>1003</v>
      </c>
      <c r="H2122" s="38">
        <f t="shared" si="103"/>
        <v>1714</v>
      </c>
      <c r="I2122" s="38">
        <v>1137</v>
      </c>
      <c r="J2122" s="38">
        <v>577</v>
      </c>
      <c r="K2122" s="38">
        <v>560</v>
      </c>
      <c r="L2122" s="50">
        <f t="shared" si="104"/>
        <v>32.672112018669779</v>
      </c>
      <c r="M2122" s="38">
        <v>163</v>
      </c>
      <c r="N2122" s="50">
        <f t="shared" si="102"/>
        <v>9.5099183197199544</v>
      </c>
      <c r="O2122" s="38">
        <v>0</v>
      </c>
      <c r="P2122" s="38">
        <v>0</v>
      </c>
      <c r="Q2122" s="99" t="s">
        <v>43</v>
      </c>
      <c r="R2122" s="17">
        <v>44530</v>
      </c>
      <c r="S2122" s="61"/>
      <c r="T2122" s="20">
        <v>26</v>
      </c>
      <c r="U2122" s="99"/>
      <c r="V2122" s="99"/>
      <c r="W2122" s="99"/>
      <c r="X2122" s="99"/>
      <c r="Y2122" s="99"/>
      <c r="Z2122" s="20"/>
      <c r="AB2122" s="20"/>
      <c r="AC2122" s="38" t="s">
        <v>4623</v>
      </c>
      <c r="AD2122" s="61"/>
      <c r="AE2122" s="61"/>
    </row>
    <row r="2123" spans="1:31" x14ac:dyDescent="0.25">
      <c r="A2123" s="38" t="s">
        <v>36</v>
      </c>
      <c r="B2123" s="38" t="s">
        <v>4565</v>
      </c>
      <c r="C2123" s="38" t="s">
        <v>4625</v>
      </c>
      <c r="D2123" s="190" t="s">
        <v>4626</v>
      </c>
      <c r="E2123" s="38" t="s">
        <v>4627</v>
      </c>
      <c r="F2123" s="38">
        <v>2498.5500000000002</v>
      </c>
      <c r="G2123" s="38">
        <v>2498.5500000000002</v>
      </c>
      <c r="H2123" s="38">
        <f t="shared" si="103"/>
        <v>1915</v>
      </c>
      <c r="I2123" s="38">
        <v>1262</v>
      </c>
      <c r="J2123" s="38">
        <v>653</v>
      </c>
      <c r="K2123" s="38">
        <v>609</v>
      </c>
      <c r="L2123" s="50">
        <f t="shared" si="104"/>
        <v>31.801566579634468</v>
      </c>
      <c r="M2123" s="38">
        <v>438</v>
      </c>
      <c r="N2123" s="50">
        <f t="shared" si="102"/>
        <v>22.872062663185378</v>
      </c>
      <c r="O2123" s="38">
        <v>0</v>
      </c>
      <c r="P2123" s="38">
        <v>163.04</v>
      </c>
      <c r="Q2123" s="34" t="s">
        <v>43</v>
      </c>
      <c r="R2123" s="88">
        <v>44529</v>
      </c>
      <c r="S2123" s="34"/>
      <c r="T2123" s="89">
        <v>163</v>
      </c>
      <c r="U2123" s="34"/>
      <c r="V2123" s="34"/>
      <c r="W2123" s="34"/>
      <c r="X2123" s="34"/>
      <c r="Y2123" s="34"/>
      <c r="Z2123" s="89"/>
      <c r="AB2123" s="89"/>
      <c r="AC2123" s="34" t="s">
        <v>4628</v>
      </c>
      <c r="AD2123" s="34">
        <v>25.773775000000001</v>
      </c>
      <c r="AE2123" s="34">
        <v>70.722019000000003</v>
      </c>
    </row>
    <row r="2124" spans="1:31" x14ac:dyDescent="0.25">
      <c r="A2124" s="38" t="s">
        <v>36</v>
      </c>
      <c r="B2124" s="38" t="s">
        <v>4565</v>
      </c>
      <c r="C2124" s="38" t="s">
        <v>4625</v>
      </c>
      <c r="D2124" s="190" t="s">
        <v>4629</v>
      </c>
      <c r="E2124" s="38" t="s">
        <v>4630</v>
      </c>
      <c r="F2124" s="38">
        <v>2026.91</v>
      </c>
      <c r="G2124" s="38">
        <v>2026.91</v>
      </c>
      <c r="H2124" s="38">
        <f t="shared" si="103"/>
        <v>981</v>
      </c>
      <c r="I2124" s="38">
        <v>656</v>
      </c>
      <c r="J2124" s="38">
        <v>325</v>
      </c>
      <c r="K2124" s="38">
        <v>331</v>
      </c>
      <c r="L2124" s="50">
        <f t="shared" si="104"/>
        <v>33.741080530071358</v>
      </c>
      <c r="M2124" s="38">
        <v>47</v>
      </c>
      <c r="N2124" s="50">
        <f t="shared" si="102"/>
        <v>4.7910295616717633</v>
      </c>
      <c r="O2124" s="38">
        <v>0</v>
      </c>
      <c r="P2124" s="38">
        <v>221.66</v>
      </c>
      <c r="Q2124" s="34" t="s">
        <v>43</v>
      </c>
      <c r="R2124" s="88">
        <v>44529</v>
      </c>
      <c r="S2124" s="34"/>
      <c r="T2124" s="89">
        <v>222</v>
      </c>
      <c r="U2124" s="34"/>
      <c r="V2124" s="34"/>
      <c r="W2124" s="34"/>
      <c r="X2124" s="34"/>
      <c r="Y2124" s="34"/>
      <c r="Z2124" s="89"/>
      <c r="AB2124" s="89"/>
      <c r="AC2124" s="34" t="s">
        <v>4631</v>
      </c>
      <c r="AD2124" s="34">
        <v>25.773775000000001</v>
      </c>
      <c r="AE2124" s="34">
        <v>70.722019000000003</v>
      </c>
    </row>
    <row r="2125" spans="1:31" x14ac:dyDescent="0.25">
      <c r="A2125" s="38" t="s">
        <v>36</v>
      </c>
      <c r="B2125" s="38" t="s">
        <v>4565</v>
      </c>
      <c r="C2125" s="38" t="s">
        <v>4625</v>
      </c>
      <c r="D2125" s="190" t="s">
        <v>4632</v>
      </c>
      <c r="E2125" s="38" t="s">
        <v>4633</v>
      </c>
      <c r="F2125" s="38">
        <v>1782.4</v>
      </c>
      <c r="G2125" s="38">
        <v>1782.4</v>
      </c>
      <c r="H2125" s="38">
        <f t="shared" si="103"/>
        <v>1521</v>
      </c>
      <c r="I2125" s="38">
        <v>1003</v>
      </c>
      <c r="J2125" s="38">
        <v>518</v>
      </c>
      <c r="K2125" s="38">
        <v>485</v>
      </c>
      <c r="L2125" s="50">
        <f t="shared" si="104"/>
        <v>31.886916502301116</v>
      </c>
      <c r="M2125" s="38">
        <v>25</v>
      </c>
      <c r="N2125" s="50">
        <f t="shared" si="102"/>
        <v>1.6436554898093358</v>
      </c>
      <c r="O2125" s="38">
        <v>0</v>
      </c>
      <c r="P2125" s="38">
        <v>348.75</v>
      </c>
      <c r="Q2125" s="34" t="s">
        <v>43</v>
      </c>
      <c r="R2125" s="88">
        <v>44529</v>
      </c>
      <c r="S2125" s="34"/>
      <c r="T2125" s="89">
        <v>349</v>
      </c>
      <c r="U2125" s="34"/>
      <c r="V2125" s="34"/>
      <c r="W2125" s="34"/>
      <c r="X2125" s="34"/>
      <c r="Y2125" s="34"/>
      <c r="Z2125" s="89"/>
      <c r="AB2125" s="89"/>
      <c r="AC2125" s="34" t="s">
        <v>4634</v>
      </c>
      <c r="AD2125" s="34">
        <v>25.764164000000001</v>
      </c>
      <c r="AE2125" s="34">
        <v>70.726834999999994</v>
      </c>
    </row>
    <row r="2126" spans="1:31" x14ac:dyDescent="0.25">
      <c r="A2126" s="38" t="s">
        <v>36</v>
      </c>
      <c r="B2126" s="38" t="s">
        <v>4565</v>
      </c>
      <c r="C2126" s="38" t="s">
        <v>4635</v>
      </c>
      <c r="D2126" s="190" t="s">
        <v>4636</v>
      </c>
      <c r="E2126" s="38" t="s">
        <v>4637</v>
      </c>
      <c r="F2126" s="11">
        <v>1086</v>
      </c>
      <c r="G2126" s="11">
        <v>1086</v>
      </c>
      <c r="H2126" s="38">
        <f t="shared" si="103"/>
        <v>640</v>
      </c>
      <c r="I2126" s="11">
        <v>417</v>
      </c>
      <c r="J2126" s="11">
        <v>223</v>
      </c>
      <c r="K2126" s="11">
        <v>194</v>
      </c>
      <c r="L2126" s="50">
        <f t="shared" si="104"/>
        <v>30.312499999999996</v>
      </c>
      <c r="M2126" s="11">
        <v>46</v>
      </c>
      <c r="N2126" s="50">
        <f t="shared" si="102"/>
        <v>7.1874999999999991</v>
      </c>
      <c r="O2126" s="38">
        <v>0</v>
      </c>
      <c r="P2126" s="38">
        <v>375</v>
      </c>
      <c r="Q2126" s="34" t="s">
        <v>43</v>
      </c>
      <c r="R2126" s="88">
        <v>44544</v>
      </c>
      <c r="S2126" s="34"/>
      <c r="T2126" s="89">
        <v>375</v>
      </c>
      <c r="U2126" s="34"/>
      <c r="V2126" s="34"/>
      <c r="W2126" s="34"/>
      <c r="X2126" s="34"/>
      <c r="Y2126" s="34"/>
      <c r="Z2126" s="89"/>
      <c r="AB2126" s="89"/>
      <c r="AC2126" s="34" t="s">
        <v>4638</v>
      </c>
      <c r="AD2126" s="34">
        <v>25.629398999999999</v>
      </c>
      <c r="AE2126" s="34">
        <v>70.935280000000006</v>
      </c>
    </row>
    <row r="2127" spans="1:31" x14ac:dyDescent="0.25">
      <c r="A2127" s="38" t="s">
        <v>36</v>
      </c>
      <c r="B2127" s="38" t="s">
        <v>4565</v>
      </c>
      <c r="C2127" s="38" t="s">
        <v>4635</v>
      </c>
      <c r="D2127" s="190" t="s">
        <v>4639</v>
      </c>
      <c r="E2127" s="38" t="s">
        <v>4640</v>
      </c>
      <c r="F2127" s="38">
        <v>1476</v>
      </c>
      <c r="G2127" s="38">
        <v>1476</v>
      </c>
      <c r="H2127" s="38">
        <f t="shared" si="103"/>
        <v>1002</v>
      </c>
      <c r="I2127" s="38">
        <v>665</v>
      </c>
      <c r="J2127" s="38">
        <v>337</v>
      </c>
      <c r="K2127" s="38">
        <v>328</v>
      </c>
      <c r="L2127" s="50">
        <f t="shared" si="104"/>
        <v>32.734530938123754</v>
      </c>
      <c r="M2127" s="38">
        <v>0</v>
      </c>
      <c r="N2127" s="50">
        <f t="shared" si="102"/>
        <v>0</v>
      </c>
      <c r="O2127" s="38">
        <v>0</v>
      </c>
      <c r="P2127" s="38">
        <v>86</v>
      </c>
      <c r="Q2127" s="99" t="s">
        <v>43</v>
      </c>
      <c r="R2127" s="8">
        <v>44535</v>
      </c>
      <c r="S2127" s="61"/>
      <c r="T2127" s="20">
        <v>80</v>
      </c>
      <c r="U2127" s="99"/>
      <c r="V2127" s="99"/>
      <c r="W2127" s="99"/>
      <c r="X2127" s="99"/>
      <c r="Y2127" s="99"/>
      <c r="Z2127" s="20"/>
      <c r="AB2127" s="20"/>
      <c r="AC2127" s="38" t="s">
        <v>4639</v>
      </c>
      <c r="AD2127" s="61"/>
      <c r="AE2127" s="61"/>
    </row>
    <row r="2128" spans="1:31" x14ac:dyDescent="0.25">
      <c r="A2128" s="38" t="s">
        <v>36</v>
      </c>
      <c r="B2128" s="38" t="s">
        <v>4565</v>
      </c>
      <c r="C2128" s="38" t="s">
        <v>4635</v>
      </c>
      <c r="D2128" s="190" t="s">
        <v>4641</v>
      </c>
      <c r="E2128" s="38" t="s">
        <v>4642</v>
      </c>
      <c r="F2128" s="38">
        <v>1086</v>
      </c>
      <c r="G2128" s="38">
        <v>1086</v>
      </c>
      <c r="H2128" s="38">
        <f t="shared" si="103"/>
        <v>1734</v>
      </c>
      <c r="I2128" s="38">
        <v>1120</v>
      </c>
      <c r="J2128" s="38">
        <v>614</v>
      </c>
      <c r="K2128" s="38">
        <v>506</v>
      </c>
      <c r="L2128" s="50">
        <f t="shared" si="104"/>
        <v>29.181084198385239</v>
      </c>
      <c r="M2128" s="38">
        <v>87</v>
      </c>
      <c r="N2128" s="50">
        <f t="shared" si="102"/>
        <v>5.0173010380622838</v>
      </c>
      <c r="O2128" s="38">
        <v>0</v>
      </c>
      <c r="P2128" s="38">
        <v>62</v>
      </c>
      <c r="Q2128" s="99" t="s">
        <v>43</v>
      </c>
      <c r="R2128" s="8">
        <v>44535</v>
      </c>
      <c r="S2128" s="61"/>
      <c r="T2128" s="20">
        <v>60</v>
      </c>
      <c r="U2128" s="99"/>
      <c r="V2128" s="99"/>
      <c r="W2128" s="99"/>
      <c r="X2128" s="99"/>
      <c r="Y2128" s="99"/>
      <c r="Z2128" s="20"/>
      <c r="AB2128" s="20"/>
      <c r="AC2128" s="38" t="s">
        <v>4641</v>
      </c>
      <c r="AD2128" s="61"/>
      <c r="AE2128" s="61"/>
    </row>
    <row r="2129" spans="1:31" x14ac:dyDescent="0.25">
      <c r="A2129" s="38" t="s">
        <v>36</v>
      </c>
      <c r="B2129" s="38" t="s">
        <v>4565</v>
      </c>
      <c r="C2129" s="38" t="s">
        <v>4635</v>
      </c>
      <c r="D2129" s="190" t="s">
        <v>4643</v>
      </c>
      <c r="E2129" s="38" t="s">
        <v>4644</v>
      </c>
      <c r="F2129" s="38">
        <v>839</v>
      </c>
      <c r="G2129" s="38">
        <v>839</v>
      </c>
      <c r="H2129" s="38">
        <f t="shared" si="103"/>
        <v>748</v>
      </c>
      <c r="I2129" s="38">
        <v>495</v>
      </c>
      <c r="J2129" s="38">
        <v>253</v>
      </c>
      <c r="K2129" s="38">
        <v>242</v>
      </c>
      <c r="L2129" s="50">
        <f t="shared" si="104"/>
        <v>32.352941176470587</v>
      </c>
      <c r="M2129" s="38">
        <v>38</v>
      </c>
      <c r="N2129" s="50">
        <f t="shared" si="102"/>
        <v>5.0802139037433154</v>
      </c>
      <c r="O2129" s="38">
        <v>0</v>
      </c>
      <c r="P2129" s="38">
        <v>217</v>
      </c>
      <c r="Q2129" s="34" t="s">
        <v>43</v>
      </c>
      <c r="R2129" s="88">
        <v>44544</v>
      </c>
      <c r="S2129" s="34"/>
      <c r="T2129" s="89">
        <v>217</v>
      </c>
      <c r="U2129" s="34"/>
      <c r="V2129" s="34"/>
      <c r="W2129" s="34"/>
      <c r="X2129" s="34"/>
      <c r="Y2129" s="34"/>
      <c r="Z2129" s="89"/>
      <c r="AB2129" s="89"/>
      <c r="AC2129" s="34" t="s">
        <v>4645</v>
      </c>
      <c r="AD2129" s="34">
        <v>25.728819999999999</v>
      </c>
      <c r="AE2129" s="34">
        <v>70.898261000000005</v>
      </c>
    </row>
    <row r="2130" spans="1:31" x14ac:dyDescent="0.25">
      <c r="A2130" s="38" t="s">
        <v>36</v>
      </c>
      <c r="B2130" s="38" t="s">
        <v>4565</v>
      </c>
      <c r="C2130" s="38" t="s">
        <v>4635</v>
      </c>
      <c r="D2130" s="190" t="s">
        <v>4646</v>
      </c>
      <c r="E2130" s="38" t="s">
        <v>4647</v>
      </c>
      <c r="F2130" s="38">
        <v>903</v>
      </c>
      <c r="G2130" s="38">
        <v>903</v>
      </c>
      <c r="H2130" s="38">
        <f t="shared" si="103"/>
        <v>542</v>
      </c>
      <c r="I2130" s="38">
        <v>354</v>
      </c>
      <c r="J2130" s="38">
        <v>188</v>
      </c>
      <c r="K2130" s="38">
        <v>166</v>
      </c>
      <c r="L2130" s="50">
        <f t="shared" si="104"/>
        <v>30.627306273062732</v>
      </c>
      <c r="M2130" s="38">
        <v>1</v>
      </c>
      <c r="N2130" s="50">
        <f t="shared" si="102"/>
        <v>0.18450184501845018</v>
      </c>
      <c r="O2130" s="38">
        <v>0</v>
      </c>
      <c r="P2130" s="38">
        <v>36</v>
      </c>
      <c r="Q2130" s="99" t="s">
        <v>43</v>
      </c>
      <c r="R2130" s="8">
        <v>44535</v>
      </c>
      <c r="S2130" s="61"/>
      <c r="T2130" s="20">
        <v>35</v>
      </c>
      <c r="U2130" s="99"/>
      <c r="V2130" s="99"/>
      <c r="W2130" s="99"/>
      <c r="X2130" s="99"/>
      <c r="Y2130" s="99"/>
      <c r="Z2130" s="20"/>
      <c r="AB2130" s="20"/>
      <c r="AC2130" s="38" t="s">
        <v>4646</v>
      </c>
      <c r="AD2130" s="61"/>
      <c r="AE2130" s="61"/>
    </row>
    <row r="2131" spans="1:31" x14ac:dyDescent="0.25">
      <c r="A2131" s="38" t="s">
        <v>36</v>
      </c>
      <c r="B2131" s="38" t="s">
        <v>4565</v>
      </c>
      <c r="C2131" s="38" t="s">
        <v>4635</v>
      </c>
      <c r="D2131" s="190" t="s">
        <v>4648</v>
      </c>
      <c r="E2131" s="38" t="s">
        <v>4649</v>
      </c>
      <c r="F2131" s="38">
        <v>1998</v>
      </c>
      <c r="G2131" s="38">
        <v>1998</v>
      </c>
      <c r="H2131" s="38">
        <f t="shared" si="103"/>
        <v>2171</v>
      </c>
      <c r="I2131" s="38">
        <v>1426</v>
      </c>
      <c r="J2131" s="38">
        <v>745</v>
      </c>
      <c r="K2131" s="38">
        <v>681</v>
      </c>
      <c r="L2131" s="50">
        <f t="shared" si="104"/>
        <v>31.368033164440352</v>
      </c>
      <c r="M2131" s="38">
        <v>10</v>
      </c>
      <c r="N2131" s="50">
        <f t="shared" si="102"/>
        <v>0.46061722708429292</v>
      </c>
      <c r="O2131" s="38">
        <v>0</v>
      </c>
      <c r="P2131" s="38">
        <v>185</v>
      </c>
      <c r="Q2131" s="99" t="s">
        <v>43</v>
      </c>
      <c r="R2131" s="8">
        <v>44535</v>
      </c>
      <c r="S2131" s="61"/>
      <c r="T2131" s="20">
        <v>182</v>
      </c>
      <c r="U2131" s="99"/>
      <c r="V2131" s="99"/>
      <c r="W2131" s="99"/>
      <c r="X2131" s="99"/>
      <c r="Y2131" s="99"/>
      <c r="Z2131" s="20"/>
      <c r="AB2131" s="20"/>
      <c r="AC2131" s="38" t="s">
        <v>4648</v>
      </c>
      <c r="AD2131" s="61"/>
      <c r="AE2131" s="61"/>
    </row>
    <row r="2132" spans="1:31" x14ac:dyDescent="0.25">
      <c r="A2132" s="38" t="s">
        <v>36</v>
      </c>
      <c r="B2132" s="38" t="s">
        <v>4565</v>
      </c>
      <c r="C2132" s="38" t="s">
        <v>4650</v>
      </c>
      <c r="D2132" s="190" t="s">
        <v>4651</v>
      </c>
      <c r="E2132" s="38" t="s">
        <v>4652</v>
      </c>
      <c r="F2132" s="38">
        <v>745</v>
      </c>
      <c r="G2132" s="38">
        <v>745</v>
      </c>
      <c r="H2132" s="38">
        <f t="shared" si="103"/>
        <v>1387</v>
      </c>
      <c r="I2132" s="38">
        <v>890</v>
      </c>
      <c r="J2132" s="38">
        <v>497</v>
      </c>
      <c r="K2132" s="38">
        <v>393</v>
      </c>
      <c r="L2132" s="50">
        <f t="shared" si="104"/>
        <v>28.334534967555875</v>
      </c>
      <c r="M2132" s="38">
        <v>0</v>
      </c>
      <c r="N2132" s="50">
        <f t="shared" si="102"/>
        <v>0</v>
      </c>
      <c r="O2132" s="38">
        <v>0</v>
      </c>
      <c r="P2132" s="38">
        <v>0</v>
      </c>
      <c r="Q2132" s="34" t="s">
        <v>43</v>
      </c>
      <c r="R2132" s="9">
        <v>44533</v>
      </c>
      <c r="S2132" s="34"/>
      <c r="T2132" s="34">
        <v>33</v>
      </c>
      <c r="U2132" s="34"/>
      <c r="V2132" s="34"/>
      <c r="W2132" s="34"/>
      <c r="X2132" s="34"/>
      <c r="Y2132" s="34"/>
      <c r="Z2132" s="109"/>
      <c r="AB2132" s="109"/>
      <c r="AC2132" s="34" t="s">
        <v>4653</v>
      </c>
      <c r="AD2132" s="34">
        <v>25.614816000000001</v>
      </c>
      <c r="AE2132" s="34">
        <v>70.957798299999993</v>
      </c>
    </row>
    <row r="2133" spans="1:31" x14ac:dyDescent="0.25">
      <c r="A2133" s="38" t="s">
        <v>36</v>
      </c>
      <c r="B2133" s="41" t="s">
        <v>4565</v>
      </c>
      <c r="C2133" s="41" t="s">
        <v>4650</v>
      </c>
      <c r="D2133" s="41" t="s">
        <v>4651</v>
      </c>
      <c r="E2133" s="41" t="s">
        <v>4652</v>
      </c>
      <c r="F2133" s="41">
        <v>745</v>
      </c>
      <c r="G2133" s="41">
        <v>745</v>
      </c>
      <c r="H2133" s="38">
        <f t="shared" si="103"/>
        <v>1387</v>
      </c>
      <c r="I2133" s="41">
        <v>890</v>
      </c>
      <c r="J2133" s="41">
        <v>497</v>
      </c>
      <c r="K2133" s="41">
        <v>393</v>
      </c>
      <c r="L2133" s="50">
        <f t="shared" si="104"/>
        <v>28.334534967555875</v>
      </c>
      <c r="M2133" s="41">
        <v>0</v>
      </c>
      <c r="N2133" s="50">
        <f t="shared" si="102"/>
        <v>0</v>
      </c>
      <c r="O2133" s="41">
        <v>0</v>
      </c>
      <c r="P2133" s="41">
        <v>0</v>
      </c>
      <c r="Q2133" s="48" t="s">
        <v>43</v>
      </c>
      <c r="R2133" s="31">
        <v>44533</v>
      </c>
      <c r="S2133" s="48"/>
      <c r="T2133" s="48"/>
      <c r="U2133" s="48"/>
      <c r="V2133" s="48"/>
      <c r="W2133" s="48"/>
      <c r="X2133" s="48"/>
      <c r="Y2133" s="48"/>
      <c r="Z2133" s="80"/>
      <c r="AB2133" s="80">
        <v>10</v>
      </c>
      <c r="AC2133" s="48" t="s">
        <v>4653</v>
      </c>
      <c r="AD2133" s="48">
        <v>25.614816000000001</v>
      </c>
      <c r="AE2133" s="48">
        <v>70.957798299999993</v>
      </c>
    </row>
    <row r="2134" spans="1:31" x14ac:dyDescent="0.25">
      <c r="A2134" s="38" t="s">
        <v>36</v>
      </c>
      <c r="B2134" s="107" t="s">
        <v>4565</v>
      </c>
      <c r="C2134" s="107" t="s">
        <v>4650</v>
      </c>
      <c r="D2134" s="107" t="s">
        <v>4654</v>
      </c>
      <c r="E2134" s="107" t="s">
        <v>4655</v>
      </c>
      <c r="F2134" s="107">
        <v>687</v>
      </c>
      <c r="G2134" s="107">
        <v>687</v>
      </c>
      <c r="H2134" s="38">
        <f t="shared" si="103"/>
        <v>1070</v>
      </c>
      <c r="I2134" s="107">
        <v>709</v>
      </c>
      <c r="J2134" s="107">
        <v>361</v>
      </c>
      <c r="K2134" s="107">
        <v>348</v>
      </c>
      <c r="L2134" s="50">
        <f t="shared" si="104"/>
        <v>32.523364485981311</v>
      </c>
      <c r="M2134" s="107">
        <v>89</v>
      </c>
      <c r="N2134" s="50">
        <f t="shared" ref="N2134:N2197" si="105">M2134/H2134*100</f>
        <v>8.3177570093457938</v>
      </c>
      <c r="O2134" s="107">
        <v>0</v>
      </c>
      <c r="P2134" s="107">
        <v>7</v>
      </c>
      <c r="Q2134" s="193" t="s">
        <v>43</v>
      </c>
      <c r="R2134" s="194">
        <v>44533</v>
      </c>
      <c r="S2134" s="193"/>
      <c r="T2134" s="193"/>
      <c r="U2134" s="193"/>
      <c r="V2134" s="193"/>
      <c r="W2134" s="193"/>
      <c r="X2134" s="193"/>
      <c r="Y2134" s="193"/>
      <c r="Z2134" s="195"/>
      <c r="AB2134" s="195">
        <v>10</v>
      </c>
      <c r="AC2134" s="193" t="s">
        <v>4656</v>
      </c>
      <c r="AD2134" s="193">
        <v>25.609604999999998</v>
      </c>
      <c r="AE2134" s="193">
        <v>70.980734999999996</v>
      </c>
    </row>
    <row r="2135" spans="1:31" x14ac:dyDescent="0.25">
      <c r="A2135" s="38" t="s">
        <v>36</v>
      </c>
      <c r="B2135" s="38" t="s">
        <v>4565</v>
      </c>
      <c r="C2135" s="38" t="s">
        <v>4650</v>
      </c>
      <c r="D2135" s="190" t="s">
        <v>4654</v>
      </c>
      <c r="E2135" s="38" t="s">
        <v>4655</v>
      </c>
      <c r="F2135" s="38">
        <v>687</v>
      </c>
      <c r="G2135" s="38">
        <v>687</v>
      </c>
      <c r="H2135" s="38">
        <f t="shared" si="103"/>
        <v>1070</v>
      </c>
      <c r="I2135" s="38">
        <v>709</v>
      </c>
      <c r="J2135" s="38">
        <v>361</v>
      </c>
      <c r="K2135" s="38">
        <v>348</v>
      </c>
      <c r="L2135" s="50">
        <f t="shared" si="104"/>
        <v>32.523364485981311</v>
      </c>
      <c r="M2135" s="38">
        <v>89</v>
      </c>
      <c r="N2135" s="50">
        <f t="shared" si="105"/>
        <v>8.3177570093457938</v>
      </c>
      <c r="O2135" s="38">
        <v>0</v>
      </c>
      <c r="P2135" s="38">
        <v>7</v>
      </c>
      <c r="Q2135" s="34" t="s">
        <v>43</v>
      </c>
      <c r="R2135" s="9">
        <v>44533</v>
      </c>
      <c r="S2135" s="34"/>
      <c r="T2135" s="34">
        <v>7</v>
      </c>
      <c r="U2135" s="34"/>
      <c r="V2135" s="34"/>
      <c r="W2135" s="34"/>
      <c r="X2135" s="34"/>
      <c r="Y2135" s="34"/>
      <c r="Z2135" s="109"/>
      <c r="AB2135" s="109"/>
      <c r="AC2135" s="34" t="s">
        <v>4656</v>
      </c>
      <c r="AD2135" s="34">
        <v>25.609604999999998</v>
      </c>
      <c r="AE2135" s="34">
        <v>70.980734999999996</v>
      </c>
    </row>
    <row r="2136" spans="1:31" x14ac:dyDescent="0.25">
      <c r="A2136" s="38" t="s">
        <v>36</v>
      </c>
      <c r="B2136" s="38" t="s">
        <v>4565</v>
      </c>
      <c r="C2136" s="38" t="s">
        <v>4650</v>
      </c>
      <c r="D2136" s="190" t="s">
        <v>4657</v>
      </c>
      <c r="E2136" s="38" t="s">
        <v>4658</v>
      </c>
      <c r="F2136" s="38">
        <v>639</v>
      </c>
      <c r="G2136" s="38">
        <v>639</v>
      </c>
      <c r="H2136" s="38">
        <f t="shared" si="103"/>
        <v>710</v>
      </c>
      <c r="I2136" s="38">
        <v>473</v>
      </c>
      <c r="J2136" s="38">
        <v>237</v>
      </c>
      <c r="K2136" s="38">
        <v>236</v>
      </c>
      <c r="L2136" s="50">
        <f t="shared" si="104"/>
        <v>33.239436619718312</v>
      </c>
      <c r="M2136" s="38">
        <v>0</v>
      </c>
      <c r="N2136" s="50">
        <f t="shared" si="105"/>
        <v>0</v>
      </c>
      <c r="O2136" s="38">
        <v>0</v>
      </c>
      <c r="P2136" s="38">
        <v>18</v>
      </c>
      <c r="Q2136" s="34" t="s">
        <v>43</v>
      </c>
      <c r="R2136" s="9">
        <v>44533</v>
      </c>
      <c r="S2136" s="34"/>
      <c r="T2136" s="34">
        <v>33</v>
      </c>
      <c r="U2136" s="34"/>
      <c r="V2136" s="34"/>
      <c r="W2136" s="34"/>
      <c r="X2136" s="34"/>
      <c r="Y2136" s="34"/>
      <c r="Z2136" s="109"/>
      <c r="AB2136" s="109"/>
      <c r="AC2136" s="34" t="s">
        <v>4659</v>
      </c>
      <c r="AD2136" s="34">
        <v>25.593966999999999</v>
      </c>
      <c r="AE2136" s="34">
        <v>70.965808999999993</v>
      </c>
    </row>
    <row r="2137" spans="1:31" x14ac:dyDescent="0.25">
      <c r="A2137" s="38" t="s">
        <v>36</v>
      </c>
      <c r="B2137" s="38" t="s">
        <v>4565</v>
      </c>
      <c r="C2137" s="38" t="s">
        <v>4650</v>
      </c>
      <c r="D2137" s="190" t="s">
        <v>4660</v>
      </c>
      <c r="E2137" s="38" t="s">
        <v>4661</v>
      </c>
      <c r="F2137" s="38">
        <v>771</v>
      </c>
      <c r="G2137" s="38">
        <v>771</v>
      </c>
      <c r="H2137" s="38">
        <f t="shared" si="103"/>
        <v>767</v>
      </c>
      <c r="I2137" s="38">
        <v>506</v>
      </c>
      <c r="J2137" s="38">
        <v>261</v>
      </c>
      <c r="K2137" s="38">
        <v>245</v>
      </c>
      <c r="L2137" s="50">
        <f t="shared" si="104"/>
        <v>31.942633637548891</v>
      </c>
      <c r="M2137" s="38">
        <v>0</v>
      </c>
      <c r="N2137" s="50">
        <f t="shared" si="105"/>
        <v>0</v>
      </c>
      <c r="O2137" s="38">
        <v>0</v>
      </c>
      <c r="P2137" s="38">
        <v>17</v>
      </c>
      <c r="AC2137" s="117"/>
      <c r="AD2137" s="121"/>
    </row>
    <row r="2138" spans="1:31" x14ac:dyDescent="0.25">
      <c r="A2138" s="38" t="s">
        <v>36</v>
      </c>
      <c r="B2138" s="38" t="s">
        <v>4565</v>
      </c>
      <c r="C2138" s="38" t="s">
        <v>4650</v>
      </c>
      <c r="D2138" s="190" t="s">
        <v>2654</v>
      </c>
      <c r="E2138" s="38" t="s">
        <v>4662</v>
      </c>
      <c r="F2138" s="38">
        <v>619</v>
      </c>
      <c r="G2138" s="38">
        <v>619</v>
      </c>
      <c r="H2138" s="38">
        <f t="shared" si="103"/>
        <v>705</v>
      </c>
      <c r="I2138" s="38">
        <v>458</v>
      </c>
      <c r="J2138" s="38">
        <v>247</v>
      </c>
      <c r="K2138" s="38">
        <v>211</v>
      </c>
      <c r="L2138" s="50">
        <f t="shared" si="104"/>
        <v>29.929078014184395</v>
      </c>
      <c r="M2138" s="38">
        <v>0</v>
      </c>
      <c r="N2138" s="50">
        <f t="shared" si="105"/>
        <v>0</v>
      </c>
      <c r="O2138" s="38">
        <v>0</v>
      </c>
      <c r="P2138" s="38">
        <v>0</v>
      </c>
    </row>
    <row r="2139" spans="1:31" x14ac:dyDescent="0.25">
      <c r="A2139" s="38" t="s">
        <v>36</v>
      </c>
      <c r="B2139" s="38" t="s">
        <v>4565</v>
      </c>
      <c r="C2139" s="38" t="s">
        <v>4650</v>
      </c>
      <c r="D2139" s="190" t="s">
        <v>4663</v>
      </c>
      <c r="E2139" s="38" t="s">
        <v>4664</v>
      </c>
      <c r="F2139" s="38">
        <v>498</v>
      </c>
      <c r="G2139" s="38">
        <v>498</v>
      </c>
      <c r="H2139" s="38">
        <f t="shared" si="103"/>
        <v>548</v>
      </c>
      <c r="I2139" s="38">
        <v>361</v>
      </c>
      <c r="J2139" s="38">
        <v>187</v>
      </c>
      <c r="K2139" s="38">
        <v>174</v>
      </c>
      <c r="L2139" s="50">
        <f t="shared" si="104"/>
        <v>31.751824817518248</v>
      </c>
      <c r="M2139" s="38">
        <v>0</v>
      </c>
      <c r="N2139" s="50">
        <f t="shared" si="105"/>
        <v>0</v>
      </c>
      <c r="O2139" s="38">
        <v>0</v>
      </c>
      <c r="P2139" s="38">
        <v>0</v>
      </c>
    </row>
    <row r="2140" spans="1:31" x14ac:dyDescent="0.25">
      <c r="A2140" s="38" t="s">
        <v>36</v>
      </c>
      <c r="B2140" s="38" t="s">
        <v>4565</v>
      </c>
      <c r="C2140" s="38" t="s">
        <v>4650</v>
      </c>
      <c r="D2140" s="190" t="s">
        <v>430</v>
      </c>
      <c r="E2140" s="38" t="s">
        <v>4665</v>
      </c>
      <c r="F2140" s="38">
        <v>529</v>
      </c>
      <c r="G2140" s="38">
        <v>529</v>
      </c>
      <c r="H2140" s="38">
        <f t="shared" si="103"/>
        <v>1095</v>
      </c>
      <c r="I2140" s="38">
        <v>715</v>
      </c>
      <c r="J2140" s="38">
        <v>380</v>
      </c>
      <c r="K2140" s="38">
        <v>335</v>
      </c>
      <c r="L2140" s="50">
        <f t="shared" si="104"/>
        <v>30.593607305936072</v>
      </c>
      <c r="M2140" s="38">
        <v>0</v>
      </c>
      <c r="N2140" s="50">
        <f t="shared" si="105"/>
        <v>0</v>
      </c>
      <c r="O2140" s="38">
        <v>0</v>
      </c>
      <c r="P2140" s="38">
        <v>87</v>
      </c>
      <c r="AC2140" s="117"/>
      <c r="AD2140" s="121"/>
    </row>
    <row r="2141" spans="1:31" x14ac:dyDescent="0.25">
      <c r="A2141" s="38" t="s">
        <v>36</v>
      </c>
      <c r="B2141" s="38" t="s">
        <v>4565</v>
      </c>
      <c r="C2141" s="38" t="s">
        <v>4650</v>
      </c>
      <c r="D2141" s="190" t="s">
        <v>430</v>
      </c>
      <c r="E2141" s="38" t="s">
        <v>4665</v>
      </c>
      <c r="F2141" s="38">
        <v>529</v>
      </c>
      <c r="G2141" s="38">
        <v>529</v>
      </c>
      <c r="H2141" s="38">
        <f t="shared" si="103"/>
        <v>1095</v>
      </c>
      <c r="I2141" s="38">
        <v>715</v>
      </c>
      <c r="J2141" s="38">
        <v>380</v>
      </c>
      <c r="K2141" s="38">
        <v>335</v>
      </c>
      <c r="L2141" s="50">
        <f t="shared" si="104"/>
        <v>30.593607305936072</v>
      </c>
      <c r="M2141" s="38">
        <v>0</v>
      </c>
      <c r="N2141" s="50">
        <f t="shared" si="105"/>
        <v>0</v>
      </c>
      <c r="O2141" s="38">
        <v>0</v>
      </c>
      <c r="P2141" s="38">
        <v>87</v>
      </c>
      <c r="AC2141" s="117"/>
      <c r="AD2141" s="121"/>
    </row>
    <row r="2142" spans="1:31" x14ac:dyDescent="0.25">
      <c r="A2142" s="38" t="s">
        <v>36</v>
      </c>
      <c r="B2142" s="38" t="s">
        <v>4565</v>
      </c>
      <c r="C2142" s="38" t="s">
        <v>4666</v>
      </c>
      <c r="D2142" s="190" t="s">
        <v>4666</v>
      </c>
      <c r="E2142" s="38" t="s">
        <v>4667</v>
      </c>
      <c r="F2142" s="38">
        <v>1150</v>
      </c>
      <c r="G2142" s="38">
        <v>1150</v>
      </c>
      <c r="H2142" s="38">
        <f t="shared" si="103"/>
        <v>1327</v>
      </c>
      <c r="I2142" s="38">
        <v>878</v>
      </c>
      <c r="J2142" s="38">
        <v>449</v>
      </c>
      <c r="K2142" s="38">
        <v>429</v>
      </c>
      <c r="L2142" s="50">
        <f t="shared" si="104"/>
        <v>32.328560663149965</v>
      </c>
      <c r="M2142" s="38">
        <v>53</v>
      </c>
      <c r="N2142" s="50">
        <f t="shared" si="105"/>
        <v>3.9939713639788996</v>
      </c>
      <c r="O2142" s="38">
        <v>0</v>
      </c>
      <c r="P2142" s="38">
        <v>0</v>
      </c>
      <c r="Q2142" s="99" t="s">
        <v>43</v>
      </c>
      <c r="R2142" s="17">
        <v>44558</v>
      </c>
      <c r="S2142" s="61"/>
      <c r="T2142" s="20">
        <v>325.08999999999997</v>
      </c>
      <c r="U2142" s="99"/>
      <c r="V2142" s="99"/>
      <c r="W2142" s="99"/>
      <c r="X2142" s="99"/>
      <c r="Y2142" s="99"/>
      <c r="Z2142" s="20"/>
      <c r="AB2142" s="20"/>
      <c r="AC2142" s="38" t="s">
        <v>4666</v>
      </c>
      <c r="AD2142" s="61"/>
      <c r="AE2142" s="61"/>
    </row>
    <row r="2143" spans="1:31" x14ac:dyDescent="0.25">
      <c r="A2143" s="38" t="s">
        <v>36</v>
      </c>
      <c r="B2143" s="38" t="s">
        <v>4565</v>
      </c>
      <c r="C2143" s="38" t="s">
        <v>4666</v>
      </c>
      <c r="D2143" s="190" t="s">
        <v>4668</v>
      </c>
      <c r="E2143" s="38" t="s">
        <v>4669</v>
      </c>
      <c r="F2143" s="38">
        <v>352.08</v>
      </c>
      <c r="G2143" s="38">
        <v>352.08</v>
      </c>
      <c r="H2143" s="38">
        <f t="shared" si="103"/>
        <v>606</v>
      </c>
      <c r="I2143" s="38">
        <v>405</v>
      </c>
      <c r="J2143" s="38">
        <v>201</v>
      </c>
      <c r="K2143" s="38">
        <v>204</v>
      </c>
      <c r="L2143" s="50">
        <f t="shared" si="104"/>
        <v>33.663366336633665</v>
      </c>
      <c r="M2143" s="38">
        <v>0</v>
      </c>
      <c r="N2143" s="50">
        <f t="shared" si="105"/>
        <v>0</v>
      </c>
      <c r="O2143" s="38">
        <v>0</v>
      </c>
      <c r="P2143" s="38">
        <v>94.03</v>
      </c>
      <c r="Q2143" s="99" t="s">
        <v>43</v>
      </c>
      <c r="R2143" s="17">
        <v>44558</v>
      </c>
      <c r="S2143" s="61"/>
      <c r="T2143" s="20">
        <v>545.20000000000005</v>
      </c>
      <c r="U2143" s="99"/>
      <c r="V2143" s="99"/>
      <c r="W2143" s="99"/>
      <c r="X2143" s="99"/>
      <c r="Y2143" s="99"/>
      <c r="Z2143" s="20"/>
      <c r="AB2143" s="20"/>
      <c r="AC2143" s="38" t="s">
        <v>4668</v>
      </c>
      <c r="AD2143" s="61"/>
      <c r="AE2143" s="61"/>
    </row>
    <row r="2144" spans="1:31" x14ac:dyDescent="0.25">
      <c r="A2144" s="38" t="s">
        <v>36</v>
      </c>
      <c r="B2144" s="38" t="s">
        <v>4565</v>
      </c>
      <c r="C2144" s="38" t="s">
        <v>4666</v>
      </c>
      <c r="D2144" s="190" t="s">
        <v>4670</v>
      </c>
      <c r="E2144" s="38" t="s">
        <v>4671</v>
      </c>
      <c r="F2144" s="38">
        <v>402.1</v>
      </c>
      <c r="G2144" s="38">
        <v>402.1</v>
      </c>
      <c r="H2144" s="38">
        <f t="shared" si="103"/>
        <v>327</v>
      </c>
      <c r="I2144" s="38">
        <v>221</v>
      </c>
      <c r="J2144" s="38">
        <v>106</v>
      </c>
      <c r="K2144" s="38">
        <v>115</v>
      </c>
      <c r="L2144" s="50">
        <f t="shared" si="104"/>
        <v>35.168195718654431</v>
      </c>
      <c r="M2144" s="38">
        <v>0</v>
      </c>
      <c r="N2144" s="50">
        <f t="shared" si="105"/>
        <v>0</v>
      </c>
      <c r="O2144" s="38">
        <v>0</v>
      </c>
      <c r="P2144" s="38">
        <v>0</v>
      </c>
      <c r="Q2144" s="61" t="s">
        <v>43</v>
      </c>
      <c r="R2144" s="17">
        <v>44558</v>
      </c>
      <c r="S2144" s="61"/>
      <c r="T2144" s="20">
        <v>0</v>
      </c>
      <c r="U2144" s="61"/>
      <c r="V2144" s="61"/>
      <c r="W2144" s="61"/>
      <c r="X2144" s="61"/>
      <c r="Y2144" s="61"/>
      <c r="Z2144" s="20"/>
      <c r="AB2144" s="20"/>
      <c r="AC2144" s="38" t="s">
        <v>4670</v>
      </c>
      <c r="AD2144" s="61"/>
      <c r="AE2144" s="61"/>
    </row>
    <row r="2145" spans="1:31" x14ac:dyDescent="0.25">
      <c r="A2145" s="38" t="s">
        <v>36</v>
      </c>
      <c r="B2145" s="38" t="s">
        <v>4565</v>
      </c>
      <c r="C2145" s="38" t="s">
        <v>4666</v>
      </c>
      <c r="D2145" s="190" t="s">
        <v>4672</v>
      </c>
      <c r="E2145" s="38" t="s">
        <v>4673</v>
      </c>
      <c r="F2145" s="38">
        <v>476</v>
      </c>
      <c r="G2145" s="38">
        <v>476</v>
      </c>
      <c r="H2145" s="38">
        <f t="shared" si="103"/>
        <v>937</v>
      </c>
      <c r="I2145" s="38">
        <v>620</v>
      </c>
      <c r="J2145" s="38">
        <v>317</v>
      </c>
      <c r="K2145" s="38">
        <v>303</v>
      </c>
      <c r="L2145" s="50">
        <f t="shared" si="104"/>
        <v>32.337246531483459</v>
      </c>
      <c r="M2145" s="38">
        <v>277</v>
      </c>
      <c r="N2145" s="50">
        <f t="shared" si="105"/>
        <v>29.562433297758805</v>
      </c>
      <c r="O2145" s="38">
        <v>0</v>
      </c>
      <c r="P2145" s="38">
        <v>0</v>
      </c>
      <c r="Q2145" s="99" t="s">
        <v>43</v>
      </c>
      <c r="R2145" s="17">
        <v>44558</v>
      </c>
      <c r="S2145" s="61"/>
      <c r="T2145" s="20">
        <v>218.18</v>
      </c>
      <c r="U2145" s="99"/>
      <c r="V2145" s="99"/>
      <c r="W2145" s="99"/>
      <c r="X2145" s="99"/>
      <c r="Y2145" s="99"/>
      <c r="Z2145" s="20"/>
      <c r="AB2145" s="20"/>
      <c r="AC2145" s="38" t="s">
        <v>4672</v>
      </c>
      <c r="AD2145" s="61"/>
      <c r="AE2145" s="61"/>
    </row>
    <row r="2146" spans="1:31" x14ac:dyDescent="0.25">
      <c r="A2146" s="38" t="s">
        <v>36</v>
      </c>
      <c r="B2146" s="38" t="s">
        <v>4565</v>
      </c>
      <c r="C2146" s="38" t="s">
        <v>4666</v>
      </c>
      <c r="D2146" s="190" t="s">
        <v>4674</v>
      </c>
      <c r="E2146" s="38" t="s">
        <v>4675</v>
      </c>
      <c r="F2146" s="38">
        <v>583.07000000000005</v>
      </c>
      <c r="G2146" s="38">
        <v>583.07000000000005</v>
      </c>
      <c r="H2146" s="38">
        <f t="shared" si="103"/>
        <v>664</v>
      </c>
      <c r="I2146" s="38">
        <v>438</v>
      </c>
      <c r="J2146" s="38">
        <v>226</v>
      </c>
      <c r="K2146" s="38">
        <v>212</v>
      </c>
      <c r="L2146" s="50">
        <f t="shared" si="104"/>
        <v>31.92771084337349</v>
      </c>
      <c r="M2146" s="38">
        <v>14</v>
      </c>
      <c r="N2146" s="50">
        <f t="shared" si="105"/>
        <v>2.1084337349397591</v>
      </c>
      <c r="O2146" s="38">
        <v>0</v>
      </c>
      <c r="P2146" s="38">
        <v>0</v>
      </c>
      <c r="Q2146" s="99" t="s">
        <v>43</v>
      </c>
      <c r="R2146" s="17">
        <v>44558</v>
      </c>
      <c r="S2146" s="61"/>
      <c r="T2146" s="20">
        <v>197.16</v>
      </c>
      <c r="U2146" s="99"/>
      <c r="V2146" s="99"/>
      <c r="W2146" s="99"/>
      <c r="X2146" s="99"/>
      <c r="Y2146" s="99"/>
      <c r="Z2146" s="20"/>
      <c r="AB2146" s="20"/>
      <c r="AC2146" s="38" t="s">
        <v>4674</v>
      </c>
      <c r="AD2146" s="61"/>
      <c r="AE2146" s="61"/>
    </row>
    <row r="2147" spans="1:31" x14ac:dyDescent="0.25">
      <c r="A2147" s="38" t="s">
        <v>36</v>
      </c>
      <c r="B2147" s="38" t="s">
        <v>4565</v>
      </c>
      <c r="C2147" s="38" t="s">
        <v>4666</v>
      </c>
      <c r="D2147" s="190" t="s">
        <v>4676</v>
      </c>
      <c r="E2147" s="38" t="s">
        <v>4677</v>
      </c>
      <c r="F2147" s="38">
        <v>542</v>
      </c>
      <c r="G2147" s="38">
        <v>542</v>
      </c>
      <c r="H2147" s="38">
        <f t="shared" si="103"/>
        <v>576</v>
      </c>
      <c r="I2147" s="38">
        <v>380</v>
      </c>
      <c r="J2147" s="38">
        <v>196</v>
      </c>
      <c r="K2147" s="38">
        <v>184</v>
      </c>
      <c r="L2147" s="50">
        <f t="shared" si="104"/>
        <v>31.944444444444443</v>
      </c>
      <c r="M2147" s="38">
        <v>68</v>
      </c>
      <c r="N2147" s="50">
        <f t="shared" si="105"/>
        <v>11.805555555555555</v>
      </c>
      <c r="O2147" s="38">
        <v>0</v>
      </c>
      <c r="P2147" s="38">
        <v>0</v>
      </c>
      <c r="Q2147" s="99" t="s">
        <v>43</v>
      </c>
      <c r="R2147" s="17">
        <v>44558</v>
      </c>
      <c r="S2147" s="61"/>
      <c r="T2147" s="20">
        <v>154.1</v>
      </c>
      <c r="U2147" s="99"/>
      <c r="V2147" s="99"/>
      <c r="W2147" s="99"/>
      <c r="X2147" s="99"/>
      <c r="Y2147" s="99"/>
      <c r="Z2147" s="20"/>
      <c r="AB2147" s="20"/>
      <c r="AC2147" s="38" t="s">
        <v>4676</v>
      </c>
      <c r="AD2147" s="61"/>
      <c r="AE2147" s="61"/>
    </row>
    <row r="2148" spans="1:31" x14ac:dyDescent="0.25">
      <c r="A2148" s="38" t="s">
        <v>36</v>
      </c>
      <c r="B2148" s="41" t="s">
        <v>4565</v>
      </c>
      <c r="C2148" s="41" t="s">
        <v>4678</v>
      </c>
      <c r="D2148" s="41" t="s">
        <v>4679</v>
      </c>
      <c r="E2148" s="41" t="s">
        <v>4680</v>
      </c>
      <c r="F2148" s="11">
        <v>406</v>
      </c>
      <c r="G2148" s="11">
        <v>406</v>
      </c>
      <c r="H2148" s="38">
        <f t="shared" si="103"/>
        <v>905</v>
      </c>
      <c r="I2148" s="11">
        <v>596</v>
      </c>
      <c r="J2148" s="11">
        <v>309</v>
      </c>
      <c r="K2148" s="11">
        <v>287</v>
      </c>
      <c r="L2148" s="50">
        <f t="shared" si="104"/>
        <v>31.712707182320443</v>
      </c>
      <c r="M2148" s="11">
        <v>0</v>
      </c>
      <c r="N2148" s="50">
        <f t="shared" si="105"/>
        <v>0</v>
      </c>
      <c r="O2148" s="41">
        <v>0</v>
      </c>
      <c r="P2148" s="41">
        <v>117</v>
      </c>
      <c r="Q2148" s="48" t="s">
        <v>43</v>
      </c>
      <c r="R2148" s="24">
        <v>44555</v>
      </c>
      <c r="S2148" s="48"/>
      <c r="T2148" s="48">
        <v>85</v>
      </c>
      <c r="U2148" s="48"/>
      <c r="V2148" s="48"/>
      <c r="W2148" s="48"/>
      <c r="X2148" s="48"/>
      <c r="Y2148" s="48"/>
      <c r="Z2148" s="80"/>
      <c r="AB2148" s="80">
        <v>32</v>
      </c>
      <c r="AC2148" s="48" t="s">
        <v>4681</v>
      </c>
      <c r="AD2148" s="48">
        <v>25.792031999999999</v>
      </c>
      <c r="AE2148" s="48">
        <v>71.128242999999998</v>
      </c>
    </row>
    <row r="2149" spans="1:31" x14ac:dyDescent="0.25">
      <c r="A2149" s="38" t="s">
        <v>36</v>
      </c>
      <c r="B2149" s="38" t="s">
        <v>4565</v>
      </c>
      <c r="C2149" s="38" t="s">
        <v>4678</v>
      </c>
      <c r="D2149" s="190" t="s">
        <v>4682</v>
      </c>
      <c r="E2149" s="38" t="s">
        <v>4683</v>
      </c>
      <c r="F2149" s="38">
        <v>709</v>
      </c>
      <c r="G2149" s="38">
        <v>709</v>
      </c>
      <c r="H2149" s="38">
        <f t="shared" si="103"/>
        <v>1285</v>
      </c>
      <c r="I2149" s="38">
        <v>845</v>
      </c>
      <c r="J2149" s="38">
        <v>440</v>
      </c>
      <c r="K2149" s="38">
        <v>405</v>
      </c>
      <c r="L2149" s="50">
        <f t="shared" si="104"/>
        <v>31.517509727626457</v>
      </c>
      <c r="M2149" s="38">
        <v>0</v>
      </c>
      <c r="N2149" s="50">
        <f t="shared" si="105"/>
        <v>0</v>
      </c>
      <c r="O2149" s="38">
        <v>0</v>
      </c>
      <c r="P2149" s="38">
        <v>23</v>
      </c>
      <c r="Q2149" s="99" t="s">
        <v>43</v>
      </c>
      <c r="R2149" s="17">
        <v>44555</v>
      </c>
      <c r="S2149" s="61"/>
      <c r="T2149" s="20">
        <v>23.36</v>
      </c>
      <c r="U2149" s="99"/>
      <c r="V2149" s="99"/>
      <c r="W2149" s="99"/>
      <c r="X2149" s="99"/>
      <c r="Y2149" s="99"/>
      <c r="Z2149" s="20"/>
      <c r="AB2149" s="20"/>
      <c r="AC2149" s="11" t="s">
        <v>4684</v>
      </c>
      <c r="AD2149" s="61"/>
      <c r="AE2149" s="61"/>
    </row>
    <row r="2150" spans="1:31" x14ac:dyDescent="0.25">
      <c r="A2150" s="38" t="s">
        <v>36</v>
      </c>
      <c r="B2150" s="38" t="s">
        <v>4565</v>
      </c>
      <c r="C2150" s="38" t="s">
        <v>4678</v>
      </c>
      <c r="D2150" s="190" t="s">
        <v>4685</v>
      </c>
      <c r="E2150" s="38" t="s">
        <v>4686</v>
      </c>
      <c r="F2150" s="38">
        <v>863</v>
      </c>
      <c r="G2150" s="38">
        <v>863</v>
      </c>
      <c r="H2150" s="38">
        <f t="shared" si="103"/>
        <v>796</v>
      </c>
      <c r="I2150" s="38">
        <v>530</v>
      </c>
      <c r="J2150" s="38">
        <v>266</v>
      </c>
      <c r="K2150" s="38">
        <v>264</v>
      </c>
      <c r="L2150" s="50">
        <f t="shared" si="104"/>
        <v>33.165829145728644</v>
      </c>
      <c r="M2150" s="38">
        <v>55</v>
      </c>
      <c r="N2150" s="50">
        <f t="shared" si="105"/>
        <v>6.9095477386934672</v>
      </c>
      <c r="O2150" s="38">
        <v>0</v>
      </c>
      <c r="P2150" s="38">
        <v>17</v>
      </c>
      <c r="Q2150" s="99" t="s">
        <v>43</v>
      </c>
      <c r="R2150" s="17">
        <v>44555</v>
      </c>
      <c r="S2150" s="61"/>
      <c r="T2150" s="20">
        <v>16.32</v>
      </c>
      <c r="U2150" s="99"/>
      <c r="V2150" s="99"/>
      <c r="W2150" s="99"/>
      <c r="X2150" s="99"/>
      <c r="Y2150" s="99"/>
      <c r="Z2150" s="20"/>
      <c r="AB2150" s="20"/>
      <c r="AC2150" s="11" t="s">
        <v>4687</v>
      </c>
      <c r="AD2150" s="61"/>
      <c r="AE2150" s="61"/>
    </row>
    <row r="2151" spans="1:31" x14ac:dyDescent="0.25">
      <c r="A2151" s="38" t="s">
        <v>36</v>
      </c>
      <c r="B2151" s="38" t="s">
        <v>4565</v>
      </c>
      <c r="C2151" s="38" t="s">
        <v>4678</v>
      </c>
      <c r="D2151" s="190" t="s">
        <v>4688</v>
      </c>
      <c r="E2151" s="38" t="s">
        <v>4689</v>
      </c>
      <c r="F2151" s="38">
        <v>712</v>
      </c>
      <c r="G2151" s="38">
        <v>712</v>
      </c>
      <c r="H2151" s="38">
        <f t="shared" si="103"/>
        <v>1137</v>
      </c>
      <c r="I2151" s="38">
        <v>742</v>
      </c>
      <c r="J2151" s="38">
        <v>395</v>
      </c>
      <c r="K2151" s="38">
        <v>347</v>
      </c>
      <c r="L2151" s="50">
        <f t="shared" si="104"/>
        <v>30.518909410729989</v>
      </c>
      <c r="M2151" s="38">
        <v>0</v>
      </c>
      <c r="N2151" s="50">
        <f t="shared" si="105"/>
        <v>0</v>
      </c>
      <c r="O2151" s="38">
        <v>0</v>
      </c>
      <c r="P2151" s="38">
        <v>26</v>
      </c>
      <c r="Q2151" s="34" t="s">
        <v>43</v>
      </c>
      <c r="R2151" s="17">
        <v>44555</v>
      </c>
      <c r="S2151" s="34"/>
      <c r="T2151" s="34">
        <v>22.88</v>
      </c>
      <c r="U2151" s="34"/>
      <c r="V2151" s="34"/>
      <c r="W2151" s="34"/>
      <c r="X2151" s="34"/>
      <c r="Y2151" s="34"/>
      <c r="Z2151" s="109"/>
      <c r="AB2151" s="109"/>
      <c r="AC2151" s="34" t="s">
        <v>4690</v>
      </c>
      <c r="AD2151" s="34">
        <v>25.791937999999998</v>
      </c>
      <c r="AE2151" s="34">
        <v>71.131069999999994</v>
      </c>
    </row>
    <row r="2152" spans="1:31" x14ac:dyDescent="0.25">
      <c r="A2152" s="38" t="s">
        <v>36</v>
      </c>
      <c r="B2152" s="38" t="s">
        <v>4565</v>
      </c>
      <c r="C2152" s="38" t="s">
        <v>4678</v>
      </c>
      <c r="D2152" s="190" t="s">
        <v>4691</v>
      </c>
      <c r="E2152" s="38" t="s">
        <v>4692</v>
      </c>
      <c r="F2152" s="38">
        <v>537</v>
      </c>
      <c r="G2152" s="38">
        <v>537</v>
      </c>
      <c r="H2152" s="38">
        <f t="shared" si="103"/>
        <v>801</v>
      </c>
      <c r="I2152" s="38">
        <v>529</v>
      </c>
      <c r="J2152" s="38">
        <v>272</v>
      </c>
      <c r="K2152" s="38">
        <v>257</v>
      </c>
      <c r="L2152" s="50">
        <f t="shared" si="104"/>
        <v>32.084893882646689</v>
      </c>
      <c r="M2152" s="38">
        <v>0</v>
      </c>
      <c r="N2152" s="50">
        <f t="shared" si="105"/>
        <v>0</v>
      </c>
      <c r="O2152" s="38">
        <v>0</v>
      </c>
      <c r="P2152" s="38">
        <v>0</v>
      </c>
      <c r="Q2152" s="61" t="s">
        <v>43</v>
      </c>
      <c r="R2152" s="17">
        <v>44555</v>
      </c>
      <c r="S2152" s="61"/>
      <c r="T2152" s="20">
        <v>42</v>
      </c>
      <c r="U2152" s="61"/>
      <c r="V2152" s="61"/>
      <c r="W2152" s="61"/>
      <c r="X2152" s="61"/>
      <c r="Y2152" s="61"/>
      <c r="Z2152" s="20"/>
      <c r="AB2152" s="20"/>
      <c r="AC2152" s="11" t="s">
        <v>4693</v>
      </c>
      <c r="AD2152" s="61">
        <v>0</v>
      </c>
      <c r="AE2152" s="61"/>
    </row>
    <row r="2153" spans="1:31" x14ac:dyDescent="0.25">
      <c r="A2153" s="38" t="s">
        <v>36</v>
      </c>
      <c r="B2153" s="38" t="s">
        <v>4565</v>
      </c>
      <c r="C2153" s="38" t="s">
        <v>4678</v>
      </c>
      <c r="D2153" s="190" t="s">
        <v>4694</v>
      </c>
      <c r="E2153" s="38" t="s">
        <v>4695</v>
      </c>
      <c r="F2153" s="38">
        <v>795</v>
      </c>
      <c r="G2153" s="38">
        <v>795</v>
      </c>
      <c r="H2153" s="38">
        <f t="shared" si="103"/>
        <v>1436</v>
      </c>
      <c r="I2153" s="38">
        <v>946</v>
      </c>
      <c r="J2153" s="38">
        <v>490</v>
      </c>
      <c r="K2153" s="38">
        <v>456</v>
      </c>
      <c r="L2153" s="50">
        <f t="shared" si="104"/>
        <v>31.754874651810582</v>
      </c>
      <c r="M2153" s="38">
        <v>4</v>
      </c>
      <c r="N2153" s="50">
        <f t="shared" si="105"/>
        <v>0.2785515320334262</v>
      </c>
      <c r="O2153" s="38">
        <v>0</v>
      </c>
      <c r="P2153" s="38">
        <v>25</v>
      </c>
      <c r="Q2153" s="99" t="s">
        <v>43</v>
      </c>
      <c r="R2153" s="17">
        <v>44556</v>
      </c>
      <c r="S2153" s="61"/>
      <c r="T2153" s="20">
        <v>25.12</v>
      </c>
      <c r="U2153" s="99"/>
      <c r="V2153" s="99"/>
      <c r="W2153" s="99"/>
      <c r="X2153" s="99"/>
      <c r="Y2153" s="99"/>
      <c r="Z2153" s="20"/>
      <c r="AB2153" s="20"/>
      <c r="AC2153" s="11" t="s">
        <v>4696</v>
      </c>
      <c r="AD2153" s="61"/>
      <c r="AE2153" s="61"/>
    </row>
    <row r="2154" spans="1:31" x14ac:dyDescent="0.25">
      <c r="A2154" s="38" t="s">
        <v>36</v>
      </c>
      <c r="B2154" s="38" t="s">
        <v>4565</v>
      </c>
      <c r="C2154" s="38" t="s">
        <v>4697</v>
      </c>
      <c r="D2154" s="190" t="s">
        <v>4698</v>
      </c>
      <c r="E2154" s="38" t="s">
        <v>4699</v>
      </c>
      <c r="F2154" s="38">
        <v>1305.1500000000001</v>
      </c>
      <c r="G2154" s="38">
        <v>1305.1500000000001</v>
      </c>
      <c r="H2154" s="38">
        <f t="shared" si="103"/>
        <v>2161</v>
      </c>
      <c r="I2154" s="38">
        <v>1419</v>
      </c>
      <c r="J2154" s="38">
        <v>742</v>
      </c>
      <c r="K2154" s="38">
        <v>677</v>
      </c>
      <c r="L2154" s="50">
        <f t="shared" si="104"/>
        <v>31.328088847755669</v>
      </c>
      <c r="M2154" s="38">
        <v>24</v>
      </c>
      <c r="N2154" s="50">
        <f t="shared" si="105"/>
        <v>1.1105969458583989</v>
      </c>
      <c r="O2154" s="38">
        <v>0</v>
      </c>
      <c r="P2154" s="38">
        <v>35.049999999999997</v>
      </c>
      <c r="Q2154" s="34" t="s">
        <v>43</v>
      </c>
      <c r="R2154" s="88">
        <v>44557</v>
      </c>
      <c r="S2154" s="34"/>
      <c r="T2154" s="89">
        <v>35</v>
      </c>
      <c r="U2154" s="34"/>
      <c r="V2154" s="34"/>
      <c r="W2154" s="34"/>
      <c r="X2154" s="34"/>
      <c r="Y2154" s="34"/>
      <c r="Z2154" s="89"/>
      <c r="AB2154" s="89"/>
      <c r="AC2154" s="34" t="s">
        <v>4700</v>
      </c>
      <c r="AD2154" s="34">
        <v>25.711034000000001</v>
      </c>
      <c r="AE2154" s="34">
        <v>70.787075999999999</v>
      </c>
    </row>
    <row r="2155" spans="1:31" x14ac:dyDescent="0.25">
      <c r="A2155" s="38" t="s">
        <v>36</v>
      </c>
      <c r="B2155" s="38" t="s">
        <v>4565</v>
      </c>
      <c r="C2155" s="38" t="s">
        <v>4697</v>
      </c>
      <c r="D2155" s="190" t="s">
        <v>4701</v>
      </c>
      <c r="E2155" s="38" t="s">
        <v>4702</v>
      </c>
      <c r="F2155" s="38">
        <v>478.22</v>
      </c>
      <c r="G2155" s="38">
        <v>478.22</v>
      </c>
      <c r="H2155" s="38">
        <f t="shared" si="103"/>
        <v>655</v>
      </c>
      <c r="I2155" s="38">
        <v>436</v>
      </c>
      <c r="J2155" s="38">
        <v>219</v>
      </c>
      <c r="K2155" s="38">
        <v>217</v>
      </c>
      <c r="L2155" s="50">
        <f t="shared" si="104"/>
        <v>33.129770992366417</v>
      </c>
      <c r="M2155" s="38">
        <v>26</v>
      </c>
      <c r="N2155" s="50">
        <f t="shared" si="105"/>
        <v>3.9694656488549618</v>
      </c>
      <c r="O2155" s="38">
        <v>0</v>
      </c>
      <c r="P2155" s="38">
        <v>0</v>
      </c>
      <c r="Q2155" s="61" t="s">
        <v>43</v>
      </c>
      <c r="R2155" s="17">
        <v>44557</v>
      </c>
      <c r="S2155" s="61"/>
      <c r="T2155" s="20">
        <v>0</v>
      </c>
      <c r="U2155" s="61"/>
      <c r="V2155" s="61"/>
      <c r="W2155" s="61"/>
      <c r="X2155" s="61"/>
      <c r="Y2155" s="61"/>
      <c r="Z2155" s="20"/>
      <c r="AB2155" s="20"/>
      <c r="AC2155" s="38" t="s">
        <v>4701</v>
      </c>
      <c r="AD2155" s="61">
        <v>0</v>
      </c>
      <c r="AE2155" s="61"/>
    </row>
    <row r="2156" spans="1:31" x14ac:dyDescent="0.25">
      <c r="A2156" s="38" t="s">
        <v>36</v>
      </c>
      <c r="B2156" s="38" t="s">
        <v>4565</v>
      </c>
      <c r="C2156" s="38" t="s">
        <v>4697</v>
      </c>
      <c r="D2156" s="190" t="s">
        <v>4703</v>
      </c>
      <c r="E2156" s="38" t="s">
        <v>4704</v>
      </c>
      <c r="F2156" s="38">
        <v>112.8</v>
      </c>
      <c r="G2156" s="38">
        <v>112.8</v>
      </c>
      <c r="H2156" s="38">
        <f t="shared" si="103"/>
        <v>0</v>
      </c>
      <c r="I2156" s="38">
        <v>0</v>
      </c>
      <c r="J2156" s="38">
        <v>0</v>
      </c>
      <c r="K2156" s="38">
        <v>0</v>
      </c>
      <c r="L2156" s="50"/>
      <c r="M2156" s="38">
        <v>0</v>
      </c>
      <c r="N2156" s="50"/>
      <c r="O2156" s="38">
        <v>0</v>
      </c>
      <c r="P2156" s="38">
        <v>0</v>
      </c>
      <c r="Q2156" s="39" t="s">
        <v>44</v>
      </c>
      <c r="R2156" s="25">
        <v>44557</v>
      </c>
      <c r="S2156" s="40"/>
      <c r="T2156" s="237">
        <v>0</v>
      </c>
      <c r="U2156" s="39"/>
      <c r="V2156" s="39"/>
      <c r="W2156" s="39"/>
      <c r="X2156" s="39"/>
      <c r="Y2156" s="39"/>
      <c r="Z2156" s="3"/>
      <c r="AB2156" s="3"/>
      <c r="AC2156" s="60" t="s">
        <v>4705</v>
      </c>
      <c r="AD2156" s="2"/>
      <c r="AE2156" s="40"/>
    </row>
    <row r="2157" spans="1:31" x14ac:dyDescent="0.25">
      <c r="A2157" s="38" t="s">
        <v>36</v>
      </c>
      <c r="B2157" s="38" t="s">
        <v>4565</v>
      </c>
      <c r="C2157" s="38" t="s">
        <v>4697</v>
      </c>
      <c r="D2157" s="190" t="s">
        <v>4706</v>
      </c>
      <c r="E2157" s="38" t="s">
        <v>4707</v>
      </c>
      <c r="F2157" s="38">
        <v>35.25</v>
      </c>
      <c r="G2157" s="38">
        <v>35.25</v>
      </c>
      <c r="H2157" s="38">
        <f t="shared" si="103"/>
        <v>0</v>
      </c>
      <c r="I2157" s="38">
        <v>0</v>
      </c>
      <c r="J2157" s="38">
        <v>0</v>
      </c>
      <c r="K2157" s="38">
        <v>0</v>
      </c>
      <c r="L2157" s="50"/>
      <c r="M2157" s="38">
        <v>0</v>
      </c>
      <c r="N2157" s="50"/>
      <c r="O2157" s="38">
        <v>0</v>
      </c>
      <c r="P2157" s="38">
        <v>0</v>
      </c>
      <c r="Q2157" s="39" t="s">
        <v>44</v>
      </c>
      <c r="R2157" s="25">
        <v>44557</v>
      </c>
      <c r="S2157" s="40"/>
      <c r="T2157" s="237">
        <v>0</v>
      </c>
      <c r="U2157" s="39"/>
      <c r="V2157" s="39"/>
      <c r="W2157" s="39"/>
      <c r="X2157" s="39"/>
      <c r="Y2157" s="39"/>
      <c r="Z2157" s="3"/>
      <c r="AB2157" s="3"/>
      <c r="AC2157" s="60" t="s">
        <v>4708</v>
      </c>
      <c r="AD2157" s="2"/>
      <c r="AE2157" s="40"/>
    </row>
    <row r="2158" spans="1:31" x14ac:dyDescent="0.25">
      <c r="A2158" s="38" t="s">
        <v>36</v>
      </c>
      <c r="B2158" s="38" t="s">
        <v>4565</v>
      </c>
      <c r="C2158" s="38" t="s">
        <v>4697</v>
      </c>
      <c r="D2158" s="190" t="s">
        <v>4709</v>
      </c>
      <c r="E2158" s="38" t="s">
        <v>4710</v>
      </c>
      <c r="F2158" s="38">
        <v>102.05</v>
      </c>
      <c r="G2158" s="38">
        <v>102.05</v>
      </c>
      <c r="H2158" s="38">
        <f t="shared" si="103"/>
        <v>544</v>
      </c>
      <c r="I2158" s="38">
        <v>352</v>
      </c>
      <c r="J2158" s="38">
        <v>192</v>
      </c>
      <c r="K2158" s="38">
        <v>160</v>
      </c>
      <c r="L2158" s="50">
        <f t="shared" si="104"/>
        <v>29.411764705882355</v>
      </c>
      <c r="M2158" s="38">
        <v>0</v>
      </c>
      <c r="N2158" s="50">
        <f t="shared" si="105"/>
        <v>0</v>
      </c>
      <c r="O2158" s="38">
        <v>0</v>
      </c>
      <c r="P2158" s="38">
        <v>0</v>
      </c>
      <c r="Q2158" s="61" t="s">
        <v>43</v>
      </c>
      <c r="R2158" s="17">
        <v>44557</v>
      </c>
      <c r="S2158" s="61"/>
      <c r="T2158" s="20">
        <v>0</v>
      </c>
      <c r="U2158" s="61"/>
      <c r="V2158" s="61"/>
      <c r="W2158" s="61"/>
      <c r="X2158" s="61"/>
      <c r="Y2158" s="61"/>
      <c r="Z2158" s="20"/>
      <c r="AB2158" s="20"/>
      <c r="AC2158" s="38" t="s">
        <v>4709</v>
      </c>
      <c r="AD2158" s="61">
        <v>0</v>
      </c>
      <c r="AE2158" s="61"/>
    </row>
    <row r="2159" spans="1:31" x14ac:dyDescent="0.25">
      <c r="A2159" s="38" t="s">
        <v>36</v>
      </c>
      <c r="B2159" s="38" t="s">
        <v>4565</v>
      </c>
      <c r="C2159" s="38" t="s">
        <v>4697</v>
      </c>
      <c r="D2159" s="190" t="s">
        <v>4711</v>
      </c>
      <c r="E2159" s="38" t="s">
        <v>4712</v>
      </c>
      <c r="F2159" s="38">
        <v>287.23</v>
      </c>
      <c r="G2159" s="38">
        <v>287.23</v>
      </c>
      <c r="H2159" s="38">
        <f t="shared" si="103"/>
        <v>311</v>
      </c>
      <c r="I2159" s="38">
        <v>211</v>
      </c>
      <c r="J2159" s="38">
        <v>100</v>
      </c>
      <c r="K2159" s="38">
        <v>111</v>
      </c>
      <c r="L2159" s="50">
        <f t="shared" si="104"/>
        <v>35.691318327974273</v>
      </c>
      <c r="M2159" s="38">
        <v>0</v>
      </c>
      <c r="N2159" s="50">
        <f t="shared" si="105"/>
        <v>0</v>
      </c>
      <c r="O2159" s="38">
        <v>0</v>
      </c>
      <c r="P2159" s="38">
        <v>0</v>
      </c>
      <c r="Q2159" s="61" t="s">
        <v>43</v>
      </c>
      <c r="R2159" s="17">
        <v>44557</v>
      </c>
      <c r="S2159" s="61"/>
      <c r="T2159" s="20">
        <v>0</v>
      </c>
      <c r="U2159" s="61"/>
      <c r="V2159" s="61"/>
      <c r="W2159" s="61"/>
      <c r="X2159" s="61"/>
      <c r="Y2159" s="61"/>
      <c r="Z2159" s="20"/>
      <c r="AB2159" s="20"/>
      <c r="AC2159" s="38" t="s">
        <v>4711</v>
      </c>
      <c r="AD2159" s="61">
        <v>0</v>
      </c>
      <c r="AE2159" s="61"/>
    </row>
    <row r="2160" spans="1:31" x14ac:dyDescent="0.25">
      <c r="A2160" s="38" t="s">
        <v>36</v>
      </c>
      <c r="B2160" s="38" t="s">
        <v>4565</v>
      </c>
      <c r="C2160" s="38" t="s">
        <v>4697</v>
      </c>
      <c r="D2160" s="190" t="s">
        <v>4713</v>
      </c>
      <c r="E2160" s="38" t="s">
        <v>4714</v>
      </c>
      <c r="F2160" s="38">
        <v>152</v>
      </c>
      <c r="G2160" s="38">
        <v>152</v>
      </c>
      <c r="H2160" s="38">
        <f t="shared" si="103"/>
        <v>196</v>
      </c>
      <c r="I2160" s="38">
        <v>106</v>
      </c>
      <c r="J2160" s="38">
        <v>90</v>
      </c>
      <c r="K2160" s="38">
        <v>16</v>
      </c>
      <c r="L2160" s="50">
        <f t="shared" si="104"/>
        <v>8.1632653061224492</v>
      </c>
      <c r="M2160" s="38">
        <v>0</v>
      </c>
      <c r="N2160" s="50">
        <f t="shared" si="105"/>
        <v>0</v>
      </c>
      <c r="O2160" s="38">
        <v>0</v>
      </c>
      <c r="P2160" s="38">
        <v>0</v>
      </c>
      <c r="Q2160" s="61" t="s">
        <v>43</v>
      </c>
      <c r="R2160" s="17">
        <v>44557</v>
      </c>
      <c r="S2160" s="61"/>
      <c r="T2160" s="20">
        <v>0</v>
      </c>
      <c r="U2160" s="61"/>
      <c r="V2160" s="61"/>
      <c r="W2160" s="61"/>
      <c r="X2160" s="61"/>
      <c r="Y2160" s="61"/>
      <c r="Z2160" s="20"/>
      <c r="AB2160" s="20"/>
      <c r="AC2160" s="38" t="s">
        <v>4713</v>
      </c>
      <c r="AD2160" s="61">
        <v>0</v>
      </c>
      <c r="AE2160" s="61"/>
    </row>
    <row r="2161" spans="1:31" x14ac:dyDescent="0.25">
      <c r="A2161" s="38" t="s">
        <v>36</v>
      </c>
      <c r="B2161" s="38" t="s">
        <v>4565</v>
      </c>
      <c r="C2161" s="38" t="s">
        <v>4697</v>
      </c>
      <c r="D2161" s="190" t="s">
        <v>4715</v>
      </c>
      <c r="E2161" s="38" t="s">
        <v>4716</v>
      </c>
      <c r="F2161" s="38">
        <v>164.02</v>
      </c>
      <c r="G2161" s="38">
        <v>164.02</v>
      </c>
      <c r="H2161" s="38">
        <f t="shared" si="103"/>
        <v>2162</v>
      </c>
      <c r="I2161" s="38">
        <v>1426</v>
      </c>
      <c r="J2161" s="38">
        <v>736</v>
      </c>
      <c r="K2161" s="38">
        <v>690</v>
      </c>
      <c r="L2161" s="50">
        <f t="shared" si="104"/>
        <v>31.914893617021278</v>
      </c>
      <c r="M2161" s="38">
        <v>188</v>
      </c>
      <c r="N2161" s="50">
        <f t="shared" si="105"/>
        <v>8.695652173913043</v>
      </c>
      <c r="O2161" s="38">
        <v>0</v>
      </c>
      <c r="P2161" s="38">
        <v>0</v>
      </c>
      <c r="Q2161" s="61" t="s">
        <v>43</v>
      </c>
      <c r="R2161" s="17">
        <v>44557</v>
      </c>
      <c r="S2161" s="61"/>
      <c r="T2161" s="20">
        <v>0</v>
      </c>
      <c r="U2161" s="61"/>
      <c r="V2161" s="61"/>
      <c r="W2161" s="61"/>
      <c r="X2161" s="61"/>
      <c r="Y2161" s="61"/>
      <c r="Z2161" s="20"/>
      <c r="AB2161" s="20"/>
      <c r="AC2161" s="38" t="s">
        <v>4715</v>
      </c>
      <c r="AD2161" s="61">
        <v>0</v>
      </c>
      <c r="AE2161" s="61"/>
    </row>
    <row r="2162" spans="1:31" x14ac:dyDescent="0.25">
      <c r="A2162" s="38" t="s">
        <v>36</v>
      </c>
      <c r="B2162" s="38" t="s">
        <v>4565</v>
      </c>
      <c r="C2162" s="38" t="s">
        <v>4697</v>
      </c>
      <c r="D2162" s="190" t="s">
        <v>4717</v>
      </c>
      <c r="E2162" s="38" t="s">
        <v>4718</v>
      </c>
      <c r="F2162" s="38">
        <v>335.2</v>
      </c>
      <c r="G2162" s="38">
        <v>335.2</v>
      </c>
      <c r="H2162" s="38">
        <f t="shared" si="103"/>
        <v>946</v>
      </c>
      <c r="I2162" s="38">
        <v>619</v>
      </c>
      <c r="J2162" s="38">
        <v>327</v>
      </c>
      <c r="K2162" s="38">
        <v>292</v>
      </c>
      <c r="L2162" s="50">
        <f t="shared" si="104"/>
        <v>30.866807610993657</v>
      </c>
      <c r="M2162" s="38">
        <v>255</v>
      </c>
      <c r="N2162" s="50">
        <f t="shared" si="105"/>
        <v>26.955602536997887</v>
      </c>
      <c r="O2162" s="38">
        <v>0</v>
      </c>
      <c r="P2162" s="38">
        <v>14</v>
      </c>
      <c r="Q2162" s="99" t="s">
        <v>43</v>
      </c>
      <c r="R2162" s="17">
        <v>44557</v>
      </c>
      <c r="S2162" s="61"/>
      <c r="T2162" s="20">
        <v>19.13</v>
      </c>
      <c r="U2162" s="99"/>
      <c r="V2162" s="99"/>
      <c r="W2162" s="99"/>
      <c r="X2162" s="99"/>
      <c r="Y2162" s="99"/>
      <c r="Z2162" s="20"/>
      <c r="AB2162" s="20"/>
      <c r="AC2162" s="38" t="s">
        <v>4717</v>
      </c>
      <c r="AD2162" s="61"/>
      <c r="AE2162" s="61"/>
    </row>
    <row r="2163" spans="1:31" x14ac:dyDescent="0.25">
      <c r="A2163" s="38" t="s">
        <v>36</v>
      </c>
      <c r="B2163" s="38" t="s">
        <v>4565</v>
      </c>
      <c r="C2163" s="38" t="s">
        <v>4719</v>
      </c>
      <c r="D2163" s="190" t="s">
        <v>4720</v>
      </c>
      <c r="E2163" s="38" t="s">
        <v>4721</v>
      </c>
      <c r="F2163" s="38">
        <v>1776.99</v>
      </c>
      <c r="G2163" s="38">
        <v>1776.99</v>
      </c>
      <c r="H2163" s="38">
        <f t="shared" si="103"/>
        <v>1722</v>
      </c>
      <c r="I2163" s="38">
        <v>1133</v>
      </c>
      <c r="J2163" s="38">
        <v>589</v>
      </c>
      <c r="K2163" s="38">
        <v>544</v>
      </c>
      <c r="L2163" s="50">
        <f t="shared" si="104"/>
        <v>31.591173054587689</v>
      </c>
      <c r="M2163" s="38">
        <v>60</v>
      </c>
      <c r="N2163" s="50">
        <f t="shared" si="105"/>
        <v>3.484320557491289</v>
      </c>
      <c r="O2163" s="38">
        <v>0</v>
      </c>
      <c r="P2163" s="38">
        <v>157.99</v>
      </c>
      <c r="Q2163" s="34" t="s">
        <v>43</v>
      </c>
      <c r="R2163" s="88">
        <v>44537</v>
      </c>
      <c r="S2163" s="34"/>
      <c r="T2163" s="89">
        <v>158</v>
      </c>
      <c r="U2163" s="34"/>
      <c r="V2163" s="34"/>
      <c r="W2163" s="34"/>
      <c r="X2163" s="34"/>
      <c r="Y2163" s="34"/>
      <c r="Z2163" s="89"/>
      <c r="AB2163" s="89"/>
      <c r="AC2163" s="34" t="s">
        <v>4722</v>
      </c>
      <c r="AD2163" s="34">
        <v>25.608557999999999</v>
      </c>
      <c r="AE2163" s="34">
        <v>71.091918000000007</v>
      </c>
    </row>
    <row r="2164" spans="1:31" x14ac:dyDescent="0.25">
      <c r="A2164" s="38" t="s">
        <v>36</v>
      </c>
      <c r="B2164" s="41" t="s">
        <v>4565</v>
      </c>
      <c r="C2164" s="41" t="s">
        <v>4719</v>
      </c>
      <c r="D2164" s="41" t="s">
        <v>4720</v>
      </c>
      <c r="E2164" s="41" t="s">
        <v>4721</v>
      </c>
      <c r="F2164" s="41">
        <v>1776.99</v>
      </c>
      <c r="G2164" s="41">
        <v>1776.99</v>
      </c>
      <c r="H2164" s="38">
        <f t="shared" si="103"/>
        <v>1722</v>
      </c>
      <c r="I2164" s="41">
        <v>1133</v>
      </c>
      <c r="J2164" s="41">
        <v>589</v>
      </c>
      <c r="K2164" s="41">
        <v>544</v>
      </c>
      <c r="L2164" s="50">
        <f t="shared" si="104"/>
        <v>31.591173054587689</v>
      </c>
      <c r="M2164" s="41">
        <v>60</v>
      </c>
      <c r="N2164" s="50">
        <f t="shared" si="105"/>
        <v>3.484320557491289</v>
      </c>
      <c r="O2164" s="41">
        <v>0</v>
      </c>
      <c r="P2164" s="41">
        <v>157.99</v>
      </c>
      <c r="Q2164" s="48"/>
      <c r="R2164" s="112">
        <v>44537</v>
      </c>
      <c r="S2164" s="48"/>
      <c r="T2164" s="18">
        <v>180</v>
      </c>
      <c r="U2164" s="48"/>
      <c r="V2164" s="48"/>
      <c r="W2164" s="48"/>
      <c r="X2164" s="48"/>
      <c r="Y2164" s="48"/>
      <c r="Z2164" s="113"/>
      <c r="AB2164" s="113">
        <v>19</v>
      </c>
      <c r="AC2164" s="48" t="s">
        <v>4722</v>
      </c>
      <c r="AD2164" s="48">
        <v>25.608557999999999</v>
      </c>
      <c r="AE2164" s="48">
        <v>71.091918000000007</v>
      </c>
    </row>
    <row r="2165" spans="1:31" x14ac:dyDescent="0.25">
      <c r="A2165" s="38" t="s">
        <v>36</v>
      </c>
      <c r="B2165" s="38" t="s">
        <v>4565</v>
      </c>
      <c r="C2165" s="38" t="s">
        <v>4719</v>
      </c>
      <c r="D2165" s="190" t="s">
        <v>4723</v>
      </c>
      <c r="E2165" s="38" t="s">
        <v>4724</v>
      </c>
      <c r="F2165" s="38">
        <v>1540</v>
      </c>
      <c r="G2165" s="38">
        <v>1540</v>
      </c>
      <c r="H2165" s="38">
        <f t="shared" si="103"/>
        <v>1738</v>
      </c>
      <c r="I2165" s="38">
        <v>1130</v>
      </c>
      <c r="J2165" s="38">
        <v>608</v>
      </c>
      <c r="K2165" s="38">
        <v>522</v>
      </c>
      <c r="L2165" s="50">
        <f t="shared" si="104"/>
        <v>30.034522439585732</v>
      </c>
      <c r="M2165" s="38">
        <v>97</v>
      </c>
      <c r="N2165" s="50">
        <f t="shared" si="105"/>
        <v>5.5811277330264666</v>
      </c>
      <c r="O2165" s="38">
        <v>0</v>
      </c>
      <c r="P2165" s="38">
        <v>0</v>
      </c>
      <c r="Q2165" s="61" t="s">
        <v>43</v>
      </c>
      <c r="R2165" s="8">
        <v>44537</v>
      </c>
      <c r="S2165" s="61"/>
      <c r="T2165" s="20">
        <v>58</v>
      </c>
      <c r="U2165" s="61"/>
      <c r="V2165" s="61"/>
      <c r="W2165" s="61"/>
      <c r="X2165" s="61"/>
      <c r="Y2165" s="61"/>
      <c r="Z2165" s="20"/>
      <c r="AB2165" s="20"/>
      <c r="AC2165" s="38" t="s">
        <v>4723</v>
      </c>
      <c r="AD2165" s="61">
        <v>0</v>
      </c>
      <c r="AE2165" s="61"/>
    </row>
    <row r="2166" spans="1:31" x14ac:dyDescent="0.25">
      <c r="A2166" s="38" t="s">
        <v>36</v>
      </c>
      <c r="B2166" s="38" t="s">
        <v>4565</v>
      </c>
      <c r="C2166" s="38" t="s">
        <v>4719</v>
      </c>
      <c r="D2166" s="190" t="s">
        <v>4725</v>
      </c>
      <c r="E2166" s="38" t="s">
        <v>4726</v>
      </c>
      <c r="F2166" s="38">
        <v>694</v>
      </c>
      <c r="G2166" s="38">
        <v>694</v>
      </c>
      <c r="H2166" s="38">
        <f t="shared" si="103"/>
        <v>802</v>
      </c>
      <c r="I2166" s="38">
        <v>525</v>
      </c>
      <c r="J2166" s="38">
        <v>277</v>
      </c>
      <c r="K2166" s="38">
        <v>248</v>
      </c>
      <c r="L2166" s="50">
        <f t="shared" si="104"/>
        <v>30.922693266832919</v>
      </c>
      <c r="M2166" s="38">
        <v>4</v>
      </c>
      <c r="N2166" s="50">
        <f t="shared" si="105"/>
        <v>0.49875311720698251</v>
      </c>
      <c r="O2166" s="38">
        <v>0</v>
      </c>
      <c r="P2166" s="38">
        <v>6</v>
      </c>
      <c r="Q2166" s="34" t="s">
        <v>43</v>
      </c>
      <c r="R2166" s="88">
        <v>44537</v>
      </c>
      <c r="S2166" s="34"/>
      <c r="T2166" s="89">
        <v>6</v>
      </c>
      <c r="U2166" s="34"/>
      <c r="V2166" s="34"/>
      <c r="W2166" s="34"/>
      <c r="X2166" s="34"/>
      <c r="Y2166" s="34"/>
      <c r="Z2166" s="89"/>
      <c r="AB2166" s="89"/>
      <c r="AC2166" s="34" t="s">
        <v>4727</v>
      </c>
      <c r="AD2166" s="34">
        <v>25.598911999999999</v>
      </c>
      <c r="AE2166" s="34">
        <v>71.103137000000004</v>
      </c>
    </row>
    <row r="2167" spans="1:31" x14ac:dyDescent="0.25">
      <c r="A2167" s="38" t="s">
        <v>36</v>
      </c>
      <c r="B2167" s="38" t="s">
        <v>4565</v>
      </c>
      <c r="C2167" s="38" t="s">
        <v>4719</v>
      </c>
      <c r="D2167" s="190" t="s">
        <v>4728</v>
      </c>
      <c r="E2167" s="38" t="s">
        <v>4729</v>
      </c>
      <c r="F2167" s="38">
        <v>543.99</v>
      </c>
      <c r="G2167" s="38">
        <v>543.99</v>
      </c>
      <c r="H2167" s="38">
        <f t="shared" si="103"/>
        <v>484</v>
      </c>
      <c r="I2167" s="38">
        <v>312</v>
      </c>
      <c r="J2167" s="38">
        <v>172</v>
      </c>
      <c r="K2167" s="38">
        <v>140</v>
      </c>
      <c r="L2167" s="50">
        <f t="shared" si="104"/>
        <v>28.925619834710741</v>
      </c>
      <c r="M2167" s="38">
        <v>4</v>
      </c>
      <c r="N2167" s="50">
        <f t="shared" si="105"/>
        <v>0.82644628099173556</v>
      </c>
      <c r="O2167" s="38">
        <v>0</v>
      </c>
      <c r="P2167" s="38">
        <v>0</v>
      </c>
      <c r="Q2167" s="61" t="s">
        <v>43</v>
      </c>
      <c r="R2167" s="8">
        <v>44537</v>
      </c>
      <c r="S2167" s="61"/>
      <c r="T2167" s="20">
        <v>6</v>
      </c>
      <c r="U2167" s="61"/>
      <c r="V2167" s="61"/>
      <c r="W2167" s="61"/>
      <c r="X2167" s="61"/>
      <c r="Y2167" s="61"/>
      <c r="Z2167" s="20"/>
      <c r="AB2167" s="20"/>
      <c r="AC2167" s="38" t="s">
        <v>4728</v>
      </c>
      <c r="AD2167" s="61">
        <v>0</v>
      </c>
      <c r="AE2167" s="61"/>
    </row>
    <row r="2168" spans="1:31" x14ac:dyDescent="0.25">
      <c r="A2168" s="38" t="s">
        <v>36</v>
      </c>
      <c r="B2168" s="38" t="s">
        <v>4565</v>
      </c>
      <c r="C2168" s="38" t="s">
        <v>4719</v>
      </c>
      <c r="D2168" s="190" t="s">
        <v>4730</v>
      </c>
      <c r="E2168" s="38" t="s">
        <v>4731</v>
      </c>
      <c r="F2168" s="38">
        <v>905.99</v>
      </c>
      <c r="G2168" s="38">
        <v>905.99</v>
      </c>
      <c r="H2168" s="38">
        <f t="shared" si="103"/>
        <v>574</v>
      </c>
      <c r="I2168" s="38">
        <v>381</v>
      </c>
      <c r="J2168" s="38">
        <v>193</v>
      </c>
      <c r="K2168" s="38">
        <v>188</v>
      </c>
      <c r="L2168" s="50">
        <f t="shared" si="104"/>
        <v>32.752613240418114</v>
      </c>
      <c r="M2168" s="38">
        <v>10</v>
      </c>
      <c r="N2168" s="50">
        <f t="shared" si="105"/>
        <v>1.7421602787456445</v>
      </c>
      <c r="O2168" s="38">
        <v>0</v>
      </c>
      <c r="P2168" s="38">
        <v>0</v>
      </c>
      <c r="Q2168" s="61" t="s">
        <v>43</v>
      </c>
      <c r="R2168" s="8">
        <v>44537</v>
      </c>
      <c r="S2168" s="61"/>
      <c r="T2168" s="20">
        <v>16</v>
      </c>
      <c r="U2168" s="61"/>
      <c r="V2168" s="61"/>
      <c r="W2168" s="61"/>
      <c r="X2168" s="61"/>
      <c r="Y2168" s="61"/>
      <c r="Z2168" s="20"/>
      <c r="AB2168" s="20"/>
      <c r="AC2168" s="38" t="s">
        <v>4730</v>
      </c>
      <c r="AD2168" s="61">
        <v>0</v>
      </c>
      <c r="AE2168" s="61"/>
    </row>
    <row r="2169" spans="1:31" x14ac:dyDescent="0.25">
      <c r="A2169" s="38" t="s">
        <v>36</v>
      </c>
      <c r="B2169" s="38" t="s">
        <v>4565</v>
      </c>
      <c r="C2169" s="38" t="s">
        <v>4719</v>
      </c>
      <c r="D2169" s="190" t="s">
        <v>4732</v>
      </c>
      <c r="E2169" s="38" t="s">
        <v>4733</v>
      </c>
      <c r="F2169" s="38">
        <v>426.89</v>
      </c>
      <c r="G2169" s="38">
        <v>426.89</v>
      </c>
      <c r="H2169" s="38">
        <f t="shared" si="103"/>
        <v>462</v>
      </c>
      <c r="I2169" s="38">
        <v>300</v>
      </c>
      <c r="J2169" s="38">
        <v>162</v>
      </c>
      <c r="K2169" s="38">
        <v>138</v>
      </c>
      <c r="L2169" s="50">
        <f t="shared" si="104"/>
        <v>29.870129870129869</v>
      </c>
      <c r="M2169" s="38">
        <v>0</v>
      </c>
      <c r="N2169" s="50">
        <f t="shared" si="105"/>
        <v>0</v>
      </c>
      <c r="O2169" s="38">
        <v>0</v>
      </c>
      <c r="P2169" s="38">
        <v>0</v>
      </c>
      <c r="Q2169" s="61" t="s">
        <v>43</v>
      </c>
      <c r="R2169" s="8">
        <v>44537</v>
      </c>
      <c r="S2169" s="61"/>
      <c r="T2169" s="20">
        <v>19</v>
      </c>
      <c r="U2169" s="61"/>
      <c r="V2169" s="61"/>
      <c r="W2169" s="61"/>
      <c r="X2169" s="61"/>
      <c r="Y2169" s="61"/>
      <c r="Z2169" s="20"/>
      <c r="AB2169" s="20"/>
      <c r="AC2169" s="38" t="s">
        <v>4732</v>
      </c>
      <c r="AD2169" s="61">
        <v>0</v>
      </c>
      <c r="AE2169" s="61"/>
    </row>
    <row r="2170" spans="1:31" x14ac:dyDescent="0.25">
      <c r="A2170" s="38" t="s">
        <v>36</v>
      </c>
      <c r="B2170" s="38" t="s">
        <v>4565</v>
      </c>
      <c r="C2170" s="38" t="s">
        <v>4734</v>
      </c>
      <c r="D2170" s="190" t="s">
        <v>4735</v>
      </c>
      <c r="E2170" s="38" t="s">
        <v>4736</v>
      </c>
      <c r="F2170" s="38">
        <v>1429.01</v>
      </c>
      <c r="G2170" s="38">
        <v>1429.01</v>
      </c>
      <c r="H2170" s="38">
        <f t="shared" si="103"/>
        <v>2302</v>
      </c>
      <c r="I2170" s="38">
        <v>1517</v>
      </c>
      <c r="J2170" s="38">
        <v>785</v>
      </c>
      <c r="K2170" s="38">
        <v>732</v>
      </c>
      <c r="L2170" s="50">
        <f t="shared" si="104"/>
        <v>31.7984361424848</v>
      </c>
      <c r="M2170" s="38">
        <v>10</v>
      </c>
      <c r="N2170" s="50">
        <f t="shared" si="105"/>
        <v>0.4344048653344918</v>
      </c>
      <c r="O2170" s="38">
        <v>0</v>
      </c>
      <c r="P2170" s="38">
        <v>111</v>
      </c>
      <c r="Q2170" s="99" t="s">
        <v>43</v>
      </c>
      <c r="R2170" s="17">
        <v>44539</v>
      </c>
      <c r="S2170" s="61"/>
      <c r="T2170" s="20">
        <v>111</v>
      </c>
      <c r="U2170" s="99"/>
      <c r="V2170" s="99"/>
      <c r="W2170" s="99"/>
      <c r="X2170" s="99"/>
      <c r="Y2170" s="99"/>
      <c r="Z2170" s="20"/>
      <c r="AB2170" s="20"/>
      <c r="AC2170" s="38" t="s">
        <v>4735</v>
      </c>
      <c r="AD2170" s="61"/>
      <c r="AE2170" s="61"/>
    </row>
    <row r="2171" spans="1:31" x14ac:dyDescent="0.25">
      <c r="A2171" s="38" t="s">
        <v>36</v>
      </c>
      <c r="B2171" s="38" t="s">
        <v>4565</v>
      </c>
      <c r="C2171" s="38" t="s">
        <v>4734</v>
      </c>
      <c r="D2171" s="190" t="s">
        <v>1902</v>
      </c>
      <c r="E2171" s="38" t="s">
        <v>4737</v>
      </c>
      <c r="F2171" s="38">
        <v>657.03</v>
      </c>
      <c r="G2171" s="38">
        <v>657.03</v>
      </c>
      <c r="H2171" s="38">
        <f t="shared" si="103"/>
        <v>808</v>
      </c>
      <c r="I2171" s="38">
        <v>530</v>
      </c>
      <c r="J2171" s="38">
        <v>278</v>
      </c>
      <c r="K2171" s="38">
        <v>252</v>
      </c>
      <c r="L2171" s="50">
        <f t="shared" si="104"/>
        <v>31.188118811881189</v>
      </c>
      <c r="M2171" s="38">
        <v>0</v>
      </c>
      <c r="N2171" s="50">
        <f t="shared" si="105"/>
        <v>0</v>
      </c>
      <c r="O2171" s="38">
        <v>0</v>
      </c>
      <c r="P2171" s="38">
        <v>27.03</v>
      </c>
      <c r="Q2171" s="99" t="s">
        <v>43</v>
      </c>
      <c r="R2171" s="17">
        <v>44539</v>
      </c>
      <c r="S2171" s="61"/>
      <c r="T2171" s="20">
        <v>27</v>
      </c>
      <c r="U2171" s="99"/>
      <c r="V2171" s="99"/>
      <c r="W2171" s="99"/>
      <c r="X2171" s="99"/>
      <c r="Y2171" s="99"/>
      <c r="Z2171" s="20"/>
      <c r="AB2171" s="20"/>
      <c r="AC2171" s="38" t="s">
        <v>1902</v>
      </c>
      <c r="AD2171" s="61"/>
      <c r="AE2171" s="61"/>
    </row>
    <row r="2172" spans="1:31" x14ac:dyDescent="0.25">
      <c r="A2172" s="38" t="s">
        <v>36</v>
      </c>
      <c r="B2172" s="38" t="s">
        <v>4565</v>
      </c>
      <c r="C2172" s="38" t="s">
        <v>4734</v>
      </c>
      <c r="D2172" s="190" t="s">
        <v>4738</v>
      </c>
      <c r="E2172" s="38" t="s">
        <v>4739</v>
      </c>
      <c r="F2172" s="38">
        <v>1149.02</v>
      </c>
      <c r="G2172" s="38">
        <v>1149.02</v>
      </c>
      <c r="H2172" s="38">
        <f t="shared" si="103"/>
        <v>1138</v>
      </c>
      <c r="I2172" s="38">
        <v>752</v>
      </c>
      <c r="J2172" s="38">
        <v>386</v>
      </c>
      <c r="K2172" s="38">
        <v>366</v>
      </c>
      <c r="L2172" s="50">
        <f t="shared" si="104"/>
        <v>32.161687170474515</v>
      </c>
      <c r="M2172" s="38">
        <v>0</v>
      </c>
      <c r="N2172" s="50">
        <f t="shared" si="105"/>
        <v>0</v>
      </c>
      <c r="O2172" s="38">
        <v>0</v>
      </c>
      <c r="P2172" s="38">
        <v>61</v>
      </c>
      <c r="Q2172" s="99" t="s">
        <v>43</v>
      </c>
      <c r="R2172" s="17">
        <v>44539</v>
      </c>
      <c r="S2172" s="61"/>
      <c r="T2172" s="20">
        <v>61</v>
      </c>
      <c r="U2172" s="99"/>
      <c r="V2172" s="99"/>
      <c r="W2172" s="99"/>
      <c r="X2172" s="99"/>
      <c r="Y2172" s="99"/>
      <c r="Z2172" s="20"/>
      <c r="AB2172" s="20"/>
      <c r="AC2172" s="38" t="s">
        <v>4738</v>
      </c>
      <c r="AD2172" s="61"/>
      <c r="AE2172" s="61"/>
    </row>
    <row r="2173" spans="1:31" x14ac:dyDescent="0.25">
      <c r="A2173" s="38" t="s">
        <v>36</v>
      </c>
      <c r="B2173" s="38" t="s">
        <v>4565</v>
      </c>
      <c r="C2173" s="38" t="s">
        <v>4734</v>
      </c>
      <c r="D2173" s="190" t="s">
        <v>4740</v>
      </c>
      <c r="E2173" s="38" t="s">
        <v>4741</v>
      </c>
      <c r="F2173" s="38">
        <v>1431.06</v>
      </c>
      <c r="G2173" s="38">
        <v>1431.06</v>
      </c>
      <c r="H2173" s="38">
        <f t="shared" si="103"/>
        <v>2827</v>
      </c>
      <c r="I2173" s="38">
        <v>1854</v>
      </c>
      <c r="J2173" s="38">
        <v>973</v>
      </c>
      <c r="K2173" s="38">
        <v>881</v>
      </c>
      <c r="L2173" s="50">
        <f t="shared" si="104"/>
        <v>31.163777856384861</v>
      </c>
      <c r="M2173" s="38">
        <v>209</v>
      </c>
      <c r="N2173" s="50">
        <f t="shared" si="105"/>
        <v>7.3929961089494167</v>
      </c>
      <c r="O2173" s="38">
        <v>0</v>
      </c>
      <c r="P2173" s="38">
        <v>32</v>
      </c>
      <c r="Q2173" s="99" t="s">
        <v>43</v>
      </c>
      <c r="R2173" s="17">
        <v>44539</v>
      </c>
      <c r="S2173" s="61"/>
      <c r="T2173" s="20">
        <v>32</v>
      </c>
      <c r="U2173" s="99"/>
      <c r="V2173" s="99"/>
      <c r="W2173" s="99"/>
      <c r="X2173" s="99"/>
      <c r="Y2173" s="99"/>
      <c r="Z2173" s="20"/>
      <c r="AB2173" s="20"/>
      <c r="AC2173" s="38" t="s">
        <v>4740</v>
      </c>
      <c r="AD2173" s="61"/>
      <c r="AE2173" s="61"/>
    </row>
    <row r="2174" spans="1:31" x14ac:dyDescent="0.25">
      <c r="A2174" s="38" t="s">
        <v>36</v>
      </c>
      <c r="B2174" s="38" t="s">
        <v>4565</v>
      </c>
      <c r="C2174" s="38" t="s">
        <v>4742</v>
      </c>
      <c r="D2174" s="190" t="s">
        <v>4743</v>
      </c>
      <c r="E2174" s="38" t="s">
        <v>4744</v>
      </c>
      <c r="F2174" s="38">
        <v>1602</v>
      </c>
      <c r="G2174" s="38">
        <v>1602</v>
      </c>
      <c r="H2174" s="38">
        <f t="shared" si="103"/>
        <v>1776</v>
      </c>
      <c r="I2174" s="38">
        <v>1154</v>
      </c>
      <c r="J2174" s="38">
        <v>622</v>
      </c>
      <c r="K2174" s="38">
        <v>532</v>
      </c>
      <c r="L2174" s="50">
        <f t="shared" si="104"/>
        <v>29.954954954954953</v>
      </c>
      <c r="M2174" s="38">
        <v>177</v>
      </c>
      <c r="N2174" s="50">
        <f t="shared" si="105"/>
        <v>9.9662162162162158</v>
      </c>
      <c r="O2174" s="38">
        <v>258</v>
      </c>
      <c r="P2174" s="38">
        <v>130</v>
      </c>
      <c r="Q2174" s="34" t="s">
        <v>43</v>
      </c>
      <c r="R2174" s="8">
        <v>44580</v>
      </c>
      <c r="S2174" s="34"/>
      <c r="T2174" s="34">
        <v>124</v>
      </c>
      <c r="U2174" s="34"/>
      <c r="V2174" s="34"/>
      <c r="W2174" s="34"/>
      <c r="X2174" s="34"/>
      <c r="Y2174" s="34"/>
      <c r="Z2174" s="109"/>
      <c r="AB2174" s="109"/>
      <c r="AC2174" s="34" t="s">
        <v>4745</v>
      </c>
      <c r="AD2174" s="34">
        <v>25.749336</v>
      </c>
      <c r="AE2174" s="34">
        <v>71.097075000000004</v>
      </c>
    </row>
    <row r="2175" spans="1:31" x14ac:dyDescent="0.25">
      <c r="A2175" s="38" t="s">
        <v>36</v>
      </c>
      <c r="B2175" s="41" t="s">
        <v>4565</v>
      </c>
      <c r="C2175" s="41" t="s">
        <v>4742</v>
      </c>
      <c r="D2175" s="41" t="s">
        <v>4743</v>
      </c>
      <c r="E2175" s="41" t="s">
        <v>4744</v>
      </c>
      <c r="F2175" s="38">
        <v>1602</v>
      </c>
      <c r="G2175" s="38">
        <v>1602</v>
      </c>
      <c r="H2175" s="38">
        <f t="shared" si="103"/>
        <v>1776</v>
      </c>
      <c r="I2175" s="38">
        <v>1154</v>
      </c>
      <c r="J2175" s="38">
        <v>622</v>
      </c>
      <c r="K2175" s="38">
        <v>532</v>
      </c>
      <c r="L2175" s="50">
        <f t="shared" si="104"/>
        <v>29.954954954954953</v>
      </c>
      <c r="M2175" s="38">
        <v>177</v>
      </c>
      <c r="N2175" s="50">
        <f t="shared" si="105"/>
        <v>9.9662162162162158</v>
      </c>
      <c r="O2175" s="41">
        <v>258</v>
      </c>
      <c r="P2175" s="41">
        <v>130</v>
      </c>
      <c r="Q2175" s="48" t="s">
        <v>43</v>
      </c>
      <c r="R2175" s="31">
        <v>44580</v>
      </c>
      <c r="S2175" s="48"/>
      <c r="T2175" s="48"/>
      <c r="U2175" s="48"/>
      <c r="V2175" s="48"/>
      <c r="W2175" s="48"/>
      <c r="X2175" s="48"/>
      <c r="Y2175" s="48"/>
      <c r="Z2175" s="80"/>
      <c r="AB2175" s="80">
        <v>124</v>
      </c>
      <c r="AC2175" s="48" t="s">
        <v>4745</v>
      </c>
      <c r="AD2175" s="48">
        <v>25.749336</v>
      </c>
      <c r="AE2175" s="48">
        <v>71.097075000000004</v>
      </c>
    </row>
    <row r="2176" spans="1:31" x14ac:dyDescent="0.25">
      <c r="A2176" s="38" t="s">
        <v>36</v>
      </c>
      <c r="B2176" s="38" t="s">
        <v>4565</v>
      </c>
      <c r="C2176" s="38" t="s">
        <v>4742</v>
      </c>
      <c r="D2176" s="190" t="s">
        <v>4746</v>
      </c>
      <c r="E2176" s="38" t="s">
        <v>4747</v>
      </c>
      <c r="F2176" s="38">
        <v>236</v>
      </c>
      <c r="G2176" s="38">
        <v>236</v>
      </c>
      <c r="H2176" s="38">
        <f t="shared" si="103"/>
        <v>577</v>
      </c>
      <c r="I2176" s="38">
        <v>372</v>
      </c>
      <c r="J2176" s="38">
        <v>205</v>
      </c>
      <c r="K2176" s="38">
        <v>167</v>
      </c>
      <c r="L2176" s="50">
        <f t="shared" si="104"/>
        <v>28.942807625649912</v>
      </c>
      <c r="M2176" s="38">
        <v>10</v>
      </c>
      <c r="N2176" s="50">
        <f t="shared" si="105"/>
        <v>1.733102253032929</v>
      </c>
      <c r="O2176" s="38">
        <v>0</v>
      </c>
      <c r="P2176" s="38">
        <v>35</v>
      </c>
      <c r="Q2176" s="99" t="s">
        <v>43</v>
      </c>
      <c r="R2176" s="8">
        <v>44580</v>
      </c>
      <c r="S2176" s="61"/>
      <c r="T2176" s="20">
        <v>35.24</v>
      </c>
      <c r="U2176" s="99"/>
      <c r="V2176" s="99"/>
      <c r="W2176" s="99"/>
      <c r="X2176" s="99"/>
      <c r="Y2176" s="99"/>
      <c r="Z2176" s="20"/>
      <c r="AB2176" s="20"/>
      <c r="AC2176" s="38" t="s">
        <v>4746</v>
      </c>
      <c r="AD2176" s="61"/>
      <c r="AE2176" s="61"/>
    </row>
    <row r="2177" spans="1:31" x14ac:dyDescent="0.25">
      <c r="A2177" s="38" t="s">
        <v>36</v>
      </c>
      <c r="B2177" s="38" t="s">
        <v>4565</v>
      </c>
      <c r="C2177" s="38" t="s">
        <v>4742</v>
      </c>
      <c r="D2177" s="190" t="s">
        <v>4748</v>
      </c>
      <c r="E2177" s="38" t="s">
        <v>4749</v>
      </c>
      <c r="F2177" s="38">
        <v>807</v>
      </c>
      <c r="G2177" s="38">
        <v>807</v>
      </c>
      <c r="H2177" s="38">
        <f t="shared" si="103"/>
        <v>644</v>
      </c>
      <c r="I2177" s="38">
        <v>417</v>
      </c>
      <c r="J2177" s="38">
        <v>227</v>
      </c>
      <c r="K2177" s="38">
        <v>190</v>
      </c>
      <c r="L2177" s="50">
        <f t="shared" si="104"/>
        <v>29.503105590062113</v>
      </c>
      <c r="M2177" s="38">
        <v>0</v>
      </c>
      <c r="N2177" s="50">
        <f t="shared" si="105"/>
        <v>0</v>
      </c>
      <c r="O2177" s="38">
        <v>0</v>
      </c>
      <c r="P2177" s="38">
        <v>0</v>
      </c>
      <c r="Q2177" s="61" t="s">
        <v>43</v>
      </c>
      <c r="R2177" s="8">
        <v>44580</v>
      </c>
      <c r="S2177" s="61"/>
      <c r="T2177" s="20">
        <v>32.159999999999997</v>
      </c>
      <c r="U2177" s="61"/>
      <c r="V2177" s="61"/>
      <c r="W2177" s="61"/>
      <c r="X2177" s="61"/>
      <c r="Y2177" s="61"/>
      <c r="Z2177" s="20"/>
      <c r="AB2177" s="20"/>
      <c r="AC2177" s="38" t="s">
        <v>4748</v>
      </c>
      <c r="AD2177" s="61">
        <v>0</v>
      </c>
      <c r="AE2177" s="61"/>
    </row>
    <row r="2178" spans="1:31" x14ac:dyDescent="0.25">
      <c r="A2178" s="38" t="s">
        <v>36</v>
      </c>
      <c r="B2178" s="38" t="s">
        <v>4565</v>
      </c>
      <c r="C2178" s="38" t="s">
        <v>4742</v>
      </c>
      <c r="D2178" s="190" t="s">
        <v>4750</v>
      </c>
      <c r="E2178" s="38" t="s">
        <v>4751</v>
      </c>
      <c r="F2178" s="38">
        <v>1508</v>
      </c>
      <c r="G2178" s="38">
        <v>1508</v>
      </c>
      <c r="H2178" s="38">
        <f t="shared" si="103"/>
        <v>837</v>
      </c>
      <c r="I2178" s="38">
        <v>554</v>
      </c>
      <c r="J2178" s="38">
        <v>283</v>
      </c>
      <c r="K2178" s="38">
        <v>271</v>
      </c>
      <c r="L2178" s="50">
        <f t="shared" si="104"/>
        <v>32.377538829151732</v>
      </c>
      <c r="M2178" s="38">
        <v>98</v>
      </c>
      <c r="N2178" s="50">
        <f t="shared" si="105"/>
        <v>11.708482676224612</v>
      </c>
      <c r="O2178" s="38">
        <v>0</v>
      </c>
      <c r="P2178" s="38">
        <v>0</v>
      </c>
      <c r="Q2178" s="61" t="s">
        <v>43</v>
      </c>
      <c r="R2178" s="8">
        <v>44580</v>
      </c>
      <c r="S2178" s="61"/>
      <c r="T2178" s="20">
        <v>95.36</v>
      </c>
      <c r="U2178" s="61"/>
      <c r="V2178" s="61"/>
      <c r="W2178" s="61"/>
      <c r="X2178" s="61"/>
      <c r="Y2178" s="61"/>
      <c r="Z2178" s="20"/>
      <c r="AB2178" s="20"/>
      <c r="AC2178" s="38" t="s">
        <v>4750</v>
      </c>
      <c r="AD2178" s="61">
        <v>0</v>
      </c>
      <c r="AE2178" s="61"/>
    </row>
    <row r="2179" spans="1:31" x14ac:dyDescent="0.25">
      <c r="A2179" s="38" t="s">
        <v>36</v>
      </c>
      <c r="B2179" s="38" t="s">
        <v>4565</v>
      </c>
      <c r="C2179" s="38" t="s">
        <v>4752</v>
      </c>
      <c r="D2179" s="190" t="s">
        <v>4753</v>
      </c>
      <c r="E2179" s="38" t="s">
        <v>4754</v>
      </c>
      <c r="F2179" s="38">
        <v>3852</v>
      </c>
      <c r="G2179" s="38">
        <v>3852</v>
      </c>
      <c r="H2179" s="38">
        <f t="shared" si="103"/>
        <v>2489</v>
      </c>
      <c r="I2179" s="38">
        <v>1601</v>
      </c>
      <c r="J2179" s="38">
        <v>888</v>
      </c>
      <c r="K2179" s="38">
        <v>713</v>
      </c>
      <c r="L2179" s="50">
        <f t="shared" si="104"/>
        <v>28.646042587384489</v>
      </c>
      <c r="M2179" s="38">
        <v>3</v>
      </c>
      <c r="N2179" s="50">
        <f t="shared" si="105"/>
        <v>0.12053033346725592</v>
      </c>
      <c r="O2179" s="38">
        <v>0</v>
      </c>
      <c r="P2179" s="38">
        <v>1326</v>
      </c>
      <c r="Q2179" s="34" t="s">
        <v>43</v>
      </c>
      <c r="R2179" s="9">
        <v>44515</v>
      </c>
      <c r="S2179" s="34"/>
      <c r="T2179" s="34">
        <v>1326</v>
      </c>
      <c r="U2179" s="34"/>
      <c r="V2179" s="34"/>
      <c r="W2179" s="34"/>
      <c r="X2179" s="34"/>
      <c r="Y2179" s="34"/>
      <c r="Z2179" s="20"/>
      <c r="AB2179" s="109"/>
      <c r="AC2179" s="34" t="s">
        <v>4755</v>
      </c>
      <c r="AD2179" s="34">
        <v>25.806407</v>
      </c>
      <c r="AE2179" s="34">
        <v>71.044662000000002</v>
      </c>
    </row>
    <row r="2180" spans="1:31" x14ac:dyDescent="0.25">
      <c r="A2180" s="38" t="s">
        <v>36</v>
      </c>
      <c r="B2180" s="41" t="s">
        <v>4565</v>
      </c>
      <c r="C2180" s="41" t="s">
        <v>4752</v>
      </c>
      <c r="D2180" s="41" t="s">
        <v>4753</v>
      </c>
      <c r="E2180" s="41" t="s">
        <v>4754</v>
      </c>
      <c r="F2180" s="41">
        <v>3852</v>
      </c>
      <c r="G2180" s="41">
        <v>3852</v>
      </c>
      <c r="H2180" s="38">
        <f t="shared" si="103"/>
        <v>2489</v>
      </c>
      <c r="I2180" s="41">
        <v>1601</v>
      </c>
      <c r="J2180" s="41">
        <v>888</v>
      </c>
      <c r="K2180" s="41">
        <v>713</v>
      </c>
      <c r="L2180" s="50">
        <f t="shared" si="104"/>
        <v>28.646042587384489</v>
      </c>
      <c r="M2180" s="41">
        <v>3</v>
      </c>
      <c r="N2180" s="50">
        <f t="shared" si="105"/>
        <v>0.12053033346725592</v>
      </c>
      <c r="O2180" s="41">
        <v>0</v>
      </c>
      <c r="P2180" s="41">
        <v>1326</v>
      </c>
      <c r="Q2180" s="48"/>
      <c r="R2180" s="31">
        <v>44515</v>
      </c>
      <c r="S2180" s="48"/>
      <c r="T2180" s="18">
        <v>102.4824</v>
      </c>
      <c r="U2180" s="48"/>
      <c r="V2180" s="48"/>
      <c r="W2180" s="48"/>
      <c r="X2180" s="48"/>
      <c r="Y2180" s="48"/>
      <c r="Z2180" s="80"/>
      <c r="AB2180" s="80">
        <v>22</v>
      </c>
      <c r="AC2180" s="48" t="s">
        <v>4755</v>
      </c>
      <c r="AD2180" s="48">
        <v>25.819434000000001</v>
      </c>
      <c r="AE2180" s="48">
        <v>71.029675999999995</v>
      </c>
    </row>
    <row r="2181" spans="1:31" x14ac:dyDescent="0.25">
      <c r="A2181" s="38" t="s">
        <v>36</v>
      </c>
      <c r="B2181" s="41" t="s">
        <v>4565</v>
      </c>
      <c r="C2181" s="41" t="s">
        <v>4752</v>
      </c>
      <c r="D2181" s="41" t="s">
        <v>4756</v>
      </c>
      <c r="E2181" s="41" t="s">
        <v>4757</v>
      </c>
      <c r="F2181" s="41">
        <v>838</v>
      </c>
      <c r="G2181" s="41">
        <v>838</v>
      </c>
      <c r="H2181" s="38">
        <f t="shared" ref="H2181:H2244" si="106">I2181+J2181</f>
        <v>856</v>
      </c>
      <c r="I2181" s="41">
        <v>538</v>
      </c>
      <c r="J2181" s="41">
        <v>318</v>
      </c>
      <c r="K2181" s="41">
        <v>220</v>
      </c>
      <c r="L2181" s="50">
        <f t="shared" si="104"/>
        <v>25.700934579439249</v>
      </c>
      <c r="M2181" s="41">
        <v>11</v>
      </c>
      <c r="N2181" s="50">
        <f t="shared" si="105"/>
        <v>1.2850467289719625</v>
      </c>
      <c r="O2181" s="41">
        <v>0</v>
      </c>
      <c r="P2181" s="41">
        <v>61</v>
      </c>
      <c r="Q2181" s="48" t="s">
        <v>43</v>
      </c>
      <c r="R2181" s="31">
        <v>44515</v>
      </c>
      <c r="S2181" s="48"/>
      <c r="T2181" s="48">
        <v>11</v>
      </c>
      <c r="U2181" s="48"/>
      <c r="V2181" s="48"/>
      <c r="W2181" s="48"/>
      <c r="X2181" s="48"/>
      <c r="Y2181" s="48"/>
      <c r="Z2181" s="80"/>
      <c r="AB2181" s="80">
        <v>50</v>
      </c>
      <c r="AC2181" s="48" t="s">
        <v>4758</v>
      </c>
      <c r="AD2181" s="48">
        <v>25.769552999999998</v>
      </c>
      <c r="AE2181" s="48">
        <v>71.052926999999997</v>
      </c>
    </row>
    <row r="2182" spans="1:31" x14ac:dyDescent="0.25">
      <c r="A2182" s="38" t="s">
        <v>36</v>
      </c>
      <c r="B2182" s="41" t="s">
        <v>4565</v>
      </c>
      <c r="C2182" s="41" t="s">
        <v>4752</v>
      </c>
      <c r="D2182" s="41" t="s">
        <v>4756</v>
      </c>
      <c r="E2182" s="41" t="s">
        <v>4757</v>
      </c>
      <c r="F2182" s="41">
        <v>838</v>
      </c>
      <c r="G2182" s="41">
        <v>838</v>
      </c>
      <c r="H2182" s="38">
        <f t="shared" si="106"/>
        <v>856</v>
      </c>
      <c r="I2182" s="41">
        <v>538</v>
      </c>
      <c r="J2182" s="41">
        <v>318</v>
      </c>
      <c r="K2182" s="41">
        <v>220</v>
      </c>
      <c r="L2182" s="50">
        <f t="shared" ref="L2182:L2245" si="107">K2182/H2182*100</f>
        <v>25.700934579439249</v>
      </c>
      <c r="M2182" s="41">
        <v>11</v>
      </c>
      <c r="N2182" s="50">
        <f t="shared" si="105"/>
        <v>1.2850467289719625</v>
      </c>
      <c r="O2182" s="41">
        <v>0</v>
      </c>
      <c r="P2182" s="41">
        <v>61</v>
      </c>
      <c r="Q2182" s="34"/>
      <c r="R2182" s="9">
        <v>44515</v>
      </c>
      <c r="S2182" s="34"/>
      <c r="T2182" s="11">
        <v>7.6403999999999996</v>
      </c>
      <c r="U2182" s="34"/>
      <c r="V2182" s="34"/>
      <c r="W2182" s="34"/>
      <c r="X2182" s="34"/>
      <c r="Y2182" s="34"/>
      <c r="Z2182" s="109"/>
      <c r="AB2182" s="109">
        <v>10</v>
      </c>
      <c r="AC2182" s="34" t="s">
        <v>4758</v>
      </c>
      <c r="AD2182" s="34">
        <v>25.770087</v>
      </c>
      <c r="AE2182" s="34">
        <v>71.054874999999996</v>
      </c>
    </row>
    <row r="2183" spans="1:31" x14ac:dyDescent="0.25">
      <c r="A2183" s="38" t="s">
        <v>36</v>
      </c>
      <c r="B2183" s="38" t="s">
        <v>4565</v>
      </c>
      <c r="C2183" s="38" t="s">
        <v>4752</v>
      </c>
      <c r="D2183" s="190" t="s">
        <v>4759</v>
      </c>
      <c r="E2183" s="38" t="s">
        <v>4760</v>
      </c>
      <c r="F2183" s="38">
        <v>769</v>
      </c>
      <c r="G2183" s="38">
        <v>769</v>
      </c>
      <c r="H2183" s="38">
        <f t="shared" si="106"/>
        <v>874</v>
      </c>
      <c r="I2183" s="38">
        <v>576</v>
      </c>
      <c r="J2183" s="38">
        <v>298</v>
      </c>
      <c r="K2183" s="38">
        <v>278</v>
      </c>
      <c r="L2183" s="50">
        <f t="shared" si="107"/>
        <v>31.807780320366131</v>
      </c>
      <c r="M2183" s="38">
        <v>136</v>
      </c>
      <c r="N2183" s="50">
        <f t="shared" si="105"/>
        <v>15.560640732265446</v>
      </c>
      <c r="O2183" s="38">
        <v>0</v>
      </c>
      <c r="P2183" s="38">
        <v>2</v>
      </c>
      <c r="Q2183" s="99" t="s">
        <v>43</v>
      </c>
      <c r="R2183" s="8">
        <v>44515</v>
      </c>
      <c r="S2183" s="61"/>
      <c r="T2183" s="20">
        <v>12.4</v>
      </c>
      <c r="U2183" s="99"/>
      <c r="V2183" s="99"/>
      <c r="W2183" s="99"/>
      <c r="X2183" s="99"/>
      <c r="Y2183" s="99"/>
      <c r="Z2183" s="20"/>
      <c r="AB2183" s="20"/>
      <c r="AC2183" s="51" t="s">
        <v>4759</v>
      </c>
      <c r="AD2183" s="61"/>
      <c r="AE2183" s="61"/>
    </row>
    <row r="2184" spans="1:31" x14ac:dyDescent="0.25">
      <c r="A2184" s="38" t="s">
        <v>36</v>
      </c>
      <c r="B2184" s="41" t="s">
        <v>4565</v>
      </c>
      <c r="C2184" s="41" t="s">
        <v>4752</v>
      </c>
      <c r="D2184" s="41" t="s">
        <v>4759</v>
      </c>
      <c r="E2184" s="41" t="s">
        <v>4760</v>
      </c>
      <c r="F2184" s="41">
        <v>769</v>
      </c>
      <c r="G2184" s="41">
        <v>769</v>
      </c>
      <c r="H2184" s="38">
        <f t="shared" si="106"/>
        <v>874</v>
      </c>
      <c r="I2184" s="41">
        <v>576</v>
      </c>
      <c r="J2184" s="41">
        <v>298</v>
      </c>
      <c r="K2184" s="41">
        <v>278</v>
      </c>
      <c r="L2184" s="50">
        <f t="shared" si="107"/>
        <v>31.807780320366131</v>
      </c>
      <c r="M2184" s="41">
        <v>136</v>
      </c>
      <c r="N2184" s="50">
        <f t="shared" si="105"/>
        <v>15.560640732265446</v>
      </c>
      <c r="O2184" s="41">
        <v>0</v>
      </c>
      <c r="P2184" s="41">
        <v>2</v>
      </c>
      <c r="Q2184" s="44"/>
      <c r="R2184" s="31">
        <v>44515</v>
      </c>
      <c r="S2184" s="44"/>
      <c r="T2184" s="18">
        <v>105.7766</v>
      </c>
      <c r="U2184" s="44"/>
      <c r="V2184" s="44"/>
      <c r="W2184" s="44"/>
      <c r="X2184" s="44"/>
      <c r="Y2184" s="44"/>
      <c r="Z2184" s="5"/>
      <c r="AB2184" s="5">
        <v>12</v>
      </c>
      <c r="AC2184" s="56" t="s">
        <v>4759</v>
      </c>
      <c r="AD2184" s="44">
        <v>25.826917000000002</v>
      </c>
      <c r="AE2184" s="44">
        <v>71.052262999999996</v>
      </c>
    </row>
    <row r="2185" spans="1:31" x14ac:dyDescent="0.25">
      <c r="A2185" s="38" t="s">
        <v>36</v>
      </c>
      <c r="B2185" s="38" t="s">
        <v>4565</v>
      </c>
      <c r="C2185" s="38" t="s">
        <v>2242</v>
      </c>
      <c r="D2185" s="190" t="s">
        <v>2242</v>
      </c>
      <c r="E2185" s="38" t="s">
        <v>4761</v>
      </c>
      <c r="F2185" s="38">
        <v>689.01</v>
      </c>
      <c r="G2185" s="38">
        <v>689.01</v>
      </c>
      <c r="H2185" s="38">
        <f t="shared" si="106"/>
        <v>775</v>
      </c>
      <c r="I2185" s="38">
        <v>507</v>
      </c>
      <c r="J2185" s="38">
        <v>268</v>
      </c>
      <c r="K2185" s="38">
        <v>239</v>
      </c>
      <c r="L2185" s="50">
        <f t="shared" si="107"/>
        <v>30.838709677419356</v>
      </c>
      <c r="M2185" s="38">
        <v>0</v>
      </c>
      <c r="N2185" s="50">
        <f t="shared" si="105"/>
        <v>0</v>
      </c>
      <c r="O2185" s="38">
        <v>0</v>
      </c>
      <c r="P2185" s="38">
        <v>0</v>
      </c>
    </row>
    <row r="2186" spans="1:31" x14ac:dyDescent="0.25">
      <c r="A2186" s="38" t="s">
        <v>36</v>
      </c>
      <c r="B2186" s="38" t="s">
        <v>4565</v>
      </c>
      <c r="C2186" s="38" t="s">
        <v>2242</v>
      </c>
      <c r="D2186" s="190" t="s">
        <v>2257</v>
      </c>
      <c r="E2186" s="38" t="s">
        <v>4762</v>
      </c>
      <c r="F2186" s="38">
        <v>1171</v>
      </c>
      <c r="G2186" s="38">
        <v>1171</v>
      </c>
      <c r="H2186" s="38">
        <f t="shared" si="106"/>
        <v>992</v>
      </c>
      <c r="I2186" s="38">
        <v>643</v>
      </c>
      <c r="J2186" s="38">
        <v>349</v>
      </c>
      <c r="K2186" s="38">
        <v>294</v>
      </c>
      <c r="L2186" s="50">
        <f t="shared" si="107"/>
        <v>29.637096774193552</v>
      </c>
      <c r="M2186" s="38">
        <v>7</v>
      </c>
      <c r="N2186" s="50">
        <f t="shared" si="105"/>
        <v>0.70564516129032251</v>
      </c>
      <c r="O2186" s="38">
        <v>0</v>
      </c>
      <c r="P2186" s="38">
        <v>0</v>
      </c>
    </row>
    <row r="2187" spans="1:31" x14ac:dyDescent="0.25">
      <c r="A2187" s="38" t="s">
        <v>36</v>
      </c>
      <c r="B2187" s="38" t="s">
        <v>4565</v>
      </c>
      <c r="C2187" s="38" t="s">
        <v>2242</v>
      </c>
      <c r="D2187" s="190" t="s">
        <v>4763</v>
      </c>
      <c r="E2187" s="38" t="s">
        <v>4764</v>
      </c>
      <c r="F2187" s="38">
        <v>579.01</v>
      </c>
      <c r="G2187" s="38">
        <v>579.01</v>
      </c>
      <c r="H2187" s="38">
        <f t="shared" si="106"/>
        <v>598</v>
      </c>
      <c r="I2187" s="38">
        <v>395</v>
      </c>
      <c r="J2187" s="38">
        <v>203</v>
      </c>
      <c r="K2187" s="38">
        <v>192</v>
      </c>
      <c r="L2187" s="50">
        <f t="shared" si="107"/>
        <v>32.107023411371237</v>
      </c>
      <c r="M2187" s="38">
        <v>0</v>
      </c>
      <c r="N2187" s="50">
        <f t="shared" si="105"/>
        <v>0</v>
      </c>
      <c r="O2187" s="38">
        <v>0</v>
      </c>
      <c r="P2187" s="38">
        <v>0</v>
      </c>
    </row>
    <row r="2188" spans="1:31" x14ac:dyDescent="0.25">
      <c r="A2188" s="38" t="s">
        <v>36</v>
      </c>
      <c r="B2188" s="38" t="s">
        <v>4565</v>
      </c>
      <c r="C2188" s="38" t="s">
        <v>2242</v>
      </c>
      <c r="D2188" s="190" t="s">
        <v>927</v>
      </c>
      <c r="E2188" s="38" t="s">
        <v>4765</v>
      </c>
      <c r="F2188" s="38">
        <v>610.29</v>
      </c>
      <c r="G2188" s="38">
        <v>610.29</v>
      </c>
      <c r="H2188" s="38">
        <f t="shared" si="106"/>
        <v>539</v>
      </c>
      <c r="I2188" s="38">
        <v>358</v>
      </c>
      <c r="J2188" s="38">
        <v>181</v>
      </c>
      <c r="K2188" s="38">
        <v>177</v>
      </c>
      <c r="L2188" s="50">
        <f t="shared" si="107"/>
        <v>32.838589981447122</v>
      </c>
      <c r="M2188" s="38">
        <v>0</v>
      </c>
      <c r="N2188" s="50">
        <f t="shared" si="105"/>
        <v>0</v>
      </c>
      <c r="O2188" s="38">
        <v>0</v>
      </c>
      <c r="P2188" s="38">
        <v>0</v>
      </c>
    </row>
    <row r="2189" spans="1:31" x14ac:dyDescent="0.25">
      <c r="A2189" s="38" t="s">
        <v>36</v>
      </c>
      <c r="B2189" s="38" t="s">
        <v>4565</v>
      </c>
      <c r="C2189" s="38" t="s">
        <v>2242</v>
      </c>
      <c r="D2189" s="190" t="s">
        <v>4766</v>
      </c>
      <c r="E2189" s="38" t="s">
        <v>4767</v>
      </c>
      <c r="F2189" s="38">
        <v>301.74</v>
      </c>
      <c r="G2189" s="38">
        <v>301.74</v>
      </c>
      <c r="H2189" s="38">
        <f t="shared" si="106"/>
        <v>459</v>
      </c>
      <c r="I2189" s="38">
        <v>299</v>
      </c>
      <c r="J2189" s="38">
        <v>160</v>
      </c>
      <c r="K2189" s="38">
        <v>139</v>
      </c>
      <c r="L2189" s="50">
        <f t="shared" si="107"/>
        <v>30.283224400871461</v>
      </c>
      <c r="M2189" s="38">
        <v>0</v>
      </c>
      <c r="N2189" s="50">
        <f t="shared" si="105"/>
        <v>0</v>
      </c>
      <c r="O2189" s="38">
        <v>0</v>
      </c>
      <c r="P2189" s="38">
        <v>0</v>
      </c>
    </row>
    <row r="2190" spans="1:31" x14ac:dyDescent="0.25">
      <c r="A2190" s="38" t="s">
        <v>36</v>
      </c>
      <c r="B2190" s="38" t="s">
        <v>4565</v>
      </c>
      <c r="C2190" s="38" t="s">
        <v>2242</v>
      </c>
      <c r="D2190" s="190" t="s">
        <v>4768</v>
      </c>
      <c r="E2190" s="38" t="s">
        <v>4769</v>
      </c>
      <c r="F2190" s="38">
        <v>652</v>
      </c>
      <c r="G2190" s="38">
        <v>652</v>
      </c>
      <c r="H2190" s="38">
        <f t="shared" si="106"/>
        <v>748</v>
      </c>
      <c r="I2190" s="38">
        <v>493</v>
      </c>
      <c r="J2190" s="38">
        <v>255</v>
      </c>
      <c r="K2190" s="38">
        <v>238</v>
      </c>
      <c r="L2190" s="50">
        <f t="shared" si="107"/>
        <v>31.818181818181817</v>
      </c>
      <c r="M2190" s="38">
        <v>81</v>
      </c>
      <c r="N2190" s="50">
        <f t="shared" si="105"/>
        <v>10.828877005347595</v>
      </c>
      <c r="O2190" s="38">
        <v>0</v>
      </c>
      <c r="P2190" s="38">
        <v>0</v>
      </c>
    </row>
    <row r="2191" spans="1:31" x14ac:dyDescent="0.25">
      <c r="A2191" s="38" t="s">
        <v>36</v>
      </c>
      <c r="B2191" s="38" t="s">
        <v>4565</v>
      </c>
      <c r="C2191" s="38" t="s">
        <v>4770</v>
      </c>
      <c r="D2191" s="190" t="s">
        <v>4771</v>
      </c>
      <c r="E2191" s="38" t="s">
        <v>4772</v>
      </c>
      <c r="F2191" s="38">
        <v>1602</v>
      </c>
      <c r="G2191" s="38">
        <v>1602</v>
      </c>
      <c r="H2191" s="38">
        <f t="shared" si="106"/>
        <v>2129</v>
      </c>
      <c r="I2191" s="11">
        <v>1411</v>
      </c>
      <c r="J2191" s="11">
        <v>718</v>
      </c>
      <c r="K2191" s="11">
        <v>693</v>
      </c>
      <c r="L2191" s="50">
        <f t="shared" si="107"/>
        <v>32.550493189290748</v>
      </c>
      <c r="M2191" s="11">
        <v>11</v>
      </c>
      <c r="N2191" s="50">
        <f t="shared" si="105"/>
        <v>0.51667449506810714</v>
      </c>
      <c r="O2191" s="38">
        <v>0</v>
      </c>
      <c r="P2191" s="38">
        <v>0</v>
      </c>
      <c r="Q2191" s="99" t="s">
        <v>43</v>
      </c>
      <c r="R2191" s="17">
        <v>44553</v>
      </c>
      <c r="S2191" s="61"/>
      <c r="T2191" s="20">
        <v>773.13</v>
      </c>
      <c r="U2191" s="99"/>
      <c r="V2191" s="99"/>
      <c r="W2191" s="99"/>
      <c r="X2191" s="99"/>
      <c r="Y2191" s="99"/>
      <c r="Z2191" s="20"/>
      <c r="AB2191" s="20"/>
      <c r="AC2191" s="38" t="s">
        <v>4771</v>
      </c>
      <c r="AD2191" s="61"/>
      <c r="AE2191" s="61"/>
    </row>
    <row r="2192" spans="1:31" x14ac:dyDescent="0.25">
      <c r="A2192" s="38" t="s">
        <v>36</v>
      </c>
      <c r="B2192" s="38" t="s">
        <v>4565</v>
      </c>
      <c r="C2192" s="38" t="s">
        <v>4770</v>
      </c>
      <c r="D2192" s="190" t="s">
        <v>4773</v>
      </c>
      <c r="E2192" s="38" t="s">
        <v>4774</v>
      </c>
      <c r="F2192" s="38">
        <v>851</v>
      </c>
      <c r="G2192" s="38">
        <v>851</v>
      </c>
      <c r="H2192" s="38">
        <f t="shared" si="106"/>
        <v>711</v>
      </c>
      <c r="I2192" s="38">
        <v>463</v>
      </c>
      <c r="J2192" s="38">
        <v>248</v>
      </c>
      <c r="K2192" s="38">
        <v>215</v>
      </c>
      <c r="L2192" s="50">
        <f t="shared" si="107"/>
        <v>30.239099859353026</v>
      </c>
      <c r="M2192" s="38">
        <v>8</v>
      </c>
      <c r="N2192" s="50">
        <f t="shared" si="105"/>
        <v>1.1251758087201125</v>
      </c>
      <c r="O2192" s="38">
        <v>0</v>
      </c>
      <c r="P2192" s="38">
        <v>0</v>
      </c>
      <c r="Q2192" s="99" t="s">
        <v>43</v>
      </c>
      <c r="R2192" s="17">
        <v>44553</v>
      </c>
      <c r="S2192" s="61"/>
      <c r="T2192" s="20">
        <v>68.150000000000006</v>
      </c>
      <c r="U2192" s="99"/>
      <c r="V2192" s="99"/>
      <c r="W2192" s="99"/>
      <c r="X2192" s="99"/>
      <c r="Y2192" s="99"/>
      <c r="Z2192" s="20"/>
      <c r="AB2192" s="20"/>
      <c r="AC2192" s="38" t="s">
        <v>4773</v>
      </c>
      <c r="AD2192" s="61"/>
      <c r="AE2192" s="61"/>
    </row>
    <row r="2193" spans="1:31" x14ac:dyDescent="0.25">
      <c r="A2193" s="38" t="s">
        <v>36</v>
      </c>
      <c r="B2193" s="38" t="s">
        <v>4565</v>
      </c>
      <c r="C2193" s="38" t="s">
        <v>4770</v>
      </c>
      <c r="D2193" s="190" t="s">
        <v>4775</v>
      </c>
      <c r="E2193" s="38" t="s">
        <v>4776</v>
      </c>
      <c r="F2193" s="38">
        <v>865</v>
      </c>
      <c r="G2193" s="38">
        <v>865</v>
      </c>
      <c r="H2193" s="38">
        <f t="shared" si="106"/>
        <v>968</v>
      </c>
      <c r="I2193" s="38">
        <v>627</v>
      </c>
      <c r="J2193" s="38">
        <v>341</v>
      </c>
      <c r="K2193" s="38">
        <v>286</v>
      </c>
      <c r="L2193" s="50">
        <f t="shared" si="107"/>
        <v>29.545454545454547</v>
      </c>
      <c r="M2193" s="38">
        <v>0</v>
      </c>
      <c r="N2193" s="50">
        <f t="shared" si="105"/>
        <v>0</v>
      </c>
      <c r="O2193" s="38">
        <v>0</v>
      </c>
      <c r="P2193" s="38">
        <v>0</v>
      </c>
      <c r="Q2193" s="99" t="s">
        <v>43</v>
      </c>
      <c r="R2193" s="17">
        <v>44553</v>
      </c>
      <c r="S2193" s="61"/>
      <c r="T2193" s="20">
        <v>972</v>
      </c>
      <c r="U2193" s="99"/>
      <c r="V2193" s="99"/>
      <c r="W2193" s="99"/>
      <c r="X2193" s="99"/>
      <c r="Y2193" s="99"/>
      <c r="Z2193" s="20"/>
      <c r="AB2193" s="20"/>
      <c r="AC2193" s="38" t="s">
        <v>4775</v>
      </c>
      <c r="AD2193" s="61"/>
      <c r="AE2193" s="61"/>
    </row>
    <row r="2194" spans="1:31" x14ac:dyDescent="0.25">
      <c r="A2194" s="38" t="s">
        <v>36</v>
      </c>
      <c r="B2194" s="38" t="s">
        <v>4565</v>
      </c>
      <c r="C2194" s="38" t="s">
        <v>4770</v>
      </c>
      <c r="D2194" s="190" t="s">
        <v>4777</v>
      </c>
      <c r="E2194" s="38" t="s">
        <v>4778</v>
      </c>
      <c r="F2194" s="38">
        <v>2305</v>
      </c>
      <c r="G2194" s="38">
        <v>2305</v>
      </c>
      <c r="H2194" s="38">
        <f t="shared" si="106"/>
        <v>1255</v>
      </c>
      <c r="I2194" s="38">
        <v>821</v>
      </c>
      <c r="J2194" s="38">
        <v>434</v>
      </c>
      <c r="K2194" s="38">
        <v>387</v>
      </c>
      <c r="L2194" s="50">
        <f t="shared" si="107"/>
        <v>30.836653386454181</v>
      </c>
      <c r="M2194" s="38">
        <v>29</v>
      </c>
      <c r="N2194" s="50">
        <f t="shared" si="105"/>
        <v>2.3107569721115535</v>
      </c>
      <c r="O2194" s="38">
        <v>0</v>
      </c>
      <c r="P2194" s="38">
        <v>0</v>
      </c>
      <c r="Q2194" s="99" t="s">
        <v>43</v>
      </c>
      <c r="R2194" s="17">
        <v>44553</v>
      </c>
      <c r="S2194" s="61"/>
      <c r="T2194" s="20">
        <v>823</v>
      </c>
      <c r="U2194" s="99"/>
      <c r="V2194" s="99"/>
      <c r="W2194" s="99"/>
      <c r="X2194" s="99"/>
      <c r="Y2194" s="99"/>
      <c r="Z2194" s="20"/>
      <c r="AB2194" s="20"/>
      <c r="AC2194" s="38" t="s">
        <v>4777</v>
      </c>
      <c r="AD2194" s="61"/>
      <c r="AE2194" s="61"/>
    </row>
    <row r="2195" spans="1:31" x14ac:dyDescent="0.25">
      <c r="A2195" s="38" t="s">
        <v>36</v>
      </c>
      <c r="B2195" s="38" t="s">
        <v>4565</v>
      </c>
      <c r="C2195" s="38" t="s">
        <v>4779</v>
      </c>
      <c r="D2195" s="190" t="s">
        <v>3319</v>
      </c>
      <c r="E2195" s="38" t="s">
        <v>4780</v>
      </c>
      <c r="F2195" s="38">
        <v>945</v>
      </c>
      <c r="G2195" s="38">
        <v>945</v>
      </c>
      <c r="H2195" s="38">
        <f t="shared" si="106"/>
        <v>1377</v>
      </c>
      <c r="I2195" s="38">
        <v>900</v>
      </c>
      <c r="J2195" s="38">
        <v>477</v>
      </c>
      <c r="K2195" s="38">
        <v>423</v>
      </c>
      <c r="L2195" s="50">
        <f t="shared" si="107"/>
        <v>30.718954248366014</v>
      </c>
      <c r="M2195" s="38">
        <v>168</v>
      </c>
      <c r="N2195" s="50">
        <f t="shared" si="105"/>
        <v>12.200435729847495</v>
      </c>
      <c r="O2195" s="38">
        <v>71</v>
      </c>
      <c r="P2195" s="38">
        <v>17</v>
      </c>
      <c r="Q2195" s="99" t="s">
        <v>43</v>
      </c>
      <c r="R2195" s="17">
        <v>44607</v>
      </c>
      <c r="S2195" s="61"/>
      <c r="T2195" s="20">
        <v>107</v>
      </c>
      <c r="U2195" s="99"/>
      <c r="V2195" s="99"/>
      <c r="W2195" s="99"/>
      <c r="X2195" s="99"/>
      <c r="Y2195" s="99"/>
      <c r="Z2195" s="20"/>
      <c r="AB2195" s="20"/>
      <c r="AC2195" s="38" t="s">
        <v>3319</v>
      </c>
      <c r="AD2195" s="61"/>
      <c r="AE2195" s="61"/>
    </row>
    <row r="2196" spans="1:31" x14ac:dyDescent="0.25">
      <c r="A2196" s="38" t="s">
        <v>36</v>
      </c>
      <c r="B2196" s="38" t="s">
        <v>4565</v>
      </c>
      <c r="C2196" s="38" t="s">
        <v>4779</v>
      </c>
      <c r="D2196" s="190" t="s">
        <v>1457</v>
      </c>
      <c r="E2196" s="38" t="s">
        <v>4781</v>
      </c>
      <c r="F2196" s="38">
        <v>375.11</v>
      </c>
      <c r="G2196" s="38">
        <v>375.11</v>
      </c>
      <c r="H2196" s="38">
        <f t="shared" si="106"/>
        <v>474</v>
      </c>
      <c r="I2196" s="38">
        <v>313</v>
      </c>
      <c r="J2196" s="38">
        <v>161</v>
      </c>
      <c r="K2196" s="38">
        <v>152</v>
      </c>
      <c r="L2196" s="50">
        <f t="shared" si="107"/>
        <v>32.067510548523209</v>
      </c>
      <c r="M2196" s="38">
        <v>9</v>
      </c>
      <c r="N2196" s="50">
        <f t="shared" si="105"/>
        <v>1.89873417721519</v>
      </c>
      <c r="O2196" s="38">
        <v>0</v>
      </c>
      <c r="P2196" s="38">
        <v>0</v>
      </c>
      <c r="Q2196" s="61" t="s">
        <v>43</v>
      </c>
      <c r="R2196" s="17">
        <v>44607</v>
      </c>
      <c r="S2196" s="61"/>
      <c r="T2196" s="20">
        <v>0</v>
      </c>
      <c r="U2196" s="61"/>
      <c r="V2196" s="61"/>
      <c r="W2196" s="61"/>
      <c r="X2196" s="61"/>
      <c r="Y2196" s="61"/>
      <c r="Z2196" s="20"/>
      <c r="AB2196" s="20"/>
      <c r="AC2196" s="38" t="s">
        <v>1457</v>
      </c>
      <c r="AD2196" s="61">
        <v>0</v>
      </c>
      <c r="AE2196" s="61"/>
    </row>
    <row r="2197" spans="1:31" x14ac:dyDescent="0.25">
      <c r="A2197" s="38" t="s">
        <v>36</v>
      </c>
      <c r="B2197" s="38" t="s">
        <v>4565</v>
      </c>
      <c r="C2197" s="38" t="s">
        <v>4779</v>
      </c>
      <c r="D2197" s="190" t="s">
        <v>481</v>
      </c>
      <c r="E2197" s="38" t="s">
        <v>4782</v>
      </c>
      <c r="F2197" s="38">
        <v>981</v>
      </c>
      <c r="G2197" s="38">
        <v>981</v>
      </c>
      <c r="H2197" s="38">
        <f t="shared" si="106"/>
        <v>1013</v>
      </c>
      <c r="I2197" s="38">
        <v>656</v>
      </c>
      <c r="J2197" s="38">
        <v>357</v>
      </c>
      <c r="K2197" s="38">
        <v>299</v>
      </c>
      <c r="L2197" s="50">
        <f t="shared" si="107"/>
        <v>29.516288252714705</v>
      </c>
      <c r="M2197" s="38">
        <v>88</v>
      </c>
      <c r="N2197" s="50">
        <f t="shared" si="105"/>
        <v>8.6870681145113515</v>
      </c>
      <c r="O2197" s="38">
        <v>0</v>
      </c>
      <c r="P2197" s="38">
        <v>2</v>
      </c>
      <c r="Q2197" s="61" t="s">
        <v>43</v>
      </c>
      <c r="R2197" s="17">
        <v>44607</v>
      </c>
      <c r="S2197" s="61"/>
      <c r="T2197" s="20">
        <v>0</v>
      </c>
      <c r="U2197" s="61"/>
      <c r="V2197" s="61"/>
      <c r="W2197" s="61"/>
      <c r="X2197" s="61"/>
      <c r="Y2197" s="61"/>
      <c r="Z2197" s="20"/>
      <c r="AB2197" s="20"/>
      <c r="AC2197" s="38" t="s">
        <v>481</v>
      </c>
      <c r="AD2197" s="61">
        <v>0</v>
      </c>
      <c r="AE2197" s="61"/>
    </row>
    <row r="2198" spans="1:31" x14ac:dyDescent="0.25">
      <c r="A2198" s="38" t="s">
        <v>36</v>
      </c>
      <c r="B2198" s="38" t="s">
        <v>4565</v>
      </c>
      <c r="C2198" s="38" t="s">
        <v>4779</v>
      </c>
      <c r="D2198" s="190" t="s">
        <v>4783</v>
      </c>
      <c r="E2198" s="38" t="s">
        <v>4784</v>
      </c>
      <c r="F2198" s="38">
        <v>589</v>
      </c>
      <c r="G2198" s="38">
        <v>589</v>
      </c>
      <c r="H2198" s="38">
        <f t="shared" si="106"/>
        <v>507</v>
      </c>
      <c r="I2198" s="38">
        <v>337</v>
      </c>
      <c r="J2198" s="38">
        <v>170</v>
      </c>
      <c r="K2198" s="38">
        <v>167</v>
      </c>
      <c r="L2198" s="50">
        <f t="shared" si="107"/>
        <v>32.938856015779095</v>
      </c>
      <c r="M2198" s="38">
        <v>8</v>
      </c>
      <c r="N2198" s="50">
        <f t="shared" ref="N2198:N2207" si="108">M2198/H2198*100</f>
        <v>1.5779092702169626</v>
      </c>
      <c r="O2198" s="38">
        <v>0</v>
      </c>
      <c r="P2198" s="38">
        <v>0</v>
      </c>
      <c r="Q2198" s="61" t="s">
        <v>43</v>
      </c>
      <c r="R2198" s="17">
        <v>44607</v>
      </c>
      <c r="S2198" s="61"/>
      <c r="T2198" s="20">
        <v>0</v>
      </c>
      <c r="U2198" s="61"/>
      <c r="V2198" s="61"/>
      <c r="W2198" s="61"/>
      <c r="X2198" s="61"/>
      <c r="Y2198" s="61"/>
      <c r="Z2198" s="20"/>
      <c r="AB2198" s="20"/>
      <c r="AC2198" s="38" t="s">
        <v>4783</v>
      </c>
      <c r="AD2198" s="61">
        <v>0</v>
      </c>
      <c r="AE2198" s="61"/>
    </row>
    <row r="2199" spans="1:31" x14ac:dyDescent="0.25">
      <c r="A2199" s="38" t="s">
        <v>36</v>
      </c>
      <c r="B2199" s="38" t="s">
        <v>4565</v>
      </c>
      <c r="C2199" s="38" t="s">
        <v>4779</v>
      </c>
      <c r="D2199" s="190" t="s">
        <v>4785</v>
      </c>
      <c r="E2199" s="38" t="s">
        <v>4786</v>
      </c>
      <c r="F2199" s="38">
        <v>998</v>
      </c>
      <c r="G2199" s="38">
        <v>998</v>
      </c>
      <c r="H2199" s="38">
        <f t="shared" si="106"/>
        <v>497</v>
      </c>
      <c r="I2199" s="38">
        <v>327</v>
      </c>
      <c r="J2199" s="38">
        <v>170</v>
      </c>
      <c r="K2199" s="38">
        <v>157</v>
      </c>
      <c r="L2199" s="50">
        <f t="shared" si="107"/>
        <v>31.589537223340042</v>
      </c>
      <c r="M2199" s="38">
        <v>0</v>
      </c>
      <c r="N2199" s="50">
        <f t="shared" si="108"/>
        <v>0</v>
      </c>
      <c r="O2199" s="38">
        <v>0</v>
      </c>
      <c r="P2199" s="38">
        <v>0</v>
      </c>
      <c r="Q2199" s="61" t="s">
        <v>43</v>
      </c>
      <c r="R2199" s="17">
        <v>44607</v>
      </c>
      <c r="S2199" s="61"/>
      <c r="T2199" s="20">
        <v>0</v>
      </c>
      <c r="U2199" s="61"/>
      <c r="V2199" s="61"/>
      <c r="W2199" s="61"/>
      <c r="X2199" s="61"/>
      <c r="Y2199" s="61"/>
      <c r="Z2199" s="20"/>
      <c r="AB2199" s="20"/>
      <c r="AC2199" s="38" t="s">
        <v>4787</v>
      </c>
      <c r="AD2199" s="61">
        <v>0</v>
      </c>
      <c r="AE2199" s="61"/>
    </row>
    <row r="2200" spans="1:31" x14ac:dyDescent="0.25">
      <c r="A2200" s="38" t="s">
        <v>36</v>
      </c>
      <c r="B2200" s="38" t="s">
        <v>4565</v>
      </c>
      <c r="C2200" s="38" t="s">
        <v>4779</v>
      </c>
      <c r="D2200" s="190" t="s">
        <v>2297</v>
      </c>
      <c r="E2200" s="38" t="s">
        <v>4788</v>
      </c>
      <c r="F2200" s="38">
        <v>704.09</v>
      </c>
      <c r="G2200" s="38">
        <v>704.09</v>
      </c>
      <c r="H2200" s="38">
        <f t="shared" si="106"/>
        <v>630</v>
      </c>
      <c r="I2200" s="38">
        <v>414</v>
      </c>
      <c r="J2200" s="38">
        <v>216</v>
      </c>
      <c r="K2200" s="38">
        <v>198</v>
      </c>
      <c r="L2200" s="50">
        <f t="shared" si="107"/>
        <v>31.428571428571427</v>
      </c>
      <c r="M2200" s="38">
        <v>0</v>
      </c>
      <c r="N2200" s="50">
        <f t="shared" si="108"/>
        <v>0</v>
      </c>
      <c r="O2200" s="38">
        <v>0</v>
      </c>
      <c r="P2200" s="38">
        <v>0</v>
      </c>
      <c r="Q2200" s="61" t="s">
        <v>43</v>
      </c>
      <c r="R2200" s="17">
        <v>44607</v>
      </c>
      <c r="S2200" s="61"/>
      <c r="T2200" s="20">
        <v>0</v>
      </c>
      <c r="U2200" s="61"/>
      <c r="V2200" s="61"/>
      <c r="W2200" s="61"/>
      <c r="X2200" s="61"/>
      <c r="Y2200" s="61"/>
      <c r="Z2200" s="20"/>
      <c r="AB2200" s="20"/>
      <c r="AC2200" s="38" t="s">
        <v>2297</v>
      </c>
      <c r="AD2200" s="61">
        <v>0</v>
      </c>
      <c r="AE2200" s="61"/>
    </row>
    <row r="2201" spans="1:31" x14ac:dyDescent="0.25">
      <c r="A2201" s="38" t="s">
        <v>36</v>
      </c>
      <c r="B2201" s="38" t="s">
        <v>4565</v>
      </c>
      <c r="C2201" s="38" t="s">
        <v>4779</v>
      </c>
      <c r="D2201" s="190" t="s">
        <v>4789</v>
      </c>
      <c r="E2201" s="38" t="s">
        <v>4790</v>
      </c>
      <c r="F2201" s="38">
        <v>423</v>
      </c>
      <c r="G2201" s="38">
        <v>423</v>
      </c>
      <c r="H2201" s="38">
        <f t="shared" si="106"/>
        <v>478</v>
      </c>
      <c r="I2201" s="38">
        <v>321</v>
      </c>
      <c r="J2201" s="38">
        <v>157</v>
      </c>
      <c r="K2201" s="38">
        <v>164</v>
      </c>
      <c r="L2201" s="50">
        <f t="shared" si="107"/>
        <v>34.309623430962347</v>
      </c>
      <c r="M2201" s="38">
        <v>0</v>
      </c>
      <c r="N2201" s="50">
        <f t="shared" si="108"/>
        <v>0</v>
      </c>
      <c r="O2201" s="38">
        <v>0</v>
      </c>
      <c r="P2201" s="38">
        <v>0</v>
      </c>
      <c r="Q2201" s="61" t="s">
        <v>43</v>
      </c>
      <c r="R2201" s="17">
        <v>44607</v>
      </c>
      <c r="S2201" s="61"/>
      <c r="T2201" s="20">
        <v>0</v>
      </c>
      <c r="U2201" s="61"/>
      <c r="V2201" s="61"/>
      <c r="W2201" s="61"/>
      <c r="X2201" s="61"/>
      <c r="Y2201" s="61"/>
      <c r="Z2201" s="20"/>
      <c r="AB2201" s="20"/>
      <c r="AC2201" s="38" t="s">
        <v>4789</v>
      </c>
      <c r="AD2201" s="61">
        <v>0</v>
      </c>
      <c r="AE2201" s="61"/>
    </row>
    <row r="2202" spans="1:31" x14ac:dyDescent="0.25">
      <c r="A2202" s="38" t="s">
        <v>36</v>
      </c>
      <c r="B2202" s="38" t="s">
        <v>4565</v>
      </c>
      <c r="C2202" s="38" t="s">
        <v>4779</v>
      </c>
      <c r="D2202" s="190" t="s">
        <v>4787</v>
      </c>
      <c r="E2202" s="38" t="s">
        <v>4791</v>
      </c>
      <c r="F2202" s="38">
        <v>350</v>
      </c>
      <c r="G2202" s="38">
        <v>350</v>
      </c>
      <c r="H2202" s="38">
        <f t="shared" si="106"/>
        <v>774</v>
      </c>
      <c r="I2202" s="38">
        <v>507</v>
      </c>
      <c r="J2202" s="38">
        <v>267</v>
      </c>
      <c r="K2202" s="38">
        <v>240</v>
      </c>
      <c r="L2202" s="50">
        <f t="shared" si="107"/>
        <v>31.007751937984494</v>
      </c>
      <c r="M2202" s="38">
        <v>34</v>
      </c>
      <c r="N2202" s="50">
        <f t="shared" si="108"/>
        <v>4.3927648578811365</v>
      </c>
      <c r="O2202" s="38">
        <v>0</v>
      </c>
      <c r="P2202" s="38">
        <v>0</v>
      </c>
      <c r="Q2202" s="61" t="s">
        <v>43</v>
      </c>
      <c r="R2202" s="17">
        <v>44607</v>
      </c>
      <c r="S2202" s="61"/>
      <c r="T2202" s="20">
        <v>0</v>
      </c>
      <c r="U2202" s="61"/>
      <c r="V2202" s="61"/>
      <c r="W2202" s="61"/>
      <c r="X2202" s="61"/>
      <c r="Y2202" s="61"/>
      <c r="Z2202" s="20"/>
      <c r="AB2202" s="20"/>
      <c r="AC2202" s="38" t="s">
        <v>4787</v>
      </c>
      <c r="AD2202" s="61">
        <v>0</v>
      </c>
      <c r="AE2202" s="61"/>
    </row>
    <row r="2203" spans="1:31" x14ac:dyDescent="0.25">
      <c r="A2203" s="38" t="s">
        <v>36</v>
      </c>
      <c r="B2203" s="38" t="s">
        <v>4565</v>
      </c>
      <c r="C2203" s="38" t="s">
        <v>4779</v>
      </c>
      <c r="D2203" s="190" t="s">
        <v>233</v>
      </c>
      <c r="E2203" s="38" t="s">
        <v>4792</v>
      </c>
      <c r="F2203" s="38">
        <v>717</v>
      </c>
      <c r="G2203" s="38">
        <v>717</v>
      </c>
      <c r="H2203" s="38">
        <f t="shared" si="106"/>
        <v>596</v>
      </c>
      <c r="I2203" s="38">
        <v>390</v>
      </c>
      <c r="J2203" s="38">
        <v>206</v>
      </c>
      <c r="K2203" s="38">
        <v>184</v>
      </c>
      <c r="L2203" s="50">
        <f t="shared" si="107"/>
        <v>30.872483221476511</v>
      </c>
      <c r="M2203" s="38">
        <v>1</v>
      </c>
      <c r="N2203" s="50">
        <f t="shared" si="108"/>
        <v>0.16778523489932887</v>
      </c>
      <c r="O2203" s="38">
        <v>0</v>
      </c>
      <c r="P2203" s="38">
        <v>0</v>
      </c>
      <c r="Q2203" s="99" t="s">
        <v>43</v>
      </c>
      <c r="R2203" s="17">
        <v>44607</v>
      </c>
      <c r="S2203" s="61"/>
      <c r="T2203" s="20">
        <v>431</v>
      </c>
      <c r="U2203" s="99"/>
      <c r="V2203" s="99"/>
      <c r="W2203" s="99"/>
      <c r="X2203" s="99"/>
      <c r="Y2203" s="99"/>
      <c r="Z2203" s="20"/>
      <c r="AB2203" s="20"/>
      <c r="AC2203" s="38" t="s">
        <v>233</v>
      </c>
      <c r="AD2203" s="61"/>
      <c r="AE2203" s="61"/>
    </row>
    <row r="2204" spans="1:31" x14ac:dyDescent="0.25">
      <c r="A2204" s="38" t="s">
        <v>36</v>
      </c>
      <c r="B2204" s="38" t="s">
        <v>4565</v>
      </c>
      <c r="C2204" s="38" t="s">
        <v>4793</v>
      </c>
      <c r="D2204" s="190" t="s">
        <v>4794</v>
      </c>
      <c r="E2204" s="38" t="s">
        <v>4795</v>
      </c>
      <c r="F2204" s="11">
        <v>1159.99</v>
      </c>
      <c r="G2204" s="11">
        <v>1159.99</v>
      </c>
      <c r="H2204" s="38">
        <f t="shared" si="106"/>
        <v>1405</v>
      </c>
      <c r="I2204" s="11">
        <v>907</v>
      </c>
      <c r="J2204" s="11">
        <v>498</v>
      </c>
      <c r="K2204" s="11">
        <v>409</v>
      </c>
      <c r="L2204" s="50">
        <f t="shared" si="107"/>
        <v>29.110320284697512</v>
      </c>
      <c r="M2204" s="11">
        <v>90</v>
      </c>
      <c r="N2204" s="50">
        <f t="shared" si="108"/>
        <v>6.4056939501779357</v>
      </c>
      <c r="O2204" s="38">
        <v>0</v>
      </c>
      <c r="P2204" s="38">
        <v>145.99</v>
      </c>
      <c r="Q2204" s="34" t="s">
        <v>43</v>
      </c>
      <c r="R2204" s="88">
        <v>44545</v>
      </c>
      <c r="S2204" s="34"/>
      <c r="T2204" s="89">
        <v>46</v>
      </c>
      <c r="U2204" s="34"/>
      <c r="V2204" s="34"/>
      <c r="W2204" s="34"/>
      <c r="X2204" s="34"/>
      <c r="Y2204" s="34"/>
      <c r="Z2204" s="89"/>
      <c r="AB2204" s="89"/>
      <c r="AC2204" s="34" t="s">
        <v>4796</v>
      </c>
      <c r="AD2204" s="34">
        <v>25.696494000000001</v>
      </c>
      <c r="AE2204" s="34">
        <v>71.130560000000003</v>
      </c>
    </row>
    <row r="2205" spans="1:31" x14ac:dyDescent="0.25">
      <c r="A2205" s="38" t="s">
        <v>36</v>
      </c>
      <c r="B2205" s="38" t="s">
        <v>4565</v>
      </c>
      <c r="C2205" s="38" t="s">
        <v>4793</v>
      </c>
      <c r="D2205" s="190" t="s">
        <v>4797</v>
      </c>
      <c r="E2205" s="38" t="s">
        <v>4798</v>
      </c>
      <c r="F2205" s="38">
        <v>840.99</v>
      </c>
      <c r="G2205" s="38">
        <v>840.99</v>
      </c>
      <c r="H2205" s="38">
        <f t="shared" si="106"/>
        <v>931</v>
      </c>
      <c r="I2205" s="38">
        <v>604</v>
      </c>
      <c r="J2205" s="38">
        <v>327</v>
      </c>
      <c r="K2205" s="38">
        <v>277</v>
      </c>
      <c r="L2205" s="50">
        <f t="shared" si="107"/>
        <v>29.752953813104188</v>
      </c>
      <c r="M2205" s="38">
        <v>0</v>
      </c>
      <c r="N2205" s="50">
        <f t="shared" si="108"/>
        <v>0</v>
      </c>
      <c r="O2205" s="38">
        <v>0</v>
      </c>
      <c r="P2205" s="38">
        <v>0</v>
      </c>
      <c r="Q2205" s="99" t="s">
        <v>43</v>
      </c>
      <c r="R2205" s="8">
        <v>44545</v>
      </c>
      <c r="S2205" s="61"/>
      <c r="T2205" s="20">
        <v>54</v>
      </c>
      <c r="U2205" s="99"/>
      <c r="V2205" s="99"/>
      <c r="W2205" s="99"/>
      <c r="X2205" s="99"/>
      <c r="Y2205" s="99"/>
      <c r="Z2205" s="20"/>
      <c r="AB2205" s="20"/>
      <c r="AC2205" s="38" t="s">
        <v>4797</v>
      </c>
      <c r="AD2205" s="61"/>
      <c r="AE2205" s="61"/>
    </row>
    <row r="2206" spans="1:31" x14ac:dyDescent="0.25">
      <c r="A2206" s="38" t="s">
        <v>36</v>
      </c>
      <c r="B2206" s="38" t="s">
        <v>4565</v>
      </c>
      <c r="C2206" s="38" t="s">
        <v>4793</v>
      </c>
      <c r="D2206" s="190" t="s">
        <v>4799</v>
      </c>
      <c r="E2206" s="38" t="s">
        <v>4800</v>
      </c>
      <c r="F2206" s="38">
        <v>748.96</v>
      </c>
      <c r="G2206" s="38">
        <v>748.96</v>
      </c>
      <c r="H2206" s="38">
        <f t="shared" si="106"/>
        <v>641</v>
      </c>
      <c r="I2206" s="38">
        <v>400</v>
      </c>
      <c r="J2206" s="38">
        <v>241</v>
      </c>
      <c r="K2206" s="38">
        <v>159</v>
      </c>
      <c r="L2206" s="50">
        <f t="shared" si="107"/>
        <v>24.804992199687987</v>
      </c>
      <c r="M2206" s="38">
        <v>0</v>
      </c>
      <c r="N2206" s="50">
        <f t="shared" si="108"/>
        <v>0</v>
      </c>
      <c r="O2206" s="38">
        <v>0</v>
      </c>
      <c r="P2206" s="38">
        <v>0</v>
      </c>
      <c r="Q2206" s="61" t="s">
        <v>43</v>
      </c>
      <c r="R2206" s="8">
        <v>44545</v>
      </c>
      <c r="S2206" s="61"/>
      <c r="T2206" s="20">
        <v>5</v>
      </c>
      <c r="U2206" s="61"/>
      <c r="V2206" s="61"/>
      <c r="W2206" s="61"/>
      <c r="X2206" s="61"/>
      <c r="Y2206" s="61"/>
      <c r="Z2206" s="20"/>
      <c r="AB2206" s="20"/>
      <c r="AC2206" s="38" t="s">
        <v>4799</v>
      </c>
      <c r="AD2206" s="61">
        <v>0</v>
      </c>
      <c r="AE2206" s="61"/>
    </row>
    <row r="2207" spans="1:31" x14ac:dyDescent="0.25">
      <c r="A2207" s="38" t="s">
        <v>36</v>
      </c>
      <c r="B2207" s="38" t="s">
        <v>4565</v>
      </c>
      <c r="C2207" s="38" t="s">
        <v>4793</v>
      </c>
      <c r="D2207" s="190" t="s">
        <v>4801</v>
      </c>
      <c r="E2207" s="38" t="s">
        <v>4802</v>
      </c>
      <c r="F2207" s="38">
        <v>1348</v>
      </c>
      <c r="G2207" s="38">
        <v>1348</v>
      </c>
      <c r="H2207" s="38">
        <f t="shared" si="106"/>
        <v>1048</v>
      </c>
      <c r="I2207" s="38">
        <v>689</v>
      </c>
      <c r="J2207" s="38">
        <v>359</v>
      </c>
      <c r="K2207" s="38">
        <v>330</v>
      </c>
      <c r="L2207" s="50">
        <f t="shared" si="107"/>
        <v>31.488549618320612</v>
      </c>
      <c r="M2207" s="38">
        <v>9</v>
      </c>
      <c r="N2207" s="50">
        <f t="shared" si="108"/>
        <v>0.85877862595419852</v>
      </c>
      <c r="O2207" s="38">
        <v>0</v>
      </c>
      <c r="P2207" s="38">
        <v>144</v>
      </c>
      <c r="Q2207" s="34" t="s">
        <v>43</v>
      </c>
      <c r="R2207" s="88">
        <v>44545</v>
      </c>
      <c r="S2207" s="34"/>
      <c r="T2207" s="89">
        <v>144</v>
      </c>
      <c r="U2207" s="34"/>
      <c r="V2207" s="34"/>
      <c r="W2207" s="34"/>
      <c r="X2207" s="34"/>
      <c r="Y2207" s="34"/>
      <c r="Z2207" s="89"/>
      <c r="AB2207" s="89"/>
      <c r="AC2207" s="34" t="s">
        <v>4803</v>
      </c>
      <c r="AD2207" s="34">
        <v>25.684552</v>
      </c>
      <c r="AE2207" s="34">
        <v>71.148249000000007</v>
      </c>
    </row>
    <row r="2208" spans="1:31" x14ac:dyDescent="0.25">
      <c r="A2208" s="38" t="s">
        <v>36</v>
      </c>
      <c r="B2208" s="38" t="s">
        <v>4565</v>
      </c>
      <c r="C2208" s="38" t="s">
        <v>4793</v>
      </c>
      <c r="D2208" s="190" t="s">
        <v>4804</v>
      </c>
      <c r="E2208" s="38" t="s">
        <v>4805</v>
      </c>
      <c r="F2208" s="38">
        <v>517.04</v>
      </c>
      <c r="G2208" s="38">
        <v>517.04</v>
      </c>
      <c r="H2208" s="38">
        <f t="shared" si="106"/>
        <v>636</v>
      </c>
      <c r="I2208" s="38">
        <v>412</v>
      </c>
      <c r="J2208" s="38">
        <v>224</v>
      </c>
      <c r="K2208" s="38">
        <v>188</v>
      </c>
      <c r="L2208" s="50">
        <f t="shared" si="107"/>
        <v>29.559748427672954</v>
      </c>
      <c r="M2208" s="38">
        <v>49</v>
      </c>
      <c r="N2208" s="50">
        <f>M2208/H2208*100</f>
        <v>7.7044025157232703</v>
      </c>
      <c r="O2208" s="38">
        <v>0</v>
      </c>
      <c r="P2208" s="38">
        <v>24</v>
      </c>
      <c r="Q2208" s="34" t="s">
        <v>43</v>
      </c>
      <c r="R2208" s="88">
        <v>44545</v>
      </c>
      <c r="S2208" s="34"/>
      <c r="T2208" s="89">
        <v>30</v>
      </c>
      <c r="U2208" s="34"/>
      <c r="V2208" s="34"/>
      <c r="W2208" s="34"/>
      <c r="X2208" s="34"/>
      <c r="Y2208" s="34"/>
      <c r="Z2208" s="109"/>
      <c r="AB2208" s="89">
        <v>25</v>
      </c>
      <c r="AC2208" s="34" t="s">
        <v>4806</v>
      </c>
      <c r="AD2208" s="34">
        <v>71.121148000000005</v>
      </c>
      <c r="AE2208" s="34">
        <v>25.683927000000001</v>
      </c>
    </row>
    <row r="2209" spans="1:31" x14ac:dyDescent="0.25">
      <c r="A2209" s="38" t="s">
        <v>36</v>
      </c>
      <c r="B2209" s="38" t="s">
        <v>4565</v>
      </c>
      <c r="C2209" s="38" t="s">
        <v>4793</v>
      </c>
      <c r="D2209" s="190" t="s">
        <v>4807</v>
      </c>
      <c r="E2209" s="38" t="s">
        <v>4808</v>
      </c>
      <c r="F2209" s="38">
        <v>1376</v>
      </c>
      <c r="G2209" s="38">
        <v>1376</v>
      </c>
      <c r="H2209" s="38">
        <f t="shared" si="106"/>
        <v>1433</v>
      </c>
      <c r="I2209" s="38">
        <v>939</v>
      </c>
      <c r="J2209" s="38">
        <v>494</v>
      </c>
      <c r="K2209" s="38">
        <v>445</v>
      </c>
      <c r="L2209" s="50">
        <f t="shared" si="107"/>
        <v>31.053733426378226</v>
      </c>
      <c r="M2209" s="38">
        <v>1</v>
      </c>
      <c r="N2209" s="50">
        <f t="shared" ref="N2209:N2272" si="109">M2209/H2209*100</f>
        <v>6.978367062107467E-2</v>
      </c>
      <c r="O2209" s="38">
        <v>0</v>
      </c>
      <c r="P2209" s="38">
        <v>0</v>
      </c>
      <c r="Q2209" s="61" t="s">
        <v>43</v>
      </c>
      <c r="R2209" s="8">
        <v>44545</v>
      </c>
      <c r="S2209" s="61"/>
      <c r="T2209" s="20">
        <v>3</v>
      </c>
      <c r="U2209" s="61"/>
      <c r="V2209" s="61"/>
      <c r="W2209" s="61"/>
      <c r="X2209" s="61"/>
      <c r="Y2209" s="61"/>
      <c r="Z2209" s="20"/>
      <c r="AB2209" s="20"/>
      <c r="AC2209" s="38" t="s">
        <v>4807</v>
      </c>
      <c r="AD2209" s="61">
        <v>0</v>
      </c>
      <c r="AE2209" s="61"/>
    </row>
    <row r="2210" spans="1:31" x14ac:dyDescent="0.25">
      <c r="A2210" s="38" t="s">
        <v>36</v>
      </c>
      <c r="B2210" s="38" t="s">
        <v>4565</v>
      </c>
      <c r="C2210" s="38" t="s">
        <v>4809</v>
      </c>
      <c r="D2210" s="190" t="s">
        <v>4810</v>
      </c>
      <c r="E2210" s="38" t="s">
        <v>4811</v>
      </c>
      <c r="F2210" s="38">
        <v>1256</v>
      </c>
      <c r="G2210" s="38">
        <v>1256</v>
      </c>
      <c r="H2210" s="38">
        <f t="shared" si="106"/>
        <v>2046</v>
      </c>
      <c r="I2210" s="38">
        <v>1347</v>
      </c>
      <c r="J2210" s="38">
        <v>699</v>
      </c>
      <c r="K2210" s="38">
        <v>648</v>
      </c>
      <c r="L2210" s="50">
        <f t="shared" si="107"/>
        <v>31.671554252199414</v>
      </c>
      <c r="M2210" s="38">
        <v>114</v>
      </c>
      <c r="N2210" s="50">
        <f t="shared" si="109"/>
        <v>5.5718475073313778</v>
      </c>
      <c r="O2210" s="38">
        <v>0</v>
      </c>
      <c r="P2210" s="38">
        <v>171</v>
      </c>
      <c r="Q2210" s="34" t="s">
        <v>43</v>
      </c>
      <c r="R2210" s="9">
        <v>44517</v>
      </c>
      <c r="S2210" s="34"/>
      <c r="T2210" s="34">
        <v>71</v>
      </c>
      <c r="U2210" s="34"/>
      <c r="V2210" s="34"/>
      <c r="W2210" s="34"/>
      <c r="X2210" s="34"/>
      <c r="Y2210" s="34"/>
      <c r="Z2210" s="109"/>
      <c r="AB2210" s="109"/>
      <c r="AC2210" s="34" t="s">
        <v>4812</v>
      </c>
      <c r="AD2210" s="34">
        <v>25.551262999999999</v>
      </c>
      <c r="AE2210" s="34">
        <v>71.00076</v>
      </c>
    </row>
    <row r="2211" spans="1:31" x14ac:dyDescent="0.25">
      <c r="A2211" s="38" t="s">
        <v>36</v>
      </c>
      <c r="B2211" s="38" t="s">
        <v>4565</v>
      </c>
      <c r="C2211" s="38" t="s">
        <v>4809</v>
      </c>
      <c r="D2211" s="190" t="s">
        <v>4813</v>
      </c>
      <c r="E2211" s="38" t="s">
        <v>4814</v>
      </c>
      <c r="F2211" s="38">
        <v>494</v>
      </c>
      <c r="G2211" s="38">
        <v>494</v>
      </c>
      <c r="H2211" s="38">
        <f t="shared" si="106"/>
        <v>412</v>
      </c>
      <c r="I2211" s="38">
        <v>265</v>
      </c>
      <c r="J2211" s="38">
        <v>147</v>
      </c>
      <c r="K2211" s="38">
        <v>118</v>
      </c>
      <c r="L2211" s="50">
        <f t="shared" si="107"/>
        <v>28.640776699029125</v>
      </c>
      <c r="M2211" s="38">
        <v>5</v>
      </c>
      <c r="N2211" s="50">
        <f t="shared" si="109"/>
        <v>1.2135922330097086</v>
      </c>
      <c r="O2211" s="38">
        <v>0</v>
      </c>
      <c r="P2211" s="38">
        <v>55</v>
      </c>
      <c r="Q2211" s="34" t="s">
        <v>43</v>
      </c>
      <c r="R2211" s="9">
        <v>44517</v>
      </c>
      <c r="S2211" s="34"/>
      <c r="T2211" s="34">
        <v>55</v>
      </c>
      <c r="U2211" s="34"/>
      <c r="V2211" s="34"/>
      <c r="W2211" s="34"/>
      <c r="X2211" s="34"/>
      <c r="Y2211" s="34"/>
      <c r="Z2211" s="109"/>
      <c r="AB2211" s="109"/>
      <c r="AC2211" s="34" t="s">
        <v>4815</v>
      </c>
      <c r="AD2211" s="34">
        <v>25.541924999999999</v>
      </c>
      <c r="AE2211" s="34">
        <v>71.006035999999995</v>
      </c>
    </row>
    <row r="2212" spans="1:31" x14ac:dyDescent="0.25">
      <c r="A2212" s="38" t="s">
        <v>36</v>
      </c>
      <c r="B2212" s="38" t="s">
        <v>4565</v>
      </c>
      <c r="C2212" s="38" t="s">
        <v>4809</v>
      </c>
      <c r="D2212" s="190" t="s">
        <v>4816</v>
      </c>
      <c r="E2212" s="38" t="s">
        <v>4817</v>
      </c>
      <c r="F2212" s="38">
        <v>475</v>
      </c>
      <c r="G2212" s="38">
        <v>475</v>
      </c>
      <c r="H2212" s="38">
        <f t="shared" si="106"/>
        <v>1050</v>
      </c>
      <c r="I2212" s="38">
        <v>671</v>
      </c>
      <c r="J2212" s="38">
        <v>379</v>
      </c>
      <c r="K2212" s="38">
        <v>292</v>
      </c>
      <c r="L2212" s="50">
        <f t="shared" si="107"/>
        <v>27.80952380952381</v>
      </c>
      <c r="M2212" s="38">
        <v>6</v>
      </c>
      <c r="N2212" s="50">
        <f t="shared" si="109"/>
        <v>0.5714285714285714</v>
      </c>
      <c r="O2212" s="38">
        <v>0</v>
      </c>
      <c r="P2212" s="38">
        <v>109</v>
      </c>
      <c r="Q2212" s="34" t="s">
        <v>43</v>
      </c>
      <c r="R2212" s="9">
        <v>44517</v>
      </c>
      <c r="S2212" s="34"/>
      <c r="T2212" s="34">
        <v>109</v>
      </c>
      <c r="U2212" s="34"/>
      <c r="V2212" s="34"/>
      <c r="W2212" s="34"/>
      <c r="X2212" s="34"/>
      <c r="Y2212" s="34"/>
      <c r="Z2212" s="89"/>
      <c r="AB2212" s="89"/>
      <c r="AC2212" s="34" t="s">
        <v>4818</v>
      </c>
      <c r="AD2212" s="34">
        <v>25.555177</v>
      </c>
      <c r="AE2212" s="34">
        <v>71.010349000000005</v>
      </c>
    </row>
    <row r="2213" spans="1:31" x14ac:dyDescent="0.25">
      <c r="A2213" s="38" t="s">
        <v>36</v>
      </c>
      <c r="B2213" s="38" t="s">
        <v>4565</v>
      </c>
      <c r="C2213" s="38" t="s">
        <v>4809</v>
      </c>
      <c r="D2213" s="190" t="s">
        <v>2863</v>
      </c>
      <c r="E2213" s="38" t="s">
        <v>4819</v>
      </c>
      <c r="F2213" s="38">
        <v>1248</v>
      </c>
      <c r="G2213" s="38">
        <v>1248</v>
      </c>
      <c r="H2213" s="38">
        <f t="shared" si="106"/>
        <v>950</v>
      </c>
      <c r="I2213" s="38">
        <v>616</v>
      </c>
      <c r="J2213" s="38">
        <v>334</v>
      </c>
      <c r="K2213" s="38">
        <v>282</v>
      </c>
      <c r="L2213" s="50">
        <f t="shared" si="107"/>
        <v>29.684210526315791</v>
      </c>
      <c r="M2213" s="38">
        <v>14</v>
      </c>
      <c r="N2213" s="50">
        <f t="shared" si="109"/>
        <v>1.4736842105263157</v>
      </c>
      <c r="O2213" s="38">
        <v>0</v>
      </c>
      <c r="P2213" s="38">
        <v>38</v>
      </c>
      <c r="Q2213" s="34" t="s">
        <v>43</v>
      </c>
      <c r="R2213" s="9">
        <v>44517</v>
      </c>
      <c r="S2213" s="34"/>
      <c r="T2213" s="34">
        <v>38</v>
      </c>
      <c r="U2213" s="34"/>
      <c r="V2213" s="34"/>
      <c r="W2213" s="34"/>
      <c r="X2213" s="34"/>
      <c r="Y2213" s="34"/>
      <c r="Z2213" s="89"/>
      <c r="AB2213" s="89"/>
      <c r="AC2213" s="34" t="s">
        <v>4820</v>
      </c>
      <c r="AD2213" s="34">
        <v>25.544936</v>
      </c>
      <c r="AE2213" s="34">
        <v>70.987271000000007</v>
      </c>
    </row>
    <row r="2214" spans="1:31" x14ac:dyDescent="0.25">
      <c r="A2214" s="38" t="s">
        <v>36</v>
      </c>
      <c r="B2214" s="38" t="s">
        <v>4565</v>
      </c>
      <c r="C2214" s="38" t="s">
        <v>4809</v>
      </c>
      <c r="D2214" s="190" t="s">
        <v>4821</v>
      </c>
      <c r="E2214" s="38" t="s">
        <v>4822</v>
      </c>
      <c r="F2214" s="38">
        <v>290</v>
      </c>
      <c r="G2214" s="38">
        <v>290</v>
      </c>
      <c r="H2214" s="38">
        <f t="shared" si="106"/>
        <v>480</v>
      </c>
      <c r="I2214" s="38">
        <v>312</v>
      </c>
      <c r="J2214" s="38">
        <v>168</v>
      </c>
      <c r="K2214" s="38">
        <v>144</v>
      </c>
      <c r="L2214" s="50">
        <f t="shared" si="107"/>
        <v>30</v>
      </c>
      <c r="M2214" s="38">
        <v>0</v>
      </c>
      <c r="N2214" s="50">
        <f t="shared" si="109"/>
        <v>0</v>
      </c>
      <c r="O2214" s="38">
        <v>0</v>
      </c>
      <c r="P2214" s="38">
        <v>45</v>
      </c>
      <c r="Q2214" s="34" t="s">
        <v>43</v>
      </c>
      <c r="R2214" s="9">
        <v>44517</v>
      </c>
      <c r="S2214" s="34"/>
      <c r="T2214" s="34">
        <v>45</v>
      </c>
      <c r="U2214" s="34"/>
      <c r="V2214" s="34"/>
      <c r="W2214" s="34"/>
      <c r="X2214" s="34"/>
      <c r="Y2214" s="34"/>
      <c r="Z2214" s="89"/>
      <c r="AB2214" s="89"/>
      <c r="AC2214" s="34" t="s">
        <v>4823</v>
      </c>
      <c r="AD2214" s="34">
        <v>25.587562999999999</v>
      </c>
      <c r="AE2214" s="34">
        <v>71.007705000000001</v>
      </c>
    </row>
    <row r="2215" spans="1:31" x14ac:dyDescent="0.25">
      <c r="A2215" s="38" t="s">
        <v>36</v>
      </c>
      <c r="B2215" s="38" t="s">
        <v>4565</v>
      </c>
      <c r="C2215" s="38" t="s">
        <v>4824</v>
      </c>
      <c r="D2215" s="190" t="s">
        <v>4824</v>
      </c>
      <c r="E2215" s="38" t="s">
        <v>4825</v>
      </c>
      <c r="F2215" s="38">
        <v>605</v>
      </c>
      <c r="G2215" s="38">
        <v>605</v>
      </c>
      <c r="H2215" s="38">
        <f t="shared" si="106"/>
        <v>1113</v>
      </c>
      <c r="I2215" s="38">
        <v>739</v>
      </c>
      <c r="J2215" s="38">
        <v>374</v>
      </c>
      <c r="K2215" s="38">
        <v>365</v>
      </c>
      <c r="L2215" s="50">
        <f t="shared" si="107"/>
        <v>32.79424977538185</v>
      </c>
      <c r="M2215" s="38">
        <v>5</v>
      </c>
      <c r="N2215" s="50">
        <f t="shared" si="109"/>
        <v>0.44923629829290207</v>
      </c>
      <c r="O2215" s="38">
        <v>107</v>
      </c>
      <c r="P2215" s="38">
        <v>0</v>
      </c>
      <c r="Q2215" s="99" t="s">
        <v>43</v>
      </c>
      <c r="R2215" s="17">
        <v>44531</v>
      </c>
      <c r="S2215" s="61"/>
      <c r="T2215" s="20">
        <v>88</v>
      </c>
      <c r="U2215" s="99"/>
      <c r="V2215" s="99"/>
      <c r="W2215" s="99"/>
      <c r="X2215" s="99"/>
      <c r="Y2215" s="99"/>
      <c r="Z2215" s="20"/>
      <c r="AB2215" s="20"/>
      <c r="AC2215" s="38" t="s">
        <v>4824</v>
      </c>
      <c r="AD2215" s="61"/>
      <c r="AE2215" s="61"/>
    </row>
    <row r="2216" spans="1:31" x14ac:dyDescent="0.25">
      <c r="A2216" s="38" t="s">
        <v>36</v>
      </c>
      <c r="B2216" s="38" t="s">
        <v>4565</v>
      </c>
      <c r="C2216" s="38" t="s">
        <v>4824</v>
      </c>
      <c r="D2216" s="190" t="s">
        <v>4826</v>
      </c>
      <c r="E2216" s="38" t="s">
        <v>4827</v>
      </c>
      <c r="F2216" s="38">
        <v>354</v>
      </c>
      <c r="G2216" s="38">
        <v>354</v>
      </c>
      <c r="H2216" s="38">
        <f t="shared" si="106"/>
        <v>319</v>
      </c>
      <c r="I2216" s="38">
        <v>213</v>
      </c>
      <c r="J2216" s="38">
        <v>106</v>
      </c>
      <c r="K2216" s="38">
        <v>107</v>
      </c>
      <c r="L2216" s="50">
        <f t="shared" si="107"/>
        <v>33.542319749216297</v>
      </c>
      <c r="M2216" s="38">
        <v>0</v>
      </c>
      <c r="N2216" s="50">
        <f t="shared" si="109"/>
        <v>0</v>
      </c>
      <c r="O2216" s="38">
        <v>0</v>
      </c>
      <c r="P2216" s="38">
        <v>0</v>
      </c>
      <c r="Q2216" s="99" t="s">
        <v>43</v>
      </c>
      <c r="R2216" s="17">
        <v>44531</v>
      </c>
      <c r="S2216" s="61"/>
      <c r="T2216" s="20">
        <v>65</v>
      </c>
      <c r="U2216" s="99"/>
      <c r="V2216" s="99"/>
      <c r="W2216" s="99"/>
      <c r="X2216" s="99"/>
      <c r="Y2216" s="99"/>
      <c r="Z2216" s="20"/>
      <c r="AB2216" s="20"/>
      <c r="AC2216" s="38" t="s">
        <v>4826</v>
      </c>
      <c r="AD2216" s="61"/>
      <c r="AE2216" s="61"/>
    </row>
    <row r="2217" spans="1:31" x14ac:dyDescent="0.25">
      <c r="A2217" s="38" t="s">
        <v>36</v>
      </c>
      <c r="B2217" s="38" t="s">
        <v>4565</v>
      </c>
      <c r="C2217" s="38" t="s">
        <v>4824</v>
      </c>
      <c r="D2217" s="190" t="s">
        <v>4828</v>
      </c>
      <c r="E2217" s="38" t="s">
        <v>4829</v>
      </c>
      <c r="F2217" s="38">
        <v>638</v>
      </c>
      <c r="G2217" s="38">
        <v>638</v>
      </c>
      <c r="H2217" s="38">
        <f t="shared" si="106"/>
        <v>798</v>
      </c>
      <c r="I2217" s="38">
        <v>524</v>
      </c>
      <c r="J2217" s="38">
        <v>274</v>
      </c>
      <c r="K2217" s="38">
        <v>250</v>
      </c>
      <c r="L2217" s="50">
        <f t="shared" si="107"/>
        <v>31.32832080200501</v>
      </c>
      <c r="M2217" s="38">
        <v>0</v>
      </c>
      <c r="N2217" s="50">
        <f t="shared" si="109"/>
        <v>0</v>
      </c>
      <c r="O2217" s="38">
        <v>0</v>
      </c>
      <c r="P2217" s="38">
        <v>0</v>
      </c>
      <c r="Q2217" s="99" t="s">
        <v>43</v>
      </c>
      <c r="R2217" s="17">
        <v>44531</v>
      </c>
      <c r="S2217" s="61"/>
      <c r="T2217" s="20">
        <v>119</v>
      </c>
      <c r="U2217" s="99"/>
      <c r="V2217" s="99"/>
      <c r="W2217" s="99"/>
      <c r="X2217" s="99"/>
      <c r="Y2217" s="99"/>
      <c r="Z2217" s="20"/>
      <c r="AB2217" s="20"/>
      <c r="AC2217" s="38" t="s">
        <v>4828</v>
      </c>
      <c r="AD2217" s="61"/>
      <c r="AE2217" s="61"/>
    </row>
    <row r="2218" spans="1:31" x14ac:dyDescent="0.25">
      <c r="A2218" s="38" t="s">
        <v>36</v>
      </c>
      <c r="B2218" s="38" t="s">
        <v>4565</v>
      </c>
      <c r="C2218" s="38" t="s">
        <v>4824</v>
      </c>
      <c r="D2218" s="190" t="s">
        <v>4830</v>
      </c>
      <c r="E2218" s="38" t="s">
        <v>4831</v>
      </c>
      <c r="F2218" s="38">
        <v>640</v>
      </c>
      <c r="G2218" s="38">
        <v>640</v>
      </c>
      <c r="H2218" s="38">
        <f t="shared" si="106"/>
        <v>688</v>
      </c>
      <c r="I2218" s="38">
        <v>460</v>
      </c>
      <c r="J2218" s="38">
        <v>228</v>
      </c>
      <c r="K2218" s="38">
        <v>232</v>
      </c>
      <c r="L2218" s="50">
        <f t="shared" si="107"/>
        <v>33.720930232558139</v>
      </c>
      <c r="M2218" s="38">
        <v>73</v>
      </c>
      <c r="N2218" s="50">
        <f t="shared" si="109"/>
        <v>10.61046511627907</v>
      </c>
      <c r="O2218" s="38">
        <v>0</v>
      </c>
      <c r="P2218" s="38">
        <v>0</v>
      </c>
      <c r="Q2218" s="61" t="s">
        <v>43</v>
      </c>
      <c r="R2218" s="17">
        <v>44531</v>
      </c>
      <c r="S2218" s="61"/>
      <c r="T2218" s="20">
        <v>0</v>
      </c>
      <c r="U2218" s="61"/>
      <c r="V2218" s="61"/>
      <c r="W2218" s="61"/>
      <c r="X2218" s="61"/>
      <c r="Y2218" s="61"/>
      <c r="Z2218" s="20"/>
      <c r="AB2218" s="20"/>
      <c r="AC2218" s="38" t="s">
        <v>4830</v>
      </c>
      <c r="AD2218" s="61">
        <v>0</v>
      </c>
      <c r="AE2218" s="61"/>
    </row>
    <row r="2219" spans="1:31" x14ac:dyDescent="0.25">
      <c r="A2219" s="38" t="s">
        <v>36</v>
      </c>
      <c r="B2219" s="38" t="s">
        <v>4565</v>
      </c>
      <c r="C2219" s="38" t="s">
        <v>4824</v>
      </c>
      <c r="D2219" s="190" t="s">
        <v>4832</v>
      </c>
      <c r="E2219" s="38" t="s">
        <v>4833</v>
      </c>
      <c r="F2219" s="38">
        <v>857.01</v>
      </c>
      <c r="G2219" s="38">
        <v>857.01</v>
      </c>
      <c r="H2219" s="38">
        <f t="shared" si="106"/>
        <v>375</v>
      </c>
      <c r="I2219" s="38">
        <v>251</v>
      </c>
      <c r="J2219" s="38">
        <v>124</v>
      </c>
      <c r="K2219" s="38">
        <v>127</v>
      </c>
      <c r="L2219" s="50">
        <f t="shared" si="107"/>
        <v>33.866666666666667</v>
      </c>
      <c r="M2219" s="38">
        <v>1</v>
      </c>
      <c r="N2219" s="50">
        <f t="shared" si="109"/>
        <v>0.26666666666666666</v>
      </c>
      <c r="O2219" s="38">
        <v>0</v>
      </c>
      <c r="P2219" s="38">
        <v>0</v>
      </c>
      <c r="Q2219" s="61" t="s">
        <v>43</v>
      </c>
      <c r="R2219" s="17">
        <v>44531</v>
      </c>
      <c r="S2219" s="61"/>
      <c r="T2219" s="20">
        <v>0</v>
      </c>
      <c r="U2219" s="61"/>
      <c r="V2219" s="61"/>
      <c r="W2219" s="61"/>
      <c r="X2219" s="61"/>
      <c r="Y2219" s="61"/>
      <c r="Z2219" s="20"/>
      <c r="AB2219" s="20"/>
      <c r="AC2219" s="38" t="s">
        <v>4832</v>
      </c>
      <c r="AD2219" s="61">
        <v>0</v>
      </c>
      <c r="AE2219" s="61"/>
    </row>
    <row r="2220" spans="1:31" x14ac:dyDescent="0.25">
      <c r="A2220" s="38" t="s">
        <v>36</v>
      </c>
      <c r="B2220" s="38" t="s">
        <v>4565</v>
      </c>
      <c r="C2220" s="38" t="s">
        <v>4824</v>
      </c>
      <c r="D2220" s="190" t="s">
        <v>4834</v>
      </c>
      <c r="E2220" s="38" t="s">
        <v>4835</v>
      </c>
      <c r="F2220" s="38">
        <v>676</v>
      </c>
      <c r="G2220" s="38">
        <v>676</v>
      </c>
      <c r="H2220" s="38">
        <f t="shared" si="106"/>
        <v>350</v>
      </c>
      <c r="I2220" s="38">
        <v>239</v>
      </c>
      <c r="J2220" s="38">
        <v>111</v>
      </c>
      <c r="K2220" s="38">
        <v>128</v>
      </c>
      <c r="L2220" s="50">
        <f t="shared" si="107"/>
        <v>36.571428571428569</v>
      </c>
      <c r="M2220" s="38">
        <v>0</v>
      </c>
      <c r="N2220" s="50">
        <f t="shared" si="109"/>
        <v>0</v>
      </c>
      <c r="O2220" s="38">
        <v>0</v>
      </c>
      <c r="P2220" s="38">
        <v>0</v>
      </c>
      <c r="Q2220" s="99" t="s">
        <v>43</v>
      </c>
      <c r="R2220" s="17">
        <v>44531</v>
      </c>
      <c r="S2220" s="61"/>
      <c r="T2220" s="20">
        <v>29</v>
      </c>
      <c r="U2220" s="99"/>
      <c r="V2220" s="99"/>
      <c r="W2220" s="99"/>
      <c r="X2220" s="99"/>
      <c r="Y2220" s="99"/>
      <c r="Z2220" s="20"/>
      <c r="AB2220" s="20"/>
      <c r="AC2220" s="38" t="s">
        <v>4834</v>
      </c>
      <c r="AD2220" s="61"/>
      <c r="AE2220" s="61"/>
    </row>
    <row r="2221" spans="1:31" x14ac:dyDescent="0.25">
      <c r="A2221" s="38" t="s">
        <v>36</v>
      </c>
      <c r="B2221" s="38" t="s">
        <v>4565</v>
      </c>
      <c r="C2221" s="38" t="s">
        <v>4836</v>
      </c>
      <c r="D2221" s="190" t="s">
        <v>4837</v>
      </c>
      <c r="E2221" s="38" t="s">
        <v>4838</v>
      </c>
      <c r="F2221" s="38">
        <v>420</v>
      </c>
      <c r="G2221" s="38">
        <v>420</v>
      </c>
      <c r="H2221" s="38">
        <f t="shared" si="106"/>
        <v>1584</v>
      </c>
      <c r="I2221" s="38">
        <v>1040</v>
      </c>
      <c r="J2221" s="38">
        <v>544</v>
      </c>
      <c r="K2221" s="38">
        <v>496</v>
      </c>
      <c r="L2221" s="50">
        <f t="shared" si="107"/>
        <v>31.313131313131315</v>
      </c>
      <c r="M2221" s="38">
        <v>484</v>
      </c>
      <c r="N2221" s="50">
        <f t="shared" si="109"/>
        <v>30.555555555555557</v>
      </c>
      <c r="O2221" s="38">
        <v>0</v>
      </c>
      <c r="P2221" s="38">
        <v>0</v>
      </c>
      <c r="Q2221" s="61" t="s">
        <v>43</v>
      </c>
      <c r="R2221" s="17">
        <v>44536</v>
      </c>
      <c r="S2221" s="61"/>
      <c r="T2221" s="20">
        <v>0</v>
      </c>
      <c r="U2221" s="61"/>
      <c r="V2221" s="61"/>
      <c r="W2221" s="61"/>
      <c r="X2221" s="61"/>
      <c r="Y2221" s="61"/>
      <c r="Z2221" s="20"/>
      <c r="AB2221" s="20"/>
      <c r="AC2221" s="38" t="s">
        <v>4837</v>
      </c>
      <c r="AD2221" s="61">
        <v>0</v>
      </c>
      <c r="AE2221" s="61"/>
    </row>
    <row r="2222" spans="1:31" x14ac:dyDescent="0.25">
      <c r="A2222" s="38" t="s">
        <v>36</v>
      </c>
      <c r="B2222" s="38" t="s">
        <v>4565</v>
      </c>
      <c r="C2222" s="38" t="s">
        <v>4836</v>
      </c>
      <c r="D2222" s="190" t="s">
        <v>4839</v>
      </c>
      <c r="E2222" s="38" t="s">
        <v>4840</v>
      </c>
      <c r="F2222" s="38">
        <v>607</v>
      </c>
      <c r="G2222" s="38">
        <v>607</v>
      </c>
      <c r="H2222" s="38">
        <f t="shared" si="106"/>
        <v>1563</v>
      </c>
      <c r="I2222" s="38">
        <v>1028</v>
      </c>
      <c r="J2222" s="38">
        <v>535</v>
      </c>
      <c r="K2222" s="38">
        <v>493</v>
      </c>
      <c r="L2222" s="50">
        <f t="shared" si="107"/>
        <v>31.541906589891234</v>
      </c>
      <c r="M2222" s="38">
        <v>0</v>
      </c>
      <c r="N2222" s="50">
        <f t="shared" si="109"/>
        <v>0</v>
      </c>
      <c r="O2222" s="38">
        <v>0</v>
      </c>
      <c r="P2222" s="38">
        <v>0</v>
      </c>
      <c r="Q2222" s="99" t="s">
        <v>43</v>
      </c>
      <c r="R2222" s="17">
        <v>44536</v>
      </c>
      <c r="S2222" s="61"/>
      <c r="T2222" s="20">
        <v>51.62</v>
      </c>
      <c r="U2222" s="99"/>
      <c r="V2222" s="99"/>
      <c r="W2222" s="99"/>
      <c r="X2222" s="99"/>
      <c r="Y2222" s="99"/>
      <c r="Z2222" s="20"/>
      <c r="AB2222" s="20"/>
      <c r="AC2222" s="38" t="s">
        <v>4839</v>
      </c>
      <c r="AD2222" s="61"/>
      <c r="AE2222" s="61"/>
    </row>
    <row r="2223" spans="1:31" x14ac:dyDescent="0.25">
      <c r="A2223" s="38" t="s">
        <v>36</v>
      </c>
      <c r="B2223" s="38" t="s">
        <v>4565</v>
      </c>
      <c r="C2223" s="38" t="s">
        <v>4836</v>
      </c>
      <c r="D2223" s="190" t="s">
        <v>4841</v>
      </c>
      <c r="E2223" s="38" t="s">
        <v>4842</v>
      </c>
      <c r="F2223" s="38">
        <v>481</v>
      </c>
      <c r="G2223" s="38">
        <v>481</v>
      </c>
      <c r="H2223" s="38">
        <f t="shared" si="106"/>
        <v>455</v>
      </c>
      <c r="I2223" s="38">
        <v>296</v>
      </c>
      <c r="J2223" s="38">
        <v>159</v>
      </c>
      <c r="K2223" s="38">
        <v>137</v>
      </c>
      <c r="L2223" s="50">
        <f t="shared" si="107"/>
        <v>30.109890109890109</v>
      </c>
      <c r="M2223" s="38">
        <v>0</v>
      </c>
      <c r="N2223" s="50">
        <f t="shared" si="109"/>
        <v>0</v>
      </c>
      <c r="O2223" s="38">
        <v>0</v>
      </c>
      <c r="P2223" s="38">
        <v>0</v>
      </c>
      <c r="Q2223" s="99" t="s">
        <v>43</v>
      </c>
      <c r="R2223" s="17">
        <v>44536</v>
      </c>
      <c r="S2223" s="61"/>
      <c r="T2223" s="20">
        <v>27.65</v>
      </c>
      <c r="U2223" s="99"/>
      <c r="V2223" s="99"/>
      <c r="W2223" s="99"/>
      <c r="X2223" s="99"/>
      <c r="Y2223" s="99"/>
      <c r="Z2223" s="20"/>
      <c r="AB2223" s="20"/>
      <c r="AC2223" s="38" t="s">
        <v>4841</v>
      </c>
      <c r="AD2223" s="61"/>
      <c r="AE2223" s="61"/>
    </row>
    <row r="2224" spans="1:31" x14ac:dyDescent="0.25">
      <c r="A2224" s="38" t="s">
        <v>36</v>
      </c>
      <c r="B2224" s="38" t="s">
        <v>4565</v>
      </c>
      <c r="C2224" s="38" t="s">
        <v>4836</v>
      </c>
      <c r="D2224" s="190" t="s">
        <v>4843</v>
      </c>
      <c r="E2224" s="38" t="s">
        <v>4844</v>
      </c>
      <c r="F2224" s="38">
        <v>572</v>
      </c>
      <c r="G2224" s="38">
        <v>572</v>
      </c>
      <c r="H2224" s="38">
        <f t="shared" si="106"/>
        <v>649</v>
      </c>
      <c r="I2224" s="38">
        <v>434</v>
      </c>
      <c r="J2224" s="38">
        <v>215</v>
      </c>
      <c r="K2224" s="38">
        <v>219</v>
      </c>
      <c r="L2224" s="50">
        <f t="shared" si="107"/>
        <v>33.7442218798151</v>
      </c>
      <c r="M2224" s="38">
        <v>0</v>
      </c>
      <c r="N2224" s="50">
        <f t="shared" si="109"/>
        <v>0</v>
      </c>
      <c r="O2224" s="38">
        <v>0</v>
      </c>
      <c r="P2224" s="38">
        <v>0</v>
      </c>
      <c r="Q2224" s="99" t="s">
        <v>43</v>
      </c>
      <c r="R2224" s="17">
        <v>44536</v>
      </c>
      <c r="S2224" s="61"/>
      <c r="T2224" s="20">
        <v>5.8</v>
      </c>
      <c r="U2224" s="99"/>
      <c r="V2224" s="99"/>
      <c r="W2224" s="99"/>
      <c r="X2224" s="99"/>
      <c r="Y2224" s="99"/>
      <c r="Z2224" s="20"/>
      <c r="AB2224" s="20"/>
      <c r="AC2224" s="38" t="s">
        <v>4843</v>
      </c>
      <c r="AD2224" s="61"/>
      <c r="AE2224" s="61"/>
    </row>
    <row r="2225" spans="1:31" x14ac:dyDescent="0.25">
      <c r="A2225" s="38" t="s">
        <v>36</v>
      </c>
      <c r="B2225" s="38" t="s">
        <v>4565</v>
      </c>
      <c r="C2225" s="38" t="s">
        <v>4836</v>
      </c>
      <c r="D2225" s="190" t="s">
        <v>4845</v>
      </c>
      <c r="E2225" s="38" t="s">
        <v>4846</v>
      </c>
      <c r="F2225" s="38">
        <v>786</v>
      </c>
      <c r="G2225" s="38">
        <v>786</v>
      </c>
      <c r="H2225" s="38">
        <f t="shared" si="106"/>
        <v>369</v>
      </c>
      <c r="I2225" s="38">
        <v>241</v>
      </c>
      <c r="J2225" s="38">
        <v>128</v>
      </c>
      <c r="K2225" s="38">
        <v>113</v>
      </c>
      <c r="L2225" s="50">
        <f t="shared" si="107"/>
        <v>30.62330623306233</v>
      </c>
      <c r="M2225" s="38">
        <v>0</v>
      </c>
      <c r="N2225" s="50">
        <f>M2225/H2225*100</f>
        <v>0</v>
      </c>
      <c r="O2225" s="38">
        <v>0</v>
      </c>
      <c r="P2225" s="38">
        <v>0</v>
      </c>
      <c r="Q2225" s="99" t="s">
        <v>43</v>
      </c>
      <c r="R2225" s="17">
        <v>44536</v>
      </c>
      <c r="S2225" s="61"/>
      <c r="T2225" s="20">
        <v>13.62</v>
      </c>
      <c r="U2225" s="99"/>
      <c r="V2225" s="99"/>
      <c r="W2225" s="99"/>
      <c r="X2225" s="99"/>
      <c r="Y2225" s="99"/>
      <c r="Z2225" s="20"/>
      <c r="AB2225" s="20"/>
      <c r="AC2225" s="38" t="s">
        <v>4845</v>
      </c>
      <c r="AD2225" s="61"/>
      <c r="AE2225" s="61"/>
    </row>
    <row r="2226" spans="1:31" x14ac:dyDescent="0.25">
      <c r="A2226" s="38" t="s">
        <v>36</v>
      </c>
      <c r="B2226" s="38" t="s">
        <v>4565</v>
      </c>
      <c r="C2226" s="38" t="s">
        <v>4847</v>
      </c>
      <c r="D2226" s="190" t="s">
        <v>4848</v>
      </c>
      <c r="E2226" s="38" t="s">
        <v>4849</v>
      </c>
      <c r="F2226" s="38">
        <v>1124.23</v>
      </c>
      <c r="G2226" s="38">
        <v>1124.23</v>
      </c>
      <c r="H2226" s="38">
        <f t="shared" si="106"/>
        <v>2750</v>
      </c>
      <c r="I2226" s="38">
        <v>1823</v>
      </c>
      <c r="J2226" s="38">
        <v>927</v>
      </c>
      <c r="K2226" s="38">
        <v>896</v>
      </c>
      <c r="L2226" s="50">
        <f t="shared" si="107"/>
        <v>32.581818181818186</v>
      </c>
      <c r="M2226" s="38">
        <v>0</v>
      </c>
      <c r="N2226" s="50">
        <f t="shared" si="109"/>
        <v>0</v>
      </c>
      <c r="O2226" s="38">
        <v>0</v>
      </c>
      <c r="P2226" s="38">
        <v>227</v>
      </c>
      <c r="Q2226" s="99" t="s">
        <v>43</v>
      </c>
      <c r="R2226" s="17">
        <v>44556</v>
      </c>
      <c r="S2226" s="61"/>
      <c r="T2226" s="20">
        <v>159</v>
      </c>
      <c r="U2226" s="99"/>
      <c r="V2226" s="99"/>
      <c r="W2226" s="99"/>
      <c r="X2226" s="99"/>
      <c r="Y2226" s="99"/>
      <c r="Z2226" s="20"/>
      <c r="AB2226" s="20"/>
      <c r="AC2226" s="38" t="s">
        <v>4848</v>
      </c>
      <c r="AD2226" s="61"/>
      <c r="AE2226" s="61"/>
    </row>
    <row r="2227" spans="1:31" x14ac:dyDescent="0.25">
      <c r="A2227" s="38" t="s">
        <v>36</v>
      </c>
      <c r="B2227" s="38" t="s">
        <v>4565</v>
      </c>
      <c r="C2227" s="38" t="s">
        <v>4847</v>
      </c>
      <c r="D2227" s="190" t="s">
        <v>4850</v>
      </c>
      <c r="E2227" s="38" t="s">
        <v>4851</v>
      </c>
      <c r="F2227" s="38">
        <v>427</v>
      </c>
      <c r="G2227" s="38">
        <v>427</v>
      </c>
      <c r="H2227" s="38">
        <f t="shared" si="106"/>
        <v>374</v>
      </c>
      <c r="I2227" s="38">
        <v>248</v>
      </c>
      <c r="J2227" s="38">
        <v>126</v>
      </c>
      <c r="K2227" s="38">
        <v>122</v>
      </c>
      <c r="L2227" s="50">
        <f t="shared" si="107"/>
        <v>32.620320855614978</v>
      </c>
      <c r="M2227" s="38">
        <v>0</v>
      </c>
      <c r="N2227" s="50">
        <f t="shared" si="109"/>
        <v>0</v>
      </c>
      <c r="O2227" s="38">
        <v>0</v>
      </c>
      <c r="P2227" s="38">
        <v>0</v>
      </c>
      <c r="Q2227" s="61" t="s">
        <v>43</v>
      </c>
      <c r="R2227" s="17">
        <v>44556</v>
      </c>
      <c r="S2227" s="61"/>
      <c r="T2227" s="20">
        <v>0</v>
      </c>
      <c r="U2227" s="61"/>
      <c r="V2227" s="61"/>
      <c r="W2227" s="61"/>
      <c r="X2227" s="61"/>
      <c r="Y2227" s="61"/>
      <c r="Z2227" s="20"/>
      <c r="AB2227" s="20"/>
      <c r="AC2227" s="38" t="s">
        <v>4850</v>
      </c>
      <c r="AD2227" s="61">
        <v>0</v>
      </c>
      <c r="AE2227" s="61"/>
    </row>
    <row r="2228" spans="1:31" x14ac:dyDescent="0.25">
      <c r="A2228" s="38" t="s">
        <v>36</v>
      </c>
      <c r="B2228" s="38" t="s">
        <v>4565</v>
      </c>
      <c r="C2228" s="38" t="s">
        <v>4847</v>
      </c>
      <c r="D2228" s="190" t="s">
        <v>4852</v>
      </c>
      <c r="E2228" s="38" t="s">
        <v>4853</v>
      </c>
      <c r="F2228" s="38">
        <v>1711</v>
      </c>
      <c r="G2228" s="38">
        <v>1711</v>
      </c>
      <c r="H2228" s="38">
        <f t="shared" si="106"/>
        <v>1085</v>
      </c>
      <c r="I2228" s="38">
        <v>730</v>
      </c>
      <c r="J2228" s="38">
        <v>355</v>
      </c>
      <c r="K2228" s="38">
        <v>375</v>
      </c>
      <c r="L2228" s="50">
        <f t="shared" si="107"/>
        <v>34.562211981566819</v>
      </c>
      <c r="M2228" s="38">
        <v>97</v>
      </c>
      <c r="N2228" s="50">
        <f t="shared" si="109"/>
        <v>8.9400921658986174</v>
      </c>
      <c r="O2228" s="38">
        <v>0</v>
      </c>
      <c r="P2228" s="38">
        <v>0</v>
      </c>
      <c r="Q2228" s="61" t="s">
        <v>43</v>
      </c>
      <c r="R2228" s="17">
        <v>44556</v>
      </c>
      <c r="S2228" s="61"/>
      <c r="T2228" s="20">
        <v>0</v>
      </c>
      <c r="U2228" s="61"/>
      <c r="V2228" s="61"/>
      <c r="W2228" s="61"/>
      <c r="X2228" s="61"/>
      <c r="Y2228" s="61"/>
      <c r="Z2228" s="20"/>
      <c r="AB2228" s="20"/>
      <c r="AC2228" s="38" t="s">
        <v>4852</v>
      </c>
      <c r="AD2228" s="61">
        <v>0</v>
      </c>
      <c r="AE2228" s="61"/>
    </row>
    <row r="2229" spans="1:31" x14ac:dyDescent="0.25">
      <c r="A2229" s="38" t="s">
        <v>36</v>
      </c>
      <c r="B2229" s="38" t="s">
        <v>4565</v>
      </c>
      <c r="C2229" s="38" t="s">
        <v>4847</v>
      </c>
      <c r="D2229" s="190" t="s">
        <v>4854</v>
      </c>
      <c r="E2229" s="38" t="s">
        <v>4855</v>
      </c>
      <c r="F2229" s="38">
        <v>305.01</v>
      </c>
      <c r="G2229" s="38">
        <v>305.01</v>
      </c>
      <c r="H2229" s="38">
        <f t="shared" si="106"/>
        <v>500</v>
      </c>
      <c r="I2229" s="38">
        <v>325</v>
      </c>
      <c r="J2229" s="38">
        <v>175</v>
      </c>
      <c r="K2229" s="38">
        <v>150</v>
      </c>
      <c r="L2229" s="50">
        <f t="shared" si="107"/>
        <v>30</v>
      </c>
      <c r="M2229" s="38">
        <v>0</v>
      </c>
      <c r="N2229" s="50">
        <f t="shared" si="109"/>
        <v>0</v>
      </c>
      <c r="O2229" s="38">
        <v>0</v>
      </c>
      <c r="P2229" s="38">
        <v>0</v>
      </c>
      <c r="Q2229" s="61" t="s">
        <v>43</v>
      </c>
      <c r="R2229" s="17">
        <v>44556</v>
      </c>
      <c r="S2229" s="61"/>
      <c r="T2229" s="20">
        <v>0</v>
      </c>
      <c r="U2229" s="61"/>
      <c r="V2229" s="61"/>
      <c r="W2229" s="61"/>
      <c r="X2229" s="61"/>
      <c r="Y2229" s="61"/>
      <c r="Z2229" s="20"/>
      <c r="AB2229" s="20"/>
      <c r="AC2229" s="38" t="s">
        <v>4854</v>
      </c>
      <c r="AD2229" s="61">
        <v>0</v>
      </c>
      <c r="AE2229" s="61"/>
    </row>
    <row r="2230" spans="1:31" x14ac:dyDescent="0.25">
      <c r="A2230" s="38" t="s">
        <v>36</v>
      </c>
      <c r="B2230" s="38" t="s">
        <v>4565</v>
      </c>
      <c r="C2230" s="38" t="s">
        <v>4847</v>
      </c>
      <c r="D2230" s="190" t="s">
        <v>4856</v>
      </c>
      <c r="E2230" s="38" t="s">
        <v>4857</v>
      </c>
      <c r="F2230" s="38">
        <v>536</v>
      </c>
      <c r="G2230" s="38">
        <v>536</v>
      </c>
      <c r="H2230" s="38">
        <f t="shared" si="106"/>
        <v>398</v>
      </c>
      <c r="I2230" s="38">
        <v>264</v>
      </c>
      <c r="J2230" s="38">
        <v>134</v>
      </c>
      <c r="K2230" s="38">
        <v>130</v>
      </c>
      <c r="L2230" s="50">
        <f t="shared" si="107"/>
        <v>32.663316582914575</v>
      </c>
      <c r="M2230" s="38">
        <v>0</v>
      </c>
      <c r="N2230" s="50">
        <f t="shared" si="109"/>
        <v>0</v>
      </c>
      <c r="O2230" s="38">
        <v>0</v>
      </c>
      <c r="P2230" s="38">
        <v>0</v>
      </c>
      <c r="Q2230" s="99" t="s">
        <v>43</v>
      </c>
      <c r="R2230" s="17">
        <v>44556</v>
      </c>
      <c r="S2230" s="61"/>
      <c r="T2230" s="20">
        <v>7.4</v>
      </c>
      <c r="U2230" s="99"/>
      <c r="V2230" s="99"/>
      <c r="W2230" s="99"/>
      <c r="X2230" s="99"/>
      <c r="Y2230" s="99"/>
      <c r="Z2230" s="20"/>
      <c r="AB2230" s="20"/>
      <c r="AC2230" s="38" t="s">
        <v>4856</v>
      </c>
      <c r="AD2230" s="61"/>
      <c r="AE2230" s="61"/>
    </row>
    <row r="2231" spans="1:31" x14ac:dyDescent="0.25">
      <c r="A2231" s="38" t="s">
        <v>36</v>
      </c>
      <c r="B2231" s="38" t="s">
        <v>4565</v>
      </c>
      <c r="C2231" s="38" t="s">
        <v>4847</v>
      </c>
      <c r="D2231" s="190" t="s">
        <v>4858</v>
      </c>
      <c r="E2231" s="38" t="s">
        <v>4859</v>
      </c>
      <c r="F2231" s="38">
        <v>608</v>
      </c>
      <c r="G2231" s="38">
        <v>608</v>
      </c>
      <c r="H2231" s="38">
        <f t="shared" si="106"/>
        <v>599</v>
      </c>
      <c r="I2231" s="38">
        <v>401</v>
      </c>
      <c r="J2231" s="38">
        <v>198</v>
      </c>
      <c r="K2231" s="38">
        <v>203</v>
      </c>
      <c r="L2231" s="50">
        <f t="shared" si="107"/>
        <v>33.889816360601003</v>
      </c>
      <c r="M2231" s="38">
        <v>31</v>
      </c>
      <c r="N2231" s="50">
        <f t="shared" si="109"/>
        <v>5.1752921535893153</v>
      </c>
      <c r="O2231" s="38">
        <v>0</v>
      </c>
      <c r="P2231" s="38">
        <v>110</v>
      </c>
      <c r="Q2231" s="99" t="s">
        <v>43</v>
      </c>
      <c r="R2231" s="17">
        <v>44556</v>
      </c>
      <c r="S2231" s="61"/>
      <c r="T2231" s="20">
        <v>82.88</v>
      </c>
      <c r="U2231" s="99"/>
      <c r="V2231" s="99"/>
      <c r="W2231" s="99"/>
      <c r="X2231" s="99"/>
      <c r="Y2231" s="99"/>
      <c r="Z2231" s="20"/>
      <c r="AB2231" s="20"/>
      <c r="AC2231" s="38" t="s">
        <v>4858</v>
      </c>
      <c r="AD2231" s="61"/>
      <c r="AE2231" s="61"/>
    </row>
    <row r="2232" spans="1:31" x14ac:dyDescent="0.25">
      <c r="A2232" s="38" t="s">
        <v>36</v>
      </c>
      <c r="B2232" s="38" t="s">
        <v>4565</v>
      </c>
      <c r="C2232" s="38" t="s">
        <v>4565</v>
      </c>
      <c r="D2232" s="190" t="s">
        <v>4860</v>
      </c>
      <c r="E2232" s="38" t="s">
        <v>4861</v>
      </c>
      <c r="F2232" s="38">
        <v>2350</v>
      </c>
      <c r="G2232" s="38">
        <v>2350</v>
      </c>
      <c r="H2232" s="38">
        <f t="shared" si="106"/>
        <v>6897</v>
      </c>
      <c r="I2232" s="38">
        <v>4504</v>
      </c>
      <c r="J2232" s="38">
        <v>2393</v>
      </c>
      <c r="K2232" s="38">
        <v>2111</v>
      </c>
      <c r="L2232" s="50">
        <f t="shared" si="107"/>
        <v>30.607510511816731</v>
      </c>
      <c r="M2232" s="38">
        <v>873</v>
      </c>
      <c r="N2232" s="50">
        <f t="shared" si="109"/>
        <v>12.657677250978686</v>
      </c>
      <c r="O2232" s="38">
        <v>78</v>
      </c>
      <c r="P2232" s="38">
        <v>0</v>
      </c>
      <c r="Q2232" s="34" t="s">
        <v>43</v>
      </c>
      <c r="R2232" s="9">
        <v>44592</v>
      </c>
      <c r="S2232" s="34"/>
      <c r="T2232" s="34">
        <v>508.98</v>
      </c>
      <c r="U2232" s="34"/>
      <c r="V2232" s="34"/>
      <c r="W2232" s="34"/>
      <c r="X2232" s="34"/>
      <c r="Y2232" s="34"/>
      <c r="Z2232" s="109"/>
      <c r="AB2232" s="109">
        <v>40</v>
      </c>
      <c r="AC2232" s="34" t="s">
        <v>4862</v>
      </c>
      <c r="AD2232" s="34">
        <v>25.720426</v>
      </c>
      <c r="AE2232" s="34">
        <v>70.872735000000006</v>
      </c>
    </row>
    <row r="2233" spans="1:31" x14ac:dyDescent="0.25">
      <c r="A2233" s="38" t="s">
        <v>36</v>
      </c>
      <c r="B2233" s="38" t="s">
        <v>4565</v>
      </c>
      <c r="C2233" s="38" t="s">
        <v>4565</v>
      </c>
      <c r="D2233" s="190" t="s">
        <v>4860</v>
      </c>
      <c r="E2233" s="38" t="s">
        <v>4861</v>
      </c>
      <c r="F2233" s="38">
        <v>2350</v>
      </c>
      <c r="G2233" s="38">
        <v>2350</v>
      </c>
      <c r="H2233" s="38">
        <f t="shared" si="106"/>
        <v>6897</v>
      </c>
      <c r="I2233" s="38">
        <v>4504</v>
      </c>
      <c r="J2233" s="38">
        <v>2393</v>
      </c>
      <c r="K2233" s="38">
        <v>2111</v>
      </c>
      <c r="L2233" s="50">
        <f t="shared" si="107"/>
        <v>30.607510511816731</v>
      </c>
      <c r="M2233" s="38">
        <v>873</v>
      </c>
      <c r="N2233" s="50">
        <f t="shared" si="109"/>
        <v>12.657677250978686</v>
      </c>
      <c r="O2233" s="38">
        <v>78</v>
      </c>
      <c r="P2233" s="38">
        <v>0</v>
      </c>
      <c r="Q2233" s="34" t="s">
        <v>43</v>
      </c>
      <c r="R2233" s="194">
        <v>44592</v>
      </c>
      <c r="S2233" s="193"/>
      <c r="T2233" s="193"/>
      <c r="U2233" s="34"/>
      <c r="V2233" s="34"/>
      <c r="W2233" s="34"/>
      <c r="X2233" s="34"/>
      <c r="Y2233" s="34"/>
      <c r="Z2233" s="5"/>
      <c r="AB2233" s="195">
        <v>20</v>
      </c>
      <c r="AC2233" s="196" t="s">
        <v>4863</v>
      </c>
      <c r="AD2233" s="193">
        <v>25.721918599999999</v>
      </c>
      <c r="AE2233" s="193">
        <v>70.884283300000007</v>
      </c>
    </row>
    <row r="2234" spans="1:31" ht="25.5" x14ac:dyDescent="0.25">
      <c r="A2234" s="38" t="s">
        <v>36</v>
      </c>
      <c r="B2234" s="38" t="s">
        <v>4565</v>
      </c>
      <c r="C2234" s="38" t="s">
        <v>4565</v>
      </c>
      <c r="D2234" s="190" t="s">
        <v>4860</v>
      </c>
      <c r="E2234" s="38" t="s">
        <v>4861</v>
      </c>
      <c r="F2234" s="38">
        <v>2350</v>
      </c>
      <c r="G2234" s="38">
        <v>2350</v>
      </c>
      <c r="H2234" s="38">
        <f t="shared" si="106"/>
        <v>6897</v>
      </c>
      <c r="I2234" s="38">
        <v>4504</v>
      </c>
      <c r="J2234" s="38">
        <v>2393</v>
      </c>
      <c r="K2234" s="38">
        <v>2111</v>
      </c>
      <c r="L2234" s="50">
        <f t="shared" si="107"/>
        <v>30.607510511816731</v>
      </c>
      <c r="M2234" s="38">
        <v>873</v>
      </c>
      <c r="N2234" s="50">
        <f t="shared" si="109"/>
        <v>12.657677250978686</v>
      </c>
      <c r="O2234" s="38">
        <v>78</v>
      </c>
      <c r="P2234" s="38">
        <v>0</v>
      </c>
      <c r="Q2234" s="34" t="s">
        <v>43</v>
      </c>
      <c r="R2234" s="194">
        <v>44592</v>
      </c>
      <c r="S2234" s="44"/>
      <c r="T2234" s="5"/>
      <c r="U2234" s="34"/>
      <c r="V2234" s="34"/>
      <c r="W2234" s="34"/>
      <c r="X2234" s="34"/>
      <c r="Y2234" s="34"/>
      <c r="Z2234" s="5"/>
      <c r="AB2234" s="5">
        <v>21</v>
      </c>
      <c r="AC2234" s="197" t="s">
        <v>4864</v>
      </c>
      <c r="AD2234" s="44">
        <v>25.734514000000001</v>
      </c>
      <c r="AE2234" s="44">
        <v>70.892674999999997</v>
      </c>
    </row>
    <row r="2235" spans="1:31" ht="25.5" x14ac:dyDescent="0.25">
      <c r="A2235" s="38" t="s">
        <v>36</v>
      </c>
      <c r="B2235" s="38" t="s">
        <v>4565</v>
      </c>
      <c r="C2235" s="38" t="s">
        <v>4565</v>
      </c>
      <c r="D2235" s="190" t="s">
        <v>4860</v>
      </c>
      <c r="E2235" s="38" t="s">
        <v>4861</v>
      </c>
      <c r="F2235" s="38">
        <v>2350</v>
      </c>
      <c r="G2235" s="38">
        <v>2350</v>
      </c>
      <c r="H2235" s="38">
        <f t="shared" si="106"/>
        <v>6897</v>
      </c>
      <c r="I2235" s="38">
        <v>4504</v>
      </c>
      <c r="J2235" s="38">
        <v>2393</v>
      </c>
      <c r="K2235" s="38">
        <v>2111</v>
      </c>
      <c r="L2235" s="50">
        <f t="shared" si="107"/>
        <v>30.607510511816731</v>
      </c>
      <c r="M2235" s="38">
        <v>873</v>
      </c>
      <c r="N2235" s="50">
        <f t="shared" si="109"/>
        <v>12.657677250978686</v>
      </c>
      <c r="O2235" s="38">
        <v>78</v>
      </c>
      <c r="P2235" s="38">
        <v>0</v>
      </c>
      <c r="Q2235" s="34" t="s">
        <v>43</v>
      </c>
      <c r="R2235" s="194">
        <v>44592</v>
      </c>
      <c r="S2235" s="44"/>
      <c r="T2235" s="5"/>
      <c r="U2235" s="34"/>
      <c r="V2235" s="34"/>
      <c r="W2235" s="34"/>
      <c r="X2235" s="34"/>
      <c r="Y2235" s="34"/>
      <c r="Z2235" s="5"/>
      <c r="AB2235" s="5">
        <v>19</v>
      </c>
      <c r="AC2235" s="197" t="s">
        <v>4863</v>
      </c>
      <c r="AD2235" s="44">
        <v>25.721712</v>
      </c>
      <c r="AE2235" s="44">
        <v>70.882773999999998</v>
      </c>
    </row>
    <row r="2236" spans="1:31" x14ac:dyDescent="0.25">
      <c r="A2236" s="38" t="s">
        <v>36</v>
      </c>
      <c r="B2236" s="38" t="s">
        <v>4565</v>
      </c>
      <c r="C2236" s="38" t="s">
        <v>4565</v>
      </c>
      <c r="D2236" s="190" t="s">
        <v>4860</v>
      </c>
      <c r="E2236" s="38" t="s">
        <v>4861</v>
      </c>
      <c r="F2236" s="38">
        <v>2350</v>
      </c>
      <c r="G2236" s="38">
        <v>2350</v>
      </c>
      <c r="H2236" s="38">
        <f t="shared" si="106"/>
        <v>6897</v>
      </c>
      <c r="I2236" s="38">
        <v>4504</v>
      </c>
      <c r="J2236" s="38">
        <v>2393</v>
      </c>
      <c r="K2236" s="38">
        <v>2111</v>
      </c>
      <c r="L2236" s="50">
        <f t="shared" si="107"/>
        <v>30.607510511816731</v>
      </c>
      <c r="M2236" s="38">
        <v>873</v>
      </c>
      <c r="N2236" s="50">
        <f t="shared" si="109"/>
        <v>12.657677250978686</v>
      </c>
      <c r="O2236" s="38">
        <v>78</v>
      </c>
      <c r="P2236" s="38">
        <v>0</v>
      </c>
      <c r="Q2236" s="34" t="s">
        <v>43</v>
      </c>
      <c r="R2236" s="194">
        <v>44592</v>
      </c>
      <c r="S2236" s="44"/>
      <c r="T2236" s="5"/>
      <c r="U2236" s="34"/>
      <c r="V2236" s="34"/>
      <c r="W2236" s="34"/>
      <c r="X2236" s="34"/>
      <c r="Y2236" s="34"/>
      <c r="Z2236" s="5"/>
      <c r="AB2236" s="5">
        <v>45</v>
      </c>
      <c r="AC2236" s="198" t="s">
        <v>4865</v>
      </c>
      <c r="AD2236" s="44">
        <v>25.736643999999998</v>
      </c>
      <c r="AE2236" s="44">
        <v>70.879913000000002</v>
      </c>
    </row>
    <row r="2237" spans="1:31" x14ac:dyDescent="0.25">
      <c r="A2237" s="38" t="s">
        <v>36</v>
      </c>
      <c r="B2237" s="38" t="s">
        <v>4565</v>
      </c>
      <c r="C2237" s="38" t="s">
        <v>4565</v>
      </c>
      <c r="D2237" s="190" t="s">
        <v>4860</v>
      </c>
      <c r="E2237" s="38" t="s">
        <v>4861</v>
      </c>
      <c r="F2237" s="38">
        <v>2350</v>
      </c>
      <c r="G2237" s="38">
        <v>2350</v>
      </c>
      <c r="H2237" s="38">
        <f t="shared" si="106"/>
        <v>6897</v>
      </c>
      <c r="I2237" s="38">
        <v>4504</v>
      </c>
      <c r="J2237" s="38">
        <v>2393</v>
      </c>
      <c r="K2237" s="38">
        <v>2111</v>
      </c>
      <c r="L2237" s="50">
        <f t="shared" si="107"/>
        <v>30.607510511816731</v>
      </c>
      <c r="M2237" s="38">
        <v>873</v>
      </c>
      <c r="N2237" s="50">
        <f t="shared" si="109"/>
        <v>12.657677250978686</v>
      </c>
      <c r="O2237" s="38">
        <v>78</v>
      </c>
      <c r="P2237" s="38">
        <v>0</v>
      </c>
      <c r="Q2237" s="34" t="s">
        <v>43</v>
      </c>
      <c r="R2237" s="194">
        <v>44592</v>
      </c>
      <c r="S2237" s="44"/>
      <c r="T2237" s="5"/>
      <c r="U2237" s="34"/>
      <c r="V2237" s="34"/>
      <c r="W2237" s="34"/>
      <c r="X2237" s="34"/>
      <c r="Y2237" s="34"/>
      <c r="Z2237" s="5"/>
      <c r="AB2237" s="5">
        <v>21</v>
      </c>
      <c r="AC2237" s="198" t="s">
        <v>4866</v>
      </c>
      <c r="AD2237" s="44">
        <v>25.734445000000001</v>
      </c>
      <c r="AE2237" s="44">
        <v>70.872674000000004</v>
      </c>
    </row>
    <row r="2238" spans="1:31" ht="25.5" x14ac:dyDescent="0.25">
      <c r="A2238" s="38" t="s">
        <v>36</v>
      </c>
      <c r="B2238" s="38" t="s">
        <v>4565</v>
      </c>
      <c r="C2238" s="38" t="s">
        <v>4565</v>
      </c>
      <c r="D2238" s="190" t="s">
        <v>4860</v>
      </c>
      <c r="E2238" s="38" t="s">
        <v>4861</v>
      </c>
      <c r="F2238" s="38">
        <v>2350</v>
      </c>
      <c r="G2238" s="38">
        <v>2350</v>
      </c>
      <c r="H2238" s="38">
        <f t="shared" si="106"/>
        <v>6897</v>
      </c>
      <c r="I2238" s="38">
        <v>4504</v>
      </c>
      <c r="J2238" s="38">
        <v>2393</v>
      </c>
      <c r="K2238" s="38">
        <v>2111</v>
      </c>
      <c r="L2238" s="50">
        <f t="shared" si="107"/>
        <v>30.607510511816731</v>
      </c>
      <c r="M2238" s="38">
        <v>873</v>
      </c>
      <c r="N2238" s="50">
        <f t="shared" si="109"/>
        <v>12.657677250978686</v>
      </c>
      <c r="O2238" s="38">
        <v>78</v>
      </c>
      <c r="P2238" s="38">
        <v>0</v>
      </c>
      <c r="Q2238" s="34" t="s">
        <v>43</v>
      </c>
      <c r="R2238" s="194">
        <v>44592</v>
      </c>
      <c r="S2238" s="44"/>
      <c r="T2238" s="5"/>
      <c r="U2238" s="34"/>
      <c r="V2238" s="34"/>
      <c r="W2238" s="34"/>
      <c r="X2238" s="34"/>
      <c r="Y2238" s="34"/>
      <c r="Z2238" s="5"/>
      <c r="AB2238" s="5">
        <v>20</v>
      </c>
      <c r="AC2238" s="198" t="s">
        <v>4867</v>
      </c>
      <c r="AD2238" s="44">
        <v>25.741129999999998</v>
      </c>
      <c r="AE2238" s="44">
        <v>70.873189999999994</v>
      </c>
    </row>
    <row r="2239" spans="1:31" x14ac:dyDescent="0.25">
      <c r="A2239" s="38" t="s">
        <v>36</v>
      </c>
      <c r="B2239" s="38" t="s">
        <v>4565</v>
      </c>
      <c r="C2239" s="38" t="s">
        <v>4565</v>
      </c>
      <c r="D2239" s="190" t="s">
        <v>4860</v>
      </c>
      <c r="E2239" s="38" t="s">
        <v>4861</v>
      </c>
      <c r="F2239" s="38">
        <v>2350</v>
      </c>
      <c r="G2239" s="38">
        <v>2350</v>
      </c>
      <c r="H2239" s="38">
        <f t="shared" si="106"/>
        <v>6897</v>
      </c>
      <c r="I2239" s="38">
        <v>4504</v>
      </c>
      <c r="J2239" s="38">
        <v>2393</v>
      </c>
      <c r="K2239" s="38">
        <v>2111</v>
      </c>
      <c r="L2239" s="50">
        <f t="shared" si="107"/>
        <v>30.607510511816731</v>
      </c>
      <c r="M2239" s="38">
        <v>873</v>
      </c>
      <c r="N2239" s="50">
        <f t="shared" si="109"/>
        <v>12.657677250978686</v>
      </c>
      <c r="O2239" s="38">
        <v>78</v>
      </c>
      <c r="P2239" s="38">
        <v>0</v>
      </c>
      <c r="Q2239" s="34" t="s">
        <v>43</v>
      </c>
      <c r="R2239" s="194">
        <v>44592</v>
      </c>
      <c r="S2239" s="44"/>
      <c r="T2239" s="5"/>
      <c r="U2239" s="34"/>
      <c r="V2239" s="34"/>
      <c r="W2239" s="34"/>
      <c r="X2239" s="34"/>
      <c r="Y2239" s="34"/>
      <c r="Z2239" s="5"/>
      <c r="AB2239" s="5">
        <v>19</v>
      </c>
      <c r="AC2239" s="198" t="s">
        <v>4868</v>
      </c>
      <c r="AD2239" s="44">
        <v>25.736093</v>
      </c>
      <c r="AE2239" s="44">
        <v>70.880109000000004</v>
      </c>
    </row>
    <row r="2240" spans="1:31" x14ac:dyDescent="0.25">
      <c r="A2240" s="38" t="s">
        <v>36</v>
      </c>
      <c r="B2240" s="38" t="s">
        <v>4565</v>
      </c>
      <c r="C2240" s="38" t="s">
        <v>4565</v>
      </c>
      <c r="D2240" s="190" t="s">
        <v>4860</v>
      </c>
      <c r="E2240" s="38" t="s">
        <v>4861</v>
      </c>
      <c r="F2240" s="38">
        <v>2350</v>
      </c>
      <c r="G2240" s="38">
        <v>2350</v>
      </c>
      <c r="H2240" s="38">
        <f t="shared" si="106"/>
        <v>6897</v>
      </c>
      <c r="I2240" s="38">
        <v>4504</v>
      </c>
      <c r="J2240" s="38">
        <v>2393</v>
      </c>
      <c r="K2240" s="38">
        <v>2111</v>
      </c>
      <c r="L2240" s="50">
        <f t="shared" si="107"/>
        <v>30.607510511816731</v>
      </c>
      <c r="M2240" s="38">
        <v>873</v>
      </c>
      <c r="N2240" s="50">
        <f t="shared" si="109"/>
        <v>12.657677250978686</v>
      </c>
      <c r="O2240" s="38">
        <v>78</v>
      </c>
      <c r="P2240" s="38">
        <v>0</v>
      </c>
      <c r="Q2240" s="34" t="s">
        <v>43</v>
      </c>
      <c r="R2240" s="194">
        <v>44592</v>
      </c>
      <c r="S2240" s="44"/>
      <c r="T2240" s="5"/>
      <c r="U2240" s="34"/>
      <c r="V2240" s="34"/>
      <c r="W2240" s="34"/>
      <c r="X2240" s="34"/>
      <c r="Y2240" s="34"/>
      <c r="Z2240" s="5"/>
      <c r="AB2240" s="5">
        <v>22</v>
      </c>
      <c r="AC2240" s="198" t="s">
        <v>4869</v>
      </c>
      <c r="AD2240" s="44">
        <v>25.735838000000001</v>
      </c>
      <c r="AE2240" s="44">
        <v>70.881212000000005</v>
      </c>
    </row>
    <row r="2241" spans="1:31" x14ac:dyDescent="0.25">
      <c r="A2241" s="38" t="s">
        <v>36</v>
      </c>
      <c r="B2241" s="38" t="s">
        <v>4565</v>
      </c>
      <c r="C2241" s="38" t="s">
        <v>4565</v>
      </c>
      <c r="D2241" s="190" t="s">
        <v>4860</v>
      </c>
      <c r="E2241" s="38" t="s">
        <v>4861</v>
      </c>
      <c r="F2241" s="38">
        <v>2350</v>
      </c>
      <c r="G2241" s="38">
        <v>2350</v>
      </c>
      <c r="H2241" s="38">
        <f t="shared" si="106"/>
        <v>6897</v>
      </c>
      <c r="I2241" s="38">
        <v>4504</v>
      </c>
      <c r="J2241" s="38">
        <v>2393</v>
      </c>
      <c r="K2241" s="38">
        <v>2111</v>
      </c>
      <c r="L2241" s="50">
        <f t="shared" si="107"/>
        <v>30.607510511816731</v>
      </c>
      <c r="M2241" s="38">
        <v>873</v>
      </c>
      <c r="N2241" s="50">
        <f t="shared" si="109"/>
        <v>12.657677250978686</v>
      </c>
      <c r="O2241" s="38">
        <v>78</v>
      </c>
      <c r="P2241" s="38">
        <v>0</v>
      </c>
      <c r="Q2241" s="34" t="s">
        <v>43</v>
      </c>
      <c r="R2241" s="194">
        <v>44592</v>
      </c>
      <c r="S2241" s="44"/>
      <c r="T2241" s="5"/>
      <c r="U2241" s="34"/>
      <c r="V2241" s="34"/>
      <c r="W2241" s="34"/>
      <c r="X2241" s="34"/>
      <c r="Y2241" s="34"/>
      <c r="Z2241" s="5"/>
      <c r="AB2241" s="5">
        <v>19</v>
      </c>
      <c r="AC2241" s="198" t="s">
        <v>4870</v>
      </c>
      <c r="AD2241" s="44">
        <v>25.741140000000001</v>
      </c>
      <c r="AE2241" s="44">
        <v>70.873180000000005</v>
      </c>
    </row>
    <row r="2242" spans="1:31" ht="25.5" x14ac:dyDescent="0.25">
      <c r="A2242" s="38" t="s">
        <v>36</v>
      </c>
      <c r="B2242" s="38" t="s">
        <v>4565</v>
      </c>
      <c r="C2242" s="38" t="s">
        <v>4565</v>
      </c>
      <c r="D2242" s="190" t="s">
        <v>4860</v>
      </c>
      <c r="E2242" s="38" t="s">
        <v>4861</v>
      </c>
      <c r="F2242" s="38">
        <v>2350</v>
      </c>
      <c r="G2242" s="38">
        <v>2350</v>
      </c>
      <c r="H2242" s="38">
        <f t="shared" si="106"/>
        <v>6897</v>
      </c>
      <c r="I2242" s="38">
        <v>4504</v>
      </c>
      <c r="J2242" s="38">
        <v>2393</v>
      </c>
      <c r="K2242" s="38">
        <v>2111</v>
      </c>
      <c r="L2242" s="50">
        <f t="shared" si="107"/>
        <v>30.607510511816731</v>
      </c>
      <c r="M2242" s="38">
        <v>873</v>
      </c>
      <c r="N2242" s="50">
        <f t="shared" si="109"/>
        <v>12.657677250978686</v>
      </c>
      <c r="O2242" s="38">
        <v>78</v>
      </c>
      <c r="P2242" s="38">
        <v>0</v>
      </c>
      <c r="Q2242" s="34" t="s">
        <v>43</v>
      </c>
      <c r="R2242" s="194">
        <v>44592</v>
      </c>
      <c r="S2242" s="193"/>
      <c r="T2242" s="5"/>
      <c r="U2242" s="34"/>
      <c r="V2242" s="34"/>
      <c r="W2242" s="34"/>
      <c r="X2242" s="34"/>
      <c r="Y2242" s="34"/>
      <c r="Z2242" s="5"/>
      <c r="AB2242" s="5">
        <v>16</v>
      </c>
      <c r="AC2242" s="198" t="s">
        <v>4871</v>
      </c>
      <c r="AD2242" s="193">
        <v>25.720435999999999</v>
      </c>
      <c r="AE2242" s="193">
        <v>70.872744999999995</v>
      </c>
    </row>
    <row r="2243" spans="1:31" ht="25.5" x14ac:dyDescent="0.25">
      <c r="A2243" s="38" t="s">
        <v>36</v>
      </c>
      <c r="B2243" s="38" t="s">
        <v>4565</v>
      </c>
      <c r="C2243" s="38" t="s">
        <v>4565</v>
      </c>
      <c r="D2243" s="190" t="s">
        <v>4860</v>
      </c>
      <c r="E2243" s="38" t="s">
        <v>4861</v>
      </c>
      <c r="F2243" s="38">
        <v>2350</v>
      </c>
      <c r="G2243" s="38">
        <v>2350</v>
      </c>
      <c r="H2243" s="38">
        <f t="shared" si="106"/>
        <v>6897</v>
      </c>
      <c r="I2243" s="38">
        <v>4504</v>
      </c>
      <c r="J2243" s="38">
        <v>2393</v>
      </c>
      <c r="K2243" s="38">
        <v>2111</v>
      </c>
      <c r="L2243" s="50">
        <f t="shared" si="107"/>
        <v>30.607510511816731</v>
      </c>
      <c r="M2243" s="38">
        <v>873</v>
      </c>
      <c r="N2243" s="50">
        <f t="shared" si="109"/>
        <v>12.657677250978686</v>
      </c>
      <c r="O2243" s="38">
        <v>78</v>
      </c>
      <c r="P2243" s="38">
        <v>0</v>
      </c>
      <c r="Q2243" s="34" t="s">
        <v>43</v>
      </c>
      <c r="R2243" s="194">
        <v>44592</v>
      </c>
      <c r="S2243" s="44"/>
      <c r="T2243" s="5"/>
      <c r="U2243" s="34"/>
      <c r="V2243" s="34"/>
      <c r="W2243" s="34"/>
      <c r="X2243" s="34"/>
      <c r="Y2243" s="34"/>
      <c r="Z2243" s="5"/>
      <c r="AB2243" s="5">
        <v>19</v>
      </c>
      <c r="AC2243" s="198" t="s">
        <v>4872</v>
      </c>
      <c r="AD2243" s="44">
        <v>25.722520299999999</v>
      </c>
      <c r="AE2243" s="44">
        <v>70.885263600000002</v>
      </c>
    </row>
    <row r="2244" spans="1:31" ht="25.5" x14ac:dyDescent="0.25">
      <c r="A2244" s="38" t="s">
        <v>36</v>
      </c>
      <c r="B2244" s="38" t="s">
        <v>4565</v>
      </c>
      <c r="C2244" s="38" t="s">
        <v>4565</v>
      </c>
      <c r="D2244" s="190" t="s">
        <v>4860</v>
      </c>
      <c r="E2244" s="38" t="s">
        <v>4861</v>
      </c>
      <c r="F2244" s="38">
        <v>2350</v>
      </c>
      <c r="G2244" s="38">
        <v>2350</v>
      </c>
      <c r="H2244" s="38">
        <f t="shared" si="106"/>
        <v>6897</v>
      </c>
      <c r="I2244" s="38">
        <v>4504</v>
      </c>
      <c r="J2244" s="38">
        <v>2393</v>
      </c>
      <c r="K2244" s="38">
        <v>2111</v>
      </c>
      <c r="L2244" s="50">
        <f t="shared" si="107"/>
        <v>30.607510511816731</v>
      </c>
      <c r="M2244" s="38">
        <v>873</v>
      </c>
      <c r="N2244" s="50">
        <f t="shared" si="109"/>
        <v>12.657677250978686</v>
      </c>
      <c r="O2244" s="38">
        <v>78</v>
      </c>
      <c r="P2244" s="38">
        <v>0</v>
      </c>
      <c r="Q2244" s="34" t="s">
        <v>43</v>
      </c>
      <c r="R2244" s="194">
        <v>44592</v>
      </c>
      <c r="S2244" s="44"/>
      <c r="T2244" s="5"/>
      <c r="U2244" s="34"/>
      <c r="V2244" s="34"/>
      <c r="W2244" s="34"/>
      <c r="X2244" s="34"/>
      <c r="Y2244" s="34"/>
      <c r="Z2244" s="5"/>
      <c r="AB2244" s="5">
        <v>21</v>
      </c>
      <c r="AC2244" s="198" t="s">
        <v>4873</v>
      </c>
      <c r="AD2244" s="44">
        <v>25.720930899999999</v>
      </c>
      <c r="AE2244" s="44">
        <v>70.885097000000002</v>
      </c>
    </row>
    <row r="2245" spans="1:31" ht="25.5" x14ac:dyDescent="0.25">
      <c r="A2245" s="38" t="s">
        <v>36</v>
      </c>
      <c r="B2245" s="41" t="s">
        <v>4565</v>
      </c>
      <c r="C2245" s="41" t="s">
        <v>4565</v>
      </c>
      <c r="D2245" s="41" t="s">
        <v>4860</v>
      </c>
      <c r="E2245" s="41" t="s">
        <v>4861</v>
      </c>
      <c r="F2245" s="41">
        <v>2350</v>
      </c>
      <c r="G2245" s="41">
        <v>2350</v>
      </c>
      <c r="H2245" s="38">
        <f t="shared" ref="H2245:H2308" si="110">I2245+J2245</f>
        <v>6897</v>
      </c>
      <c r="I2245" s="41">
        <v>4504</v>
      </c>
      <c r="J2245" s="41">
        <v>2393</v>
      </c>
      <c r="K2245" s="41">
        <v>2111</v>
      </c>
      <c r="L2245" s="50">
        <f t="shared" si="107"/>
        <v>30.607510511816731</v>
      </c>
      <c r="M2245" s="41">
        <v>873</v>
      </c>
      <c r="N2245" s="50">
        <f t="shared" si="109"/>
        <v>12.657677250978686</v>
      </c>
      <c r="O2245" s="41">
        <v>78</v>
      </c>
      <c r="P2245" s="41">
        <v>0</v>
      </c>
      <c r="Q2245" s="34" t="s">
        <v>43</v>
      </c>
      <c r="R2245" s="194">
        <v>44592</v>
      </c>
      <c r="S2245" s="44"/>
      <c r="T2245" s="5"/>
      <c r="U2245" s="34"/>
      <c r="V2245" s="34"/>
      <c r="W2245" s="34"/>
      <c r="X2245" s="34"/>
      <c r="Y2245" s="34"/>
      <c r="Z2245" s="5"/>
      <c r="AB2245" s="5">
        <v>19</v>
      </c>
      <c r="AC2245" s="198" t="s">
        <v>4874</v>
      </c>
      <c r="AD2245" s="44">
        <v>25.722905399999998</v>
      </c>
      <c r="AE2245" s="44">
        <v>70.883662999999999</v>
      </c>
    </row>
    <row r="2246" spans="1:31" x14ac:dyDescent="0.25">
      <c r="A2246" s="38" t="s">
        <v>36</v>
      </c>
      <c r="B2246" s="38" t="s">
        <v>4565</v>
      </c>
      <c r="C2246" s="38" t="s">
        <v>4565</v>
      </c>
      <c r="D2246" s="190" t="s">
        <v>4860</v>
      </c>
      <c r="E2246" s="38" t="s">
        <v>4861</v>
      </c>
      <c r="F2246" s="38">
        <v>2350</v>
      </c>
      <c r="G2246" s="38">
        <v>2350</v>
      </c>
      <c r="H2246" s="38">
        <f t="shared" si="110"/>
        <v>6897</v>
      </c>
      <c r="I2246" s="38">
        <v>4504</v>
      </c>
      <c r="J2246" s="38">
        <v>2393</v>
      </c>
      <c r="K2246" s="38">
        <v>2111</v>
      </c>
      <c r="L2246" s="50">
        <f t="shared" ref="L2246:L2309" si="111">K2246/H2246*100</f>
        <v>30.607510511816731</v>
      </c>
      <c r="M2246" s="38">
        <v>873</v>
      </c>
      <c r="N2246" s="50">
        <f t="shared" si="109"/>
        <v>12.657677250978686</v>
      </c>
      <c r="O2246" s="38">
        <v>78</v>
      </c>
      <c r="P2246" s="38">
        <v>0</v>
      </c>
      <c r="Q2246" s="34" t="s">
        <v>43</v>
      </c>
      <c r="R2246" s="194">
        <v>44592</v>
      </c>
      <c r="S2246" s="44"/>
      <c r="T2246" s="5"/>
      <c r="U2246" s="34"/>
      <c r="V2246" s="34"/>
      <c r="W2246" s="34"/>
      <c r="X2246" s="34"/>
      <c r="Y2246" s="34"/>
      <c r="Z2246" s="5"/>
      <c r="AB2246" s="5">
        <v>21</v>
      </c>
      <c r="AC2246" s="199" t="s">
        <v>4875</v>
      </c>
      <c r="AD2246" s="44">
        <v>25.735152599999999</v>
      </c>
      <c r="AE2246" s="44">
        <v>70.881882700000006</v>
      </c>
    </row>
    <row r="2247" spans="1:31" x14ac:dyDescent="0.25">
      <c r="A2247" s="38" t="s">
        <v>36</v>
      </c>
      <c r="B2247" s="38" t="s">
        <v>4565</v>
      </c>
      <c r="C2247" s="38" t="s">
        <v>4565</v>
      </c>
      <c r="D2247" s="190" t="s">
        <v>4876</v>
      </c>
      <c r="E2247" s="38" t="s">
        <v>4877</v>
      </c>
      <c r="F2247" s="38">
        <v>401</v>
      </c>
      <c r="G2247" s="38">
        <v>401</v>
      </c>
      <c r="H2247" s="38">
        <f t="shared" si="110"/>
        <v>246</v>
      </c>
      <c r="I2247" s="38">
        <v>161</v>
      </c>
      <c r="J2247" s="38">
        <v>85</v>
      </c>
      <c r="K2247" s="38">
        <v>76</v>
      </c>
      <c r="L2247" s="50">
        <f t="shared" si="111"/>
        <v>30.894308943089431</v>
      </c>
      <c r="M2247" s="38">
        <v>4</v>
      </c>
      <c r="N2247" s="50">
        <f t="shared" si="109"/>
        <v>1.6260162601626018</v>
      </c>
      <c r="O2247" s="38">
        <v>0</v>
      </c>
      <c r="P2247" s="38">
        <v>0</v>
      </c>
      <c r="Q2247" s="61" t="s">
        <v>43</v>
      </c>
      <c r="R2247" s="9">
        <v>44592</v>
      </c>
      <c r="S2247" s="61"/>
      <c r="T2247" s="20">
        <v>0</v>
      </c>
      <c r="U2247" s="61"/>
      <c r="V2247" s="61"/>
      <c r="W2247" s="61"/>
      <c r="X2247" s="61"/>
      <c r="Y2247" s="61"/>
      <c r="Z2247" s="20"/>
      <c r="AB2247" s="20"/>
      <c r="AC2247" s="38" t="s">
        <v>4878</v>
      </c>
      <c r="AD2247" s="61">
        <v>0</v>
      </c>
      <c r="AE2247" s="61"/>
    </row>
    <row r="2248" spans="1:31" x14ac:dyDescent="0.25">
      <c r="A2248" s="38" t="s">
        <v>36</v>
      </c>
      <c r="B2248" s="38" t="s">
        <v>4565</v>
      </c>
      <c r="C2248" s="38" t="s">
        <v>4879</v>
      </c>
      <c r="D2248" s="190" t="s">
        <v>4880</v>
      </c>
      <c r="E2248" s="38" t="s">
        <v>4881</v>
      </c>
      <c r="F2248" s="38">
        <v>516</v>
      </c>
      <c r="G2248" s="38">
        <v>516</v>
      </c>
      <c r="H2248" s="38">
        <f t="shared" si="110"/>
        <v>1784</v>
      </c>
      <c r="I2248" s="38">
        <v>1190</v>
      </c>
      <c r="J2248" s="38">
        <v>594</v>
      </c>
      <c r="K2248" s="38">
        <v>596</v>
      </c>
      <c r="L2248" s="50">
        <f t="shared" si="111"/>
        <v>33.408071748878925</v>
      </c>
      <c r="M2248" s="38">
        <v>86</v>
      </c>
      <c r="N2248" s="50">
        <f t="shared" si="109"/>
        <v>4.8206278026905833</v>
      </c>
      <c r="O2248" s="38">
        <v>0</v>
      </c>
      <c r="P2248" s="38">
        <v>0</v>
      </c>
      <c r="Q2248" s="61" t="s">
        <v>43</v>
      </c>
      <c r="R2248" s="10">
        <v>44635</v>
      </c>
      <c r="S2248" s="61"/>
      <c r="T2248" s="20">
        <v>11</v>
      </c>
      <c r="U2248" s="61"/>
      <c r="V2248" s="61"/>
      <c r="W2248" s="61"/>
      <c r="X2248" s="61"/>
      <c r="Y2248" s="61"/>
      <c r="Z2248" s="109"/>
      <c r="AB2248" s="20">
        <v>6</v>
      </c>
      <c r="AC2248" s="61" t="s">
        <v>4882</v>
      </c>
      <c r="AD2248" s="61">
        <v>70.673612000000006</v>
      </c>
      <c r="AE2248" s="61">
        <v>25.586701000000001</v>
      </c>
    </row>
    <row r="2249" spans="1:31" x14ac:dyDescent="0.25">
      <c r="A2249" s="38" t="s">
        <v>36</v>
      </c>
      <c r="B2249" s="41" t="s">
        <v>4565</v>
      </c>
      <c r="C2249" s="41" t="s">
        <v>4879</v>
      </c>
      <c r="D2249" s="41" t="s">
        <v>4880</v>
      </c>
      <c r="E2249" s="41" t="s">
        <v>4881</v>
      </c>
      <c r="F2249" s="41">
        <v>516</v>
      </c>
      <c r="G2249" s="41">
        <v>516</v>
      </c>
      <c r="H2249" s="38">
        <f t="shared" si="110"/>
        <v>1784</v>
      </c>
      <c r="I2249" s="41">
        <v>1190</v>
      </c>
      <c r="J2249" s="41">
        <v>594</v>
      </c>
      <c r="K2249" s="41">
        <v>596</v>
      </c>
      <c r="L2249" s="50">
        <f t="shared" si="111"/>
        <v>33.408071748878925</v>
      </c>
      <c r="M2249" s="41">
        <v>86</v>
      </c>
      <c r="N2249" s="50">
        <f t="shared" si="109"/>
        <v>4.8206278026905833</v>
      </c>
      <c r="O2249" s="41">
        <v>0</v>
      </c>
      <c r="P2249" s="41">
        <v>0</v>
      </c>
      <c r="Q2249" s="61" t="s">
        <v>43</v>
      </c>
      <c r="R2249" s="200">
        <v>44635</v>
      </c>
      <c r="S2249" s="105"/>
      <c r="T2249" s="106"/>
      <c r="U2249" s="61"/>
      <c r="V2249" s="61"/>
      <c r="W2249" s="61"/>
      <c r="X2249" s="61"/>
      <c r="Y2249" s="61"/>
      <c r="Z2249" s="195"/>
      <c r="AB2249" s="106">
        <v>20</v>
      </c>
      <c r="AC2249" s="105" t="s">
        <v>4882</v>
      </c>
      <c r="AD2249" s="105">
        <v>25.549292000000001</v>
      </c>
      <c r="AE2249" s="105">
        <v>70.693061999999998</v>
      </c>
    </row>
    <row r="2250" spans="1:31" x14ac:dyDescent="0.25">
      <c r="A2250" s="38" t="s">
        <v>36</v>
      </c>
      <c r="B2250" s="41" t="s">
        <v>4565</v>
      </c>
      <c r="C2250" s="41" t="s">
        <v>4879</v>
      </c>
      <c r="D2250" s="41" t="s">
        <v>4880</v>
      </c>
      <c r="E2250" s="41" t="s">
        <v>4881</v>
      </c>
      <c r="F2250" s="41">
        <v>516</v>
      </c>
      <c r="G2250" s="41">
        <v>516</v>
      </c>
      <c r="H2250" s="38">
        <f t="shared" si="110"/>
        <v>1784</v>
      </c>
      <c r="I2250" s="41">
        <v>1190</v>
      </c>
      <c r="J2250" s="41">
        <v>594</v>
      </c>
      <c r="K2250" s="41">
        <v>596</v>
      </c>
      <c r="L2250" s="50">
        <f t="shared" si="111"/>
        <v>33.408071748878925</v>
      </c>
      <c r="M2250" s="41">
        <v>86</v>
      </c>
      <c r="N2250" s="50">
        <f t="shared" si="109"/>
        <v>4.8206278026905833</v>
      </c>
      <c r="O2250" s="41">
        <v>0</v>
      </c>
      <c r="P2250" s="41">
        <v>0</v>
      </c>
      <c r="Q2250" s="61" t="s">
        <v>43</v>
      </c>
      <c r="R2250" s="200">
        <v>44635</v>
      </c>
      <c r="S2250" s="105"/>
      <c r="T2250" s="106"/>
      <c r="U2250" s="61"/>
      <c r="V2250" s="61"/>
      <c r="W2250" s="61"/>
      <c r="X2250" s="61"/>
      <c r="Y2250" s="61"/>
      <c r="Z2250" s="195"/>
      <c r="AB2250" s="106">
        <v>20</v>
      </c>
      <c r="AC2250" s="105" t="s">
        <v>4882</v>
      </c>
      <c r="AD2250" s="105">
        <v>25.549282000000002</v>
      </c>
      <c r="AE2250" s="105">
        <v>70.692989999999995</v>
      </c>
    </row>
    <row r="2251" spans="1:31" x14ac:dyDescent="0.25">
      <c r="A2251" s="38" t="s">
        <v>36</v>
      </c>
      <c r="B2251" s="38" t="s">
        <v>4565</v>
      </c>
      <c r="C2251" s="38" t="s">
        <v>4879</v>
      </c>
      <c r="D2251" s="190" t="s">
        <v>4880</v>
      </c>
      <c r="E2251" s="38" t="s">
        <v>4881</v>
      </c>
      <c r="F2251" s="38">
        <v>516</v>
      </c>
      <c r="G2251" s="38">
        <v>516</v>
      </c>
      <c r="H2251" s="38">
        <f t="shared" si="110"/>
        <v>1784</v>
      </c>
      <c r="I2251" s="38">
        <v>1190</v>
      </c>
      <c r="J2251" s="38">
        <v>594</v>
      </c>
      <c r="K2251" s="38">
        <v>596</v>
      </c>
      <c r="L2251" s="50">
        <f t="shared" si="111"/>
        <v>33.408071748878925</v>
      </c>
      <c r="M2251" s="38">
        <v>86</v>
      </c>
      <c r="N2251" s="50">
        <f t="shared" si="109"/>
        <v>4.8206278026905833</v>
      </c>
      <c r="O2251" s="38">
        <v>0</v>
      </c>
      <c r="P2251" s="38">
        <v>0</v>
      </c>
      <c r="AC2251" s="117"/>
      <c r="AD2251" s="121"/>
    </row>
    <row r="2252" spans="1:31" x14ac:dyDescent="0.25">
      <c r="A2252" s="38" t="s">
        <v>36</v>
      </c>
      <c r="B2252" s="38" t="s">
        <v>4565</v>
      </c>
      <c r="C2252" s="38" t="s">
        <v>4879</v>
      </c>
      <c r="D2252" s="190" t="s">
        <v>4883</v>
      </c>
      <c r="E2252" s="38" t="s">
        <v>4884</v>
      </c>
      <c r="F2252" s="38">
        <v>209</v>
      </c>
      <c r="G2252" s="38">
        <v>209</v>
      </c>
      <c r="H2252" s="38">
        <f t="shared" si="110"/>
        <v>0</v>
      </c>
      <c r="I2252" s="38">
        <v>0</v>
      </c>
      <c r="J2252" s="38">
        <v>0</v>
      </c>
      <c r="K2252" s="38">
        <v>0</v>
      </c>
      <c r="L2252" s="50"/>
      <c r="M2252" s="38">
        <v>0</v>
      </c>
      <c r="N2252" s="50"/>
      <c r="O2252" s="38">
        <v>0</v>
      </c>
      <c r="P2252" s="38">
        <v>0</v>
      </c>
    </row>
    <row r="2253" spans="1:31" x14ac:dyDescent="0.25">
      <c r="A2253" s="38" t="s">
        <v>36</v>
      </c>
      <c r="B2253" s="38" t="s">
        <v>4565</v>
      </c>
      <c r="C2253" s="38" t="s">
        <v>4879</v>
      </c>
      <c r="D2253" s="190" t="s">
        <v>4885</v>
      </c>
      <c r="E2253" s="38" t="s">
        <v>4886</v>
      </c>
      <c r="F2253" s="38">
        <v>799</v>
      </c>
      <c r="G2253" s="38">
        <v>799</v>
      </c>
      <c r="H2253" s="38">
        <f t="shared" si="110"/>
        <v>380</v>
      </c>
      <c r="I2253" s="38">
        <v>245</v>
      </c>
      <c r="J2253" s="38">
        <v>135</v>
      </c>
      <c r="K2253" s="38">
        <v>110</v>
      </c>
      <c r="L2253" s="50">
        <f t="shared" si="111"/>
        <v>28.947368421052634</v>
      </c>
      <c r="M2253" s="38">
        <v>38</v>
      </c>
      <c r="N2253" s="50">
        <f t="shared" si="109"/>
        <v>10</v>
      </c>
      <c r="O2253" s="38">
        <v>0</v>
      </c>
      <c r="P2253" s="38">
        <v>0</v>
      </c>
      <c r="Q2253" s="99" t="s">
        <v>43</v>
      </c>
      <c r="R2253" s="10">
        <v>44635</v>
      </c>
      <c r="S2253" s="61"/>
      <c r="T2253" s="20">
        <v>41.48</v>
      </c>
      <c r="U2253" s="99"/>
      <c r="V2253" s="99"/>
      <c r="W2253" s="99"/>
      <c r="X2253" s="99"/>
      <c r="Y2253" s="99"/>
      <c r="Z2253" s="109"/>
      <c r="AB2253" s="20">
        <v>35</v>
      </c>
      <c r="AC2253" s="61" t="s">
        <v>4887</v>
      </c>
      <c r="AD2253" s="61">
        <v>70.679851999999997</v>
      </c>
      <c r="AE2253" s="61">
        <v>25.527813999999999</v>
      </c>
    </row>
    <row r="2254" spans="1:31" x14ac:dyDescent="0.25">
      <c r="A2254" s="38" t="s">
        <v>36</v>
      </c>
      <c r="B2254" s="41" t="s">
        <v>4565</v>
      </c>
      <c r="C2254" s="41" t="s">
        <v>4879</v>
      </c>
      <c r="D2254" s="41" t="s">
        <v>4885</v>
      </c>
      <c r="E2254" s="41" t="s">
        <v>4886</v>
      </c>
      <c r="F2254" s="41">
        <v>799</v>
      </c>
      <c r="G2254" s="41">
        <v>799</v>
      </c>
      <c r="H2254" s="38">
        <f t="shared" si="110"/>
        <v>380</v>
      </c>
      <c r="I2254" s="41">
        <v>245</v>
      </c>
      <c r="J2254" s="41">
        <v>135</v>
      </c>
      <c r="K2254" s="41">
        <v>110</v>
      </c>
      <c r="L2254" s="50">
        <f t="shared" si="111"/>
        <v>28.947368421052634</v>
      </c>
      <c r="M2254" s="41">
        <v>38</v>
      </c>
      <c r="N2254" s="50">
        <f t="shared" si="109"/>
        <v>10</v>
      </c>
      <c r="O2254" s="41">
        <v>0</v>
      </c>
      <c r="P2254" s="41">
        <v>0</v>
      </c>
      <c r="Q2254" s="105"/>
      <c r="R2254" s="200">
        <v>44635</v>
      </c>
      <c r="S2254" s="105"/>
      <c r="T2254" s="106"/>
      <c r="U2254" s="105"/>
      <c r="V2254" s="105"/>
      <c r="W2254" s="105"/>
      <c r="X2254" s="105"/>
      <c r="Y2254" s="105"/>
      <c r="Z2254" s="195"/>
      <c r="AB2254" s="106">
        <v>15</v>
      </c>
      <c r="AC2254" s="105" t="s">
        <v>4887</v>
      </c>
      <c r="AD2254" s="105">
        <v>25.542767999999999</v>
      </c>
      <c r="AE2254" s="105">
        <v>70.68544</v>
      </c>
    </row>
    <row r="2255" spans="1:31" x14ac:dyDescent="0.25">
      <c r="A2255" s="38" t="s">
        <v>36</v>
      </c>
      <c r="B2255" s="38" t="s">
        <v>4565</v>
      </c>
      <c r="C2255" s="38" t="s">
        <v>4879</v>
      </c>
      <c r="D2255" s="190" t="s">
        <v>4885</v>
      </c>
      <c r="E2255" s="38" t="s">
        <v>4886</v>
      </c>
      <c r="F2255" s="38">
        <v>799</v>
      </c>
      <c r="G2255" s="38">
        <v>799</v>
      </c>
      <c r="H2255" s="38">
        <f t="shared" si="110"/>
        <v>380</v>
      </c>
      <c r="I2255" s="38">
        <v>245</v>
      </c>
      <c r="J2255" s="38">
        <v>135</v>
      </c>
      <c r="K2255" s="38">
        <v>110</v>
      </c>
      <c r="L2255" s="50">
        <f t="shared" si="111"/>
        <v>28.947368421052634</v>
      </c>
      <c r="M2255" s="38">
        <v>38</v>
      </c>
      <c r="N2255" s="50">
        <f t="shared" si="109"/>
        <v>10</v>
      </c>
      <c r="O2255" s="38">
        <v>0</v>
      </c>
      <c r="P2255" s="38">
        <v>0</v>
      </c>
      <c r="Q2255" s="151"/>
      <c r="R2255" s="201">
        <v>44635</v>
      </c>
      <c r="S2255" s="154"/>
      <c r="T2255" s="152"/>
      <c r="U2255" s="151"/>
      <c r="V2255" s="151"/>
      <c r="W2255" s="151"/>
      <c r="X2255" s="151"/>
      <c r="Y2255" s="151"/>
      <c r="Z2255" s="149"/>
      <c r="AB2255" s="152">
        <v>15</v>
      </c>
      <c r="AC2255" s="154" t="s">
        <v>4887</v>
      </c>
      <c r="AD2255" s="154">
        <v>25.547813999999999</v>
      </c>
      <c r="AE2255" s="154">
        <v>70.679851999999997</v>
      </c>
    </row>
    <row r="2256" spans="1:31" x14ac:dyDescent="0.25">
      <c r="A2256" s="38" t="s">
        <v>36</v>
      </c>
      <c r="B2256" s="38" t="s">
        <v>4565</v>
      </c>
      <c r="C2256" s="38" t="s">
        <v>4879</v>
      </c>
      <c r="D2256" s="190" t="s">
        <v>4888</v>
      </c>
      <c r="E2256" s="38" t="s">
        <v>4889</v>
      </c>
      <c r="F2256" s="38">
        <v>1689</v>
      </c>
      <c r="G2256" s="38">
        <v>1689</v>
      </c>
      <c r="H2256" s="38">
        <f t="shared" si="110"/>
        <v>441</v>
      </c>
      <c r="I2256" s="38">
        <v>288</v>
      </c>
      <c r="J2256" s="38">
        <v>153</v>
      </c>
      <c r="K2256" s="38">
        <v>135</v>
      </c>
      <c r="L2256" s="50">
        <f t="shared" si="111"/>
        <v>30.612244897959183</v>
      </c>
      <c r="M2256" s="38">
        <v>14</v>
      </c>
      <c r="N2256" s="50">
        <f t="shared" si="109"/>
        <v>3.1746031746031744</v>
      </c>
      <c r="O2256" s="38">
        <v>0</v>
      </c>
      <c r="P2256" s="38">
        <v>0</v>
      </c>
      <c r="Q2256" s="61" t="s">
        <v>43</v>
      </c>
      <c r="R2256" s="17">
        <v>44635</v>
      </c>
      <c r="S2256" s="61"/>
      <c r="T2256" s="20">
        <v>0</v>
      </c>
      <c r="U2256" s="61"/>
      <c r="V2256" s="61"/>
      <c r="W2256" s="61"/>
      <c r="X2256" s="61"/>
      <c r="Y2256" s="61"/>
      <c r="Z2256" s="20"/>
      <c r="AB2256" s="20"/>
      <c r="AC2256" s="38" t="s">
        <v>4888</v>
      </c>
      <c r="AD2256" s="61">
        <v>0</v>
      </c>
      <c r="AE2256" s="61"/>
    </row>
    <row r="2257" spans="1:31" x14ac:dyDescent="0.25">
      <c r="A2257" s="38" t="s">
        <v>36</v>
      </c>
      <c r="B2257" s="41" t="s">
        <v>4565</v>
      </c>
      <c r="C2257" s="41" t="s">
        <v>4879</v>
      </c>
      <c r="D2257" s="41" t="s">
        <v>4888</v>
      </c>
      <c r="E2257" s="41" t="s">
        <v>4889</v>
      </c>
      <c r="F2257" s="41">
        <v>1689</v>
      </c>
      <c r="G2257" s="41">
        <v>1689</v>
      </c>
      <c r="H2257" s="38">
        <f t="shared" si="110"/>
        <v>441</v>
      </c>
      <c r="I2257" s="41">
        <v>288</v>
      </c>
      <c r="J2257" s="41">
        <v>153</v>
      </c>
      <c r="K2257" s="41">
        <v>135</v>
      </c>
      <c r="L2257" s="50">
        <f t="shared" si="111"/>
        <v>30.612244897959183</v>
      </c>
      <c r="M2257" s="41">
        <v>14</v>
      </c>
      <c r="N2257" s="50">
        <f t="shared" si="109"/>
        <v>3.1746031746031744</v>
      </c>
      <c r="O2257" s="41">
        <v>0</v>
      </c>
      <c r="P2257" s="41">
        <v>0</v>
      </c>
      <c r="Q2257" s="105"/>
      <c r="R2257" s="104">
        <v>44635</v>
      </c>
      <c r="S2257" s="105"/>
      <c r="T2257" s="106"/>
      <c r="U2257" s="105"/>
      <c r="V2257" s="105"/>
      <c r="W2257" s="105"/>
      <c r="X2257" s="105"/>
      <c r="Y2257" s="105"/>
      <c r="Z2257" s="195"/>
      <c r="AB2257" s="106">
        <v>10</v>
      </c>
      <c r="AC2257" s="202" t="s">
        <v>4888</v>
      </c>
      <c r="AD2257" s="105">
        <v>25.542762</v>
      </c>
      <c r="AE2257" s="105">
        <v>70.685450000000003</v>
      </c>
    </row>
    <row r="2258" spans="1:31" x14ac:dyDescent="0.25">
      <c r="A2258" s="38" t="s">
        <v>36</v>
      </c>
      <c r="B2258" s="41" t="s">
        <v>4565</v>
      </c>
      <c r="C2258" s="41" t="s">
        <v>4879</v>
      </c>
      <c r="D2258" s="41" t="s">
        <v>4888</v>
      </c>
      <c r="E2258" s="41" t="s">
        <v>4889</v>
      </c>
      <c r="F2258" s="41">
        <v>1689</v>
      </c>
      <c r="G2258" s="41">
        <v>1689</v>
      </c>
      <c r="H2258" s="38">
        <f t="shared" si="110"/>
        <v>441</v>
      </c>
      <c r="I2258" s="41">
        <v>288</v>
      </c>
      <c r="J2258" s="41">
        <v>153</v>
      </c>
      <c r="K2258" s="41">
        <v>135</v>
      </c>
      <c r="L2258" s="50">
        <f t="shared" si="111"/>
        <v>30.612244897959183</v>
      </c>
      <c r="M2258" s="41">
        <v>14</v>
      </c>
      <c r="N2258" s="50">
        <f t="shared" si="109"/>
        <v>3.1746031746031744</v>
      </c>
      <c r="O2258" s="41">
        <v>0</v>
      </c>
      <c r="P2258" s="41">
        <v>0</v>
      </c>
      <c r="Q2258" s="105"/>
      <c r="R2258" s="104">
        <v>44635</v>
      </c>
      <c r="S2258" s="105"/>
      <c r="T2258" s="106"/>
      <c r="U2258" s="105"/>
      <c r="V2258" s="105"/>
      <c r="W2258" s="105"/>
      <c r="X2258" s="105"/>
      <c r="Y2258" s="105"/>
      <c r="Z2258" s="195"/>
      <c r="AB2258" s="106">
        <v>10</v>
      </c>
      <c r="AC2258" s="202" t="s">
        <v>4888</v>
      </c>
      <c r="AD2258" s="105">
        <v>25.542739999999998</v>
      </c>
      <c r="AE2258" s="105">
        <v>70.685398000000006</v>
      </c>
    </row>
    <row r="2259" spans="1:31" x14ac:dyDescent="0.25">
      <c r="A2259" s="38" t="s">
        <v>36</v>
      </c>
      <c r="B2259" s="38" t="s">
        <v>4565</v>
      </c>
      <c r="C2259" s="38" t="s">
        <v>4879</v>
      </c>
      <c r="D2259" s="190" t="s">
        <v>4890</v>
      </c>
      <c r="E2259" s="38" t="s">
        <v>4891</v>
      </c>
      <c r="F2259" s="38">
        <v>201</v>
      </c>
      <c r="G2259" s="38">
        <v>201</v>
      </c>
      <c r="H2259" s="38">
        <f t="shared" si="110"/>
        <v>93</v>
      </c>
      <c r="I2259" s="38">
        <v>60</v>
      </c>
      <c r="J2259" s="38">
        <v>33</v>
      </c>
      <c r="K2259" s="38">
        <v>27</v>
      </c>
      <c r="L2259" s="50">
        <f t="shared" si="111"/>
        <v>29.032258064516132</v>
      </c>
      <c r="M2259" s="38">
        <v>0</v>
      </c>
      <c r="N2259" s="50">
        <f t="shared" si="109"/>
        <v>0</v>
      </c>
      <c r="O2259" s="38">
        <v>0</v>
      </c>
      <c r="P2259" s="38">
        <v>0</v>
      </c>
      <c r="Q2259" s="98" t="s">
        <v>44</v>
      </c>
      <c r="R2259" s="7">
        <v>44635</v>
      </c>
      <c r="S2259" s="99"/>
      <c r="T2259" s="20">
        <v>0</v>
      </c>
      <c r="U2259" s="98"/>
      <c r="V2259" s="98"/>
      <c r="W2259" s="98"/>
      <c r="X2259" s="98"/>
      <c r="Y2259" s="98"/>
      <c r="Z2259" s="20"/>
      <c r="AB2259" s="20"/>
      <c r="AC2259" s="11" t="s">
        <v>4892</v>
      </c>
      <c r="AD2259" s="61"/>
      <c r="AE2259" s="99"/>
    </row>
    <row r="2260" spans="1:31" x14ac:dyDescent="0.25">
      <c r="A2260" s="38" t="s">
        <v>36</v>
      </c>
      <c r="B2260" s="38" t="s">
        <v>4565</v>
      </c>
      <c r="C2260" s="38" t="s">
        <v>4879</v>
      </c>
      <c r="D2260" s="190" t="s">
        <v>4893</v>
      </c>
      <c r="E2260" s="38" t="s">
        <v>4894</v>
      </c>
      <c r="F2260" s="38">
        <v>480</v>
      </c>
      <c r="G2260" s="38">
        <v>480</v>
      </c>
      <c r="H2260" s="38">
        <f t="shared" si="110"/>
        <v>659</v>
      </c>
      <c r="I2260" s="38">
        <v>434</v>
      </c>
      <c r="J2260" s="38">
        <v>225</v>
      </c>
      <c r="K2260" s="38">
        <v>209</v>
      </c>
      <c r="L2260" s="50">
        <f t="shared" si="111"/>
        <v>31.714719271623672</v>
      </c>
      <c r="M2260" s="38">
        <v>0</v>
      </c>
      <c r="N2260" s="50">
        <f t="shared" si="109"/>
        <v>0</v>
      </c>
      <c r="O2260" s="38">
        <v>0</v>
      </c>
      <c r="P2260" s="38">
        <v>0</v>
      </c>
      <c r="Q2260" s="99" t="s">
        <v>43</v>
      </c>
      <c r="R2260" s="17">
        <v>44635</v>
      </c>
      <c r="S2260" s="61"/>
      <c r="T2260" s="20">
        <v>45</v>
      </c>
      <c r="U2260" s="99"/>
      <c r="V2260" s="99"/>
      <c r="W2260" s="99"/>
      <c r="X2260" s="99"/>
      <c r="Y2260" s="99"/>
      <c r="Z2260" s="20"/>
      <c r="AB2260" s="20"/>
      <c r="AC2260" s="38" t="s">
        <v>4893</v>
      </c>
      <c r="AD2260" s="61"/>
      <c r="AE2260" s="61"/>
    </row>
    <row r="2261" spans="1:31" x14ac:dyDescent="0.25">
      <c r="A2261" s="38" t="s">
        <v>36</v>
      </c>
      <c r="B2261" s="41" t="s">
        <v>4565</v>
      </c>
      <c r="C2261" s="41" t="s">
        <v>4879</v>
      </c>
      <c r="D2261" s="41" t="s">
        <v>4893</v>
      </c>
      <c r="E2261" s="41" t="s">
        <v>4894</v>
      </c>
      <c r="F2261" s="41">
        <v>480</v>
      </c>
      <c r="G2261" s="41">
        <v>480</v>
      </c>
      <c r="H2261" s="38">
        <f t="shared" si="110"/>
        <v>659</v>
      </c>
      <c r="I2261" s="41">
        <v>434</v>
      </c>
      <c r="J2261" s="41">
        <v>225</v>
      </c>
      <c r="K2261" s="41">
        <v>209</v>
      </c>
      <c r="L2261" s="50">
        <f t="shared" si="111"/>
        <v>31.714719271623672</v>
      </c>
      <c r="M2261" s="41">
        <v>0</v>
      </c>
      <c r="N2261" s="50">
        <f t="shared" si="109"/>
        <v>0</v>
      </c>
      <c r="O2261" s="41">
        <v>0</v>
      </c>
      <c r="P2261" s="41">
        <v>0</v>
      </c>
      <c r="Q2261" s="99" t="s">
        <v>43</v>
      </c>
      <c r="R2261" s="104">
        <v>44635</v>
      </c>
      <c r="S2261" s="105"/>
      <c r="T2261" s="106"/>
      <c r="U2261" s="99"/>
      <c r="V2261" s="99"/>
      <c r="W2261" s="99"/>
      <c r="X2261" s="99"/>
      <c r="Y2261" s="99"/>
      <c r="Z2261" s="195"/>
      <c r="AB2261" s="106">
        <v>15</v>
      </c>
      <c r="AC2261" s="202" t="s">
        <v>4893</v>
      </c>
      <c r="AD2261" s="105">
        <v>25.578154999999999</v>
      </c>
      <c r="AE2261" s="105">
        <v>70.697800999999998</v>
      </c>
    </row>
    <row r="2262" spans="1:31" x14ac:dyDescent="0.25">
      <c r="A2262" s="38" t="s">
        <v>36</v>
      </c>
      <c r="B2262" s="41" t="s">
        <v>4565</v>
      </c>
      <c r="C2262" s="41" t="s">
        <v>4879</v>
      </c>
      <c r="D2262" s="41" t="s">
        <v>4893</v>
      </c>
      <c r="E2262" s="41" t="s">
        <v>4894</v>
      </c>
      <c r="F2262" s="41">
        <v>480</v>
      </c>
      <c r="G2262" s="41">
        <v>480</v>
      </c>
      <c r="H2262" s="38">
        <f t="shared" si="110"/>
        <v>659</v>
      </c>
      <c r="I2262" s="41">
        <v>434</v>
      </c>
      <c r="J2262" s="41">
        <v>225</v>
      </c>
      <c r="K2262" s="41">
        <v>209</v>
      </c>
      <c r="L2262" s="50">
        <f t="shared" si="111"/>
        <v>31.714719271623672</v>
      </c>
      <c r="M2262" s="41">
        <v>0</v>
      </c>
      <c r="N2262" s="50">
        <f t="shared" si="109"/>
        <v>0</v>
      </c>
      <c r="O2262" s="41">
        <v>0</v>
      </c>
      <c r="P2262" s="41">
        <v>0</v>
      </c>
      <c r="Q2262" s="99" t="s">
        <v>43</v>
      </c>
      <c r="R2262" s="104">
        <v>44635</v>
      </c>
      <c r="S2262" s="105"/>
      <c r="T2262" s="106"/>
      <c r="U2262" s="99"/>
      <c r="V2262" s="99"/>
      <c r="W2262" s="99"/>
      <c r="X2262" s="99"/>
      <c r="Y2262" s="99"/>
      <c r="Z2262" s="195"/>
      <c r="AB2262" s="106">
        <v>15</v>
      </c>
      <c r="AC2262" s="202" t="s">
        <v>4893</v>
      </c>
      <c r="AD2262" s="105">
        <v>25.578199999999999</v>
      </c>
      <c r="AE2262" s="105">
        <v>70.697828999999999</v>
      </c>
    </row>
    <row r="2263" spans="1:31" x14ac:dyDescent="0.25">
      <c r="A2263" s="38" t="s">
        <v>36</v>
      </c>
      <c r="B2263" s="38" t="s">
        <v>4565</v>
      </c>
      <c r="C2263" s="38" t="s">
        <v>4879</v>
      </c>
      <c r="D2263" s="190" t="s">
        <v>4895</v>
      </c>
      <c r="E2263" s="38" t="s">
        <v>4896</v>
      </c>
      <c r="F2263" s="38">
        <v>491</v>
      </c>
      <c r="G2263" s="38">
        <v>491</v>
      </c>
      <c r="H2263" s="38">
        <f t="shared" si="110"/>
        <v>1062</v>
      </c>
      <c r="I2263" s="38">
        <v>694</v>
      </c>
      <c r="J2263" s="38">
        <v>368</v>
      </c>
      <c r="K2263" s="38">
        <v>326</v>
      </c>
      <c r="L2263" s="50">
        <f t="shared" si="111"/>
        <v>30.696798493408661</v>
      </c>
      <c r="M2263" s="38">
        <v>37</v>
      </c>
      <c r="N2263" s="50">
        <f t="shared" si="109"/>
        <v>3.4839924670433149</v>
      </c>
      <c r="O2263" s="38">
        <v>0</v>
      </c>
      <c r="P2263" s="38">
        <v>0</v>
      </c>
      <c r="Q2263" s="99" t="s">
        <v>43</v>
      </c>
      <c r="R2263" s="203">
        <v>44635</v>
      </c>
      <c r="S2263" s="154"/>
      <c r="T2263" s="152"/>
      <c r="U2263" s="99"/>
      <c r="V2263" s="99"/>
      <c r="W2263" s="99"/>
      <c r="X2263" s="99"/>
      <c r="Y2263" s="99"/>
      <c r="Z2263" s="149"/>
      <c r="AB2263" s="152">
        <v>25</v>
      </c>
      <c r="AC2263" s="57" t="s">
        <v>4895</v>
      </c>
      <c r="AD2263" s="154">
        <v>25.613717000000001</v>
      </c>
      <c r="AE2263" s="154">
        <v>70.690916999999999</v>
      </c>
    </row>
    <row r="2264" spans="1:31" x14ac:dyDescent="0.25">
      <c r="A2264" s="38" t="s">
        <v>36</v>
      </c>
      <c r="B2264" s="38" t="s">
        <v>4565</v>
      </c>
      <c r="C2264" s="38" t="s">
        <v>4879</v>
      </c>
      <c r="D2264" s="190" t="s">
        <v>4895</v>
      </c>
      <c r="E2264" s="38" t="s">
        <v>4896</v>
      </c>
      <c r="F2264" s="38">
        <v>491</v>
      </c>
      <c r="G2264" s="38">
        <v>491</v>
      </c>
      <c r="H2264" s="38">
        <f t="shared" si="110"/>
        <v>1062</v>
      </c>
      <c r="I2264" s="38">
        <v>694</v>
      </c>
      <c r="J2264" s="38">
        <v>368</v>
      </c>
      <c r="K2264" s="38">
        <v>326</v>
      </c>
      <c r="L2264" s="50">
        <f t="shared" si="111"/>
        <v>30.696798493408661</v>
      </c>
      <c r="M2264" s="38">
        <v>37</v>
      </c>
      <c r="N2264" s="50">
        <f t="shared" si="109"/>
        <v>3.4839924670433149</v>
      </c>
      <c r="O2264" s="38">
        <v>0</v>
      </c>
      <c r="P2264" s="38">
        <v>0</v>
      </c>
      <c r="Q2264" s="99" t="s">
        <v>43</v>
      </c>
      <c r="R2264" s="17">
        <v>44635</v>
      </c>
      <c r="S2264" s="61"/>
      <c r="T2264" s="20">
        <v>94</v>
      </c>
      <c r="U2264" s="99"/>
      <c r="V2264" s="99"/>
      <c r="W2264" s="99"/>
      <c r="X2264" s="99"/>
      <c r="Y2264" s="99"/>
      <c r="Z2264" s="20"/>
      <c r="AB2264" s="20"/>
      <c r="AC2264" s="38" t="s">
        <v>4895</v>
      </c>
      <c r="AD2264" s="61"/>
      <c r="AE2264" s="61"/>
    </row>
    <row r="2265" spans="1:31" x14ac:dyDescent="0.25">
      <c r="A2265" s="38" t="s">
        <v>36</v>
      </c>
      <c r="B2265" s="38" t="s">
        <v>4565</v>
      </c>
      <c r="C2265" s="38" t="s">
        <v>4879</v>
      </c>
      <c r="D2265" s="190" t="s">
        <v>4897</v>
      </c>
      <c r="E2265" s="38" t="s">
        <v>4898</v>
      </c>
      <c r="F2265" s="38">
        <v>609</v>
      </c>
      <c r="G2265" s="38">
        <v>609</v>
      </c>
      <c r="H2265" s="38">
        <f t="shared" si="110"/>
        <v>572</v>
      </c>
      <c r="I2265" s="38">
        <v>377</v>
      </c>
      <c r="J2265" s="38">
        <v>195</v>
      </c>
      <c r="K2265" s="38">
        <v>182</v>
      </c>
      <c r="L2265" s="50">
        <f t="shared" si="111"/>
        <v>31.818181818181817</v>
      </c>
      <c r="M2265" s="38">
        <v>12</v>
      </c>
      <c r="N2265" s="50">
        <f t="shared" si="109"/>
        <v>2.0979020979020979</v>
      </c>
      <c r="O2265" s="38">
        <v>0</v>
      </c>
      <c r="P2265" s="38">
        <v>0</v>
      </c>
      <c r="Q2265" s="99" t="s">
        <v>43</v>
      </c>
      <c r="R2265" s="17">
        <v>44635</v>
      </c>
      <c r="S2265" s="61"/>
      <c r="T2265" s="20">
        <v>13.97</v>
      </c>
      <c r="U2265" s="99"/>
      <c r="V2265" s="99"/>
      <c r="W2265" s="99"/>
      <c r="X2265" s="99"/>
      <c r="Y2265" s="99"/>
      <c r="Z2265" s="20"/>
      <c r="AB2265" s="20"/>
      <c r="AC2265" s="38" t="s">
        <v>4897</v>
      </c>
      <c r="AD2265" s="61"/>
      <c r="AE2265" s="61"/>
    </row>
    <row r="2266" spans="1:31" x14ac:dyDescent="0.25">
      <c r="A2266" s="38" t="s">
        <v>36</v>
      </c>
      <c r="B2266" s="38" t="s">
        <v>4565</v>
      </c>
      <c r="C2266" s="38" t="s">
        <v>4879</v>
      </c>
      <c r="D2266" s="190" t="s">
        <v>4899</v>
      </c>
      <c r="E2266" s="38" t="s">
        <v>4900</v>
      </c>
      <c r="F2266" s="38">
        <v>937</v>
      </c>
      <c r="G2266" s="38">
        <v>937</v>
      </c>
      <c r="H2266" s="38">
        <f t="shared" si="110"/>
        <v>1042</v>
      </c>
      <c r="I2266" s="38">
        <v>692</v>
      </c>
      <c r="J2266" s="38">
        <v>350</v>
      </c>
      <c r="K2266" s="38">
        <v>342</v>
      </c>
      <c r="L2266" s="50">
        <f t="shared" si="111"/>
        <v>32.821497120921308</v>
      </c>
      <c r="M2266" s="38">
        <v>0</v>
      </c>
      <c r="N2266" s="50">
        <f t="shared" si="109"/>
        <v>0</v>
      </c>
      <c r="O2266" s="38">
        <v>0</v>
      </c>
      <c r="P2266" s="38">
        <v>0</v>
      </c>
      <c r="Q2266" s="99" t="s">
        <v>43</v>
      </c>
      <c r="R2266" s="17">
        <v>44635</v>
      </c>
      <c r="S2266" s="61"/>
      <c r="T2266" s="20">
        <v>21.19</v>
      </c>
      <c r="U2266" s="99"/>
      <c r="V2266" s="99"/>
      <c r="W2266" s="99"/>
      <c r="X2266" s="99"/>
      <c r="Y2266" s="99"/>
      <c r="Z2266" s="20"/>
      <c r="AB2266" s="20"/>
      <c r="AC2266" s="38" t="s">
        <v>4899</v>
      </c>
      <c r="AD2266" s="61"/>
      <c r="AE2266" s="61"/>
    </row>
    <row r="2267" spans="1:31" x14ac:dyDescent="0.25">
      <c r="A2267" s="38" t="s">
        <v>36</v>
      </c>
      <c r="B2267" s="38" t="s">
        <v>4565</v>
      </c>
      <c r="C2267" s="38" t="s">
        <v>4901</v>
      </c>
      <c r="D2267" s="190" t="s">
        <v>4902</v>
      </c>
      <c r="E2267" s="38" t="s">
        <v>4903</v>
      </c>
      <c r="F2267" s="38">
        <v>1089.98</v>
      </c>
      <c r="G2267" s="38">
        <v>1089.98</v>
      </c>
      <c r="H2267" s="38">
        <f t="shared" si="110"/>
        <v>1271</v>
      </c>
      <c r="I2267" s="38">
        <v>840</v>
      </c>
      <c r="J2267" s="38">
        <v>431</v>
      </c>
      <c r="K2267" s="38">
        <v>409</v>
      </c>
      <c r="L2267" s="50">
        <f t="shared" si="111"/>
        <v>32.179386309992132</v>
      </c>
      <c r="M2267" s="38">
        <v>192</v>
      </c>
      <c r="N2267" s="50">
        <f t="shared" si="109"/>
        <v>15.106215578284814</v>
      </c>
      <c r="O2267" s="38">
        <v>0</v>
      </c>
      <c r="P2267" s="38">
        <v>22.66</v>
      </c>
      <c r="Q2267" s="34" t="s">
        <v>43</v>
      </c>
      <c r="R2267" s="9">
        <v>44592</v>
      </c>
      <c r="S2267" s="34"/>
      <c r="T2267" s="34">
        <v>23</v>
      </c>
      <c r="U2267" s="34"/>
      <c r="V2267" s="34"/>
      <c r="W2267" s="34"/>
      <c r="X2267" s="34"/>
      <c r="Y2267" s="34"/>
      <c r="Z2267" s="109"/>
      <c r="AB2267" s="109"/>
      <c r="AC2267" s="34" t="s">
        <v>4904</v>
      </c>
      <c r="AD2267" s="34">
        <v>25.621625000000002</v>
      </c>
      <c r="AE2267" s="34">
        <v>70.967078330000007</v>
      </c>
    </row>
    <row r="2268" spans="1:31" x14ac:dyDescent="0.25">
      <c r="A2268" s="38" t="s">
        <v>36</v>
      </c>
      <c r="B2268" s="38" t="s">
        <v>4565</v>
      </c>
      <c r="C2268" s="38" t="s">
        <v>4901</v>
      </c>
      <c r="D2268" s="190" t="s">
        <v>4905</v>
      </c>
      <c r="E2268" s="38" t="s">
        <v>4906</v>
      </c>
      <c r="F2268" s="38">
        <v>816.32</v>
      </c>
      <c r="G2268" s="38">
        <v>816.32</v>
      </c>
      <c r="H2268" s="38">
        <f t="shared" si="110"/>
        <v>573</v>
      </c>
      <c r="I2268" s="38">
        <v>371</v>
      </c>
      <c r="J2268" s="38">
        <v>202</v>
      </c>
      <c r="K2268" s="38">
        <v>169</v>
      </c>
      <c r="L2268" s="50">
        <f t="shared" si="111"/>
        <v>29.493891797556721</v>
      </c>
      <c r="M2268" s="38">
        <v>65</v>
      </c>
      <c r="N2268" s="50">
        <f t="shared" si="109"/>
        <v>11.343804537521814</v>
      </c>
      <c r="O2268" s="38">
        <v>0</v>
      </c>
      <c r="P2268" s="38">
        <v>0</v>
      </c>
      <c r="Q2268" s="61" t="s">
        <v>43</v>
      </c>
      <c r="R2268" s="17">
        <v>44532</v>
      </c>
      <c r="S2268" s="61"/>
      <c r="T2268" s="20">
        <v>24</v>
      </c>
      <c r="U2268" s="61"/>
      <c r="V2268" s="61"/>
      <c r="W2268" s="61"/>
      <c r="X2268" s="61"/>
      <c r="Y2268" s="61"/>
      <c r="Z2268" s="20"/>
      <c r="AB2268" s="20"/>
      <c r="AC2268" s="11" t="s">
        <v>4907</v>
      </c>
      <c r="AD2268" s="61">
        <v>0</v>
      </c>
      <c r="AE2268" s="61"/>
    </row>
    <row r="2269" spans="1:31" x14ac:dyDescent="0.25">
      <c r="A2269" s="38" t="s">
        <v>36</v>
      </c>
      <c r="B2269" s="38" t="s">
        <v>4565</v>
      </c>
      <c r="C2269" s="38" t="s">
        <v>4901</v>
      </c>
      <c r="D2269" s="190" t="s">
        <v>4908</v>
      </c>
      <c r="E2269" s="38" t="s">
        <v>4909</v>
      </c>
      <c r="F2269" s="38">
        <v>393.99</v>
      </c>
      <c r="G2269" s="38">
        <v>393.99</v>
      </c>
      <c r="H2269" s="38">
        <f t="shared" si="110"/>
        <v>545</v>
      </c>
      <c r="I2269" s="38">
        <v>359</v>
      </c>
      <c r="J2269" s="38">
        <v>186</v>
      </c>
      <c r="K2269" s="38">
        <v>173</v>
      </c>
      <c r="L2269" s="50">
        <f t="shared" si="111"/>
        <v>31.743119266055047</v>
      </c>
      <c r="M2269" s="38">
        <v>120</v>
      </c>
      <c r="N2269" s="50">
        <f t="shared" si="109"/>
        <v>22.018348623853214</v>
      </c>
      <c r="O2269" s="38">
        <v>0</v>
      </c>
      <c r="P2269" s="38">
        <v>0</v>
      </c>
      <c r="Q2269" s="61" t="s">
        <v>43</v>
      </c>
      <c r="R2269" s="17">
        <v>44532</v>
      </c>
      <c r="S2269" s="61"/>
      <c r="T2269" s="20">
        <v>24</v>
      </c>
      <c r="U2269" s="61"/>
      <c r="V2269" s="61"/>
      <c r="W2269" s="61"/>
      <c r="X2269" s="61"/>
      <c r="Y2269" s="61"/>
      <c r="Z2269" s="20"/>
      <c r="AB2269" s="20"/>
      <c r="AC2269" s="11" t="s">
        <v>4910</v>
      </c>
      <c r="AD2269" s="61">
        <v>0</v>
      </c>
      <c r="AE2269" s="61"/>
    </row>
    <row r="2270" spans="1:31" x14ac:dyDescent="0.25">
      <c r="A2270" s="38" t="s">
        <v>36</v>
      </c>
      <c r="B2270" s="38" t="s">
        <v>4565</v>
      </c>
      <c r="C2270" s="38" t="s">
        <v>4901</v>
      </c>
      <c r="D2270" s="190" t="s">
        <v>4911</v>
      </c>
      <c r="E2270" s="38" t="s">
        <v>4912</v>
      </c>
      <c r="F2270" s="38">
        <v>368.54</v>
      </c>
      <c r="G2270" s="38">
        <v>368.54</v>
      </c>
      <c r="H2270" s="38">
        <f t="shared" si="110"/>
        <v>389</v>
      </c>
      <c r="I2270" s="38">
        <v>260</v>
      </c>
      <c r="J2270" s="38">
        <v>129</v>
      </c>
      <c r="K2270" s="38">
        <v>131</v>
      </c>
      <c r="L2270" s="50">
        <f t="shared" si="111"/>
        <v>33.676092544987149</v>
      </c>
      <c r="M2270" s="38">
        <v>36</v>
      </c>
      <c r="N2270" s="50">
        <f t="shared" si="109"/>
        <v>9.2544987146529554</v>
      </c>
      <c r="O2270" s="38">
        <v>0</v>
      </c>
      <c r="P2270" s="38">
        <v>0</v>
      </c>
      <c r="Q2270" s="61" t="s">
        <v>43</v>
      </c>
      <c r="R2270" s="17">
        <v>44532</v>
      </c>
      <c r="S2270" s="61"/>
      <c r="T2270" s="20">
        <v>14</v>
      </c>
      <c r="U2270" s="61"/>
      <c r="V2270" s="61"/>
      <c r="W2270" s="61"/>
      <c r="X2270" s="61"/>
      <c r="Y2270" s="61"/>
      <c r="Z2270" s="20"/>
      <c r="AB2270" s="20"/>
      <c r="AC2270" s="11" t="s">
        <v>4913</v>
      </c>
      <c r="AD2270" s="61">
        <v>0</v>
      </c>
      <c r="AE2270" s="61"/>
    </row>
    <row r="2271" spans="1:31" x14ac:dyDescent="0.25">
      <c r="A2271" s="38" t="s">
        <v>36</v>
      </c>
      <c r="B2271" s="38" t="s">
        <v>4565</v>
      </c>
      <c r="C2271" s="38" t="s">
        <v>4901</v>
      </c>
      <c r="D2271" s="190" t="s">
        <v>4914</v>
      </c>
      <c r="E2271" s="38" t="s">
        <v>4915</v>
      </c>
      <c r="F2271" s="38">
        <v>477.17</v>
      </c>
      <c r="G2271" s="38">
        <v>477.17</v>
      </c>
      <c r="H2271" s="38">
        <f t="shared" si="110"/>
        <v>575</v>
      </c>
      <c r="I2271" s="38">
        <v>373</v>
      </c>
      <c r="J2271" s="38">
        <v>202</v>
      </c>
      <c r="K2271" s="38">
        <v>171</v>
      </c>
      <c r="L2271" s="50">
        <f t="shared" si="111"/>
        <v>29.739130434782606</v>
      </c>
      <c r="M2271" s="38">
        <v>81</v>
      </c>
      <c r="N2271" s="50">
        <f t="shared" si="109"/>
        <v>14.086956521739131</v>
      </c>
      <c r="O2271" s="38">
        <v>0</v>
      </c>
      <c r="P2271" s="38">
        <v>0</v>
      </c>
      <c r="Q2271" s="61" t="s">
        <v>43</v>
      </c>
      <c r="R2271" s="17">
        <v>44532</v>
      </c>
      <c r="S2271" s="61"/>
      <c r="T2271" s="20">
        <v>14</v>
      </c>
      <c r="U2271" s="61"/>
      <c r="V2271" s="61"/>
      <c r="W2271" s="61"/>
      <c r="X2271" s="61"/>
      <c r="Y2271" s="61"/>
      <c r="Z2271" s="20"/>
      <c r="AB2271" s="20"/>
      <c r="AC2271" s="11" t="s">
        <v>4916</v>
      </c>
      <c r="AD2271" s="61">
        <v>0</v>
      </c>
      <c r="AE2271" s="61"/>
    </row>
    <row r="2272" spans="1:31" x14ac:dyDescent="0.25">
      <c r="A2272" s="38" t="s">
        <v>36</v>
      </c>
      <c r="B2272" s="38" t="s">
        <v>4565</v>
      </c>
      <c r="C2272" s="38" t="s">
        <v>4901</v>
      </c>
      <c r="D2272" s="190" t="s">
        <v>4917</v>
      </c>
      <c r="E2272" s="38" t="s">
        <v>4918</v>
      </c>
      <c r="F2272" s="38">
        <v>1892.44</v>
      </c>
      <c r="G2272" s="38">
        <v>1892.44</v>
      </c>
      <c r="H2272" s="38">
        <f t="shared" si="110"/>
        <v>947</v>
      </c>
      <c r="I2272" s="38">
        <v>607</v>
      </c>
      <c r="J2272" s="38">
        <v>340</v>
      </c>
      <c r="K2272" s="38">
        <v>267</v>
      </c>
      <c r="L2272" s="50">
        <f t="shared" si="111"/>
        <v>28.194297782470962</v>
      </c>
      <c r="M2272" s="38">
        <v>45</v>
      </c>
      <c r="N2272" s="50">
        <f t="shared" si="109"/>
        <v>4.7518479408658925</v>
      </c>
      <c r="O2272" s="38">
        <v>0</v>
      </c>
      <c r="P2272" s="38">
        <v>28.49</v>
      </c>
      <c r="Q2272" s="34" t="s">
        <v>43</v>
      </c>
      <c r="R2272" s="88">
        <v>44532</v>
      </c>
      <c r="S2272" s="34"/>
      <c r="T2272" s="89">
        <v>28</v>
      </c>
      <c r="U2272" s="34"/>
      <c r="V2272" s="34"/>
      <c r="W2272" s="34"/>
      <c r="X2272" s="34"/>
      <c r="Y2272" s="34"/>
      <c r="Z2272" s="89"/>
      <c r="AB2272" s="89"/>
      <c r="AC2272" s="34" t="s">
        <v>4919</v>
      </c>
      <c r="AD2272" s="34">
        <v>25.702763000000001</v>
      </c>
      <c r="AE2272" s="34">
        <v>70.902133000000006</v>
      </c>
    </row>
    <row r="2273" spans="1:31" x14ac:dyDescent="0.25">
      <c r="A2273" s="38" t="s">
        <v>36</v>
      </c>
      <c r="B2273" s="38" t="s">
        <v>4565</v>
      </c>
      <c r="C2273" s="38" t="s">
        <v>4901</v>
      </c>
      <c r="D2273" s="190" t="s">
        <v>4920</v>
      </c>
      <c r="E2273" s="38" t="s">
        <v>4921</v>
      </c>
      <c r="F2273" s="38">
        <v>500.73</v>
      </c>
      <c r="G2273" s="38">
        <v>500.73</v>
      </c>
      <c r="H2273" s="38">
        <f t="shared" si="110"/>
        <v>590</v>
      </c>
      <c r="I2273" s="38">
        <v>382</v>
      </c>
      <c r="J2273" s="38">
        <v>208</v>
      </c>
      <c r="K2273" s="38">
        <v>174</v>
      </c>
      <c r="L2273" s="50">
        <f t="shared" si="111"/>
        <v>29.491525423728817</v>
      </c>
      <c r="M2273" s="38">
        <v>121</v>
      </c>
      <c r="N2273" s="50">
        <f t="shared" ref="N2273:N2319" si="112">M2273/H2273*100</f>
        <v>20.508474576271183</v>
      </c>
      <c r="O2273" s="38">
        <v>0</v>
      </c>
      <c r="P2273" s="38">
        <v>0</v>
      </c>
      <c r="Q2273" s="2" t="s">
        <v>43</v>
      </c>
      <c r="R2273" s="17">
        <v>44532</v>
      </c>
      <c r="S2273" s="2"/>
      <c r="T2273" s="3">
        <v>21</v>
      </c>
      <c r="U2273" s="2"/>
      <c r="V2273" s="2"/>
      <c r="W2273" s="2"/>
      <c r="X2273" s="2"/>
      <c r="Y2273" s="2"/>
      <c r="Z2273" s="3"/>
      <c r="AB2273" s="3"/>
      <c r="AC2273" s="11" t="s">
        <v>4922</v>
      </c>
      <c r="AD2273" s="2">
        <v>0</v>
      </c>
      <c r="AE2273" s="2"/>
    </row>
    <row r="2274" spans="1:31" x14ac:dyDescent="0.25">
      <c r="A2274" s="38" t="s">
        <v>36</v>
      </c>
      <c r="B2274" s="38" t="s">
        <v>4565</v>
      </c>
      <c r="C2274" s="38" t="s">
        <v>4901</v>
      </c>
      <c r="D2274" s="190" t="s">
        <v>4923</v>
      </c>
      <c r="E2274" s="38" t="s">
        <v>4924</v>
      </c>
      <c r="F2274" s="38">
        <v>706.1</v>
      </c>
      <c r="G2274" s="38">
        <v>706.1</v>
      </c>
      <c r="H2274" s="38">
        <f t="shared" si="110"/>
        <v>693</v>
      </c>
      <c r="I2274" s="38">
        <v>452</v>
      </c>
      <c r="J2274" s="38">
        <v>241</v>
      </c>
      <c r="K2274" s="38">
        <v>211</v>
      </c>
      <c r="L2274" s="50">
        <f t="shared" si="111"/>
        <v>30.447330447330444</v>
      </c>
      <c r="M2274" s="38">
        <v>35</v>
      </c>
      <c r="N2274" s="50">
        <f t="shared" si="112"/>
        <v>5.0505050505050502</v>
      </c>
      <c r="O2274" s="38">
        <v>0</v>
      </c>
      <c r="P2274" s="38">
        <v>0</v>
      </c>
      <c r="Q2274" s="61" t="s">
        <v>43</v>
      </c>
      <c r="R2274" s="17">
        <v>44532</v>
      </c>
      <c r="S2274" s="61"/>
      <c r="T2274" s="20">
        <v>22</v>
      </c>
      <c r="U2274" s="61"/>
      <c r="V2274" s="61"/>
      <c r="W2274" s="61"/>
      <c r="X2274" s="61"/>
      <c r="Y2274" s="61"/>
      <c r="Z2274" s="20"/>
      <c r="AB2274" s="20"/>
      <c r="AC2274" s="11" t="s">
        <v>4923</v>
      </c>
      <c r="AD2274" s="61">
        <v>0</v>
      </c>
      <c r="AE2274" s="61"/>
    </row>
    <row r="2275" spans="1:31" x14ac:dyDescent="0.25">
      <c r="A2275" s="38" t="s">
        <v>36</v>
      </c>
      <c r="B2275" s="38" t="s">
        <v>4565</v>
      </c>
      <c r="C2275" s="38" t="s">
        <v>4925</v>
      </c>
      <c r="D2275" s="190" t="s">
        <v>4926</v>
      </c>
      <c r="E2275" s="38" t="s">
        <v>4927</v>
      </c>
      <c r="F2275" s="38">
        <v>1457.57</v>
      </c>
      <c r="G2275" s="38">
        <v>1457.57</v>
      </c>
      <c r="H2275" s="38">
        <f t="shared" si="110"/>
        <v>3852</v>
      </c>
      <c r="I2275" s="38">
        <v>2547</v>
      </c>
      <c r="J2275" s="38">
        <v>1305</v>
      </c>
      <c r="K2275" s="38">
        <v>1242</v>
      </c>
      <c r="L2275" s="50">
        <f t="shared" si="111"/>
        <v>32.242990654205606</v>
      </c>
      <c r="M2275" s="38">
        <v>652</v>
      </c>
      <c r="N2275" s="50">
        <f t="shared" si="112"/>
        <v>16.926272066458985</v>
      </c>
      <c r="O2275" s="38">
        <v>0</v>
      </c>
      <c r="P2275" s="38">
        <v>8</v>
      </c>
      <c r="Q2275" s="99" t="s">
        <v>43</v>
      </c>
      <c r="R2275" s="8">
        <v>44574</v>
      </c>
      <c r="S2275" s="61"/>
      <c r="T2275" s="20">
        <v>604</v>
      </c>
      <c r="U2275" s="99"/>
      <c r="V2275" s="99"/>
      <c r="W2275" s="99"/>
      <c r="X2275" s="99"/>
      <c r="Y2275" s="99"/>
      <c r="Z2275" s="20"/>
      <c r="AB2275" s="20"/>
      <c r="AC2275" s="51" t="s">
        <v>4928</v>
      </c>
      <c r="AD2275" s="61"/>
      <c r="AE2275" s="61"/>
    </row>
    <row r="2276" spans="1:31" x14ac:dyDescent="0.25">
      <c r="A2276" s="38" t="s">
        <v>36</v>
      </c>
      <c r="B2276" s="38" t="s">
        <v>4565</v>
      </c>
      <c r="C2276" s="38" t="s">
        <v>4925</v>
      </c>
      <c r="D2276" s="190" t="s">
        <v>4929</v>
      </c>
      <c r="E2276" s="38" t="s">
        <v>4930</v>
      </c>
      <c r="F2276" s="38">
        <v>1400</v>
      </c>
      <c r="G2276" s="38">
        <v>1400</v>
      </c>
      <c r="H2276" s="38">
        <f t="shared" si="110"/>
        <v>1661</v>
      </c>
      <c r="I2276" s="38">
        <v>1075</v>
      </c>
      <c r="J2276" s="38">
        <v>586</v>
      </c>
      <c r="K2276" s="38">
        <v>489</v>
      </c>
      <c r="L2276" s="50">
        <f t="shared" si="111"/>
        <v>29.440096327513547</v>
      </c>
      <c r="M2276" s="38">
        <v>0</v>
      </c>
      <c r="N2276" s="50">
        <f t="shared" si="112"/>
        <v>0</v>
      </c>
      <c r="O2276" s="38">
        <v>0</v>
      </c>
      <c r="P2276" s="38">
        <v>90</v>
      </c>
      <c r="Q2276" s="34" t="s">
        <v>43</v>
      </c>
      <c r="R2276" s="8">
        <v>44574</v>
      </c>
      <c r="S2276" s="34"/>
      <c r="T2276" s="34">
        <v>90</v>
      </c>
      <c r="U2276" s="34"/>
      <c r="V2276" s="34"/>
      <c r="W2276" s="34"/>
      <c r="X2276" s="34"/>
      <c r="Y2276" s="34"/>
      <c r="Z2276" s="109"/>
      <c r="AB2276" s="109"/>
      <c r="AC2276" s="34" t="s">
        <v>4931</v>
      </c>
      <c r="AD2276" s="34">
        <v>25.767477</v>
      </c>
      <c r="AE2276" s="34">
        <v>71.093335999999994</v>
      </c>
    </row>
    <row r="2277" spans="1:31" x14ac:dyDescent="0.25">
      <c r="A2277" s="38" t="s">
        <v>36</v>
      </c>
      <c r="B2277" s="41" t="s">
        <v>4565</v>
      </c>
      <c r="C2277" s="41" t="s">
        <v>4925</v>
      </c>
      <c r="D2277" s="41" t="s">
        <v>4929</v>
      </c>
      <c r="E2277" s="41" t="s">
        <v>4930</v>
      </c>
      <c r="F2277" s="41">
        <v>1400</v>
      </c>
      <c r="G2277" s="41">
        <v>1400</v>
      </c>
      <c r="H2277" s="38">
        <f t="shared" si="110"/>
        <v>1661</v>
      </c>
      <c r="I2277" s="41">
        <v>1075</v>
      </c>
      <c r="J2277" s="41">
        <v>586</v>
      </c>
      <c r="K2277" s="41">
        <v>489</v>
      </c>
      <c r="L2277" s="50">
        <f t="shared" si="111"/>
        <v>29.440096327513547</v>
      </c>
      <c r="M2277" s="41">
        <v>0</v>
      </c>
      <c r="N2277" s="50">
        <f t="shared" si="112"/>
        <v>0</v>
      </c>
      <c r="O2277" s="41">
        <v>0</v>
      </c>
      <c r="P2277" s="41">
        <v>90</v>
      </c>
      <c r="Q2277" s="48" t="s">
        <v>43</v>
      </c>
      <c r="R2277" s="31">
        <v>44574</v>
      </c>
      <c r="S2277" s="48"/>
      <c r="T2277" s="48"/>
      <c r="U2277" s="48"/>
      <c r="V2277" s="48"/>
      <c r="W2277" s="48"/>
      <c r="X2277" s="48"/>
      <c r="Y2277" s="48"/>
      <c r="Z2277" s="80"/>
      <c r="AB2277" s="80">
        <v>15</v>
      </c>
      <c r="AC2277" s="48" t="s">
        <v>4931</v>
      </c>
      <c r="AD2277" s="48">
        <v>25.767477</v>
      </c>
      <c r="AE2277" s="48">
        <v>71.093335999999994</v>
      </c>
    </row>
    <row r="2278" spans="1:31" x14ac:dyDescent="0.25">
      <c r="A2278" s="38" t="s">
        <v>36</v>
      </c>
      <c r="B2278" s="38" t="s">
        <v>4565</v>
      </c>
      <c r="C2278" s="38" t="s">
        <v>4925</v>
      </c>
      <c r="D2278" s="190" t="s">
        <v>4932</v>
      </c>
      <c r="E2278" s="38" t="s">
        <v>4933</v>
      </c>
      <c r="F2278" s="38">
        <v>443.3</v>
      </c>
      <c r="G2278" s="38">
        <v>443.3</v>
      </c>
      <c r="H2278" s="38">
        <f t="shared" si="110"/>
        <v>562</v>
      </c>
      <c r="I2278" s="38">
        <v>371</v>
      </c>
      <c r="J2278" s="38">
        <v>191</v>
      </c>
      <c r="K2278" s="38">
        <v>180</v>
      </c>
      <c r="L2278" s="50">
        <f t="shared" si="111"/>
        <v>32.028469750889684</v>
      </c>
      <c r="M2278" s="38">
        <v>180</v>
      </c>
      <c r="N2278" s="50">
        <f t="shared" si="112"/>
        <v>32.028469750889684</v>
      </c>
      <c r="O2278" s="38">
        <v>0</v>
      </c>
      <c r="P2278" s="38">
        <v>0</v>
      </c>
      <c r="Q2278" s="61" t="s">
        <v>43</v>
      </c>
      <c r="R2278" s="8">
        <v>44574</v>
      </c>
      <c r="S2278" s="61"/>
      <c r="T2278" s="20">
        <v>2</v>
      </c>
      <c r="U2278" s="61"/>
      <c r="V2278" s="61"/>
      <c r="W2278" s="61"/>
      <c r="X2278" s="61"/>
      <c r="Y2278" s="61"/>
      <c r="Z2278" s="20"/>
      <c r="AB2278" s="20"/>
      <c r="AC2278" s="51" t="s">
        <v>4934</v>
      </c>
      <c r="AD2278" s="61">
        <v>0</v>
      </c>
      <c r="AE2278" s="61"/>
    </row>
    <row r="2279" spans="1:31" x14ac:dyDescent="0.25">
      <c r="A2279" s="38" t="s">
        <v>36</v>
      </c>
      <c r="B2279" s="38" t="s">
        <v>4565</v>
      </c>
      <c r="C2279" s="38" t="s">
        <v>4925</v>
      </c>
      <c r="D2279" s="190" t="s">
        <v>4935</v>
      </c>
      <c r="E2279" s="38" t="s">
        <v>4936</v>
      </c>
      <c r="F2279" s="38">
        <v>631</v>
      </c>
      <c r="G2279" s="38">
        <v>631</v>
      </c>
      <c r="H2279" s="38">
        <f t="shared" si="110"/>
        <v>783</v>
      </c>
      <c r="I2279" s="38">
        <v>505</v>
      </c>
      <c r="J2279" s="38">
        <v>278</v>
      </c>
      <c r="K2279" s="38">
        <v>227</v>
      </c>
      <c r="L2279" s="50">
        <f t="shared" si="111"/>
        <v>28.991060025542787</v>
      </c>
      <c r="M2279" s="38">
        <v>35</v>
      </c>
      <c r="N2279" s="50">
        <f t="shared" si="112"/>
        <v>4.4699872286079181</v>
      </c>
      <c r="O2279" s="38">
        <v>0</v>
      </c>
      <c r="P2279" s="38">
        <v>7</v>
      </c>
      <c r="Q2279" s="34" t="s">
        <v>43</v>
      </c>
      <c r="R2279" s="8">
        <v>44574</v>
      </c>
      <c r="S2279" s="34"/>
      <c r="T2279" s="34">
        <v>232</v>
      </c>
      <c r="U2279" s="34"/>
      <c r="V2279" s="34"/>
      <c r="W2279" s="34"/>
      <c r="X2279" s="34"/>
      <c r="Y2279" s="34"/>
      <c r="Z2279" s="109"/>
      <c r="AB2279" s="109"/>
      <c r="AC2279" s="34" t="s">
        <v>4937</v>
      </c>
      <c r="AD2279" s="34">
        <v>25.774163000000001</v>
      </c>
      <c r="AE2279" s="34">
        <v>71.082964000000004</v>
      </c>
    </row>
    <row r="2280" spans="1:31" x14ac:dyDescent="0.25">
      <c r="A2280" s="38" t="s">
        <v>36</v>
      </c>
      <c r="B2280" s="41" t="s">
        <v>4565</v>
      </c>
      <c r="C2280" s="41" t="s">
        <v>4925</v>
      </c>
      <c r="D2280" s="41" t="s">
        <v>4935</v>
      </c>
      <c r="E2280" s="41" t="s">
        <v>4936</v>
      </c>
      <c r="F2280" s="41">
        <v>631</v>
      </c>
      <c r="G2280" s="41">
        <v>631</v>
      </c>
      <c r="H2280" s="38">
        <f t="shared" si="110"/>
        <v>783</v>
      </c>
      <c r="I2280" s="41">
        <v>505</v>
      </c>
      <c r="J2280" s="41">
        <v>278</v>
      </c>
      <c r="K2280" s="41">
        <v>227</v>
      </c>
      <c r="L2280" s="50">
        <f t="shared" si="111"/>
        <v>28.991060025542787</v>
      </c>
      <c r="M2280" s="41">
        <v>35</v>
      </c>
      <c r="N2280" s="50">
        <f t="shared" si="112"/>
        <v>4.4699872286079181</v>
      </c>
      <c r="O2280" s="41">
        <v>0</v>
      </c>
      <c r="P2280" s="41">
        <v>7</v>
      </c>
      <c r="Q2280" s="48" t="s">
        <v>43</v>
      </c>
      <c r="R2280" s="31">
        <v>44574</v>
      </c>
      <c r="S2280" s="48"/>
      <c r="T2280" s="48"/>
      <c r="U2280" s="48"/>
      <c r="V2280" s="48"/>
      <c r="W2280" s="48"/>
      <c r="X2280" s="48"/>
      <c r="Y2280" s="48"/>
      <c r="Z2280" s="80"/>
      <c r="AB2280" s="80">
        <v>15</v>
      </c>
      <c r="AC2280" s="48" t="s">
        <v>4937</v>
      </c>
      <c r="AD2280" s="48">
        <v>25.774163000000001</v>
      </c>
      <c r="AE2280" s="48">
        <v>71.082964000000004</v>
      </c>
    </row>
    <row r="2281" spans="1:31" x14ac:dyDescent="0.25">
      <c r="A2281" s="38" t="s">
        <v>36</v>
      </c>
      <c r="B2281" s="38" t="s">
        <v>4565</v>
      </c>
      <c r="C2281" s="38" t="s">
        <v>4925</v>
      </c>
      <c r="D2281" s="190" t="s">
        <v>4938</v>
      </c>
      <c r="E2281" s="38" t="s">
        <v>4939</v>
      </c>
      <c r="F2281" s="38">
        <v>1280</v>
      </c>
      <c r="G2281" s="38">
        <v>1280</v>
      </c>
      <c r="H2281" s="38">
        <f t="shared" si="110"/>
        <v>930</v>
      </c>
      <c r="I2281" s="38">
        <v>605</v>
      </c>
      <c r="J2281" s="38">
        <v>325</v>
      </c>
      <c r="K2281" s="38">
        <v>280</v>
      </c>
      <c r="L2281" s="50">
        <f t="shared" si="111"/>
        <v>30.107526881720432</v>
      </c>
      <c r="M2281" s="38">
        <v>240</v>
      </c>
      <c r="N2281" s="50">
        <f t="shared" si="112"/>
        <v>25.806451612903224</v>
      </c>
      <c r="O2281" s="38">
        <v>0</v>
      </c>
      <c r="P2281" s="38">
        <v>0</v>
      </c>
      <c r="Q2281" s="61" t="s">
        <v>43</v>
      </c>
      <c r="R2281" s="8">
        <v>44574</v>
      </c>
      <c r="S2281" s="61"/>
      <c r="T2281" s="20">
        <v>14.4</v>
      </c>
      <c r="U2281" s="61"/>
      <c r="V2281" s="61"/>
      <c r="W2281" s="61"/>
      <c r="X2281" s="61"/>
      <c r="Y2281" s="61"/>
      <c r="Z2281" s="20"/>
      <c r="AB2281" s="20"/>
      <c r="AC2281" s="51" t="s">
        <v>4940</v>
      </c>
      <c r="AD2281" s="61">
        <v>0</v>
      </c>
      <c r="AE2281" s="61"/>
    </row>
    <row r="2282" spans="1:31" x14ac:dyDescent="0.25">
      <c r="A2282" s="38" t="s">
        <v>36</v>
      </c>
      <c r="B2282" s="38" t="s">
        <v>4565</v>
      </c>
      <c r="C2282" s="38" t="s">
        <v>4925</v>
      </c>
      <c r="D2282" s="190" t="s">
        <v>4941</v>
      </c>
      <c r="E2282" s="38" t="s">
        <v>4942</v>
      </c>
      <c r="F2282" s="38">
        <v>694</v>
      </c>
      <c r="G2282" s="38">
        <v>694</v>
      </c>
      <c r="H2282" s="38">
        <f t="shared" si="110"/>
        <v>611</v>
      </c>
      <c r="I2282" s="38">
        <v>400</v>
      </c>
      <c r="J2282" s="38">
        <v>211</v>
      </c>
      <c r="K2282" s="38">
        <v>189</v>
      </c>
      <c r="L2282" s="50">
        <f t="shared" si="111"/>
        <v>30.932896890343699</v>
      </c>
      <c r="M2282" s="38">
        <v>50</v>
      </c>
      <c r="N2282" s="50">
        <f t="shared" si="112"/>
        <v>8.1833060556464812</v>
      </c>
      <c r="O2282" s="38">
        <v>0</v>
      </c>
      <c r="P2282" s="38">
        <v>9</v>
      </c>
      <c r="Q2282" s="99" t="s">
        <v>43</v>
      </c>
      <c r="R2282" s="8">
        <v>44574</v>
      </c>
      <c r="S2282" s="61"/>
      <c r="T2282" s="20">
        <v>52.8</v>
      </c>
      <c r="U2282" s="99"/>
      <c r="V2282" s="99"/>
      <c r="W2282" s="99"/>
      <c r="X2282" s="99"/>
      <c r="Y2282" s="99"/>
      <c r="Z2282" s="20"/>
      <c r="AB2282" s="20"/>
      <c r="AC2282" s="51" t="s">
        <v>4943</v>
      </c>
      <c r="AD2282" s="61"/>
      <c r="AE2282" s="61"/>
    </row>
    <row r="2283" spans="1:31" x14ac:dyDescent="0.25">
      <c r="A2283" s="38" t="s">
        <v>36</v>
      </c>
      <c r="B2283" s="38" t="s">
        <v>4565</v>
      </c>
      <c r="C2283" s="38" t="s">
        <v>4925</v>
      </c>
      <c r="D2283" s="190" t="s">
        <v>4944</v>
      </c>
      <c r="E2283" s="38" t="s">
        <v>4945</v>
      </c>
      <c r="F2283" s="38">
        <v>941</v>
      </c>
      <c r="G2283" s="38">
        <v>941</v>
      </c>
      <c r="H2283" s="38">
        <f t="shared" si="110"/>
        <v>674</v>
      </c>
      <c r="I2283" s="38">
        <v>438</v>
      </c>
      <c r="J2283" s="38">
        <v>236</v>
      </c>
      <c r="K2283" s="38">
        <v>202</v>
      </c>
      <c r="L2283" s="50">
        <f t="shared" si="111"/>
        <v>29.970326409495552</v>
      </c>
      <c r="M2283" s="38">
        <v>22</v>
      </c>
      <c r="N2283" s="50">
        <f t="shared" si="112"/>
        <v>3.2640949554896146</v>
      </c>
      <c r="O2283" s="38">
        <v>0</v>
      </c>
      <c r="P2283" s="38">
        <v>22</v>
      </c>
      <c r="Q2283" s="99" t="s">
        <v>43</v>
      </c>
      <c r="R2283" s="8">
        <v>44574</v>
      </c>
      <c r="S2283" s="61"/>
      <c r="T2283" s="20">
        <v>135</v>
      </c>
      <c r="U2283" s="99"/>
      <c r="V2283" s="99"/>
      <c r="W2283" s="99"/>
      <c r="X2283" s="99"/>
      <c r="Y2283" s="99"/>
      <c r="Z2283" s="20"/>
      <c r="AB2283" s="20"/>
      <c r="AC2283" s="51" t="s">
        <v>4944</v>
      </c>
      <c r="AD2283" s="61"/>
      <c r="AE2283" s="61"/>
    </row>
    <row r="2284" spans="1:31" x14ac:dyDescent="0.25">
      <c r="A2284" s="38" t="s">
        <v>36</v>
      </c>
      <c r="B2284" s="38" t="s">
        <v>4565</v>
      </c>
      <c r="C2284" s="38" t="s">
        <v>4946</v>
      </c>
      <c r="D2284" s="190" t="s">
        <v>4946</v>
      </c>
      <c r="E2284" s="38" t="s">
        <v>4947</v>
      </c>
      <c r="F2284" s="38">
        <v>1420.75</v>
      </c>
      <c r="G2284" s="38">
        <v>1420.75</v>
      </c>
      <c r="H2284" s="38">
        <f t="shared" si="110"/>
        <v>1726</v>
      </c>
      <c r="I2284" s="38">
        <v>1141</v>
      </c>
      <c r="J2284" s="38">
        <v>585</v>
      </c>
      <c r="K2284" s="38">
        <v>556</v>
      </c>
      <c r="L2284" s="50">
        <f t="shared" si="111"/>
        <v>32.213209733487837</v>
      </c>
      <c r="M2284" s="38">
        <v>24</v>
      </c>
      <c r="N2284" s="50">
        <f t="shared" si="112"/>
        <v>1.3904982618771726</v>
      </c>
      <c r="O2284" s="38">
        <v>0</v>
      </c>
      <c r="P2284" s="38">
        <v>188.1</v>
      </c>
      <c r="Q2284" s="99" t="s">
        <v>43</v>
      </c>
      <c r="R2284" s="17">
        <v>44526</v>
      </c>
      <c r="S2284" s="61"/>
      <c r="T2284" s="20">
        <v>179.92</v>
      </c>
      <c r="U2284" s="99"/>
      <c r="V2284" s="99"/>
      <c r="W2284" s="99"/>
      <c r="X2284" s="99"/>
      <c r="Y2284" s="99"/>
      <c r="Z2284" s="20"/>
      <c r="AB2284" s="20"/>
      <c r="AC2284" s="38" t="s">
        <v>4946</v>
      </c>
      <c r="AD2284" s="61"/>
      <c r="AE2284" s="61"/>
    </row>
    <row r="2285" spans="1:31" x14ac:dyDescent="0.25">
      <c r="A2285" s="38" t="s">
        <v>36</v>
      </c>
      <c r="B2285" s="38" t="s">
        <v>4565</v>
      </c>
      <c r="C2285" s="38" t="s">
        <v>4946</v>
      </c>
      <c r="D2285" s="190" t="s">
        <v>4948</v>
      </c>
      <c r="E2285" s="38" t="s">
        <v>4949</v>
      </c>
      <c r="F2285" s="38">
        <v>454.1</v>
      </c>
      <c r="G2285" s="38">
        <v>454.1</v>
      </c>
      <c r="H2285" s="38">
        <f t="shared" si="110"/>
        <v>1179</v>
      </c>
      <c r="I2285" s="38">
        <v>781</v>
      </c>
      <c r="J2285" s="38">
        <v>398</v>
      </c>
      <c r="K2285" s="38">
        <v>383</v>
      </c>
      <c r="L2285" s="50">
        <f t="shared" si="111"/>
        <v>32.485156912637834</v>
      </c>
      <c r="M2285" s="38">
        <v>0</v>
      </c>
      <c r="N2285" s="50">
        <f t="shared" si="112"/>
        <v>0</v>
      </c>
      <c r="O2285" s="38">
        <v>0</v>
      </c>
      <c r="P2285" s="38">
        <v>0</v>
      </c>
      <c r="Q2285" s="99" t="s">
        <v>43</v>
      </c>
      <c r="R2285" s="17">
        <v>44526</v>
      </c>
      <c r="S2285" s="61"/>
      <c r="T2285" s="20">
        <v>39.5</v>
      </c>
      <c r="U2285" s="99"/>
      <c r="V2285" s="99"/>
      <c r="W2285" s="99"/>
      <c r="X2285" s="99"/>
      <c r="Y2285" s="99"/>
      <c r="Z2285" s="20"/>
      <c r="AB2285" s="20"/>
      <c r="AC2285" s="38" t="s">
        <v>4948</v>
      </c>
      <c r="AD2285" s="61"/>
      <c r="AE2285" s="61"/>
    </row>
    <row r="2286" spans="1:31" x14ac:dyDescent="0.25">
      <c r="A2286" s="38" t="s">
        <v>36</v>
      </c>
      <c r="B2286" s="38" t="s">
        <v>4565</v>
      </c>
      <c r="C2286" s="38" t="s">
        <v>4946</v>
      </c>
      <c r="D2286" s="190" t="s">
        <v>4950</v>
      </c>
      <c r="E2286" s="38" t="s">
        <v>4951</v>
      </c>
      <c r="F2286" s="38">
        <v>2498.5500000000002</v>
      </c>
      <c r="G2286" s="38">
        <v>2498.5500000000002</v>
      </c>
      <c r="H2286" s="38">
        <f t="shared" si="110"/>
        <v>874</v>
      </c>
      <c r="I2286" s="38">
        <v>575</v>
      </c>
      <c r="J2286" s="38">
        <v>299</v>
      </c>
      <c r="K2286" s="38">
        <v>276</v>
      </c>
      <c r="L2286" s="50">
        <f t="shared" si="111"/>
        <v>31.578947368421051</v>
      </c>
      <c r="M2286" s="38">
        <v>0</v>
      </c>
      <c r="N2286" s="50">
        <f t="shared" si="112"/>
        <v>0</v>
      </c>
      <c r="O2286" s="38">
        <v>0</v>
      </c>
      <c r="P2286" s="38">
        <v>163.04</v>
      </c>
      <c r="Q2286" s="34" t="s">
        <v>43</v>
      </c>
      <c r="R2286" s="88">
        <v>44526</v>
      </c>
      <c r="S2286" s="34"/>
      <c r="T2286" s="89">
        <v>163</v>
      </c>
      <c r="U2286" s="34"/>
      <c r="V2286" s="34"/>
      <c r="W2286" s="34"/>
      <c r="X2286" s="34"/>
      <c r="Y2286" s="34"/>
      <c r="Z2286" s="89"/>
      <c r="AB2286" s="89"/>
      <c r="AC2286" s="34" t="s">
        <v>4952</v>
      </c>
      <c r="AD2286" s="34">
        <v>25.747205999999998</v>
      </c>
      <c r="AE2286" s="34">
        <v>70.755919000000006</v>
      </c>
    </row>
    <row r="2287" spans="1:31" x14ac:dyDescent="0.25">
      <c r="A2287" s="38" t="s">
        <v>36</v>
      </c>
      <c r="B2287" s="38" t="s">
        <v>4565</v>
      </c>
      <c r="C2287" s="38" t="s">
        <v>4946</v>
      </c>
      <c r="D2287" s="190" t="s">
        <v>4953</v>
      </c>
      <c r="E2287" s="38" t="s">
        <v>4954</v>
      </c>
      <c r="F2287" s="38">
        <v>904</v>
      </c>
      <c r="G2287" s="38">
        <v>904</v>
      </c>
      <c r="H2287" s="38">
        <f t="shared" si="110"/>
        <v>617</v>
      </c>
      <c r="I2287" s="38">
        <v>401</v>
      </c>
      <c r="J2287" s="38">
        <v>216</v>
      </c>
      <c r="K2287" s="38">
        <v>185</v>
      </c>
      <c r="L2287" s="50">
        <f t="shared" si="111"/>
        <v>29.983792544570502</v>
      </c>
      <c r="M2287" s="38">
        <v>8</v>
      </c>
      <c r="N2287" s="50">
        <f t="shared" si="112"/>
        <v>1.2965964343598055</v>
      </c>
      <c r="O2287" s="38">
        <v>0</v>
      </c>
      <c r="P2287" s="38">
        <v>0</v>
      </c>
      <c r="Q2287" s="99" t="s">
        <v>43</v>
      </c>
      <c r="R2287" s="17">
        <v>44526</v>
      </c>
      <c r="S2287" s="61"/>
      <c r="T2287" s="20">
        <v>83.81</v>
      </c>
      <c r="U2287" s="99"/>
      <c r="V2287" s="99"/>
      <c r="W2287" s="99"/>
      <c r="X2287" s="99"/>
      <c r="Y2287" s="99"/>
      <c r="Z2287" s="20"/>
      <c r="AB2287" s="20"/>
      <c r="AC2287" s="38" t="s">
        <v>4953</v>
      </c>
      <c r="AD2287" s="61"/>
      <c r="AE2287" s="61"/>
    </row>
    <row r="2288" spans="1:31" x14ac:dyDescent="0.25">
      <c r="A2288" s="38" t="s">
        <v>36</v>
      </c>
      <c r="B2288" s="38" t="s">
        <v>4565</v>
      </c>
      <c r="C2288" s="38" t="s">
        <v>4955</v>
      </c>
      <c r="D2288" s="190" t="s">
        <v>4956</v>
      </c>
      <c r="E2288" s="38" t="s">
        <v>4957</v>
      </c>
      <c r="F2288" s="38">
        <v>564</v>
      </c>
      <c r="G2288" s="38">
        <v>564</v>
      </c>
      <c r="H2288" s="38">
        <f t="shared" si="110"/>
        <v>1191</v>
      </c>
      <c r="I2288" s="38">
        <v>780</v>
      </c>
      <c r="J2288" s="38">
        <v>411</v>
      </c>
      <c r="K2288" s="38">
        <v>369</v>
      </c>
      <c r="L2288" s="50">
        <f t="shared" si="111"/>
        <v>30.982367758186395</v>
      </c>
      <c r="M2288" s="38">
        <v>333</v>
      </c>
      <c r="N2288" s="50">
        <f t="shared" si="112"/>
        <v>27.95969773299748</v>
      </c>
      <c r="O2288" s="38">
        <v>0</v>
      </c>
      <c r="P2288" s="38">
        <v>20</v>
      </c>
      <c r="Q2288" s="99" t="s">
        <v>43</v>
      </c>
      <c r="R2288" s="17">
        <v>44526</v>
      </c>
      <c r="S2288" s="61"/>
      <c r="T2288" s="20">
        <v>19.96</v>
      </c>
      <c r="U2288" s="99"/>
      <c r="V2288" s="99"/>
      <c r="W2288" s="99"/>
      <c r="X2288" s="99"/>
      <c r="Y2288" s="99"/>
      <c r="Z2288" s="20"/>
      <c r="AB2288" s="20"/>
      <c r="AC2288" s="38" t="s">
        <v>4956</v>
      </c>
      <c r="AD2288" s="61"/>
      <c r="AE2288" s="61"/>
    </row>
    <row r="2289" spans="1:31" x14ac:dyDescent="0.25">
      <c r="A2289" s="38" t="s">
        <v>36</v>
      </c>
      <c r="B2289" s="38" t="s">
        <v>4565</v>
      </c>
      <c r="C2289" s="38" t="s">
        <v>4955</v>
      </c>
      <c r="D2289" s="190" t="s">
        <v>4958</v>
      </c>
      <c r="E2289" s="38" t="s">
        <v>4959</v>
      </c>
      <c r="F2289" s="38">
        <v>1449.03</v>
      </c>
      <c r="G2289" s="38">
        <v>1449.03</v>
      </c>
      <c r="H2289" s="38">
        <f t="shared" si="110"/>
        <v>774</v>
      </c>
      <c r="I2289" s="38">
        <v>504</v>
      </c>
      <c r="J2289" s="38">
        <v>270</v>
      </c>
      <c r="K2289" s="38">
        <v>234</v>
      </c>
      <c r="L2289" s="50">
        <f t="shared" si="111"/>
        <v>30.232558139534881</v>
      </c>
      <c r="M2289" s="38">
        <v>0</v>
      </c>
      <c r="N2289" s="50">
        <f t="shared" si="112"/>
        <v>0</v>
      </c>
      <c r="O2289" s="38">
        <v>0</v>
      </c>
      <c r="P2289" s="38">
        <v>112</v>
      </c>
      <c r="Q2289" s="34" t="s">
        <v>43</v>
      </c>
      <c r="R2289" s="88">
        <v>44526</v>
      </c>
      <c r="S2289" s="34"/>
      <c r="T2289" s="89">
        <v>88.83</v>
      </c>
      <c r="U2289" s="34"/>
      <c r="V2289" s="34"/>
      <c r="W2289" s="34"/>
      <c r="X2289" s="34"/>
      <c r="Y2289" s="34"/>
      <c r="Z2289" s="109"/>
      <c r="AB2289" s="89">
        <v>80</v>
      </c>
      <c r="AC2289" s="34" t="s">
        <v>4960</v>
      </c>
      <c r="AD2289" s="34">
        <v>70.842742000000001</v>
      </c>
      <c r="AE2289" s="34">
        <v>25.613703000000001</v>
      </c>
    </row>
    <row r="2290" spans="1:31" x14ac:dyDescent="0.25">
      <c r="A2290" s="38" t="s">
        <v>36</v>
      </c>
      <c r="B2290" s="38" t="s">
        <v>4565</v>
      </c>
      <c r="C2290" s="38" t="s">
        <v>4955</v>
      </c>
      <c r="D2290" s="190" t="s">
        <v>4961</v>
      </c>
      <c r="E2290" s="38" t="s">
        <v>4962</v>
      </c>
      <c r="F2290" s="38">
        <v>1674.01</v>
      </c>
      <c r="G2290" s="38">
        <v>1674.01</v>
      </c>
      <c r="H2290" s="38">
        <f t="shared" si="110"/>
        <v>1407</v>
      </c>
      <c r="I2290" s="38">
        <v>935</v>
      </c>
      <c r="J2290" s="38">
        <v>472</v>
      </c>
      <c r="K2290" s="38">
        <v>463</v>
      </c>
      <c r="L2290" s="50">
        <f t="shared" si="111"/>
        <v>32.90689410092395</v>
      </c>
      <c r="M2290" s="38">
        <v>52</v>
      </c>
      <c r="N2290" s="50">
        <f t="shared" si="112"/>
        <v>3.6958066808813075</v>
      </c>
      <c r="O2290" s="38">
        <v>0</v>
      </c>
      <c r="P2290" s="38">
        <v>100</v>
      </c>
      <c r="Q2290" s="99" t="s">
        <v>43</v>
      </c>
      <c r="R2290" s="17">
        <v>44526</v>
      </c>
      <c r="S2290" s="61"/>
      <c r="T2290" s="20">
        <v>79.41</v>
      </c>
      <c r="U2290" s="99"/>
      <c r="V2290" s="99"/>
      <c r="W2290" s="99"/>
      <c r="X2290" s="99"/>
      <c r="Y2290" s="99"/>
      <c r="Z2290" s="20"/>
      <c r="AB2290" s="20"/>
      <c r="AC2290" s="38" t="s">
        <v>4961</v>
      </c>
      <c r="AD2290" s="61"/>
      <c r="AE2290" s="61"/>
    </row>
    <row r="2291" spans="1:31" x14ac:dyDescent="0.25">
      <c r="A2291" s="38" t="s">
        <v>36</v>
      </c>
      <c r="B2291" s="38" t="s">
        <v>4565</v>
      </c>
      <c r="C2291" s="38" t="s">
        <v>4955</v>
      </c>
      <c r="D2291" s="190" t="s">
        <v>4963</v>
      </c>
      <c r="E2291" s="38" t="s">
        <v>4964</v>
      </c>
      <c r="F2291" s="38">
        <v>441</v>
      </c>
      <c r="G2291" s="38">
        <v>441</v>
      </c>
      <c r="H2291" s="38">
        <f t="shared" si="110"/>
        <v>556</v>
      </c>
      <c r="I2291" s="38">
        <v>367</v>
      </c>
      <c r="J2291" s="38">
        <v>189</v>
      </c>
      <c r="K2291" s="38">
        <v>178</v>
      </c>
      <c r="L2291" s="50">
        <f t="shared" si="111"/>
        <v>32.014388489208635</v>
      </c>
      <c r="M2291" s="38">
        <v>8</v>
      </c>
      <c r="N2291" s="50">
        <f t="shared" si="112"/>
        <v>1.4388489208633095</v>
      </c>
      <c r="O2291" s="38">
        <v>0</v>
      </c>
      <c r="P2291" s="38">
        <v>38</v>
      </c>
      <c r="Q2291" s="99" t="s">
        <v>43</v>
      </c>
      <c r="R2291" s="17">
        <v>44526</v>
      </c>
      <c r="S2291" s="61"/>
      <c r="T2291" s="20">
        <v>36.479999999999997</v>
      </c>
      <c r="U2291" s="99"/>
      <c r="V2291" s="99"/>
      <c r="W2291" s="99"/>
      <c r="X2291" s="99"/>
      <c r="Y2291" s="99"/>
      <c r="Z2291" s="20"/>
      <c r="AB2291" s="20"/>
      <c r="AC2291" s="38" t="s">
        <v>4963</v>
      </c>
      <c r="AD2291" s="61"/>
      <c r="AE2291" s="61"/>
    </row>
    <row r="2292" spans="1:31" x14ac:dyDescent="0.25">
      <c r="A2292" s="38" t="s">
        <v>36</v>
      </c>
      <c r="B2292" s="38" t="s">
        <v>4565</v>
      </c>
      <c r="C2292" s="38" t="s">
        <v>4955</v>
      </c>
      <c r="D2292" s="190" t="s">
        <v>4965</v>
      </c>
      <c r="E2292" s="38" t="s">
        <v>4966</v>
      </c>
      <c r="F2292" s="38">
        <v>514.02</v>
      </c>
      <c r="G2292" s="38">
        <v>514.02</v>
      </c>
      <c r="H2292" s="38">
        <f t="shared" si="110"/>
        <v>336</v>
      </c>
      <c r="I2292" s="38">
        <v>218</v>
      </c>
      <c r="J2292" s="38">
        <v>118</v>
      </c>
      <c r="K2292" s="38">
        <v>100</v>
      </c>
      <c r="L2292" s="50">
        <f t="shared" si="111"/>
        <v>29.761904761904763</v>
      </c>
      <c r="M2292" s="38">
        <v>0</v>
      </c>
      <c r="N2292" s="50">
        <f t="shared" si="112"/>
        <v>0</v>
      </c>
      <c r="O2292" s="38">
        <v>0</v>
      </c>
      <c r="P2292" s="38">
        <v>0</v>
      </c>
      <c r="Q2292" s="98" t="s">
        <v>44</v>
      </c>
      <c r="R2292" s="17">
        <v>44538</v>
      </c>
      <c r="S2292" s="99"/>
      <c r="T2292" s="20">
        <v>0</v>
      </c>
      <c r="U2292" s="98"/>
      <c r="V2292" s="98"/>
      <c r="W2292" s="98"/>
      <c r="X2292" s="98"/>
      <c r="Y2292" s="98"/>
      <c r="Z2292" s="20"/>
      <c r="AB2292" s="20"/>
      <c r="AC2292" s="11" t="s">
        <v>4967</v>
      </c>
      <c r="AD2292" s="61"/>
      <c r="AE2292" s="99"/>
    </row>
    <row r="2293" spans="1:31" x14ac:dyDescent="0.25">
      <c r="A2293" s="38" t="s">
        <v>36</v>
      </c>
      <c r="B2293" s="38" t="s">
        <v>4565</v>
      </c>
      <c r="C2293" s="38" t="s">
        <v>4968</v>
      </c>
      <c r="D2293" s="190" t="s">
        <v>4968</v>
      </c>
      <c r="E2293" s="38" t="s">
        <v>4969</v>
      </c>
      <c r="F2293" s="38">
        <v>1499.04</v>
      </c>
      <c r="G2293" s="38">
        <v>1499.04</v>
      </c>
      <c r="H2293" s="38">
        <f t="shared" si="110"/>
        <v>2484</v>
      </c>
      <c r="I2293" s="38">
        <v>1632</v>
      </c>
      <c r="J2293" s="38">
        <v>852</v>
      </c>
      <c r="K2293" s="38">
        <v>780</v>
      </c>
      <c r="L2293" s="50">
        <f t="shared" si="111"/>
        <v>31.40096618357488</v>
      </c>
      <c r="M2293" s="38">
        <v>372</v>
      </c>
      <c r="N2293" s="50">
        <f t="shared" si="112"/>
        <v>14.975845410628018</v>
      </c>
      <c r="O2293" s="38">
        <v>0</v>
      </c>
      <c r="P2293" s="38">
        <v>50.94</v>
      </c>
      <c r="Q2293" s="99" t="s">
        <v>43</v>
      </c>
      <c r="R2293" s="17">
        <v>44525</v>
      </c>
      <c r="S2293" s="61"/>
      <c r="T2293" s="20">
        <v>51</v>
      </c>
      <c r="U2293" s="99"/>
      <c r="V2293" s="99"/>
      <c r="W2293" s="99"/>
      <c r="X2293" s="99"/>
      <c r="Y2293" s="99"/>
      <c r="Z2293" s="20"/>
      <c r="AB2293" s="20"/>
      <c r="AC2293" s="38" t="s">
        <v>4968</v>
      </c>
      <c r="AD2293" s="61"/>
      <c r="AE2293" s="61"/>
    </row>
    <row r="2294" spans="1:31" x14ac:dyDescent="0.25">
      <c r="A2294" s="38" t="s">
        <v>36</v>
      </c>
      <c r="B2294" s="38" t="s">
        <v>4565</v>
      </c>
      <c r="C2294" s="38" t="s">
        <v>4968</v>
      </c>
      <c r="D2294" s="190" t="s">
        <v>4970</v>
      </c>
      <c r="E2294" s="38" t="s">
        <v>4971</v>
      </c>
      <c r="F2294" s="38">
        <v>669</v>
      </c>
      <c r="G2294" s="38">
        <v>669</v>
      </c>
      <c r="H2294" s="38">
        <f t="shared" si="110"/>
        <v>292</v>
      </c>
      <c r="I2294" s="38">
        <v>187</v>
      </c>
      <c r="J2294" s="38">
        <v>105</v>
      </c>
      <c r="K2294" s="38">
        <v>82</v>
      </c>
      <c r="L2294" s="50">
        <f t="shared" si="111"/>
        <v>28.082191780821919</v>
      </c>
      <c r="M2294" s="38">
        <v>0</v>
      </c>
      <c r="N2294" s="50">
        <f t="shared" si="112"/>
        <v>0</v>
      </c>
      <c r="O2294" s="38">
        <v>0</v>
      </c>
      <c r="P2294" s="38">
        <v>0</v>
      </c>
      <c r="Q2294" s="61" t="s">
        <v>43</v>
      </c>
      <c r="R2294" s="17">
        <v>44525</v>
      </c>
      <c r="S2294" s="61"/>
      <c r="T2294" s="20">
        <v>0</v>
      </c>
      <c r="U2294" s="61"/>
      <c r="V2294" s="61"/>
      <c r="W2294" s="61"/>
      <c r="X2294" s="61"/>
      <c r="Y2294" s="61"/>
      <c r="Z2294" s="20"/>
      <c r="AB2294" s="20"/>
      <c r="AC2294" s="38" t="s">
        <v>4970</v>
      </c>
      <c r="AD2294" s="61">
        <v>0</v>
      </c>
      <c r="AE2294" s="61"/>
    </row>
    <row r="2295" spans="1:31" x14ac:dyDescent="0.25">
      <c r="A2295" s="38" t="s">
        <v>36</v>
      </c>
      <c r="B2295" s="38" t="s">
        <v>4565</v>
      </c>
      <c r="C2295" s="38" t="s">
        <v>4968</v>
      </c>
      <c r="D2295" s="190" t="s">
        <v>3369</v>
      </c>
      <c r="E2295" s="38" t="s">
        <v>4972</v>
      </c>
      <c r="F2295" s="38">
        <v>2396</v>
      </c>
      <c r="G2295" s="38">
        <v>2396</v>
      </c>
      <c r="H2295" s="38">
        <f t="shared" si="110"/>
        <v>1794</v>
      </c>
      <c r="I2295" s="38">
        <v>1181</v>
      </c>
      <c r="J2295" s="38">
        <v>613</v>
      </c>
      <c r="K2295" s="38">
        <v>568</v>
      </c>
      <c r="L2295" s="50">
        <f t="shared" si="111"/>
        <v>31.661092530657747</v>
      </c>
      <c r="M2295" s="38">
        <v>0</v>
      </c>
      <c r="N2295" s="50">
        <f t="shared" si="112"/>
        <v>0</v>
      </c>
      <c r="O2295" s="38">
        <v>0</v>
      </c>
      <c r="P2295" s="38">
        <v>0</v>
      </c>
      <c r="Q2295" s="99" t="s">
        <v>43</v>
      </c>
      <c r="R2295" s="17">
        <v>44525</v>
      </c>
      <c r="S2295" s="61"/>
      <c r="T2295" s="20">
        <v>66</v>
      </c>
      <c r="U2295" s="99"/>
      <c r="V2295" s="99"/>
      <c r="W2295" s="99"/>
      <c r="X2295" s="99"/>
      <c r="Y2295" s="99"/>
      <c r="Z2295" s="20"/>
      <c r="AB2295" s="20"/>
      <c r="AC2295" s="38" t="s">
        <v>3369</v>
      </c>
      <c r="AD2295" s="61"/>
      <c r="AE2295" s="61"/>
    </row>
    <row r="2296" spans="1:31" x14ac:dyDescent="0.25">
      <c r="A2296" s="38" t="s">
        <v>36</v>
      </c>
      <c r="B2296" s="38" t="s">
        <v>4565</v>
      </c>
      <c r="C2296" s="38" t="s">
        <v>4973</v>
      </c>
      <c r="D2296" s="190" t="s">
        <v>4974</v>
      </c>
      <c r="E2296" s="38" t="s">
        <v>4975</v>
      </c>
      <c r="F2296" s="38">
        <v>2494.7399999999998</v>
      </c>
      <c r="G2296" s="38">
        <v>2494.7399999999998</v>
      </c>
      <c r="H2296" s="38">
        <f t="shared" si="110"/>
        <v>3156</v>
      </c>
      <c r="I2296" s="38">
        <v>2084</v>
      </c>
      <c r="J2296" s="38">
        <v>1072</v>
      </c>
      <c r="K2296" s="38">
        <v>1012</v>
      </c>
      <c r="L2296" s="50">
        <f t="shared" si="111"/>
        <v>32.065906210392903</v>
      </c>
      <c r="M2296" s="38">
        <v>56</v>
      </c>
      <c r="N2296" s="50">
        <f t="shared" si="112"/>
        <v>1.7743979721166032</v>
      </c>
      <c r="O2296" s="38">
        <v>0</v>
      </c>
      <c r="P2296" s="38">
        <v>0</v>
      </c>
      <c r="Q2296" s="34" t="s">
        <v>43</v>
      </c>
      <c r="R2296" s="9">
        <v>44518</v>
      </c>
      <c r="S2296" s="34"/>
      <c r="T2296" s="34">
        <v>41</v>
      </c>
      <c r="U2296" s="34"/>
      <c r="V2296" s="34"/>
      <c r="W2296" s="34"/>
      <c r="X2296" s="34"/>
      <c r="Y2296" s="34"/>
      <c r="Z2296" s="109"/>
      <c r="AB2296" s="109">
        <v>30</v>
      </c>
      <c r="AC2296" s="34" t="s">
        <v>4976</v>
      </c>
      <c r="AD2296" s="34">
        <v>25.692067999999999</v>
      </c>
      <c r="AE2296" s="34">
        <v>70.998632999999998</v>
      </c>
    </row>
    <row r="2297" spans="1:31" x14ac:dyDescent="0.25">
      <c r="A2297" s="38" t="s">
        <v>36</v>
      </c>
      <c r="B2297" s="38" t="s">
        <v>4565</v>
      </c>
      <c r="C2297" s="38" t="s">
        <v>4973</v>
      </c>
      <c r="D2297" s="190" t="s">
        <v>4977</v>
      </c>
      <c r="E2297" s="38" t="s">
        <v>4978</v>
      </c>
      <c r="F2297" s="38">
        <v>455</v>
      </c>
      <c r="G2297" s="38">
        <v>455</v>
      </c>
      <c r="H2297" s="38">
        <f t="shared" si="110"/>
        <v>257</v>
      </c>
      <c r="I2297" s="38">
        <v>165</v>
      </c>
      <c r="J2297" s="38">
        <v>92</v>
      </c>
      <c r="K2297" s="38">
        <v>73</v>
      </c>
      <c r="L2297" s="50">
        <f t="shared" si="111"/>
        <v>28.404669260700388</v>
      </c>
      <c r="M2297" s="38">
        <v>0</v>
      </c>
      <c r="N2297" s="50">
        <f t="shared" si="112"/>
        <v>0</v>
      </c>
      <c r="O2297" s="38">
        <v>0</v>
      </c>
      <c r="P2297" s="38">
        <v>0</v>
      </c>
    </row>
    <row r="2298" spans="1:31" x14ac:dyDescent="0.25">
      <c r="A2298" s="38" t="s">
        <v>36</v>
      </c>
      <c r="B2298" s="38" t="s">
        <v>4565</v>
      </c>
      <c r="C2298" s="38" t="s">
        <v>4973</v>
      </c>
      <c r="D2298" s="190" t="s">
        <v>4979</v>
      </c>
      <c r="E2298" s="38" t="s">
        <v>4980</v>
      </c>
      <c r="F2298" s="38">
        <v>365</v>
      </c>
      <c r="G2298" s="38">
        <v>365</v>
      </c>
      <c r="H2298" s="38">
        <f t="shared" si="110"/>
        <v>788</v>
      </c>
      <c r="I2298" s="38">
        <v>519</v>
      </c>
      <c r="J2298" s="38">
        <v>269</v>
      </c>
      <c r="K2298" s="38">
        <v>250</v>
      </c>
      <c r="L2298" s="50">
        <f t="shared" si="111"/>
        <v>31.725888324873097</v>
      </c>
      <c r="M2298" s="38">
        <v>157</v>
      </c>
      <c r="N2298" s="50">
        <f t="shared" si="112"/>
        <v>19.923857868020303</v>
      </c>
      <c r="O2298" s="38">
        <v>0</v>
      </c>
      <c r="P2298" s="38">
        <v>0</v>
      </c>
    </row>
    <row r="2299" spans="1:31" x14ac:dyDescent="0.25">
      <c r="A2299" s="38" t="s">
        <v>36</v>
      </c>
      <c r="B2299" s="38" t="s">
        <v>4565</v>
      </c>
      <c r="C2299" s="38" t="s">
        <v>4973</v>
      </c>
      <c r="D2299" s="190" t="s">
        <v>4981</v>
      </c>
      <c r="E2299" s="38" t="s">
        <v>4982</v>
      </c>
      <c r="F2299" s="38">
        <v>1230.69</v>
      </c>
      <c r="G2299" s="38">
        <v>1230.69</v>
      </c>
      <c r="H2299" s="38">
        <f t="shared" si="110"/>
        <v>1219</v>
      </c>
      <c r="I2299" s="38">
        <v>807</v>
      </c>
      <c r="J2299" s="38">
        <v>412</v>
      </c>
      <c r="K2299" s="38">
        <v>395</v>
      </c>
      <c r="L2299" s="50">
        <f t="shared" si="111"/>
        <v>32.40360951599672</v>
      </c>
      <c r="M2299" s="38">
        <v>48</v>
      </c>
      <c r="N2299" s="50">
        <f t="shared" si="112"/>
        <v>3.9376538146021329</v>
      </c>
      <c r="O2299" s="38">
        <v>0</v>
      </c>
      <c r="P2299" s="38">
        <v>0</v>
      </c>
    </row>
    <row r="2300" spans="1:31" x14ac:dyDescent="0.25">
      <c r="A2300" s="38" t="s">
        <v>36</v>
      </c>
      <c r="B2300" s="38" t="s">
        <v>4983</v>
      </c>
      <c r="C2300" s="38" t="s">
        <v>4984</v>
      </c>
      <c r="D2300" s="38" t="s">
        <v>4985</v>
      </c>
      <c r="E2300" s="38" t="s">
        <v>4986</v>
      </c>
      <c r="F2300" s="38">
        <v>2413.29</v>
      </c>
      <c r="G2300" s="38">
        <v>2413.29</v>
      </c>
      <c r="H2300" s="38">
        <f t="shared" si="110"/>
        <v>5982</v>
      </c>
      <c r="I2300" s="38">
        <v>3947</v>
      </c>
      <c r="J2300" s="38">
        <v>2035</v>
      </c>
      <c r="K2300" s="38">
        <v>1912</v>
      </c>
      <c r="L2300" s="50">
        <f t="shared" si="111"/>
        <v>31.962554329655635</v>
      </c>
      <c r="M2300" s="38">
        <v>411</v>
      </c>
      <c r="N2300" s="50">
        <f t="shared" si="112"/>
        <v>6.8706118355065193</v>
      </c>
      <c r="O2300" s="38">
        <v>101.01</v>
      </c>
      <c r="P2300" s="38">
        <v>121.13</v>
      </c>
      <c r="Q2300" s="61" t="s">
        <v>160</v>
      </c>
      <c r="R2300" s="7">
        <v>44463</v>
      </c>
      <c r="S2300" s="99"/>
      <c r="T2300" s="4">
        <v>106.72</v>
      </c>
      <c r="U2300" s="61"/>
      <c r="V2300" s="61"/>
      <c r="W2300" s="61"/>
      <c r="X2300" s="61"/>
      <c r="Y2300" s="61"/>
      <c r="Z2300" s="20"/>
      <c r="AB2300" s="20"/>
      <c r="AC2300" s="11" t="s">
        <v>4987</v>
      </c>
      <c r="AD2300" s="61"/>
      <c r="AE2300" s="99"/>
    </row>
    <row r="2301" spans="1:31" x14ac:dyDescent="0.25">
      <c r="A2301" s="38" t="s">
        <v>36</v>
      </c>
      <c r="B2301" s="38" t="s">
        <v>4983</v>
      </c>
      <c r="C2301" s="38" t="s">
        <v>4984</v>
      </c>
      <c r="D2301" s="38" t="s">
        <v>4989</v>
      </c>
      <c r="E2301" s="38" t="s">
        <v>4990</v>
      </c>
      <c r="F2301" s="38">
        <v>409.16</v>
      </c>
      <c r="G2301" s="38">
        <v>409.16</v>
      </c>
      <c r="H2301" s="38">
        <f t="shared" si="110"/>
        <v>528</v>
      </c>
      <c r="I2301" s="38">
        <v>342</v>
      </c>
      <c r="J2301" s="38">
        <v>186</v>
      </c>
      <c r="K2301" s="38">
        <v>156</v>
      </c>
      <c r="L2301" s="50">
        <f t="shared" si="111"/>
        <v>29.545454545454547</v>
      </c>
      <c r="M2301" s="38">
        <v>24</v>
      </c>
      <c r="N2301" s="50">
        <f t="shared" si="112"/>
        <v>4.5454545454545459</v>
      </c>
      <c r="O2301" s="38">
        <v>52.21</v>
      </c>
      <c r="P2301" s="38">
        <v>15.13</v>
      </c>
      <c r="Q2301" s="61" t="s">
        <v>160</v>
      </c>
      <c r="R2301" s="7">
        <v>44551</v>
      </c>
      <c r="S2301" s="99"/>
      <c r="U2301" s="61"/>
      <c r="V2301" s="61"/>
      <c r="W2301" s="61"/>
      <c r="X2301" s="61"/>
      <c r="Y2301" s="61"/>
      <c r="Z2301" s="89"/>
      <c r="AB2301" s="238">
        <v>30</v>
      </c>
      <c r="AC2301" s="11" t="s">
        <v>2098</v>
      </c>
      <c r="AD2301" s="61">
        <v>26.544881</v>
      </c>
      <c r="AE2301" s="99">
        <v>28.611462</v>
      </c>
    </row>
    <row r="2302" spans="1:31" x14ac:dyDescent="0.25">
      <c r="A2302" s="38" t="s">
        <v>36</v>
      </c>
      <c r="B2302" s="38" t="s">
        <v>4983</v>
      </c>
      <c r="C2302" s="38" t="s">
        <v>4984</v>
      </c>
      <c r="D2302" s="38" t="s">
        <v>4989</v>
      </c>
      <c r="E2302" s="38" t="s">
        <v>4990</v>
      </c>
      <c r="F2302" s="38">
        <v>409.16</v>
      </c>
      <c r="G2302" s="38">
        <v>409.16</v>
      </c>
      <c r="H2302" s="38">
        <f t="shared" si="110"/>
        <v>528</v>
      </c>
      <c r="I2302" s="38">
        <v>342</v>
      </c>
      <c r="J2302" s="38">
        <v>186</v>
      </c>
      <c r="K2302" s="38">
        <v>156</v>
      </c>
      <c r="L2302" s="50">
        <f t="shared" si="111"/>
        <v>29.545454545454547</v>
      </c>
      <c r="M2302" s="38">
        <v>24</v>
      </c>
      <c r="N2302" s="50">
        <f t="shared" si="112"/>
        <v>4.5454545454545459</v>
      </c>
      <c r="O2302" s="38">
        <v>52.21</v>
      </c>
      <c r="P2302" s="38">
        <v>15.13</v>
      </c>
      <c r="Q2302" s="98" t="s">
        <v>160</v>
      </c>
      <c r="R2302" s="7">
        <v>44551</v>
      </c>
      <c r="S2302" s="99"/>
      <c r="T2302" s="11">
        <v>14.88</v>
      </c>
      <c r="U2302" s="98"/>
      <c r="V2302" s="98"/>
      <c r="W2302" s="98"/>
      <c r="X2302" s="98"/>
      <c r="Y2302" s="98"/>
      <c r="Z2302" s="20"/>
      <c r="AB2302" s="20"/>
      <c r="AC2302" s="11" t="s">
        <v>2098</v>
      </c>
      <c r="AD2302" s="61"/>
      <c r="AE2302" s="99"/>
    </row>
    <row r="2303" spans="1:31" x14ac:dyDescent="0.25">
      <c r="A2303" s="38" t="s">
        <v>36</v>
      </c>
      <c r="B2303" s="38" t="s">
        <v>4983</v>
      </c>
      <c r="C2303" s="38" t="s">
        <v>4991</v>
      </c>
      <c r="D2303" s="38" t="s">
        <v>4991</v>
      </c>
      <c r="E2303" s="38" t="s">
        <v>4992</v>
      </c>
      <c r="F2303" s="38">
        <v>2100</v>
      </c>
      <c r="G2303" s="38">
        <v>2100</v>
      </c>
      <c r="H2303" s="38">
        <f t="shared" si="110"/>
        <v>4366</v>
      </c>
      <c r="I2303" s="38">
        <v>2863</v>
      </c>
      <c r="J2303" s="38">
        <v>1503</v>
      </c>
      <c r="K2303" s="38">
        <v>1360</v>
      </c>
      <c r="L2303" s="50">
        <f t="shared" si="111"/>
        <v>31.149793861658271</v>
      </c>
      <c r="M2303" s="38">
        <v>148</v>
      </c>
      <c r="N2303" s="50">
        <f t="shared" si="112"/>
        <v>3.3898305084745761</v>
      </c>
      <c r="O2303" s="38">
        <v>0</v>
      </c>
      <c r="P2303" s="38">
        <v>81</v>
      </c>
      <c r="Q2303" s="44" t="s">
        <v>44</v>
      </c>
      <c r="R2303" s="24">
        <v>45650</v>
      </c>
      <c r="S2303" s="44"/>
      <c r="T2303" s="18">
        <v>70</v>
      </c>
      <c r="U2303" s="44"/>
      <c r="V2303" s="44"/>
      <c r="W2303" s="44"/>
      <c r="X2303" s="44"/>
      <c r="Y2303" s="44"/>
      <c r="Z2303" s="5"/>
      <c r="AB2303" s="5">
        <v>25</v>
      </c>
      <c r="AC2303" s="18" t="s">
        <v>4993</v>
      </c>
      <c r="AD2303" s="44">
        <v>25.796410000000002</v>
      </c>
      <c r="AE2303" s="44">
        <v>72.648016999999996</v>
      </c>
    </row>
    <row r="2304" spans="1:31" x14ac:dyDescent="0.25">
      <c r="A2304" s="38" t="s">
        <v>36</v>
      </c>
      <c r="B2304" s="38" t="s">
        <v>4983</v>
      </c>
      <c r="C2304" s="38" t="s">
        <v>4994</v>
      </c>
      <c r="D2304" s="38" t="s">
        <v>4995</v>
      </c>
      <c r="E2304" s="38" t="s">
        <v>4996</v>
      </c>
      <c r="F2304" s="38">
        <v>2486</v>
      </c>
      <c r="G2304" s="38">
        <v>2486</v>
      </c>
      <c r="H2304" s="38">
        <f t="shared" si="110"/>
        <v>2591</v>
      </c>
      <c r="I2304" s="38">
        <v>1690</v>
      </c>
      <c r="J2304" s="38">
        <v>901</v>
      </c>
      <c r="K2304" s="38">
        <v>789</v>
      </c>
      <c r="L2304" s="50">
        <f t="shared" si="111"/>
        <v>30.451563103049018</v>
      </c>
      <c r="M2304" s="38">
        <v>120</v>
      </c>
      <c r="N2304" s="50">
        <f t="shared" si="112"/>
        <v>4.6314164415283674</v>
      </c>
      <c r="O2304" s="38">
        <v>0</v>
      </c>
      <c r="P2304" s="38">
        <v>58</v>
      </c>
      <c r="Q2304" s="61" t="s">
        <v>43</v>
      </c>
      <c r="R2304" s="19">
        <v>44550</v>
      </c>
      <c r="S2304" s="61"/>
      <c r="T2304" s="243">
        <v>31.11</v>
      </c>
      <c r="U2304" s="61"/>
      <c r="V2304" s="61"/>
      <c r="W2304" s="61"/>
      <c r="X2304" s="61"/>
      <c r="Y2304" s="61"/>
      <c r="Z2304" s="109"/>
      <c r="AB2304" s="20">
        <v>16</v>
      </c>
      <c r="AC2304" s="61" t="s">
        <v>4997</v>
      </c>
      <c r="AD2304" s="61">
        <v>72.542446999999996</v>
      </c>
      <c r="AE2304" s="61">
        <v>25.775690000000001</v>
      </c>
    </row>
    <row r="2305" spans="1:31" x14ac:dyDescent="0.25">
      <c r="A2305" s="38" t="s">
        <v>36</v>
      </c>
      <c r="B2305" s="38" t="s">
        <v>4983</v>
      </c>
      <c r="C2305" s="38" t="s">
        <v>4994</v>
      </c>
      <c r="D2305" s="38" t="s">
        <v>4998</v>
      </c>
      <c r="E2305" s="38" t="s">
        <v>4999</v>
      </c>
      <c r="F2305" s="38">
        <v>579</v>
      </c>
      <c r="G2305" s="38">
        <v>579</v>
      </c>
      <c r="H2305" s="38">
        <f t="shared" si="110"/>
        <v>378</v>
      </c>
      <c r="I2305" s="38">
        <v>254</v>
      </c>
      <c r="J2305" s="38">
        <v>124</v>
      </c>
      <c r="K2305" s="38">
        <v>130</v>
      </c>
      <c r="L2305" s="50">
        <f t="shared" si="111"/>
        <v>34.391534391534393</v>
      </c>
      <c r="M2305" s="38">
        <v>39</v>
      </c>
      <c r="N2305" s="50">
        <f t="shared" si="112"/>
        <v>10.317460317460316</v>
      </c>
      <c r="O2305" s="38">
        <v>0</v>
      </c>
      <c r="P2305" s="38">
        <v>78</v>
      </c>
      <c r="Q2305" s="61" t="s">
        <v>43</v>
      </c>
      <c r="R2305" s="19">
        <v>44550</v>
      </c>
      <c r="S2305" s="61"/>
      <c r="T2305" s="243">
        <v>19.170000000000002</v>
      </c>
      <c r="U2305" s="61"/>
      <c r="V2305" s="61"/>
      <c r="W2305" s="61"/>
      <c r="X2305" s="61"/>
      <c r="Y2305" s="61"/>
      <c r="Z2305" s="20"/>
      <c r="AB2305" s="20"/>
      <c r="AC2305" s="61" t="s">
        <v>5000</v>
      </c>
      <c r="AD2305" s="61">
        <v>72.571151999999998</v>
      </c>
      <c r="AE2305" s="61">
        <v>25.772138000000002</v>
      </c>
    </row>
    <row r="2306" spans="1:31" x14ac:dyDescent="0.25">
      <c r="A2306" s="38" t="s">
        <v>36</v>
      </c>
      <c r="B2306" s="38" t="s">
        <v>4983</v>
      </c>
      <c r="C2306" s="38" t="s">
        <v>4994</v>
      </c>
      <c r="D2306" s="38" t="s">
        <v>5001</v>
      </c>
      <c r="E2306" s="38" t="s">
        <v>5002</v>
      </c>
      <c r="F2306" s="38">
        <v>1228</v>
      </c>
      <c r="G2306" s="38">
        <v>1228</v>
      </c>
      <c r="H2306" s="38">
        <f t="shared" si="110"/>
        <v>2195</v>
      </c>
      <c r="I2306" s="38">
        <v>1438</v>
      </c>
      <c r="J2306" s="38">
        <v>757</v>
      </c>
      <c r="K2306" s="38">
        <v>681</v>
      </c>
      <c r="L2306" s="50">
        <f t="shared" si="111"/>
        <v>31.025056947608199</v>
      </c>
      <c r="M2306" s="38">
        <v>155</v>
      </c>
      <c r="N2306" s="50">
        <f t="shared" si="112"/>
        <v>7.0615034168564916</v>
      </c>
      <c r="O2306" s="38">
        <v>81</v>
      </c>
      <c r="P2306" s="38">
        <v>69</v>
      </c>
      <c r="Q2306" s="61" t="s">
        <v>43</v>
      </c>
      <c r="R2306" s="19">
        <v>44550</v>
      </c>
      <c r="S2306" s="61"/>
      <c r="T2306" s="243">
        <v>63.41</v>
      </c>
      <c r="U2306" s="61"/>
      <c r="V2306" s="61"/>
      <c r="W2306" s="61"/>
      <c r="X2306" s="61"/>
      <c r="Y2306" s="61"/>
      <c r="Z2306" s="20"/>
      <c r="AB2306" s="20"/>
      <c r="AC2306" s="61" t="s">
        <v>5003</v>
      </c>
      <c r="AD2306" s="61">
        <v>72.554293000000001</v>
      </c>
      <c r="AE2306" s="61">
        <v>25.804015</v>
      </c>
    </row>
    <row r="2307" spans="1:31" x14ac:dyDescent="0.25">
      <c r="A2307" s="38" t="s">
        <v>36</v>
      </c>
      <c r="B2307" s="38" t="s">
        <v>4983</v>
      </c>
      <c r="C2307" s="38" t="s">
        <v>5004</v>
      </c>
      <c r="D2307" s="38" t="s">
        <v>5005</v>
      </c>
      <c r="E2307" s="38" t="s">
        <v>5006</v>
      </c>
      <c r="F2307" s="38">
        <v>1454.6</v>
      </c>
      <c r="G2307" s="38">
        <v>1454.6</v>
      </c>
      <c r="H2307" s="38">
        <f t="shared" si="110"/>
        <v>2620</v>
      </c>
      <c r="I2307" s="38">
        <v>1747</v>
      </c>
      <c r="J2307" s="38">
        <v>873</v>
      </c>
      <c r="K2307" s="38">
        <v>874</v>
      </c>
      <c r="L2307" s="50">
        <f t="shared" si="111"/>
        <v>33.358778625954201</v>
      </c>
      <c r="M2307" s="38">
        <v>197</v>
      </c>
      <c r="N2307" s="50">
        <f t="shared" si="112"/>
        <v>7.5190839694656493</v>
      </c>
      <c r="O2307" s="38">
        <v>0</v>
      </c>
      <c r="P2307" s="38">
        <v>30.42</v>
      </c>
      <c r="Q2307" s="2" t="s">
        <v>160</v>
      </c>
      <c r="R2307" s="7">
        <v>44550</v>
      </c>
      <c r="S2307" s="40"/>
      <c r="T2307" s="4"/>
      <c r="U2307" s="2"/>
      <c r="V2307" s="2"/>
      <c r="W2307" s="2"/>
      <c r="X2307" s="2"/>
      <c r="Y2307" s="2"/>
      <c r="Z2307" s="78"/>
      <c r="AB2307" s="3">
        <v>6</v>
      </c>
      <c r="AC2307" s="11" t="s">
        <v>5007</v>
      </c>
      <c r="AD2307" s="2">
        <v>25.864704</v>
      </c>
      <c r="AE2307" s="40">
        <v>72.639765999999995</v>
      </c>
    </row>
    <row r="2308" spans="1:31" x14ac:dyDescent="0.25">
      <c r="A2308" s="38" t="s">
        <v>36</v>
      </c>
      <c r="B2308" s="38" t="s">
        <v>4983</v>
      </c>
      <c r="C2308" s="38" t="s">
        <v>5004</v>
      </c>
      <c r="D2308" s="38" t="s">
        <v>5005</v>
      </c>
      <c r="E2308" s="38" t="s">
        <v>5006</v>
      </c>
      <c r="F2308" s="38">
        <v>1454.6</v>
      </c>
      <c r="G2308" s="38">
        <v>1454.6</v>
      </c>
      <c r="H2308" s="38">
        <f t="shared" si="110"/>
        <v>2620</v>
      </c>
      <c r="I2308" s="38">
        <v>1747</v>
      </c>
      <c r="J2308" s="38">
        <v>873</v>
      </c>
      <c r="K2308" s="38">
        <v>874</v>
      </c>
      <c r="L2308" s="50">
        <f t="shared" si="111"/>
        <v>33.358778625954201</v>
      </c>
      <c r="M2308" s="38">
        <v>197</v>
      </c>
      <c r="N2308" s="50">
        <f t="shared" si="112"/>
        <v>7.5190839694656493</v>
      </c>
      <c r="O2308" s="38">
        <v>0</v>
      </c>
      <c r="P2308" s="38">
        <v>30.42</v>
      </c>
      <c r="Q2308" s="61" t="s">
        <v>43</v>
      </c>
      <c r="R2308" s="188">
        <v>44550</v>
      </c>
      <c r="S2308" s="61"/>
      <c r="T2308" s="20">
        <v>33</v>
      </c>
      <c r="U2308" s="61"/>
      <c r="V2308" s="61"/>
      <c r="W2308" s="61"/>
      <c r="X2308" s="61"/>
      <c r="Y2308" s="61"/>
      <c r="Z2308" s="109"/>
      <c r="AB2308" s="20">
        <v>29</v>
      </c>
      <c r="AC2308" s="34" t="s">
        <v>5008</v>
      </c>
      <c r="AD2308" s="61">
        <v>72.638209000000003</v>
      </c>
      <c r="AE2308" s="61">
        <v>25.830784999999999</v>
      </c>
    </row>
    <row r="2309" spans="1:31" x14ac:dyDescent="0.25">
      <c r="A2309" s="38" t="s">
        <v>36</v>
      </c>
      <c r="B2309" s="38" t="s">
        <v>4983</v>
      </c>
      <c r="C2309" s="38" t="s">
        <v>5004</v>
      </c>
      <c r="D2309" s="38" t="s">
        <v>5009</v>
      </c>
      <c r="E2309" s="38" t="s">
        <v>5010</v>
      </c>
      <c r="F2309" s="38">
        <v>1031.71</v>
      </c>
      <c r="G2309" s="38">
        <v>1031.71</v>
      </c>
      <c r="H2309" s="38">
        <f t="shared" ref="H2309:H2372" si="113">I2309+J2309</f>
        <v>1868</v>
      </c>
      <c r="I2309" s="38">
        <v>1232</v>
      </c>
      <c r="J2309" s="38">
        <v>636</v>
      </c>
      <c r="K2309" s="38">
        <v>596</v>
      </c>
      <c r="L2309" s="50">
        <f t="shared" si="111"/>
        <v>31.905781584582442</v>
      </c>
      <c r="M2309" s="38">
        <v>41</v>
      </c>
      <c r="N2309" s="50">
        <f t="shared" si="112"/>
        <v>2.1948608137044969</v>
      </c>
      <c r="O2309" s="38">
        <v>0</v>
      </c>
      <c r="P2309" s="38">
        <v>33.369999999999997</v>
      </c>
      <c r="Q2309" s="98" t="s">
        <v>160</v>
      </c>
      <c r="R2309" s="7">
        <v>44550</v>
      </c>
      <c r="S2309" s="99"/>
      <c r="T2309" s="11">
        <v>36</v>
      </c>
      <c r="U2309" s="98"/>
      <c r="V2309" s="98"/>
      <c r="W2309" s="98"/>
      <c r="X2309" s="98"/>
      <c r="Y2309" s="98"/>
      <c r="Z2309" s="20"/>
      <c r="AB2309" s="20"/>
      <c r="AC2309" s="11" t="s">
        <v>5007</v>
      </c>
      <c r="AD2309" s="61"/>
      <c r="AE2309" s="99"/>
    </row>
    <row r="2310" spans="1:31" x14ac:dyDescent="0.25">
      <c r="A2310" s="38" t="s">
        <v>36</v>
      </c>
      <c r="B2310" s="38" t="s">
        <v>4983</v>
      </c>
      <c r="C2310" s="38" t="s">
        <v>5004</v>
      </c>
      <c r="D2310" s="38" t="s">
        <v>5011</v>
      </c>
      <c r="E2310" s="38" t="s">
        <v>5012</v>
      </c>
      <c r="F2310" s="38">
        <v>1533.16</v>
      </c>
      <c r="G2310" s="38">
        <v>1533.16</v>
      </c>
      <c r="H2310" s="38">
        <f t="shared" si="113"/>
        <v>1121</v>
      </c>
      <c r="I2310" s="38">
        <v>769</v>
      </c>
      <c r="J2310" s="38">
        <v>352</v>
      </c>
      <c r="K2310" s="38">
        <v>417</v>
      </c>
      <c r="L2310" s="50">
        <f t="shared" ref="L2310:L2373" si="114">K2310/H2310*100</f>
        <v>37.198929527207852</v>
      </c>
      <c r="M2310" s="38">
        <v>59</v>
      </c>
      <c r="N2310" s="50">
        <f t="shared" si="112"/>
        <v>5.2631578947368416</v>
      </c>
      <c r="O2310" s="38">
        <v>0</v>
      </c>
      <c r="P2310" s="38">
        <v>167.96</v>
      </c>
      <c r="Q2310" s="2" t="s">
        <v>160</v>
      </c>
      <c r="R2310" s="7">
        <v>44550</v>
      </c>
      <c r="S2310" s="40"/>
      <c r="T2310" s="4"/>
      <c r="U2310" s="2"/>
      <c r="V2310" s="2"/>
      <c r="W2310" s="2"/>
      <c r="X2310" s="2"/>
      <c r="Y2310" s="2"/>
      <c r="Z2310" s="78"/>
      <c r="AB2310" s="3">
        <v>18</v>
      </c>
      <c r="AC2310" s="11" t="s">
        <v>5013</v>
      </c>
      <c r="AD2310" s="2">
        <v>25.891635000000001</v>
      </c>
      <c r="AE2310" s="40">
        <v>72.638644999999997</v>
      </c>
    </row>
    <row r="2311" spans="1:31" x14ac:dyDescent="0.25">
      <c r="A2311" s="38" t="s">
        <v>36</v>
      </c>
      <c r="B2311" s="38" t="s">
        <v>4983</v>
      </c>
      <c r="C2311" s="38" t="s">
        <v>5004</v>
      </c>
      <c r="D2311" s="38" t="s">
        <v>5011</v>
      </c>
      <c r="E2311" s="38" t="s">
        <v>5012</v>
      </c>
      <c r="F2311" s="38">
        <v>1533.16</v>
      </c>
      <c r="G2311" s="38">
        <v>1533.16</v>
      </c>
      <c r="H2311" s="38">
        <f t="shared" si="113"/>
        <v>1121</v>
      </c>
      <c r="I2311" s="38">
        <v>769</v>
      </c>
      <c r="J2311" s="38">
        <v>352</v>
      </c>
      <c r="K2311" s="38">
        <v>417</v>
      </c>
      <c r="L2311" s="50">
        <f t="shared" si="114"/>
        <v>37.198929527207852</v>
      </c>
      <c r="M2311" s="38">
        <v>59</v>
      </c>
      <c r="N2311" s="50">
        <f t="shared" si="112"/>
        <v>5.2631578947368416</v>
      </c>
      <c r="O2311" s="38">
        <v>0</v>
      </c>
      <c r="P2311" s="38">
        <v>167.96</v>
      </c>
      <c r="Q2311" s="98" t="s">
        <v>160</v>
      </c>
      <c r="R2311" s="7">
        <v>44550</v>
      </c>
      <c r="S2311" s="99"/>
      <c r="T2311" s="4">
        <v>168</v>
      </c>
      <c r="U2311" s="98"/>
      <c r="V2311" s="98"/>
      <c r="W2311" s="98"/>
      <c r="X2311" s="98"/>
      <c r="Y2311" s="98"/>
      <c r="Z2311" s="20"/>
      <c r="AB2311" s="20"/>
      <c r="AC2311" s="11" t="s">
        <v>5013</v>
      </c>
      <c r="AD2311" s="61"/>
      <c r="AE2311" s="99"/>
    </row>
    <row r="2312" spans="1:31" x14ac:dyDescent="0.25">
      <c r="A2312" s="38" t="s">
        <v>36</v>
      </c>
      <c r="B2312" s="38" t="s">
        <v>4983</v>
      </c>
      <c r="C2312" s="38" t="s">
        <v>5014</v>
      </c>
      <c r="D2312" s="38" t="s">
        <v>5015</v>
      </c>
      <c r="E2312" s="38" t="s">
        <v>5016</v>
      </c>
      <c r="F2312" s="38">
        <v>2173.69</v>
      </c>
      <c r="G2312" s="38">
        <v>2173.69</v>
      </c>
      <c r="H2312" s="38">
        <f t="shared" si="113"/>
        <v>3587</v>
      </c>
      <c r="I2312" s="38">
        <v>2351</v>
      </c>
      <c r="J2312" s="38">
        <v>1236</v>
      </c>
      <c r="K2312" s="38">
        <v>1115</v>
      </c>
      <c r="L2312" s="50">
        <f t="shared" si="114"/>
        <v>31.084471703373289</v>
      </c>
      <c r="M2312" s="38">
        <v>265</v>
      </c>
      <c r="N2312" s="50">
        <f t="shared" si="112"/>
        <v>7.387789238918316</v>
      </c>
      <c r="O2312" s="38">
        <v>0</v>
      </c>
      <c r="P2312" s="38">
        <v>0</v>
      </c>
    </row>
    <row r="2313" spans="1:31" x14ac:dyDescent="0.25">
      <c r="A2313" s="38" t="s">
        <v>36</v>
      </c>
      <c r="B2313" s="38" t="s">
        <v>4983</v>
      </c>
      <c r="C2313" s="38" t="s">
        <v>5014</v>
      </c>
      <c r="D2313" s="38" t="s">
        <v>5017</v>
      </c>
      <c r="E2313" s="38" t="s">
        <v>5018</v>
      </c>
      <c r="F2313" s="38">
        <v>718.34</v>
      </c>
      <c r="G2313" s="38">
        <v>718.34</v>
      </c>
      <c r="H2313" s="38">
        <f t="shared" si="113"/>
        <v>657</v>
      </c>
      <c r="I2313" s="38">
        <v>429</v>
      </c>
      <c r="J2313" s="38">
        <v>228</v>
      </c>
      <c r="K2313" s="38">
        <v>201</v>
      </c>
      <c r="L2313" s="50">
        <f t="shared" si="114"/>
        <v>30.593607305936072</v>
      </c>
      <c r="M2313" s="38">
        <v>20</v>
      </c>
      <c r="N2313" s="50">
        <f t="shared" si="112"/>
        <v>3.0441400304414001</v>
      </c>
      <c r="O2313" s="38">
        <v>0</v>
      </c>
      <c r="P2313" s="38">
        <v>12.18</v>
      </c>
    </row>
    <row r="2314" spans="1:31" x14ac:dyDescent="0.25">
      <c r="A2314" s="38" t="s">
        <v>36</v>
      </c>
      <c r="B2314" s="38" t="s">
        <v>4983</v>
      </c>
      <c r="C2314" s="38" t="s">
        <v>5019</v>
      </c>
      <c r="D2314" s="38" t="s">
        <v>5020</v>
      </c>
      <c r="E2314" s="38" t="s">
        <v>5021</v>
      </c>
      <c r="F2314" s="38">
        <v>2716</v>
      </c>
      <c r="G2314" s="38">
        <v>2716</v>
      </c>
      <c r="H2314" s="38">
        <f t="shared" si="113"/>
        <v>3215</v>
      </c>
      <c r="I2314" s="38">
        <v>2097</v>
      </c>
      <c r="J2314" s="38">
        <v>1118</v>
      </c>
      <c r="K2314" s="38">
        <v>979</v>
      </c>
      <c r="L2314" s="50">
        <f t="shared" si="114"/>
        <v>30.451010886469675</v>
      </c>
      <c r="M2314" s="38">
        <v>345</v>
      </c>
      <c r="N2314" s="50">
        <f t="shared" si="112"/>
        <v>10.730948678071538</v>
      </c>
      <c r="O2314" s="38">
        <v>97</v>
      </c>
      <c r="P2314" s="38">
        <v>77</v>
      </c>
      <c r="Q2314" s="98" t="s">
        <v>160</v>
      </c>
      <c r="R2314" s="7">
        <v>44574</v>
      </c>
      <c r="S2314" s="99"/>
      <c r="T2314" s="4">
        <v>56.8</v>
      </c>
      <c r="U2314" s="98"/>
      <c r="V2314" s="98"/>
      <c r="W2314" s="98"/>
      <c r="X2314" s="98"/>
      <c r="Y2314" s="98"/>
      <c r="Z2314" s="20"/>
      <c r="AB2314" s="20"/>
      <c r="AC2314" s="11" t="s">
        <v>5022</v>
      </c>
      <c r="AD2314" s="61"/>
      <c r="AE2314" s="99"/>
    </row>
    <row r="2315" spans="1:31" x14ac:dyDescent="0.25">
      <c r="A2315" s="38" t="s">
        <v>36</v>
      </c>
      <c r="B2315" s="38" t="s">
        <v>4983</v>
      </c>
      <c r="C2315" s="38" t="s">
        <v>5019</v>
      </c>
      <c r="D2315" s="38" t="s">
        <v>5023</v>
      </c>
      <c r="E2315" s="38" t="s">
        <v>5024</v>
      </c>
      <c r="F2315" s="38">
        <v>1640</v>
      </c>
      <c r="G2315" s="38">
        <v>1640</v>
      </c>
      <c r="H2315" s="38">
        <f t="shared" si="113"/>
        <v>2192</v>
      </c>
      <c r="I2315" s="38">
        <v>1431</v>
      </c>
      <c r="J2315" s="38">
        <v>761</v>
      </c>
      <c r="K2315" s="38">
        <v>670</v>
      </c>
      <c r="L2315" s="50">
        <f t="shared" si="114"/>
        <v>30.565693430656932</v>
      </c>
      <c r="M2315" s="38">
        <v>85</v>
      </c>
      <c r="N2315" s="50">
        <f t="shared" si="112"/>
        <v>3.8777372262773726</v>
      </c>
      <c r="O2315" s="38">
        <v>0</v>
      </c>
      <c r="P2315" s="38">
        <v>100</v>
      </c>
      <c r="Q2315" s="98" t="s">
        <v>160</v>
      </c>
      <c r="R2315" s="7">
        <v>44574</v>
      </c>
      <c r="S2315" s="99"/>
      <c r="T2315" s="4">
        <v>69.92</v>
      </c>
      <c r="U2315" s="98"/>
      <c r="V2315" s="98"/>
      <c r="W2315" s="98"/>
      <c r="X2315" s="98"/>
      <c r="Y2315" s="98"/>
      <c r="Z2315" s="20"/>
      <c r="AB2315" s="20"/>
      <c r="AC2315" s="11" t="s">
        <v>5025</v>
      </c>
      <c r="AD2315" s="61"/>
      <c r="AE2315" s="99"/>
    </row>
    <row r="2316" spans="1:31" x14ac:dyDescent="0.25">
      <c r="A2316" s="38" t="s">
        <v>36</v>
      </c>
      <c r="B2316" s="38" t="s">
        <v>4983</v>
      </c>
      <c r="C2316" s="38" t="s">
        <v>5026</v>
      </c>
      <c r="D2316" s="38" t="s">
        <v>5027</v>
      </c>
      <c r="E2316" s="38" t="s">
        <v>5028</v>
      </c>
      <c r="F2316" s="38">
        <v>1132.24</v>
      </c>
      <c r="G2316" s="38">
        <v>1132.24</v>
      </c>
      <c r="H2316" s="38">
        <f t="shared" si="113"/>
        <v>3806</v>
      </c>
      <c r="I2316" s="38">
        <v>2505</v>
      </c>
      <c r="J2316" s="38">
        <v>1301</v>
      </c>
      <c r="K2316" s="38">
        <v>1204</v>
      </c>
      <c r="L2316" s="50">
        <f t="shared" si="114"/>
        <v>31.634261692065159</v>
      </c>
      <c r="M2316" s="38">
        <v>274</v>
      </c>
      <c r="N2316" s="50">
        <f t="shared" si="112"/>
        <v>7.1991592222806098</v>
      </c>
      <c r="O2316" s="38">
        <v>0</v>
      </c>
      <c r="P2316" s="38">
        <v>23.22</v>
      </c>
      <c r="Q2316" s="61" t="s">
        <v>43</v>
      </c>
      <c r="R2316" s="19">
        <v>44448</v>
      </c>
      <c r="S2316" s="61"/>
      <c r="T2316" s="243">
        <v>8</v>
      </c>
      <c r="U2316" s="61"/>
      <c r="V2316" s="61"/>
      <c r="W2316" s="61"/>
      <c r="X2316" s="61"/>
      <c r="Y2316" s="61"/>
      <c r="Z2316" s="20"/>
      <c r="AB2316" s="20"/>
      <c r="AC2316" s="61" t="s">
        <v>5029</v>
      </c>
      <c r="AD2316" s="61">
        <v>72.481046000000006</v>
      </c>
      <c r="AE2316" s="61">
        <v>25.815459000000001</v>
      </c>
    </row>
    <row r="2317" spans="1:31" x14ac:dyDescent="0.25">
      <c r="A2317" s="38" t="s">
        <v>36</v>
      </c>
      <c r="B2317" s="38" t="s">
        <v>4983</v>
      </c>
      <c r="C2317" s="38" t="s">
        <v>5026</v>
      </c>
      <c r="D2317" s="38" t="s">
        <v>5027</v>
      </c>
      <c r="E2317" s="38" t="s">
        <v>5028</v>
      </c>
      <c r="F2317" s="38">
        <v>1132.24</v>
      </c>
      <c r="G2317" s="38">
        <v>1132.24</v>
      </c>
      <c r="H2317" s="38">
        <f t="shared" si="113"/>
        <v>3806</v>
      </c>
      <c r="I2317" s="38">
        <v>2505</v>
      </c>
      <c r="J2317" s="38">
        <v>1301</v>
      </c>
      <c r="K2317" s="38">
        <v>1204</v>
      </c>
      <c r="L2317" s="50">
        <f t="shared" si="114"/>
        <v>31.634261692065159</v>
      </c>
      <c r="M2317" s="38">
        <v>274</v>
      </c>
      <c r="N2317" s="50">
        <f t="shared" si="112"/>
        <v>7.1991592222806098</v>
      </c>
      <c r="O2317" s="38">
        <v>0</v>
      </c>
      <c r="P2317" s="38">
        <v>23.22</v>
      </c>
      <c r="Q2317" s="61" t="s">
        <v>43</v>
      </c>
      <c r="R2317" s="10"/>
      <c r="S2317" s="61"/>
      <c r="T2317" s="20">
        <v>15</v>
      </c>
      <c r="U2317" s="61"/>
      <c r="V2317" s="61"/>
      <c r="W2317" s="61"/>
      <c r="X2317" s="61"/>
      <c r="Y2317" s="61"/>
      <c r="Z2317" s="109"/>
      <c r="AB2317" s="20">
        <v>14</v>
      </c>
      <c r="AC2317" s="61" t="s">
        <v>5030</v>
      </c>
      <c r="AD2317" s="61">
        <v>72.480484000000004</v>
      </c>
      <c r="AE2317" s="61">
        <v>25.807447</v>
      </c>
    </row>
    <row r="2318" spans="1:31" x14ac:dyDescent="0.25">
      <c r="A2318" s="38" t="s">
        <v>36</v>
      </c>
      <c r="B2318" s="38" t="s">
        <v>4983</v>
      </c>
      <c r="C2318" s="38" t="s">
        <v>5026</v>
      </c>
      <c r="D2318" s="38" t="s">
        <v>5031</v>
      </c>
      <c r="E2318" s="38" t="s">
        <v>5032</v>
      </c>
      <c r="F2318" s="38">
        <v>342.15</v>
      </c>
      <c r="G2318" s="38">
        <v>342.15</v>
      </c>
      <c r="H2318" s="38">
        <f t="shared" si="113"/>
        <v>1498</v>
      </c>
      <c r="I2318" s="38">
        <v>980</v>
      </c>
      <c r="J2318" s="38">
        <v>518</v>
      </c>
      <c r="K2318" s="38">
        <v>462</v>
      </c>
      <c r="L2318" s="50">
        <f t="shared" si="114"/>
        <v>30.841121495327101</v>
      </c>
      <c r="M2318" s="38">
        <v>40</v>
      </c>
      <c r="N2318" s="50">
        <f t="shared" si="112"/>
        <v>2.6702269692923899</v>
      </c>
      <c r="O2318" s="38">
        <v>0</v>
      </c>
      <c r="P2318" s="38">
        <v>17.899999999999999</v>
      </c>
      <c r="Q2318" s="61" t="s">
        <v>43</v>
      </c>
      <c r="R2318" s="19">
        <v>44448</v>
      </c>
      <c r="S2318" s="61"/>
      <c r="T2318" s="243">
        <v>18</v>
      </c>
      <c r="U2318" s="61"/>
      <c r="V2318" s="61"/>
      <c r="W2318" s="61"/>
      <c r="X2318" s="61"/>
      <c r="Y2318" s="61"/>
      <c r="Z2318" s="20"/>
      <c r="AB2318" s="20"/>
      <c r="AC2318" s="61" t="s">
        <v>5033</v>
      </c>
      <c r="AD2318" s="61">
        <v>72.466551999999993</v>
      </c>
      <c r="AE2318" s="61">
        <v>25.812197999999999</v>
      </c>
    </row>
    <row r="2319" spans="1:31" x14ac:dyDescent="0.25">
      <c r="A2319" s="38" t="s">
        <v>36</v>
      </c>
      <c r="B2319" s="38" t="s">
        <v>4983</v>
      </c>
      <c r="C2319" s="38" t="s">
        <v>5026</v>
      </c>
      <c r="D2319" s="38" t="s">
        <v>5031</v>
      </c>
      <c r="E2319" s="38" t="s">
        <v>5032</v>
      </c>
      <c r="F2319" s="38">
        <v>342.15</v>
      </c>
      <c r="G2319" s="38">
        <v>342.15</v>
      </c>
      <c r="H2319" s="38">
        <f t="shared" si="113"/>
        <v>1498</v>
      </c>
      <c r="I2319" s="38">
        <v>980</v>
      </c>
      <c r="J2319" s="38">
        <v>518</v>
      </c>
      <c r="K2319" s="38">
        <v>462</v>
      </c>
      <c r="L2319" s="50">
        <f t="shared" si="114"/>
        <v>30.841121495327101</v>
      </c>
      <c r="M2319" s="38">
        <v>40</v>
      </c>
      <c r="N2319" s="50">
        <f t="shared" si="112"/>
        <v>2.6702269692923899</v>
      </c>
      <c r="O2319" s="38">
        <v>0</v>
      </c>
      <c r="P2319" s="38">
        <v>17.899999999999999</v>
      </c>
      <c r="Q2319" s="34" t="s">
        <v>43</v>
      </c>
      <c r="R2319" s="7">
        <v>44448</v>
      </c>
      <c r="S2319" s="34"/>
      <c r="T2319" s="11">
        <v>18</v>
      </c>
      <c r="U2319" s="34"/>
      <c r="V2319" s="34"/>
      <c r="W2319" s="34"/>
      <c r="X2319" s="34"/>
      <c r="Y2319" s="34"/>
      <c r="Z2319" s="89"/>
      <c r="AB2319" s="89"/>
      <c r="AC2319" s="34" t="s">
        <v>5033</v>
      </c>
      <c r="AD2319" s="34">
        <v>72.448445000000007</v>
      </c>
      <c r="AE2319" s="34">
        <v>25.850822000000001</v>
      </c>
    </row>
    <row r="2320" spans="1:31" x14ac:dyDescent="0.25">
      <c r="A2320" s="38" t="s">
        <v>36</v>
      </c>
      <c r="B2320" s="38" t="s">
        <v>4983</v>
      </c>
      <c r="C2320" s="38" t="s">
        <v>5026</v>
      </c>
      <c r="D2320" s="38" t="s">
        <v>5034</v>
      </c>
      <c r="E2320" s="38" t="s">
        <v>5035</v>
      </c>
      <c r="F2320" s="38">
        <v>1296.02</v>
      </c>
      <c r="G2320" s="38">
        <v>1296.02</v>
      </c>
      <c r="H2320" s="38">
        <f t="shared" si="113"/>
        <v>1309</v>
      </c>
      <c r="I2320" s="38">
        <v>860</v>
      </c>
      <c r="J2320" s="38">
        <v>449</v>
      </c>
      <c r="K2320" s="38">
        <v>411</v>
      </c>
      <c r="L2320" s="50">
        <f t="shared" si="114"/>
        <v>31.398013750954927</v>
      </c>
      <c r="M2320" s="38">
        <v>84</v>
      </c>
      <c r="N2320" s="50">
        <f>M2320/H2320*100</f>
        <v>6.4171122994652414</v>
      </c>
      <c r="O2320" s="38">
        <v>0</v>
      </c>
      <c r="P2320" s="38">
        <v>110.86</v>
      </c>
      <c r="Q2320" s="34" t="s">
        <v>43</v>
      </c>
      <c r="R2320" s="7">
        <v>44448</v>
      </c>
      <c r="S2320" s="34"/>
      <c r="T2320" s="11">
        <v>111</v>
      </c>
      <c r="U2320" s="34"/>
      <c r="V2320" s="34"/>
      <c r="W2320" s="34"/>
      <c r="X2320" s="34"/>
      <c r="Y2320" s="34"/>
      <c r="Z2320" s="89"/>
      <c r="AB2320" s="89"/>
      <c r="AC2320" s="34" t="s">
        <v>5036</v>
      </c>
      <c r="AD2320" s="34">
        <v>72.491900999999999</v>
      </c>
      <c r="AE2320" s="34">
        <v>25.832685999999999</v>
      </c>
    </row>
    <row r="2321" spans="1:31" x14ac:dyDescent="0.25">
      <c r="A2321" s="38" t="s">
        <v>36</v>
      </c>
      <c r="B2321" s="38" t="s">
        <v>4983</v>
      </c>
      <c r="C2321" s="38" t="s">
        <v>5026</v>
      </c>
      <c r="D2321" s="38" t="s">
        <v>5034</v>
      </c>
      <c r="E2321" s="38" t="s">
        <v>5035</v>
      </c>
      <c r="F2321" s="38">
        <v>1296.02</v>
      </c>
      <c r="G2321" s="38">
        <v>1296.02</v>
      </c>
      <c r="H2321" s="38">
        <f t="shared" si="113"/>
        <v>1309</v>
      </c>
      <c r="I2321" s="38">
        <v>860</v>
      </c>
      <c r="J2321" s="38">
        <v>449</v>
      </c>
      <c r="K2321" s="38">
        <v>411</v>
      </c>
      <c r="L2321" s="50">
        <f t="shared" si="114"/>
        <v>31.398013750954927</v>
      </c>
      <c r="M2321" s="38">
        <v>84</v>
      </c>
      <c r="N2321" s="50">
        <f t="shared" ref="N2321:N2384" si="115">M2321/H2321*100</f>
        <v>6.4171122994652414</v>
      </c>
      <c r="O2321" s="38">
        <v>0</v>
      </c>
      <c r="P2321" s="38">
        <v>110.86</v>
      </c>
      <c r="Q2321" s="61" t="s">
        <v>43</v>
      </c>
      <c r="R2321" s="21">
        <v>44448</v>
      </c>
      <c r="S2321" s="61"/>
      <c r="T2321" s="243">
        <v>111</v>
      </c>
      <c r="U2321" s="61"/>
      <c r="V2321" s="61"/>
      <c r="W2321" s="61"/>
      <c r="X2321" s="61"/>
      <c r="Y2321" s="61"/>
      <c r="Z2321" s="20"/>
      <c r="AB2321" s="20"/>
      <c r="AC2321" s="61" t="s">
        <v>5036</v>
      </c>
      <c r="AD2321" s="61">
        <v>72.491900999999999</v>
      </c>
      <c r="AE2321" s="61">
        <v>25.832685999999999</v>
      </c>
    </row>
    <row r="2322" spans="1:31" x14ac:dyDescent="0.25">
      <c r="A2322" s="38" t="s">
        <v>36</v>
      </c>
      <c r="B2322" s="38" t="s">
        <v>4983</v>
      </c>
      <c r="C2322" s="38" t="s">
        <v>5037</v>
      </c>
      <c r="D2322" s="38" t="s">
        <v>5037</v>
      </c>
      <c r="E2322" s="38" t="s">
        <v>5038</v>
      </c>
      <c r="F2322" s="38">
        <v>1683</v>
      </c>
      <c r="G2322" s="38">
        <v>1683</v>
      </c>
      <c r="H2322" s="38">
        <f t="shared" si="113"/>
        <v>3542</v>
      </c>
      <c r="I2322" s="38">
        <v>2312</v>
      </c>
      <c r="J2322" s="38">
        <v>1230</v>
      </c>
      <c r="K2322" s="38">
        <v>1082</v>
      </c>
      <c r="L2322" s="50">
        <f t="shared" si="114"/>
        <v>30.547713156408808</v>
      </c>
      <c r="M2322" s="38">
        <v>303</v>
      </c>
      <c r="N2322" s="50">
        <f t="shared" si="115"/>
        <v>8.554488989271599</v>
      </c>
      <c r="O2322" s="38">
        <v>0</v>
      </c>
      <c r="P2322" s="38">
        <v>121</v>
      </c>
    </row>
    <row r="2323" spans="1:31" x14ac:dyDescent="0.25">
      <c r="A2323" s="38" t="s">
        <v>36</v>
      </c>
      <c r="B2323" s="38" t="s">
        <v>4983</v>
      </c>
      <c r="C2323" s="38" t="s">
        <v>5039</v>
      </c>
      <c r="D2323" s="38" t="s">
        <v>5040</v>
      </c>
      <c r="E2323" s="38" t="s">
        <v>5041</v>
      </c>
      <c r="F2323" s="38">
        <v>671.98</v>
      </c>
      <c r="G2323" s="38">
        <v>671.98</v>
      </c>
      <c r="H2323" s="38">
        <f t="shared" si="113"/>
        <v>559</v>
      </c>
      <c r="I2323" s="38">
        <v>369</v>
      </c>
      <c r="J2323" s="38">
        <v>190</v>
      </c>
      <c r="K2323" s="38">
        <v>179</v>
      </c>
      <c r="L2323" s="50">
        <f t="shared" si="114"/>
        <v>32.021466905187836</v>
      </c>
      <c r="M2323" s="38">
        <v>0</v>
      </c>
      <c r="N2323" s="50">
        <f t="shared" si="115"/>
        <v>0</v>
      </c>
      <c r="O2323" s="38">
        <v>0</v>
      </c>
      <c r="P2323" s="38">
        <v>0</v>
      </c>
      <c r="Q2323" s="61" t="s">
        <v>43</v>
      </c>
      <c r="R2323" s="19">
        <v>44581</v>
      </c>
      <c r="S2323" s="61"/>
      <c r="T2323" s="243">
        <v>2</v>
      </c>
      <c r="U2323" s="61"/>
      <c r="V2323" s="61"/>
      <c r="W2323" s="61"/>
      <c r="X2323" s="61"/>
      <c r="Y2323" s="61"/>
      <c r="Z2323" s="20"/>
      <c r="AB2323" s="20"/>
      <c r="AC2323" s="61" t="s">
        <v>5042</v>
      </c>
      <c r="AD2323" s="61">
        <v>72.441153999999997</v>
      </c>
      <c r="AE2323" s="61">
        <v>26.076159000000001</v>
      </c>
    </row>
    <row r="2324" spans="1:31" x14ac:dyDescent="0.25">
      <c r="A2324" s="38" t="s">
        <v>36</v>
      </c>
      <c r="B2324" s="38" t="s">
        <v>4983</v>
      </c>
      <c r="C2324" s="38" t="s">
        <v>5014</v>
      </c>
      <c r="D2324" s="38" t="s">
        <v>5015</v>
      </c>
      <c r="E2324" s="38" t="s">
        <v>5016</v>
      </c>
      <c r="F2324" s="38">
        <v>2173.69</v>
      </c>
      <c r="G2324" s="38">
        <v>2173.69</v>
      </c>
      <c r="H2324" s="38">
        <f t="shared" si="113"/>
        <v>3587</v>
      </c>
      <c r="I2324" s="38">
        <v>2351</v>
      </c>
      <c r="J2324" s="38">
        <v>1236</v>
      </c>
      <c r="K2324" s="38">
        <v>1115</v>
      </c>
      <c r="L2324" s="50">
        <f t="shared" si="114"/>
        <v>31.084471703373289</v>
      </c>
      <c r="M2324" s="38">
        <v>265</v>
      </c>
      <c r="N2324" s="50">
        <f t="shared" si="115"/>
        <v>7.387789238918316</v>
      </c>
      <c r="O2324" s="38">
        <v>0</v>
      </c>
      <c r="P2324" s="38">
        <v>0</v>
      </c>
      <c r="AC2324" s="117"/>
      <c r="AD2324" s="117"/>
    </row>
    <row r="2325" spans="1:31" x14ac:dyDescent="0.25">
      <c r="A2325" s="38" t="s">
        <v>36</v>
      </c>
      <c r="B2325" s="38" t="s">
        <v>4983</v>
      </c>
      <c r="C2325" s="38" t="s">
        <v>5014</v>
      </c>
      <c r="D2325" s="38" t="s">
        <v>5017</v>
      </c>
      <c r="E2325" s="38" t="s">
        <v>5018</v>
      </c>
      <c r="F2325" s="38">
        <v>718.34</v>
      </c>
      <c r="G2325" s="38">
        <v>718.34</v>
      </c>
      <c r="H2325" s="38">
        <f t="shared" si="113"/>
        <v>657</v>
      </c>
      <c r="I2325" s="38">
        <v>429</v>
      </c>
      <c r="J2325" s="38">
        <v>228</v>
      </c>
      <c r="K2325" s="38">
        <v>201</v>
      </c>
      <c r="L2325" s="50">
        <f t="shared" si="114"/>
        <v>30.593607305936072</v>
      </c>
      <c r="M2325" s="38">
        <v>20</v>
      </c>
      <c r="N2325" s="50">
        <f t="shared" si="115"/>
        <v>3.0441400304414001</v>
      </c>
      <c r="O2325" s="38">
        <v>0</v>
      </c>
      <c r="P2325" s="38">
        <v>12.18</v>
      </c>
    </row>
    <row r="2326" spans="1:31" x14ac:dyDescent="0.25">
      <c r="A2326" s="38" t="s">
        <v>36</v>
      </c>
      <c r="B2326" s="38" t="s">
        <v>4983</v>
      </c>
      <c r="C2326" s="38" t="s">
        <v>5039</v>
      </c>
      <c r="D2326" s="38" t="s">
        <v>5043</v>
      </c>
      <c r="E2326" s="38" t="s">
        <v>5044</v>
      </c>
      <c r="F2326" s="38">
        <v>2215</v>
      </c>
      <c r="G2326" s="38">
        <v>2215</v>
      </c>
      <c r="H2326" s="38">
        <f t="shared" si="113"/>
        <v>8027</v>
      </c>
      <c r="I2326" s="38">
        <v>5297</v>
      </c>
      <c r="J2326" s="38">
        <v>2730</v>
      </c>
      <c r="K2326" s="38">
        <v>2567</v>
      </c>
      <c r="L2326" s="50">
        <f t="shared" si="114"/>
        <v>31.979568954777626</v>
      </c>
      <c r="M2326" s="38">
        <v>517</v>
      </c>
      <c r="N2326" s="50">
        <f t="shared" si="115"/>
        <v>6.4407624268095178</v>
      </c>
      <c r="O2326" s="38">
        <v>13</v>
      </c>
      <c r="P2326" s="38">
        <v>106</v>
      </c>
      <c r="Q2326" s="61" t="s">
        <v>43</v>
      </c>
      <c r="R2326" s="19">
        <v>44581</v>
      </c>
      <c r="S2326" s="61"/>
      <c r="T2326" s="20">
        <v>94</v>
      </c>
      <c r="U2326" s="61"/>
      <c r="V2326" s="61"/>
      <c r="W2326" s="61"/>
      <c r="X2326" s="61"/>
      <c r="Y2326" s="61"/>
      <c r="Z2326" s="109"/>
      <c r="AB2326" s="20">
        <v>88</v>
      </c>
      <c r="AC2326" s="61" t="s">
        <v>5045</v>
      </c>
      <c r="AD2326" s="61">
        <v>72.606455999999994</v>
      </c>
      <c r="AE2326" s="61">
        <v>25.787395</v>
      </c>
    </row>
    <row r="2327" spans="1:31" x14ac:dyDescent="0.25">
      <c r="A2327" s="38" t="s">
        <v>36</v>
      </c>
      <c r="B2327" s="38" t="s">
        <v>4983</v>
      </c>
      <c r="C2327" s="38" t="s">
        <v>5039</v>
      </c>
      <c r="D2327" s="38" t="s">
        <v>5043</v>
      </c>
      <c r="E2327" s="38" t="s">
        <v>5044</v>
      </c>
      <c r="F2327" s="38">
        <v>2215</v>
      </c>
      <c r="G2327" s="38">
        <v>2215</v>
      </c>
      <c r="H2327" s="38">
        <f t="shared" si="113"/>
        <v>8027</v>
      </c>
      <c r="I2327" s="38">
        <v>5297</v>
      </c>
      <c r="J2327" s="38">
        <v>2730</v>
      </c>
      <c r="K2327" s="38">
        <v>2567</v>
      </c>
      <c r="L2327" s="50">
        <f t="shared" si="114"/>
        <v>31.979568954777626</v>
      </c>
      <c r="M2327" s="38">
        <v>517</v>
      </c>
      <c r="N2327" s="50">
        <f t="shared" si="115"/>
        <v>6.4407624268095178</v>
      </c>
      <c r="O2327" s="38">
        <v>13</v>
      </c>
      <c r="P2327" s="38">
        <v>106</v>
      </c>
      <c r="Q2327" s="2" t="s">
        <v>43</v>
      </c>
      <c r="R2327" s="204">
        <v>44581</v>
      </c>
      <c r="S2327" s="2"/>
      <c r="T2327" s="2"/>
      <c r="U2327" s="2"/>
      <c r="V2327" s="2"/>
      <c r="W2327" s="2"/>
      <c r="X2327" s="2"/>
      <c r="Y2327" s="2"/>
      <c r="Z2327" s="109"/>
      <c r="AB2327" s="3">
        <v>16</v>
      </c>
      <c r="AC2327" s="154" t="s">
        <v>5045</v>
      </c>
      <c r="AD2327" s="2">
        <v>25.786013000000001</v>
      </c>
      <c r="AE2327" s="2">
        <v>72.586951999999997</v>
      </c>
    </row>
    <row r="2328" spans="1:31" x14ac:dyDescent="0.25">
      <c r="A2328" s="38" t="s">
        <v>36</v>
      </c>
      <c r="B2328" s="38" t="s">
        <v>4983</v>
      </c>
      <c r="C2328" s="38" t="s">
        <v>5039</v>
      </c>
      <c r="D2328" s="38" t="s">
        <v>5046</v>
      </c>
      <c r="E2328" s="38" t="s">
        <v>5047</v>
      </c>
      <c r="F2328" s="38">
        <v>692</v>
      </c>
      <c r="G2328" s="38">
        <v>692</v>
      </c>
      <c r="H2328" s="38">
        <f t="shared" si="113"/>
        <v>586</v>
      </c>
      <c r="I2328" s="38">
        <v>396</v>
      </c>
      <c r="J2328" s="38">
        <v>190</v>
      </c>
      <c r="K2328" s="38">
        <v>206</v>
      </c>
      <c r="L2328" s="50">
        <f t="shared" si="114"/>
        <v>35.153583617747444</v>
      </c>
      <c r="M2328" s="38">
        <v>0</v>
      </c>
      <c r="N2328" s="50">
        <f t="shared" si="115"/>
        <v>0</v>
      </c>
      <c r="O2328" s="38">
        <v>0</v>
      </c>
      <c r="P2328" s="38">
        <v>8</v>
      </c>
      <c r="Q2328" s="61" t="s">
        <v>43</v>
      </c>
      <c r="R2328" s="19">
        <v>44581</v>
      </c>
      <c r="S2328" s="61"/>
      <c r="T2328" s="243">
        <v>8</v>
      </c>
      <c r="U2328" s="61"/>
      <c r="V2328" s="61"/>
      <c r="W2328" s="61"/>
      <c r="X2328" s="61"/>
      <c r="Y2328" s="61"/>
      <c r="Z2328" s="20"/>
      <c r="AB2328" s="20"/>
      <c r="AC2328" s="61" t="s">
        <v>5048</v>
      </c>
      <c r="AD2328" s="61">
        <v>72.616859000000005</v>
      </c>
      <c r="AE2328" s="61">
        <v>25.793980000000001</v>
      </c>
    </row>
    <row r="2329" spans="1:31" x14ac:dyDescent="0.25">
      <c r="A2329" s="38" t="s">
        <v>36</v>
      </c>
      <c r="B2329" s="38" t="s">
        <v>4983</v>
      </c>
      <c r="C2329" s="38" t="s">
        <v>5049</v>
      </c>
      <c r="D2329" s="38" t="s">
        <v>5050</v>
      </c>
      <c r="E2329" s="38" t="s">
        <v>5051</v>
      </c>
      <c r="F2329" s="38">
        <v>1913.04</v>
      </c>
      <c r="G2329" s="38">
        <v>1913.04</v>
      </c>
      <c r="H2329" s="38">
        <f t="shared" si="113"/>
        <v>5497</v>
      </c>
      <c r="I2329" s="38">
        <v>3637</v>
      </c>
      <c r="J2329" s="38">
        <v>1860</v>
      </c>
      <c r="K2329" s="38">
        <v>1777</v>
      </c>
      <c r="L2329" s="50">
        <f t="shared" si="114"/>
        <v>32.326723667454978</v>
      </c>
      <c r="M2329" s="38">
        <v>445</v>
      </c>
      <c r="N2329" s="50">
        <f t="shared" si="115"/>
        <v>8.0953247225759508</v>
      </c>
      <c r="O2329" s="38">
        <v>0</v>
      </c>
      <c r="P2329" s="38">
        <v>60</v>
      </c>
      <c r="Q2329" s="61" t="s">
        <v>160</v>
      </c>
      <c r="R2329" s="7">
        <v>44566</v>
      </c>
      <c r="S2329" s="99"/>
      <c r="T2329" s="11">
        <v>29.76</v>
      </c>
      <c r="U2329" s="61"/>
      <c r="V2329" s="61"/>
      <c r="W2329" s="61"/>
      <c r="X2329" s="61"/>
      <c r="Y2329" s="61"/>
      <c r="Z2329" s="20"/>
      <c r="AB2329" s="20"/>
      <c r="AC2329" s="11" t="s">
        <v>5050</v>
      </c>
      <c r="AD2329" s="61"/>
      <c r="AE2329" s="99"/>
    </row>
    <row r="2330" spans="1:31" x14ac:dyDescent="0.25">
      <c r="A2330" s="38" t="s">
        <v>36</v>
      </c>
      <c r="B2330" s="38" t="s">
        <v>4983</v>
      </c>
      <c r="C2330" s="38" t="s">
        <v>5049</v>
      </c>
      <c r="D2330" s="38" t="s">
        <v>5050</v>
      </c>
      <c r="E2330" s="38" t="s">
        <v>5051</v>
      </c>
      <c r="F2330" s="38">
        <v>1913.04</v>
      </c>
      <c r="G2330" s="38">
        <v>1913.04</v>
      </c>
      <c r="H2330" s="38">
        <f t="shared" si="113"/>
        <v>5497</v>
      </c>
      <c r="I2330" s="38">
        <v>3637</v>
      </c>
      <c r="J2330" s="38">
        <v>1860</v>
      </c>
      <c r="K2330" s="38">
        <v>1777</v>
      </c>
      <c r="L2330" s="50">
        <f t="shared" si="114"/>
        <v>32.326723667454978</v>
      </c>
      <c r="M2330" s="38">
        <v>445</v>
      </c>
      <c r="N2330" s="50">
        <f t="shared" si="115"/>
        <v>8.0953247225759508</v>
      </c>
      <c r="O2330" s="38">
        <v>0</v>
      </c>
      <c r="P2330" s="38">
        <v>60</v>
      </c>
      <c r="Q2330" s="61" t="s">
        <v>160</v>
      </c>
      <c r="R2330" s="7">
        <v>44566</v>
      </c>
      <c r="S2330" s="99"/>
      <c r="U2330" s="61"/>
      <c r="V2330" s="61"/>
      <c r="W2330" s="61"/>
      <c r="X2330" s="61"/>
      <c r="Y2330" s="61"/>
      <c r="Z2330" s="89"/>
      <c r="AB2330" s="238">
        <v>24</v>
      </c>
      <c r="AC2330" s="11" t="s">
        <v>5050</v>
      </c>
      <c r="AD2330" s="61">
        <v>26.532610999999999</v>
      </c>
      <c r="AE2330" s="99">
        <v>28.390851999999999</v>
      </c>
    </row>
    <row r="2331" spans="1:31" x14ac:dyDescent="0.25">
      <c r="A2331" s="38" t="s">
        <v>36</v>
      </c>
      <c r="B2331" s="38" t="s">
        <v>4983</v>
      </c>
      <c r="C2331" s="38" t="s">
        <v>5049</v>
      </c>
      <c r="D2331" s="38" t="s">
        <v>5052</v>
      </c>
      <c r="E2331" s="38" t="s">
        <v>5053</v>
      </c>
      <c r="F2331" s="38">
        <v>1530.73</v>
      </c>
      <c r="G2331" s="38">
        <v>1530.73</v>
      </c>
      <c r="H2331" s="38">
        <f t="shared" si="113"/>
        <v>887</v>
      </c>
      <c r="I2331" s="38">
        <v>594</v>
      </c>
      <c r="J2331" s="38">
        <v>293</v>
      </c>
      <c r="K2331" s="38">
        <v>301</v>
      </c>
      <c r="L2331" s="50">
        <f t="shared" si="114"/>
        <v>33.934611048478011</v>
      </c>
      <c r="M2331" s="38">
        <v>36</v>
      </c>
      <c r="N2331" s="50">
        <f t="shared" si="115"/>
        <v>4.0586245772266061</v>
      </c>
      <c r="O2331" s="38">
        <v>0</v>
      </c>
      <c r="P2331" s="38">
        <v>230.1</v>
      </c>
      <c r="Q2331" s="61" t="s">
        <v>160</v>
      </c>
      <c r="R2331" s="7">
        <v>44566</v>
      </c>
      <c r="S2331" s="99"/>
      <c r="T2331" s="4">
        <v>133.12</v>
      </c>
      <c r="U2331" s="61"/>
      <c r="V2331" s="61"/>
      <c r="W2331" s="61"/>
      <c r="X2331" s="61"/>
      <c r="Y2331" s="61"/>
      <c r="Z2331" s="20"/>
      <c r="AB2331" s="20"/>
      <c r="AC2331" s="11" t="s">
        <v>5054</v>
      </c>
      <c r="AD2331" s="61"/>
      <c r="AE2331" s="99"/>
    </row>
    <row r="2332" spans="1:31" x14ac:dyDescent="0.25">
      <c r="A2332" s="38" t="s">
        <v>36</v>
      </c>
      <c r="B2332" s="38" t="s">
        <v>4983</v>
      </c>
      <c r="C2332" s="38" t="s">
        <v>5049</v>
      </c>
      <c r="D2332" s="38" t="s">
        <v>5052</v>
      </c>
      <c r="E2332" s="38" t="s">
        <v>5053</v>
      </c>
      <c r="F2332" s="38">
        <v>1530.73</v>
      </c>
      <c r="G2332" s="38">
        <v>1530.73</v>
      </c>
      <c r="H2332" s="38">
        <f t="shared" si="113"/>
        <v>887</v>
      </c>
      <c r="I2332" s="38">
        <v>594</v>
      </c>
      <c r="J2332" s="38">
        <v>293</v>
      </c>
      <c r="K2332" s="38">
        <v>301</v>
      </c>
      <c r="L2332" s="50">
        <f t="shared" si="114"/>
        <v>33.934611048478011</v>
      </c>
      <c r="M2332" s="38">
        <v>36</v>
      </c>
      <c r="N2332" s="50">
        <f t="shared" si="115"/>
        <v>4.0586245772266061</v>
      </c>
      <c r="O2332" s="38">
        <v>0</v>
      </c>
      <c r="P2332" s="38">
        <v>230.1</v>
      </c>
      <c r="Q2332" s="61" t="s">
        <v>160</v>
      </c>
      <c r="R2332" s="7">
        <v>44566</v>
      </c>
      <c r="S2332" s="99"/>
      <c r="T2332" s="4"/>
      <c r="U2332" s="61"/>
      <c r="V2332" s="61"/>
      <c r="W2332" s="61"/>
      <c r="X2332" s="61"/>
      <c r="Y2332" s="61"/>
      <c r="Z2332" s="89"/>
      <c r="AB2332" s="238">
        <v>18</v>
      </c>
      <c r="AC2332" s="11" t="s">
        <v>5054</v>
      </c>
      <c r="AD2332" s="61">
        <v>26.267510999999999</v>
      </c>
      <c r="AE2332" s="99">
        <v>28.435331000000001</v>
      </c>
    </row>
    <row r="2333" spans="1:31" x14ac:dyDescent="0.25">
      <c r="A2333" s="38" t="s">
        <v>36</v>
      </c>
      <c r="B2333" s="38" t="s">
        <v>4983</v>
      </c>
      <c r="C2333" s="38" t="s">
        <v>844</v>
      </c>
      <c r="D2333" s="38" t="s">
        <v>844</v>
      </c>
      <c r="E2333" s="38" t="s">
        <v>5055</v>
      </c>
      <c r="F2333" s="38">
        <v>1535.25</v>
      </c>
      <c r="G2333" s="38">
        <v>1535.25</v>
      </c>
      <c r="H2333" s="38">
        <f t="shared" si="113"/>
        <v>2353</v>
      </c>
      <c r="I2333" s="38">
        <v>1557</v>
      </c>
      <c r="J2333" s="38">
        <v>796</v>
      </c>
      <c r="K2333" s="38">
        <v>761</v>
      </c>
      <c r="L2333" s="50">
        <f t="shared" si="114"/>
        <v>32.341691457713559</v>
      </c>
      <c r="M2333" s="38">
        <v>10</v>
      </c>
      <c r="N2333" s="50">
        <f t="shared" si="115"/>
        <v>0.42498937526561831</v>
      </c>
      <c r="O2333" s="38">
        <v>0</v>
      </c>
      <c r="P2333" s="38">
        <v>166.49</v>
      </c>
      <c r="Q2333" s="61" t="s">
        <v>160</v>
      </c>
      <c r="R2333" s="7">
        <v>44550</v>
      </c>
      <c r="S2333" s="99"/>
      <c r="T2333" s="4">
        <v>166</v>
      </c>
      <c r="U2333" s="61"/>
      <c r="V2333" s="61"/>
      <c r="W2333" s="61"/>
      <c r="X2333" s="61"/>
      <c r="Y2333" s="61"/>
      <c r="Z2333" s="20"/>
      <c r="AB2333" s="20"/>
      <c r="AC2333" s="11" t="s">
        <v>5056</v>
      </c>
      <c r="AD2333" s="61"/>
      <c r="AE2333" s="99"/>
    </row>
    <row r="2334" spans="1:31" x14ac:dyDescent="0.25">
      <c r="A2334" s="38" t="s">
        <v>36</v>
      </c>
      <c r="B2334" s="38" t="s">
        <v>4983</v>
      </c>
      <c r="C2334" s="38" t="s">
        <v>844</v>
      </c>
      <c r="D2334" s="38" t="s">
        <v>844</v>
      </c>
      <c r="E2334" s="38" t="s">
        <v>5055</v>
      </c>
      <c r="F2334" s="38">
        <v>1535.25</v>
      </c>
      <c r="G2334" s="38">
        <v>1535.25</v>
      </c>
      <c r="H2334" s="38">
        <f t="shared" si="113"/>
        <v>2353</v>
      </c>
      <c r="I2334" s="38">
        <v>1557</v>
      </c>
      <c r="J2334" s="38">
        <v>796</v>
      </c>
      <c r="K2334" s="38">
        <v>761</v>
      </c>
      <c r="L2334" s="50">
        <f t="shared" si="114"/>
        <v>32.341691457713559</v>
      </c>
      <c r="M2334" s="38">
        <v>10</v>
      </c>
      <c r="N2334" s="50">
        <f t="shared" si="115"/>
        <v>0.42498937526561831</v>
      </c>
      <c r="O2334" s="38">
        <v>0</v>
      </c>
      <c r="P2334" s="38">
        <v>166.49</v>
      </c>
      <c r="Q2334" s="61" t="s">
        <v>160</v>
      </c>
      <c r="R2334" s="7">
        <v>44550</v>
      </c>
      <c r="S2334" s="99"/>
      <c r="T2334" s="4"/>
      <c r="U2334" s="61"/>
      <c r="V2334" s="61"/>
      <c r="W2334" s="61"/>
      <c r="X2334" s="61"/>
      <c r="Y2334" s="61"/>
      <c r="Z2334" s="89"/>
      <c r="AB2334" s="238">
        <v>25</v>
      </c>
      <c r="AC2334" s="11" t="s">
        <v>5056</v>
      </c>
      <c r="AD2334" s="61">
        <v>15.278649</v>
      </c>
      <c r="AE2334" s="99">
        <v>28.901501</v>
      </c>
    </row>
    <row r="2335" spans="1:31" x14ac:dyDescent="0.25">
      <c r="A2335" s="38" t="s">
        <v>36</v>
      </c>
      <c r="B2335" s="38" t="s">
        <v>4983</v>
      </c>
      <c r="C2335" s="38" t="s">
        <v>844</v>
      </c>
      <c r="D2335" s="38" t="s">
        <v>844</v>
      </c>
      <c r="E2335" s="38" t="s">
        <v>5055</v>
      </c>
      <c r="F2335" s="38">
        <v>1535.25</v>
      </c>
      <c r="G2335" s="38">
        <v>1535.25</v>
      </c>
      <c r="H2335" s="38">
        <f t="shared" si="113"/>
        <v>2353</v>
      </c>
      <c r="I2335" s="38">
        <v>1557</v>
      </c>
      <c r="J2335" s="38">
        <v>796</v>
      </c>
      <c r="K2335" s="38">
        <v>761</v>
      </c>
      <c r="L2335" s="50">
        <f t="shared" si="114"/>
        <v>32.341691457713559</v>
      </c>
      <c r="M2335" s="38">
        <v>10</v>
      </c>
      <c r="N2335" s="50">
        <f t="shared" si="115"/>
        <v>0.42498937526561831</v>
      </c>
      <c r="O2335" s="38">
        <v>0</v>
      </c>
      <c r="P2335" s="38">
        <v>166.49</v>
      </c>
      <c r="Q2335" s="2" t="s">
        <v>160</v>
      </c>
      <c r="R2335" s="7">
        <v>44550</v>
      </c>
      <c r="S2335" s="40"/>
      <c r="T2335" s="4"/>
      <c r="U2335" s="2"/>
      <c r="V2335" s="2"/>
      <c r="W2335" s="2"/>
      <c r="X2335" s="2"/>
      <c r="Y2335" s="2"/>
      <c r="Z2335" s="78"/>
      <c r="AB2335" s="3">
        <v>16</v>
      </c>
      <c r="AC2335" s="11" t="s">
        <v>5056</v>
      </c>
      <c r="AD2335" s="2">
        <v>25.922751000000002</v>
      </c>
      <c r="AE2335" s="40">
        <v>72.662756000000002</v>
      </c>
    </row>
    <row r="2336" spans="1:31" x14ac:dyDescent="0.25">
      <c r="A2336" s="38" t="s">
        <v>36</v>
      </c>
      <c r="B2336" s="38" t="s">
        <v>4983</v>
      </c>
      <c r="C2336" s="38" t="s">
        <v>844</v>
      </c>
      <c r="D2336" s="38" t="s">
        <v>5057</v>
      </c>
      <c r="E2336" s="38" t="s">
        <v>5058</v>
      </c>
      <c r="F2336" s="38">
        <v>1929.69</v>
      </c>
      <c r="G2336" s="38">
        <v>1929.69</v>
      </c>
      <c r="H2336" s="38">
        <f t="shared" si="113"/>
        <v>2378</v>
      </c>
      <c r="I2336" s="38">
        <v>1552</v>
      </c>
      <c r="J2336" s="38">
        <v>826</v>
      </c>
      <c r="K2336" s="38">
        <v>726</v>
      </c>
      <c r="L2336" s="50">
        <f t="shared" si="114"/>
        <v>30.529857022708157</v>
      </c>
      <c r="M2336" s="38">
        <v>57</v>
      </c>
      <c r="N2336" s="50">
        <f t="shared" si="115"/>
        <v>2.396972245584525</v>
      </c>
      <c r="O2336" s="38">
        <v>218</v>
      </c>
      <c r="P2336" s="38">
        <v>64.239999999999995</v>
      </c>
      <c r="Q2336" s="98" t="s">
        <v>160</v>
      </c>
      <c r="R2336" s="7">
        <v>44550</v>
      </c>
      <c r="S2336" s="99"/>
      <c r="T2336" s="4">
        <v>92</v>
      </c>
      <c r="U2336" s="98"/>
      <c r="V2336" s="98"/>
      <c r="W2336" s="98"/>
      <c r="X2336" s="98"/>
      <c r="Y2336" s="98"/>
      <c r="Z2336" s="20"/>
      <c r="AB2336" s="20"/>
      <c r="AC2336" s="11" t="s">
        <v>5059</v>
      </c>
      <c r="AD2336" s="61"/>
      <c r="AE2336" s="99"/>
    </row>
    <row r="2337" spans="1:31" x14ac:dyDescent="0.25">
      <c r="A2337" s="38" t="s">
        <v>36</v>
      </c>
      <c r="B2337" s="38" t="s">
        <v>4983</v>
      </c>
      <c r="C2337" s="38" t="s">
        <v>844</v>
      </c>
      <c r="D2337" s="38" t="s">
        <v>5060</v>
      </c>
      <c r="E2337" s="38" t="s">
        <v>5061</v>
      </c>
      <c r="F2337" s="38">
        <v>68.31</v>
      </c>
      <c r="G2337" s="38">
        <v>68.31</v>
      </c>
      <c r="H2337" s="38">
        <f t="shared" si="113"/>
        <v>615</v>
      </c>
      <c r="I2337" s="38">
        <v>402</v>
      </c>
      <c r="J2337" s="38">
        <v>213</v>
      </c>
      <c r="K2337" s="38">
        <v>189</v>
      </c>
      <c r="L2337" s="50">
        <f t="shared" si="114"/>
        <v>30.73170731707317</v>
      </c>
      <c r="M2337" s="38">
        <v>0</v>
      </c>
      <c r="N2337" s="50">
        <f>M2337/H2337*100</f>
        <v>0</v>
      </c>
      <c r="O2337" s="38">
        <v>0</v>
      </c>
      <c r="P2337" s="38">
        <v>0</v>
      </c>
      <c r="Q2337" s="61" t="s">
        <v>43</v>
      </c>
      <c r="R2337" s="7">
        <v>44550</v>
      </c>
      <c r="S2337" s="61"/>
      <c r="T2337" s="20">
        <v>0</v>
      </c>
      <c r="U2337" s="61"/>
      <c r="V2337" s="61"/>
      <c r="W2337" s="61"/>
      <c r="X2337" s="61"/>
      <c r="Y2337" s="61"/>
      <c r="Z2337" s="20"/>
      <c r="AB2337" s="20"/>
      <c r="AC2337" s="11" t="s">
        <v>5062</v>
      </c>
      <c r="AD2337" s="61">
        <v>0</v>
      </c>
      <c r="AE2337" s="61"/>
    </row>
    <row r="2338" spans="1:31" x14ac:dyDescent="0.25">
      <c r="A2338" s="38" t="s">
        <v>36</v>
      </c>
      <c r="B2338" s="38" t="s">
        <v>4983</v>
      </c>
      <c r="C2338" s="38" t="s">
        <v>844</v>
      </c>
      <c r="D2338" s="38" t="s">
        <v>5063</v>
      </c>
      <c r="E2338" s="38" t="s">
        <v>5064</v>
      </c>
      <c r="F2338" s="38">
        <v>475.03</v>
      </c>
      <c r="G2338" s="38">
        <v>475.03</v>
      </c>
      <c r="H2338" s="38">
        <f t="shared" si="113"/>
        <v>553</v>
      </c>
      <c r="I2338" s="38">
        <v>366</v>
      </c>
      <c r="J2338" s="38">
        <v>187</v>
      </c>
      <c r="K2338" s="38">
        <v>179</v>
      </c>
      <c r="L2338" s="50">
        <f t="shared" si="114"/>
        <v>32.368896925858955</v>
      </c>
      <c r="M2338" s="38">
        <v>0</v>
      </c>
      <c r="N2338" s="50">
        <f t="shared" si="115"/>
        <v>0</v>
      </c>
      <c r="O2338" s="38">
        <v>0</v>
      </c>
      <c r="P2338" s="38">
        <v>5.18</v>
      </c>
      <c r="Q2338" s="98" t="s">
        <v>160</v>
      </c>
      <c r="R2338" s="7">
        <v>44550</v>
      </c>
      <c r="S2338" s="99"/>
      <c r="T2338" s="11">
        <v>32</v>
      </c>
      <c r="U2338" s="98"/>
      <c r="V2338" s="98"/>
      <c r="W2338" s="98"/>
      <c r="X2338" s="98"/>
      <c r="Y2338" s="98"/>
      <c r="Z2338" s="20"/>
      <c r="AB2338" s="20"/>
      <c r="AC2338" s="11" t="s">
        <v>5065</v>
      </c>
      <c r="AD2338" s="61"/>
      <c r="AE2338" s="99"/>
    </row>
    <row r="2339" spans="1:31" x14ac:dyDescent="0.25">
      <c r="A2339" s="38" t="s">
        <v>36</v>
      </c>
      <c r="B2339" s="38" t="s">
        <v>4983</v>
      </c>
      <c r="C2339" s="38" t="s">
        <v>5066</v>
      </c>
      <c r="D2339" s="38" t="s">
        <v>5067</v>
      </c>
      <c r="E2339" s="38" t="s">
        <v>5068</v>
      </c>
      <c r="F2339" s="38">
        <v>1794</v>
      </c>
      <c r="G2339" s="38">
        <v>1794</v>
      </c>
      <c r="H2339" s="38">
        <f t="shared" si="113"/>
        <v>1584</v>
      </c>
      <c r="I2339" s="38">
        <v>1045</v>
      </c>
      <c r="J2339" s="38">
        <v>539</v>
      </c>
      <c r="K2339" s="38">
        <v>506</v>
      </c>
      <c r="L2339" s="50">
        <f t="shared" si="114"/>
        <v>31.944444444444443</v>
      </c>
      <c r="M2339" s="38">
        <v>110</v>
      </c>
      <c r="N2339" s="50">
        <f t="shared" si="115"/>
        <v>6.9444444444444446</v>
      </c>
      <c r="O2339" s="38">
        <v>88</v>
      </c>
      <c r="P2339" s="38">
        <v>284</v>
      </c>
      <c r="Q2339" s="61" t="s">
        <v>43</v>
      </c>
      <c r="R2339" s="19">
        <v>44550</v>
      </c>
      <c r="S2339" s="61"/>
      <c r="T2339" s="243">
        <v>231</v>
      </c>
      <c r="U2339" s="61"/>
      <c r="V2339" s="61"/>
      <c r="W2339" s="61"/>
      <c r="X2339" s="61"/>
      <c r="Y2339" s="61"/>
      <c r="Z2339" s="78"/>
      <c r="AB2339" s="20">
        <v>85</v>
      </c>
      <c r="AC2339" s="61" t="s">
        <v>5069</v>
      </c>
      <c r="AD2339" s="61">
        <v>72.650779</v>
      </c>
      <c r="AE2339" s="61">
        <v>25.821508000000001</v>
      </c>
    </row>
    <row r="2340" spans="1:31" x14ac:dyDescent="0.25">
      <c r="A2340" s="38" t="s">
        <v>36</v>
      </c>
      <c r="B2340" s="38" t="s">
        <v>4983</v>
      </c>
      <c r="C2340" s="38" t="s">
        <v>5066</v>
      </c>
      <c r="D2340" s="38" t="s">
        <v>5067</v>
      </c>
      <c r="E2340" s="38" t="s">
        <v>5068</v>
      </c>
      <c r="F2340" s="38">
        <v>1794</v>
      </c>
      <c r="G2340" s="38">
        <v>1794</v>
      </c>
      <c r="H2340" s="38">
        <f t="shared" si="113"/>
        <v>1584</v>
      </c>
      <c r="I2340" s="38">
        <v>1045</v>
      </c>
      <c r="J2340" s="38">
        <v>539</v>
      </c>
      <c r="K2340" s="38">
        <v>506</v>
      </c>
      <c r="L2340" s="50">
        <f t="shared" si="114"/>
        <v>31.944444444444443</v>
      </c>
      <c r="M2340" s="38">
        <v>110</v>
      </c>
      <c r="N2340" s="50">
        <f t="shared" si="115"/>
        <v>6.9444444444444446</v>
      </c>
      <c r="O2340" s="38">
        <v>88</v>
      </c>
      <c r="P2340" s="38">
        <v>284</v>
      </c>
      <c r="Q2340" s="61" t="s">
        <v>43</v>
      </c>
      <c r="R2340" s="7">
        <v>44550</v>
      </c>
      <c r="S2340" s="61"/>
      <c r="T2340" s="20">
        <v>34</v>
      </c>
      <c r="U2340" s="61"/>
      <c r="V2340" s="61"/>
      <c r="W2340" s="61"/>
      <c r="X2340" s="61"/>
      <c r="Y2340" s="61"/>
      <c r="Z2340" s="78"/>
      <c r="AB2340" s="20">
        <v>20</v>
      </c>
      <c r="AC2340" s="61" t="s">
        <v>5070</v>
      </c>
      <c r="AD2340" s="61">
        <v>72.666782999999995</v>
      </c>
      <c r="AE2340" s="61">
        <v>25.829499999999999</v>
      </c>
    </row>
    <row r="2341" spans="1:31" x14ac:dyDescent="0.25">
      <c r="A2341" s="38" t="s">
        <v>36</v>
      </c>
      <c r="B2341" s="38" t="s">
        <v>4983</v>
      </c>
      <c r="C2341" s="38" t="s">
        <v>5066</v>
      </c>
      <c r="D2341" s="38" t="s">
        <v>5067</v>
      </c>
      <c r="E2341" s="38" t="s">
        <v>5068</v>
      </c>
      <c r="F2341" s="38">
        <v>1794</v>
      </c>
      <c r="G2341" s="38">
        <v>1794</v>
      </c>
      <c r="H2341" s="38">
        <f t="shared" si="113"/>
        <v>1584</v>
      </c>
      <c r="I2341" s="38">
        <v>1045</v>
      </c>
      <c r="J2341" s="38">
        <v>539</v>
      </c>
      <c r="K2341" s="38">
        <v>506</v>
      </c>
      <c r="L2341" s="50">
        <f t="shared" si="114"/>
        <v>31.944444444444443</v>
      </c>
      <c r="M2341" s="38">
        <v>110</v>
      </c>
      <c r="N2341" s="50">
        <f t="shared" si="115"/>
        <v>6.9444444444444446</v>
      </c>
      <c r="O2341" s="38">
        <v>88</v>
      </c>
      <c r="P2341" s="38">
        <v>284</v>
      </c>
      <c r="Q2341" s="34" t="s">
        <v>43</v>
      </c>
      <c r="R2341" s="7">
        <v>44550</v>
      </c>
      <c r="S2341" s="34"/>
      <c r="T2341" s="34"/>
      <c r="U2341" s="34"/>
      <c r="V2341" s="34"/>
      <c r="W2341" s="34"/>
      <c r="X2341" s="34"/>
      <c r="Y2341" s="34"/>
      <c r="Z2341" s="78"/>
      <c r="AB2341" s="89">
        <v>35</v>
      </c>
      <c r="AC2341" s="34" t="s">
        <v>5069</v>
      </c>
      <c r="AD2341" s="34">
        <v>25.821597000000001</v>
      </c>
      <c r="AE2341" s="34">
        <v>72.654741999999999</v>
      </c>
    </row>
    <row r="2342" spans="1:31" x14ac:dyDescent="0.25">
      <c r="A2342" s="38" t="s">
        <v>36</v>
      </c>
      <c r="B2342" s="38" t="s">
        <v>4983</v>
      </c>
      <c r="C2342" s="38" t="s">
        <v>5066</v>
      </c>
      <c r="D2342" s="38" t="s">
        <v>5071</v>
      </c>
      <c r="E2342" s="38" t="s">
        <v>5072</v>
      </c>
      <c r="F2342" s="38">
        <v>456</v>
      </c>
      <c r="G2342" s="38">
        <v>456</v>
      </c>
      <c r="H2342" s="38">
        <f t="shared" si="113"/>
        <v>1065</v>
      </c>
      <c r="I2342" s="38">
        <v>709</v>
      </c>
      <c r="J2342" s="38">
        <v>356</v>
      </c>
      <c r="K2342" s="38">
        <v>353</v>
      </c>
      <c r="L2342" s="50">
        <f t="shared" si="114"/>
        <v>33.145539906103288</v>
      </c>
      <c r="M2342" s="38">
        <v>53</v>
      </c>
      <c r="N2342" s="50">
        <f t="shared" si="115"/>
        <v>4.976525821596244</v>
      </c>
      <c r="O2342" s="38">
        <v>0</v>
      </c>
      <c r="P2342" s="38">
        <v>23</v>
      </c>
      <c r="Q2342" s="61" t="s">
        <v>43</v>
      </c>
      <c r="R2342" s="19">
        <v>44552</v>
      </c>
      <c r="S2342" s="61"/>
      <c r="T2342" s="243">
        <v>21</v>
      </c>
      <c r="U2342" s="61"/>
      <c r="V2342" s="61"/>
      <c r="W2342" s="61"/>
      <c r="X2342" s="61"/>
      <c r="Y2342" s="61"/>
      <c r="Z2342" s="78"/>
      <c r="AB2342" s="20">
        <v>9</v>
      </c>
      <c r="AC2342" s="61" t="s">
        <v>5073</v>
      </c>
      <c r="AD2342" s="61">
        <v>72.667299999999997</v>
      </c>
      <c r="AE2342" s="61">
        <v>25.81148</v>
      </c>
    </row>
    <row r="2343" spans="1:31" x14ac:dyDescent="0.25">
      <c r="A2343" s="38" t="s">
        <v>36</v>
      </c>
      <c r="B2343" s="38" t="s">
        <v>4983</v>
      </c>
      <c r="C2343" s="38" t="s">
        <v>5066</v>
      </c>
      <c r="D2343" s="38" t="s">
        <v>5071</v>
      </c>
      <c r="E2343" s="38" t="s">
        <v>5072</v>
      </c>
      <c r="F2343" s="38">
        <v>456</v>
      </c>
      <c r="G2343" s="38">
        <v>456</v>
      </c>
      <c r="H2343" s="38">
        <f t="shared" si="113"/>
        <v>1065</v>
      </c>
      <c r="I2343" s="38">
        <v>709</v>
      </c>
      <c r="J2343" s="38">
        <v>356</v>
      </c>
      <c r="K2343" s="38">
        <v>353</v>
      </c>
      <c r="L2343" s="50">
        <f t="shared" si="114"/>
        <v>33.145539906103288</v>
      </c>
      <c r="M2343" s="38">
        <v>53</v>
      </c>
      <c r="N2343" s="50">
        <f t="shared" si="115"/>
        <v>4.976525821596244</v>
      </c>
      <c r="O2343" s="38">
        <v>0</v>
      </c>
      <c r="P2343" s="38">
        <v>23</v>
      </c>
      <c r="Q2343" s="34" t="s">
        <v>43</v>
      </c>
      <c r="R2343" s="7">
        <v>44552</v>
      </c>
      <c r="S2343" s="78"/>
      <c r="U2343" s="34"/>
      <c r="V2343" s="34"/>
      <c r="W2343" s="34"/>
      <c r="X2343" s="34"/>
      <c r="Y2343" s="34"/>
      <c r="Z2343" s="89"/>
      <c r="AB2343" s="238">
        <v>25</v>
      </c>
      <c r="AC2343" s="34" t="s">
        <v>5073</v>
      </c>
      <c r="AD2343" s="34">
        <v>72.667331000000004</v>
      </c>
      <c r="AE2343" s="78">
        <v>25.811482999999999</v>
      </c>
    </row>
    <row r="2344" spans="1:31" x14ac:dyDescent="0.25">
      <c r="A2344" s="38" t="s">
        <v>36</v>
      </c>
      <c r="B2344" s="38" t="s">
        <v>4983</v>
      </c>
      <c r="C2344" s="38" t="s">
        <v>5066</v>
      </c>
      <c r="D2344" s="38" t="s">
        <v>5074</v>
      </c>
      <c r="E2344" s="38" t="s">
        <v>5075</v>
      </c>
      <c r="F2344" s="38">
        <v>218</v>
      </c>
      <c r="G2344" s="38">
        <v>218</v>
      </c>
      <c r="H2344" s="38">
        <f t="shared" si="113"/>
        <v>18</v>
      </c>
      <c r="I2344" s="38">
        <v>10</v>
      </c>
      <c r="J2344" s="38">
        <v>8</v>
      </c>
      <c r="K2344" s="38">
        <v>2</v>
      </c>
      <c r="L2344" s="50">
        <f t="shared" si="114"/>
        <v>11.111111111111111</v>
      </c>
      <c r="M2344" s="38">
        <v>0</v>
      </c>
      <c r="N2344" s="50">
        <f t="shared" si="115"/>
        <v>0</v>
      </c>
      <c r="O2344" s="38">
        <v>0</v>
      </c>
      <c r="P2344" s="38">
        <v>16</v>
      </c>
      <c r="Q2344" s="61" t="s">
        <v>43</v>
      </c>
      <c r="R2344" s="19">
        <v>44550</v>
      </c>
      <c r="S2344" s="61"/>
      <c r="T2344" s="243">
        <v>11</v>
      </c>
      <c r="U2344" s="61"/>
      <c r="V2344" s="61"/>
      <c r="W2344" s="61"/>
      <c r="X2344" s="61"/>
      <c r="Y2344" s="61"/>
      <c r="Z2344" s="78"/>
      <c r="AB2344" s="20">
        <v>10</v>
      </c>
      <c r="AC2344" s="61" t="s">
        <v>5076</v>
      </c>
      <c r="AD2344" s="61">
        <v>72.673333</v>
      </c>
      <c r="AE2344" s="61">
        <v>25.841436999999999</v>
      </c>
    </row>
    <row r="2345" spans="1:31" x14ac:dyDescent="0.25">
      <c r="A2345" s="38" t="s">
        <v>36</v>
      </c>
      <c r="B2345" s="38" t="s">
        <v>4983</v>
      </c>
      <c r="C2345" s="38" t="s">
        <v>5066</v>
      </c>
      <c r="D2345" s="38" t="s">
        <v>5074</v>
      </c>
      <c r="E2345" s="38" t="s">
        <v>5075</v>
      </c>
      <c r="F2345" s="38">
        <v>218</v>
      </c>
      <c r="G2345" s="38">
        <v>218</v>
      </c>
      <c r="H2345" s="38">
        <f t="shared" si="113"/>
        <v>18</v>
      </c>
      <c r="I2345" s="38">
        <v>10</v>
      </c>
      <c r="J2345" s="38">
        <v>8</v>
      </c>
      <c r="K2345" s="38">
        <v>2</v>
      </c>
      <c r="L2345" s="50">
        <f t="shared" si="114"/>
        <v>11.111111111111111</v>
      </c>
      <c r="M2345" s="38">
        <v>0</v>
      </c>
      <c r="N2345" s="50">
        <f t="shared" si="115"/>
        <v>0</v>
      </c>
      <c r="O2345" s="38">
        <v>0</v>
      </c>
      <c r="P2345" s="38">
        <v>16</v>
      </c>
      <c r="Q2345" s="2" t="s">
        <v>43</v>
      </c>
      <c r="R2345" s="204">
        <v>44550</v>
      </c>
      <c r="S2345" s="2"/>
      <c r="T2345" s="2"/>
      <c r="U2345" s="2"/>
      <c r="V2345" s="2"/>
      <c r="W2345" s="2"/>
      <c r="X2345" s="2"/>
      <c r="Y2345" s="2"/>
      <c r="Z2345" s="78"/>
      <c r="AB2345" s="3">
        <v>21</v>
      </c>
      <c r="AC2345" s="2" t="s">
        <v>5076</v>
      </c>
      <c r="AD2345" s="2">
        <v>25.839503000000001</v>
      </c>
      <c r="AE2345" s="2">
        <v>72.727096000000003</v>
      </c>
    </row>
    <row r="2346" spans="1:31" x14ac:dyDescent="0.25">
      <c r="A2346" s="38" t="s">
        <v>36</v>
      </c>
      <c r="B2346" s="38" t="s">
        <v>4983</v>
      </c>
      <c r="C2346" s="38" t="s">
        <v>5066</v>
      </c>
      <c r="D2346" s="38" t="s">
        <v>5077</v>
      </c>
      <c r="E2346" s="38" t="s">
        <v>5078</v>
      </c>
      <c r="F2346" s="38">
        <v>1847</v>
      </c>
      <c r="G2346" s="38">
        <v>1847</v>
      </c>
      <c r="H2346" s="38">
        <f t="shared" si="113"/>
        <v>1315</v>
      </c>
      <c r="I2346" s="38">
        <v>858</v>
      </c>
      <c r="J2346" s="38">
        <v>457</v>
      </c>
      <c r="K2346" s="38">
        <v>401</v>
      </c>
      <c r="L2346" s="50">
        <f t="shared" si="114"/>
        <v>30.494296577946766</v>
      </c>
      <c r="M2346" s="38">
        <v>132</v>
      </c>
      <c r="N2346" s="50">
        <f t="shared" si="115"/>
        <v>10.038022813688213</v>
      </c>
      <c r="O2346" s="38">
        <v>4</v>
      </c>
      <c r="P2346" s="38">
        <v>70</v>
      </c>
      <c r="Q2346" s="34" t="s">
        <v>43</v>
      </c>
      <c r="R2346" s="7">
        <v>44550</v>
      </c>
      <c r="S2346" s="34"/>
      <c r="T2346" s="11">
        <v>11</v>
      </c>
      <c r="U2346" s="34"/>
      <c r="V2346" s="34"/>
      <c r="W2346" s="34"/>
      <c r="X2346" s="34"/>
      <c r="Y2346" s="34"/>
      <c r="Z2346" s="89"/>
      <c r="AB2346" s="89"/>
      <c r="AC2346" s="34" t="s">
        <v>5076</v>
      </c>
      <c r="AD2346" s="34">
        <v>72.673333</v>
      </c>
      <c r="AE2346" s="34">
        <v>25.841436999999999</v>
      </c>
    </row>
    <row r="2347" spans="1:31" x14ac:dyDescent="0.25">
      <c r="A2347" s="38" t="s">
        <v>36</v>
      </c>
      <c r="B2347" s="38" t="s">
        <v>4983</v>
      </c>
      <c r="C2347" s="38" t="s">
        <v>5066</v>
      </c>
      <c r="D2347" s="38" t="s">
        <v>5077</v>
      </c>
      <c r="E2347" s="38" t="s">
        <v>5078</v>
      </c>
      <c r="F2347" s="38">
        <v>1847</v>
      </c>
      <c r="G2347" s="38">
        <v>1847</v>
      </c>
      <c r="H2347" s="38">
        <f t="shared" si="113"/>
        <v>1315</v>
      </c>
      <c r="I2347" s="38">
        <v>858</v>
      </c>
      <c r="J2347" s="38">
        <v>457</v>
      </c>
      <c r="K2347" s="38">
        <v>401</v>
      </c>
      <c r="L2347" s="50">
        <f t="shared" si="114"/>
        <v>30.494296577946766</v>
      </c>
      <c r="M2347" s="38">
        <v>132</v>
      </c>
      <c r="N2347" s="50">
        <f t="shared" si="115"/>
        <v>10.038022813688213</v>
      </c>
      <c r="O2347" s="38">
        <v>4</v>
      </c>
      <c r="P2347" s="38">
        <v>70</v>
      </c>
      <c r="Q2347" s="34" t="s">
        <v>43</v>
      </c>
      <c r="R2347" s="7">
        <v>44550</v>
      </c>
      <c r="S2347" s="78"/>
      <c r="U2347" s="34"/>
      <c r="V2347" s="34"/>
      <c r="W2347" s="34"/>
      <c r="X2347" s="34"/>
      <c r="Y2347" s="34"/>
      <c r="Z2347" s="89"/>
      <c r="AB2347" s="238">
        <v>35</v>
      </c>
      <c r="AC2347" s="34" t="s">
        <v>5076</v>
      </c>
      <c r="AD2347" s="34">
        <v>72.673333</v>
      </c>
      <c r="AE2347" s="78">
        <v>25.841436999999999</v>
      </c>
    </row>
    <row r="2348" spans="1:31" x14ac:dyDescent="0.25">
      <c r="A2348" s="38" t="s">
        <v>36</v>
      </c>
      <c r="B2348" s="38" t="s">
        <v>4983</v>
      </c>
      <c r="C2348" s="38" t="s">
        <v>5079</v>
      </c>
      <c r="D2348" s="38" t="s">
        <v>5080</v>
      </c>
      <c r="E2348" s="38" t="s">
        <v>5081</v>
      </c>
      <c r="F2348" s="38">
        <v>1621.76</v>
      </c>
      <c r="G2348" s="38">
        <v>1621.76</v>
      </c>
      <c r="H2348" s="38">
        <f t="shared" si="113"/>
        <v>912</v>
      </c>
      <c r="I2348" s="38">
        <v>600</v>
      </c>
      <c r="J2348" s="38">
        <v>312</v>
      </c>
      <c r="K2348" s="38">
        <v>288</v>
      </c>
      <c r="L2348" s="50">
        <f t="shared" si="114"/>
        <v>31.578947368421051</v>
      </c>
      <c r="M2348" s="38">
        <v>30</v>
      </c>
      <c r="N2348" s="50">
        <f t="shared" si="115"/>
        <v>3.2894736842105261</v>
      </c>
      <c r="O2348" s="38">
        <v>0</v>
      </c>
      <c r="P2348" s="38">
        <v>173.84</v>
      </c>
      <c r="Q2348" s="34" t="s">
        <v>43</v>
      </c>
      <c r="R2348" s="7">
        <v>44550</v>
      </c>
      <c r="S2348" s="34"/>
      <c r="T2348" s="11">
        <v>174</v>
      </c>
      <c r="U2348" s="34"/>
      <c r="V2348" s="34"/>
      <c r="W2348" s="34"/>
      <c r="X2348" s="34"/>
      <c r="Y2348" s="34"/>
      <c r="Z2348" s="89"/>
      <c r="AB2348" s="89"/>
      <c r="AC2348" s="34" t="s">
        <v>5082</v>
      </c>
      <c r="AD2348" s="34">
        <v>72.451825999999997</v>
      </c>
      <c r="AE2348" s="34">
        <v>25.780010000000001</v>
      </c>
    </row>
    <row r="2349" spans="1:31" x14ac:dyDescent="0.25">
      <c r="A2349" s="38" t="s">
        <v>36</v>
      </c>
      <c r="B2349" s="38" t="s">
        <v>4983</v>
      </c>
      <c r="C2349" s="38" t="s">
        <v>5079</v>
      </c>
      <c r="D2349" s="38" t="s">
        <v>5080</v>
      </c>
      <c r="E2349" s="38" t="s">
        <v>5081</v>
      </c>
      <c r="F2349" s="38">
        <v>1621.76</v>
      </c>
      <c r="G2349" s="38">
        <v>1621.76</v>
      </c>
      <c r="H2349" s="38">
        <f t="shared" si="113"/>
        <v>912</v>
      </c>
      <c r="I2349" s="38">
        <v>600</v>
      </c>
      <c r="J2349" s="38">
        <v>312</v>
      </c>
      <c r="K2349" s="38">
        <v>288</v>
      </c>
      <c r="L2349" s="50">
        <f t="shared" si="114"/>
        <v>31.578947368421051</v>
      </c>
      <c r="M2349" s="38">
        <v>30</v>
      </c>
      <c r="N2349" s="50">
        <f t="shared" si="115"/>
        <v>3.2894736842105261</v>
      </c>
      <c r="O2349" s="38">
        <v>0</v>
      </c>
      <c r="P2349" s="38">
        <v>173.84</v>
      </c>
      <c r="Q2349" s="61" t="s">
        <v>43</v>
      </c>
      <c r="R2349" s="19">
        <v>44550</v>
      </c>
      <c r="S2349" s="61"/>
      <c r="T2349" s="243">
        <v>174</v>
      </c>
      <c r="U2349" s="61"/>
      <c r="V2349" s="61"/>
      <c r="W2349" s="61"/>
      <c r="X2349" s="61"/>
      <c r="Y2349" s="61"/>
      <c r="Z2349" s="109"/>
      <c r="AB2349" s="20">
        <v>100</v>
      </c>
      <c r="AC2349" s="61" t="s">
        <v>5082</v>
      </c>
      <c r="AD2349" s="61">
        <v>72.451825999999997</v>
      </c>
      <c r="AE2349" s="61">
        <v>25.780010000000001</v>
      </c>
    </row>
    <row r="2350" spans="1:31" x14ac:dyDescent="0.25">
      <c r="A2350" s="38" t="s">
        <v>36</v>
      </c>
      <c r="B2350" s="38" t="s">
        <v>4983</v>
      </c>
      <c r="C2350" s="38" t="s">
        <v>5079</v>
      </c>
      <c r="D2350" s="38" t="s">
        <v>3914</v>
      </c>
      <c r="E2350" s="38" t="s">
        <v>5083</v>
      </c>
      <c r="F2350" s="38">
        <v>542.16999999999996</v>
      </c>
      <c r="G2350" s="38">
        <v>542.16999999999996</v>
      </c>
      <c r="H2350" s="38">
        <f t="shared" si="113"/>
        <v>744</v>
      </c>
      <c r="I2350" s="38">
        <v>490</v>
      </c>
      <c r="J2350" s="38">
        <v>254</v>
      </c>
      <c r="K2350" s="38">
        <v>236</v>
      </c>
      <c r="L2350" s="50">
        <f t="shared" si="114"/>
        <v>31.72043010752688</v>
      </c>
      <c r="M2350" s="38">
        <v>0</v>
      </c>
      <c r="N2350" s="50">
        <f t="shared" si="115"/>
        <v>0</v>
      </c>
      <c r="O2350" s="38">
        <v>0</v>
      </c>
      <c r="P2350" s="38">
        <v>0</v>
      </c>
      <c r="Q2350" s="61" t="s">
        <v>43</v>
      </c>
      <c r="R2350" s="19">
        <v>44550</v>
      </c>
      <c r="S2350" s="61"/>
      <c r="T2350" s="243">
        <v>2</v>
      </c>
      <c r="U2350" s="61"/>
      <c r="V2350" s="61"/>
      <c r="W2350" s="61"/>
      <c r="X2350" s="61"/>
      <c r="Y2350" s="61"/>
      <c r="Z2350" s="20"/>
      <c r="AB2350" s="20"/>
      <c r="AC2350" s="61" t="s">
        <v>5084</v>
      </c>
      <c r="AD2350" s="61">
        <v>72.491798000000003</v>
      </c>
      <c r="AE2350" s="61">
        <v>25.763733999999999</v>
      </c>
    </row>
    <row r="2351" spans="1:31" x14ac:dyDescent="0.25">
      <c r="A2351" s="38" t="s">
        <v>36</v>
      </c>
      <c r="B2351" s="38" t="s">
        <v>4983</v>
      </c>
      <c r="C2351" s="38" t="s">
        <v>5079</v>
      </c>
      <c r="D2351" s="38" t="s">
        <v>5085</v>
      </c>
      <c r="E2351" s="38" t="s">
        <v>5086</v>
      </c>
      <c r="F2351" s="38">
        <v>2192</v>
      </c>
      <c r="G2351" s="38">
        <v>2192</v>
      </c>
      <c r="H2351" s="38">
        <f t="shared" si="113"/>
        <v>2055</v>
      </c>
      <c r="I2351" s="38">
        <v>1350</v>
      </c>
      <c r="J2351" s="38">
        <v>705</v>
      </c>
      <c r="K2351" s="38">
        <v>645</v>
      </c>
      <c r="L2351" s="50">
        <f t="shared" si="114"/>
        <v>31.386861313868614</v>
      </c>
      <c r="M2351" s="38">
        <v>99</v>
      </c>
      <c r="N2351" s="50">
        <f t="shared" si="115"/>
        <v>4.8175182481751824</v>
      </c>
      <c r="O2351" s="38">
        <v>0</v>
      </c>
      <c r="P2351" s="38">
        <v>157.88999999999999</v>
      </c>
      <c r="Q2351" s="34" t="s">
        <v>43</v>
      </c>
      <c r="R2351" s="7">
        <v>44550</v>
      </c>
      <c r="S2351" s="34"/>
      <c r="T2351" s="11">
        <v>158</v>
      </c>
      <c r="U2351" s="34"/>
      <c r="V2351" s="34"/>
      <c r="W2351" s="34"/>
      <c r="X2351" s="34"/>
      <c r="Y2351" s="34"/>
      <c r="Z2351" s="89"/>
      <c r="AB2351" s="89"/>
      <c r="AC2351" s="34" t="s">
        <v>5087</v>
      </c>
      <c r="AD2351" s="34">
        <v>72.392511999999996</v>
      </c>
      <c r="AE2351" s="34">
        <v>25.773150999999999</v>
      </c>
    </row>
    <row r="2352" spans="1:31" x14ac:dyDescent="0.25">
      <c r="A2352" s="38" t="s">
        <v>36</v>
      </c>
      <c r="B2352" s="38" t="s">
        <v>4983</v>
      </c>
      <c r="C2352" s="38" t="s">
        <v>5079</v>
      </c>
      <c r="D2352" s="38" t="s">
        <v>5085</v>
      </c>
      <c r="E2352" s="38" t="s">
        <v>5086</v>
      </c>
      <c r="F2352" s="38">
        <v>2192</v>
      </c>
      <c r="G2352" s="38">
        <v>2192</v>
      </c>
      <c r="H2352" s="38">
        <f t="shared" si="113"/>
        <v>2055</v>
      </c>
      <c r="I2352" s="38">
        <v>1350</v>
      </c>
      <c r="J2352" s="38">
        <v>705</v>
      </c>
      <c r="K2352" s="38">
        <v>645</v>
      </c>
      <c r="L2352" s="50">
        <f t="shared" si="114"/>
        <v>31.386861313868614</v>
      </c>
      <c r="M2352" s="38">
        <v>99</v>
      </c>
      <c r="N2352" s="50">
        <f t="shared" si="115"/>
        <v>4.8175182481751824</v>
      </c>
      <c r="O2352" s="38">
        <v>0</v>
      </c>
      <c r="P2352" s="38">
        <v>157.88999999999999</v>
      </c>
      <c r="Q2352" s="61" t="s">
        <v>43</v>
      </c>
      <c r="R2352" s="19">
        <v>44550</v>
      </c>
      <c r="S2352" s="61"/>
      <c r="T2352" s="243">
        <v>158</v>
      </c>
      <c r="U2352" s="61"/>
      <c r="V2352" s="61"/>
      <c r="W2352" s="61"/>
      <c r="X2352" s="61"/>
      <c r="Y2352" s="61"/>
      <c r="Z2352" s="109"/>
      <c r="AB2352" s="20">
        <v>50</v>
      </c>
      <c r="AC2352" s="61" t="s">
        <v>5087</v>
      </c>
      <c r="AD2352" s="61">
        <v>72.392511999999996</v>
      </c>
      <c r="AE2352" s="61">
        <v>25.773150999999999</v>
      </c>
    </row>
    <row r="2353" spans="1:31" x14ac:dyDescent="0.25">
      <c r="A2353" s="38" t="s">
        <v>36</v>
      </c>
      <c r="B2353" s="38" t="s">
        <v>4983</v>
      </c>
      <c r="C2353" s="38" t="s">
        <v>5079</v>
      </c>
      <c r="D2353" s="38" t="s">
        <v>5088</v>
      </c>
      <c r="E2353" s="38" t="s">
        <v>5089</v>
      </c>
      <c r="F2353" s="38">
        <v>716.69</v>
      </c>
      <c r="G2353" s="38">
        <v>716.69</v>
      </c>
      <c r="H2353" s="38">
        <f t="shared" si="113"/>
        <v>1461</v>
      </c>
      <c r="I2353" s="38">
        <v>954</v>
      </c>
      <c r="J2353" s="38">
        <v>507</v>
      </c>
      <c r="K2353" s="38">
        <v>447</v>
      </c>
      <c r="L2353" s="50">
        <f t="shared" si="114"/>
        <v>30.595482546201229</v>
      </c>
      <c r="M2353" s="38">
        <v>5</v>
      </c>
      <c r="N2353" s="50">
        <f t="shared" si="115"/>
        <v>0.34223134839151265</v>
      </c>
      <c r="O2353" s="38">
        <v>0</v>
      </c>
      <c r="P2353" s="38">
        <v>62.94</v>
      </c>
      <c r="Q2353" s="34" t="s">
        <v>43</v>
      </c>
      <c r="R2353" s="7">
        <v>44550</v>
      </c>
      <c r="S2353" s="34"/>
      <c r="T2353" s="11">
        <v>63</v>
      </c>
      <c r="U2353" s="34"/>
      <c r="V2353" s="34"/>
      <c r="W2353" s="34"/>
      <c r="X2353" s="34"/>
      <c r="Y2353" s="34"/>
      <c r="Z2353" s="89"/>
      <c r="AB2353" s="89"/>
      <c r="AC2353" s="34" t="s">
        <v>5090</v>
      </c>
      <c r="AD2353" s="34">
        <v>72.496931000000004</v>
      </c>
      <c r="AE2353" s="34">
        <v>25.783840999999999</v>
      </c>
    </row>
    <row r="2354" spans="1:31" x14ac:dyDescent="0.25">
      <c r="A2354" s="38" t="s">
        <v>36</v>
      </c>
      <c r="B2354" s="38" t="s">
        <v>4983</v>
      </c>
      <c r="C2354" s="38" t="s">
        <v>5079</v>
      </c>
      <c r="D2354" s="38" t="s">
        <v>5088</v>
      </c>
      <c r="E2354" s="38" t="s">
        <v>5089</v>
      </c>
      <c r="F2354" s="38">
        <v>716.69</v>
      </c>
      <c r="G2354" s="38">
        <v>716.69</v>
      </c>
      <c r="H2354" s="38">
        <f t="shared" si="113"/>
        <v>1461</v>
      </c>
      <c r="I2354" s="38">
        <v>954</v>
      </c>
      <c r="J2354" s="38">
        <v>507</v>
      </c>
      <c r="K2354" s="38">
        <v>447</v>
      </c>
      <c r="L2354" s="50">
        <f t="shared" si="114"/>
        <v>30.595482546201229</v>
      </c>
      <c r="M2354" s="38">
        <v>5</v>
      </c>
      <c r="N2354" s="50">
        <f t="shared" si="115"/>
        <v>0.34223134839151265</v>
      </c>
      <c r="O2354" s="38">
        <v>0</v>
      </c>
      <c r="P2354" s="38">
        <v>62.94</v>
      </c>
      <c r="Q2354" s="61" t="s">
        <v>43</v>
      </c>
      <c r="R2354" s="19">
        <v>44550</v>
      </c>
      <c r="S2354" s="61"/>
      <c r="T2354" s="243">
        <v>63</v>
      </c>
      <c r="U2354" s="61"/>
      <c r="V2354" s="61"/>
      <c r="W2354" s="61"/>
      <c r="X2354" s="61"/>
      <c r="Y2354" s="61"/>
      <c r="Z2354" s="20"/>
      <c r="AB2354" s="20"/>
      <c r="AC2354" s="61" t="s">
        <v>5090</v>
      </c>
      <c r="AD2354" s="61">
        <v>72.496931000000004</v>
      </c>
      <c r="AE2354" s="61">
        <v>25.783840999999999</v>
      </c>
    </row>
    <row r="2355" spans="1:31" x14ac:dyDescent="0.25">
      <c r="A2355" s="38" t="s">
        <v>36</v>
      </c>
      <c r="B2355" s="38" t="s">
        <v>4983</v>
      </c>
      <c r="C2355" s="38" t="s">
        <v>5079</v>
      </c>
      <c r="D2355" s="38" t="s">
        <v>5091</v>
      </c>
      <c r="E2355" s="38" t="s">
        <v>5092</v>
      </c>
      <c r="F2355" s="38">
        <v>302.02</v>
      </c>
      <c r="G2355" s="38">
        <v>302.02</v>
      </c>
      <c r="H2355" s="38">
        <f t="shared" si="113"/>
        <v>397</v>
      </c>
      <c r="I2355" s="38">
        <v>255</v>
      </c>
      <c r="J2355" s="38">
        <v>142</v>
      </c>
      <c r="K2355" s="38">
        <v>113</v>
      </c>
      <c r="L2355" s="50">
        <f t="shared" si="114"/>
        <v>28.463476070528966</v>
      </c>
      <c r="M2355" s="38">
        <v>20</v>
      </c>
      <c r="N2355" s="50">
        <f t="shared" si="115"/>
        <v>5.037783375314862</v>
      </c>
      <c r="O2355" s="38">
        <v>0</v>
      </c>
      <c r="P2355" s="38">
        <v>0.98</v>
      </c>
      <c r="Q2355" s="34" t="s">
        <v>43</v>
      </c>
      <c r="R2355" s="7">
        <v>44550</v>
      </c>
      <c r="S2355" s="34"/>
      <c r="T2355" s="11">
        <v>1</v>
      </c>
      <c r="U2355" s="34"/>
      <c r="V2355" s="34"/>
      <c r="W2355" s="34"/>
      <c r="X2355" s="34"/>
      <c r="Y2355" s="34"/>
      <c r="Z2355" s="89"/>
      <c r="AB2355" s="89"/>
      <c r="AC2355" s="34" t="s">
        <v>5093</v>
      </c>
      <c r="AD2355" s="34">
        <v>72.517204000000007</v>
      </c>
      <c r="AE2355" s="34">
        <v>25.793339</v>
      </c>
    </row>
    <row r="2356" spans="1:31" x14ac:dyDescent="0.25">
      <c r="A2356" s="38" t="s">
        <v>36</v>
      </c>
      <c r="B2356" s="38" t="s">
        <v>4983</v>
      </c>
      <c r="C2356" s="38" t="s">
        <v>5079</v>
      </c>
      <c r="D2356" s="38" t="s">
        <v>5091</v>
      </c>
      <c r="E2356" s="38" t="s">
        <v>5092</v>
      </c>
      <c r="F2356" s="38">
        <v>302.02</v>
      </c>
      <c r="G2356" s="38">
        <v>302.02</v>
      </c>
      <c r="H2356" s="38">
        <f t="shared" si="113"/>
        <v>397</v>
      </c>
      <c r="I2356" s="38">
        <v>255</v>
      </c>
      <c r="J2356" s="38">
        <v>142</v>
      </c>
      <c r="K2356" s="38">
        <v>113</v>
      </c>
      <c r="L2356" s="50">
        <f t="shared" si="114"/>
        <v>28.463476070528966</v>
      </c>
      <c r="M2356" s="38">
        <v>20</v>
      </c>
      <c r="N2356" s="50">
        <f t="shared" si="115"/>
        <v>5.037783375314862</v>
      </c>
      <c r="O2356" s="38">
        <v>0</v>
      </c>
      <c r="P2356" s="38">
        <v>0.98</v>
      </c>
      <c r="Q2356" s="61" t="s">
        <v>43</v>
      </c>
      <c r="R2356" s="19">
        <v>44550</v>
      </c>
      <c r="S2356" s="61"/>
      <c r="T2356" s="243">
        <v>1</v>
      </c>
      <c r="U2356" s="61"/>
      <c r="V2356" s="61"/>
      <c r="W2356" s="61"/>
      <c r="X2356" s="61"/>
      <c r="Y2356" s="61"/>
      <c r="Z2356" s="20"/>
      <c r="AB2356" s="20"/>
      <c r="AC2356" s="61" t="s">
        <v>5093</v>
      </c>
      <c r="AD2356" s="61">
        <v>72.517204000000007</v>
      </c>
      <c r="AE2356" s="61">
        <v>25.793339</v>
      </c>
    </row>
    <row r="2357" spans="1:31" x14ac:dyDescent="0.25">
      <c r="A2357" s="38" t="s">
        <v>36</v>
      </c>
      <c r="B2357" s="38" t="s">
        <v>4983</v>
      </c>
      <c r="C2357" s="38" t="s">
        <v>5094</v>
      </c>
      <c r="D2357" s="38" t="s">
        <v>5095</v>
      </c>
      <c r="E2357" s="38" t="s">
        <v>5096</v>
      </c>
      <c r="F2357" s="38">
        <v>1859</v>
      </c>
      <c r="G2357" s="38">
        <v>1859</v>
      </c>
      <c r="H2357" s="38">
        <f t="shared" si="113"/>
        <v>5478</v>
      </c>
      <c r="I2357" s="38">
        <v>3598</v>
      </c>
      <c r="J2357" s="38">
        <v>1880</v>
      </c>
      <c r="K2357" s="38">
        <v>1718</v>
      </c>
      <c r="L2357" s="50">
        <f t="shared" si="114"/>
        <v>31.361810879883166</v>
      </c>
      <c r="M2357" s="38">
        <v>434</v>
      </c>
      <c r="N2357" s="50">
        <f t="shared" si="115"/>
        <v>7.9225994888645488</v>
      </c>
      <c r="O2357" s="38">
        <v>0</v>
      </c>
      <c r="P2357" s="38">
        <v>91</v>
      </c>
      <c r="Q2357" s="34" t="s">
        <v>43</v>
      </c>
      <c r="R2357" s="7">
        <v>44574</v>
      </c>
      <c r="S2357" s="34"/>
      <c r="T2357" s="11">
        <v>1.1299999999999999</v>
      </c>
      <c r="U2357" s="34"/>
      <c r="V2357" s="34"/>
      <c r="W2357" s="34"/>
      <c r="X2357" s="34"/>
      <c r="Y2357" s="34"/>
      <c r="Z2357" s="89"/>
      <c r="AB2357" s="89"/>
      <c r="AC2357" s="34" t="s">
        <v>5097</v>
      </c>
      <c r="AD2357" s="34">
        <v>72.706731000000005</v>
      </c>
      <c r="AE2357" s="34">
        <v>25.807956000000001</v>
      </c>
    </row>
    <row r="2358" spans="1:31" x14ac:dyDescent="0.25">
      <c r="A2358" s="38" t="s">
        <v>36</v>
      </c>
      <c r="B2358" s="38" t="s">
        <v>4983</v>
      </c>
      <c r="C2358" s="38" t="s">
        <v>5094</v>
      </c>
      <c r="D2358" s="38" t="s">
        <v>5095</v>
      </c>
      <c r="E2358" s="38" t="s">
        <v>5096</v>
      </c>
      <c r="F2358" s="38">
        <v>1859</v>
      </c>
      <c r="G2358" s="38">
        <v>1859</v>
      </c>
      <c r="H2358" s="38">
        <f t="shared" si="113"/>
        <v>5478</v>
      </c>
      <c r="I2358" s="38">
        <v>3598</v>
      </c>
      <c r="J2358" s="38">
        <v>1880</v>
      </c>
      <c r="K2358" s="38">
        <v>1718</v>
      </c>
      <c r="L2358" s="50">
        <f t="shared" si="114"/>
        <v>31.361810879883166</v>
      </c>
      <c r="M2358" s="38">
        <v>434</v>
      </c>
      <c r="N2358" s="50">
        <f t="shared" si="115"/>
        <v>7.9225994888645488</v>
      </c>
      <c r="O2358" s="38">
        <v>0</v>
      </c>
      <c r="P2358" s="38">
        <v>91</v>
      </c>
      <c r="Q2358" s="61" t="s">
        <v>43</v>
      </c>
      <c r="R2358" s="19">
        <v>44574</v>
      </c>
      <c r="S2358" s="61"/>
      <c r="T2358" s="243">
        <v>1.1299999999999999</v>
      </c>
      <c r="U2358" s="61"/>
      <c r="V2358" s="61"/>
      <c r="W2358" s="61"/>
      <c r="X2358" s="61"/>
      <c r="Y2358" s="61"/>
      <c r="Z2358" s="20"/>
      <c r="AB2358" s="20"/>
      <c r="AC2358" s="61" t="s">
        <v>5097</v>
      </c>
      <c r="AD2358" s="61">
        <v>72.706731000000005</v>
      </c>
      <c r="AE2358" s="61">
        <v>25.807956000000001</v>
      </c>
    </row>
    <row r="2359" spans="1:31" x14ac:dyDescent="0.25">
      <c r="A2359" s="38" t="s">
        <v>36</v>
      </c>
      <c r="B2359" s="38" t="s">
        <v>4983</v>
      </c>
      <c r="C2359" s="38" t="s">
        <v>5098</v>
      </c>
      <c r="D2359" s="38" t="s">
        <v>5098</v>
      </c>
      <c r="E2359" s="38" t="s">
        <v>5099</v>
      </c>
      <c r="F2359" s="38">
        <v>1964.28</v>
      </c>
      <c r="G2359" s="38">
        <v>1964.28</v>
      </c>
      <c r="H2359" s="38">
        <f t="shared" si="113"/>
        <v>3678</v>
      </c>
      <c r="I2359" s="38">
        <v>2425</v>
      </c>
      <c r="J2359" s="38">
        <v>1253</v>
      </c>
      <c r="K2359" s="38">
        <v>1172</v>
      </c>
      <c r="L2359" s="50">
        <f t="shared" si="114"/>
        <v>31.865144100054376</v>
      </c>
      <c r="M2359" s="38">
        <v>130</v>
      </c>
      <c r="N2359" s="50">
        <f t="shared" si="115"/>
        <v>3.5345296356715608</v>
      </c>
      <c r="O2359" s="38">
        <v>0</v>
      </c>
      <c r="P2359" s="38">
        <v>0</v>
      </c>
      <c r="Q2359" s="61" t="s">
        <v>160</v>
      </c>
      <c r="R2359" s="7">
        <v>44576</v>
      </c>
      <c r="S2359" s="99"/>
      <c r="T2359" s="4">
        <v>61.44</v>
      </c>
      <c r="U2359" s="61"/>
      <c r="V2359" s="61"/>
      <c r="W2359" s="61"/>
      <c r="X2359" s="61"/>
      <c r="Y2359" s="61"/>
      <c r="Z2359" s="20"/>
      <c r="AB2359" s="20"/>
      <c r="AC2359" s="11" t="s">
        <v>5100</v>
      </c>
      <c r="AD2359" s="61"/>
      <c r="AE2359" s="99"/>
    </row>
    <row r="2360" spans="1:31" x14ac:dyDescent="0.25">
      <c r="A2360" s="38" t="s">
        <v>36</v>
      </c>
      <c r="B2360" s="38" t="s">
        <v>4983</v>
      </c>
      <c r="C2360" s="38" t="s">
        <v>5098</v>
      </c>
      <c r="D2360" s="38" t="s">
        <v>5098</v>
      </c>
      <c r="E2360" s="38" t="s">
        <v>5099</v>
      </c>
      <c r="F2360" s="38">
        <v>1964.28</v>
      </c>
      <c r="G2360" s="38">
        <v>1964.28</v>
      </c>
      <c r="H2360" s="38">
        <f t="shared" si="113"/>
        <v>3678</v>
      </c>
      <c r="I2360" s="38">
        <v>2425</v>
      </c>
      <c r="J2360" s="38">
        <v>1253</v>
      </c>
      <c r="K2360" s="38">
        <v>1172</v>
      </c>
      <c r="L2360" s="50">
        <f t="shared" si="114"/>
        <v>31.865144100054376</v>
      </c>
      <c r="M2360" s="38">
        <v>130</v>
      </c>
      <c r="N2360" s="50">
        <f t="shared" si="115"/>
        <v>3.5345296356715608</v>
      </c>
      <c r="O2360" s="38">
        <v>0</v>
      </c>
      <c r="P2360" s="38">
        <v>0</v>
      </c>
      <c r="Q2360" s="61" t="s">
        <v>160</v>
      </c>
      <c r="R2360" s="7">
        <v>44576</v>
      </c>
      <c r="S2360" s="99"/>
      <c r="T2360" s="4"/>
      <c r="U2360" s="61"/>
      <c r="V2360" s="61"/>
      <c r="W2360" s="61"/>
      <c r="X2360" s="61"/>
      <c r="Y2360" s="61"/>
      <c r="Z2360" s="89"/>
      <c r="AB2360" s="238">
        <v>25</v>
      </c>
      <c r="AC2360" s="11" t="s">
        <v>5100</v>
      </c>
      <c r="AD2360" s="61">
        <v>25.298566000000001</v>
      </c>
      <c r="AE2360" s="99">
        <v>28.458881000000002</v>
      </c>
    </row>
    <row r="2361" spans="1:31" x14ac:dyDescent="0.25">
      <c r="A2361" s="38" t="s">
        <v>36</v>
      </c>
      <c r="B2361" s="38" t="s">
        <v>4983</v>
      </c>
      <c r="C2361" s="38" t="s">
        <v>5101</v>
      </c>
      <c r="D2361" s="38" t="s">
        <v>5102</v>
      </c>
      <c r="E2361" s="38" t="s">
        <v>5103</v>
      </c>
      <c r="F2361" s="38">
        <v>4311.71</v>
      </c>
      <c r="G2361" s="38">
        <v>4311.71</v>
      </c>
      <c r="H2361" s="38">
        <f t="shared" si="113"/>
        <v>7093</v>
      </c>
      <c r="I2361" s="38">
        <v>4659</v>
      </c>
      <c r="J2361" s="38">
        <v>2434</v>
      </c>
      <c r="K2361" s="38">
        <v>2225</v>
      </c>
      <c r="L2361" s="50">
        <f t="shared" si="114"/>
        <v>31.36895530805019</v>
      </c>
      <c r="M2361" s="38">
        <v>289</v>
      </c>
      <c r="N2361" s="50">
        <f t="shared" si="115"/>
        <v>4.074439588326519</v>
      </c>
      <c r="O2361" s="38">
        <v>407.75</v>
      </c>
      <c r="P2361" s="38">
        <v>142.52000000000001</v>
      </c>
      <c r="Q2361" s="34" t="s">
        <v>43</v>
      </c>
      <c r="R2361" s="7">
        <v>44550</v>
      </c>
      <c r="S2361" s="34"/>
      <c r="T2361" s="11">
        <v>51.697600000000001</v>
      </c>
      <c r="U2361" s="34"/>
      <c r="V2361" s="34"/>
      <c r="W2361" s="34"/>
      <c r="X2361" s="34"/>
      <c r="Y2361" s="34"/>
      <c r="Z2361" s="89"/>
      <c r="AB2361" s="89"/>
      <c r="AC2361" s="34" t="s">
        <v>5104</v>
      </c>
      <c r="AD2361" s="34">
        <v>72.578641000000005</v>
      </c>
      <c r="AE2361" s="34">
        <v>25.680962000000001</v>
      </c>
    </row>
    <row r="2362" spans="1:31" x14ac:dyDescent="0.25">
      <c r="A2362" s="38" t="s">
        <v>36</v>
      </c>
      <c r="B2362" s="38" t="s">
        <v>4983</v>
      </c>
      <c r="C2362" s="38" t="s">
        <v>5101</v>
      </c>
      <c r="D2362" s="38" t="s">
        <v>5102</v>
      </c>
      <c r="E2362" s="38" t="s">
        <v>5103</v>
      </c>
      <c r="F2362" s="38">
        <v>4311.71</v>
      </c>
      <c r="G2362" s="38">
        <v>4311.71</v>
      </c>
      <c r="H2362" s="38">
        <f t="shared" si="113"/>
        <v>7093</v>
      </c>
      <c r="I2362" s="38">
        <v>4659</v>
      </c>
      <c r="J2362" s="38">
        <v>2434</v>
      </c>
      <c r="K2362" s="38">
        <v>2225</v>
      </c>
      <c r="L2362" s="50">
        <f t="shared" si="114"/>
        <v>31.36895530805019</v>
      </c>
      <c r="M2362" s="38">
        <v>289</v>
      </c>
      <c r="N2362" s="50">
        <f t="shared" si="115"/>
        <v>4.074439588326519</v>
      </c>
      <c r="O2362" s="38">
        <v>407.75</v>
      </c>
      <c r="P2362" s="38">
        <v>142.52000000000001</v>
      </c>
      <c r="Q2362" s="61" t="s">
        <v>43</v>
      </c>
      <c r="R2362" s="19">
        <v>44550</v>
      </c>
      <c r="S2362" s="61"/>
      <c r="T2362" s="243">
        <v>51.697600000000001</v>
      </c>
      <c r="U2362" s="61"/>
      <c r="V2362" s="61"/>
      <c r="W2362" s="61"/>
      <c r="X2362" s="61"/>
      <c r="Y2362" s="61"/>
      <c r="Z2362" s="109"/>
      <c r="AB2362" s="20">
        <v>23</v>
      </c>
      <c r="AC2362" s="61" t="s">
        <v>5104</v>
      </c>
      <c r="AD2362" s="61">
        <v>72.578641000000005</v>
      </c>
      <c r="AE2362" s="61">
        <v>25.680962000000001</v>
      </c>
    </row>
    <row r="2363" spans="1:31" x14ac:dyDescent="0.25">
      <c r="A2363" s="38" t="s">
        <v>36</v>
      </c>
      <c r="B2363" s="38" t="s">
        <v>4983</v>
      </c>
      <c r="C2363" s="38" t="s">
        <v>5101</v>
      </c>
      <c r="D2363" s="38" t="s">
        <v>5105</v>
      </c>
      <c r="E2363" s="38" t="s">
        <v>5106</v>
      </c>
      <c r="F2363" s="38">
        <v>1054.75</v>
      </c>
      <c r="G2363" s="38">
        <v>1054.75</v>
      </c>
      <c r="H2363" s="38">
        <f t="shared" si="113"/>
        <v>1165</v>
      </c>
      <c r="I2363" s="38">
        <v>768</v>
      </c>
      <c r="J2363" s="38">
        <v>397</v>
      </c>
      <c r="K2363" s="38">
        <v>371</v>
      </c>
      <c r="L2363" s="50">
        <f t="shared" si="114"/>
        <v>31.845493562231759</v>
      </c>
      <c r="M2363" s="38">
        <v>14</v>
      </c>
      <c r="N2363" s="50">
        <f t="shared" si="115"/>
        <v>1.201716738197425</v>
      </c>
      <c r="O2363" s="38">
        <v>0</v>
      </c>
      <c r="P2363" s="38">
        <v>85.64</v>
      </c>
      <c r="Q2363" s="34" t="s">
        <v>43</v>
      </c>
      <c r="R2363" s="7">
        <v>44550</v>
      </c>
      <c r="S2363" s="34"/>
      <c r="T2363" s="11">
        <v>267.22239999999999</v>
      </c>
      <c r="U2363" s="34"/>
      <c r="V2363" s="34"/>
      <c r="W2363" s="34"/>
      <c r="X2363" s="34"/>
      <c r="Y2363" s="34"/>
      <c r="Z2363" s="89"/>
      <c r="AB2363" s="89"/>
      <c r="AC2363" s="34" t="s">
        <v>5107</v>
      </c>
      <c r="AD2363" s="34">
        <v>72.527309000000002</v>
      </c>
      <c r="AE2363" s="34">
        <v>25.667017999999999</v>
      </c>
    </row>
    <row r="2364" spans="1:31" x14ac:dyDescent="0.25">
      <c r="A2364" s="38" t="s">
        <v>36</v>
      </c>
      <c r="B2364" s="38" t="s">
        <v>4983</v>
      </c>
      <c r="C2364" s="38" t="s">
        <v>5101</v>
      </c>
      <c r="D2364" s="38" t="s">
        <v>5105</v>
      </c>
      <c r="E2364" s="38" t="s">
        <v>5106</v>
      </c>
      <c r="F2364" s="38">
        <v>1054.75</v>
      </c>
      <c r="G2364" s="38">
        <v>1054.75</v>
      </c>
      <c r="H2364" s="38">
        <f t="shared" si="113"/>
        <v>1165</v>
      </c>
      <c r="I2364" s="38">
        <v>768</v>
      </c>
      <c r="J2364" s="38">
        <v>397</v>
      </c>
      <c r="K2364" s="38">
        <v>371</v>
      </c>
      <c r="L2364" s="50">
        <f t="shared" si="114"/>
        <v>31.845493562231759</v>
      </c>
      <c r="M2364" s="38">
        <v>14</v>
      </c>
      <c r="N2364" s="50">
        <f t="shared" si="115"/>
        <v>1.201716738197425</v>
      </c>
      <c r="O2364" s="38">
        <v>0</v>
      </c>
      <c r="P2364" s="38">
        <v>85.64</v>
      </c>
      <c r="Q2364" s="61" t="s">
        <v>43</v>
      </c>
      <c r="R2364" s="19">
        <v>44550</v>
      </c>
      <c r="S2364" s="61"/>
      <c r="T2364" s="243">
        <v>267.22239999999999</v>
      </c>
      <c r="U2364" s="61"/>
      <c r="V2364" s="61"/>
      <c r="W2364" s="61"/>
      <c r="X2364" s="61"/>
      <c r="Y2364" s="61"/>
      <c r="Z2364" s="20"/>
      <c r="AB2364" s="20"/>
      <c r="AC2364" s="61" t="s">
        <v>5107</v>
      </c>
      <c r="AD2364" s="61">
        <v>72.527309000000002</v>
      </c>
      <c r="AE2364" s="61">
        <v>25.667017999999999</v>
      </c>
    </row>
    <row r="2365" spans="1:31" x14ac:dyDescent="0.25">
      <c r="A2365" s="38" t="s">
        <v>36</v>
      </c>
      <c r="B2365" s="38" t="s">
        <v>4983</v>
      </c>
      <c r="C2365" s="38" t="s">
        <v>5101</v>
      </c>
      <c r="D2365" s="38" t="s">
        <v>5108</v>
      </c>
      <c r="E2365" s="38" t="s">
        <v>5109</v>
      </c>
      <c r="F2365" s="38">
        <v>65.989999999999995</v>
      </c>
      <c r="G2365" s="38">
        <v>65.989999999999995</v>
      </c>
      <c r="H2365" s="38">
        <f t="shared" si="113"/>
        <v>0</v>
      </c>
      <c r="I2365" s="38">
        <v>0</v>
      </c>
      <c r="J2365" s="38">
        <v>0</v>
      </c>
      <c r="K2365" s="38">
        <v>0</v>
      </c>
      <c r="L2365" s="50"/>
      <c r="M2365" s="38">
        <v>0</v>
      </c>
      <c r="N2365" s="50"/>
      <c r="O2365" s="38">
        <v>0</v>
      </c>
      <c r="P2365" s="38">
        <v>0</v>
      </c>
    </row>
    <row r="2366" spans="1:31" x14ac:dyDescent="0.25">
      <c r="A2366" s="38" t="s">
        <v>36</v>
      </c>
      <c r="B2366" s="38" t="s">
        <v>4983</v>
      </c>
      <c r="C2366" s="38" t="s">
        <v>5110</v>
      </c>
      <c r="D2366" s="38" t="s">
        <v>727</v>
      </c>
      <c r="E2366" s="38" t="s">
        <v>5111</v>
      </c>
      <c r="F2366" s="38">
        <v>918</v>
      </c>
      <c r="G2366" s="38">
        <v>918</v>
      </c>
      <c r="H2366" s="38">
        <f t="shared" si="113"/>
        <v>2415</v>
      </c>
      <c r="I2366" s="38">
        <v>1604</v>
      </c>
      <c r="J2366" s="38">
        <v>811</v>
      </c>
      <c r="K2366" s="38">
        <v>793</v>
      </c>
      <c r="L2366" s="50">
        <f t="shared" si="114"/>
        <v>32.836438923395441</v>
      </c>
      <c r="M2366" s="38">
        <v>102</v>
      </c>
      <c r="N2366" s="50">
        <f t="shared" si="115"/>
        <v>4.2236024844720497</v>
      </c>
      <c r="O2366" s="38">
        <v>0</v>
      </c>
      <c r="P2366" s="38">
        <v>5</v>
      </c>
    </row>
    <row r="2367" spans="1:31" x14ac:dyDescent="0.25">
      <c r="A2367" s="38" t="s">
        <v>36</v>
      </c>
      <c r="B2367" s="38" t="s">
        <v>4983</v>
      </c>
      <c r="C2367" s="38" t="s">
        <v>5110</v>
      </c>
      <c r="D2367" s="38" t="s">
        <v>5112</v>
      </c>
      <c r="E2367" s="38" t="s">
        <v>5113</v>
      </c>
      <c r="F2367" s="38">
        <v>520</v>
      </c>
      <c r="G2367" s="38">
        <v>520</v>
      </c>
      <c r="H2367" s="38">
        <f t="shared" si="113"/>
        <v>883</v>
      </c>
      <c r="I2367" s="38">
        <v>584</v>
      </c>
      <c r="J2367" s="38">
        <v>299</v>
      </c>
      <c r="K2367" s="38">
        <v>285</v>
      </c>
      <c r="L2367" s="50">
        <f t="shared" si="114"/>
        <v>32.276330690826725</v>
      </c>
      <c r="M2367" s="38">
        <v>9</v>
      </c>
      <c r="N2367" s="50">
        <f t="shared" si="115"/>
        <v>1.0192525481313703</v>
      </c>
      <c r="O2367" s="38">
        <v>0</v>
      </c>
      <c r="P2367" s="38">
        <v>30</v>
      </c>
    </row>
    <row r="2368" spans="1:31" x14ac:dyDescent="0.25">
      <c r="A2368" s="38" t="s">
        <v>36</v>
      </c>
      <c r="B2368" s="38" t="s">
        <v>4983</v>
      </c>
      <c r="C2368" s="38" t="s">
        <v>5110</v>
      </c>
      <c r="D2368" s="38" t="s">
        <v>5114</v>
      </c>
      <c r="E2368" s="38" t="s">
        <v>5115</v>
      </c>
      <c r="F2368" s="38">
        <v>1045</v>
      </c>
      <c r="G2368" s="38">
        <v>1045</v>
      </c>
      <c r="H2368" s="38">
        <f t="shared" si="113"/>
        <v>2086</v>
      </c>
      <c r="I2368" s="38">
        <v>1387</v>
      </c>
      <c r="J2368" s="38">
        <v>699</v>
      </c>
      <c r="K2368" s="38">
        <v>688</v>
      </c>
      <c r="L2368" s="50">
        <f t="shared" si="114"/>
        <v>32.981783317353788</v>
      </c>
      <c r="M2368" s="38">
        <v>101</v>
      </c>
      <c r="N2368" s="50">
        <f t="shared" si="115"/>
        <v>4.8418024928092045</v>
      </c>
      <c r="O2368" s="38">
        <v>0</v>
      </c>
      <c r="P2368" s="38">
        <v>45</v>
      </c>
    </row>
    <row r="2369" spans="1:31" x14ac:dyDescent="0.25">
      <c r="A2369" s="38" t="s">
        <v>36</v>
      </c>
      <c r="B2369" s="38" t="s">
        <v>4983</v>
      </c>
      <c r="C2369" s="38" t="s">
        <v>5110</v>
      </c>
      <c r="D2369" s="38" t="s">
        <v>5116</v>
      </c>
      <c r="E2369" s="38" t="s">
        <v>5117</v>
      </c>
      <c r="F2369" s="38">
        <v>1508</v>
      </c>
      <c r="G2369" s="38">
        <v>1508</v>
      </c>
      <c r="H2369" s="38">
        <f t="shared" si="113"/>
        <v>2294</v>
      </c>
      <c r="I2369" s="38">
        <v>1516</v>
      </c>
      <c r="J2369" s="38">
        <v>778</v>
      </c>
      <c r="K2369" s="38">
        <v>738</v>
      </c>
      <c r="L2369" s="50">
        <f t="shared" si="114"/>
        <v>32.170880557977334</v>
      </c>
      <c r="M2369" s="38">
        <v>32</v>
      </c>
      <c r="N2369" s="50">
        <f t="shared" si="115"/>
        <v>1.3949433304272014</v>
      </c>
      <c r="O2369" s="38">
        <v>0</v>
      </c>
      <c r="P2369" s="38">
        <v>56</v>
      </c>
    </row>
    <row r="2370" spans="1:31" x14ac:dyDescent="0.25">
      <c r="A2370" s="38" t="s">
        <v>36</v>
      </c>
      <c r="B2370" s="38" t="s">
        <v>4983</v>
      </c>
      <c r="C2370" s="38" t="s">
        <v>5118</v>
      </c>
      <c r="D2370" s="38" t="s">
        <v>5119</v>
      </c>
      <c r="E2370" s="38" t="s">
        <v>5120</v>
      </c>
      <c r="F2370" s="38"/>
      <c r="G2370" s="38"/>
      <c r="H2370" s="38">
        <f t="shared" si="113"/>
        <v>0</v>
      </c>
      <c r="I2370" s="38"/>
      <c r="J2370" s="38"/>
      <c r="K2370" s="38"/>
      <c r="L2370" s="50"/>
      <c r="M2370" s="38"/>
      <c r="N2370" s="50"/>
      <c r="O2370" s="38">
        <v>0</v>
      </c>
      <c r="P2370" s="38">
        <v>0</v>
      </c>
      <c r="Q2370" s="34" t="s">
        <v>43</v>
      </c>
      <c r="R2370" s="7">
        <v>44550</v>
      </c>
      <c r="S2370" s="34"/>
      <c r="T2370" s="11">
        <v>277.29599999999999</v>
      </c>
      <c r="U2370" s="34"/>
      <c r="V2370" s="34"/>
      <c r="W2370" s="34"/>
      <c r="X2370" s="34"/>
      <c r="Y2370" s="34"/>
      <c r="Z2370" s="89"/>
      <c r="AB2370" s="89"/>
      <c r="AC2370" s="34" t="s">
        <v>5121</v>
      </c>
      <c r="AD2370" s="34">
        <v>72.583359000000002</v>
      </c>
      <c r="AE2370" s="34">
        <v>25.865392</v>
      </c>
    </row>
    <row r="2371" spans="1:31" x14ac:dyDescent="0.25">
      <c r="A2371" s="38" t="s">
        <v>36</v>
      </c>
      <c r="B2371" s="38" t="s">
        <v>4983</v>
      </c>
      <c r="C2371" s="38" t="s">
        <v>5118</v>
      </c>
      <c r="D2371" s="38" t="s">
        <v>5119</v>
      </c>
      <c r="E2371" s="38" t="s">
        <v>5120</v>
      </c>
      <c r="F2371" s="38">
        <v>2344</v>
      </c>
      <c r="G2371" s="38">
        <v>2344</v>
      </c>
      <c r="H2371" s="38">
        <f t="shared" si="113"/>
        <v>4850</v>
      </c>
      <c r="I2371" s="38">
        <v>3229</v>
      </c>
      <c r="J2371" s="38">
        <v>1621</v>
      </c>
      <c r="K2371" s="38">
        <v>1608</v>
      </c>
      <c r="L2371" s="50">
        <f t="shared" si="114"/>
        <v>33.154639175257735</v>
      </c>
      <c r="M2371" s="38">
        <v>145</v>
      </c>
      <c r="N2371" s="50">
        <f t="shared" si="115"/>
        <v>2.9896907216494846</v>
      </c>
      <c r="O2371" s="38">
        <v>0</v>
      </c>
      <c r="P2371" s="38">
        <v>0</v>
      </c>
      <c r="Q2371" s="61" t="s">
        <v>43</v>
      </c>
      <c r="R2371" s="19">
        <v>44550</v>
      </c>
      <c r="S2371" s="61"/>
      <c r="T2371" s="243">
        <v>277.29599999999999</v>
      </c>
      <c r="U2371" s="61"/>
      <c r="V2371" s="61"/>
      <c r="W2371" s="61"/>
      <c r="X2371" s="61"/>
      <c r="Y2371" s="61"/>
      <c r="Z2371" s="109"/>
      <c r="AB2371" s="20">
        <v>21</v>
      </c>
      <c r="AC2371" s="61" t="s">
        <v>5121</v>
      </c>
      <c r="AD2371" s="61">
        <v>72.583359000000002</v>
      </c>
      <c r="AE2371" s="61">
        <v>25.865392</v>
      </c>
    </row>
    <row r="2372" spans="1:31" x14ac:dyDescent="0.25">
      <c r="A2372" s="38" t="s">
        <v>36</v>
      </c>
      <c r="B2372" s="38" t="s">
        <v>4983</v>
      </c>
      <c r="C2372" s="38" t="s">
        <v>5118</v>
      </c>
      <c r="D2372" s="38" t="s">
        <v>5122</v>
      </c>
      <c r="E2372" s="38" t="s">
        <v>5123</v>
      </c>
      <c r="F2372" s="38">
        <v>770</v>
      </c>
      <c r="G2372" s="38">
        <v>770</v>
      </c>
      <c r="H2372" s="38">
        <f t="shared" si="113"/>
        <v>957</v>
      </c>
      <c r="I2372" s="38">
        <v>630</v>
      </c>
      <c r="J2372" s="38">
        <v>327</v>
      </c>
      <c r="K2372" s="38">
        <v>303</v>
      </c>
      <c r="L2372" s="50">
        <f t="shared" si="114"/>
        <v>31.661442006269592</v>
      </c>
      <c r="M2372" s="38">
        <v>41</v>
      </c>
      <c r="N2372" s="50">
        <f t="shared" si="115"/>
        <v>4.2842215256008354</v>
      </c>
      <c r="O2372" s="38">
        <v>0</v>
      </c>
      <c r="P2372" s="38">
        <v>46</v>
      </c>
      <c r="Q2372" s="34" t="s">
        <v>43</v>
      </c>
      <c r="R2372" s="7">
        <v>44550</v>
      </c>
      <c r="S2372" s="34"/>
      <c r="T2372" s="11">
        <v>49.28</v>
      </c>
      <c r="U2372" s="34"/>
      <c r="V2372" s="34"/>
      <c r="W2372" s="34"/>
      <c r="X2372" s="34"/>
      <c r="Y2372" s="34"/>
      <c r="Z2372" s="89"/>
      <c r="AB2372" s="89"/>
      <c r="AC2372" s="34" t="s">
        <v>5124</v>
      </c>
      <c r="AD2372" s="34">
        <v>72.573329000000001</v>
      </c>
      <c r="AE2372" s="34">
        <v>25.856058000000001</v>
      </c>
    </row>
    <row r="2373" spans="1:31" x14ac:dyDescent="0.25">
      <c r="A2373" s="38" t="s">
        <v>36</v>
      </c>
      <c r="B2373" s="38" t="s">
        <v>4983</v>
      </c>
      <c r="C2373" s="38" t="s">
        <v>5118</v>
      </c>
      <c r="D2373" s="38" t="s">
        <v>5122</v>
      </c>
      <c r="E2373" s="38" t="s">
        <v>5123</v>
      </c>
      <c r="F2373" s="38">
        <v>770</v>
      </c>
      <c r="G2373" s="38">
        <v>770</v>
      </c>
      <c r="H2373" s="38">
        <f t="shared" ref="H2373:H2436" si="116">I2373+J2373</f>
        <v>957</v>
      </c>
      <c r="I2373" s="38">
        <v>630</v>
      </c>
      <c r="J2373" s="38">
        <v>327</v>
      </c>
      <c r="K2373" s="38">
        <v>303</v>
      </c>
      <c r="L2373" s="50">
        <f t="shared" si="114"/>
        <v>31.661442006269592</v>
      </c>
      <c r="M2373" s="38">
        <v>41</v>
      </c>
      <c r="N2373" s="50">
        <f t="shared" si="115"/>
        <v>4.2842215256008354</v>
      </c>
      <c r="O2373" s="38">
        <v>0</v>
      </c>
      <c r="P2373" s="38">
        <v>46</v>
      </c>
      <c r="Q2373" s="61" t="s">
        <v>43</v>
      </c>
      <c r="R2373" s="19">
        <v>44550</v>
      </c>
      <c r="S2373" s="61"/>
      <c r="T2373" s="243">
        <v>49.28</v>
      </c>
      <c r="U2373" s="61"/>
      <c r="V2373" s="61"/>
      <c r="W2373" s="61"/>
      <c r="X2373" s="61"/>
      <c r="Y2373" s="61"/>
      <c r="Z2373" s="20"/>
      <c r="AB2373" s="20"/>
      <c r="AC2373" s="61" t="s">
        <v>5124</v>
      </c>
      <c r="AD2373" s="61">
        <v>72.573329000000001</v>
      </c>
      <c r="AE2373" s="61">
        <v>25.856058000000001</v>
      </c>
    </row>
    <row r="2374" spans="1:31" x14ac:dyDescent="0.25">
      <c r="A2374" s="38" t="s">
        <v>36</v>
      </c>
      <c r="B2374" s="38" t="s">
        <v>4983</v>
      </c>
      <c r="C2374" s="38" t="s">
        <v>5110</v>
      </c>
      <c r="D2374" s="38" t="s">
        <v>727</v>
      </c>
      <c r="E2374" s="38" t="s">
        <v>5111</v>
      </c>
      <c r="F2374" s="38">
        <v>918</v>
      </c>
      <c r="G2374" s="38">
        <v>918</v>
      </c>
      <c r="H2374" s="38">
        <f t="shared" si="116"/>
        <v>2415</v>
      </c>
      <c r="I2374" s="38">
        <v>1604</v>
      </c>
      <c r="J2374" s="38">
        <v>811</v>
      </c>
      <c r="K2374" s="38">
        <v>793</v>
      </c>
      <c r="L2374" s="50">
        <f t="shared" ref="L2374:L2436" si="117">K2374/H2374*100</f>
        <v>32.836438923395441</v>
      </c>
      <c r="M2374" s="38">
        <v>102</v>
      </c>
      <c r="N2374" s="50">
        <f t="shared" si="115"/>
        <v>4.2236024844720497</v>
      </c>
      <c r="O2374" s="38">
        <v>0</v>
      </c>
      <c r="P2374" s="38">
        <v>49</v>
      </c>
      <c r="AC2374" s="117"/>
      <c r="AD2374" s="117"/>
    </row>
    <row r="2375" spans="1:31" x14ac:dyDescent="0.25">
      <c r="A2375" s="38" t="s">
        <v>36</v>
      </c>
      <c r="B2375" s="38" t="s">
        <v>4983</v>
      </c>
      <c r="C2375" s="38" t="s">
        <v>5125</v>
      </c>
      <c r="D2375" s="38" t="s">
        <v>5125</v>
      </c>
      <c r="E2375" s="38" t="s">
        <v>5126</v>
      </c>
      <c r="F2375" s="38"/>
      <c r="G2375" s="38"/>
      <c r="H2375" s="38">
        <f t="shared" si="116"/>
        <v>0</v>
      </c>
      <c r="I2375" s="38"/>
      <c r="J2375" s="38"/>
      <c r="K2375" s="38"/>
      <c r="L2375" s="50"/>
      <c r="M2375" s="38"/>
      <c r="N2375" s="50"/>
      <c r="O2375" s="38">
        <v>0</v>
      </c>
      <c r="P2375" s="38">
        <v>143</v>
      </c>
      <c r="Q2375" s="34" t="s">
        <v>43</v>
      </c>
      <c r="R2375" s="7">
        <v>44566</v>
      </c>
      <c r="S2375" s="34"/>
      <c r="T2375" s="11">
        <v>190.56</v>
      </c>
      <c r="U2375" s="34"/>
      <c r="V2375" s="34"/>
      <c r="W2375" s="34"/>
      <c r="X2375" s="34"/>
      <c r="Y2375" s="34"/>
      <c r="Z2375" s="89"/>
      <c r="AB2375" s="89"/>
      <c r="AC2375" s="34" t="s">
        <v>5127</v>
      </c>
      <c r="AD2375" s="34">
        <v>72.718082999999993</v>
      </c>
      <c r="AE2375" s="34">
        <v>25.698416999999999</v>
      </c>
    </row>
    <row r="2376" spans="1:31" x14ac:dyDescent="0.25">
      <c r="A2376" s="38" t="s">
        <v>36</v>
      </c>
      <c r="B2376" s="38" t="s">
        <v>4983</v>
      </c>
      <c r="C2376" s="38" t="s">
        <v>5125</v>
      </c>
      <c r="D2376" s="38" t="s">
        <v>5125</v>
      </c>
      <c r="E2376" s="38" t="s">
        <v>5126</v>
      </c>
      <c r="F2376" s="38">
        <v>3132</v>
      </c>
      <c r="G2376" s="38">
        <v>3132</v>
      </c>
      <c r="H2376" s="38">
        <f t="shared" si="116"/>
        <v>3320</v>
      </c>
      <c r="I2376" s="38">
        <v>2182</v>
      </c>
      <c r="J2376" s="38">
        <v>1138</v>
      </c>
      <c r="K2376" s="38">
        <v>1044</v>
      </c>
      <c r="L2376" s="50">
        <f t="shared" si="117"/>
        <v>31.445783132530121</v>
      </c>
      <c r="M2376" s="38">
        <v>212</v>
      </c>
      <c r="N2376" s="50">
        <f t="shared" si="115"/>
        <v>6.3855421686746991</v>
      </c>
      <c r="O2376" s="38">
        <v>0</v>
      </c>
      <c r="P2376" s="38">
        <v>143</v>
      </c>
      <c r="Q2376" s="61" t="s">
        <v>43</v>
      </c>
      <c r="R2376" s="19">
        <v>44566</v>
      </c>
      <c r="S2376" s="61"/>
      <c r="T2376" s="243">
        <v>190.56</v>
      </c>
      <c r="U2376" s="61"/>
      <c r="V2376" s="61"/>
      <c r="W2376" s="61"/>
      <c r="X2376" s="61"/>
      <c r="Y2376" s="61"/>
      <c r="Z2376" s="109"/>
      <c r="AB2376" s="20">
        <v>18</v>
      </c>
      <c r="AC2376" s="61" t="s">
        <v>5127</v>
      </c>
      <c r="AD2376" s="61">
        <v>72.718082999999993</v>
      </c>
      <c r="AE2376" s="61">
        <v>25.698416999999999</v>
      </c>
    </row>
    <row r="2377" spans="1:31" x14ac:dyDescent="0.25">
      <c r="A2377" s="38" t="s">
        <v>36</v>
      </c>
      <c r="B2377" s="38" t="s">
        <v>4983</v>
      </c>
      <c r="C2377" s="38" t="s">
        <v>5128</v>
      </c>
      <c r="D2377" s="38" t="s">
        <v>4988</v>
      </c>
      <c r="E2377" s="38" t="s">
        <v>5129</v>
      </c>
      <c r="F2377" s="38"/>
      <c r="G2377" s="38"/>
      <c r="H2377" s="38">
        <f t="shared" si="116"/>
        <v>0</v>
      </c>
      <c r="I2377" s="38"/>
      <c r="J2377" s="38"/>
      <c r="K2377" s="38"/>
      <c r="L2377" s="50"/>
      <c r="M2377" s="38"/>
      <c r="N2377" s="50"/>
      <c r="O2377" s="38">
        <v>119</v>
      </c>
      <c r="P2377" s="38">
        <v>85</v>
      </c>
      <c r="Q2377" s="34" t="s">
        <v>43</v>
      </c>
      <c r="R2377" s="7">
        <v>44552</v>
      </c>
      <c r="S2377" s="34"/>
      <c r="T2377" s="11">
        <v>85</v>
      </c>
      <c r="U2377" s="34"/>
      <c r="V2377" s="34"/>
      <c r="W2377" s="34"/>
      <c r="X2377" s="34"/>
      <c r="Y2377" s="34"/>
      <c r="Z2377" s="89"/>
      <c r="AB2377" s="89"/>
      <c r="AC2377" s="34" t="s">
        <v>5130</v>
      </c>
      <c r="AD2377" s="34">
        <v>72.575004000000007</v>
      </c>
      <c r="AE2377" s="34">
        <v>25.887208000000001</v>
      </c>
    </row>
    <row r="2378" spans="1:31" x14ac:dyDescent="0.25">
      <c r="A2378" s="38" t="s">
        <v>36</v>
      </c>
      <c r="B2378" s="38" t="s">
        <v>4983</v>
      </c>
      <c r="C2378" s="38" t="s">
        <v>5128</v>
      </c>
      <c r="D2378" s="38" t="s">
        <v>4988</v>
      </c>
      <c r="E2378" s="38" t="s">
        <v>5129</v>
      </c>
      <c r="F2378" s="38"/>
      <c r="G2378" s="38"/>
      <c r="H2378" s="38">
        <f t="shared" si="116"/>
        <v>0</v>
      </c>
      <c r="I2378" s="38"/>
      <c r="J2378" s="38"/>
      <c r="K2378" s="38"/>
      <c r="L2378" s="50"/>
      <c r="M2378" s="38"/>
      <c r="N2378" s="50"/>
      <c r="O2378" s="38">
        <v>119</v>
      </c>
      <c r="P2378" s="38">
        <v>85</v>
      </c>
      <c r="Q2378" s="61" t="s">
        <v>43</v>
      </c>
      <c r="R2378" s="19">
        <v>44552</v>
      </c>
      <c r="S2378" s="61"/>
      <c r="T2378" s="243">
        <v>85</v>
      </c>
      <c r="U2378" s="61"/>
      <c r="V2378" s="61"/>
      <c r="W2378" s="61"/>
      <c r="X2378" s="61"/>
      <c r="Y2378" s="61"/>
      <c r="Z2378" s="78"/>
      <c r="AB2378" s="20">
        <v>85</v>
      </c>
      <c r="AC2378" s="61" t="s">
        <v>5130</v>
      </c>
      <c r="AD2378" s="61">
        <v>72.565183000000005</v>
      </c>
      <c r="AE2378" s="61">
        <v>25.809376</v>
      </c>
    </row>
    <row r="2379" spans="1:31" x14ac:dyDescent="0.25">
      <c r="A2379" s="38" t="s">
        <v>36</v>
      </c>
      <c r="B2379" s="38" t="s">
        <v>4983</v>
      </c>
      <c r="C2379" s="38" t="s">
        <v>5128</v>
      </c>
      <c r="D2379" s="38" t="s">
        <v>4988</v>
      </c>
      <c r="E2379" s="38" t="s">
        <v>5129</v>
      </c>
      <c r="F2379" s="38">
        <v>1456</v>
      </c>
      <c r="G2379" s="38">
        <v>1456</v>
      </c>
      <c r="H2379" s="38">
        <f t="shared" si="116"/>
        <v>20215</v>
      </c>
      <c r="I2379" s="38">
        <v>13322</v>
      </c>
      <c r="J2379" s="38">
        <v>6893</v>
      </c>
      <c r="K2379" s="38">
        <v>6429</v>
      </c>
      <c r="L2379" s="50">
        <f t="shared" si="117"/>
        <v>31.803116497650258</v>
      </c>
      <c r="M2379" s="38">
        <v>1525</v>
      </c>
      <c r="N2379" s="50">
        <f t="shared" si="115"/>
        <v>7.5439030422953248</v>
      </c>
      <c r="O2379" s="38">
        <v>119</v>
      </c>
      <c r="P2379" s="38">
        <v>85</v>
      </c>
      <c r="Q2379" s="34" t="s">
        <v>43</v>
      </c>
      <c r="R2379" s="7">
        <v>44552</v>
      </c>
      <c r="S2379" s="78"/>
      <c r="U2379" s="34"/>
      <c r="V2379" s="34"/>
      <c r="W2379" s="34"/>
      <c r="X2379" s="34"/>
      <c r="Y2379" s="34"/>
      <c r="Z2379" s="89"/>
      <c r="AB2379" s="238">
        <v>30</v>
      </c>
      <c r="AC2379" s="34" t="s">
        <v>5130</v>
      </c>
      <c r="AD2379" s="34">
        <v>72.575004000000007</v>
      </c>
      <c r="AE2379" s="78">
        <v>25.887208000000001</v>
      </c>
    </row>
    <row r="2380" spans="1:31" x14ac:dyDescent="0.25">
      <c r="A2380" s="38" t="s">
        <v>36</v>
      </c>
      <c r="B2380" s="38" t="s">
        <v>4983</v>
      </c>
      <c r="C2380" s="38" t="s">
        <v>5131</v>
      </c>
      <c r="D2380" s="38" t="s">
        <v>5132</v>
      </c>
      <c r="E2380" s="38" t="s">
        <v>5133</v>
      </c>
      <c r="F2380" s="38">
        <v>1723</v>
      </c>
      <c r="G2380" s="38">
        <v>1723</v>
      </c>
      <c r="H2380" s="38">
        <f t="shared" si="116"/>
        <v>6495</v>
      </c>
      <c r="I2380" s="38">
        <v>4268</v>
      </c>
      <c r="J2380" s="38">
        <v>2227</v>
      </c>
      <c r="K2380" s="38">
        <v>2041</v>
      </c>
      <c r="L2380" s="50">
        <f t="shared" si="117"/>
        <v>31.424172440338722</v>
      </c>
      <c r="M2380" s="38">
        <v>296</v>
      </c>
      <c r="N2380" s="50">
        <f t="shared" si="115"/>
        <v>4.5573518090839107</v>
      </c>
      <c r="O2380" s="38">
        <v>16</v>
      </c>
      <c r="P2380" s="38">
        <v>8</v>
      </c>
      <c r="Q2380" s="61" t="s">
        <v>43</v>
      </c>
      <c r="R2380" s="19">
        <v>44550</v>
      </c>
      <c r="S2380" s="61"/>
      <c r="T2380" s="243">
        <v>4.96</v>
      </c>
      <c r="U2380" s="61"/>
      <c r="V2380" s="61"/>
      <c r="W2380" s="61"/>
      <c r="X2380" s="61"/>
      <c r="Y2380" s="61"/>
      <c r="Z2380" s="20"/>
      <c r="AB2380" s="20"/>
      <c r="AC2380" s="61" t="s">
        <v>5134</v>
      </c>
      <c r="AD2380" s="61">
        <v>72.520033999999995</v>
      </c>
      <c r="AE2380" s="61">
        <v>25.881997999999999</v>
      </c>
    </row>
    <row r="2381" spans="1:31" x14ac:dyDescent="0.25">
      <c r="A2381" s="38" t="s">
        <v>36</v>
      </c>
      <c r="B2381" s="38" t="s">
        <v>4983</v>
      </c>
      <c r="C2381" s="38" t="s">
        <v>5135</v>
      </c>
      <c r="D2381" s="38" t="s">
        <v>5136</v>
      </c>
      <c r="E2381" s="38" t="s">
        <v>5137</v>
      </c>
      <c r="F2381" s="38">
        <v>2081.1999999999998</v>
      </c>
      <c r="G2381" s="38">
        <v>2081.1999999999998</v>
      </c>
      <c r="H2381" s="38">
        <f t="shared" si="116"/>
        <v>2647</v>
      </c>
      <c r="I2381" s="38">
        <v>1766</v>
      </c>
      <c r="J2381" s="38">
        <v>881</v>
      </c>
      <c r="K2381" s="38">
        <v>885</v>
      </c>
      <c r="L2381" s="50">
        <f t="shared" si="117"/>
        <v>33.434076312806951</v>
      </c>
      <c r="M2381" s="38">
        <v>355</v>
      </c>
      <c r="N2381" s="50">
        <f t="shared" si="115"/>
        <v>13.411409142425388</v>
      </c>
      <c r="O2381" s="38">
        <v>0</v>
      </c>
      <c r="P2381" s="38">
        <v>10.61</v>
      </c>
      <c r="AC2381" s="117"/>
      <c r="AD2381" s="121"/>
    </row>
    <row r="2382" spans="1:31" x14ac:dyDescent="0.25">
      <c r="A2382" s="38" t="s">
        <v>36</v>
      </c>
      <c r="B2382" s="38" t="s">
        <v>4983</v>
      </c>
      <c r="C2382" s="38" t="s">
        <v>5135</v>
      </c>
      <c r="D2382" s="38" t="s">
        <v>5136</v>
      </c>
      <c r="E2382" s="38" t="s">
        <v>5137</v>
      </c>
      <c r="F2382" s="38">
        <v>2081.1999999999998</v>
      </c>
      <c r="G2382" s="38">
        <v>2081.1999999999998</v>
      </c>
      <c r="H2382" s="38">
        <f t="shared" si="116"/>
        <v>2647</v>
      </c>
      <c r="I2382" s="38">
        <v>1766</v>
      </c>
      <c r="J2382" s="38">
        <v>881</v>
      </c>
      <c r="K2382" s="38">
        <v>885</v>
      </c>
      <c r="L2382" s="50">
        <f t="shared" si="117"/>
        <v>33.434076312806951</v>
      </c>
      <c r="M2382" s="38">
        <v>355</v>
      </c>
      <c r="N2382" s="50">
        <f t="shared" si="115"/>
        <v>13.411409142425388</v>
      </c>
      <c r="O2382" s="38">
        <v>0</v>
      </c>
      <c r="P2382" s="38">
        <v>10.61</v>
      </c>
      <c r="AC2382" s="117"/>
      <c r="AD2382" s="121"/>
    </row>
    <row r="2383" spans="1:31" x14ac:dyDescent="0.25">
      <c r="A2383" s="38" t="s">
        <v>36</v>
      </c>
      <c r="B2383" s="38" t="s">
        <v>4983</v>
      </c>
      <c r="C2383" s="38" t="s">
        <v>5135</v>
      </c>
      <c r="D2383" s="38" t="s">
        <v>5136</v>
      </c>
      <c r="E2383" s="38" t="s">
        <v>5137</v>
      </c>
      <c r="F2383" s="38">
        <v>2081.1999999999998</v>
      </c>
      <c r="G2383" s="38">
        <v>2081.1999999999998</v>
      </c>
      <c r="H2383" s="38">
        <f t="shared" si="116"/>
        <v>2647</v>
      </c>
      <c r="I2383" s="38">
        <v>1766</v>
      </c>
      <c r="J2383" s="38">
        <v>881</v>
      </c>
      <c r="K2383" s="38">
        <v>885</v>
      </c>
      <c r="L2383" s="50">
        <f t="shared" si="117"/>
        <v>33.434076312806951</v>
      </c>
      <c r="M2383" s="38">
        <v>355</v>
      </c>
      <c r="N2383" s="50">
        <f t="shared" si="115"/>
        <v>13.411409142425388</v>
      </c>
      <c r="O2383" s="38">
        <v>0</v>
      </c>
      <c r="P2383" s="38">
        <v>10.61</v>
      </c>
      <c r="Q2383" s="98" t="s">
        <v>160</v>
      </c>
      <c r="R2383" s="7">
        <v>44463</v>
      </c>
      <c r="S2383" s="99"/>
      <c r="T2383" s="11">
        <v>10.4</v>
      </c>
      <c r="U2383" s="98"/>
      <c r="V2383" s="98"/>
      <c r="W2383" s="98"/>
      <c r="X2383" s="98"/>
      <c r="Y2383" s="98"/>
      <c r="Z2383" s="20"/>
      <c r="AB2383" s="20"/>
      <c r="AC2383" s="11" t="s">
        <v>2101</v>
      </c>
      <c r="AD2383" s="61"/>
      <c r="AE2383" s="99"/>
    </row>
    <row r="2384" spans="1:31" x14ac:dyDescent="0.25">
      <c r="A2384" s="38" t="s">
        <v>36</v>
      </c>
      <c r="B2384" s="38" t="s">
        <v>4983</v>
      </c>
      <c r="C2384" s="38" t="s">
        <v>5135</v>
      </c>
      <c r="D2384" s="38" t="s">
        <v>5138</v>
      </c>
      <c r="E2384" s="38" t="s">
        <v>5139</v>
      </c>
      <c r="F2384" s="38">
        <v>868.1</v>
      </c>
      <c r="G2384" s="38">
        <v>868.1</v>
      </c>
      <c r="H2384" s="38">
        <f t="shared" si="116"/>
        <v>271</v>
      </c>
      <c r="I2384" s="38">
        <v>185</v>
      </c>
      <c r="J2384" s="38">
        <v>86</v>
      </c>
      <c r="K2384" s="38">
        <v>99</v>
      </c>
      <c r="L2384" s="50">
        <f t="shared" si="117"/>
        <v>36.531365313653133</v>
      </c>
      <c r="M2384" s="38">
        <v>0</v>
      </c>
      <c r="N2384" s="50">
        <f t="shared" si="115"/>
        <v>0</v>
      </c>
      <c r="O2384" s="38">
        <v>0</v>
      </c>
      <c r="P2384" s="38">
        <v>12.95</v>
      </c>
      <c r="Q2384" s="98" t="s">
        <v>160</v>
      </c>
      <c r="R2384" s="7">
        <v>44463</v>
      </c>
      <c r="S2384" s="99"/>
      <c r="T2384" s="11">
        <v>12.8</v>
      </c>
      <c r="U2384" s="98"/>
      <c r="V2384" s="98"/>
      <c r="W2384" s="98"/>
      <c r="X2384" s="98"/>
      <c r="Y2384" s="98"/>
      <c r="Z2384" s="20"/>
      <c r="AB2384" s="20"/>
      <c r="AC2384" s="11" t="s">
        <v>2103</v>
      </c>
      <c r="AD2384" s="61"/>
      <c r="AE2384" s="99"/>
    </row>
    <row r="2385" spans="1:31" x14ac:dyDescent="0.25">
      <c r="A2385" s="38" t="s">
        <v>36</v>
      </c>
      <c r="B2385" s="38" t="s">
        <v>4983</v>
      </c>
      <c r="C2385" s="38" t="s">
        <v>5140</v>
      </c>
      <c r="D2385" s="38" t="s">
        <v>5141</v>
      </c>
      <c r="E2385" s="38" t="s">
        <v>5142</v>
      </c>
      <c r="F2385" s="38">
        <v>1540</v>
      </c>
      <c r="G2385" s="38">
        <v>1540</v>
      </c>
      <c r="H2385" s="38">
        <f t="shared" si="116"/>
        <v>2377</v>
      </c>
      <c r="I2385" s="38">
        <v>1595</v>
      </c>
      <c r="J2385" s="38">
        <v>782</v>
      </c>
      <c r="K2385" s="38">
        <v>813</v>
      </c>
      <c r="L2385" s="50">
        <f t="shared" si="117"/>
        <v>34.202776609171224</v>
      </c>
      <c r="M2385" s="38">
        <v>119</v>
      </c>
      <c r="N2385" s="50">
        <f t="shared" ref="N2385:N2396" si="118">M2385/H2385*100</f>
        <v>5.0063104753891459</v>
      </c>
      <c r="O2385" s="38">
        <v>0</v>
      </c>
      <c r="P2385" s="38">
        <v>111</v>
      </c>
      <c r="Q2385" s="61" t="s">
        <v>43</v>
      </c>
      <c r="R2385" s="19">
        <v>44550</v>
      </c>
      <c r="S2385" s="61"/>
      <c r="T2385" s="243">
        <v>111</v>
      </c>
      <c r="U2385" s="61"/>
      <c r="V2385" s="61"/>
      <c r="W2385" s="61"/>
      <c r="X2385" s="61"/>
      <c r="Y2385" s="61"/>
      <c r="Z2385" s="109"/>
      <c r="AB2385" s="20">
        <v>15</v>
      </c>
      <c r="AC2385" s="61" t="s">
        <v>5143</v>
      </c>
      <c r="AD2385" s="61">
        <v>72.689214000000007</v>
      </c>
      <c r="AE2385" s="61">
        <v>25.623674999999999</v>
      </c>
    </row>
    <row r="2386" spans="1:31" x14ac:dyDescent="0.25">
      <c r="A2386" s="38" t="s">
        <v>36</v>
      </c>
      <c r="B2386" s="38" t="s">
        <v>4983</v>
      </c>
      <c r="C2386" s="38" t="s">
        <v>5140</v>
      </c>
      <c r="D2386" s="38" t="s">
        <v>5144</v>
      </c>
      <c r="E2386" s="38" t="s">
        <v>5145</v>
      </c>
      <c r="F2386" s="38">
        <v>1333.37</v>
      </c>
      <c r="G2386" s="38">
        <v>1333.37</v>
      </c>
      <c r="H2386" s="38">
        <f t="shared" si="116"/>
        <v>1512</v>
      </c>
      <c r="I2386" s="38">
        <v>1027</v>
      </c>
      <c r="J2386" s="38">
        <v>485</v>
      </c>
      <c r="K2386" s="38">
        <v>542</v>
      </c>
      <c r="L2386" s="50">
        <f t="shared" si="117"/>
        <v>35.846560846560848</v>
      </c>
      <c r="M2386" s="38">
        <v>0</v>
      </c>
      <c r="N2386" s="50">
        <f t="shared" si="118"/>
        <v>0</v>
      </c>
      <c r="O2386" s="38">
        <v>0</v>
      </c>
      <c r="P2386" s="38">
        <v>55.08</v>
      </c>
      <c r="Q2386" s="61" t="s">
        <v>43</v>
      </c>
      <c r="R2386" s="19">
        <v>44535</v>
      </c>
      <c r="S2386" s="61"/>
      <c r="T2386" s="243">
        <v>55</v>
      </c>
      <c r="U2386" s="61"/>
      <c r="V2386" s="61"/>
      <c r="W2386" s="61"/>
      <c r="X2386" s="61"/>
      <c r="Y2386" s="61"/>
      <c r="Z2386" s="20"/>
      <c r="AB2386" s="20"/>
      <c r="AC2386" s="61" t="s">
        <v>5146</v>
      </c>
      <c r="AD2386" s="61">
        <v>72.681837999999999</v>
      </c>
      <c r="AE2386" s="61">
        <v>25.675653000000001</v>
      </c>
    </row>
    <row r="2387" spans="1:31" x14ac:dyDescent="0.25">
      <c r="A2387" s="38" t="s">
        <v>36</v>
      </c>
      <c r="B2387" s="38" t="s">
        <v>4983</v>
      </c>
      <c r="C2387" s="38" t="s">
        <v>5147</v>
      </c>
      <c r="D2387" s="38" t="s">
        <v>5148</v>
      </c>
      <c r="E2387" s="38" t="s">
        <v>5149</v>
      </c>
      <c r="F2387" s="38">
        <v>1864</v>
      </c>
      <c r="G2387" s="38">
        <v>1864</v>
      </c>
      <c r="H2387" s="38">
        <f t="shared" si="116"/>
        <v>2548</v>
      </c>
      <c r="I2387" s="38">
        <v>1680</v>
      </c>
      <c r="J2387" s="38">
        <v>868</v>
      </c>
      <c r="K2387" s="38">
        <v>812</v>
      </c>
      <c r="L2387" s="50">
        <f t="shared" si="117"/>
        <v>31.868131868131865</v>
      </c>
      <c r="M2387" s="38">
        <v>57</v>
      </c>
      <c r="N2387" s="50">
        <f t="shared" si="118"/>
        <v>2.2370486656200943</v>
      </c>
      <c r="O2387" s="38">
        <v>0</v>
      </c>
      <c r="P2387" s="38">
        <v>138</v>
      </c>
      <c r="Q2387" s="98" t="s">
        <v>160</v>
      </c>
      <c r="R2387" s="7">
        <v>44561</v>
      </c>
      <c r="S2387" s="99"/>
      <c r="T2387" s="11">
        <v>21.44</v>
      </c>
      <c r="U2387" s="98"/>
      <c r="V2387" s="98"/>
      <c r="W2387" s="98"/>
      <c r="X2387" s="98"/>
      <c r="Y2387" s="98"/>
      <c r="Z2387" s="20"/>
      <c r="AB2387" s="20"/>
      <c r="AC2387" s="11" t="s">
        <v>5150</v>
      </c>
      <c r="AD2387" s="61"/>
      <c r="AE2387" s="99"/>
    </row>
    <row r="2388" spans="1:31" x14ac:dyDescent="0.25">
      <c r="A2388" s="38" t="s">
        <v>36</v>
      </c>
      <c r="B2388" s="38" t="s">
        <v>4983</v>
      </c>
      <c r="C2388" s="38" t="s">
        <v>5147</v>
      </c>
      <c r="D2388" s="38" t="s">
        <v>5151</v>
      </c>
      <c r="E2388" s="38" t="s">
        <v>5152</v>
      </c>
      <c r="F2388" s="38">
        <v>973</v>
      </c>
      <c r="G2388" s="38">
        <v>973</v>
      </c>
      <c r="H2388" s="38">
        <f t="shared" si="116"/>
        <v>2233</v>
      </c>
      <c r="I2388" s="38">
        <v>1483</v>
      </c>
      <c r="J2388" s="38">
        <v>750</v>
      </c>
      <c r="K2388" s="38">
        <v>733</v>
      </c>
      <c r="L2388" s="50">
        <f t="shared" si="117"/>
        <v>32.825794894760413</v>
      </c>
      <c r="M2388" s="38">
        <v>63</v>
      </c>
      <c r="N2388" s="50">
        <f t="shared" si="118"/>
        <v>2.8213166144200628</v>
      </c>
      <c r="O2388" s="38">
        <v>0</v>
      </c>
      <c r="P2388" s="38">
        <v>74</v>
      </c>
      <c r="Q2388" s="98"/>
      <c r="R2388" s="7"/>
      <c r="S2388" s="99"/>
      <c r="U2388" s="98"/>
      <c r="V2388" s="98"/>
      <c r="W2388" s="98"/>
      <c r="X2388" s="98"/>
      <c r="Y2388" s="98"/>
      <c r="Z2388" s="20"/>
      <c r="AB2388" s="20"/>
      <c r="AD2388" s="61"/>
      <c r="AE2388" s="99"/>
    </row>
    <row r="2389" spans="1:31" x14ac:dyDescent="0.25">
      <c r="A2389" s="38" t="s">
        <v>36</v>
      </c>
      <c r="B2389" s="38" t="s">
        <v>4983</v>
      </c>
      <c r="C2389" s="38" t="s">
        <v>5147</v>
      </c>
      <c r="D2389" s="38" t="s">
        <v>5153</v>
      </c>
      <c r="E2389" s="38" t="s">
        <v>5154</v>
      </c>
      <c r="F2389" s="38">
        <v>1566</v>
      </c>
      <c r="G2389" s="38">
        <v>1566</v>
      </c>
      <c r="H2389" s="38">
        <f t="shared" si="116"/>
        <v>2842</v>
      </c>
      <c r="I2389" s="38">
        <v>1859</v>
      </c>
      <c r="J2389" s="38">
        <v>983</v>
      </c>
      <c r="K2389" s="38">
        <v>876</v>
      </c>
      <c r="L2389" s="50">
        <f t="shared" si="117"/>
        <v>30.823363828289935</v>
      </c>
      <c r="M2389" s="38">
        <v>95</v>
      </c>
      <c r="N2389" s="50">
        <f t="shared" si="118"/>
        <v>3.3427163969035889</v>
      </c>
      <c r="O2389" s="38">
        <v>0</v>
      </c>
      <c r="P2389" s="38">
        <v>49</v>
      </c>
      <c r="Q2389" s="98" t="s">
        <v>160</v>
      </c>
      <c r="R2389" s="7">
        <v>44561</v>
      </c>
      <c r="S2389" s="99"/>
      <c r="T2389" s="4">
        <v>47.68</v>
      </c>
      <c r="U2389" s="98"/>
      <c r="V2389" s="98"/>
      <c r="W2389" s="98"/>
      <c r="X2389" s="98"/>
      <c r="Y2389" s="98"/>
      <c r="Z2389" s="20"/>
      <c r="AB2389" s="20"/>
      <c r="AC2389" s="11" t="s">
        <v>5155</v>
      </c>
      <c r="AD2389" s="61"/>
      <c r="AE2389" s="99"/>
    </row>
    <row r="2390" spans="1:31" x14ac:dyDescent="0.25">
      <c r="A2390" s="38" t="s">
        <v>36</v>
      </c>
      <c r="B2390" s="38" t="s">
        <v>4983</v>
      </c>
      <c r="C2390" s="38" t="s">
        <v>5156</v>
      </c>
      <c r="D2390" s="38" t="s">
        <v>5157</v>
      </c>
      <c r="E2390" s="38" t="s">
        <v>5158</v>
      </c>
      <c r="F2390" s="38">
        <v>1057.24</v>
      </c>
      <c r="G2390" s="38">
        <v>1057.24</v>
      </c>
      <c r="H2390" s="38">
        <f t="shared" si="116"/>
        <v>3355</v>
      </c>
      <c r="I2390" s="38">
        <v>2202</v>
      </c>
      <c r="J2390" s="38">
        <v>1153</v>
      </c>
      <c r="K2390" s="38">
        <v>1049</v>
      </c>
      <c r="L2390" s="50">
        <f t="shared" si="117"/>
        <v>31.266766020864385</v>
      </c>
      <c r="M2390" s="38">
        <v>109</v>
      </c>
      <c r="N2390" s="50">
        <f t="shared" si="118"/>
        <v>3.2488822652757077</v>
      </c>
      <c r="O2390" s="38">
        <v>0</v>
      </c>
      <c r="P2390" s="38">
        <v>6.85</v>
      </c>
      <c r="Q2390" s="61" t="s">
        <v>43</v>
      </c>
      <c r="R2390" s="188">
        <v>44550</v>
      </c>
      <c r="S2390" s="61"/>
      <c r="T2390" s="20">
        <v>6.5</v>
      </c>
      <c r="U2390" s="61"/>
      <c r="V2390" s="61"/>
      <c r="W2390" s="61"/>
      <c r="X2390" s="61"/>
      <c r="Y2390" s="61"/>
      <c r="Z2390" s="109"/>
      <c r="AB2390" s="20">
        <v>5</v>
      </c>
      <c r="AC2390" s="34" t="s">
        <v>5159</v>
      </c>
      <c r="AD2390" s="61">
        <v>72.538962999999995</v>
      </c>
      <c r="AE2390" s="61">
        <v>25.820516999999999</v>
      </c>
    </row>
    <row r="2391" spans="1:31" x14ac:dyDescent="0.25">
      <c r="A2391" s="38" t="s">
        <v>36</v>
      </c>
      <c r="B2391" s="38" t="s">
        <v>4983</v>
      </c>
      <c r="C2391" s="38" t="s">
        <v>5156</v>
      </c>
      <c r="D2391" s="38" t="s">
        <v>536</v>
      </c>
      <c r="E2391" s="38" t="s">
        <v>5160</v>
      </c>
      <c r="F2391" s="38">
        <v>1236.3399999999999</v>
      </c>
      <c r="G2391" s="38">
        <v>1236.3399999999999</v>
      </c>
      <c r="H2391" s="38">
        <f t="shared" si="116"/>
        <v>1556</v>
      </c>
      <c r="I2391" s="38">
        <v>1014</v>
      </c>
      <c r="J2391" s="38">
        <v>542</v>
      </c>
      <c r="K2391" s="38">
        <v>472</v>
      </c>
      <c r="L2391" s="50">
        <f t="shared" si="117"/>
        <v>30.334190231362467</v>
      </c>
      <c r="M2391" s="38">
        <v>8</v>
      </c>
      <c r="N2391" s="50">
        <f t="shared" si="118"/>
        <v>0.51413881748071977</v>
      </c>
      <c r="O2391" s="38">
        <v>0</v>
      </c>
      <c r="P2391" s="38">
        <v>45.18</v>
      </c>
      <c r="Q2391" s="61" t="s">
        <v>43</v>
      </c>
      <c r="R2391" s="188">
        <v>44550</v>
      </c>
      <c r="S2391" s="61"/>
      <c r="T2391" s="20">
        <v>29</v>
      </c>
      <c r="U2391" s="61"/>
      <c r="V2391" s="61"/>
      <c r="W2391" s="61"/>
      <c r="X2391" s="61"/>
      <c r="Y2391" s="61"/>
      <c r="Z2391" s="109"/>
      <c r="AB2391" s="20">
        <v>22</v>
      </c>
      <c r="AC2391" s="34" t="s">
        <v>5161</v>
      </c>
      <c r="AD2391" s="61">
        <v>72.527365000000003</v>
      </c>
      <c r="AE2391" s="61">
        <v>25.850034000000001</v>
      </c>
    </row>
    <row r="2392" spans="1:31" x14ac:dyDescent="0.25">
      <c r="A2392" s="38" t="s">
        <v>36</v>
      </c>
      <c r="B2392" s="38" t="s">
        <v>4983</v>
      </c>
      <c r="C2392" s="38" t="s">
        <v>5162</v>
      </c>
      <c r="D2392" s="38" t="s">
        <v>5162</v>
      </c>
      <c r="E2392" s="38" t="s">
        <v>5163</v>
      </c>
      <c r="F2392" s="38">
        <v>2418</v>
      </c>
      <c r="G2392" s="38">
        <v>2418</v>
      </c>
      <c r="H2392" s="38">
        <f t="shared" si="116"/>
        <v>2005</v>
      </c>
      <c r="I2392" s="38">
        <v>1330</v>
      </c>
      <c r="J2392" s="38">
        <v>675</v>
      </c>
      <c r="K2392" s="38">
        <v>655</v>
      </c>
      <c r="L2392" s="50">
        <f t="shared" si="117"/>
        <v>32.668329177057359</v>
      </c>
      <c r="M2392" s="38">
        <v>11</v>
      </c>
      <c r="N2392" s="50">
        <f t="shared" si="118"/>
        <v>0.54862842892768082</v>
      </c>
      <c r="O2392" s="38">
        <v>0</v>
      </c>
      <c r="P2392" s="38">
        <v>77</v>
      </c>
      <c r="Q2392" s="61" t="s">
        <v>43</v>
      </c>
      <c r="R2392" s="19">
        <v>44575</v>
      </c>
      <c r="S2392" s="61"/>
      <c r="T2392" s="243">
        <v>73</v>
      </c>
      <c r="U2392" s="61"/>
      <c r="V2392" s="61"/>
      <c r="W2392" s="61"/>
      <c r="X2392" s="61"/>
      <c r="Y2392" s="61"/>
      <c r="Z2392" s="20"/>
      <c r="AB2392" s="20"/>
      <c r="AC2392" s="61" t="s">
        <v>5164</v>
      </c>
      <c r="AD2392" s="61">
        <v>25.783300000000001</v>
      </c>
      <c r="AE2392" s="61">
        <v>72.724047999999996</v>
      </c>
    </row>
    <row r="2393" spans="1:31" x14ac:dyDescent="0.25">
      <c r="A2393" s="38" t="s">
        <v>36</v>
      </c>
      <c r="B2393" s="38" t="s">
        <v>4983</v>
      </c>
      <c r="C2393" s="38" t="s">
        <v>5162</v>
      </c>
      <c r="D2393" s="38" t="s">
        <v>5165</v>
      </c>
      <c r="E2393" s="38" t="s">
        <v>5166</v>
      </c>
      <c r="F2393" s="38">
        <v>573</v>
      </c>
      <c r="G2393" s="38">
        <v>573</v>
      </c>
      <c r="H2393" s="38">
        <f t="shared" si="116"/>
        <v>1799</v>
      </c>
      <c r="I2393" s="38">
        <v>1179</v>
      </c>
      <c r="J2393" s="38">
        <v>620</v>
      </c>
      <c r="K2393" s="38">
        <v>559</v>
      </c>
      <c r="L2393" s="50">
        <f t="shared" si="117"/>
        <v>31.072818232351306</v>
      </c>
      <c r="M2393" s="38">
        <v>6</v>
      </c>
      <c r="N2393" s="50">
        <f t="shared" si="118"/>
        <v>0.33351862145636463</v>
      </c>
      <c r="O2393" s="38">
        <v>0</v>
      </c>
      <c r="P2393" s="38">
        <v>16</v>
      </c>
      <c r="Q2393" s="61" t="s">
        <v>43</v>
      </c>
      <c r="R2393" s="19">
        <v>44575</v>
      </c>
      <c r="S2393" s="61"/>
      <c r="T2393" s="243">
        <v>19.2</v>
      </c>
      <c r="U2393" s="61"/>
      <c r="V2393" s="61"/>
      <c r="W2393" s="61"/>
      <c r="X2393" s="61"/>
      <c r="Y2393" s="61"/>
      <c r="Z2393" s="20"/>
      <c r="AB2393" s="20"/>
      <c r="AC2393" s="61" t="s">
        <v>5167</v>
      </c>
      <c r="AD2393" s="61">
        <v>72.665816000000007</v>
      </c>
      <c r="AE2393" s="61">
        <v>25.790291</v>
      </c>
    </row>
    <row r="2394" spans="1:31" x14ac:dyDescent="0.25">
      <c r="A2394" s="38" t="s">
        <v>36</v>
      </c>
      <c r="B2394" s="38" t="s">
        <v>5168</v>
      </c>
      <c r="C2394" s="38" t="s">
        <v>5169</v>
      </c>
      <c r="D2394" s="38" t="s">
        <v>5169</v>
      </c>
      <c r="E2394" s="38" t="s">
        <v>5170</v>
      </c>
      <c r="F2394" s="38">
        <v>1806</v>
      </c>
      <c r="G2394" s="38">
        <v>1806</v>
      </c>
      <c r="H2394" s="38">
        <f t="shared" si="116"/>
        <v>3308</v>
      </c>
      <c r="I2394" s="38">
        <v>2184</v>
      </c>
      <c r="J2394" s="38">
        <v>1124</v>
      </c>
      <c r="K2394" s="38">
        <v>1060</v>
      </c>
      <c r="L2394" s="50">
        <f t="shared" si="117"/>
        <v>32.043530834340991</v>
      </c>
      <c r="M2394" s="38">
        <v>14</v>
      </c>
      <c r="N2394" s="50">
        <f t="shared" si="118"/>
        <v>0.42321644498186217</v>
      </c>
      <c r="O2394" s="38">
        <v>0</v>
      </c>
      <c r="P2394" s="38">
        <v>63</v>
      </c>
      <c r="Q2394" s="61" t="s">
        <v>43</v>
      </c>
      <c r="R2394" s="7">
        <v>44586</v>
      </c>
      <c r="S2394" s="61"/>
      <c r="T2394" s="61">
        <v>63</v>
      </c>
      <c r="U2394" s="61"/>
      <c r="V2394" s="61"/>
      <c r="W2394" s="61"/>
      <c r="X2394" s="61"/>
      <c r="Y2394" s="61"/>
      <c r="Z2394" s="20"/>
      <c r="AB2394" s="20"/>
      <c r="AC2394" s="11" t="s">
        <v>1706</v>
      </c>
      <c r="AD2394" s="61"/>
      <c r="AE2394" s="61"/>
    </row>
    <row r="2395" spans="1:31" x14ac:dyDescent="0.25">
      <c r="A2395" s="38" t="s">
        <v>36</v>
      </c>
      <c r="B2395" s="38" t="s">
        <v>5168</v>
      </c>
      <c r="C2395" s="38" t="s">
        <v>5171</v>
      </c>
      <c r="D2395" s="38" t="s">
        <v>5171</v>
      </c>
      <c r="E2395" s="38" t="s">
        <v>5172</v>
      </c>
      <c r="F2395" s="38">
        <v>648.66999999999996</v>
      </c>
      <c r="G2395" s="38">
        <v>648.66999999999996</v>
      </c>
      <c r="H2395" s="38">
        <f t="shared" si="116"/>
        <v>1522</v>
      </c>
      <c r="I2395" s="38">
        <v>1013</v>
      </c>
      <c r="J2395" s="38">
        <v>509</v>
      </c>
      <c r="K2395" s="38">
        <v>504</v>
      </c>
      <c r="L2395" s="50">
        <f t="shared" si="117"/>
        <v>33.114323258869909</v>
      </c>
      <c r="M2395" s="38">
        <v>178</v>
      </c>
      <c r="N2395" s="50">
        <f t="shared" si="118"/>
        <v>11.695137976346912</v>
      </c>
      <c r="O2395" s="38">
        <v>0</v>
      </c>
      <c r="P2395" s="38">
        <v>0</v>
      </c>
      <c r="Q2395" s="61" t="s">
        <v>43</v>
      </c>
      <c r="R2395" s="7">
        <v>44588</v>
      </c>
      <c r="S2395" s="61"/>
      <c r="T2395" s="61">
        <v>0</v>
      </c>
      <c r="U2395" s="61"/>
      <c r="V2395" s="61"/>
      <c r="W2395" s="61"/>
      <c r="X2395" s="61"/>
      <c r="Y2395" s="61"/>
      <c r="Z2395" s="20"/>
      <c r="AB2395" s="20"/>
      <c r="AC2395" s="11" t="s">
        <v>5173</v>
      </c>
      <c r="AD2395" s="61">
        <v>0</v>
      </c>
      <c r="AE2395" s="61"/>
    </row>
    <row r="2396" spans="1:31" x14ac:dyDescent="0.25">
      <c r="A2396" s="38" t="s">
        <v>36</v>
      </c>
      <c r="B2396" s="38" t="s">
        <v>5168</v>
      </c>
      <c r="C2396" s="38" t="s">
        <v>5171</v>
      </c>
      <c r="D2396" s="38" t="s">
        <v>5174</v>
      </c>
      <c r="E2396" s="38" t="s">
        <v>5175</v>
      </c>
      <c r="F2396" s="38">
        <v>832.83</v>
      </c>
      <c r="G2396" s="38">
        <v>832.83</v>
      </c>
      <c r="H2396" s="38">
        <f t="shared" si="116"/>
        <v>1350</v>
      </c>
      <c r="I2396" s="38">
        <v>876</v>
      </c>
      <c r="J2396" s="38">
        <v>474</v>
      </c>
      <c r="K2396" s="38">
        <v>402</v>
      </c>
      <c r="L2396" s="50">
        <f t="shared" si="117"/>
        <v>29.777777777777775</v>
      </c>
      <c r="M2396" s="38">
        <v>54</v>
      </c>
      <c r="N2396" s="50">
        <f t="shared" si="118"/>
        <v>4</v>
      </c>
      <c r="O2396" s="38">
        <v>0</v>
      </c>
      <c r="P2396" s="38">
        <v>37.869999999999997</v>
      </c>
      <c r="Q2396" s="61" t="s">
        <v>43</v>
      </c>
      <c r="R2396" s="7">
        <v>44588</v>
      </c>
      <c r="S2396" s="61"/>
      <c r="T2396" s="61">
        <v>0</v>
      </c>
      <c r="U2396" s="61"/>
      <c r="V2396" s="61"/>
      <c r="W2396" s="61"/>
      <c r="X2396" s="61"/>
      <c r="Y2396" s="61"/>
      <c r="Z2396" s="20"/>
      <c r="AB2396" s="20"/>
      <c r="AC2396" s="11" t="s">
        <v>5176</v>
      </c>
      <c r="AD2396" s="61">
        <v>0</v>
      </c>
      <c r="AE2396" s="61"/>
    </row>
    <row r="2397" spans="1:31" x14ac:dyDescent="0.25">
      <c r="A2397" s="38" t="s">
        <v>36</v>
      </c>
      <c r="B2397" s="38" t="s">
        <v>5168</v>
      </c>
      <c r="C2397" s="38" t="s">
        <v>5171</v>
      </c>
      <c r="D2397" s="38" t="s">
        <v>5177</v>
      </c>
      <c r="E2397" s="38" t="s">
        <v>5178</v>
      </c>
      <c r="F2397" s="38">
        <v>827.4</v>
      </c>
      <c r="G2397" s="38">
        <v>827.4</v>
      </c>
      <c r="H2397" s="38">
        <f t="shared" si="116"/>
        <v>1477</v>
      </c>
      <c r="I2397" s="38">
        <v>960</v>
      </c>
      <c r="J2397" s="38">
        <v>517</v>
      </c>
      <c r="K2397" s="38">
        <v>443</v>
      </c>
      <c r="L2397" s="50">
        <f t="shared" si="117"/>
        <v>29.993229519295873</v>
      </c>
      <c r="M2397" s="38">
        <v>4</v>
      </c>
      <c r="N2397" s="50">
        <f>M2397/H2397*100</f>
        <v>0.27081922816519971</v>
      </c>
      <c r="O2397" s="38">
        <v>0</v>
      </c>
      <c r="P2397" s="38">
        <v>43.2</v>
      </c>
      <c r="Q2397" s="61" t="s">
        <v>43</v>
      </c>
      <c r="R2397" s="7">
        <v>44588</v>
      </c>
      <c r="S2397" s="61"/>
      <c r="T2397" s="61">
        <v>43</v>
      </c>
      <c r="U2397" s="61"/>
      <c r="V2397" s="61"/>
      <c r="W2397" s="61"/>
      <c r="X2397" s="61"/>
      <c r="Y2397" s="61"/>
      <c r="Z2397" s="20"/>
      <c r="AB2397" s="20"/>
      <c r="AC2397" s="11" t="s">
        <v>5179</v>
      </c>
      <c r="AD2397" s="61"/>
      <c r="AE2397" s="61"/>
    </row>
    <row r="2398" spans="1:31" x14ac:dyDescent="0.25">
      <c r="A2398" s="38" t="s">
        <v>36</v>
      </c>
      <c r="B2398" s="38" t="s">
        <v>5168</v>
      </c>
      <c r="C2398" s="38" t="s">
        <v>5180</v>
      </c>
      <c r="D2398" s="38" t="s">
        <v>5180</v>
      </c>
      <c r="E2398" s="38" t="s">
        <v>5181</v>
      </c>
      <c r="F2398" s="38">
        <v>1450.74</v>
      </c>
      <c r="G2398" s="38">
        <v>1450.74</v>
      </c>
      <c r="H2398" s="38">
        <f t="shared" si="116"/>
        <v>2018</v>
      </c>
      <c r="I2398" s="38">
        <v>1319</v>
      </c>
      <c r="J2398" s="38">
        <v>699</v>
      </c>
      <c r="K2398" s="38">
        <v>620</v>
      </c>
      <c r="L2398" s="50">
        <f t="shared" si="117"/>
        <v>30.723488602576808</v>
      </c>
      <c r="M2398" s="38">
        <v>0</v>
      </c>
      <c r="N2398" s="50">
        <f t="shared" ref="N2398:N2461" si="119">M2398/H2398*100</f>
        <v>0</v>
      </c>
      <c r="O2398" s="38">
        <v>0</v>
      </c>
      <c r="P2398" s="38">
        <v>30</v>
      </c>
    </row>
    <row r="2399" spans="1:31" x14ac:dyDescent="0.25">
      <c r="A2399" s="38" t="s">
        <v>36</v>
      </c>
      <c r="B2399" s="38" t="s">
        <v>5168</v>
      </c>
      <c r="C2399" s="38" t="s">
        <v>5180</v>
      </c>
      <c r="D2399" s="38" t="s">
        <v>5182</v>
      </c>
      <c r="E2399" s="38" t="s">
        <v>5183</v>
      </c>
      <c r="F2399" s="38">
        <v>1329.79</v>
      </c>
      <c r="G2399" s="38">
        <v>1329.79</v>
      </c>
      <c r="H2399" s="38">
        <f t="shared" si="116"/>
        <v>1413</v>
      </c>
      <c r="I2399" s="38">
        <v>941</v>
      </c>
      <c r="J2399" s="38">
        <v>472</v>
      </c>
      <c r="K2399" s="38">
        <v>469</v>
      </c>
      <c r="L2399" s="50">
        <f t="shared" si="117"/>
        <v>33.191790516631279</v>
      </c>
      <c r="M2399" s="38">
        <v>0</v>
      </c>
      <c r="N2399" s="50">
        <f t="shared" si="119"/>
        <v>0</v>
      </c>
      <c r="O2399" s="38">
        <v>0</v>
      </c>
      <c r="P2399" s="38">
        <v>50.14</v>
      </c>
    </row>
    <row r="2400" spans="1:31" x14ac:dyDescent="0.25">
      <c r="A2400" s="38" t="s">
        <v>36</v>
      </c>
      <c r="B2400" s="38" t="s">
        <v>5168</v>
      </c>
      <c r="C2400" s="38" t="s">
        <v>5180</v>
      </c>
      <c r="D2400" s="38" t="s">
        <v>395</v>
      </c>
      <c r="E2400" s="38" t="s">
        <v>5184</v>
      </c>
      <c r="F2400" s="38">
        <v>737</v>
      </c>
      <c r="G2400" s="38">
        <v>737</v>
      </c>
      <c r="H2400" s="38">
        <f t="shared" si="116"/>
        <v>1424</v>
      </c>
      <c r="I2400" s="38">
        <v>944</v>
      </c>
      <c r="J2400" s="38">
        <v>480</v>
      </c>
      <c r="K2400" s="38">
        <v>464</v>
      </c>
      <c r="L2400" s="50">
        <f t="shared" si="117"/>
        <v>32.584269662921351</v>
      </c>
      <c r="M2400" s="38">
        <v>0</v>
      </c>
      <c r="N2400" s="50">
        <f t="shared" si="119"/>
        <v>0</v>
      </c>
      <c r="O2400" s="38">
        <v>0</v>
      </c>
      <c r="P2400" s="38">
        <v>0</v>
      </c>
    </row>
    <row r="2401" spans="1:31" x14ac:dyDescent="0.25">
      <c r="A2401" s="38" t="s">
        <v>36</v>
      </c>
      <c r="B2401" s="38" t="s">
        <v>5168</v>
      </c>
      <c r="C2401" s="38" t="s">
        <v>5185</v>
      </c>
      <c r="D2401" s="38" t="s">
        <v>5186</v>
      </c>
      <c r="E2401" s="38" t="s">
        <v>5187</v>
      </c>
      <c r="F2401" s="38">
        <v>2069.73</v>
      </c>
      <c r="G2401" s="38">
        <v>2069.73</v>
      </c>
      <c r="H2401" s="38">
        <f t="shared" si="116"/>
        <v>3086</v>
      </c>
      <c r="I2401" s="38">
        <v>2036</v>
      </c>
      <c r="J2401" s="38">
        <v>1050</v>
      </c>
      <c r="K2401" s="38">
        <v>986</v>
      </c>
      <c r="L2401" s="50">
        <f t="shared" si="117"/>
        <v>31.950745301360982</v>
      </c>
      <c r="M2401" s="38">
        <v>70</v>
      </c>
      <c r="N2401" s="50">
        <f t="shared" si="119"/>
        <v>2.268308489954634</v>
      </c>
      <c r="O2401" s="38">
        <v>28</v>
      </c>
      <c r="P2401" s="38">
        <v>0</v>
      </c>
      <c r="Q2401" s="61" t="s">
        <v>43</v>
      </c>
      <c r="R2401" s="7">
        <v>44572</v>
      </c>
      <c r="S2401" s="61"/>
      <c r="T2401" s="61">
        <v>0</v>
      </c>
      <c r="U2401" s="61"/>
      <c r="V2401" s="61"/>
      <c r="W2401" s="61"/>
      <c r="X2401" s="61"/>
      <c r="Y2401" s="61"/>
      <c r="Z2401" s="20"/>
      <c r="AB2401" s="20"/>
      <c r="AC2401" s="11" t="s">
        <v>5185</v>
      </c>
      <c r="AD2401" s="61">
        <v>0</v>
      </c>
      <c r="AE2401" s="61"/>
    </row>
    <row r="2402" spans="1:31" x14ac:dyDescent="0.25">
      <c r="A2402" s="38" t="s">
        <v>36</v>
      </c>
      <c r="B2402" s="41" t="s">
        <v>5168</v>
      </c>
      <c r="C2402" s="41" t="s">
        <v>5185</v>
      </c>
      <c r="D2402" s="41" t="s">
        <v>5186</v>
      </c>
      <c r="E2402" s="41"/>
      <c r="F2402" s="41"/>
      <c r="G2402" s="41"/>
      <c r="H2402" s="38">
        <f t="shared" si="116"/>
        <v>0</v>
      </c>
      <c r="I2402" s="41"/>
      <c r="J2402" s="41"/>
      <c r="K2402" s="41"/>
      <c r="L2402" s="50"/>
      <c r="M2402" s="41"/>
      <c r="N2402" s="50"/>
      <c r="O2402" s="41"/>
      <c r="P2402" s="41"/>
      <c r="Q2402" s="61" t="s">
        <v>43</v>
      </c>
      <c r="R2402" s="24">
        <v>44572</v>
      </c>
      <c r="S2402" s="44"/>
      <c r="T2402" s="61"/>
      <c r="U2402" s="61"/>
      <c r="V2402" s="61"/>
      <c r="W2402" s="61"/>
      <c r="X2402" s="61"/>
      <c r="Y2402" s="61"/>
      <c r="Z2402" s="205"/>
      <c r="AB2402" s="5">
        <v>25</v>
      </c>
      <c r="AC2402" s="18" t="s">
        <v>5185</v>
      </c>
      <c r="AD2402" s="44">
        <v>25.004843000000001</v>
      </c>
      <c r="AE2402" s="44">
        <v>71.131825000000006</v>
      </c>
    </row>
    <row r="2403" spans="1:31" x14ac:dyDescent="0.25">
      <c r="A2403" s="38" t="s">
        <v>36</v>
      </c>
      <c r="B2403" s="41" t="s">
        <v>5168</v>
      </c>
      <c r="C2403" s="41" t="s">
        <v>5185</v>
      </c>
      <c r="D2403" s="41" t="s">
        <v>5188</v>
      </c>
      <c r="E2403" s="41" t="s">
        <v>5189</v>
      </c>
      <c r="F2403" s="41">
        <v>332.32</v>
      </c>
      <c r="G2403" s="41">
        <v>332.32</v>
      </c>
      <c r="H2403" s="38">
        <f t="shared" si="116"/>
        <v>468</v>
      </c>
      <c r="I2403" s="41">
        <v>310</v>
      </c>
      <c r="J2403" s="41">
        <v>158</v>
      </c>
      <c r="K2403" s="41">
        <v>152</v>
      </c>
      <c r="L2403" s="50">
        <f t="shared" si="117"/>
        <v>32.478632478632477</v>
      </c>
      <c r="M2403" s="41">
        <v>0</v>
      </c>
      <c r="N2403" s="50">
        <f t="shared" si="119"/>
        <v>0</v>
      </c>
      <c r="O2403" s="41">
        <v>0</v>
      </c>
      <c r="P2403" s="41">
        <v>0</v>
      </c>
      <c r="Q2403" s="61" t="s">
        <v>43</v>
      </c>
      <c r="R2403" s="24">
        <v>44572</v>
      </c>
      <c r="S2403" s="44"/>
      <c r="T2403" s="61"/>
      <c r="U2403" s="61"/>
      <c r="V2403" s="61"/>
      <c r="W2403" s="61"/>
      <c r="X2403" s="61"/>
      <c r="Y2403" s="61"/>
      <c r="Z2403" s="205"/>
      <c r="AB2403" s="5">
        <v>15</v>
      </c>
      <c r="AC2403" s="18" t="s">
        <v>5190</v>
      </c>
      <c r="AD2403" s="44">
        <v>24.986215000000001</v>
      </c>
      <c r="AE2403" s="44">
        <v>71.124634999999998</v>
      </c>
    </row>
    <row r="2404" spans="1:31" x14ac:dyDescent="0.25">
      <c r="A2404" s="38" t="s">
        <v>36</v>
      </c>
      <c r="B2404" s="38" t="s">
        <v>5168</v>
      </c>
      <c r="C2404" s="38" t="s">
        <v>5191</v>
      </c>
      <c r="D2404" s="38" t="s">
        <v>5192</v>
      </c>
      <c r="E2404" s="38" t="s">
        <v>5193</v>
      </c>
      <c r="F2404" s="38">
        <v>1901</v>
      </c>
      <c r="G2404" s="38">
        <v>1901</v>
      </c>
      <c r="H2404" s="38">
        <f t="shared" si="116"/>
        <v>3348</v>
      </c>
      <c r="I2404" s="38">
        <v>2200</v>
      </c>
      <c r="J2404" s="38">
        <v>1148</v>
      </c>
      <c r="K2404" s="38">
        <v>1052</v>
      </c>
      <c r="L2404" s="50">
        <f t="shared" si="117"/>
        <v>31.421744324970131</v>
      </c>
      <c r="M2404" s="38">
        <v>227</v>
      </c>
      <c r="N2404" s="50">
        <f t="shared" si="119"/>
        <v>6.7801672640382327</v>
      </c>
      <c r="O2404" s="38">
        <v>0</v>
      </c>
      <c r="P2404" s="38">
        <v>147</v>
      </c>
    </row>
    <row r="2405" spans="1:31" x14ac:dyDescent="0.25">
      <c r="A2405" s="38" t="s">
        <v>36</v>
      </c>
      <c r="B2405" s="38" t="s">
        <v>5168</v>
      </c>
      <c r="C2405" s="38" t="s">
        <v>5191</v>
      </c>
      <c r="D2405" s="38" t="s">
        <v>5194</v>
      </c>
      <c r="E2405" s="38" t="s">
        <v>5195</v>
      </c>
      <c r="F2405" s="38">
        <v>982</v>
      </c>
      <c r="G2405" s="38">
        <v>982</v>
      </c>
      <c r="H2405" s="38">
        <f t="shared" si="116"/>
        <v>1919</v>
      </c>
      <c r="I2405" s="38">
        <v>1262</v>
      </c>
      <c r="J2405" s="38">
        <v>657</v>
      </c>
      <c r="K2405" s="38">
        <v>605</v>
      </c>
      <c r="L2405" s="50">
        <f t="shared" si="117"/>
        <v>31.526836894215737</v>
      </c>
      <c r="M2405" s="38">
        <v>220</v>
      </c>
      <c r="N2405" s="50">
        <f t="shared" si="119"/>
        <v>11.46430432516936</v>
      </c>
      <c r="O2405" s="38">
        <v>0</v>
      </c>
      <c r="P2405" s="38">
        <v>129</v>
      </c>
    </row>
    <row r="2406" spans="1:31" x14ac:dyDescent="0.25">
      <c r="A2406" s="38" t="s">
        <v>36</v>
      </c>
      <c r="B2406" s="38" t="s">
        <v>5168</v>
      </c>
      <c r="C2406" s="38" t="s">
        <v>5191</v>
      </c>
      <c r="D2406" s="38" t="s">
        <v>5196</v>
      </c>
      <c r="E2406" s="38" t="s">
        <v>5197</v>
      </c>
      <c r="F2406" s="38">
        <v>341</v>
      </c>
      <c r="G2406" s="38">
        <v>341</v>
      </c>
      <c r="H2406" s="38">
        <f t="shared" si="116"/>
        <v>902</v>
      </c>
      <c r="I2406" s="38">
        <v>597</v>
      </c>
      <c r="J2406" s="38">
        <v>305</v>
      </c>
      <c r="K2406" s="38">
        <v>292</v>
      </c>
      <c r="L2406" s="50">
        <f t="shared" si="117"/>
        <v>32.372505543237253</v>
      </c>
      <c r="M2406" s="38">
        <v>126</v>
      </c>
      <c r="N2406" s="50">
        <f t="shared" si="119"/>
        <v>13.968957871396896</v>
      </c>
      <c r="O2406" s="38">
        <v>0</v>
      </c>
      <c r="P2406" s="38">
        <v>0</v>
      </c>
    </row>
    <row r="2407" spans="1:31" x14ac:dyDescent="0.25">
      <c r="A2407" s="38" t="s">
        <v>36</v>
      </c>
      <c r="B2407" s="38" t="s">
        <v>5168</v>
      </c>
      <c r="C2407" s="38" t="s">
        <v>5198</v>
      </c>
      <c r="D2407" s="38" t="s">
        <v>5199</v>
      </c>
      <c r="E2407" s="38" t="s">
        <v>5200</v>
      </c>
      <c r="F2407" s="38">
        <v>2963.4</v>
      </c>
      <c r="G2407" s="38">
        <v>2963.4</v>
      </c>
      <c r="H2407" s="38">
        <f t="shared" si="116"/>
        <v>4469</v>
      </c>
      <c r="I2407" s="38">
        <v>2944</v>
      </c>
      <c r="J2407" s="38">
        <v>1525</v>
      </c>
      <c r="K2407" s="38">
        <v>1419</v>
      </c>
      <c r="L2407" s="50">
        <f t="shared" si="117"/>
        <v>31.752069814276123</v>
      </c>
      <c r="M2407" s="38">
        <v>324</v>
      </c>
      <c r="N2407" s="50">
        <f t="shared" si="119"/>
        <v>7.2499440590736182</v>
      </c>
      <c r="O2407" s="38">
        <v>0</v>
      </c>
      <c r="P2407" s="38">
        <v>86</v>
      </c>
      <c r="Q2407" s="61" t="s">
        <v>43</v>
      </c>
      <c r="R2407" s="7">
        <v>44571</v>
      </c>
      <c r="S2407" s="61"/>
      <c r="T2407" s="61">
        <v>86</v>
      </c>
      <c r="U2407" s="61"/>
      <c r="V2407" s="61"/>
      <c r="W2407" s="61"/>
      <c r="X2407" s="61"/>
      <c r="Y2407" s="61"/>
      <c r="Z2407" s="20"/>
      <c r="AB2407" s="20"/>
      <c r="AC2407" s="11" t="s">
        <v>5201</v>
      </c>
      <c r="AD2407" s="61"/>
      <c r="AE2407" s="61"/>
    </row>
    <row r="2408" spans="1:31" x14ac:dyDescent="0.25">
      <c r="A2408" s="38" t="s">
        <v>36</v>
      </c>
      <c r="B2408" s="41" t="s">
        <v>5168</v>
      </c>
      <c r="C2408" s="41" t="s">
        <v>5198</v>
      </c>
      <c r="D2408" s="41" t="s">
        <v>5199</v>
      </c>
      <c r="E2408" s="41" t="s">
        <v>5200</v>
      </c>
      <c r="F2408" s="41"/>
      <c r="G2408" s="41"/>
      <c r="H2408" s="38">
        <f t="shared" si="116"/>
        <v>0</v>
      </c>
      <c r="I2408" s="41"/>
      <c r="J2408" s="41"/>
      <c r="K2408" s="41"/>
      <c r="L2408" s="50"/>
      <c r="M2408" s="41"/>
      <c r="N2408" s="50"/>
      <c r="O2408" s="41"/>
      <c r="P2408" s="41">
        <v>86</v>
      </c>
      <c r="Q2408" s="61" t="s">
        <v>43</v>
      </c>
      <c r="R2408" s="24">
        <v>44571</v>
      </c>
      <c r="S2408" s="44"/>
      <c r="T2408" s="61"/>
      <c r="U2408" s="61"/>
      <c r="V2408" s="61"/>
      <c r="W2408" s="61"/>
      <c r="X2408" s="61"/>
      <c r="Y2408" s="61"/>
      <c r="Z2408" s="205"/>
      <c r="AB2408" s="5">
        <v>30</v>
      </c>
      <c r="AC2408" s="18" t="s">
        <v>5201</v>
      </c>
      <c r="AD2408" s="44">
        <v>24.977160999999999</v>
      </c>
      <c r="AE2408" s="44">
        <v>71.120821000000007</v>
      </c>
    </row>
    <row r="2409" spans="1:31" x14ac:dyDescent="0.25">
      <c r="A2409" s="38" t="s">
        <v>36</v>
      </c>
      <c r="B2409" s="38" t="s">
        <v>5168</v>
      </c>
      <c r="C2409" s="38" t="s">
        <v>5202</v>
      </c>
      <c r="D2409" s="38" t="s">
        <v>5203</v>
      </c>
      <c r="E2409" s="38" t="s">
        <v>5204</v>
      </c>
      <c r="F2409" s="38">
        <v>902</v>
      </c>
      <c r="G2409" s="38">
        <v>902</v>
      </c>
      <c r="H2409" s="38">
        <f t="shared" si="116"/>
        <v>373</v>
      </c>
      <c r="I2409" s="38">
        <v>244</v>
      </c>
      <c r="J2409" s="38">
        <v>129</v>
      </c>
      <c r="K2409" s="38">
        <v>115</v>
      </c>
      <c r="L2409" s="50">
        <f t="shared" si="117"/>
        <v>30.831099195710454</v>
      </c>
      <c r="M2409" s="38">
        <v>0</v>
      </c>
      <c r="N2409" s="50">
        <f t="shared" si="119"/>
        <v>0</v>
      </c>
      <c r="O2409" s="38">
        <v>0</v>
      </c>
      <c r="P2409" s="38">
        <v>0</v>
      </c>
    </row>
    <row r="2410" spans="1:31" x14ac:dyDescent="0.25">
      <c r="A2410" s="38" t="s">
        <v>36</v>
      </c>
      <c r="B2410" s="38" t="s">
        <v>5168</v>
      </c>
      <c r="C2410" s="38" t="s">
        <v>5202</v>
      </c>
      <c r="D2410" s="38" t="s">
        <v>5205</v>
      </c>
      <c r="E2410" s="38" t="s">
        <v>5206</v>
      </c>
      <c r="F2410" s="38">
        <v>742</v>
      </c>
      <c r="G2410" s="38">
        <v>742</v>
      </c>
      <c r="H2410" s="38">
        <f t="shared" si="116"/>
        <v>898</v>
      </c>
      <c r="I2410" s="38">
        <v>594</v>
      </c>
      <c r="J2410" s="38">
        <v>304</v>
      </c>
      <c r="K2410" s="38">
        <v>290</v>
      </c>
      <c r="L2410" s="50">
        <f t="shared" si="117"/>
        <v>32.293986636971042</v>
      </c>
      <c r="M2410" s="38">
        <v>33</v>
      </c>
      <c r="N2410" s="50">
        <f t="shared" si="119"/>
        <v>3.6748329621380846</v>
      </c>
      <c r="O2410" s="38">
        <v>0</v>
      </c>
      <c r="P2410" s="38">
        <v>12</v>
      </c>
    </row>
    <row r="2411" spans="1:31" x14ac:dyDescent="0.25">
      <c r="A2411" s="38" t="s">
        <v>36</v>
      </c>
      <c r="B2411" s="38" t="s">
        <v>5168</v>
      </c>
      <c r="C2411" s="38" t="s">
        <v>5202</v>
      </c>
      <c r="D2411" s="38" t="s">
        <v>5207</v>
      </c>
      <c r="E2411" s="38" t="s">
        <v>5208</v>
      </c>
      <c r="F2411" s="38">
        <v>695</v>
      </c>
      <c r="G2411" s="38">
        <v>695</v>
      </c>
      <c r="H2411" s="38">
        <f t="shared" si="116"/>
        <v>1118</v>
      </c>
      <c r="I2411" s="38">
        <v>731</v>
      </c>
      <c r="J2411" s="38">
        <v>387</v>
      </c>
      <c r="K2411" s="38">
        <v>344</v>
      </c>
      <c r="L2411" s="50">
        <f t="shared" si="117"/>
        <v>30.76923076923077</v>
      </c>
      <c r="M2411" s="38">
        <v>34</v>
      </c>
      <c r="N2411" s="50">
        <f t="shared" si="119"/>
        <v>3.0411449016100178</v>
      </c>
      <c r="O2411" s="38">
        <v>0</v>
      </c>
      <c r="P2411" s="38">
        <v>11</v>
      </c>
    </row>
    <row r="2412" spans="1:31" x14ac:dyDescent="0.25">
      <c r="A2412" s="38" t="s">
        <v>36</v>
      </c>
      <c r="B2412" s="38" t="s">
        <v>5168</v>
      </c>
      <c r="C2412" s="38" t="s">
        <v>5202</v>
      </c>
      <c r="D2412" s="38" t="s">
        <v>5209</v>
      </c>
      <c r="E2412" s="38" t="s">
        <v>5210</v>
      </c>
      <c r="F2412" s="38">
        <v>1235</v>
      </c>
      <c r="G2412" s="38">
        <v>1235</v>
      </c>
      <c r="H2412" s="38">
        <f t="shared" si="116"/>
        <v>1913</v>
      </c>
      <c r="I2412" s="38">
        <v>1260</v>
      </c>
      <c r="J2412" s="38">
        <v>653</v>
      </c>
      <c r="K2412" s="38">
        <v>607</v>
      </c>
      <c r="L2412" s="50">
        <f t="shared" si="117"/>
        <v>31.730266596968114</v>
      </c>
      <c r="M2412" s="38">
        <v>109</v>
      </c>
      <c r="N2412" s="50">
        <f t="shared" si="119"/>
        <v>5.6978567694720335</v>
      </c>
      <c r="O2412" s="38">
        <v>0</v>
      </c>
      <c r="P2412" s="38">
        <v>38</v>
      </c>
    </row>
    <row r="2413" spans="1:31" x14ac:dyDescent="0.25">
      <c r="A2413" s="38" t="s">
        <v>36</v>
      </c>
      <c r="B2413" s="38" t="s">
        <v>5168</v>
      </c>
      <c r="C2413" s="38" t="s">
        <v>5211</v>
      </c>
      <c r="D2413" s="38" t="s">
        <v>5212</v>
      </c>
      <c r="E2413" s="38" t="s">
        <v>5213</v>
      </c>
      <c r="F2413" s="38">
        <v>2608.7399999999998</v>
      </c>
      <c r="G2413" s="38">
        <v>2608.7399999999998</v>
      </c>
      <c r="H2413" s="38">
        <f t="shared" si="116"/>
        <v>4798</v>
      </c>
      <c r="I2413" s="38">
        <v>3156</v>
      </c>
      <c r="J2413" s="38">
        <v>1642</v>
      </c>
      <c r="K2413" s="38">
        <v>1514</v>
      </c>
      <c r="L2413" s="50">
        <f t="shared" si="117"/>
        <v>31.554814506044188</v>
      </c>
      <c r="M2413" s="38">
        <v>266</v>
      </c>
      <c r="N2413" s="50">
        <f t="shared" si="119"/>
        <v>5.5439766569403925</v>
      </c>
      <c r="O2413" s="38">
        <v>0</v>
      </c>
      <c r="P2413" s="38">
        <v>70.180000000000007</v>
      </c>
    </row>
    <row r="2414" spans="1:31" x14ac:dyDescent="0.25">
      <c r="A2414" s="38" t="s">
        <v>36</v>
      </c>
      <c r="B2414" s="38" t="s">
        <v>5168</v>
      </c>
      <c r="C2414" s="38" t="s">
        <v>5211</v>
      </c>
      <c r="D2414" s="38" t="s">
        <v>5214</v>
      </c>
      <c r="E2414" s="38" t="s">
        <v>5215</v>
      </c>
      <c r="F2414" s="38">
        <v>442.84</v>
      </c>
      <c r="G2414" s="38">
        <v>442.84</v>
      </c>
      <c r="H2414" s="38">
        <f t="shared" si="116"/>
        <v>884</v>
      </c>
      <c r="I2414" s="38">
        <v>574</v>
      </c>
      <c r="J2414" s="38">
        <v>310</v>
      </c>
      <c r="K2414" s="38">
        <v>264</v>
      </c>
      <c r="L2414" s="50">
        <f t="shared" si="117"/>
        <v>29.864253393665159</v>
      </c>
      <c r="M2414" s="38">
        <v>9</v>
      </c>
      <c r="N2414" s="50">
        <f>M2414/H2414*100</f>
        <v>1.0180995475113122</v>
      </c>
      <c r="O2414" s="38">
        <v>0</v>
      </c>
      <c r="P2414" s="38">
        <v>1.07</v>
      </c>
    </row>
    <row r="2415" spans="1:31" x14ac:dyDescent="0.25">
      <c r="A2415" s="38" t="s">
        <v>36</v>
      </c>
      <c r="B2415" s="38" t="s">
        <v>5168</v>
      </c>
      <c r="C2415" s="38" t="s">
        <v>5216</v>
      </c>
      <c r="D2415" s="38" t="s">
        <v>5217</v>
      </c>
      <c r="E2415" s="38" t="s">
        <v>5218</v>
      </c>
      <c r="F2415" s="38">
        <v>1091</v>
      </c>
      <c r="G2415" s="38">
        <v>1091</v>
      </c>
      <c r="H2415" s="38">
        <f t="shared" si="116"/>
        <v>2593</v>
      </c>
      <c r="I2415" s="38">
        <v>1696</v>
      </c>
      <c r="J2415" s="38">
        <v>897</v>
      </c>
      <c r="K2415" s="38">
        <v>799</v>
      </c>
      <c r="L2415" s="50">
        <f t="shared" si="117"/>
        <v>30.813729271114536</v>
      </c>
      <c r="M2415" s="38">
        <v>91</v>
      </c>
      <c r="N2415" s="50">
        <f t="shared" si="119"/>
        <v>3.5094485152333204</v>
      </c>
      <c r="O2415" s="38">
        <v>0</v>
      </c>
      <c r="P2415" s="38">
        <v>0</v>
      </c>
      <c r="Q2415" s="61" t="s">
        <v>43</v>
      </c>
      <c r="R2415" s="7">
        <v>44575</v>
      </c>
      <c r="S2415" s="61"/>
      <c r="T2415" s="61">
        <v>50</v>
      </c>
      <c r="U2415" s="61"/>
      <c r="V2415" s="61"/>
      <c r="W2415" s="61"/>
      <c r="X2415" s="61"/>
      <c r="Y2415" s="61"/>
      <c r="Z2415" s="20"/>
      <c r="AB2415" s="20"/>
      <c r="AC2415" s="11" t="s">
        <v>5219</v>
      </c>
      <c r="AD2415" s="61"/>
      <c r="AE2415" s="61"/>
    </row>
    <row r="2416" spans="1:31" x14ac:dyDescent="0.25">
      <c r="A2416" s="38" t="s">
        <v>36</v>
      </c>
      <c r="B2416" s="38" t="s">
        <v>5168</v>
      </c>
      <c r="C2416" s="38" t="s">
        <v>5216</v>
      </c>
      <c r="D2416" s="38" t="s">
        <v>5220</v>
      </c>
      <c r="E2416" s="38" t="s">
        <v>5221</v>
      </c>
      <c r="F2416" s="38">
        <v>1086</v>
      </c>
      <c r="G2416" s="38">
        <v>1086</v>
      </c>
      <c r="H2416" s="38">
        <f t="shared" si="116"/>
        <v>1817</v>
      </c>
      <c r="I2416" s="38">
        <v>1183</v>
      </c>
      <c r="J2416" s="38">
        <v>634</v>
      </c>
      <c r="K2416" s="38">
        <v>549</v>
      </c>
      <c r="L2416" s="50">
        <f t="shared" si="117"/>
        <v>30.214639515685192</v>
      </c>
      <c r="M2416" s="38">
        <v>0</v>
      </c>
      <c r="N2416" s="50">
        <f t="shared" si="119"/>
        <v>0</v>
      </c>
      <c r="O2416" s="38">
        <v>25</v>
      </c>
      <c r="P2416" s="38">
        <v>54</v>
      </c>
    </row>
    <row r="2417" spans="1:31" x14ac:dyDescent="0.25">
      <c r="A2417" s="38" t="s">
        <v>36</v>
      </c>
      <c r="B2417" s="38" t="s">
        <v>5168</v>
      </c>
      <c r="C2417" s="38" t="s">
        <v>5222</v>
      </c>
      <c r="D2417" s="38" t="s">
        <v>5222</v>
      </c>
      <c r="H2417" s="38">
        <f t="shared" si="116"/>
        <v>0</v>
      </c>
      <c r="L2417" s="50"/>
      <c r="N2417" s="50"/>
      <c r="O2417" s="38"/>
      <c r="P2417" s="38"/>
      <c r="Q2417" s="61" t="s">
        <v>43</v>
      </c>
      <c r="R2417" s="7">
        <v>44575</v>
      </c>
      <c r="S2417" s="61"/>
      <c r="T2417" s="61">
        <v>0</v>
      </c>
      <c r="U2417" s="61"/>
      <c r="V2417" s="61"/>
      <c r="W2417" s="61"/>
      <c r="X2417" s="61"/>
      <c r="Y2417" s="61"/>
      <c r="Z2417" s="20"/>
      <c r="AB2417" s="20"/>
      <c r="AC2417" s="11" t="s">
        <v>5223</v>
      </c>
      <c r="AD2417" s="61">
        <v>0</v>
      </c>
      <c r="AE2417" s="61"/>
    </row>
    <row r="2418" spans="1:31" x14ac:dyDescent="0.25">
      <c r="A2418" s="38" t="s">
        <v>36</v>
      </c>
      <c r="B2418" s="38" t="s">
        <v>5168</v>
      </c>
      <c r="C2418" s="38" t="s">
        <v>5222</v>
      </c>
      <c r="D2418" s="38" t="s">
        <v>5224</v>
      </c>
      <c r="E2418" s="38" t="s">
        <v>5225</v>
      </c>
      <c r="F2418" s="38">
        <v>201.72</v>
      </c>
      <c r="G2418" s="38">
        <v>201.72</v>
      </c>
      <c r="H2418" s="38">
        <f t="shared" si="116"/>
        <v>453</v>
      </c>
      <c r="I2418" s="38">
        <v>302</v>
      </c>
      <c r="J2418" s="38">
        <v>151</v>
      </c>
      <c r="K2418" s="38">
        <v>151</v>
      </c>
      <c r="L2418" s="50">
        <f t="shared" si="117"/>
        <v>33.333333333333329</v>
      </c>
      <c r="M2418" s="38">
        <v>0</v>
      </c>
      <c r="N2418" s="50">
        <f t="shared" si="119"/>
        <v>0</v>
      </c>
      <c r="O2418" s="38">
        <v>0</v>
      </c>
      <c r="P2418" s="38">
        <v>0</v>
      </c>
      <c r="Q2418" s="61" t="s">
        <v>43</v>
      </c>
      <c r="R2418" s="7">
        <v>44575</v>
      </c>
      <c r="S2418" s="61"/>
      <c r="T2418" s="61">
        <v>0</v>
      </c>
      <c r="U2418" s="61"/>
      <c r="V2418" s="61"/>
      <c r="W2418" s="61"/>
      <c r="X2418" s="61"/>
      <c r="Y2418" s="61"/>
      <c r="Z2418" s="20"/>
      <c r="AB2418" s="20"/>
      <c r="AC2418" s="11" t="s">
        <v>5226</v>
      </c>
      <c r="AD2418" s="61">
        <v>0</v>
      </c>
      <c r="AE2418" s="61"/>
    </row>
    <row r="2419" spans="1:31" x14ac:dyDescent="0.25">
      <c r="A2419" s="38" t="s">
        <v>36</v>
      </c>
      <c r="B2419" s="38" t="s">
        <v>5168</v>
      </c>
      <c r="C2419" s="38" t="s">
        <v>5227</v>
      </c>
      <c r="D2419" s="38" t="s">
        <v>5228</v>
      </c>
      <c r="E2419" s="38" t="s">
        <v>5229</v>
      </c>
      <c r="F2419" s="38"/>
      <c r="G2419" s="38"/>
      <c r="H2419" s="38">
        <f t="shared" si="116"/>
        <v>0</v>
      </c>
      <c r="I2419" s="38"/>
      <c r="J2419" s="38"/>
      <c r="K2419" s="38"/>
      <c r="L2419" s="50"/>
      <c r="M2419" s="38"/>
      <c r="N2419" s="50"/>
      <c r="O2419" s="38"/>
      <c r="P2419" s="38">
        <v>113.72</v>
      </c>
      <c r="Q2419" s="34" t="s">
        <v>43</v>
      </c>
      <c r="R2419" s="7">
        <v>44579</v>
      </c>
      <c r="S2419" s="34"/>
      <c r="T2419" s="34">
        <v>114</v>
      </c>
      <c r="U2419" s="34"/>
      <c r="V2419" s="34"/>
      <c r="W2419" s="34"/>
      <c r="X2419" s="34"/>
      <c r="Y2419" s="34"/>
      <c r="Z2419" s="89"/>
      <c r="AB2419" s="89">
        <v>10</v>
      </c>
      <c r="AC2419" s="34" t="s">
        <v>5230</v>
      </c>
      <c r="AD2419" s="34">
        <v>25.201460000000001</v>
      </c>
      <c r="AE2419" s="34">
        <v>71.082099999999997</v>
      </c>
    </row>
    <row r="2420" spans="1:31" x14ac:dyDescent="0.25">
      <c r="A2420" s="38" t="s">
        <v>36</v>
      </c>
      <c r="B2420" s="38" t="s">
        <v>5168</v>
      </c>
      <c r="C2420" s="38" t="s">
        <v>4574</v>
      </c>
      <c r="D2420" s="38" t="s">
        <v>4574</v>
      </c>
      <c r="E2420" s="38" t="s">
        <v>5231</v>
      </c>
      <c r="F2420" s="38">
        <v>808.79</v>
      </c>
      <c r="G2420" s="38">
        <v>808.79</v>
      </c>
      <c r="H2420" s="38">
        <f t="shared" si="116"/>
        <v>1610</v>
      </c>
      <c r="I2420" s="38">
        <v>1062</v>
      </c>
      <c r="J2420" s="38">
        <v>548</v>
      </c>
      <c r="K2420" s="38">
        <v>514</v>
      </c>
      <c r="L2420" s="50">
        <f t="shared" si="117"/>
        <v>31.925465838509314</v>
      </c>
      <c r="M2420" s="38">
        <v>185</v>
      </c>
      <c r="N2420" s="50">
        <f t="shared" si="119"/>
        <v>11.490683229813664</v>
      </c>
      <c r="O2420" s="38">
        <v>0</v>
      </c>
      <c r="P2420" s="38">
        <v>18.97</v>
      </c>
    </row>
    <row r="2421" spans="1:31" x14ac:dyDescent="0.25">
      <c r="A2421" s="38" t="s">
        <v>36</v>
      </c>
      <c r="B2421" s="38" t="s">
        <v>5168</v>
      </c>
      <c r="C2421" s="38" t="s">
        <v>4574</v>
      </c>
      <c r="D2421" s="38" t="s">
        <v>5232</v>
      </c>
      <c r="E2421" s="38" t="s">
        <v>5233</v>
      </c>
      <c r="F2421" s="38">
        <v>1539.57</v>
      </c>
      <c r="G2421" s="38">
        <v>1539.57</v>
      </c>
      <c r="H2421" s="38">
        <f t="shared" si="116"/>
        <v>1952</v>
      </c>
      <c r="I2421" s="38">
        <v>1263</v>
      </c>
      <c r="J2421" s="38">
        <v>689</v>
      </c>
      <c r="K2421" s="38">
        <v>574</v>
      </c>
      <c r="L2421" s="50">
        <f t="shared" si="117"/>
        <v>29.405737704918032</v>
      </c>
      <c r="M2421" s="38">
        <v>7</v>
      </c>
      <c r="N2421" s="50">
        <f t="shared" si="119"/>
        <v>0.35860655737704916</v>
      </c>
      <c r="O2421" s="38">
        <v>0</v>
      </c>
      <c r="P2421" s="38">
        <v>15.37</v>
      </c>
    </row>
    <row r="2422" spans="1:31" x14ac:dyDescent="0.25">
      <c r="A2422" s="38" t="s">
        <v>36</v>
      </c>
      <c r="B2422" s="38" t="s">
        <v>5168</v>
      </c>
      <c r="C2422" s="38" t="s">
        <v>4574</v>
      </c>
      <c r="D2422" s="38" t="s">
        <v>2327</v>
      </c>
      <c r="E2422" s="38" t="s">
        <v>5234</v>
      </c>
      <c r="F2422" s="38">
        <v>795.8</v>
      </c>
      <c r="G2422" s="38">
        <v>795.8</v>
      </c>
      <c r="H2422" s="38">
        <f t="shared" si="116"/>
        <v>684</v>
      </c>
      <c r="I2422" s="38">
        <v>450</v>
      </c>
      <c r="J2422" s="38">
        <v>234</v>
      </c>
      <c r="K2422" s="38">
        <v>216</v>
      </c>
      <c r="L2422" s="50">
        <f t="shared" si="117"/>
        <v>31.578947368421051</v>
      </c>
      <c r="M2422" s="38">
        <v>0</v>
      </c>
      <c r="N2422" s="50">
        <f t="shared" si="119"/>
        <v>0</v>
      </c>
      <c r="O2422" s="38">
        <v>0</v>
      </c>
      <c r="P2422" s="38">
        <v>29.12</v>
      </c>
    </row>
    <row r="2423" spans="1:31" x14ac:dyDescent="0.25">
      <c r="A2423" s="38" t="s">
        <v>36</v>
      </c>
      <c r="B2423" s="38" t="s">
        <v>5168</v>
      </c>
      <c r="C2423" s="38" t="s">
        <v>5235</v>
      </c>
      <c r="D2423" s="38" t="s">
        <v>5236</v>
      </c>
      <c r="E2423" s="38" t="s">
        <v>5237</v>
      </c>
      <c r="F2423" s="38">
        <v>3204.11</v>
      </c>
      <c r="G2423" s="38">
        <v>3204.11</v>
      </c>
      <c r="H2423" s="38">
        <f t="shared" si="116"/>
        <v>3813</v>
      </c>
      <c r="I2423" s="38">
        <v>2480</v>
      </c>
      <c r="J2423" s="38">
        <v>1333</v>
      </c>
      <c r="K2423" s="38">
        <v>1147</v>
      </c>
      <c r="L2423" s="50">
        <f t="shared" si="117"/>
        <v>30.081300813008134</v>
      </c>
      <c r="M2423" s="38">
        <v>111</v>
      </c>
      <c r="N2423" s="50">
        <f t="shared" si="119"/>
        <v>2.9110936270653029</v>
      </c>
      <c r="O2423" s="38">
        <v>0</v>
      </c>
      <c r="P2423" s="38">
        <v>14.97</v>
      </c>
      <c r="Q2423" s="34" t="s">
        <v>43</v>
      </c>
      <c r="R2423" s="7">
        <v>44580</v>
      </c>
      <c r="S2423" s="34"/>
      <c r="T2423" s="34">
        <v>15</v>
      </c>
      <c r="U2423" s="34"/>
      <c r="V2423" s="34"/>
      <c r="W2423" s="34"/>
      <c r="X2423" s="34"/>
      <c r="Y2423" s="34"/>
      <c r="Z2423" s="89"/>
      <c r="AB2423" s="89">
        <v>10</v>
      </c>
      <c r="AC2423" s="34" t="s">
        <v>5238</v>
      </c>
      <c r="AD2423" s="34">
        <v>25.028673999999999</v>
      </c>
      <c r="AE2423" s="34">
        <v>70.948440000000005</v>
      </c>
    </row>
    <row r="2424" spans="1:31" x14ac:dyDescent="0.25">
      <c r="A2424" s="38" t="s">
        <v>36</v>
      </c>
      <c r="B2424" s="38" t="s">
        <v>5168</v>
      </c>
      <c r="C2424" s="38" t="s">
        <v>5235</v>
      </c>
      <c r="D2424" s="38" t="s">
        <v>5239</v>
      </c>
      <c r="E2424" s="38" t="s">
        <v>5240</v>
      </c>
      <c r="F2424" s="38">
        <v>1949.15</v>
      </c>
      <c r="G2424" s="38">
        <v>1949.15</v>
      </c>
      <c r="H2424" s="38">
        <f t="shared" si="116"/>
        <v>2859</v>
      </c>
      <c r="I2424" s="38">
        <v>1860</v>
      </c>
      <c r="J2424" s="38">
        <v>999</v>
      </c>
      <c r="K2424" s="38">
        <v>861</v>
      </c>
      <c r="L2424" s="50">
        <f t="shared" si="117"/>
        <v>30.115424973767052</v>
      </c>
      <c r="M2424" s="38">
        <v>514</v>
      </c>
      <c r="N2424" s="50">
        <f t="shared" si="119"/>
        <v>17.978314095837707</v>
      </c>
      <c r="O2424" s="38">
        <v>0</v>
      </c>
      <c r="P2424" s="38">
        <v>55.77</v>
      </c>
      <c r="Q2424" s="61" t="s">
        <v>43</v>
      </c>
      <c r="R2424" s="7">
        <v>44580</v>
      </c>
      <c r="S2424" s="61"/>
      <c r="T2424" s="61">
        <v>56</v>
      </c>
      <c r="U2424" s="61"/>
      <c r="V2424" s="61"/>
      <c r="W2424" s="61"/>
      <c r="X2424" s="61"/>
      <c r="Y2424" s="61"/>
      <c r="Z2424" s="20"/>
      <c r="AB2424" s="20"/>
      <c r="AC2424" s="11" t="s">
        <v>5239</v>
      </c>
      <c r="AD2424" s="61"/>
      <c r="AE2424" s="61"/>
    </row>
    <row r="2425" spans="1:31" x14ac:dyDescent="0.25">
      <c r="A2425" s="38" t="s">
        <v>36</v>
      </c>
      <c r="B2425" s="38" t="s">
        <v>5168</v>
      </c>
      <c r="C2425" s="38" t="s">
        <v>5235</v>
      </c>
      <c r="D2425" s="38" t="s">
        <v>5241</v>
      </c>
      <c r="E2425" s="38" t="s">
        <v>5242</v>
      </c>
      <c r="F2425" s="38">
        <v>1591.57</v>
      </c>
      <c r="G2425" s="38">
        <v>1591.57</v>
      </c>
      <c r="H2425" s="38">
        <f t="shared" si="116"/>
        <v>1662</v>
      </c>
      <c r="I2425" s="38">
        <v>1101</v>
      </c>
      <c r="J2425" s="38">
        <v>561</v>
      </c>
      <c r="K2425" s="38">
        <v>540</v>
      </c>
      <c r="L2425" s="50">
        <f t="shared" si="117"/>
        <v>32.490974729241877</v>
      </c>
      <c r="M2425" s="38">
        <v>65</v>
      </c>
      <c r="N2425" s="50">
        <f t="shared" si="119"/>
        <v>3.9109506618531888</v>
      </c>
      <c r="O2425" s="38">
        <v>0</v>
      </c>
      <c r="P2425" s="38">
        <v>35.85</v>
      </c>
      <c r="Q2425" s="61" t="s">
        <v>43</v>
      </c>
      <c r="R2425" s="7">
        <v>44580</v>
      </c>
      <c r="S2425" s="61"/>
      <c r="T2425" s="61">
        <v>36</v>
      </c>
      <c r="U2425" s="61"/>
      <c r="V2425" s="61"/>
      <c r="W2425" s="61"/>
      <c r="X2425" s="61"/>
      <c r="Y2425" s="61"/>
      <c r="Z2425" s="20"/>
      <c r="AB2425" s="20"/>
      <c r="AC2425" s="11" t="s">
        <v>5243</v>
      </c>
      <c r="AD2425" s="61"/>
      <c r="AE2425" s="61"/>
    </row>
    <row r="2426" spans="1:31" x14ac:dyDescent="0.25">
      <c r="A2426" s="38" t="s">
        <v>36</v>
      </c>
      <c r="B2426" s="38" t="s">
        <v>5168</v>
      </c>
      <c r="C2426" s="38" t="s">
        <v>5244</v>
      </c>
      <c r="D2426" s="38" t="s">
        <v>5244</v>
      </c>
      <c r="E2426" s="38" t="s">
        <v>5245</v>
      </c>
      <c r="F2426" s="38">
        <v>1742.61</v>
      </c>
      <c r="G2426" s="38">
        <v>1742.61</v>
      </c>
      <c r="H2426" s="38">
        <f t="shared" si="116"/>
        <v>3257</v>
      </c>
      <c r="I2426" s="38">
        <v>2139</v>
      </c>
      <c r="J2426" s="38">
        <v>1118</v>
      </c>
      <c r="K2426" s="38">
        <v>1021</v>
      </c>
      <c r="L2426" s="50">
        <f t="shared" si="117"/>
        <v>31.347866134479585</v>
      </c>
      <c r="M2426" s="38">
        <v>191</v>
      </c>
      <c r="N2426" s="50">
        <f t="shared" si="119"/>
        <v>5.8642922935216459</v>
      </c>
      <c r="O2426" s="38">
        <v>0</v>
      </c>
      <c r="P2426" s="38">
        <v>286.12</v>
      </c>
      <c r="Q2426" s="34" t="s">
        <v>43</v>
      </c>
      <c r="R2426" s="7">
        <v>44579</v>
      </c>
      <c r="S2426" s="34"/>
      <c r="T2426" s="34">
        <v>286</v>
      </c>
      <c r="U2426" s="34"/>
      <c r="V2426" s="34"/>
      <c r="W2426" s="34"/>
      <c r="X2426" s="34"/>
      <c r="Y2426" s="34"/>
      <c r="Z2426" s="89"/>
      <c r="AB2426" s="89"/>
      <c r="AC2426" s="34" t="s">
        <v>5246</v>
      </c>
      <c r="AD2426" s="34">
        <v>24.923853999999999</v>
      </c>
      <c r="AE2426" s="34">
        <v>71.978443999999996</v>
      </c>
    </row>
    <row r="2427" spans="1:31" x14ac:dyDescent="0.25">
      <c r="A2427" s="38" t="s">
        <v>36</v>
      </c>
      <c r="B2427" s="38" t="s">
        <v>5168</v>
      </c>
      <c r="C2427" s="38" t="s">
        <v>5247</v>
      </c>
      <c r="D2427" s="38" t="s">
        <v>5248</v>
      </c>
      <c r="E2427" s="38" t="s">
        <v>5249</v>
      </c>
      <c r="F2427" s="38">
        <v>3338.37</v>
      </c>
      <c r="G2427" s="38">
        <v>3338.37</v>
      </c>
      <c r="H2427" s="38">
        <f t="shared" si="116"/>
        <v>3387</v>
      </c>
      <c r="I2427" s="38">
        <v>2217</v>
      </c>
      <c r="J2427" s="38">
        <v>1170</v>
      </c>
      <c r="K2427" s="38">
        <v>1047</v>
      </c>
      <c r="L2427" s="50">
        <f t="shared" si="117"/>
        <v>30.912311780336584</v>
      </c>
      <c r="M2427" s="38">
        <v>0</v>
      </c>
      <c r="N2427" s="50">
        <f t="shared" si="119"/>
        <v>0</v>
      </c>
      <c r="O2427" s="38">
        <v>0</v>
      </c>
      <c r="P2427" s="38">
        <v>215.09</v>
      </c>
      <c r="Q2427" s="34" t="s">
        <v>43</v>
      </c>
      <c r="R2427" s="206">
        <v>44581</v>
      </c>
      <c r="S2427" s="34"/>
      <c r="T2427" s="34">
        <v>215</v>
      </c>
      <c r="U2427" s="34"/>
      <c r="V2427" s="34"/>
      <c r="W2427" s="34"/>
      <c r="X2427" s="34"/>
      <c r="Y2427" s="34"/>
      <c r="Z2427" s="109"/>
      <c r="AB2427" s="89">
        <v>40</v>
      </c>
      <c r="AC2427" s="51" t="s">
        <v>5250</v>
      </c>
      <c r="AD2427" s="34">
        <v>71.037176000000002</v>
      </c>
      <c r="AE2427" s="34">
        <v>24.888062000000001</v>
      </c>
    </row>
    <row r="2428" spans="1:31" x14ac:dyDescent="0.25">
      <c r="A2428" s="38" t="s">
        <v>36</v>
      </c>
      <c r="B2428" s="38" t="s">
        <v>5168</v>
      </c>
      <c r="C2428" s="38" t="s">
        <v>5247</v>
      </c>
      <c r="D2428" s="38" t="s">
        <v>5248</v>
      </c>
      <c r="E2428" s="38"/>
      <c r="F2428" s="38"/>
      <c r="G2428" s="38"/>
      <c r="H2428" s="38">
        <f t="shared" si="116"/>
        <v>0</v>
      </c>
      <c r="I2428" s="38"/>
      <c r="J2428" s="38"/>
      <c r="K2428" s="38"/>
      <c r="L2428" s="50"/>
      <c r="M2428" s="38"/>
      <c r="N2428" s="50"/>
      <c r="O2428" s="38"/>
      <c r="P2428" s="38"/>
      <c r="Q2428" s="34" t="s">
        <v>43</v>
      </c>
      <c r="R2428" s="206">
        <v>44581</v>
      </c>
      <c r="S2428" s="34"/>
      <c r="T2428" s="34"/>
      <c r="U2428" s="34"/>
      <c r="V2428" s="34"/>
      <c r="W2428" s="34"/>
      <c r="X2428" s="34"/>
      <c r="Y2428" s="34"/>
      <c r="Z2428" s="207"/>
      <c r="AB2428" s="89">
        <v>25</v>
      </c>
      <c r="AC2428" s="208" t="s">
        <v>5251</v>
      </c>
      <c r="AD2428" s="34">
        <v>24.913530000000002</v>
      </c>
      <c r="AE2428" s="34">
        <v>71.033902999999995</v>
      </c>
    </row>
    <row r="2429" spans="1:31" x14ac:dyDescent="0.25">
      <c r="A2429" s="38" t="s">
        <v>36</v>
      </c>
      <c r="B2429" s="38" t="s">
        <v>5168</v>
      </c>
      <c r="C2429" s="38" t="s">
        <v>5247</v>
      </c>
      <c r="D2429" s="38" t="s">
        <v>5248</v>
      </c>
      <c r="E2429" s="38"/>
      <c r="F2429" s="38"/>
      <c r="G2429" s="38"/>
      <c r="H2429" s="38">
        <f t="shared" si="116"/>
        <v>0</v>
      </c>
      <c r="I2429" s="38"/>
      <c r="J2429" s="38"/>
      <c r="K2429" s="38"/>
      <c r="L2429" s="50"/>
      <c r="M2429" s="38"/>
      <c r="N2429" s="50"/>
      <c r="O2429" s="38"/>
      <c r="P2429" s="38"/>
      <c r="Q2429" s="34" t="s">
        <v>43</v>
      </c>
      <c r="R2429" s="206">
        <v>44581</v>
      </c>
      <c r="S2429" s="34"/>
      <c r="T2429" s="34"/>
      <c r="U2429" s="34"/>
      <c r="V2429" s="34"/>
      <c r="W2429" s="34"/>
      <c r="X2429" s="34"/>
      <c r="Y2429" s="34"/>
      <c r="Z2429" s="207"/>
      <c r="AB2429" s="89">
        <v>26</v>
      </c>
      <c r="AC2429" s="208" t="s">
        <v>5252</v>
      </c>
      <c r="AD2429" s="34">
        <v>24.927776999999999</v>
      </c>
      <c r="AE2429" s="34">
        <v>71.078901000000002</v>
      </c>
    </row>
    <row r="2430" spans="1:31" x14ac:dyDescent="0.25">
      <c r="A2430" s="38" t="s">
        <v>36</v>
      </c>
      <c r="B2430" s="38" t="s">
        <v>5168</v>
      </c>
      <c r="C2430" s="38" t="s">
        <v>5247</v>
      </c>
      <c r="D2430" s="38" t="s">
        <v>5248</v>
      </c>
      <c r="E2430" s="38"/>
      <c r="F2430" s="38"/>
      <c r="G2430" s="38"/>
      <c r="H2430" s="38">
        <f t="shared" si="116"/>
        <v>0</v>
      </c>
      <c r="I2430" s="38"/>
      <c r="J2430" s="38"/>
      <c r="K2430" s="38"/>
      <c r="L2430" s="50"/>
      <c r="M2430" s="38"/>
      <c r="N2430" s="50"/>
      <c r="O2430" s="38"/>
      <c r="P2430" s="38"/>
      <c r="Q2430" s="34" t="s">
        <v>43</v>
      </c>
      <c r="R2430" s="206">
        <v>44581</v>
      </c>
      <c r="S2430" s="34"/>
      <c r="T2430" s="34"/>
      <c r="U2430" s="34"/>
      <c r="V2430" s="34"/>
      <c r="W2430" s="34"/>
      <c r="X2430" s="34"/>
      <c r="Y2430" s="34"/>
      <c r="Z2430" s="207"/>
      <c r="AB2430" s="89">
        <v>24</v>
      </c>
      <c r="AC2430" s="208" t="s">
        <v>5253</v>
      </c>
      <c r="AD2430" s="34">
        <v>24.927831999999999</v>
      </c>
      <c r="AE2430" s="34">
        <v>71.078956000000005</v>
      </c>
    </row>
    <row r="2431" spans="1:31" x14ac:dyDescent="0.25">
      <c r="A2431" s="38" t="s">
        <v>36</v>
      </c>
      <c r="B2431" s="38" t="s">
        <v>5168</v>
      </c>
      <c r="C2431" s="38" t="s">
        <v>5247</v>
      </c>
      <c r="D2431" s="38" t="s">
        <v>5254</v>
      </c>
      <c r="E2431" s="38" t="s">
        <v>5255</v>
      </c>
      <c r="F2431" s="38">
        <v>1912.04</v>
      </c>
      <c r="G2431" s="38">
        <v>1912.04</v>
      </c>
      <c r="H2431" s="38">
        <f t="shared" si="116"/>
        <v>2541</v>
      </c>
      <c r="I2431" s="38">
        <v>1671</v>
      </c>
      <c r="J2431" s="38">
        <v>870</v>
      </c>
      <c r="K2431" s="38">
        <v>801</v>
      </c>
      <c r="L2431" s="50">
        <f t="shared" si="117"/>
        <v>31.52302243211334</v>
      </c>
      <c r="M2431" s="38">
        <v>0</v>
      </c>
      <c r="N2431" s="50">
        <f t="shared" si="119"/>
        <v>0</v>
      </c>
      <c r="O2431" s="38">
        <v>0</v>
      </c>
      <c r="P2431" s="38">
        <v>240.54</v>
      </c>
    </row>
    <row r="2432" spans="1:31" x14ac:dyDescent="0.25">
      <c r="A2432" s="38" t="s">
        <v>36</v>
      </c>
      <c r="B2432" s="38" t="s">
        <v>5168</v>
      </c>
      <c r="C2432" s="38" t="s">
        <v>5256</v>
      </c>
      <c r="D2432" s="38" t="s">
        <v>5257</v>
      </c>
      <c r="E2432" s="38" t="s">
        <v>5258</v>
      </c>
      <c r="F2432" s="38">
        <v>1093.0999999999999</v>
      </c>
      <c r="G2432" s="38">
        <v>1093.0999999999999</v>
      </c>
      <c r="H2432" s="38">
        <f t="shared" si="116"/>
        <v>1581</v>
      </c>
      <c r="I2432" s="38">
        <v>1031</v>
      </c>
      <c r="J2432" s="38">
        <v>550</v>
      </c>
      <c r="K2432" s="38">
        <v>481</v>
      </c>
      <c r="L2432" s="50">
        <f t="shared" si="117"/>
        <v>30.423782416192285</v>
      </c>
      <c r="M2432" s="38">
        <v>234</v>
      </c>
      <c r="N2432" s="50">
        <f t="shared" si="119"/>
        <v>14.800759013282732</v>
      </c>
      <c r="O2432" s="38">
        <v>0</v>
      </c>
      <c r="P2432" s="38">
        <v>105.4</v>
      </c>
      <c r="Q2432" s="61" t="s">
        <v>43</v>
      </c>
      <c r="R2432" s="7">
        <v>44583</v>
      </c>
      <c r="S2432" s="61"/>
      <c r="T2432" s="61">
        <v>105</v>
      </c>
      <c r="U2432" s="61"/>
      <c r="V2432" s="61"/>
      <c r="W2432" s="61"/>
      <c r="X2432" s="61"/>
      <c r="Y2432" s="61"/>
      <c r="Z2432" s="20"/>
      <c r="AB2432" s="20"/>
      <c r="AC2432" s="11" t="s">
        <v>5257</v>
      </c>
      <c r="AD2432" s="61"/>
      <c r="AE2432" s="61"/>
    </row>
    <row r="2433" spans="1:31" x14ac:dyDescent="0.25">
      <c r="A2433" s="38" t="s">
        <v>36</v>
      </c>
      <c r="B2433" s="38" t="s">
        <v>5168</v>
      </c>
      <c r="C2433" s="38" t="s">
        <v>5256</v>
      </c>
      <c r="D2433" s="38" t="s">
        <v>5259</v>
      </c>
      <c r="E2433" s="38" t="s">
        <v>5260</v>
      </c>
      <c r="F2433" s="38">
        <v>211.09</v>
      </c>
      <c r="G2433" s="38">
        <v>211.09</v>
      </c>
      <c r="H2433" s="38">
        <f t="shared" si="116"/>
        <v>497</v>
      </c>
      <c r="I2433" s="38">
        <v>328</v>
      </c>
      <c r="J2433" s="38">
        <v>169</v>
      </c>
      <c r="K2433" s="38">
        <v>159</v>
      </c>
      <c r="L2433" s="50">
        <f t="shared" si="117"/>
        <v>31.991951710261567</v>
      </c>
      <c r="M2433" s="38">
        <v>0</v>
      </c>
      <c r="N2433" s="50">
        <f t="shared" si="119"/>
        <v>0</v>
      </c>
      <c r="O2433" s="38">
        <v>0</v>
      </c>
      <c r="P2433" s="38">
        <v>43</v>
      </c>
      <c r="Q2433" s="61" t="s">
        <v>43</v>
      </c>
      <c r="R2433" s="7">
        <v>44583</v>
      </c>
      <c r="S2433" s="61"/>
      <c r="T2433" s="61">
        <v>43</v>
      </c>
      <c r="U2433" s="61"/>
      <c r="V2433" s="61"/>
      <c r="W2433" s="61"/>
      <c r="X2433" s="61"/>
      <c r="Y2433" s="61"/>
      <c r="Z2433" s="20"/>
      <c r="AB2433" s="20"/>
      <c r="AC2433" s="11" t="s">
        <v>1480</v>
      </c>
      <c r="AD2433" s="61"/>
      <c r="AE2433" s="61"/>
    </row>
    <row r="2434" spans="1:31" x14ac:dyDescent="0.25">
      <c r="A2434" s="38" t="s">
        <v>36</v>
      </c>
      <c r="B2434" s="38" t="s">
        <v>5168</v>
      </c>
      <c r="C2434" s="38" t="s">
        <v>5256</v>
      </c>
      <c r="D2434" s="38" t="s">
        <v>5261</v>
      </c>
      <c r="E2434" s="38" t="s">
        <v>5262</v>
      </c>
      <c r="F2434" s="38">
        <v>1001.3</v>
      </c>
      <c r="G2434" s="38">
        <v>1001.3</v>
      </c>
      <c r="H2434" s="38">
        <f t="shared" si="116"/>
        <v>2326</v>
      </c>
      <c r="I2434" s="38">
        <v>1523</v>
      </c>
      <c r="J2434" s="38">
        <v>803</v>
      </c>
      <c r="K2434" s="38">
        <v>720</v>
      </c>
      <c r="L2434" s="50">
        <f t="shared" si="117"/>
        <v>30.954428202923474</v>
      </c>
      <c r="M2434" s="38">
        <v>34</v>
      </c>
      <c r="N2434" s="50">
        <f t="shared" si="119"/>
        <v>1.4617368873602752</v>
      </c>
      <c r="O2434" s="38">
        <v>0</v>
      </c>
      <c r="P2434" s="38">
        <v>3.9</v>
      </c>
      <c r="Q2434" s="61" t="s">
        <v>43</v>
      </c>
      <c r="R2434" s="7">
        <v>44583</v>
      </c>
      <c r="S2434" s="61"/>
      <c r="T2434" s="61">
        <v>4</v>
      </c>
      <c r="U2434" s="61"/>
      <c r="V2434" s="61"/>
      <c r="W2434" s="61"/>
      <c r="X2434" s="61"/>
      <c r="Y2434" s="61"/>
      <c r="Z2434" s="20"/>
      <c r="AB2434" s="20"/>
      <c r="AC2434" s="11" t="s">
        <v>5261</v>
      </c>
      <c r="AD2434" s="61"/>
      <c r="AE2434" s="61"/>
    </row>
    <row r="2435" spans="1:31" x14ac:dyDescent="0.25">
      <c r="A2435" s="38" t="s">
        <v>36</v>
      </c>
      <c r="B2435" s="38" t="s">
        <v>5168</v>
      </c>
      <c r="C2435" s="38" t="s">
        <v>5256</v>
      </c>
      <c r="D2435" s="38" t="s">
        <v>5263</v>
      </c>
      <c r="E2435" s="38" t="s">
        <v>5264</v>
      </c>
      <c r="F2435" s="38">
        <v>460</v>
      </c>
      <c r="G2435" s="38">
        <v>460</v>
      </c>
      <c r="H2435" s="38">
        <f t="shared" si="116"/>
        <v>505</v>
      </c>
      <c r="I2435" s="38">
        <v>324</v>
      </c>
      <c r="J2435" s="38">
        <v>181</v>
      </c>
      <c r="K2435" s="38">
        <v>143</v>
      </c>
      <c r="L2435" s="50">
        <f t="shared" si="117"/>
        <v>28.316831683168314</v>
      </c>
      <c r="M2435" s="38">
        <v>5</v>
      </c>
      <c r="N2435" s="50">
        <f t="shared" si="119"/>
        <v>0.99009900990099009</v>
      </c>
      <c r="O2435" s="38">
        <v>0</v>
      </c>
      <c r="P2435" s="38">
        <v>0</v>
      </c>
      <c r="Q2435" s="61" t="s">
        <v>43</v>
      </c>
      <c r="R2435" s="7">
        <v>44583</v>
      </c>
      <c r="S2435" s="61"/>
      <c r="T2435" s="61">
        <v>4.96</v>
      </c>
      <c r="U2435" s="61"/>
      <c r="V2435" s="61"/>
      <c r="W2435" s="61"/>
      <c r="X2435" s="61"/>
      <c r="Y2435" s="61"/>
      <c r="Z2435" s="20"/>
      <c r="AB2435" s="20"/>
      <c r="AC2435" s="11" t="s">
        <v>2058</v>
      </c>
      <c r="AD2435" s="61"/>
      <c r="AE2435" s="61"/>
    </row>
    <row r="2436" spans="1:31" x14ac:dyDescent="0.25">
      <c r="A2436" s="38" t="s">
        <v>36</v>
      </c>
      <c r="B2436" s="38" t="s">
        <v>5168</v>
      </c>
      <c r="C2436" s="38" t="s">
        <v>5256</v>
      </c>
      <c r="D2436" s="38" t="s">
        <v>5265</v>
      </c>
      <c r="E2436" s="38" t="s">
        <v>5266</v>
      </c>
      <c r="F2436" s="38">
        <v>824.14</v>
      </c>
      <c r="G2436" s="38">
        <v>824.14</v>
      </c>
      <c r="H2436" s="38">
        <f t="shared" si="116"/>
        <v>1525</v>
      </c>
      <c r="I2436" s="38">
        <v>1019</v>
      </c>
      <c r="J2436" s="38">
        <v>506</v>
      </c>
      <c r="K2436" s="38">
        <v>513</v>
      </c>
      <c r="L2436" s="50">
        <f t="shared" si="117"/>
        <v>33.639344262295083</v>
      </c>
      <c r="M2436" s="38">
        <v>86</v>
      </c>
      <c r="N2436" s="50">
        <f t="shared" si="119"/>
        <v>5.639344262295082</v>
      </c>
      <c r="O2436" s="38">
        <v>0</v>
      </c>
      <c r="P2436" s="38">
        <v>5.09</v>
      </c>
      <c r="Q2436" s="61" t="s">
        <v>43</v>
      </c>
      <c r="R2436" s="7">
        <v>44583</v>
      </c>
      <c r="S2436" s="61"/>
      <c r="T2436" s="61">
        <v>5</v>
      </c>
      <c r="U2436" s="61"/>
      <c r="V2436" s="61"/>
      <c r="W2436" s="61"/>
      <c r="X2436" s="61"/>
      <c r="Y2436" s="61"/>
      <c r="Z2436" s="20"/>
      <c r="AB2436" s="20"/>
      <c r="AC2436" s="11" t="s">
        <v>5267</v>
      </c>
      <c r="AD2436" s="61"/>
      <c r="AE2436" s="61"/>
    </row>
    <row r="2437" spans="1:31" x14ac:dyDescent="0.25">
      <c r="A2437" s="38" t="s">
        <v>36</v>
      </c>
      <c r="B2437" s="38" t="s">
        <v>5168</v>
      </c>
      <c r="C2437" s="38" t="s">
        <v>5268</v>
      </c>
      <c r="D2437" s="38" t="s">
        <v>5269</v>
      </c>
      <c r="E2437" s="38" t="s">
        <v>5270</v>
      </c>
      <c r="F2437" s="38"/>
      <c r="G2437" s="38"/>
      <c r="H2437" s="38">
        <f t="shared" ref="H2437:H2500" si="120">I2437+J2437</f>
        <v>0</v>
      </c>
      <c r="I2437" s="38"/>
      <c r="J2437" s="38"/>
      <c r="K2437" s="38"/>
      <c r="L2437" s="50"/>
      <c r="M2437" s="38"/>
      <c r="N2437" s="50"/>
      <c r="O2437" s="38"/>
      <c r="P2437" s="38">
        <v>17.3</v>
      </c>
      <c r="Q2437" s="34" t="s">
        <v>43</v>
      </c>
      <c r="R2437" s="7">
        <v>44586</v>
      </c>
      <c r="S2437" s="34"/>
      <c r="T2437" s="34">
        <v>17</v>
      </c>
      <c r="U2437" s="34"/>
      <c r="V2437" s="34"/>
      <c r="W2437" s="34"/>
      <c r="X2437" s="34"/>
      <c r="Y2437" s="34"/>
      <c r="Z2437" s="89"/>
      <c r="AB2437" s="89">
        <v>10</v>
      </c>
      <c r="AC2437" s="34" t="s">
        <v>5271</v>
      </c>
      <c r="AD2437" s="34">
        <v>0</v>
      </c>
      <c r="AE2437" s="34"/>
    </row>
    <row r="2438" spans="1:31" x14ac:dyDescent="0.25">
      <c r="A2438" s="38" t="s">
        <v>36</v>
      </c>
      <c r="B2438" s="38" t="s">
        <v>5168</v>
      </c>
      <c r="C2438" s="38" t="s">
        <v>5268</v>
      </c>
      <c r="D2438" s="38" t="s">
        <v>5272</v>
      </c>
      <c r="E2438" s="38" t="s">
        <v>5273</v>
      </c>
      <c r="F2438" s="38">
        <v>495.06</v>
      </c>
      <c r="G2438" s="38">
        <v>495.06</v>
      </c>
      <c r="H2438" s="38">
        <f t="shared" si="120"/>
        <v>805</v>
      </c>
      <c r="I2438" s="38">
        <v>525</v>
      </c>
      <c r="J2438" s="38">
        <v>280</v>
      </c>
      <c r="K2438" s="38">
        <v>245</v>
      </c>
      <c r="L2438" s="50">
        <f t="shared" ref="L2438:L2501" si="121">K2438/H2438*100</f>
        <v>30.434782608695656</v>
      </c>
      <c r="M2438" s="38">
        <v>0</v>
      </c>
      <c r="N2438" s="50">
        <f t="shared" si="119"/>
        <v>0</v>
      </c>
      <c r="O2438" s="38">
        <v>0</v>
      </c>
      <c r="P2438" s="38">
        <v>5.8</v>
      </c>
      <c r="Q2438" s="61" t="s">
        <v>43</v>
      </c>
      <c r="R2438" s="7">
        <v>44586</v>
      </c>
      <c r="S2438" s="61"/>
      <c r="T2438" s="61">
        <v>6</v>
      </c>
      <c r="U2438" s="61"/>
      <c r="V2438" s="61"/>
      <c r="W2438" s="61"/>
      <c r="X2438" s="61"/>
      <c r="Y2438" s="61"/>
      <c r="Z2438" s="20"/>
      <c r="AB2438" s="20"/>
      <c r="AC2438" s="11" t="s">
        <v>5272</v>
      </c>
      <c r="AD2438" s="61"/>
      <c r="AE2438" s="61"/>
    </row>
    <row r="2439" spans="1:31" x14ac:dyDescent="0.25">
      <c r="A2439" s="38" t="s">
        <v>36</v>
      </c>
      <c r="B2439" s="38" t="s">
        <v>5168</v>
      </c>
      <c r="C2439" s="38" t="s">
        <v>5268</v>
      </c>
      <c r="D2439" s="38" t="s">
        <v>5274</v>
      </c>
      <c r="E2439" s="38" t="s">
        <v>5275</v>
      </c>
      <c r="F2439" s="38">
        <v>696.92</v>
      </c>
      <c r="G2439" s="38">
        <v>696.92</v>
      </c>
      <c r="H2439" s="38">
        <f t="shared" si="120"/>
        <v>1188</v>
      </c>
      <c r="I2439" s="38">
        <v>787</v>
      </c>
      <c r="J2439" s="38">
        <v>401</v>
      </c>
      <c r="K2439" s="38">
        <v>386</v>
      </c>
      <c r="L2439" s="50">
        <f t="shared" si="121"/>
        <v>32.491582491582491</v>
      </c>
      <c r="M2439" s="38">
        <v>43</v>
      </c>
      <c r="N2439" s="50">
        <f t="shared" si="119"/>
        <v>3.6195286195286198</v>
      </c>
      <c r="O2439" s="38">
        <v>0</v>
      </c>
      <c r="P2439" s="38">
        <v>58</v>
      </c>
      <c r="Q2439" s="61" t="s">
        <v>43</v>
      </c>
      <c r="R2439" s="7">
        <v>44586</v>
      </c>
      <c r="S2439" s="61"/>
      <c r="T2439" s="61">
        <v>58</v>
      </c>
      <c r="U2439" s="61"/>
      <c r="V2439" s="61"/>
      <c r="W2439" s="61"/>
      <c r="X2439" s="61"/>
      <c r="Y2439" s="61"/>
      <c r="Z2439" s="20"/>
      <c r="AB2439" s="20"/>
      <c r="AC2439" s="11" t="s">
        <v>5276</v>
      </c>
      <c r="AD2439" s="61"/>
      <c r="AE2439" s="61"/>
    </row>
    <row r="2440" spans="1:31" x14ac:dyDescent="0.25">
      <c r="A2440" s="38" t="s">
        <v>36</v>
      </c>
      <c r="B2440" s="38" t="s">
        <v>5168</v>
      </c>
      <c r="C2440" s="38" t="s">
        <v>5268</v>
      </c>
      <c r="D2440" s="38" t="s">
        <v>3522</v>
      </c>
      <c r="E2440" s="38" t="s">
        <v>5277</v>
      </c>
      <c r="F2440" s="38">
        <v>326.19</v>
      </c>
      <c r="G2440" s="38">
        <v>326.19</v>
      </c>
      <c r="H2440" s="38">
        <f t="shared" si="120"/>
        <v>1096</v>
      </c>
      <c r="I2440" s="38">
        <v>718</v>
      </c>
      <c r="J2440" s="38">
        <v>378</v>
      </c>
      <c r="K2440" s="38">
        <v>340</v>
      </c>
      <c r="L2440" s="50">
        <f t="shared" si="121"/>
        <v>31.021897810218981</v>
      </c>
      <c r="M2440" s="38">
        <v>125</v>
      </c>
      <c r="N2440" s="50">
        <f t="shared" si="119"/>
        <v>11.405109489051094</v>
      </c>
      <c r="O2440" s="38">
        <v>0</v>
      </c>
      <c r="P2440" s="38">
        <v>6.2</v>
      </c>
      <c r="Q2440" s="61" t="s">
        <v>43</v>
      </c>
      <c r="R2440" s="7">
        <v>44586</v>
      </c>
      <c r="S2440" s="61"/>
      <c r="T2440" s="61">
        <v>6</v>
      </c>
      <c r="U2440" s="61"/>
      <c r="V2440" s="61"/>
      <c r="W2440" s="61"/>
      <c r="X2440" s="61"/>
      <c r="Y2440" s="61"/>
      <c r="Z2440" s="20"/>
      <c r="AB2440" s="20"/>
      <c r="AC2440" s="11" t="s">
        <v>5278</v>
      </c>
      <c r="AD2440" s="61"/>
      <c r="AE2440" s="61"/>
    </row>
    <row r="2441" spans="1:31" x14ac:dyDescent="0.25">
      <c r="A2441" s="38" t="s">
        <v>36</v>
      </c>
      <c r="B2441" s="38" t="s">
        <v>5168</v>
      </c>
      <c r="C2441" s="38" t="s">
        <v>5279</v>
      </c>
      <c r="D2441" s="38" t="s">
        <v>5279</v>
      </c>
      <c r="E2441" s="38" t="s">
        <v>5280</v>
      </c>
      <c r="F2441" s="38">
        <v>1312</v>
      </c>
      <c r="G2441" s="38">
        <v>1312</v>
      </c>
      <c r="H2441" s="38">
        <f t="shared" si="120"/>
        <v>2392</v>
      </c>
      <c r="I2441" s="38">
        <v>1574</v>
      </c>
      <c r="J2441" s="38">
        <v>818</v>
      </c>
      <c r="K2441" s="38">
        <v>756</v>
      </c>
      <c r="L2441" s="50">
        <f t="shared" si="121"/>
        <v>31.605351170568564</v>
      </c>
      <c r="M2441" s="38">
        <v>52</v>
      </c>
      <c r="N2441" s="50">
        <f t="shared" si="119"/>
        <v>2.1739130434782608</v>
      </c>
      <c r="O2441" s="38">
        <v>0</v>
      </c>
      <c r="P2441" s="38">
        <v>0</v>
      </c>
    </row>
    <row r="2442" spans="1:31" x14ac:dyDescent="0.25">
      <c r="A2442" s="38" t="s">
        <v>36</v>
      </c>
      <c r="B2442" s="38" t="s">
        <v>5168</v>
      </c>
      <c r="C2442" s="38" t="s">
        <v>5279</v>
      </c>
      <c r="D2442" s="38" t="s">
        <v>264</v>
      </c>
      <c r="E2442" s="38" t="s">
        <v>5281</v>
      </c>
      <c r="F2442" s="38">
        <v>611</v>
      </c>
      <c r="G2442" s="38">
        <v>611</v>
      </c>
      <c r="H2442" s="38">
        <f t="shared" si="120"/>
        <v>694</v>
      </c>
      <c r="I2442" s="38">
        <v>444</v>
      </c>
      <c r="J2442" s="38">
        <v>250</v>
      </c>
      <c r="K2442" s="38">
        <v>194</v>
      </c>
      <c r="L2442" s="50">
        <f t="shared" si="121"/>
        <v>27.953890489913547</v>
      </c>
      <c r="M2442" s="38">
        <v>44</v>
      </c>
      <c r="N2442" s="50">
        <f t="shared" si="119"/>
        <v>6.3400576368876083</v>
      </c>
      <c r="O2442" s="38">
        <v>0</v>
      </c>
      <c r="P2442" s="38">
        <v>65</v>
      </c>
    </row>
    <row r="2443" spans="1:31" x14ac:dyDescent="0.25">
      <c r="A2443" s="38" t="s">
        <v>36</v>
      </c>
      <c r="B2443" s="38" t="s">
        <v>5168</v>
      </c>
      <c r="C2443" s="38" t="s">
        <v>5279</v>
      </c>
      <c r="D2443" s="38" t="s">
        <v>264</v>
      </c>
      <c r="E2443" s="38" t="s">
        <v>5281</v>
      </c>
      <c r="F2443" s="38"/>
      <c r="G2443" s="38"/>
      <c r="H2443" s="38">
        <f t="shared" si="120"/>
        <v>0</v>
      </c>
      <c r="I2443" s="38"/>
      <c r="J2443" s="38"/>
      <c r="K2443" s="38"/>
      <c r="L2443" s="50"/>
      <c r="M2443" s="38"/>
      <c r="N2443" s="50"/>
      <c r="O2443" s="38"/>
      <c r="P2443" s="38">
        <v>65</v>
      </c>
    </row>
    <row r="2444" spans="1:31" x14ac:dyDescent="0.25">
      <c r="A2444" s="38" t="s">
        <v>36</v>
      </c>
      <c r="B2444" s="38" t="s">
        <v>5168</v>
      </c>
      <c r="C2444" s="38" t="s">
        <v>5279</v>
      </c>
      <c r="D2444" s="38" t="s">
        <v>5282</v>
      </c>
      <c r="E2444" s="38" t="s">
        <v>5283</v>
      </c>
      <c r="F2444" s="38">
        <v>1464</v>
      </c>
      <c r="G2444" s="38">
        <v>1464</v>
      </c>
      <c r="H2444" s="38">
        <f t="shared" si="120"/>
        <v>2396</v>
      </c>
      <c r="I2444" s="38">
        <v>1579</v>
      </c>
      <c r="J2444" s="38">
        <v>817</v>
      </c>
      <c r="K2444" s="38">
        <v>762</v>
      </c>
      <c r="L2444" s="50">
        <f t="shared" si="121"/>
        <v>31.803005008347245</v>
      </c>
      <c r="M2444" s="38">
        <v>0</v>
      </c>
      <c r="N2444" s="50">
        <f t="shared" si="119"/>
        <v>0</v>
      </c>
      <c r="O2444" s="38">
        <v>0</v>
      </c>
      <c r="P2444" s="38">
        <v>0</v>
      </c>
    </row>
    <row r="2445" spans="1:31" x14ac:dyDescent="0.25">
      <c r="A2445" s="38" t="s">
        <v>36</v>
      </c>
      <c r="B2445" s="38" t="s">
        <v>5168</v>
      </c>
      <c r="C2445" s="38" t="s">
        <v>5284</v>
      </c>
      <c r="D2445" s="38" t="s">
        <v>5285</v>
      </c>
      <c r="E2445" s="38" t="s">
        <v>5286</v>
      </c>
      <c r="F2445" s="38">
        <v>1711.33</v>
      </c>
      <c r="G2445" s="38">
        <v>1711.33</v>
      </c>
      <c r="H2445" s="38">
        <f t="shared" si="120"/>
        <v>2802</v>
      </c>
      <c r="I2445" s="38">
        <v>1844</v>
      </c>
      <c r="J2445" s="38">
        <v>958</v>
      </c>
      <c r="K2445" s="38">
        <v>886</v>
      </c>
      <c r="L2445" s="50">
        <f t="shared" si="121"/>
        <v>31.620271234832266</v>
      </c>
      <c r="M2445" s="38">
        <v>8</v>
      </c>
      <c r="N2445" s="50">
        <f t="shared" si="119"/>
        <v>0.28551034975017847</v>
      </c>
      <c r="O2445" s="38">
        <v>0</v>
      </c>
      <c r="P2445" s="38">
        <v>53.08</v>
      </c>
      <c r="Q2445" s="98" t="s">
        <v>43</v>
      </c>
      <c r="R2445" s="17">
        <v>44571</v>
      </c>
      <c r="S2445" s="61"/>
      <c r="T2445" s="98">
        <v>53</v>
      </c>
      <c r="U2445" s="98"/>
      <c r="V2445" s="98"/>
      <c r="W2445" s="98"/>
      <c r="X2445" s="98"/>
      <c r="Y2445" s="98"/>
      <c r="Z2445" s="20"/>
      <c r="AB2445" s="20"/>
      <c r="AC2445" s="11" t="s">
        <v>5287</v>
      </c>
      <c r="AD2445" s="61">
        <v>24.912077</v>
      </c>
      <c r="AE2445" s="61">
        <v>71.114125999999999</v>
      </c>
    </row>
    <row r="2446" spans="1:31" x14ac:dyDescent="0.25">
      <c r="A2446" s="38" t="s">
        <v>36</v>
      </c>
      <c r="B2446" s="38" t="s">
        <v>5168</v>
      </c>
      <c r="C2446" s="38" t="s">
        <v>5284</v>
      </c>
      <c r="D2446" s="38" t="s">
        <v>5285</v>
      </c>
      <c r="E2446" s="38"/>
      <c r="F2446" s="38"/>
      <c r="G2446" s="38"/>
      <c r="H2446" s="38">
        <f t="shared" si="120"/>
        <v>0</v>
      </c>
      <c r="I2446" s="38"/>
      <c r="J2446" s="38"/>
      <c r="K2446" s="38"/>
      <c r="L2446" s="50"/>
      <c r="M2446" s="38"/>
      <c r="N2446" s="50"/>
      <c r="O2446" s="38"/>
      <c r="P2446" s="38"/>
      <c r="Q2446" s="98" t="s">
        <v>43</v>
      </c>
      <c r="R2446" s="17">
        <v>44571</v>
      </c>
      <c r="S2446" s="2"/>
      <c r="T2446" s="98"/>
      <c r="U2446" s="98"/>
      <c r="V2446" s="98"/>
      <c r="W2446" s="98"/>
      <c r="X2446" s="98"/>
      <c r="Y2446" s="98"/>
      <c r="Z2446" s="207"/>
      <c r="AB2446" s="3">
        <v>26</v>
      </c>
      <c r="AC2446" s="11" t="s">
        <v>5287</v>
      </c>
      <c r="AD2446" s="2">
        <v>24.914103999999998</v>
      </c>
      <c r="AE2446" s="2">
        <v>71.117564000000002</v>
      </c>
    </row>
    <row r="2447" spans="1:31" x14ac:dyDescent="0.25">
      <c r="A2447" s="38" t="s">
        <v>36</v>
      </c>
      <c r="B2447" s="38" t="s">
        <v>5168</v>
      </c>
      <c r="C2447" s="38" t="s">
        <v>5284</v>
      </c>
      <c r="D2447" s="38" t="s">
        <v>5288</v>
      </c>
      <c r="E2447" s="38" t="s">
        <v>5289</v>
      </c>
      <c r="F2447" s="38">
        <v>686.54</v>
      </c>
      <c r="G2447" s="38">
        <v>686.54</v>
      </c>
      <c r="H2447" s="38">
        <f t="shared" si="120"/>
        <v>1325</v>
      </c>
      <c r="I2447" s="38">
        <v>873</v>
      </c>
      <c r="J2447" s="38">
        <v>452</v>
      </c>
      <c r="K2447" s="38">
        <v>421</v>
      </c>
      <c r="L2447" s="50">
        <f t="shared" si="121"/>
        <v>31.773584905660378</v>
      </c>
      <c r="M2447" s="38">
        <v>35</v>
      </c>
      <c r="N2447" s="50">
        <f t="shared" si="119"/>
        <v>2.6415094339622645</v>
      </c>
      <c r="O2447" s="38">
        <v>0</v>
      </c>
      <c r="P2447" s="38">
        <v>56.1</v>
      </c>
      <c r="Q2447" s="61" t="s">
        <v>43</v>
      </c>
      <c r="R2447" s="7">
        <v>44571</v>
      </c>
      <c r="S2447" s="61"/>
      <c r="T2447" s="61">
        <v>56</v>
      </c>
      <c r="U2447" s="61"/>
      <c r="V2447" s="61"/>
      <c r="W2447" s="61"/>
      <c r="X2447" s="61"/>
      <c r="Y2447" s="61"/>
      <c r="Z2447" s="20"/>
      <c r="AB2447" s="20"/>
      <c r="AC2447" s="11" t="s">
        <v>5288</v>
      </c>
      <c r="AD2447" s="61"/>
      <c r="AE2447" s="61"/>
    </row>
    <row r="2448" spans="1:31" x14ac:dyDescent="0.25">
      <c r="A2448" s="38" t="s">
        <v>36</v>
      </c>
      <c r="B2448" s="38" t="s">
        <v>5168</v>
      </c>
      <c r="C2448" s="38" t="s">
        <v>5284</v>
      </c>
      <c r="D2448" s="38" t="s">
        <v>5288</v>
      </c>
      <c r="E2448" s="38"/>
      <c r="F2448" s="38"/>
      <c r="G2448" s="38"/>
      <c r="H2448" s="38">
        <f t="shared" si="120"/>
        <v>0</v>
      </c>
      <c r="I2448" s="38"/>
      <c r="J2448" s="38"/>
      <c r="K2448" s="38"/>
      <c r="L2448" s="50"/>
      <c r="M2448" s="38"/>
      <c r="N2448" s="50"/>
      <c r="O2448" s="38"/>
      <c r="P2448" s="38"/>
      <c r="Q2448" s="61" t="s">
        <v>43</v>
      </c>
      <c r="R2448" s="7">
        <v>44571</v>
      </c>
      <c r="S2448" s="2"/>
      <c r="T2448" s="61"/>
      <c r="U2448" s="61"/>
      <c r="V2448" s="61"/>
      <c r="W2448" s="61"/>
      <c r="X2448" s="61"/>
      <c r="Y2448" s="61"/>
      <c r="Z2448" s="207"/>
      <c r="AB2448" s="3">
        <v>20</v>
      </c>
      <c r="AC2448" s="11" t="s">
        <v>5288</v>
      </c>
      <c r="AD2448" s="2">
        <v>24.876270999999999</v>
      </c>
      <c r="AE2448" s="2">
        <v>71.063062000000002</v>
      </c>
    </row>
    <row r="2449" spans="1:31" x14ac:dyDescent="0.25">
      <c r="A2449" s="38" t="s">
        <v>36</v>
      </c>
      <c r="B2449" s="38" t="s">
        <v>5168</v>
      </c>
      <c r="C2449" s="38" t="s">
        <v>5284</v>
      </c>
      <c r="D2449" s="38" t="s">
        <v>863</v>
      </c>
      <c r="E2449" s="38" t="s">
        <v>5290</v>
      </c>
      <c r="F2449" s="38">
        <v>1121.8800000000001</v>
      </c>
      <c r="G2449" s="38">
        <v>1121.8800000000001</v>
      </c>
      <c r="H2449" s="38">
        <f t="shared" si="120"/>
        <v>1934</v>
      </c>
      <c r="I2449" s="38">
        <v>1275</v>
      </c>
      <c r="J2449" s="38">
        <v>659</v>
      </c>
      <c r="K2449" s="38">
        <v>616</v>
      </c>
      <c r="L2449" s="50">
        <f t="shared" si="121"/>
        <v>31.851085832471561</v>
      </c>
      <c r="M2449" s="38">
        <v>0</v>
      </c>
      <c r="N2449" s="50">
        <f t="shared" si="119"/>
        <v>0</v>
      </c>
      <c r="O2449" s="38">
        <v>0</v>
      </c>
      <c r="P2449" s="38">
        <v>7.9</v>
      </c>
      <c r="Q2449" s="61" t="s">
        <v>43</v>
      </c>
      <c r="R2449" s="7">
        <v>44571</v>
      </c>
      <c r="S2449" s="61"/>
      <c r="T2449" s="61">
        <v>8</v>
      </c>
      <c r="U2449" s="61"/>
      <c r="V2449" s="61"/>
      <c r="W2449" s="61"/>
      <c r="X2449" s="61"/>
      <c r="Y2449" s="61"/>
      <c r="Z2449" s="20"/>
      <c r="AB2449" s="20"/>
      <c r="AC2449" s="11" t="s">
        <v>5291</v>
      </c>
      <c r="AD2449" s="61"/>
      <c r="AE2449" s="61"/>
    </row>
    <row r="2450" spans="1:31" x14ac:dyDescent="0.25">
      <c r="A2450" s="38" t="s">
        <v>36</v>
      </c>
      <c r="B2450" s="38" t="s">
        <v>5168</v>
      </c>
      <c r="C2450" s="38" t="s">
        <v>5284</v>
      </c>
      <c r="D2450" s="38" t="s">
        <v>863</v>
      </c>
      <c r="E2450" s="38"/>
      <c r="F2450" s="38"/>
      <c r="G2450" s="38"/>
      <c r="H2450" s="38">
        <f t="shared" si="120"/>
        <v>0</v>
      </c>
      <c r="I2450" s="38"/>
      <c r="J2450" s="38"/>
      <c r="K2450" s="38"/>
      <c r="L2450" s="50"/>
      <c r="M2450" s="38"/>
      <c r="N2450" s="50"/>
      <c r="O2450" s="38"/>
      <c r="P2450" s="38"/>
      <c r="Q2450" s="61"/>
      <c r="R2450" s="17"/>
      <c r="S2450" s="2"/>
      <c r="T2450" s="61"/>
      <c r="U2450" s="61"/>
      <c r="V2450" s="61"/>
      <c r="W2450" s="61"/>
      <c r="X2450" s="61"/>
      <c r="Y2450" s="61"/>
      <c r="Z2450" s="207"/>
      <c r="AB2450" s="3">
        <v>15</v>
      </c>
      <c r="AC2450" s="11" t="s">
        <v>5291</v>
      </c>
      <c r="AD2450" s="2">
        <v>24.875841000000001</v>
      </c>
      <c r="AE2450" s="2">
        <v>71.062670999999995</v>
      </c>
    </row>
    <row r="2451" spans="1:31" x14ac:dyDescent="0.25">
      <c r="A2451" s="38" t="s">
        <v>36</v>
      </c>
      <c r="B2451" s="38" t="s">
        <v>5168</v>
      </c>
      <c r="C2451" s="38" t="s">
        <v>5284</v>
      </c>
      <c r="D2451" s="38" t="s">
        <v>863</v>
      </c>
      <c r="E2451" s="38"/>
      <c r="F2451" s="38"/>
      <c r="G2451" s="38"/>
      <c r="H2451" s="38">
        <f t="shared" si="120"/>
        <v>0</v>
      </c>
      <c r="I2451" s="38"/>
      <c r="J2451" s="38"/>
      <c r="K2451" s="38"/>
      <c r="L2451" s="50"/>
      <c r="M2451" s="38"/>
      <c r="N2451" s="50"/>
      <c r="O2451" s="38"/>
      <c r="P2451" s="38"/>
      <c r="Q2451" s="61" t="s">
        <v>43</v>
      </c>
      <c r="R2451" s="7">
        <v>44571</v>
      </c>
      <c r="S2451" s="2"/>
      <c r="T2451" s="61"/>
      <c r="U2451" s="61"/>
      <c r="V2451" s="61"/>
      <c r="W2451" s="61"/>
      <c r="X2451" s="61"/>
      <c r="Y2451" s="61"/>
      <c r="Z2451" s="207"/>
      <c r="AB2451" s="3">
        <v>5</v>
      </c>
      <c r="AC2451" s="11" t="s">
        <v>5291</v>
      </c>
      <c r="AD2451" s="2">
        <v>24.875876999999999</v>
      </c>
      <c r="AE2451" s="2">
        <v>71.062702999999999</v>
      </c>
    </row>
    <row r="2452" spans="1:31" x14ac:dyDescent="0.25">
      <c r="A2452" s="38" t="s">
        <v>36</v>
      </c>
      <c r="B2452" s="38" t="s">
        <v>5168</v>
      </c>
      <c r="C2452" s="38" t="s">
        <v>5292</v>
      </c>
      <c r="D2452" s="38" t="s">
        <v>5293</v>
      </c>
      <c r="E2452" s="38" t="s">
        <v>5294</v>
      </c>
      <c r="F2452" s="38">
        <v>1416.02</v>
      </c>
      <c r="G2452" s="38">
        <v>1416.02</v>
      </c>
      <c r="H2452" s="38">
        <f t="shared" si="120"/>
        <v>1884</v>
      </c>
      <c r="I2452" s="38">
        <v>1216</v>
      </c>
      <c r="J2452" s="38">
        <v>668</v>
      </c>
      <c r="K2452" s="38">
        <v>548</v>
      </c>
      <c r="L2452" s="50">
        <f t="shared" si="121"/>
        <v>29.087048832271762</v>
      </c>
      <c r="M2452" s="38">
        <v>1</v>
      </c>
      <c r="N2452" s="50">
        <f t="shared" si="119"/>
        <v>5.3078556263269641E-2</v>
      </c>
      <c r="O2452" s="38">
        <v>0</v>
      </c>
      <c r="P2452" s="38">
        <v>24.11</v>
      </c>
    </row>
    <row r="2453" spans="1:31" x14ac:dyDescent="0.25">
      <c r="A2453" s="38" t="s">
        <v>36</v>
      </c>
      <c r="B2453" s="38" t="s">
        <v>5168</v>
      </c>
      <c r="C2453" s="38" t="s">
        <v>5292</v>
      </c>
      <c r="D2453" s="38" t="s">
        <v>5295</v>
      </c>
      <c r="E2453" s="38" t="s">
        <v>5296</v>
      </c>
      <c r="F2453" s="38">
        <v>929.98</v>
      </c>
      <c r="G2453" s="38">
        <v>929.98</v>
      </c>
      <c r="H2453" s="38">
        <f t="shared" si="120"/>
        <v>1698</v>
      </c>
      <c r="I2453" s="38">
        <v>1114</v>
      </c>
      <c r="J2453" s="38">
        <v>584</v>
      </c>
      <c r="K2453" s="38">
        <v>530</v>
      </c>
      <c r="L2453" s="50">
        <f t="shared" si="121"/>
        <v>31.213191990577151</v>
      </c>
      <c r="M2453" s="38">
        <v>103</v>
      </c>
      <c r="N2453" s="50">
        <f t="shared" si="119"/>
        <v>6.0659599528857484</v>
      </c>
      <c r="O2453" s="38">
        <v>0</v>
      </c>
      <c r="P2453" s="38">
        <v>59.52</v>
      </c>
    </row>
    <row r="2454" spans="1:31" x14ac:dyDescent="0.25">
      <c r="A2454" s="38" t="s">
        <v>36</v>
      </c>
      <c r="B2454" s="38" t="s">
        <v>5168</v>
      </c>
      <c r="C2454" s="38" t="s">
        <v>5292</v>
      </c>
      <c r="D2454" s="38" t="s">
        <v>5297</v>
      </c>
      <c r="E2454" s="38" t="s">
        <v>5298</v>
      </c>
      <c r="F2454" s="38">
        <v>2155.38</v>
      </c>
      <c r="G2454" s="38">
        <v>2155.38</v>
      </c>
      <c r="H2454" s="38">
        <f t="shared" si="120"/>
        <v>2128</v>
      </c>
      <c r="I2454" s="38">
        <v>1404</v>
      </c>
      <c r="J2454" s="38">
        <v>724</v>
      </c>
      <c r="K2454" s="38">
        <v>680</v>
      </c>
      <c r="L2454" s="50">
        <f t="shared" si="121"/>
        <v>31.954887218045116</v>
      </c>
      <c r="M2454" s="38">
        <v>0</v>
      </c>
      <c r="N2454" s="50">
        <f t="shared" si="119"/>
        <v>0</v>
      </c>
      <c r="O2454" s="38">
        <v>0</v>
      </c>
      <c r="P2454" s="38">
        <v>127.32</v>
      </c>
    </row>
    <row r="2455" spans="1:31" x14ac:dyDescent="0.25">
      <c r="A2455" s="38" t="s">
        <v>36</v>
      </c>
      <c r="B2455" s="38" t="s">
        <v>5168</v>
      </c>
      <c r="C2455" s="38" t="s">
        <v>5299</v>
      </c>
      <c r="D2455" s="38" t="s">
        <v>5299</v>
      </c>
      <c r="E2455" s="38" t="s">
        <v>5300</v>
      </c>
      <c r="F2455" s="38">
        <v>2339.39</v>
      </c>
      <c r="G2455" s="38">
        <v>2339.39</v>
      </c>
      <c r="H2455" s="38">
        <f t="shared" si="120"/>
        <v>3368</v>
      </c>
      <c r="I2455" s="38">
        <v>2209</v>
      </c>
      <c r="J2455" s="38">
        <v>1159</v>
      </c>
      <c r="K2455" s="38">
        <v>1050</v>
      </c>
      <c r="L2455" s="50">
        <f t="shared" si="121"/>
        <v>31.175771971496435</v>
      </c>
      <c r="M2455" s="38">
        <v>353</v>
      </c>
      <c r="N2455" s="50">
        <f t="shared" si="119"/>
        <v>10.480997624703088</v>
      </c>
      <c r="O2455" s="38">
        <v>0</v>
      </c>
      <c r="P2455" s="38">
        <v>70.36</v>
      </c>
      <c r="Q2455" s="34" t="s">
        <v>43</v>
      </c>
      <c r="R2455" s="7">
        <v>44587</v>
      </c>
      <c r="S2455" s="34"/>
      <c r="T2455" s="34">
        <v>70</v>
      </c>
      <c r="U2455" s="34"/>
      <c r="V2455" s="34"/>
      <c r="W2455" s="34"/>
      <c r="X2455" s="34"/>
      <c r="Y2455" s="34"/>
      <c r="Z2455" s="89"/>
      <c r="AB2455" s="89">
        <v>11</v>
      </c>
      <c r="AC2455" s="34" t="s">
        <v>5301</v>
      </c>
      <c r="AD2455" s="34">
        <v>25.804421999999999</v>
      </c>
      <c r="AE2455" s="34">
        <v>71.217556999999999</v>
      </c>
    </row>
    <row r="2456" spans="1:31" x14ac:dyDescent="0.25">
      <c r="A2456" s="38" t="s">
        <v>36</v>
      </c>
      <c r="B2456" s="38" t="s">
        <v>5168</v>
      </c>
      <c r="C2456" s="38" t="s">
        <v>5299</v>
      </c>
      <c r="D2456" s="38" t="s">
        <v>5302</v>
      </c>
      <c r="E2456" s="38" t="s">
        <v>5303</v>
      </c>
      <c r="F2456" s="38">
        <v>1281.17</v>
      </c>
      <c r="G2456" s="38">
        <v>1281.17</v>
      </c>
      <c r="H2456" s="38">
        <f t="shared" si="120"/>
        <v>2715</v>
      </c>
      <c r="I2456" s="38">
        <v>1776</v>
      </c>
      <c r="J2456" s="38">
        <v>939</v>
      </c>
      <c r="K2456" s="38">
        <v>837</v>
      </c>
      <c r="L2456" s="50">
        <f t="shared" si="121"/>
        <v>30.828729281767959</v>
      </c>
      <c r="M2456" s="38">
        <v>308</v>
      </c>
      <c r="N2456" s="50">
        <f t="shared" si="119"/>
        <v>11.344383057090239</v>
      </c>
      <c r="O2456" s="38">
        <v>0</v>
      </c>
      <c r="P2456" s="38">
        <v>31.1</v>
      </c>
      <c r="Q2456" s="61" t="s">
        <v>43</v>
      </c>
      <c r="R2456" s="7">
        <v>44587</v>
      </c>
      <c r="S2456" s="61"/>
      <c r="T2456" s="61">
        <v>31</v>
      </c>
      <c r="U2456" s="61"/>
      <c r="V2456" s="61"/>
      <c r="W2456" s="61"/>
      <c r="X2456" s="61"/>
      <c r="Y2456" s="61"/>
      <c r="Z2456" s="20"/>
      <c r="AB2456" s="20"/>
      <c r="AC2456" s="11" t="s">
        <v>5304</v>
      </c>
      <c r="AD2456" s="61"/>
      <c r="AE2456" s="61"/>
    </row>
    <row r="2457" spans="1:31" x14ac:dyDescent="0.25">
      <c r="A2457" s="38" t="s">
        <v>36</v>
      </c>
      <c r="B2457" s="38" t="s">
        <v>5168</v>
      </c>
      <c r="C2457" s="38" t="s">
        <v>5305</v>
      </c>
      <c r="D2457" s="38" t="s">
        <v>5306</v>
      </c>
      <c r="E2457" s="38" t="s">
        <v>5307</v>
      </c>
      <c r="F2457" s="38">
        <v>3233.68</v>
      </c>
      <c r="G2457" s="38">
        <v>3233.68</v>
      </c>
      <c r="H2457" s="38">
        <f t="shared" si="120"/>
        <v>4186</v>
      </c>
      <c r="I2457" s="38">
        <v>2717</v>
      </c>
      <c r="J2457" s="38">
        <v>1469</v>
      </c>
      <c r="K2457" s="38">
        <v>1248</v>
      </c>
      <c r="L2457" s="50">
        <f t="shared" si="121"/>
        <v>29.813664596273291</v>
      </c>
      <c r="M2457" s="38">
        <v>430</v>
      </c>
      <c r="N2457" s="50">
        <f t="shared" si="119"/>
        <v>10.272336359292881</v>
      </c>
      <c r="O2457" s="38">
        <v>0</v>
      </c>
      <c r="P2457" s="38">
        <v>65.2</v>
      </c>
    </row>
    <row r="2458" spans="1:31" x14ac:dyDescent="0.25">
      <c r="A2458" s="38" t="s">
        <v>36</v>
      </c>
      <c r="B2458" s="38" t="s">
        <v>5168</v>
      </c>
      <c r="C2458" s="38" t="s">
        <v>5305</v>
      </c>
      <c r="D2458" s="38" t="s">
        <v>5308</v>
      </c>
      <c r="E2458" s="38" t="s">
        <v>5309</v>
      </c>
      <c r="F2458" s="38">
        <v>1542.46</v>
      </c>
      <c r="G2458" s="38">
        <v>1542.46</v>
      </c>
      <c r="H2458" s="38">
        <f t="shared" si="120"/>
        <v>2091</v>
      </c>
      <c r="I2458" s="38">
        <v>1360</v>
      </c>
      <c r="J2458" s="38">
        <v>731</v>
      </c>
      <c r="K2458" s="38">
        <v>629</v>
      </c>
      <c r="L2458" s="50">
        <f t="shared" si="121"/>
        <v>30.081300813008134</v>
      </c>
      <c r="M2458" s="38">
        <v>99</v>
      </c>
      <c r="N2458" s="50">
        <f t="shared" si="119"/>
        <v>4.734576757532281</v>
      </c>
      <c r="O2458" s="38">
        <v>0</v>
      </c>
      <c r="P2458" s="38">
        <v>0</v>
      </c>
    </row>
    <row r="2459" spans="1:31" x14ac:dyDescent="0.25">
      <c r="A2459" s="38" t="s">
        <v>36</v>
      </c>
      <c r="B2459" s="38" t="s">
        <v>5168</v>
      </c>
      <c r="C2459" s="38" t="s">
        <v>2926</v>
      </c>
      <c r="D2459" s="38" t="s">
        <v>2926</v>
      </c>
      <c r="E2459" s="38" t="s">
        <v>5310</v>
      </c>
      <c r="F2459" s="38">
        <v>1175</v>
      </c>
      <c r="G2459" s="38">
        <v>1175</v>
      </c>
      <c r="H2459" s="38">
        <f t="shared" si="120"/>
        <v>3474</v>
      </c>
      <c r="I2459" s="38">
        <v>2288</v>
      </c>
      <c r="J2459" s="38">
        <v>1186</v>
      </c>
      <c r="K2459" s="38">
        <v>1102</v>
      </c>
      <c r="L2459" s="50">
        <f t="shared" si="121"/>
        <v>31.721358664363848</v>
      </c>
      <c r="M2459" s="38">
        <v>183</v>
      </c>
      <c r="N2459" s="50">
        <f t="shared" si="119"/>
        <v>5.2677029360967182</v>
      </c>
      <c r="O2459" s="38">
        <v>0</v>
      </c>
      <c r="P2459" s="38">
        <v>43</v>
      </c>
      <c r="Q2459" s="61" t="s">
        <v>43</v>
      </c>
      <c r="R2459" s="7">
        <v>44574</v>
      </c>
      <c r="S2459" s="61"/>
      <c r="T2459" s="61">
        <v>43</v>
      </c>
      <c r="U2459" s="61"/>
      <c r="V2459" s="61"/>
      <c r="W2459" s="61"/>
      <c r="X2459" s="61"/>
      <c r="Y2459" s="61"/>
      <c r="Z2459" s="20"/>
      <c r="AB2459" s="20"/>
      <c r="AC2459" s="11" t="s">
        <v>2926</v>
      </c>
      <c r="AD2459" s="61"/>
      <c r="AE2459" s="61"/>
    </row>
    <row r="2460" spans="1:31" x14ac:dyDescent="0.25">
      <c r="A2460" s="38" t="s">
        <v>36</v>
      </c>
      <c r="B2460" s="38" t="s">
        <v>5168</v>
      </c>
      <c r="C2460" s="38" t="s">
        <v>2926</v>
      </c>
      <c r="D2460" s="38" t="s">
        <v>2926</v>
      </c>
      <c r="E2460" s="38"/>
      <c r="F2460" s="38"/>
      <c r="G2460" s="38"/>
      <c r="H2460" s="38">
        <f t="shared" si="120"/>
        <v>0</v>
      </c>
      <c r="I2460" s="38"/>
      <c r="J2460" s="38"/>
      <c r="K2460" s="38"/>
      <c r="L2460" s="50"/>
      <c r="M2460" s="38"/>
      <c r="N2460" s="50"/>
      <c r="O2460" s="38"/>
      <c r="P2460" s="38"/>
      <c r="Q2460" s="61" t="s">
        <v>43</v>
      </c>
      <c r="R2460" s="7">
        <v>44574</v>
      </c>
      <c r="S2460" s="2"/>
      <c r="T2460" s="61"/>
      <c r="U2460" s="61"/>
      <c r="V2460" s="61"/>
      <c r="W2460" s="61"/>
      <c r="X2460" s="61"/>
      <c r="Y2460" s="61"/>
      <c r="Z2460" s="106"/>
      <c r="AB2460" s="3">
        <v>19</v>
      </c>
      <c r="AC2460" s="11" t="s">
        <v>2926</v>
      </c>
      <c r="AD2460" s="2">
        <v>25.100197000000001</v>
      </c>
      <c r="AE2460" s="2">
        <v>71.273833999999994</v>
      </c>
    </row>
    <row r="2461" spans="1:31" x14ac:dyDescent="0.25">
      <c r="A2461" s="38" t="s">
        <v>36</v>
      </c>
      <c r="B2461" s="38" t="s">
        <v>5168</v>
      </c>
      <c r="C2461" s="38" t="s">
        <v>2926</v>
      </c>
      <c r="D2461" s="38" t="s">
        <v>3048</v>
      </c>
      <c r="E2461" s="38" t="s">
        <v>5311</v>
      </c>
      <c r="F2461" s="38">
        <v>529</v>
      </c>
      <c r="G2461" s="38">
        <v>529</v>
      </c>
      <c r="H2461" s="38">
        <f t="shared" si="120"/>
        <v>739</v>
      </c>
      <c r="I2461" s="38">
        <v>485</v>
      </c>
      <c r="J2461" s="38">
        <v>254</v>
      </c>
      <c r="K2461" s="38">
        <v>231</v>
      </c>
      <c r="L2461" s="50">
        <f t="shared" si="121"/>
        <v>31.258457374830851</v>
      </c>
      <c r="M2461" s="38">
        <v>34</v>
      </c>
      <c r="N2461" s="50">
        <f t="shared" si="119"/>
        <v>4.6008119079837613</v>
      </c>
      <c r="O2461" s="38">
        <v>0</v>
      </c>
      <c r="P2461" s="38">
        <v>95</v>
      </c>
      <c r="Q2461" s="61" t="s">
        <v>43</v>
      </c>
      <c r="R2461" s="7">
        <v>44575</v>
      </c>
      <c r="S2461" s="61"/>
      <c r="T2461" s="61">
        <v>95</v>
      </c>
      <c r="U2461" s="61"/>
      <c r="V2461" s="61"/>
      <c r="W2461" s="61"/>
      <c r="X2461" s="61"/>
      <c r="Y2461" s="61"/>
      <c r="Z2461" s="20"/>
      <c r="AB2461" s="20"/>
      <c r="AC2461" s="11" t="s">
        <v>3048</v>
      </c>
      <c r="AD2461" s="61"/>
      <c r="AE2461" s="61"/>
    </row>
    <row r="2462" spans="1:31" x14ac:dyDescent="0.25">
      <c r="A2462" s="38" t="s">
        <v>36</v>
      </c>
      <c r="B2462" s="38" t="s">
        <v>5168</v>
      </c>
      <c r="C2462" s="38" t="s">
        <v>2926</v>
      </c>
      <c r="D2462" s="38" t="s">
        <v>3048</v>
      </c>
      <c r="E2462" s="38"/>
      <c r="F2462" s="38"/>
      <c r="G2462" s="38"/>
      <c r="H2462" s="38">
        <f t="shared" si="120"/>
        <v>0</v>
      </c>
      <c r="I2462" s="38"/>
      <c r="J2462" s="38"/>
      <c r="K2462" s="38"/>
      <c r="L2462" s="50"/>
      <c r="M2462" s="38"/>
      <c r="N2462" s="50"/>
      <c r="O2462" s="38"/>
      <c r="P2462" s="38"/>
      <c r="Q2462" s="61" t="s">
        <v>43</v>
      </c>
      <c r="R2462" s="7">
        <v>44575</v>
      </c>
      <c r="S2462" s="2"/>
      <c r="T2462" s="61"/>
      <c r="U2462" s="61"/>
      <c r="V2462" s="61"/>
      <c r="W2462" s="61"/>
      <c r="X2462" s="61"/>
      <c r="Y2462" s="61"/>
      <c r="Z2462" s="106"/>
      <c r="AB2462" s="3">
        <v>18</v>
      </c>
      <c r="AC2462" s="11" t="s">
        <v>3048</v>
      </c>
      <c r="AD2462" s="2">
        <v>25.100187999999999</v>
      </c>
      <c r="AE2462" s="2">
        <v>71.27364</v>
      </c>
    </row>
    <row r="2463" spans="1:31" x14ac:dyDescent="0.25">
      <c r="A2463" s="38" t="s">
        <v>36</v>
      </c>
      <c r="B2463" s="38" t="s">
        <v>5168</v>
      </c>
      <c r="C2463" s="38" t="s">
        <v>5312</v>
      </c>
      <c r="D2463" s="38" t="s">
        <v>5313</v>
      </c>
      <c r="E2463" s="38" t="s">
        <v>5314</v>
      </c>
      <c r="F2463" s="38"/>
      <c r="G2463" s="38"/>
      <c r="H2463" s="38">
        <f t="shared" si="120"/>
        <v>0</v>
      </c>
      <c r="I2463" s="38"/>
      <c r="J2463" s="38"/>
      <c r="K2463" s="38"/>
      <c r="L2463" s="50"/>
      <c r="M2463" s="38"/>
      <c r="N2463" s="50"/>
      <c r="O2463" s="38"/>
      <c r="P2463" s="38">
        <v>86.83</v>
      </c>
      <c r="Q2463" s="34" t="s">
        <v>43</v>
      </c>
      <c r="R2463" s="7">
        <v>44573</v>
      </c>
      <c r="S2463" s="34"/>
      <c r="T2463" s="34">
        <v>87</v>
      </c>
      <c r="U2463" s="34"/>
      <c r="V2463" s="34"/>
      <c r="W2463" s="34"/>
      <c r="X2463" s="34"/>
      <c r="Y2463" s="34"/>
      <c r="Z2463" s="89"/>
      <c r="AB2463" s="89">
        <v>12</v>
      </c>
      <c r="AC2463" s="34" t="s">
        <v>5315</v>
      </c>
      <c r="AD2463" s="34">
        <v>0</v>
      </c>
      <c r="AE2463" s="34"/>
    </row>
    <row r="2464" spans="1:31" x14ac:dyDescent="0.25">
      <c r="A2464" s="38" t="s">
        <v>36</v>
      </c>
      <c r="B2464" s="38" t="s">
        <v>5168</v>
      </c>
      <c r="C2464" s="38" t="s">
        <v>5312</v>
      </c>
      <c r="D2464" s="38" t="s">
        <v>5313</v>
      </c>
      <c r="E2464" s="38" t="s">
        <v>5314</v>
      </c>
      <c r="F2464" s="38"/>
      <c r="G2464" s="38"/>
      <c r="H2464" s="38">
        <f t="shared" si="120"/>
        <v>0</v>
      </c>
      <c r="I2464" s="38"/>
      <c r="J2464" s="38"/>
      <c r="K2464" s="38"/>
      <c r="L2464" s="50"/>
      <c r="M2464" s="38"/>
      <c r="N2464" s="50"/>
      <c r="O2464" s="38"/>
      <c r="P2464" s="38">
        <v>86.83</v>
      </c>
      <c r="Q2464" s="34" t="s">
        <v>43</v>
      </c>
      <c r="R2464" s="7">
        <v>44573</v>
      </c>
      <c r="S2464" s="34"/>
      <c r="T2464" s="34"/>
      <c r="U2464" s="34"/>
      <c r="V2464" s="34"/>
      <c r="W2464" s="34"/>
      <c r="X2464" s="34"/>
      <c r="Y2464" s="34"/>
      <c r="Z2464" s="109"/>
      <c r="AB2464" s="89">
        <v>9</v>
      </c>
      <c r="AC2464" s="209" t="s">
        <v>5316</v>
      </c>
      <c r="AD2464" s="34">
        <v>25.077173999999999</v>
      </c>
      <c r="AE2464" s="34">
        <v>71.107405</v>
      </c>
    </row>
    <row r="2465" spans="1:31" x14ac:dyDescent="0.25">
      <c r="A2465" s="38" t="s">
        <v>36</v>
      </c>
      <c r="B2465" s="38" t="s">
        <v>5168</v>
      </c>
      <c r="C2465" s="38" t="s">
        <v>5312</v>
      </c>
      <c r="D2465" s="38" t="s">
        <v>5313</v>
      </c>
      <c r="E2465" s="38" t="s">
        <v>5314</v>
      </c>
      <c r="F2465" s="38"/>
      <c r="G2465" s="38"/>
      <c r="H2465" s="38">
        <f t="shared" si="120"/>
        <v>0</v>
      </c>
      <c r="I2465" s="38"/>
      <c r="J2465" s="38"/>
      <c r="K2465" s="38"/>
      <c r="L2465" s="50"/>
      <c r="M2465" s="38"/>
      <c r="N2465" s="50"/>
      <c r="O2465" s="38"/>
      <c r="P2465" s="38">
        <v>86.83</v>
      </c>
      <c r="Q2465" s="34" t="s">
        <v>43</v>
      </c>
      <c r="R2465" s="7">
        <v>44573</v>
      </c>
      <c r="S2465" s="34"/>
      <c r="T2465" s="34"/>
      <c r="U2465" s="34"/>
      <c r="V2465" s="34"/>
      <c r="W2465" s="34"/>
      <c r="X2465" s="34"/>
      <c r="Y2465" s="34"/>
      <c r="Z2465" s="109"/>
      <c r="AB2465" s="89">
        <v>10</v>
      </c>
      <c r="AC2465" s="209" t="s">
        <v>5317</v>
      </c>
      <c r="AD2465" s="34">
        <v>25.078741000000001</v>
      </c>
      <c r="AE2465" s="34">
        <v>71.108245999999994</v>
      </c>
    </row>
    <row r="2466" spans="1:31" x14ac:dyDescent="0.25">
      <c r="A2466" s="38" t="s">
        <v>36</v>
      </c>
      <c r="B2466" s="38" t="s">
        <v>5168</v>
      </c>
      <c r="C2466" s="38" t="s">
        <v>5312</v>
      </c>
      <c r="D2466" s="38" t="s">
        <v>5313</v>
      </c>
      <c r="E2466" s="38" t="s">
        <v>5314</v>
      </c>
      <c r="F2466" s="38"/>
      <c r="G2466" s="38"/>
      <c r="H2466" s="38">
        <f t="shared" si="120"/>
        <v>0</v>
      </c>
      <c r="I2466" s="38"/>
      <c r="J2466" s="38"/>
      <c r="K2466" s="38"/>
      <c r="L2466" s="50"/>
      <c r="M2466" s="38"/>
      <c r="N2466" s="50"/>
      <c r="O2466" s="38"/>
      <c r="P2466" s="38">
        <v>86.83</v>
      </c>
      <c r="Q2466" s="34" t="s">
        <v>43</v>
      </c>
      <c r="R2466" s="7">
        <v>44573</v>
      </c>
      <c r="S2466" s="34"/>
      <c r="T2466" s="34"/>
      <c r="U2466" s="34"/>
      <c r="V2466" s="34"/>
      <c r="W2466" s="34"/>
      <c r="X2466" s="34"/>
      <c r="Y2466" s="34"/>
      <c r="Z2466" s="109"/>
      <c r="AB2466" s="89">
        <v>9</v>
      </c>
      <c r="AC2466" s="210" t="s">
        <v>5316</v>
      </c>
      <c r="AD2466" s="34">
        <v>25.078790999999999</v>
      </c>
      <c r="AE2466" s="34">
        <v>71.10821</v>
      </c>
    </row>
    <row r="2467" spans="1:31" x14ac:dyDescent="0.25">
      <c r="A2467" s="38" t="s">
        <v>36</v>
      </c>
      <c r="B2467" s="38" t="s">
        <v>5168</v>
      </c>
      <c r="C2467" s="38" t="s">
        <v>5312</v>
      </c>
      <c r="D2467" s="38" t="s">
        <v>5313</v>
      </c>
      <c r="E2467" s="38" t="s">
        <v>5314</v>
      </c>
      <c r="F2467" s="38"/>
      <c r="G2467" s="38"/>
      <c r="H2467" s="38">
        <f t="shared" si="120"/>
        <v>0</v>
      </c>
      <c r="I2467" s="38"/>
      <c r="J2467" s="38"/>
      <c r="K2467" s="38"/>
      <c r="L2467" s="50"/>
      <c r="M2467" s="38"/>
      <c r="N2467" s="50"/>
      <c r="O2467" s="38"/>
      <c r="P2467" s="38">
        <v>86.83</v>
      </c>
      <c r="Q2467" s="34" t="s">
        <v>43</v>
      </c>
      <c r="R2467" s="7">
        <v>44573</v>
      </c>
      <c r="S2467" s="34"/>
      <c r="T2467" s="34"/>
      <c r="U2467" s="34"/>
      <c r="V2467" s="34"/>
      <c r="W2467" s="34"/>
      <c r="X2467" s="34"/>
      <c r="Y2467" s="34"/>
      <c r="Z2467" s="109"/>
      <c r="AB2467" s="89">
        <v>9</v>
      </c>
      <c r="AC2467" s="210" t="s">
        <v>5318</v>
      </c>
      <c r="AD2467" s="34">
        <v>25.078762000000001</v>
      </c>
      <c r="AE2467" s="34">
        <v>71.108203000000003</v>
      </c>
    </row>
    <row r="2468" spans="1:31" ht="24" x14ac:dyDescent="0.25">
      <c r="A2468" s="38" t="s">
        <v>36</v>
      </c>
      <c r="B2468" s="38" t="s">
        <v>5168</v>
      </c>
      <c r="C2468" s="38" t="s">
        <v>5312</v>
      </c>
      <c r="D2468" s="38" t="s">
        <v>5313</v>
      </c>
      <c r="E2468" s="38" t="s">
        <v>5314</v>
      </c>
      <c r="F2468" s="38"/>
      <c r="G2468" s="38"/>
      <c r="H2468" s="38">
        <f t="shared" si="120"/>
        <v>0</v>
      </c>
      <c r="I2468" s="38"/>
      <c r="J2468" s="38"/>
      <c r="K2468" s="38"/>
      <c r="L2468" s="50"/>
      <c r="M2468" s="38"/>
      <c r="N2468" s="50"/>
      <c r="O2468" s="38"/>
      <c r="P2468" s="38">
        <v>86.83</v>
      </c>
      <c r="Q2468" s="34" t="s">
        <v>43</v>
      </c>
      <c r="R2468" s="7">
        <v>44573</v>
      </c>
      <c r="S2468" s="34"/>
      <c r="T2468" s="34"/>
      <c r="U2468" s="34"/>
      <c r="V2468" s="34"/>
      <c r="W2468" s="34"/>
      <c r="X2468" s="34"/>
      <c r="Y2468" s="34"/>
      <c r="Z2468" s="109"/>
      <c r="AB2468" s="89">
        <v>9</v>
      </c>
      <c r="AC2468" s="211" t="s">
        <v>5319</v>
      </c>
      <c r="AD2468" s="34">
        <v>25.079073999999999</v>
      </c>
      <c r="AE2468" s="34">
        <v>71.108338000000003</v>
      </c>
    </row>
    <row r="2469" spans="1:31" ht="24" x14ac:dyDescent="0.25">
      <c r="A2469" s="38" t="s">
        <v>36</v>
      </c>
      <c r="B2469" s="38" t="s">
        <v>5168</v>
      </c>
      <c r="C2469" s="38" t="s">
        <v>5312</v>
      </c>
      <c r="D2469" s="38" t="s">
        <v>5313</v>
      </c>
      <c r="E2469" s="38" t="s">
        <v>5314</v>
      </c>
      <c r="F2469" s="38"/>
      <c r="G2469" s="38"/>
      <c r="H2469" s="38">
        <f t="shared" si="120"/>
        <v>0</v>
      </c>
      <c r="I2469" s="38"/>
      <c r="J2469" s="38"/>
      <c r="K2469" s="38"/>
      <c r="L2469" s="50"/>
      <c r="M2469" s="38"/>
      <c r="N2469" s="50"/>
      <c r="O2469" s="38"/>
      <c r="P2469" s="38">
        <v>86.83</v>
      </c>
      <c r="Q2469" s="34" t="s">
        <v>43</v>
      </c>
      <c r="R2469" s="7">
        <v>44573</v>
      </c>
      <c r="S2469" s="34"/>
      <c r="T2469" s="34"/>
      <c r="U2469" s="34"/>
      <c r="V2469" s="34"/>
      <c r="W2469" s="34"/>
      <c r="X2469" s="34"/>
      <c r="Y2469" s="34"/>
      <c r="Z2469" s="109"/>
      <c r="AB2469" s="89">
        <v>9</v>
      </c>
      <c r="AC2469" s="211" t="s">
        <v>5320</v>
      </c>
      <c r="AD2469" s="34">
        <v>25.079111999999999</v>
      </c>
      <c r="AE2469" s="34">
        <v>71.108284999999995</v>
      </c>
    </row>
    <row r="2470" spans="1:31" x14ac:dyDescent="0.25">
      <c r="A2470" s="38" t="s">
        <v>36</v>
      </c>
      <c r="B2470" s="38" t="s">
        <v>5168</v>
      </c>
      <c r="C2470" s="38" t="s">
        <v>5321</v>
      </c>
      <c r="D2470" s="38" t="s">
        <v>5322</v>
      </c>
      <c r="E2470" s="38" t="s">
        <v>5323</v>
      </c>
      <c r="F2470" s="38">
        <v>2217.83</v>
      </c>
      <c r="G2470" s="38">
        <v>2217.83</v>
      </c>
      <c r="H2470" s="38">
        <f t="shared" si="120"/>
        <v>3382</v>
      </c>
      <c r="I2470" s="38">
        <v>2217</v>
      </c>
      <c r="J2470" s="38">
        <v>1165</v>
      </c>
      <c r="K2470" s="38">
        <v>1052</v>
      </c>
      <c r="L2470" s="50">
        <f t="shared" si="121"/>
        <v>31.105854523950327</v>
      </c>
      <c r="M2470" s="38">
        <v>103</v>
      </c>
      <c r="N2470" s="50">
        <f t="shared" ref="N2470:N2525" si="122">M2470/H2470*100</f>
        <v>3.0455351862803073</v>
      </c>
      <c r="O2470" s="38">
        <v>0</v>
      </c>
      <c r="P2470" s="38">
        <v>216.02</v>
      </c>
      <c r="Q2470" s="34" t="s">
        <v>43</v>
      </c>
      <c r="R2470" s="7">
        <v>44575</v>
      </c>
      <c r="S2470" s="34"/>
      <c r="T2470" s="34">
        <v>216</v>
      </c>
      <c r="U2470" s="34"/>
      <c r="V2470" s="34"/>
      <c r="W2470" s="34"/>
      <c r="X2470" s="34"/>
      <c r="Y2470" s="34"/>
      <c r="Z2470" s="89"/>
      <c r="AB2470" s="89"/>
      <c r="AC2470" s="34" t="s">
        <v>5324</v>
      </c>
      <c r="AD2470" s="34">
        <v>24.977926</v>
      </c>
      <c r="AE2470" s="34">
        <v>70.980926999999994</v>
      </c>
    </row>
    <row r="2471" spans="1:31" x14ac:dyDescent="0.25">
      <c r="A2471" s="38" t="s">
        <v>36</v>
      </c>
      <c r="B2471" s="38" t="s">
        <v>5168</v>
      </c>
      <c r="C2471" s="38" t="s">
        <v>5321</v>
      </c>
      <c r="D2471" s="38" t="s">
        <v>5322</v>
      </c>
      <c r="E2471" s="38" t="s">
        <v>5323</v>
      </c>
      <c r="F2471" s="38"/>
      <c r="G2471" s="38"/>
      <c r="H2471" s="38">
        <f t="shared" si="120"/>
        <v>0</v>
      </c>
      <c r="I2471" s="38"/>
      <c r="J2471" s="38"/>
      <c r="K2471" s="38"/>
      <c r="L2471" s="50"/>
      <c r="M2471" s="38"/>
      <c r="N2471" s="50"/>
      <c r="O2471" s="38"/>
      <c r="P2471" s="38">
        <v>216.02</v>
      </c>
      <c r="Q2471" s="34" t="s">
        <v>43</v>
      </c>
      <c r="R2471" s="212">
        <v>44575</v>
      </c>
      <c r="S2471" s="34"/>
      <c r="T2471" s="34">
        <v>10</v>
      </c>
      <c r="U2471" s="34"/>
      <c r="V2471" s="34"/>
      <c r="W2471" s="34"/>
      <c r="X2471" s="34"/>
      <c r="Y2471" s="34"/>
      <c r="Z2471" s="109"/>
      <c r="AB2471" s="89">
        <v>8</v>
      </c>
      <c r="AC2471" s="51" t="s">
        <v>5325</v>
      </c>
      <c r="AD2471" s="34">
        <v>70.97739</v>
      </c>
      <c r="AE2471" s="34">
        <v>24.975148000000001</v>
      </c>
    </row>
    <row r="2472" spans="1:31" x14ac:dyDescent="0.25">
      <c r="A2472" s="38" t="s">
        <v>36</v>
      </c>
      <c r="B2472" s="38" t="s">
        <v>5168</v>
      </c>
      <c r="C2472" s="38" t="s">
        <v>5321</v>
      </c>
      <c r="D2472" s="38" t="s">
        <v>5322</v>
      </c>
      <c r="E2472" s="38" t="s">
        <v>5323</v>
      </c>
      <c r="F2472" s="38"/>
      <c r="G2472" s="38"/>
      <c r="H2472" s="38">
        <f t="shared" si="120"/>
        <v>0</v>
      </c>
      <c r="I2472" s="38"/>
      <c r="J2472" s="38"/>
      <c r="K2472" s="38"/>
      <c r="L2472" s="50"/>
      <c r="M2472" s="38"/>
      <c r="N2472" s="50"/>
      <c r="O2472" s="38"/>
      <c r="P2472" s="38">
        <v>216.02</v>
      </c>
      <c r="Q2472" s="34" t="s">
        <v>43</v>
      </c>
      <c r="R2472" s="212">
        <v>44575</v>
      </c>
      <c r="S2472" s="34"/>
      <c r="T2472" s="34">
        <v>10</v>
      </c>
      <c r="U2472" s="34"/>
      <c r="V2472" s="34"/>
      <c r="W2472" s="34"/>
      <c r="X2472" s="34"/>
      <c r="Y2472" s="34"/>
      <c r="Z2472" s="109"/>
      <c r="AB2472" s="89">
        <v>8</v>
      </c>
      <c r="AC2472" s="51" t="s">
        <v>5325</v>
      </c>
      <c r="AD2472" s="34">
        <v>70.97739</v>
      </c>
      <c r="AE2472" s="34">
        <v>24.975148000000001</v>
      </c>
    </row>
    <row r="2473" spans="1:31" x14ac:dyDescent="0.25">
      <c r="A2473" s="38" t="s">
        <v>36</v>
      </c>
      <c r="B2473" s="38" t="s">
        <v>5168</v>
      </c>
      <c r="C2473" s="38" t="s">
        <v>5321</v>
      </c>
      <c r="D2473" s="38" t="s">
        <v>5326</v>
      </c>
      <c r="E2473" s="38" t="s">
        <v>5327</v>
      </c>
      <c r="F2473" s="38">
        <v>373.14</v>
      </c>
      <c r="G2473" s="38">
        <v>373.14</v>
      </c>
      <c r="H2473" s="38">
        <f t="shared" si="120"/>
        <v>713</v>
      </c>
      <c r="I2473" s="38">
        <v>474</v>
      </c>
      <c r="J2473" s="38">
        <v>239</v>
      </c>
      <c r="K2473" s="38">
        <v>235</v>
      </c>
      <c r="L2473" s="50">
        <f t="shared" si="121"/>
        <v>32.959326788218796</v>
      </c>
      <c r="M2473" s="38">
        <v>0</v>
      </c>
      <c r="N2473" s="50">
        <f t="shared" si="122"/>
        <v>0</v>
      </c>
      <c r="O2473" s="38">
        <v>0</v>
      </c>
      <c r="P2473" s="38">
        <v>49.55</v>
      </c>
      <c r="Q2473" s="34" t="s">
        <v>43</v>
      </c>
      <c r="R2473" s="7">
        <v>44575</v>
      </c>
      <c r="S2473" s="34"/>
      <c r="T2473" s="34">
        <v>50</v>
      </c>
      <c r="U2473" s="34"/>
      <c r="V2473" s="34"/>
      <c r="W2473" s="34"/>
      <c r="X2473" s="34"/>
      <c r="Y2473" s="34"/>
      <c r="Z2473" s="89"/>
      <c r="AB2473" s="89"/>
      <c r="AC2473" s="34" t="s">
        <v>5328</v>
      </c>
      <c r="AD2473" s="34">
        <v>25.00348</v>
      </c>
      <c r="AE2473" s="34">
        <v>70.997735000000006</v>
      </c>
    </row>
    <row r="2474" spans="1:31" x14ac:dyDescent="0.25">
      <c r="A2474" s="38" t="s">
        <v>36</v>
      </c>
      <c r="B2474" s="38" t="s">
        <v>5168</v>
      </c>
      <c r="C2474" s="38" t="s">
        <v>5321</v>
      </c>
      <c r="D2474" s="38" t="s">
        <v>5329</v>
      </c>
      <c r="E2474" s="38" t="s">
        <v>5330</v>
      </c>
      <c r="F2474" s="38">
        <v>904.38</v>
      </c>
      <c r="G2474" s="38">
        <v>904.38</v>
      </c>
      <c r="H2474" s="38">
        <f t="shared" si="120"/>
        <v>1463</v>
      </c>
      <c r="I2474" s="38">
        <v>958</v>
      </c>
      <c r="J2474" s="38">
        <v>505</v>
      </c>
      <c r="K2474" s="38">
        <v>453</v>
      </c>
      <c r="L2474" s="50">
        <f t="shared" si="121"/>
        <v>30.963773069036225</v>
      </c>
      <c r="M2474" s="38">
        <v>140</v>
      </c>
      <c r="N2474" s="50">
        <f t="shared" si="122"/>
        <v>9.5693779904306222</v>
      </c>
      <c r="O2474" s="38">
        <v>0</v>
      </c>
      <c r="P2474" s="38">
        <v>45.48</v>
      </c>
      <c r="Q2474" s="34" t="s">
        <v>43</v>
      </c>
      <c r="R2474" s="7">
        <v>44575</v>
      </c>
      <c r="S2474" s="34"/>
      <c r="T2474" s="34">
        <v>45</v>
      </c>
      <c r="U2474" s="34"/>
      <c r="V2474" s="34"/>
      <c r="W2474" s="34"/>
      <c r="X2474" s="34"/>
      <c r="Y2474" s="34"/>
      <c r="Z2474" s="89"/>
      <c r="AB2474" s="89"/>
      <c r="AC2474" s="34" t="s">
        <v>5331</v>
      </c>
      <c r="AD2474" s="34">
        <v>25.270309999999998</v>
      </c>
      <c r="AE2474" s="34">
        <v>71.040816000000007</v>
      </c>
    </row>
    <row r="2475" spans="1:31" x14ac:dyDescent="0.25">
      <c r="A2475" s="38" t="s">
        <v>36</v>
      </c>
      <c r="B2475" s="38" t="s">
        <v>5168</v>
      </c>
      <c r="C2475" s="38" t="s">
        <v>5168</v>
      </c>
      <c r="D2475" s="38" t="s">
        <v>5332</v>
      </c>
      <c r="E2475" s="38" t="s">
        <v>5333</v>
      </c>
      <c r="F2475" s="38">
        <v>2699</v>
      </c>
      <c r="G2475" s="38">
        <v>2699</v>
      </c>
      <c r="H2475" s="38">
        <f t="shared" si="120"/>
        <v>4311</v>
      </c>
      <c r="I2475" s="38">
        <v>2842</v>
      </c>
      <c r="J2475" s="38">
        <v>1469</v>
      </c>
      <c r="K2475" s="38">
        <v>1373</v>
      </c>
      <c r="L2475" s="50">
        <f t="shared" si="121"/>
        <v>31.84875898863373</v>
      </c>
      <c r="M2475" s="38">
        <v>76</v>
      </c>
      <c r="N2475" s="50">
        <f t="shared" si="122"/>
        <v>1.7629320343307817</v>
      </c>
      <c r="O2475" s="38">
        <v>0</v>
      </c>
      <c r="P2475" s="38">
        <v>5</v>
      </c>
      <c r="Q2475" s="34" t="s">
        <v>43</v>
      </c>
      <c r="T2475" s="34"/>
      <c r="U2475" s="34"/>
      <c r="V2475" s="34"/>
      <c r="W2475" s="34"/>
      <c r="X2475" s="34"/>
      <c r="Y2475" s="34"/>
    </row>
    <row r="2476" spans="1:31" x14ac:dyDescent="0.25">
      <c r="A2476" s="38" t="s">
        <v>36</v>
      </c>
      <c r="B2476" s="38" t="s">
        <v>5168</v>
      </c>
      <c r="C2476" s="38" t="s">
        <v>5168</v>
      </c>
      <c r="D2476" s="38" t="s">
        <v>5334</v>
      </c>
      <c r="E2476" s="38" t="s">
        <v>5335</v>
      </c>
      <c r="F2476" s="38">
        <v>1335</v>
      </c>
      <c r="G2476" s="38">
        <v>1335</v>
      </c>
      <c r="H2476" s="38">
        <f t="shared" si="120"/>
        <v>2937</v>
      </c>
      <c r="I2476" s="38">
        <v>1915</v>
      </c>
      <c r="J2476" s="38">
        <v>1022</v>
      </c>
      <c r="K2476" s="38">
        <v>893</v>
      </c>
      <c r="L2476" s="50">
        <f t="shared" si="121"/>
        <v>30.405175348995574</v>
      </c>
      <c r="M2476" s="38">
        <v>224</v>
      </c>
      <c r="N2476" s="50">
        <f t="shared" si="122"/>
        <v>7.6268300987402116</v>
      </c>
      <c r="O2476" s="38">
        <v>0</v>
      </c>
      <c r="P2476" s="38">
        <v>0</v>
      </c>
      <c r="Q2476" s="34" t="s">
        <v>43</v>
      </c>
      <c r="T2476" s="34"/>
      <c r="U2476" s="34"/>
      <c r="V2476" s="34"/>
      <c r="W2476" s="34"/>
      <c r="X2476" s="34"/>
      <c r="Y2476" s="34"/>
    </row>
    <row r="2477" spans="1:31" x14ac:dyDescent="0.25">
      <c r="A2477" s="38" t="s">
        <v>36</v>
      </c>
      <c r="B2477" s="38" t="s">
        <v>5168</v>
      </c>
      <c r="C2477" s="38" t="s">
        <v>5336</v>
      </c>
      <c r="D2477" s="38" t="s">
        <v>5336</v>
      </c>
      <c r="E2477" s="38" t="s">
        <v>5337</v>
      </c>
      <c r="F2477" s="38">
        <v>1444</v>
      </c>
      <c r="G2477" s="38">
        <v>1444</v>
      </c>
      <c r="H2477" s="38">
        <f t="shared" si="120"/>
        <v>3018</v>
      </c>
      <c r="I2477" s="38">
        <v>1984</v>
      </c>
      <c r="J2477" s="38">
        <v>1034</v>
      </c>
      <c r="K2477" s="38">
        <v>950</v>
      </c>
      <c r="L2477" s="50">
        <f t="shared" si="121"/>
        <v>31.477799867461897</v>
      </c>
      <c r="M2477" s="38">
        <v>540</v>
      </c>
      <c r="N2477" s="50">
        <f t="shared" si="122"/>
        <v>17.892644135188867</v>
      </c>
      <c r="O2477" s="38">
        <v>0</v>
      </c>
      <c r="P2477" s="38">
        <v>36</v>
      </c>
      <c r="Q2477" s="61" t="s">
        <v>43</v>
      </c>
      <c r="R2477" s="7">
        <v>44589</v>
      </c>
      <c r="S2477" s="61"/>
      <c r="T2477" s="61">
        <v>36</v>
      </c>
      <c r="U2477" s="61"/>
      <c r="V2477" s="61"/>
      <c r="W2477" s="61"/>
      <c r="X2477" s="61"/>
      <c r="Y2477" s="61"/>
      <c r="Z2477" s="20"/>
      <c r="AB2477" s="20"/>
      <c r="AC2477" s="11" t="s">
        <v>2402</v>
      </c>
      <c r="AD2477" s="61"/>
      <c r="AE2477" s="61"/>
    </row>
    <row r="2478" spans="1:31" x14ac:dyDescent="0.25">
      <c r="A2478" s="38" t="s">
        <v>36</v>
      </c>
      <c r="B2478" s="38" t="s">
        <v>5168</v>
      </c>
      <c r="C2478" s="38" t="s">
        <v>5336</v>
      </c>
      <c r="D2478" s="38" t="s">
        <v>5336</v>
      </c>
      <c r="E2478" s="38" t="s">
        <v>5337</v>
      </c>
      <c r="F2478" s="38"/>
      <c r="G2478" s="38"/>
      <c r="H2478" s="38">
        <f t="shared" si="120"/>
        <v>0</v>
      </c>
      <c r="I2478" s="38"/>
      <c r="J2478" s="38"/>
      <c r="K2478" s="38"/>
      <c r="L2478" s="50"/>
      <c r="M2478" s="38"/>
      <c r="N2478" s="50"/>
      <c r="O2478" s="38"/>
      <c r="P2478" s="38">
        <v>36</v>
      </c>
      <c r="Q2478" s="61" t="s">
        <v>43</v>
      </c>
      <c r="R2478" s="7">
        <v>44589</v>
      </c>
      <c r="S2478" s="61"/>
      <c r="T2478" s="61">
        <v>42</v>
      </c>
      <c r="U2478" s="61"/>
      <c r="V2478" s="61"/>
      <c r="W2478" s="61"/>
      <c r="X2478" s="61"/>
      <c r="Y2478" s="61"/>
      <c r="Z2478" s="20"/>
      <c r="AB2478" s="20"/>
      <c r="AC2478" s="11" t="s">
        <v>5338</v>
      </c>
      <c r="AD2478" s="61"/>
      <c r="AE2478" s="61"/>
    </row>
    <row r="2479" spans="1:31" x14ac:dyDescent="0.25">
      <c r="A2479" s="38" t="s">
        <v>36</v>
      </c>
      <c r="B2479" s="38" t="s">
        <v>5168</v>
      </c>
      <c r="C2479" s="38" t="s">
        <v>5336</v>
      </c>
      <c r="D2479" s="38" t="s">
        <v>5339</v>
      </c>
      <c r="E2479" s="38" t="s">
        <v>5340</v>
      </c>
      <c r="F2479" s="38">
        <v>577</v>
      </c>
      <c r="G2479" s="38">
        <v>577</v>
      </c>
      <c r="H2479" s="38">
        <f t="shared" si="120"/>
        <v>1134</v>
      </c>
      <c r="I2479" s="38">
        <v>752</v>
      </c>
      <c r="J2479" s="38">
        <v>382</v>
      </c>
      <c r="K2479" s="38">
        <v>370</v>
      </c>
      <c r="L2479" s="50">
        <f t="shared" si="121"/>
        <v>32.627865961199291</v>
      </c>
      <c r="M2479" s="38">
        <v>0</v>
      </c>
      <c r="N2479" s="50">
        <f t="shared" si="122"/>
        <v>0</v>
      </c>
      <c r="O2479" s="38">
        <v>0</v>
      </c>
      <c r="P2479" s="38">
        <v>3</v>
      </c>
      <c r="Q2479" s="61" t="s">
        <v>43</v>
      </c>
      <c r="R2479" s="7">
        <v>44589</v>
      </c>
      <c r="S2479" s="61"/>
      <c r="T2479" s="61">
        <v>3</v>
      </c>
      <c r="U2479" s="61"/>
      <c r="V2479" s="61"/>
      <c r="W2479" s="61"/>
      <c r="X2479" s="61"/>
      <c r="Y2479" s="61"/>
      <c r="Z2479" s="20"/>
      <c r="AB2479" s="20"/>
      <c r="AC2479" s="11" t="s">
        <v>5341</v>
      </c>
      <c r="AD2479" s="61"/>
      <c r="AE2479" s="61"/>
    </row>
    <row r="2480" spans="1:31" x14ac:dyDescent="0.25">
      <c r="A2480" s="38" t="s">
        <v>36</v>
      </c>
      <c r="B2480" s="38" t="s">
        <v>5168</v>
      </c>
      <c r="C2480" s="38" t="s">
        <v>5336</v>
      </c>
      <c r="D2480" s="38" t="s">
        <v>5342</v>
      </c>
      <c r="E2480" s="38" t="s">
        <v>5343</v>
      </c>
      <c r="F2480" s="38">
        <v>1115</v>
      </c>
      <c r="G2480" s="38">
        <v>1115</v>
      </c>
      <c r="H2480" s="38">
        <f t="shared" si="120"/>
        <v>1799</v>
      </c>
      <c r="I2480" s="38">
        <v>1186</v>
      </c>
      <c r="J2480" s="38">
        <v>613</v>
      </c>
      <c r="K2480" s="38">
        <v>573</v>
      </c>
      <c r="L2480" s="50">
        <f t="shared" si="121"/>
        <v>31.851028349082821</v>
      </c>
      <c r="M2480" s="38">
        <v>142</v>
      </c>
      <c r="N2480" s="50">
        <f t="shared" si="122"/>
        <v>7.8932740411339628</v>
      </c>
      <c r="O2480" s="38">
        <v>0</v>
      </c>
      <c r="P2480" s="38">
        <v>42</v>
      </c>
      <c r="Q2480" s="61" t="s">
        <v>43</v>
      </c>
      <c r="T2480" s="61"/>
      <c r="U2480" s="61"/>
      <c r="V2480" s="61"/>
      <c r="W2480" s="61"/>
      <c r="X2480" s="61"/>
      <c r="Y2480" s="61"/>
    </row>
    <row r="2481" spans="1:31" x14ac:dyDescent="0.25">
      <c r="A2481" s="38" t="s">
        <v>36</v>
      </c>
      <c r="B2481" s="38" t="s">
        <v>5168</v>
      </c>
      <c r="C2481" s="38" t="s">
        <v>5344</v>
      </c>
      <c r="D2481" s="38" t="s">
        <v>5345</v>
      </c>
      <c r="E2481" s="38" t="s">
        <v>5346</v>
      </c>
      <c r="F2481" s="38">
        <v>4196</v>
      </c>
      <c r="G2481" s="38">
        <v>4196</v>
      </c>
      <c r="H2481" s="38">
        <f t="shared" si="120"/>
        <v>7724</v>
      </c>
      <c r="I2481" s="38">
        <v>5093</v>
      </c>
      <c r="J2481" s="38">
        <v>2631</v>
      </c>
      <c r="K2481" s="38">
        <v>2462</v>
      </c>
      <c r="L2481" s="50">
        <f t="shared" si="121"/>
        <v>31.87467633350596</v>
      </c>
      <c r="M2481" s="38">
        <v>242</v>
      </c>
      <c r="N2481" s="50">
        <f t="shared" si="122"/>
        <v>3.1330916623511134</v>
      </c>
      <c r="O2481" s="38">
        <v>0</v>
      </c>
      <c r="P2481" s="38">
        <v>527</v>
      </c>
      <c r="Q2481" s="61" t="s">
        <v>43</v>
      </c>
      <c r="R2481" s="7">
        <v>44582</v>
      </c>
      <c r="S2481" s="61"/>
      <c r="T2481" s="61">
        <v>527</v>
      </c>
      <c r="U2481" s="61"/>
      <c r="V2481" s="61"/>
      <c r="W2481" s="61"/>
      <c r="X2481" s="61"/>
      <c r="Y2481" s="61"/>
      <c r="Z2481" s="20"/>
      <c r="AB2481" s="20"/>
      <c r="AC2481" s="11" t="s">
        <v>5347</v>
      </c>
      <c r="AD2481" s="61"/>
      <c r="AE2481" s="61"/>
    </row>
    <row r="2482" spans="1:31" x14ac:dyDescent="0.25">
      <c r="A2482" s="38" t="s">
        <v>36</v>
      </c>
      <c r="B2482" s="38" t="s">
        <v>5168</v>
      </c>
      <c r="C2482" s="38" t="s">
        <v>5348</v>
      </c>
      <c r="D2482" s="38" t="s">
        <v>5348</v>
      </c>
      <c r="E2482" s="38" t="s">
        <v>5349</v>
      </c>
      <c r="F2482" s="38">
        <v>2085.9</v>
      </c>
      <c r="G2482" s="38">
        <v>2085.9</v>
      </c>
      <c r="H2482" s="38">
        <f t="shared" si="120"/>
        <v>3656</v>
      </c>
      <c r="I2482" s="38">
        <v>2409</v>
      </c>
      <c r="J2482" s="38">
        <v>1247</v>
      </c>
      <c r="K2482" s="38">
        <v>1162</v>
      </c>
      <c r="L2482" s="50">
        <f t="shared" si="121"/>
        <v>31.783369803063454</v>
      </c>
      <c r="M2482" s="38">
        <v>173</v>
      </c>
      <c r="N2482" s="50">
        <f t="shared" si="122"/>
        <v>4.7319474835886215</v>
      </c>
      <c r="O2482" s="38">
        <v>0</v>
      </c>
      <c r="P2482" s="38">
        <v>96.69</v>
      </c>
      <c r="Q2482" s="61" t="s">
        <v>43</v>
      </c>
      <c r="R2482" s="7">
        <v>44582</v>
      </c>
      <c r="S2482" s="61"/>
      <c r="T2482" s="61">
        <v>97</v>
      </c>
      <c r="U2482" s="61"/>
      <c r="V2482" s="61"/>
      <c r="W2482" s="61"/>
      <c r="X2482" s="61"/>
      <c r="Y2482" s="61"/>
      <c r="Z2482" s="20"/>
      <c r="AB2482" s="20"/>
      <c r="AC2482" s="11" t="s">
        <v>5350</v>
      </c>
      <c r="AD2482" s="61"/>
      <c r="AE2482" s="61"/>
    </row>
    <row r="2483" spans="1:31" x14ac:dyDescent="0.25">
      <c r="A2483" s="38" t="s">
        <v>36</v>
      </c>
      <c r="B2483" s="38" t="s">
        <v>5168</v>
      </c>
      <c r="C2483" s="38" t="s">
        <v>5348</v>
      </c>
      <c r="D2483" s="38" t="s">
        <v>5351</v>
      </c>
      <c r="E2483" s="38" t="s">
        <v>5352</v>
      </c>
      <c r="F2483" s="38">
        <v>1331.29</v>
      </c>
      <c r="G2483" s="38">
        <v>1331.29</v>
      </c>
      <c r="H2483" s="38">
        <f t="shared" si="120"/>
        <v>1249</v>
      </c>
      <c r="I2483" s="38">
        <v>801</v>
      </c>
      <c r="J2483" s="38">
        <v>448</v>
      </c>
      <c r="K2483" s="38">
        <v>353</v>
      </c>
      <c r="L2483" s="50">
        <f t="shared" si="121"/>
        <v>28.262610088070456</v>
      </c>
      <c r="M2483" s="38">
        <v>0</v>
      </c>
      <c r="N2483" s="50">
        <f t="shared" si="122"/>
        <v>0</v>
      </c>
      <c r="O2483" s="38">
        <v>0</v>
      </c>
      <c r="P2483" s="38">
        <v>20</v>
      </c>
      <c r="Q2483" s="61" t="s">
        <v>43</v>
      </c>
      <c r="R2483" s="7">
        <v>44582</v>
      </c>
      <c r="S2483" s="61"/>
      <c r="T2483" s="61">
        <v>20</v>
      </c>
      <c r="U2483" s="61"/>
      <c r="V2483" s="61"/>
      <c r="W2483" s="61"/>
      <c r="X2483" s="61"/>
      <c r="Y2483" s="61"/>
      <c r="Z2483" s="20"/>
      <c r="AB2483" s="20"/>
      <c r="AC2483" s="11" t="s">
        <v>5351</v>
      </c>
      <c r="AD2483" s="61"/>
      <c r="AE2483" s="61"/>
    </row>
    <row r="2484" spans="1:31" x14ac:dyDescent="0.25">
      <c r="A2484" s="38" t="s">
        <v>36</v>
      </c>
      <c r="B2484" s="38" t="s">
        <v>5168</v>
      </c>
      <c r="C2484" s="38" t="s">
        <v>5353</v>
      </c>
      <c r="D2484" s="38" t="s">
        <v>5353</v>
      </c>
      <c r="E2484" s="38" t="s">
        <v>5354</v>
      </c>
      <c r="F2484" s="38">
        <v>1199</v>
      </c>
      <c r="G2484" s="38">
        <v>1199</v>
      </c>
      <c r="H2484" s="38">
        <f t="shared" si="120"/>
        <v>1414</v>
      </c>
      <c r="I2484" s="38">
        <v>937</v>
      </c>
      <c r="J2484" s="38">
        <v>477</v>
      </c>
      <c r="K2484" s="38">
        <v>460</v>
      </c>
      <c r="L2484" s="50">
        <f t="shared" si="121"/>
        <v>32.531824611032533</v>
      </c>
      <c r="M2484" s="38">
        <v>71</v>
      </c>
      <c r="N2484" s="50">
        <f t="shared" si="122"/>
        <v>5.0212164073550207</v>
      </c>
      <c r="O2484" s="38">
        <v>0</v>
      </c>
      <c r="P2484" s="38">
        <v>138</v>
      </c>
      <c r="Q2484" s="34" t="s">
        <v>43</v>
      </c>
      <c r="R2484" s="7">
        <v>44574</v>
      </c>
      <c r="S2484" s="34"/>
      <c r="T2484" s="34">
        <v>138</v>
      </c>
      <c r="U2484" s="34"/>
      <c r="V2484" s="34"/>
      <c r="W2484" s="34"/>
      <c r="X2484" s="34"/>
      <c r="Y2484" s="34"/>
      <c r="Z2484" s="89"/>
      <c r="AB2484" s="89"/>
      <c r="AC2484" s="34" t="s">
        <v>5355</v>
      </c>
      <c r="AD2484" s="34">
        <v>0</v>
      </c>
      <c r="AE2484" s="34"/>
    </row>
    <row r="2485" spans="1:31" x14ac:dyDescent="0.25">
      <c r="A2485" s="38" t="s">
        <v>36</v>
      </c>
      <c r="B2485" s="38" t="s">
        <v>5168</v>
      </c>
      <c r="C2485" s="38" t="s">
        <v>5353</v>
      </c>
      <c r="D2485" s="38" t="s">
        <v>5356</v>
      </c>
      <c r="E2485" s="38" t="s">
        <v>5357</v>
      </c>
      <c r="F2485" s="38">
        <v>1109</v>
      </c>
      <c r="G2485" s="38">
        <v>1109</v>
      </c>
      <c r="H2485" s="38">
        <f t="shared" si="120"/>
        <v>1199</v>
      </c>
      <c r="I2485" s="38">
        <v>785</v>
      </c>
      <c r="J2485" s="38">
        <v>414</v>
      </c>
      <c r="K2485" s="38">
        <v>371</v>
      </c>
      <c r="L2485" s="50">
        <f t="shared" si="121"/>
        <v>30.942452043369471</v>
      </c>
      <c r="M2485" s="38">
        <v>34</v>
      </c>
      <c r="N2485" s="50">
        <f t="shared" si="122"/>
        <v>2.8356964136780651</v>
      </c>
      <c r="O2485" s="38">
        <v>0</v>
      </c>
      <c r="P2485" s="38">
        <v>1</v>
      </c>
      <c r="Q2485" s="61" t="s">
        <v>43</v>
      </c>
      <c r="R2485" s="7">
        <v>44574</v>
      </c>
      <c r="S2485" s="61"/>
      <c r="T2485" s="61">
        <v>1</v>
      </c>
      <c r="U2485" s="61"/>
      <c r="V2485" s="61"/>
      <c r="W2485" s="61"/>
      <c r="X2485" s="61"/>
      <c r="Y2485" s="61"/>
      <c r="Z2485" s="20"/>
      <c r="AB2485" s="20"/>
      <c r="AC2485" s="11" t="s">
        <v>5358</v>
      </c>
      <c r="AD2485" s="61"/>
      <c r="AE2485" s="61"/>
    </row>
    <row r="2486" spans="1:31" x14ac:dyDescent="0.25">
      <c r="A2486" s="38" t="s">
        <v>36</v>
      </c>
      <c r="B2486" s="38" t="s">
        <v>5168</v>
      </c>
      <c r="C2486" s="38" t="s">
        <v>5353</v>
      </c>
      <c r="D2486" s="38" t="s">
        <v>5359</v>
      </c>
      <c r="E2486" s="38" t="s">
        <v>5360</v>
      </c>
      <c r="F2486" s="38">
        <v>707</v>
      </c>
      <c r="G2486" s="38">
        <v>707</v>
      </c>
      <c r="H2486" s="38">
        <f t="shared" si="120"/>
        <v>1321</v>
      </c>
      <c r="I2486" s="38">
        <v>857</v>
      </c>
      <c r="J2486" s="38">
        <v>464</v>
      </c>
      <c r="K2486" s="38">
        <v>393</v>
      </c>
      <c r="L2486" s="50">
        <f t="shared" si="121"/>
        <v>29.75018925056775</v>
      </c>
      <c r="M2486" s="38">
        <v>27</v>
      </c>
      <c r="N2486" s="50">
        <f t="shared" si="122"/>
        <v>2.0439061317183951</v>
      </c>
      <c r="O2486" s="38">
        <v>0</v>
      </c>
      <c r="P2486" s="38">
        <v>32</v>
      </c>
      <c r="Q2486" s="61" t="s">
        <v>43</v>
      </c>
      <c r="R2486" s="7">
        <v>44574</v>
      </c>
      <c r="S2486" s="61"/>
      <c r="T2486" s="61">
        <v>32</v>
      </c>
      <c r="U2486" s="61"/>
      <c r="V2486" s="61"/>
      <c r="W2486" s="61"/>
      <c r="X2486" s="61"/>
      <c r="Y2486" s="61"/>
      <c r="Z2486" s="20"/>
      <c r="AB2486" s="20"/>
      <c r="AC2486" s="11" t="s">
        <v>5359</v>
      </c>
      <c r="AD2486" s="61"/>
      <c r="AE2486" s="61"/>
    </row>
    <row r="2487" spans="1:31" x14ac:dyDescent="0.25">
      <c r="A2487" s="38" t="s">
        <v>36</v>
      </c>
      <c r="B2487" s="38" t="s">
        <v>5168</v>
      </c>
      <c r="C2487" s="38" t="s">
        <v>5353</v>
      </c>
      <c r="D2487" s="38" t="s">
        <v>5361</v>
      </c>
      <c r="E2487" s="38" t="s">
        <v>5362</v>
      </c>
      <c r="F2487" s="38">
        <v>741</v>
      </c>
      <c r="G2487" s="38">
        <v>741</v>
      </c>
      <c r="H2487" s="38">
        <f t="shared" si="120"/>
        <v>959</v>
      </c>
      <c r="I2487" s="38">
        <v>640</v>
      </c>
      <c r="J2487" s="38">
        <v>319</v>
      </c>
      <c r="K2487" s="38">
        <v>321</v>
      </c>
      <c r="L2487" s="50">
        <f t="shared" si="121"/>
        <v>33.472367049009385</v>
      </c>
      <c r="M2487" s="38">
        <v>0</v>
      </c>
      <c r="N2487" s="50">
        <f t="shared" si="122"/>
        <v>0</v>
      </c>
      <c r="O2487" s="38">
        <v>0</v>
      </c>
      <c r="P2487" s="38">
        <v>7</v>
      </c>
      <c r="Q2487" s="61" t="s">
        <v>43</v>
      </c>
      <c r="R2487" s="7">
        <v>44574</v>
      </c>
      <c r="S2487" s="61"/>
      <c r="T2487" s="61">
        <v>7</v>
      </c>
      <c r="U2487" s="61"/>
      <c r="V2487" s="61"/>
      <c r="W2487" s="61"/>
      <c r="X2487" s="61"/>
      <c r="Y2487" s="61"/>
      <c r="Z2487" s="20"/>
      <c r="AB2487" s="20"/>
      <c r="AC2487" s="11" t="s">
        <v>5363</v>
      </c>
      <c r="AD2487" s="61"/>
      <c r="AE2487" s="61"/>
    </row>
    <row r="2488" spans="1:31" x14ac:dyDescent="0.25">
      <c r="A2488" s="38" t="s">
        <v>36</v>
      </c>
      <c r="B2488" s="38" t="s">
        <v>5168</v>
      </c>
      <c r="C2488" s="38" t="s">
        <v>5364</v>
      </c>
      <c r="D2488" s="38" t="s">
        <v>5365</v>
      </c>
      <c r="E2488" s="38" t="s">
        <v>5366</v>
      </c>
      <c r="F2488" s="38">
        <v>578</v>
      </c>
      <c r="G2488" s="38">
        <v>578</v>
      </c>
      <c r="H2488" s="38">
        <f t="shared" si="120"/>
        <v>1695</v>
      </c>
      <c r="I2488" s="38">
        <v>1102</v>
      </c>
      <c r="J2488" s="38">
        <v>593</v>
      </c>
      <c r="K2488" s="38">
        <v>509</v>
      </c>
      <c r="L2488" s="50">
        <f t="shared" si="121"/>
        <v>30.029498525073745</v>
      </c>
      <c r="M2488" s="38">
        <v>204</v>
      </c>
      <c r="N2488" s="50">
        <f t="shared" si="122"/>
        <v>12.035398230088495</v>
      </c>
      <c r="O2488" s="38">
        <v>0</v>
      </c>
      <c r="P2488" s="38">
        <v>4</v>
      </c>
      <c r="Q2488" s="61" t="s">
        <v>43</v>
      </c>
      <c r="R2488" s="7">
        <v>44586</v>
      </c>
      <c r="S2488" s="61"/>
      <c r="T2488" s="61">
        <v>4</v>
      </c>
      <c r="U2488" s="61"/>
      <c r="V2488" s="61"/>
      <c r="W2488" s="61"/>
      <c r="X2488" s="61"/>
      <c r="Y2488" s="61"/>
      <c r="Z2488" s="20"/>
      <c r="AB2488" s="20"/>
      <c r="AC2488" s="11" t="s">
        <v>5367</v>
      </c>
      <c r="AD2488" s="61"/>
      <c r="AE2488" s="61"/>
    </row>
    <row r="2489" spans="1:31" x14ac:dyDescent="0.25">
      <c r="A2489" s="38" t="s">
        <v>36</v>
      </c>
      <c r="B2489" s="38" t="s">
        <v>5168</v>
      </c>
      <c r="C2489" s="38" t="s">
        <v>5364</v>
      </c>
      <c r="D2489" s="38" t="s">
        <v>5368</v>
      </c>
      <c r="E2489" s="38" t="s">
        <v>5369</v>
      </c>
      <c r="F2489" s="38">
        <v>432</v>
      </c>
      <c r="G2489" s="38">
        <v>432</v>
      </c>
      <c r="H2489" s="38">
        <f t="shared" si="120"/>
        <v>586</v>
      </c>
      <c r="I2489" s="38">
        <v>383</v>
      </c>
      <c r="J2489" s="38">
        <v>203</v>
      </c>
      <c r="K2489" s="38">
        <v>180</v>
      </c>
      <c r="L2489" s="50">
        <f t="shared" si="121"/>
        <v>30.716723549488055</v>
      </c>
      <c r="M2489" s="38">
        <v>29</v>
      </c>
      <c r="N2489" s="50">
        <f t="shared" si="122"/>
        <v>4.9488054607508536</v>
      </c>
      <c r="O2489" s="38">
        <v>0</v>
      </c>
      <c r="P2489" s="38">
        <v>0</v>
      </c>
      <c r="Q2489" s="61" t="s">
        <v>43</v>
      </c>
      <c r="R2489" s="7">
        <v>44589</v>
      </c>
      <c r="S2489" s="61"/>
      <c r="T2489" s="61">
        <v>0</v>
      </c>
      <c r="U2489" s="61"/>
      <c r="V2489" s="61"/>
      <c r="W2489" s="61"/>
      <c r="X2489" s="61"/>
      <c r="Y2489" s="61"/>
      <c r="Z2489" s="20"/>
      <c r="AB2489" s="20"/>
      <c r="AC2489" s="11" t="s">
        <v>5368</v>
      </c>
      <c r="AD2489" s="61">
        <v>0</v>
      </c>
      <c r="AE2489" s="61"/>
    </row>
    <row r="2490" spans="1:31" x14ac:dyDescent="0.25">
      <c r="A2490" s="38" t="s">
        <v>36</v>
      </c>
      <c r="B2490" s="38" t="s">
        <v>5168</v>
      </c>
      <c r="C2490" s="38" t="s">
        <v>5364</v>
      </c>
      <c r="D2490" s="38" t="s">
        <v>5370</v>
      </c>
      <c r="E2490" s="38" t="s">
        <v>5371</v>
      </c>
      <c r="F2490" s="38">
        <v>454</v>
      </c>
      <c r="G2490" s="38">
        <v>454</v>
      </c>
      <c r="H2490" s="38">
        <f t="shared" si="120"/>
        <v>634</v>
      </c>
      <c r="I2490" s="38">
        <v>412</v>
      </c>
      <c r="J2490" s="38">
        <v>222</v>
      </c>
      <c r="K2490" s="38">
        <v>190</v>
      </c>
      <c r="L2490" s="50">
        <f t="shared" si="121"/>
        <v>29.968454258675081</v>
      </c>
      <c r="M2490" s="38">
        <v>8</v>
      </c>
      <c r="N2490" s="50">
        <f t="shared" si="122"/>
        <v>1.2618296529968454</v>
      </c>
      <c r="O2490" s="38">
        <v>0</v>
      </c>
      <c r="P2490" s="38">
        <v>0</v>
      </c>
      <c r="Q2490" s="61" t="s">
        <v>43</v>
      </c>
      <c r="R2490" s="7">
        <v>44590</v>
      </c>
      <c r="S2490" s="61"/>
      <c r="T2490" s="61">
        <v>0</v>
      </c>
      <c r="U2490" s="61"/>
      <c r="V2490" s="61"/>
      <c r="W2490" s="61"/>
      <c r="X2490" s="61"/>
      <c r="Y2490" s="61"/>
      <c r="Z2490" s="20"/>
      <c r="AB2490" s="20"/>
      <c r="AC2490" s="11" t="s">
        <v>5372</v>
      </c>
      <c r="AD2490" s="61">
        <v>0</v>
      </c>
      <c r="AE2490" s="61"/>
    </row>
    <row r="2491" spans="1:31" x14ac:dyDescent="0.25">
      <c r="A2491" s="38" t="s">
        <v>36</v>
      </c>
      <c r="B2491" s="38" t="s">
        <v>5168</v>
      </c>
      <c r="C2491" s="38" t="s">
        <v>5364</v>
      </c>
      <c r="D2491" s="38" t="s">
        <v>5373</v>
      </c>
      <c r="E2491" s="38" t="s">
        <v>5374</v>
      </c>
      <c r="F2491" s="38">
        <v>1361</v>
      </c>
      <c r="G2491" s="38">
        <v>1361</v>
      </c>
      <c r="H2491" s="38">
        <f t="shared" si="120"/>
        <v>2810</v>
      </c>
      <c r="I2491" s="38">
        <v>1844</v>
      </c>
      <c r="J2491" s="38">
        <v>966</v>
      </c>
      <c r="K2491" s="38">
        <v>878</v>
      </c>
      <c r="L2491" s="50">
        <f t="shared" si="121"/>
        <v>31.24555160142349</v>
      </c>
      <c r="M2491" s="38">
        <v>66</v>
      </c>
      <c r="N2491" s="50">
        <f t="shared" si="122"/>
        <v>2.3487544483985765</v>
      </c>
      <c r="O2491" s="38">
        <v>0</v>
      </c>
      <c r="P2491" s="38">
        <v>68</v>
      </c>
      <c r="Q2491" s="61" t="s">
        <v>43</v>
      </c>
      <c r="R2491" s="7">
        <v>44588</v>
      </c>
      <c r="S2491" s="61"/>
      <c r="T2491" s="61">
        <v>68</v>
      </c>
      <c r="U2491" s="61"/>
      <c r="V2491" s="61"/>
      <c r="W2491" s="61"/>
      <c r="X2491" s="61"/>
      <c r="Y2491" s="61"/>
      <c r="Z2491" s="20"/>
      <c r="AB2491" s="20"/>
      <c r="AC2491" s="11" t="s">
        <v>5375</v>
      </c>
      <c r="AD2491" s="61"/>
      <c r="AE2491" s="61"/>
    </row>
    <row r="2492" spans="1:31" x14ac:dyDescent="0.25">
      <c r="A2492" s="38" t="s">
        <v>36</v>
      </c>
      <c r="B2492" s="38" t="s">
        <v>5376</v>
      </c>
      <c r="C2492" s="38" t="s">
        <v>5377</v>
      </c>
      <c r="D2492" s="38" t="s">
        <v>5378</v>
      </c>
      <c r="E2492" s="38"/>
      <c r="F2492" s="38"/>
      <c r="G2492" s="38"/>
      <c r="H2492" s="38">
        <f t="shared" si="120"/>
        <v>0</v>
      </c>
      <c r="I2492" s="38"/>
      <c r="J2492" s="38"/>
      <c r="K2492" s="38"/>
      <c r="L2492" s="50"/>
      <c r="M2492" s="38"/>
      <c r="N2492" s="50"/>
      <c r="O2492" s="38"/>
      <c r="P2492" s="38"/>
      <c r="Q2492" s="39" t="s">
        <v>44</v>
      </c>
      <c r="R2492" s="9"/>
      <c r="S2492" s="40"/>
      <c r="T2492" s="52">
        <v>48.319400000000002</v>
      </c>
      <c r="U2492" s="39"/>
      <c r="V2492" s="39"/>
      <c r="W2492" s="39"/>
      <c r="X2492" s="39"/>
      <c r="Y2492" s="39"/>
      <c r="Z2492" s="3"/>
      <c r="AB2492" s="3"/>
      <c r="AC2492" s="38" t="s">
        <v>5378</v>
      </c>
      <c r="AD2492" s="2"/>
      <c r="AE2492" s="40"/>
    </row>
    <row r="2493" spans="1:31" x14ac:dyDescent="0.25">
      <c r="A2493" s="38" t="s">
        <v>36</v>
      </c>
      <c r="B2493" s="38" t="s">
        <v>5376</v>
      </c>
      <c r="C2493" s="38" t="s">
        <v>5377</v>
      </c>
      <c r="D2493" s="38" t="s">
        <v>2646</v>
      </c>
      <c r="E2493" s="38" t="s">
        <v>5379</v>
      </c>
      <c r="F2493" s="38">
        <v>2794.73</v>
      </c>
      <c r="G2493" s="38">
        <v>2794.73</v>
      </c>
      <c r="H2493" s="38">
        <f t="shared" si="120"/>
        <v>1220</v>
      </c>
      <c r="I2493" s="38">
        <v>1220</v>
      </c>
      <c r="J2493" s="38"/>
      <c r="K2493" s="38"/>
      <c r="L2493" s="50">
        <f t="shared" si="121"/>
        <v>0</v>
      </c>
      <c r="M2493" s="38"/>
      <c r="N2493" s="50">
        <f t="shared" si="122"/>
        <v>0</v>
      </c>
      <c r="O2493" s="38">
        <v>0</v>
      </c>
      <c r="P2493" s="38">
        <v>192</v>
      </c>
      <c r="Q2493" s="34" t="s">
        <v>43</v>
      </c>
      <c r="R2493" s="9">
        <v>44605</v>
      </c>
      <c r="S2493" s="34"/>
      <c r="T2493" s="34">
        <v>122</v>
      </c>
      <c r="U2493" s="34"/>
      <c r="V2493" s="34"/>
      <c r="W2493" s="34"/>
      <c r="X2493" s="34"/>
      <c r="Y2493" s="34"/>
      <c r="Z2493" s="109"/>
      <c r="AB2493" s="109">
        <v>15</v>
      </c>
      <c r="AC2493" s="34" t="s">
        <v>5380</v>
      </c>
      <c r="AD2493" s="34">
        <v>26.015502999999999</v>
      </c>
      <c r="AE2493" s="34">
        <v>71.230294999999998</v>
      </c>
    </row>
    <row r="2494" spans="1:31" x14ac:dyDescent="0.25">
      <c r="A2494" s="38" t="s">
        <v>36</v>
      </c>
      <c r="B2494" s="38" t="s">
        <v>5376</v>
      </c>
      <c r="C2494" s="38" t="s">
        <v>5377</v>
      </c>
      <c r="D2494" s="38" t="s">
        <v>5381</v>
      </c>
      <c r="E2494" s="38" t="s">
        <v>5382</v>
      </c>
      <c r="F2494" s="38">
        <v>1295.28</v>
      </c>
      <c r="G2494" s="38">
        <v>1295.28</v>
      </c>
      <c r="H2494" s="38">
        <f t="shared" si="120"/>
        <v>834</v>
      </c>
      <c r="I2494" s="38">
        <v>540</v>
      </c>
      <c r="J2494" s="38">
        <v>294</v>
      </c>
      <c r="K2494" s="38">
        <v>246</v>
      </c>
      <c r="L2494" s="50">
        <f t="shared" si="121"/>
        <v>29.496402877697843</v>
      </c>
      <c r="M2494" s="38">
        <v>0</v>
      </c>
      <c r="N2494" s="50">
        <f t="shared" si="122"/>
        <v>0</v>
      </c>
      <c r="O2494" s="38">
        <v>0</v>
      </c>
      <c r="P2494" s="38">
        <v>37.15</v>
      </c>
      <c r="Q2494" s="39" t="s">
        <v>44</v>
      </c>
      <c r="R2494" s="7">
        <v>45835</v>
      </c>
      <c r="S2494" s="40"/>
      <c r="T2494" s="11">
        <v>38</v>
      </c>
      <c r="U2494" s="39"/>
      <c r="V2494" s="39"/>
      <c r="W2494" s="39"/>
      <c r="X2494" s="39"/>
      <c r="Y2494" s="39"/>
      <c r="Z2494" s="3"/>
      <c r="AB2494" s="3"/>
      <c r="AC2494" s="38" t="s">
        <v>5381</v>
      </c>
      <c r="AD2494" s="2"/>
      <c r="AE2494" s="40"/>
    </row>
    <row r="2495" spans="1:31" x14ac:dyDescent="0.25">
      <c r="A2495" s="38" t="s">
        <v>36</v>
      </c>
      <c r="B2495" s="38" t="s">
        <v>5376</v>
      </c>
      <c r="C2495" s="38" t="s">
        <v>5377</v>
      </c>
      <c r="D2495" s="38" t="s">
        <v>5383</v>
      </c>
      <c r="E2495" s="38" t="s">
        <v>5384</v>
      </c>
      <c r="F2495" s="38">
        <v>2741.78</v>
      </c>
      <c r="G2495" s="38">
        <v>2741.78</v>
      </c>
      <c r="H2495" s="38">
        <f t="shared" si="120"/>
        <v>2005</v>
      </c>
      <c r="I2495" s="38">
        <v>1312</v>
      </c>
      <c r="J2495" s="38">
        <v>693</v>
      </c>
      <c r="K2495" s="38">
        <v>619</v>
      </c>
      <c r="L2495" s="50">
        <f t="shared" si="121"/>
        <v>30.872817955112218</v>
      </c>
      <c r="M2495" s="38">
        <v>63</v>
      </c>
      <c r="N2495" s="50">
        <f t="shared" si="122"/>
        <v>3.1421446384039902</v>
      </c>
      <c r="O2495" s="38">
        <v>0</v>
      </c>
      <c r="P2495" s="38">
        <v>159</v>
      </c>
      <c r="Q2495" s="34" t="s">
        <v>43</v>
      </c>
      <c r="R2495" s="9">
        <v>44574</v>
      </c>
      <c r="S2495" s="34"/>
      <c r="T2495" s="34">
        <v>98</v>
      </c>
      <c r="U2495" s="34"/>
      <c r="V2495" s="34"/>
      <c r="W2495" s="34"/>
      <c r="X2495" s="34"/>
      <c r="Y2495" s="34"/>
      <c r="Z2495" s="109"/>
      <c r="AB2495" s="109">
        <v>16</v>
      </c>
      <c r="AC2495" s="34" t="s">
        <v>5385</v>
      </c>
      <c r="AD2495" s="34">
        <v>26.038118000000001</v>
      </c>
      <c r="AE2495" s="34">
        <v>71.275931999999997</v>
      </c>
    </row>
    <row r="2496" spans="1:31" x14ac:dyDescent="0.25">
      <c r="A2496" s="38" t="s">
        <v>36</v>
      </c>
      <c r="B2496" s="41" t="s">
        <v>5376</v>
      </c>
      <c r="C2496" s="41" t="s">
        <v>5377</v>
      </c>
      <c r="D2496" s="41" t="s">
        <v>5386</v>
      </c>
      <c r="E2496" s="41" t="s">
        <v>5387</v>
      </c>
      <c r="F2496" s="41">
        <v>1470.91</v>
      </c>
      <c r="G2496" s="41">
        <v>1470.91</v>
      </c>
      <c r="H2496" s="38">
        <f t="shared" si="120"/>
        <v>742</v>
      </c>
      <c r="I2496" s="41">
        <v>477</v>
      </c>
      <c r="J2496" s="41">
        <v>265</v>
      </c>
      <c r="K2496" s="41">
        <v>212</v>
      </c>
      <c r="L2496" s="50">
        <f t="shared" si="121"/>
        <v>28.571428571428569</v>
      </c>
      <c r="M2496" s="41">
        <v>76</v>
      </c>
      <c r="N2496" s="50">
        <f t="shared" si="122"/>
        <v>10.242587601078167</v>
      </c>
      <c r="O2496" s="41">
        <v>0</v>
      </c>
      <c r="P2496" s="41">
        <v>254</v>
      </c>
      <c r="Q2496" s="43" t="s">
        <v>44</v>
      </c>
      <c r="R2496" s="24"/>
      <c r="S2496" s="44"/>
      <c r="T2496" s="18">
        <v>225.2774</v>
      </c>
      <c r="U2496" s="43"/>
      <c r="V2496" s="43"/>
      <c r="W2496" s="43"/>
      <c r="X2496" s="43"/>
      <c r="Y2496" s="43"/>
      <c r="Z2496" s="5"/>
      <c r="AB2496" s="5">
        <v>25</v>
      </c>
      <c r="AC2496" s="41" t="s">
        <v>5386</v>
      </c>
      <c r="AD2496" s="44">
        <v>26.068269699999998</v>
      </c>
      <c r="AE2496" s="44">
        <v>71.261272399999996</v>
      </c>
    </row>
    <row r="2497" spans="1:31" x14ac:dyDescent="0.25">
      <c r="A2497" s="38" t="s">
        <v>36</v>
      </c>
      <c r="B2497" s="41" t="s">
        <v>5376</v>
      </c>
      <c r="C2497" s="41" t="s">
        <v>5388</v>
      </c>
      <c r="D2497" s="41" t="s">
        <v>5389</v>
      </c>
      <c r="E2497" s="41" t="s">
        <v>5390</v>
      </c>
      <c r="F2497" s="41">
        <v>3037.16</v>
      </c>
      <c r="G2497" s="41">
        <v>3037.16</v>
      </c>
      <c r="H2497" s="38">
        <f t="shared" si="120"/>
        <v>1954</v>
      </c>
      <c r="I2497" s="41">
        <v>1271</v>
      </c>
      <c r="J2497" s="41">
        <v>683</v>
      </c>
      <c r="K2497" s="41">
        <v>588</v>
      </c>
      <c r="L2497" s="50">
        <f t="shared" si="121"/>
        <v>30.092118730808597</v>
      </c>
      <c r="M2497" s="41">
        <v>18</v>
      </c>
      <c r="N2497" s="50">
        <f t="shared" si="122"/>
        <v>0.92118730808597749</v>
      </c>
      <c r="O2497" s="41">
        <v>0</v>
      </c>
      <c r="P2497" s="41">
        <v>701</v>
      </c>
      <c r="Q2497" s="43" t="s">
        <v>44</v>
      </c>
      <c r="R2497" s="24">
        <v>45361</v>
      </c>
      <c r="S2497" s="44"/>
      <c r="T2497" s="18">
        <v>708.5548</v>
      </c>
      <c r="U2497" s="43"/>
      <c r="V2497" s="43"/>
      <c r="W2497" s="43"/>
      <c r="X2497" s="43"/>
      <c r="Y2497" s="43"/>
      <c r="Z2497" s="5"/>
      <c r="AB2497" s="5">
        <v>35</v>
      </c>
      <c r="AC2497" s="41" t="s">
        <v>5389</v>
      </c>
      <c r="AD2497" s="44">
        <v>26.471578399999999</v>
      </c>
      <c r="AE2497" s="44">
        <v>71.5421671</v>
      </c>
    </row>
    <row r="2498" spans="1:31" x14ac:dyDescent="0.25">
      <c r="A2498" s="38" t="s">
        <v>36</v>
      </c>
      <c r="B2498" s="41" t="s">
        <v>5376</v>
      </c>
      <c r="C2498" s="41" t="s">
        <v>5388</v>
      </c>
      <c r="D2498" s="41" t="s">
        <v>5389</v>
      </c>
      <c r="E2498" s="41" t="s">
        <v>5390</v>
      </c>
      <c r="F2498" s="41">
        <v>3037.16</v>
      </c>
      <c r="G2498" s="41">
        <v>3037.16</v>
      </c>
      <c r="H2498" s="38">
        <f t="shared" si="120"/>
        <v>1954</v>
      </c>
      <c r="I2498" s="41">
        <v>1271</v>
      </c>
      <c r="J2498" s="41">
        <v>683</v>
      </c>
      <c r="K2498" s="41">
        <v>588</v>
      </c>
      <c r="L2498" s="50">
        <f t="shared" si="121"/>
        <v>30.092118730808597</v>
      </c>
      <c r="M2498" s="41">
        <v>18</v>
      </c>
      <c r="N2498" s="50">
        <f t="shared" si="122"/>
        <v>0.92118730808597749</v>
      </c>
      <c r="O2498" s="41">
        <v>0</v>
      </c>
      <c r="P2498" s="41">
        <v>701</v>
      </c>
      <c r="Q2498" s="43" t="s">
        <v>44</v>
      </c>
      <c r="R2498" s="7">
        <v>45361</v>
      </c>
      <c r="S2498" s="40"/>
      <c r="U2498" s="43"/>
      <c r="V2498" s="43"/>
      <c r="W2498" s="43"/>
      <c r="X2498" s="43"/>
      <c r="Y2498" s="43"/>
      <c r="Z2498" s="207"/>
      <c r="AB2498" s="3">
        <v>25</v>
      </c>
      <c r="AC2498" s="38" t="s">
        <v>5389</v>
      </c>
      <c r="AD2498" s="2">
        <v>26.471578399999999</v>
      </c>
      <c r="AE2498" s="40">
        <v>71.5421671</v>
      </c>
    </row>
    <row r="2499" spans="1:31" x14ac:dyDescent="0.25">
      <c r="A2499" s="38" t="s">
        <v>36</v>
      </c>
      <c r="B2499" s="38" t="s">
        <v>5376</v>
      </c>
      <c r="C2499" s="38" t="s">
        <v>5388</v>
      </c>
      <c r="D2499" s="38" t="s">
        <v>5391</v>
      </c>
      <c r="E2499" s="38" t="s">
        <v>5392</v>
      </c>
      <c r="F2499" s="38">
        <v>1906.45</v>
      </c>
      <c r="G2499" s="38">
        <v>1906.45</v>
      </c>
      <c r="H2499" s="38">
        <f t="shared" si="120"/>
        <v>967</v>
      </c>
      <c r="I2499" s="38">
        <v>637</v>
      </c>
      <c r="J2499" s="38">
        <v>330</v>
      </c>
      <c r="K2499" s="38">
        <v>307</v>
      </c>
      <c r="L2499" s="50">
        <f t="shared" si="121"/>
        <v>31.747673216132366</v>
      </c>
      <c r="M2499" s="38">
        <v>20</v>
      </c>
      <c r="N2499" s="50">
        <f t="shared" si="122"/>
        <v>2.0682523267838677</v>
      </c>
      <c r="O2499" s="38">
        <v>0</v>
      </c>
      <c r="P2499" s="38">
        <v>0</v>
      </c>
      <c r="Q2499" s="39" t="s">
        <v>44</v>
      </c>
      <c r="R2499" s="7">
        <v>45361</v>
      </c>
      <c r="S2499" s="40"/>
      <c r="T2499" s="11">
        <v>1.0522</v>
      </c>
      <c r="U2499" s="39"/>
      <c r="V2499" s="39"/>
      <c r="W2499" s="39"/>
      <c r="X2499" s="39"/>
      <c r="Y2499" s="39"/>
      <c r="Z2499" s="3"/>
      <c r="AB2499" s="3"/>
      <c r="AC2499" s="38" t="s">
        <v>5391</v>
      </c>
      <c r="AD2499" s="2"/>
      <c r="AE2499" s="40"/>
    </row>
    <row r="2500" spans="1:31" x14ac:dyDescent="0.25">
      <c r="A2500" s="38" t="s">
        <v>36</v>
      </c>
      <c r="B2500" s="38" t="s">
        <v>5376</v>
      </c>
      <c r="C2500" s="38" t="s">
        <v>5388</v>
      </c>
      <c r="D2500" s="38" t="s">
        <v>5393</v>
      </c>
      <c r="E2500" s="38" t="s">
        <v>5394</v>
      </c>
      <c r="F2500" s="38">
        <v>875.37</v>
      </c>
      <c r="G2500" s="38">
        <v>875.37</v>
      </c>
      <c r="H2500" s="38">
        <f t="shared" si="120"/>
        <v>961</v>
      </c>
      <c r="I2500" s="38">
        <v>630</v>
      </c>
      <c r="J2500" s="38">
        <v>331</v>
      </c>
      <c r="K2500" s="38">
        <v>299</v>
      </c>
      <c r="L2500" s="50">
        <f t="shared" si="121"/>
        <v>31.113423517169615</v>
      </c>
      <c r="M2500" s="38">
        <v>0</v>
      </c>
      <c r="N2500" s="50">
        <f t="shared" si="122"/>
        <v>0</v>
      </c>
      <c r="O2500" s="38">
        <v>0</v>
      </c>
      <c r="P2500" s="38">
        <v>0</v>
      </c>
      <c r="Q2500" s="39" t="s">
        <v>44</v>
      </c>
      <c r="R2500" s="7">
        <v>45361</v>
      </c>
      <c r="S2500" s="40"/>
      <c r="T2500" s="11">
        <v>5.6654999999999998</v>
      </c>
      <c r="U2500" s="39"/>
      <c r="V2500" s="39"/>
      <c r="W2500" s="39"/>
      <c r="X2500" s="39"/>
      <c r="Y2500" s="39"/>
      <c r="Z2500" s="3"/>
      <c r="AB2500" s="3"/>
      <c r="AC2500" s="38" t="s">
        <v>5393</v>
      </c>
      <c r="AD2500" s="2"/>
      <c r="AE2500" s="40"/>
    </row>
    <row r="2501" spans="1:31" x14ac:dyDescent="0.25">
      <c r="A2501" s="38" t="s">
        <v>36</v>
      </c>
      <c r="B2501" s="41" t="s">
        <v>5376</v>
      </c>
      <c r="C2501" s="41" t="s">
        <v>5388</v>
      </c>
      <c r="D2501" s="41" t="s">
        <v>5393</v>
      </c>
      <c r="E2501" s="38" t="s">
        <v>5394</v>
      </c>
      <c r="F2501" s="38">
        <v>875.37</v>
      </c>
      <c r="G2501" s="38">
        <v>875.37</v>
      </c>
      <c r="H2501" s="38">
        <f t="shared" ref="H2501:H2564" si="123">I2501+J2501</f>
        <v>961</v>
      </c>
      <c r="I2501" s="38">
        <v>630</v>
      </c>
      <c r="J2501" s="38">
        <v>331</v>
      </c>
      <c r="K2501" s="38">
        <v>299</v>
      </c>
      <c r="L2501" s="50">
        <f t="shared" si="121"/>
        <v>31.113423517169615</v>
      </c>
      <c r="M2501" s="38">
        <v>0</v>
      </c>
      <c r="N2501" s="50">
        <f t="shared" si="122"/>
        <v>0</v>
      </c>
      <c r="O2501" s="38">
        <v>0</v>
      </c>
      <c r="P2501" s="38">
        <v>0</v>
      </c>
      <c r="Q2501" s="39" t="s">
        <v>44</v>
      </c>
      <c r="R2501" s="24">
        <v>45361</v>
      </c>
      <c r="S2501" s="44"/>
      <c r="T2501" s="18"/>
      <c r="U2501" s="39"/>
      <c r="V2501" s="39"/>
      <c r="W2501" s="39"/>
      <c r="X2501" s="39"/>
      <c r="Y2501" s="39"/>
      <c r="Z2501" s="205"/>
      <c r="AB2501" s="5">
        <v>35</v>
      </c>
      <c r="AC2501" s="41" t="s">
        <v>5393</v>
      </c>
      <c r="AD2501" s="44">
        <v>26.453748999999998</v>
      </c>
      <c r="AE2501" s="44">
        <v>71.568235000000001</v>
      </c>
    </row>
    <row r="2502" spans="1:31" x14ac:dyDescent="0.25">
      <c r="A2502" s="38" t="s">
        <v>36</v>
      </c>
      <c r="B2502" s="41" t="s">
        <v>5376</v>
      </c>
      <c r="C2502" s="41" t="s">
        <v>5388</v>
      </c>
      <c r="D2502" s="41" t="s">
        <v>5395</v>
      </c>
      <c r="E2502" s="38" t="s">
        <v>5396</v>
      </c>
      <c r="F2502" s="38">
        <v>1264.6500000000001</v>
      </c>
      <c r="G2502" s="38">
        <v>1264.6500000000001</v>
      </c>
      <c r="H2502" s="38">
        <f t="shared" si="123"/>
        <v>1166</v>
      </c>
      <c r="I2502" s="38">
        <v>770</v>
      </c>
      <c r="J2502" s="38">
        <v>396</v>
      </c>
      <c r="K2502" s="38">
        <v>374</v>
      </c>
      <c r="L2502" s="50">
        <f t="shared" ref="L2502:L2565" si="124">K2502/H2502*100</f>
        <v>32.075471698113205</v>
      </c>
      <c r="M2502" s="38">
        <v>223</v>
      </c>
      <c r="N2502" s="50">
        <f t="shared" si="122"/>
        <v>19.125214408233276</v>
      </c>
      <c r="O2502" s="38">
        <v>0</v>
      </c>
      <c r="P2502" s="38">
        <v>39</v>
      </c>
      <c r="Q2502" s="39" t="s">
        <v>44</v>
      </c>
      <c r="R2502" s="24">
        <v>45361</v>
      </c>
      <c r="S2502" s="44"/>
      <c r="T2502" s="18"/>
      <c r="U2502" s="39"/>
      <c r="V2502" s="39"/>
      <c r="W2502" s="39"/>
      <c r="X2502" s="39"/>
      <c r="Y2502" s="39"/>
      <c r="Z2502" s="205"/>
      <c r="AB2502" s="5">
        <v>45</v>
      </c>
      <c r="AC2502" s="41" t="s">
        <v>5395</v>
      </c>
      <c r="AD2502" s="44">
        <v>26.453773000000002</v>
      </c>
      <c r="AE2502" s="44">
        <v>71.494737000000001</v>
      </c>
    </row>
    <row r="2503" spans="1:31" x14ac:dyDescent="0.25">
      <c r="A2503" s="38" t="s">
        <v>36</v>
      </c>
      <c r="B2503" s="38" t="s">
        <v>5376</v>
      </c>
      <c r="C2503" s="38" t="s">
        <v>5388</v>
      </c>
      <c r="D2503" s="38" t="s">
        <v>5395</v>
      </c>
      <c r="E2503" s="38" t="s">
        <v>5396</v>
      </c>
      <c r="F2503" s="38">
        <v>1264.6500000000001</v>
      </c>
      <c r="G2503" s="38">
        <v>1264.6500000000001</v>
      </c>
      <c r="H2503" s="38">
        <f t="shared" si="123"/>
        <v>1166</v>
      </c>
      <c r="I2503" s="38">
        <v>770</v>
      </c>
      <c r="J2503" s="38">
        <v>396</v>
      </c>
      <c r="K2503" s="38">
        <v>374</v>
      </c>
      <c r="L2503" s="50">
        <f t="shared" si="124"/>
        <v>32.075471698113205</v>
      </c>
      <c r="M2503" s="38">
        <v>223</v>
      </c>
      <c r="N2503" s="50">
        <f t="shared" si="122"/>
        <v>19.125214408233276</v>
      </c>
      <c r="O2503" s="38">
        <v>0</v>
      </c>
      <c r="P2503" s="38">
        <v>39</v>
      </c>
      <c r="Q2503" s="39" t="s">
        <v>44</v>
      </c>
      <c r="R2503" s="7">
        <v>45361</v>
      </c>
      <c r="S2503" s="40"/>
      <c r="T2503" s="11">
        <v>138.59630000000001</v>
      </c>
      <c r="U2503" s="39"/>
      <c r="V2503" s="39"/>
      <c r="W2503" s="39"/>
      <c r="X2503" s="39"/>
      <c r="Y2503" s="39"/>
      <c r="Z2503" s="3"/>
      <c r="AB2503" s="3"/>
      <c r="AC2503" s="38" t="s">
        <v>5395</v>
      </c>
      <c r="AD2503" s="2"/>
      <c r="AE2503" s="40"/>
    </row>
    <row r="2504" spans="1:31" x14ac:dyDescent="0.25">
      <c r="A2504" s="38" t="s">
        <v>36</v>
      </c>
      <c r="B2504" s="41" t="s">
        <v>5376</v>
      </c>
      <c r="C2504" s="41" t="s">
        <v>5388</v>
      </c>
      <c r="D2504" s="41" t="s">
        <v>4308</v>
      </c>
      <c r="E2504" s="41" t="s">
        <v>5397</v>
      </c>
      <c r="F2504" s="41">
        <v>2982.5</v>
      </c>
      <c r="G2504" s="41">
        <v>2982.5</v>
      </c>
      <c r="H2504" s="38">
        <f t="shared" si="123"/>
        <v>1514</v>
      </c>
      <c r="I2504" s="41">
        <v>955</v>
      </c>
      <c r="J2504" s="41">
        <v>559</v>
      </c>
      <c r="K2504" s="41">
        <v>396</v>
      </c>
      <c r="L2504" s="50">
        <f t="shared" si="124"/>
        <v>26.1558784676354</v>
      </c>
      <c r="M2504" s="41">
        <v>45</v>
      </c>
      <c r="N2504" s="50">
        <f t="shared" si="122"/>
        <v>2.9722589167767501</v>
      </c>
      <c r="O2504" s="41">
        <v>0</v>
      </c>
      <c r="P2504" s="41">
        <v>211</v>
      </c>
      <c r="Q2504" s="43" t="s">
        <v>44</v>
      </c>
      <c r="R2504" s="24">
        <v>45361</v>
      </c>
      <c r="S2504" s="44"/>
      <c r="T2504" s="18">
        <v>214.18360000000001</v>
      </c>
      <c r="U2504" s="43"/>
      <c r="V2504" s="43"/>
      <c r="W2504" s="43"/>
      <c r="X2504" s="43"/>
      <c r="Y2504" s="43"/>
      <c r="Z2504" s="5"/>
      <c r="AB2504" s="5">
        <v>26</v>
      </c>
      <c r="AC2504" s="41" t="s">
        <v>4308</v>
      </c>
      <c r="AD2504" s="44">
        <v>26.436191699999998</v>
      </c>
      <c r="AE2504" s="44">
        <v>71.587938300000005</v>
      </c>
    </row>
    <row r="2505" spans="1:31" x14ac:dyDescent="0.25">
      <c r="A2505" s="38" t="s">
        <v>36</v>
      </c>
      <c r="B2505" s="38" t="s">
        <v>5376</v>
      </c>
      <c r="C2505" s="38" t="s">
        <v>5388</v>
      </c>
      <c r="D2505" s="38" t="s">
        <v>5398</v>
      </c>
      <c r="E2505" s="38" t="s">
        <v>5399</v>
      </c>
      <c r="F2505" s="38">
        <v>1301.22</v>
      </c>
      <c r="G2505" s="38">
        <v>1301.22</v>
      </c>
      <c r="H2505" s="38">
        <f t="shared" si="123"/>
        <v>456</v>
      </c>
      <c r="I2505" s="38">
        <v>296</v>
      </c>
      <c r="J2505" s="38">
        <v>160</v>
      </c>
      <c r="K2505" s="38">
        <v>136</v>
      </c>
      <c r="L2505" s="50">
        <f t="shared" si="124"/>
        <v>29.82456140350877</v>
      </c>
      <c r="M2505" s="38">
        <v>0</v>
      </c>
      <c r="N2505" s="50">
        <f t="shared" si="122"/>
        <v>0</v>
      </c>
      <c r="O2505" s="38">
        <v>0</v>
      </c>
      <c r="P2505" s="38">
        <v>0</v>
      </c>
      <c r="Q2505" s="39" t="s">
        <v>44</v>
      </c>
      <c r="R2505" s="7">
        <v>45361</v>
      </c>
      <c r="S2505" s="40"/>
      <c r="T2505" s="11">
        <v>3.6017000000000001</v>
      </c>
      <c r="U2505" s="39"/>
      <c r="V2505" s="39"/>
      <c r="W2505" s="39"/>
      <c r="X2505" s="39"/>
      <c r="Y2505" s="39"/>
      <c r="Z2505" s="3"/>
      <c r="AB2505" s="3"/>
      <c r="AC2505" s="38" t="s">
        <v>5398</v>
      </c>
      <c r="AD2505" s="2"/>
      <c r="AE2505" s="40"/>
    </row>
    <row r="2506" spans="1:31" x14ac:dyDescent="0.25">
      <c r="A2506" s="38" t="s">
        <v>36</v>
      </c>
      <c r="B2506" s="38" t="s">
        <v>5376</v>
      </c>
      <c r="C2506" s="38" t="s">
        <v>5400</v>
      </c>
      <c r="D2506" s="38" t="s">
        <v>5401</v>
      </c>
      <c r="E2506" s="38" t="s">
        <v>5402</v>
      </c>
      <c r="F2506" s="38">
        <v>2894</v>
      </c>
      <c r="G2506" s="38">
        <v>2894</v>
      </c>
      <c r="H2506" s="38">
        <f t="shared" si="123"/>
        <v>1286</v>
      </c>
      <c r="I2506" s="38">
        <v>821</v>
      </c>
      <c r="J2506" s="38">
        <v>465</v>
      </c>
      <c r="K2506" s="38">
        <v>356</v>
      </c>
      <c r="L2506" s="50">
        <f t="shared" si="124"/>
        <v>27.682737169517885</v>
      </c>
      <c r="M2506" s="38">
        <v>25</v>
      </c>
      <c r="N2506" s="50">
        <f t="shared" si="122"/>
        <v>1.9440124416796267</v>
      </c>
      <c r="O2506" s="38">
        <v>0</v>
      </c>
      <c r="P2506" s="38">
        <v>102</v>
      </c>
      <c r="Q2506" s="39" t="s">
        <v>44</v>
      </c>
      <c r="R2506" s="7">
        <v>45660</v>
      </c>
      <c r="S2506" s="40"/>
      <c r="T2506" s="11">
        <v>698</v>
      </c>
      <c r="U2506" s="39"/>
      <c r="V2506" s="39"/>
      <c r="W2506" s="39"/>
      <c r="X2506" s="39"/>
      <c r="Y2506" s="39"/>
      <c r="Z2506" s="3"/>
      <c r="AB2506" s="3"/>
      <c r="AC2506" s="38" t="s">
        <v>5401</v>
      </c>
      <c r="AD2506" s="2"/>
      <c r="AE2506" s="40"/>
    </row>
    <row r="2507" spans="1:31" x14ac:dyDescent="0.25">
      <c r="A2507" s="38" t="s">
        <v>36</v>
      </c>
      <c r="B2507" s="38" t="s">
        <v>5376</v>
      </c>
      <c r="C2507" s="38" t="s">
        <v>5400</v>
      </c>
      <c r="D2507" s="38" t="s">
        <v>5403</v>
      </c>
      <c r="E2507" s="38"/>
      <c r="F2507" s="38"/>
      <c r="G2507" s="38"/>
      <c r="H2507" s="38">
        <f t="shared" si="123"/>
        <v>0</v>
      </c>
      <c r="I2507" s="38"/>
      <c r="J2507" s="38"/>
      <c r="K2507" s="38"/>
      <c r="L2507" s="50"/>
      <c r="M2507" s="38"/>
      <c r="N2507" s="50"/>
      <c r="O2507" s="38"/>
      <c r="P2507" s="38"/>
      <c r="Q2507" s="39" t="s">
        <v>44</v>
      </c>
      <c r="R2507" s="7">
        <v>45660</v>
      </c>
      <c r="S2507" s="40"/>
      <c r="T2507" s="11">
        <v>130</v>
      </c>
      <c r="U2507" s="39"/>
      <c r="V2507" s="39"/>
      <c r="W2507" s="39"/>
      <c r="X2507" s="39"/>
      <c r="Y2507" s="39"/>
      <c r="Z2507" s="3"/>
      <c r="AB2507" s="3"/>
      <c r="AC2507" s="38" t="s">
        <v>5403</v>
      </c>
      <c r="AD2507" s="2"/>
      <c r="AE2507" s="40"/>
    </row>
    <row r="2508" spans="1:31" x14ac:dyDescent="0.25">
      <c r="A2508" s="38" t="s">
        <v>36</v>
      </c>
      <c r="B2508" s="38" t="s">
        <v>5376</v>
      </c>
      <c r="C2508" s="38" t="s">
        <v>5400</v>
      </c>
      <c r="D2508" s="38" t="s">
        <v>5404</v>
      </c>
      <c r="E2508" s="38" t="s">
        <v>5405</v>
      </c>
      <c r="F2508" s="38">
        <v>690</v>
      </c>
      <c r="G2508" s="38">
        <v>690</v>
      </c>
      <c r="H2508" s="38">
        <f t="shared" si="123"/>
        <v>518</v>
      </c>
      <c r="I2508" s="38">
        <v>333</v>
      </c>
      <c r="J2508" s="38">
        <v>185</v>
      </c>
      <c r="K2508" s="38">
        <v>148</v>
      </c>
      <c r="L2508" s="50">
        <f t="shared" si="124"/>
        <v>28.571428571428569</v>
      </c>
      <c r="M2508" s="38">
        <v>0</v>
      </c>
      <c r="N2508" s="50">
        <f t="shared" si="122"/>
        <v>0</v>
      </c>
      <c r="O2508" s="38">
        <v>0</v>
      </c>
      <c r="P2508" s="38">
        <v>11</v>
      </c>
      <c r="Q2508" s="39" t="s">
        <v>44</v>
      </c>
      <c r="R2508" s="7">
        <v>45660</v>
      </c>
      <c r="S2508" s="40"/>
      <c r="T2508" s="11">
        <v>189</v>
      </c>
      <c r="U2508" s="39"/>
      <c r="V2508" s="39"/>
      <c r="W2508" s="39"/>
      <c r="X2508" s="39"/>
      <c r="Y2508" s="39"/>
      <c r="Z2508" s="3"/>
      <c r="AB2508" s="3"/>
      <c r="AC2508" s="38" t="s">
        <v>5404</v>
      </c>
      <c r="AD2508" s="2"/>
      <c r="AE2508" s="40"/>
    </row>
    <row r="2509" spans="1:31" x14ac:dyDescent="0.25">
      <c r="A2509" s="38" t="s">
        <v>36</v>
      </c>
      <c r="B2509" s="41" t="s">
        <v>5376</v>
      </c>
      <c r="C2509" s="41" t="s">
        <v>5400</v>
      </c>
      <c r="D2509" s="41" t="s">
        <v>5406</v>
      </c>
      <c r="E2509" s="41" t="s">
        <v>5407</v>
      </c>
      <c r="F2509" s="41">
        <v>3054</v>
      </c>
      <c r="G2509" s="41">
        <v>3054</v>
      </c>
      <c r="H2509" s="38">
        <f t="shared" si="123"/>
        <v>921</v>
      </c>
      <c r="I2509" s="41">
        <v>582</v>
      </c>
      <c r="J2509" s="41">
        <v>339</v>
      </c>
      <c r="K2509" s="41">
        <v>243</v>
      </c>
      <c r="L2509" s="50">
        <f t="shared" si="124"/>
        <v>26.384364820846905</v>
      </c>
      <c r="M2509" s="41">
        <v>135</v>
      </c>
      <c r="N2509" s="50">
        <f t="shared" si="122"/>
        <v>14.65798045602606</v>
      </c>
      <c r="O2509" s="41">
        <v>0</v>
      </c>
      <c r="P2509" s="41">
        <v>0</v>
      </c>
      <c r="Q2509" s="43" t="s">
        <v>44</v>
      </c>
      <c r="R2509" s="24">
        <v>45660</v>
      </c>
      <c r="S2509" s="44"/>
      <c r="T2509" s="18">
        <v>82.620500000000007</v>
      </c>
      <c r="U2509" s="43"/>
      <c r="V2509" s="43"/>
      <c r="W2509" s="43"/>
      <c r="X2509" s="43"/>
      <c r="Y2509" s="43"/>
      <c r="Z2509" s="5"/>
      <c r="AB2509" s="5">
        <v>16</v>
      </c>
      <c r="AC2509" s="41" t="s">
        <v>5406</v>
      </c>
      <c r="AD2509" s="44">
        <v>26215727</v>
      </c>
      <c r="AE2509" s="44">
        <v>71.378752000000006</v>
      </c>
    </row>
    <row r="2510" spans="1:31" x14ac:dyDescent="0.25">
      <c r="A2510" s="38" t="s">
        <v>36</v>
      </c>
      <c r="B2510" s="41" t="s">
        <v>5376</v>
      </c>
      <c r="C2510" s="41" t="s">
        <v>5400</v>
      </c>
      <c r="D2510" s="38" t="s">
        <v>5408</v>
      </c>
      <c r="E2510" s="38"/>
      <c r="F2510" s="38"/>
      <c r="G2510" s="38"/>
      <c r="H2510" s="38">
        <f t="shared" si="123"/>
        <v>0</v>
      </c>
      <c r="I2510" s="38"/>
      <c r="J2510" s="38"/>
      <c r="K2510" s="38"/>
      <c r="L2510" s="50"/>
      <c r="M2510" s="38"/>
      <c r="N2510" s="50"/>
      <c r="O2510" s="38"/>
      <c r="P2510" s="38"/>
      <c r="Q2510" s="39" t="s">
        <v>44</v>
      </c>
      <c r="R2510" s="7">
        <v>45660</v>
      </c>
      <c r="S2510" s="40"/>
      <c r="T2510" s="11">
        <v>674</v>
      </c>
      <c r="U2510" s="39"/>
      <c r="V2510" s="39"/>
      <c r="W2510" s="39"/>
      <c r="X2510" s="39"/>
      <c r="Y2510" s="39"/>
      <c r="Z2510" s="3"/>
      <c r="AB2510" s="3"/>
      <c r="AC2510" s="38" t="s">
        <v>5408</v>
      </c>
      <c r="AD2510" s="2"/>
      <c r="AE2510" s="40"/>
    </row>
    <row r="2511" spans="1:31" x14ac:dyDescent="0.25">
      <c r="A2511" s="38" t="s">
        <v>36</v>
      </c>
      <c r="B2511" s="41" t="s">
        <v>5376</v>
      </c>
      <c r="C2511" s="41" t="s">
        <v>5400</v>
      </c>
      <c r="D2511" s="41" t="s">
        <v>5409</v>
      </c>
      <c r="E2511" s="41" t="s">
        <v>5410</v>
      </c>
      <c r="F2511" s="41">
        <v>1046</v>
      </c>
      <c r="G2511" s="41">
        <v>1046</v>
      </c>
      <c r="H2511" s="38">
        <f t="shared" si="123"/>
        <v>1105</v>
      </c>
      <c r="I2511" s="41">
        <v>703</v>
      </c>
      <c r="J2511" s="41">
        <v>402</v>
      </c>
      <c r="K2511" s="41">
        <v>301</v>
      </c>
      <c r="L2511" s="50">
        <f t="shared" si="124"/>
        <v>27.239819004524886</v>
      </c>
      <c r="M2511" s="41">
        <v>156</v>
      </c>
      <c r="N2511" s="50">
        <f t="shared" si="122"/>
        <v>14.117647058823529</v>
      </c>
      <c r="O2511" s="41">
        <v>0</v>
      </c>
      <c r="P2511" s="41">
        <v>0</v>
      </c>
      <c r="Q2511" s="43" t="s">
        <v>44</v>
      </c>
      <c r="R2511" s="24">
        <v>45660</v>
      </c>
      <c r="S2511" s="44"/>
      <c r="T2511" s="18">
        <v>36.000799999999998</v>
      </c>
      <c r="U2511" s="43"/>
      <c r="V2511" s="43"/>
      <c r="W2511" s="43"/>
      <c r="X2511" s="43"/>
      <c r="Y2511" s="43"/>
      <c r="Z2511" s="5"/>
      <c r="AB2511" s="5">
        <v>16</v>
      </c>
      <c r="AC2511" s="41" t="s">
        <v>5409</v>
      </c>
      <c r="AD2511" s="44">
        <v>26.252603400000002</v>
      </c>
      <c r="AE2511" s="44">
        <v>71.3600773</v>
      </c>
    </row>
    <row r="2512" spans="1:31" x14ac:dyDescent="0.25">
      <c r="A2512" s="38" t="s">
        <v>36</v>
      </c>
      <c r="B2512" s="41" t="s">
        <v>5376</v>
      </c>
      <c r="C2512" s="41" t="s">
        <v>5411</v>
      </c>
      <c r="D2512" s="41" t="s">
        <v>2760</v>
      </c>
      <c r="E2512" s="41" t="s">
        <v>5412</v>
      </c>
      <c r="F2512" s="41">
        <v>1325</v>
      </c>
      <c r="G2512" s="41">
        <v>1325</v>
      </c>
      <c r="H2512" s="38">
        <f t="shared" si="123"/>
        <v>765</v>
      </c>
      <c r="I2512" s="41">
        <v>765</v>
      </c>
      <c r="J2512" s="41"/>
      <c r="K2512" s="41"/>
      <c r="L2512" s="50">
        <f t="shared" si="124"/>
        <v>0</v>
      </c>
      <c r="M2512" s="41"/>
      <c r="N2512" s="50">
        <f t="shared" si="122"/>
        <v>0</v>
      </c>
      <c r="O2512" s="41">
        <v>0</v>
      </c>
      <c r="P2512" s="41">
        <v>10</v>
      </c>
      <c r="Q2512" s="43" t="s">
        <v>44</v>
      </c>
      <c r="R2512" s="27">
        <v>45201</v>
      </c>
      <c r="S2512" s="44"/>
      <c r="T2512" s="82">
        <v>0</v>
      </c>
      <c r="U2512" s="43"/>
      <c r="V2512" s="43"/>
      <c r="W2512" s="43"/>
      <c r="X2512" s="43"/>
      <c r="Y2512" s="43"/>
      <c r="Z2512" s="5"/>
      <c r="AB2512" s="5">
        <v>16</v>
      </c>
      <c r="AC2512" s="81" t="s">
        <v>5413</v>
      </c>
      <c r="AD2512" s="44">
        <v>26.114825</v>
      </c>
      <c r="AE2512" s="44">
        <v>71.080053000000007</v>
      </c>
    </row>
    <row r="2513" spans="1:31" x14ac:dyDescent="0.25">
      <c r="A2513" s="38" t="s">
        <v>36</v>
      </c>
      <c r="B2513" s="38" t="s">
        <v>5376</v>
      </c>
      <c r="C2513" s="38" t="s">
        <v>5411</v>
      </c>
      <c r="D2513" s="38" t="s">
        <v>5414</v>
      </c>
      <c r="E2513" s="38" t="s">
        <v>5415</v>
      </c>
      <c r="F2513" s="38">
        <v>2167</v>
      </c>
      <c r="G2513" s="38">
        <v>2167</v>
      </c>
      <c r="H2513" s="38">
        <f t="shared" si="123"/>
        <v>1615</v>
      </c>
      <c r="I2513" s="38">
        <v>1041</v>
      </c>
      <c r="J2513" s="38">
        <v>574</v>
      </c>
      <c r="K2513" s="38">
        <v>467</v>
      </c>
      <c r="L2513" s="50">
        <f t="shared" si="124"/>
        <v>28.916408668730647</v>
      </c>
      <c r="M2513" s="38">
        <v>61</v>
      </c>
      <c r="N2513" s="50">
        <f t="shared" si="122"/>
        <v>3.7770897832817338</v>
      </c>
      <c r="O2513" s="38">
        <v>0</v>
      </c>
      <c r="P2513" s="38">
        <v>51</v>
      </c>
      <c r="Q2513" s="39" t="s">
        <v>44</v>
      </c>
      <c r="R2513" s="25">
        <v>45201</v>
      </c>
      <c r="S2513" s="40"/>
      <c r="T2513" s="60">
        <v>0</v>
      </c>
      <c r="U2513" s="39"/>
      <c r="V2513" s="39"/>
      <c r="W2513" s="39"/>
      <c r="X2513" s="39"/>
      <c r="Y2513" s="39"/>
      <c r="Z2513" s="3"/>
      <c r="AB2513" s="3"/>
      <c r="AC2513" s="42" t="s">
        <v>5414</v>
      </c>
      <c r="AD2513" s="2"/>
      <c r="AE2513" s="40"/>
    </row>
    <row r="2514" spans="1:31" x14ac:dyDescent="0.25">
      <c r="A2514" s="38" t="s">
        <v>36</v>
      </c>
      <c r="B2514" s="38" t="s">
        <v>5376</v>
      </c>
      <c r="C2514" s="38" t="s">
        <v>5411</v>
      </c>
      <c r="D2514" s="38" t="s">
        <v>5416</v>
      </c>
      <c r="E2514" s="38" t="s">
        <v>5417</v>
      </c>
      <c r="F2514" s="38">
        <v>979</v>
      </c>
      <c r="G2514" s="38">
        <v>979</v>
      </c>
      <c r="H2514" s="38">
        <f t="shared" si="123"/>
        <v>641</v>
      </c>
      <c r="I2514" s="38">
        <v>427</v>
      </c>
      <c r="J2514" s="38">
        <v>214</v>
      </c>
      <c r="K2514" s="38">
        <v>213</v>
      </c>
      <c r="L2514" s="50">
        <f t="shared" si="124"/>
        <v>33.229329173166924</v>
      </c>
      <c r="M2514" s="38">
        <v>15</v>
      </c>
      <c r="N2514" s="50">
        <f t="shared" si="122"/>
        <v>2.3400936037441498</v>
      </c>
      <c r="O2514" s="38">
        <v>10</v>
      </c>
      <c r="P2514" s="38">
        <v>0</v>
      </c>
      <c r="Q2514" s="98" t="s">
        <v>44</v>
      </c>
      <c r="R2514" s="7">
        <v>45201</v>
      </c>
      <c r="S2514" s="99"/>
      <c r="T2514" s="11">
        <v>0</v>
      </c>
      <c r="U2514" s="98"/>
      <c r="V2514" s="98"/>
      <c r="W2514" s="98"/>
      <c r="X2514" s="98"/>
      <c r="Y2514" s="98"/>
      <c r="Z2514" s="20"/>
      <c r="AB2514" s="61"/>
      <c r="AC2514" s="38" t="s">
        <v>5416</v>
      </c>
      <c r="AD2514" s="61"/>
      <c r="AE2514" s="99"/>
    </row>
    <row r="2515" spans="1:31" x14ac:dyDescent="0.25">
      <c r="A2515" s="38" t="s">
        <v>36</v>
      </c>
      <c r="B2515" s="38" t="s">
        <v>5376</v>
      </c>
      <c r="C2515" s="38" t="s">
        <v>5411</v>
      </c>
      <c r="D2515" s="38" t="s">
        <v>5418</v>
      </c>
      <c r="E2515" s="38" t="s">
        <v>5419</v>
      </c>
      <c r="F2515" s="38">
        <v>1350</v>
      </c>
      <c r="G2515" s="38">
        <v>1350</v>
      </c>
      <c r="H2515" s="38">
        <f t="shared" si="123"/>
        <v>1302</v>
      </c>
      <c r="I2515" s="38">
        <v>848</v>
      </c>
      <c r="J2515" s="38">
        <v>454</v>
      </c>
      <c r="K2515" s="38">
        <v>394</v>
      </c>
      <c r="L2515" s="50">
        <f t="shared" si="124"/>
        <v>30.261136712749614</v>
      </c>
      <c r="M2515" s="38">
        <v>167</v>
      </c>
      <c r="N2515" s="50">
        <f t="shared" si="122"/>
        <v>12.826420890937021</v>
      </c>
      <c r="O2515" s="38">
        <v>0</v>
      </c>
      <c r="P2515" s="38">
        <v>730</v>
      </c>
      <c r="Q2515" s="98" t="s">
        <v>160</v>
      </c>
      <c r="R2515" s="10">
        <v>45201</v>
      </c>
      <c r="S2515" s="99"/>
      <c r="T2515" s="20">
        <v>45.584099999999999</v>
      </c>
      <c r="U2515" s="98"/>
      <c r="V2515" s="98"/>
      <c r="W2515" s="98"/>
      <c r="X2515" s="98"/>
      <c r="Y2515" s="98"/>
      <c r="Z2515" s="109"/>
      <c r="AB2515" s="20">
        <v>40</v>
      </c>
      <c r="AC2515" s="38" t="s">
        <v>5418</v>
      </c>
      <c r="AD2515" s="61">
        <v>26.064512000000001</v>
      </c>
      <c r="AE2515" s="99">
        <v>71.100683000000004</v>
      </c>
    </row>
    <row r="2516" spans="1:31" x14ac:dyDescent="0.25">
      <c r="A2516" s="38" t="s">
        <v>36</v>
      </c>
      <c r="B2516" s="38" t="s">
        <v>5376</v>
      </c>
      <c r="C2516" s="38" t="s">
        <v>5411</v>
      </c>
      <c r="D2516" s="38" t="s">
        <v>5420</v>
      </c>
      <c r="E2516" s="38" t="s">
        <v>5421</v>
      </c>
      <c r="F2516" s="38">
        <v>3271</v>
      </c>
      <c r="G2516" s="38">
        <v>3271</v>
      </c>
      <c r="H2516" s="38">
        <f t="shared" si="123"/>
        <v>1021</v>
      </c>
      <c r="I2516" s="38">
        <v>669</v>
      </c>
      <c r="J2516" s="38">
        <v>352</v>
      </c>
      <c r="K2516" s="38">
        <v>317</v>
      </c>
      <c r="L2516" s="50">
        <f t="shared" si="124"/>
        <v>31.047992164544564</v>
      </c>
      <c r="M2516" s="38">
        <v>81</v>
      </c>
      <c r="N2516" s="50">
        <f t="shared" si="122"/>
        <v>7.9333986287952989</v>
      </c>
      <c r="O2516" s="38">
        <v>0</v>
      </c>
      <c r="P2516" s="38">
        <v>33</v>
      </c>
    </row>
    <row r="2517" spans="1:31" x14ac:dyDescent="0.25">
      <c r="A2517" s="38" t="s">
        <v>36</v>
      </c>
      <c r="B2517" s="38" t="s">
        <v>5376</v>
      </c>
      <c r="C2517" s="38" t="s">
        <v>5422</v>
      </c>
      <c r="D2517" s="38" t="s">
        <v>5423</v>
      </c>
      <c r="E2517" s="38" t="s">
        <v>5424</v>
      </c>
      <c r="F2517" s="38">
        <v>1673</v>
      </c>
      <c r="G2517" s="38">
        <v>1673</v>
      </c>
      <c r="H2517" s="38">
        <f t="shared" si="123"/>
        <v>1237</v>
      </c>
      <c r="I2517" s="38">
        <v>818</v>
      </c>
      <c r="J2517" s="38">
        <v>419</v>
      </c>
      <c r="K2517" s="38">
        <v>399</v>
      </c>
      <c r="L2517" s="50">
        <f t="shared" si="124"/>
        <v>32.2554567502021</v>
      </c>
      <c r="M2517" s="38">
        <v>0</v>
      </c>
      <c r="N2517" s="50">
        <f t="shared" si="122"/>
        <v>0</v>
      </c>
      <c r="O2517" s="38">
        <v>64</v>
      </c>
      <c r="P2517" s="38">
        <v>74</v>
      </c>
      <c r="Q2517" s="98" t="s">
        <v>160</v>
      </c>
      <c r="R2517" s="7">
        <v>45206</v>
      </c>
      <c r="S2517" s="99"/>
      <c r="T2517" s="11">
        <v>70.3</v>
      </c>
      <c r="U2517" s="98"/>
      <c r="V2517" s="98"/>
      <c r="W2517" s="98"/>
      <c r="X2517" s="98"/>
      <c r="Y2517" s="98"/>
      <c r="Z2517" s="20"/>
      <c r="AB2517" s="20"/>
      <c r="AC2517" s="38" t="s">
        <v>5423</v>
      </c>
      <c r="AD2517" s="61"/>
      <c r="AE2517" s="99"/>
    </row>
    <row r="2518" spans="1:31" x14ac:dyDescent="0.25">
      <c r="A2518" s="38" t="s">
        <v>36</v>
      </c>
      <c r="B2518" s="38" t="s">
        <v>5376</v>
      </c>
      <c r="C2518" s="38" t="s">
        <v>5422</v>
      </c>
      <c r="D2518" s="38" t="s">
        <v>5425</v>
      </c>
      <c r="E2518" s="38" t="s">
        <v>5426</v>
      </c>
      <c r="F2518" s="38">
        <v>2193</v>
      </c>
      <c r="G2518" s="38">
        <v>2193</v>
      </c>
      <c r="H2518" s="38">
        <f t="shared" si="123"/>
        <v>996</v>
      </c>
      <c r="I2518" s="38">
        <v>640</v>
      </c>
      <c r="J2518" s="38">
        <v>356</v>
      </c>
      <c r="K2518" s="38">
        <v>284</v>
      </c>
      <c r="L2518" s="50">
        <f t="shared" si="124"/>
        <v>28.514056224899598</v>
      </c>
      <c r="M2518" s="38">
        <v>58</v>
      </c>
      <c r="N2518" s="50">
        <f t="shared" si="122"/>
        <v>5.8232931726907635</v>
      </c>
      <c r="O2518" s="38">
        <v>0</v>
      </c>
      <c r="P2518" s="38">
        <v>20</v>
      </c>
      <c r="Q2518" s="98" t="s">
        <v>160</v>
      </c>
      <c r="R2518" s="7">
        <v>45206</v>
      </c>
      <c r="S2518" s="99"/>
      <c r="T2518" s="11">
        <v>0</v>
      </c>
      <c r="U2518" s="98"/>
      <c r="V2518" s="98"/>
      <c r="W2518" s="98"/>
      <c r="X2518" s="98"/>
      <c r="Y2518" s="98"/>
      <c r="Z2518" s="20"/>
      <c r="AB2518" s="20"/>
      <c r="AC2518" s="38" t="s">
        <v>5425</v>
      </c>
      <c r="AD2518" s="61"/>
      <c r="AE2518" s="99"/>
    </row>
    <row r="2519" spans="1:31" x14ac:dyDescent="0.25">
      <c r="A2519" s="38" t="s">
        <v>36</v>
      </c>
      <c r="B2519" s="38" t="s">
        <v>5376</v>
      </c>
      <c r="C2519" s="38" t="s">
        <v>5422</v>
      </c>
      <c r="D2519" s="38" t="s">
        <v>5427</v>
      </c>
      <c r="E2519" s="38" t="s">
        <v>5428</v>
      </c>
      <c r="F2519" s="38">
        <v>795</v>
      </c>
      <c r="G2519" s="38">
        <v>795</v>
      </c>
      <c r="H2519" s="38">
        <f t="shared" si="123"/>
        <v>508</v>
      </c>
      <c r="I2519" s="38">
        <v>334</v>
      </c>
      <c r="J2519" s="38">
        <v>174</v>
      </c>
      <c r="K2519" s="38">
        <v>160</v>
      </c>
      <c r="L2519" s="50">
        <f t="shared" si="124"/>
        <v>31.496062992125985</v>
      </c>
      <c r="M2519" s="38">
        <v>20</v>
      </c>
      <c r="N2519" s="50">
        <f t="shared" si="122"/>
        <v>3.9370078740157481</v>
      </c>
      <c r="O2519" s="38">
        <v>0</v>
      </c>
      <c r="P2519" s="38">
        <v>0</v>
      </c>
      <c r="Q2519" s="98" t="s">
        <v>160</v>
      </c>
      <c r="R2519" s="7">
        <v>45206</v>
      </c>
      <c r="S2519" s="99"/>
      <c r="T2519" s="11">
        <v>0</v>
      </c>
      <c r="U2519" s="98"/>
      <c r="V2519" s="98"/>
      <c r="W2519" s="98"/>
      <c r="X2519" s="98"/>
      <c r="Y2519" s="98"/>
      <c r="Z2519" s="20"/>
      <c r="AB2519" s="20"/>
      <c r="AC2519" s="38" t="s">
        <v>5427</v>
      </c>
      <c r="AD2519" s="61"/>
      <c r="AE2519" s="99"/>
    </row>
    <row r="2520" spans="1:31" x14ac:dyDescent="0.25">
      <c r="A2520" s="38" t="s">
        <v>36</v>
      </c>
      <c r="B2520" s="38" t="s">
        <v>5376</v>
      </c>
      <c r="C2520" s="38" t="s">
        <v>5422</v>
      </c>
      <c r="D2520" s="38" t="s">
        <v>5429</v>
      </c>
      <c r="E2520" s="38" t="s">
        <v>5430</v>
      </c>
      <c r="F2520" s="38">
        <v>1791</v>
      </c>
      <c r="G2520" s="38">
        <v>1791</v>
      </c>
      <c r="H2520" s="38">
        <f t="shared" si="123"/>
        <v>1006</v>
      </c>
      <c r="I2520" s="38">
        <v>663</v>
      </c>
      <c r="J2520" s="38">
        <v>343</v>
      </c>
      <c r="K2520" s="38">
        <v>320</v>
      </c>
      <c r="L2520" s="50">
        <f t="shared" si="124"/>
        <v>31.809145129224653</v>
      </c>
      <c r="M2520" s="38">
        <v>0</v>
      </c>
      <c r="N2520" s="50">
        <f t="shared" si="122"/>
        <v>0</v>
      </c>
      <c r="O2520" s="38">
        <v>209</v>
      </c>
      <c r="P2520" s="38">
        <v>0</v>
      </c>
      <c r="Q2520" s="98" t="s">
        <v>160</v>
      </c>
      <c r="R2520" s="7">
        <v>45206</v>
      </c>
      <c r="S2520" s="99"/>
      <c r="T2520" s="11">
        <v>28.32</v>
      </c>
      <c r="U2520" s="98"/>
      <c r="V2520" s="98"/>
      <c r="W2520" s="98"/>
      <c r="X2520" s="98"/>
      <c r="Y2520" s="98"/>
      <c r="Z2520" s="20"/>
      <c r="AB2520" s="20"/>
      <c r="AC2520" s="38" t="s">
        <v>5429</v>
      </c>
      <c r="AD2520" s="61"/>
      <c r="AE2520" s="99"/>
    </row>
    <row r="2521" spans="1:31" x14ac:dyDescent="0.25">
      <c r="A2521" s="38" t="s">
        <v>36</v>
      </c>
      <c r="B2521" s="38" t="s">
        <v>5376</v>
      </c>
      <c r="C2521" s="38" t="s">
        <v>5431</v>
      </c>
      <c r="D2521" s="38" t="s">
        <v>5432</v>
      </c>
      <c r="E2521" s="38" t="s">
        <v>5433</v>
      </c>
      <c r="F2521" s="38">
        <v>2421</v>
      </c>
      <c r="G2521" s="38">
        <v>2421</v>
      </c>
      <c r="H2521" s="38">
        <f t="shared" si="123"/>
        <v>3263</v>
      </c>
      <c r="I2521" s="11">
        <v>2097</v>
      </c>
      <c r="J2521" s="11">
        <v>1166</v>
      </c>
      <c r="K2521" s="11">
        <v>931</v>
      </c>
      <c r="L2521" s="50">
        <f t="shared" si="124"/>
        <v>28.532025743181123</v>
      </c>
      <c r="M2521" s="11">
        <v>363</v>
      </c>
      <c r="N2521" s="50">
        <f t="shared" si="122"/>
        <v>11.124731841863316</v>
      </c>
      <c r="O2521" s="38">
        <v>151</v>
      </c>
      <c r="P2521" s="38">
        <v>606</v>
      </c>
      <c r="Q2521" s="39" t="s">
        <v>44</v>
      </c>
      <c r="R2521" s="25">
        <v>45153</v>
      </c>
      <c r="S2521" s="40"/>
      <c r="T2521" s="60">
        <v>146.1173</v>
      </c>
      <c r="U2521" s="39"/>
      <c r="V2521" s="39"/>
      <c r="W2521" s="39"/>
      <c r="X2521" s="39"/>
      <c r="Y2521" s="39"/>
      <c r="Z2521" s="3"/>
      <c r="AB2521" s="3"/>
      <c r="AC2521" s="42" t="s">
        <v>5432</v>
      </c>
      <c r="AD2521" s="2"/>
      <c r="AE2521" s="40"/>
    </row>
    <row r="2522" spans="1:31" x14ac:dyDescent="0.25">
      <c r="A2522" s="38" t="s">
        <v>36</v>
      </c>
      <c r="B2522" s="41" t="s">
        <v>5376</v>
      </c>
      <c r="C2522" s="41" t="s">
        <v>5431</v>
      </c>
      <c r="D2522" s="41" t="s">
        <v>5432</v>
      </c>
      <c r="E2522" s="41" t="s">
        <v>5433</v>
      </c>
      <c r="F2522" s="41">
        <v>2421</v>
      </c>
      <c r="G2522" s="41">
        <v>2421</v>
      </c>
      <c r="H2522" s="38">
        <f t="shared" si="123"/>
        <v>3263</v>
      </c>
      <c r="I2522" s="18">
        <v>2097</v>
      </c>
      <c r="J2522" s="18">
        <v>1166</v>
      </c>
      <c r="K2522" s="18">
        <v>931</v>
      </c>
      <c r="L2522" s="50">
        <f t="shared" si="124"/>
        <v>28.532025743181123</v>
      </c>
      <c r="M2522" s="18">
        <v>363</v>
      </c>
      <c r="N2522" s="50">
        <f t="shared" si="122"/>
        <v>11.124731841863316</v>
      </c>
      <c r="O2522" s="41">
        <v>151</v>
      </c>
      <c r="P2522" s="41">
        <v>606</v>
      </c>
      <c r="Q2522" s="39" t="s">
        <v>44</v>
      </c>
      <c r="R2522" s="27">
        <v>45153</v>
      </c>
      <c r="S2522" s="44"/>
      <c r="T2522" s="44"/>
      <c r="U2522" s="39"/>
      <c r="V2522" s="39"/>
      <c r="W2522" s="39"/>
      <c r="X2522" s="39"/>
      <c r="Y2522" s="39"/>
      <c r="Z2522" s="205"/>
      <c r="AB2522" s="5">
        <v>49</v>
      </c>
      <c r="AC2522" s="45" t="s">
        <v>5432</v>
      </c>
      <c r="AD2522" s="44">
        <v>26.321361</v>
      </c>
      <c r="AE2522" s="44">
        <v>71.458872</v>
      </c>
    </row>
    <row r="2523" spans="1:31" x14ac:dyDescent="0.25">
      <c r="A2523" s="38" t="s">
        <v>36</v>
      </c>
      <c r="B2523" s="38" t="s">
        <v>5376</v>
      </c>
      <c r="C2523" s="38" t="s">
        <v>5431</v>
      </c>
      <c r="D2523" s="38" t="s">
        <v>5434</v>
      </c>
      <c r="E2523" s="38" t="s">
        <v>5435</v>
      </c>
      <c r="F2523" s="38">
        <v>2693.55</v>
      </c>
      <c r="G2523" s="38">
        <v>2693.55</v>
      </c>
      <c r="H2523" s="38">
        <f t="shared" si="123"/>
        <v>1118</v>
      </c>
      <c r="I2523" s="38">
        <v>740</v>
      </c>
      <c r="J2523" s="38">
        <v>378</v>
      </c>
      <c r="K2523" s="38">
        <v>362</v>
      </c>
      <c r="L2523" s="50">
        <f t="shared" si="124"/>
        <v>32.379248658318424</v>
      </c>
      <c r="M2523" s="38">
        <v>0</v>
      </c>
      <c r="N2523" s="50">
        <f t="shared" si="122"/>
        <v>0</v>
      </c>
      <c r="O2523" s="38">
        <v>0</v>
      </c>
      <c r="P2523" s="38">
        <v>0</v>
      </c>
      <c r="Q2523" s="39" t="s">
        <v>44</v>
      </c>
      <c r="R2523" s="25">
        <v>45153</v>
      </c>
      <c r="S2523" s="40"/>
      <c r="T2523" s="60">
        <v>130.76830000000001</v>
      </c>
      <c r="U2523" s="39"/>
      <c r="V2523" s="39"/>
      <c r="W2523" s="39"/>
      <c r="X2523" s="39"/>
      <c r="Y2523" s="39"/>
      <c r="Z2523" s="3"/>
      <c r="AB2523" s="3"/>
      <c r="AC2523" s="42" t="s">
        <v>5434</v>
      </c>
      <c r="AD2523" s="2"/>
      <c r="AE2523" s="40"/>
    </row>
    <row r="2524" spans="1:31" x14ac:dyDescent="0.25">
      <c r="A2524" s="38" t="s">
        <v>36</v>
      </c>
      <c r="B2524" s="38" t="s">
        <v>5376</v>
      </c>
      <c r="C2524" s="38" t="s">
        <v>5431</v>
      </c>
      <c r="D2524" s="38" t="s">
        <v>5436</v>
      </c>
      <c r="E2524" s="38" t="s">
        <v>5437</v>
      </c>
      <c r="F2524" s="38">
        <v>2695.26</v>
      </c>
      <c r="G2524" s="38">
        <v>2695.26</v>
      </c>
      <c r="H2524" s="38">
        <f t="shared" si="123"/>
        <v>874</v>
      </c>
      <c r="I2524" s="38">
        <v>555</v>
      </c>
      <c r="J2524" s="38">
        <v>319</v>
      </c>
      <c r="K2524" s="38">
        <v>236</v>
      </c>
      <c r="L2524" s="50">
        <f t="shared" si="124"/>
        <v>27.002288329519452</v>
      </c>
      <c r="M2524" s="38">
        <v>4</v>
      </c>
      <c r="N2524" s="50">
        <f t="shared" si="122"/>
        <v>0.45766590389016021</v>
      </c>
      <c r="O2524" s="38">
        <v>0</v>
      </c>
      <c r="P2524" s="38">
        <v>9</v>
      </c>
      <c r="Q2524" s="39" t="s">
        <v>44</v>
      </c>
      <c r="R2524" s="25">
        <v>45153</v>
      </c>
      <c r="S2524" s="40"/>
      <c r="T2524" s="60">
        <v>23</v>
      </c>
      <c r="U2524" s="39"/>
      <c r="V2524" s="39"/>
      <c r="W2524" s="39"/>
      <c r="X2524" s="39"/>
      <c r="Y2524" s="39"/>
      <c r="Z2524" s="3"/>
      <c r="AB2524" s="3"/>
      <c r="AC2524" s="42" t="s">
        <v>5436</v>
      </c>
      <c r="AD2524" s="2"/>
      <c r="AE2524" s="40"/>
    </row>
    <row r="2525" spans="1:31" x14ac:dyDescent="0.25">
      <c r="A2525" s="38" t="s">
        <v>36</v>
      </c>
      <c r="B2525" s="38" t="s">
        <v>5376</v>
      </c>
      <c r="C2525" s="38" t="s">
        <v>5438</v>
      </c>
      <c r="D2525" s="38" t="s">
        <v>5439</v>
      </c>
      <c r="E2525" s="38" t="s">
        <v>5440</v>
      </c>
      <c r="F2525" s="38">
        <v>608</v>
      </c>
      <c r="G2525" s="38">
        <v>608</v>
      </c>
      <c r="H2525" s="38">
        <f t="shared" si="123"/>
        <v>1884</v>
      </c>
      <c r="I2525" s="38">
        <v>1251</v>
      </c>
      <c r="J2525" s="38">
        <v>633</v>
      </c>
      <c r="K2525" s="38">
        <v>618</v>
      </c>
      <c r="L2525" s="50">
        <f t="shared" si="124"/>
        <v>32.802547770700635</v>
      </c>
      <c r="M2525" s="38">
        <v>22</v>
      </c>
      <c r="N2525" s="50">
        <f t="shared" si="122"/>
        <v>1.167728237791932</v>
      </c>
      <c r="O2525" s="38">
        <v>0</v>
      </c>
      <c r="P2525" s="38">
        <v>107</v>
      </c>
      <c r="Q2525" s="34" t="s">
        <v>43</v>
      </c>
      <c r="R2525" s="9">
        <v>44610</v>
      </c>
      <c r="S2525" s="34"/>
      <c r="T2525" s="34">
        <v>3</v>
      </c>
      <c r="U2525" s="34"/>
      <c r="V2525" s="34"/>
      <c r="W2525" s="34"/>
      <c r="X2525" s="34"/>
      <c r="Y2525" s="34"/>
      <c r="Z2525" s="109"/>
      <c r="AB2525" s="109">
        <v>17</v>
      </c>
      <c r="AC2525" s="34" t="s">
        <v>5441</v>
      </c>
      <c r="AD2525" s="34">
        <v>26.273851000000001</v>
      </c>
      <c r="AE2525" s="34">
        <v>71.331557000000004</v>
      </c>
    </row>
    <row r="2526" spans="1:31" x14ac:dyDescent="0.25">
      <c r="A2526" s="38" t="s">
        <v>36</v>
      </c>
      <c r="B2526" s="38" t="s">
        <v>5376</v>
      </c>
      <c r="C2526" s="38" t="s">
        <v>5438</v>
      </c>
      <c r="D2526" s="38" t="s">
        <v>5442</v>
      </c>
      <c r="E2526" s="38" t="s">
        <v>5443</v>
      </c>
      <c r="F2526" s="38">
        <v>365</v>
      </c>
      <c r="G2526" s="38">
        <v>365</v>
      </c>
      <c r="H2526" s="38">
        <f t="shared" si="123"/>
        <v>263</v>
      </c>
      <c r="I2526" s="38">
        <v>173</v>
      </c>
      <c r="J2526" s="38">
        <v>90</v>
      </c>
      <c r="K2526" s="38">
        <v>83</v>
      </c>
      <c r="L2526" s="50">
        <f t="shared" si="124"/>
        <v>31.558935361216729</v>
      </c>
      <c r="M2526" s="38">
        <v>0</v>
      </c>
      <c r="N2526" s="50">
        <f t="shared" ref="N2526:N2589" si="125">M2526/H2526*100</f>
        <v>0</v>
      </c>
      <c r="O2526" s="38">
        <v>0</v>
      </c>
      <c r="P2526" s="38">
        <v>36</v>
      </c>
      <c r="Q2526" s="34" t="s">
        <v>43</v>
      </c>
      <c r="R2526" s="7">
        <v>45201</v>
      </c>
      <c r="S2526" s="40"/>
      <c r="T2526" s="11">
        <v>14.6982</v>
      </c>
      <c r="U2526" s="34"/>
      <c r="V2526" s="34"/>
      <c r="W2526" s="34"/>
      <c r="X2526" s="34"/>
      <c r="Y2526" s="34"/>
      <c r="Z2526" s="3"/>
      <c r="AB2526" s="2"/>
      <c r="AC2526" s="38" t="s">
        <v>5442</v>
      </c>
      <c r="AD2526" s="2"/>
      <c r="AE2526" s="40"/>
    </row>
    <row r="2527" spans="1:31" x14ac:dyDescent="0.25">
      <c r="A2527" s="38" t="s">
        <v>36</v>
      </c>
      <c r="B2527" s="38" t="s">
        <v>5376</v>
      </c>
      <c r="C2527" s="38" t="s">
        <v>5438</v>
      </c>
      <c r="D2527" s="38" t="s">
        <v>5444</v>
      </c>
      <c r="E2527" s="38" t="s">
        <v>5445</v>
      </c>
      <c r="F2527" s="38">
        <v>1315</v>
      </c>
      <c r="G2527" s="38">
        <v>1315</v>
      </c>
      <c r="H2527" s="38">
        <f t="shared" si="123"/>
        <v>240</v>
      </c>
      <c r="I2527" s="38">
        <v>155</v>
      </c>
      <c r="J2527" s="38">
        <v>85</v>
      </c>
      <c r="K2527" s="38">
        <v>70</v>
      </c>
      <c r="L2527" s="50">
        <f t="shared" si="124"/>
        <v>29.166666666666668</v>
      </c>
      <c r="M2527" s="38">
        <v>70</v>
      </c>
      <c r="N2527" s="50">
        <f t="shared" si="125"/>
        <v>29.166666666666668</v>
      </c>
      <c r="O2527" s="38">
        <v>0</v>
      </c>
      <c r="P2527" s="38">
        <v>21</v>
      </c>
      <c r="Q2527" s="34" t="s">
        <v>43</v>
      </c>
      <c r="R2527" s="7">
        <v>45201</v>
      </c>
      <c r="S2527" s="40"/>
      <c r="T2527" s="11">
        <v>16.729700000000001</v>
      </c>
      <c r="U2527" s="34"/>
      <c r="V2527" s="34"/>
      <c r="W2527" s="34"/>
      <c r="X2527" s="34"/>
      <c r="Y2527" s="34"/>
      <c r="Z2527" s="3"/>
      <c r="AB2527" s="2"/>
      <c r="AC2527" s="38" t="s">
        <v>5444</v>
      </c>
      <c r="AD2527" s="2"/>
      <c r="AE2527" s="40"/>
    </row>
    <row r="2528" spans="1:31" x14ac:dyDescent="0.25">
      <c r="A2528" s="38" t="s">
        <v>36</v>
      </c>
      <c r="B2528" s="38" t="s">
        <v>5376</v>
      </c>
      <c r="C2528" s="38" t="s">
        <v>5438</v>
      </c>
      <c r="D2528" s="38" t="s">
        <v>2563</v>
      </c>
      <c r="E2528" s="38" t="s">
        <v>5446</v>
      </c>
      <c r="F2528" s="38">
        <v>853</v>
      </c>
      <c r="G2528" s="38">
        <v>853</v>
      </c>
      <c r="H2528" s="38">
        <f t="shared" si="123"/>
        <v>266</v>
      </c>
      <c r="I2528" s="38">
        <v>169</v>
      </c>
      <c r="J2528" s="38">
        <v>97</v>
      </c>
      <c r="K2528" s="38">
        <v>72</v>
      </c>
      <c r="L2528" s="50">
        <f t="shared" si="124"/>
        <v>27.06766917293233</v>
      </c>
      <c r="M2528" s="38">
        <v>16</v>
      </c>
      <c r="N2528" s="50">
        <f t="shared" si="125"/>
        <v>6.0150375939849621</v>
      </c>
      <c r="O2528" s="38">
        <v>0</v>
      </c>
      <c r="P2528" s="38">
        <v>0</v>
      </c>
      <c r="Q2528" s="34" t="s">
        <v>43</v>
      </c>
      <c r="R2528" s="7">
        <v>45201</v>
      </c>
      <c r="S2528" s="99"/>
      <c r="T2528" s="11">
        <v>0</v>
      </c>
      <c r="U2528" s="34"/>
      <c r="V2528" s="34"/>
      <c r="W2528" s="34"/>
      <c r="X2528" s="34"/>
      <c r="Y2528" s="34"/>
      <c r="Z2528" s="20"/>
      <c r="AB2528" s="61"/>
      <c r="AC2528" s="38" t="s">
        <v>2563</v>
      </c>
      <c r="AD2528" s="61"/>
      <c r="AE2528" s="99"/>
    </row>
    <row r="2529" spans="1:31" x14ac:dyDescent="0.25">
      <c r="A2529" s="38" t="s">
        <v>36</v>
      </c>
      <c r="B2529" s="38" t="s">
        <v>5376</v>
      </c>
      <c r="C2529" s="38" t="s">
        <v>5438</v>
      </c>
      <c r="D2529" s="38" t="s">
        <v>5447</v>
      </c>
      <c r="E2529" s="38" t="s">
        <v>5448</v>
      </c>
      <c r="F2529" s="38">
        <v>703</v>
      </c>
      <c r="G2529" s="38">
        <v>703</v>
      </c>
      <c r="H2529" s="38">
        <f t="shared" si="123"/>
        <v>1038</v>
      </c>
      <c r="I2529" s="38">
        <v>677</v>
      </c>
      <c r="J2529" s="38">
        <v>361</v>
      </c>
      <c r="K2529" s="38">
        <v>316</v>
      </c>
      <c r="L2529" s="50">
        <f t="shared" si="124"/>
        <v>30.443159922928707</v>
      </c>
      <c r="M2529" s="38">
        <v>165</v>
      </c>
      <c r="N2529" s="50">
        <f t="shared" si="125"/>
        <v>15.895953757225435</v>
      </c>
      <c r="O2529" s="38">
        <v>0</v>
      </c>
      <c r="P2529" s="38">
        <v>76</v>
      </c>
      <c r="Q2529" s="34" t="s">
        <v>43</v>
      </c>
      <c r="R2529" s="7">
        <v>45201</v>
      </c>
      <c r="S2529" s="40"/>
      <c r="T2529" s="11">
        <v>73.579899999999995</v>
      </c>
      <c r="U2529" s="34"/>
      <c r="V2529" s="34"/>
      <c r="W2529" s="34"/>
      <c r="X2529" s="34"/>
      <c r="Y2529" s="34"/>
      <c r="Z2529" s="3"/>
      <c r="AB2529" s="2"/>
      <c r="AC2529" s="38" t="s">
        <v>5447</v>
      </c>
      <c r="AD2529" s="2"/>
      <c r="AE2529" s="40"/>
    </row>
    <row r="2530" spans="1:31" x14ac:dyDescent="0.25">
      <c r="A2530" s="38" t="s">
        <v>36</v>
      </c>
      <c r="B2530" s="41" t="s">
        <v>5376</v>
      </c>
      <c r="C2530" s="41" t="s">
        <v>5438</v>
      </c>
      <c r="D2530" s="41" t="s">
        <v>5447</v>
      </c>
      <c r="E2530" s="38" t="s">
        <v>5448</v>
      </c>
      <c r="F2530" s="38">
        <v>703</v>
      </c>
      <c r="G2530" s="38">
        <v>703</v>
      </c>
      <c r="H2530" s="38">
        <f t="shared" si="123"/>
        <v>1038</v>
      </c>
      <c r="I2530" s="38">
        <v>677</v>
      </c>
      <c r="J2530" s="38">
        <v>361</v>
      </c>
      <c r="K2530" s="38">
        <v>316</v>
      </c>
      <c r="L2530" s="50">
        <f t="shared" si="124"/>
        <v>30.443159922928707</v>
      </c>
      <c r="M2530" s="38">
        <v>165</v>
      </c>
      <c r="N2530" s="50">
        <f t="shared" si="125"/>
        <v>15.895953757225435</v>
      </c>
      <c r="O2530" s="38">
        <v>0</v>
      </c>
      <c r="P2530" s="38">
        <v>76</v>
      </c>
      <c r="Q2530" s="34" t="s">
        <v>43</v>
      </c>
      <c r="R2530" s="24">
        <v>45201</v>
      </c>
      <c r="S2530" s="44"/>
      <c r="T2530" s="18"/>
      <c r="U2530" s="34"/>
      <c r="V2530" s="34"/>
      <c r="W2530" s="34"/>
      <c r="X2530" s="34"/>
      <c r="Y2530" s="34"/>
      <c r="Z2530" s="205"/>
      <c r="AB2530" s="44">
        <v>22</v>
      </c>
      <c r="AC2530" s="41" t="s">
        <v>5447</v>
      </c>
      <c r="AD2530" s="44">
        <v>26.253428</v>
      </c>
      <c r="AE2530" s="44">
        <v>71.318822999999995</v>
      </c>
    </row>
    <row r="2531" spans="1:31" x14ac:dyDescent="0.25">
      <c r="A2531" s="38" t="s">
        <v>36</v>
      </c>
      <c r="B2531" s="38" t="s">
        <v>5376</v>
      </c>
      <c r="C2531" s="38" t="s">
        <v>5438</v>
      </c>
      <c r="D2531" s="38" t="s">
        <v>5449</v>
      </c>
      <c r="E2531" s="38"/>
      <c r="F2531" s="38"/>
      <c r="G2531" s="38"/>
      <c r="H2531" s="38">
        <f t="shared" si="123"/>
        <v>0</v>
      </c>
      <c r="I2531" s="38"/>
      <c r="J2531" s="38"/>
      <c r="K2531" s="38"/>
      <c r="L2531" s="50"/>
      <c r="M2531" s="38"/>
      <c r="N2531" s="50"/>
      <c r="O2531" s="38"/>
      <c r="P2531" s="38"/>
      <c r="Q2531" s="98" t="s">
        <v>160</v>
      </c>
      <c r="R2531" s="7">
        <v>45201</v>
      </c>
      <c r="S2531" s="99"/>
      <c r="T2531" s="20">
        <v>0</v>
      </c>
      <c r="U2531" s="98"/>
      <c r="V2531" s="98"/>
      <c r="W2531" s="98"/>
      <c r="X2531" s="98"/>
      <c r="Y2531" s="98"/>
      <c r="Z2531" s="20"/>
      <c r="AB2531" s="20"/>
      <c r="AC2531" s="38" t="s">
        <v>5449</v>
      </c>
      <c r="AD2531" s="61"/>
      <c r="AE2531" s="99"/>
    </row>
    <row r="2532" spans="1:31" x14ac:dyDescent="0.25">
      <c r="A2532" s="38" t="s">
        <v>36</v>
      </c>
      <c r="B2532" s="38" t="s">
        <v>5376</v>
      </c>
      <c r="C2532" s="38" t="s">
        <v>5438</v>
      </c>
      <c r="D2532" s="11" t="s">
        <v>5450</v>
      </c>
      <c r="E2532" s="38"/>
      <c r="F2532" s="38"/>
      <c r="G2532" s="38"/>
      <c r="H2532" s="38">
        <f t="shared" si="123"/>
        <v>0</v>
      </c>
      <c r="I2532" s="38"/>
      <c r="J2532" s="38"/>
      <c r="K2532" s="38"/>
      <c r="L2532" s="50"/>
      <c r="M2532" s="38"/>
      <c r="N2532" s="50"/>
      <c r="O2532" s="38"/>
      <c r="P2532" s="38"/>
      <c r="Q2532" s="98" t="s">
        <v>160</v>
      </c>
      <c r="R2532" s="7">
        <v>45201</v>
      </c>
      <c r="S2532" s="99"/>
      <c r="T2532" s="20">
        <v>0</v>
      </c>
      <c r="U2532" s="98"/>
      <c r="V2532" s="98"/>
      <c r="W2532" s="98"/>
      <c r="X2532" s="98"/>
      <c r="Y2532" s="98"/>
      <c r="Z2532" s="20"/>
      <c r="AB2532" s="20"/>
      <c r="AC2532" s="11" t="s">
        <v>5450</v>
      </c>
      <c r="AD2532" s="61"/>
      <c r="AE2532" s="99"/>
    </row>
    <row r="2533" spans="1:31" x14ac:dyDescent="0.25">
      <c r="A2533" s="38" t="s">
        <v>36</v>
      </c>
      <c r="B2533" s="41" t="s">
        <v>5376</v>
      </c>
      <c r="C2533" s="41" t="s">
        <v>5438</v>
      </c>
      <c r="D2533" s="41" t="s">
        <v>5451</v>
      </c>
      <c r="E2533" s="41" t="s">
        <v>5452</v>
      </c>
      <c r="F2533" s="41">
        <v>3407</v>
      </c>
      <c r="G2533" s="41">
        <v>3407</v>
      </c>
      <c r="H2533" s="38">
        <f t="shared" si="123"/>
        <v>2779</v>
      </c>
      <c r="I2533" s="41">
        <v>1822</v>
      </c>
      <c r="J2533" s="41">
        <v>957</v>
      </c>
      <c r="K2533" s="41">
        <v>865</v>
      </c>
      <c r="L2533" s="50">
        <f t="shared" si="124"/>
        <v>31.126304426052538</v>
      </c>
      <c r="M2533" s="41">
        <v>85</v>
      </c>
      <c r="N2533" s="50">
        <f t="shared" si="125"/>
        <v>3.0586541921554513</v>
      </c>
      <c r="O2533" s="41">
        <v>0</v>
      </c>
      <c r="P2533" s="41">
        <v>564</v>
      </c>
      <c r="Q2533" s="43" t="s">
        <v>44</v>
      </c>
      <c r="R2533" s="24">
        <v>45201</v>
      </c>
      <c r="S2533" s="44"/>
      <c r="T2533" s="18">
        <v>86.133099999999999</v>
      </c>
      <c r="U2533" s="43"/>
      <c r="V2533" s="43"/>
      <c r="W2533" s="43"/>
      <c r="X2533" s="43"/>
      <c r="Y2533" s="43"/>
      <c r="Z2533" s="5"/>
      <c r="AB2533" s="189">
        <v>25</v>
      </c>
      <c r="AC2533" s="41" t="s">
        <v>5451</v>
      </c>
      <c r="AD2533" s="44">
        <v>26.318924299999999</v>
      </c>
      <c r="AE2533" s="44">
        <v>71.322691699999993</v>
      </c>
    </row>
    <row r="2534" spans="1:31" x14ac:dyDescent="0.25">
      <c r="A2534" s="38" t="s">
        <v>36</v>
      </c>
      <c r="B2534" s="41" t="s">
        <v>5376</v>
      </c>
      <c r="C2534" s="41" t="s">
        <v>5453</v>
      </c>
      <c r="D2534" s="41" t="s">
        <v>5453</v>
      </c>
      <c r="E2534" s="41" t="s">
        <v>5454</v>
      </c>
      <c r="F2534" s="41">
        <v>1989.68</v>
      </c>
      <c r="G2534" s="41">
        <v>1989.68</v>
      </c>
      <c r="H2534" s="38">
        <f t="shared" si="123"/>
        <v>1735</v>
      </c>
      <c r="I2534" s="41">
        <v>1160</v>
      </c>
      <c r="J2534" s="41">
        <v>575</v>
      </c>
      <c r="K2534" s="41">
        <v>585</v>
      </c>
      <c r="L2534" s="50">
        <f t="shared" si="124"/>
        <v>33.717579250720462</v>
      </c>
      <c r="M2534" s="41">
        <v>41</v>
      </c>
      <c r="N2534" s="50">
        <f t="shared" si="125"/>
        <v>2.3631123919308359</v>
      </c>
      <c r="O2534" s="41">
        <v>0</v>
      </c>
      <c r="P2534" s="41">
        <v>130</v>
      </c>
      <c r="Q2534" s="213" t="s">
        <v>160</v>
      </c>
      <c r="R2534" s="24">
        <v>45158</v>
      </c>
      <c r="S2534" s="214"/>
      <c r="T2534" s="18">
        <v>121.2</v>
      </c>
      <c r="U2534" s="213"/>
      <c r="V2534" s="213"/>
      <c r="W2534" s="213"/>
      <c r="X2534" s="213"/>
      <c r="Y2534" s="213"/>
      <c r="Z2534" s="215"/>
      <c r="AB2534" s="215">
        <v>105</v>
      </c>
      <c r="AC2534" s="18" t="s">
        <v>5455</v>
      </c>
      <c r="AD2534" s="214">
        <v>26.320653</v>
      </c>
      <c r="AE2534" s="214">
        <v>71.484724999999997</v>
      </c>
    </row>
    <row r="2535" spans="1:31" x14ac:dyDescent="0.25">
      <c r="A2535" s="38" t="s">
        <v>36</v>
      </c>
      <c r="B2535" s="41" t="s">
        <v>5376</v>
      </c>
      <c r="C2535" s="41" t="s">
        <v>5453</v>
      </c>
      <c r="D2535" s="41" t="s">
        <v>5453</v>
      </c>
      <c r="E2535" s="41" t="s">
        <v>5454</v>
      </c>
      <c r="F2535" s="41">
        <v>1989.68</v>
      </c>
      <c r="G2535" s="41">
        <v>1989.68</v>
      </c>
      <c r="H2535" s="38">
        <f t="shared" si="123"/>
        <v>1735</v>
      </c>
      <c r="I2535" s="41">
        <v>1160</v>
      </c>
      <c r="J2535" s="41">
        <v>575</v>
      </c>
      <c r="K2535" s="41">
        <v>585</v>
      </c>
      <c r="L2535" s="50">
        <f t="shared" si="124"/>
        <v>33.717579250720462</v>
      </c>
      <c r="M2535" s="41">
        <v>41</v>
      </c>
      <c r="N2535" s="50">
        <f t="shared" si="125"/>
        <v>2.3631123919308359</v>
      </c>
      <c r="O2535" s="41">
        <v>0</v>
      </c>
      <c r="P2535" s="41">
        <v>130</v>
      </c>
      <c r="Q2535" s="213" t="s">
        <v>160</v>
      </c>
      <c r="R2535" s="25">
        <v>45158</v>
      </c>
      <c r="S2535" s="40"/>
      <c r="T2535" s="60"/>
      <c r="U2535" s="213"/>
      <c r="V2535" s="213"/>
      <c r="W2535" s="213"/>
      <c r="X2535" s="213"/>
      <c r="Y2535" s="213"/>
      <c r="Z2535" s="3"/>
      <c r="AB2535" s="3">
        <v>19</v>
      </c>
      <c r="AC2535" s="60" t="s">
        <v>5455</v>
      </c>
      <c r="AD2535" s="2">
        <v>26.324811</v>
      </c>
      <c r="AE2535" s="40">
        <v>71.486903999999996</v>
      </c>
    </row>
    <row r="2536" spans="1:31" x14ac:dyDescent="0.25">
      <c r="A2536" s="38" t="s">
        <v>36</v>
      </c>
      <c r="B2536" s="38" t="s">
        <v>5376</v>
      </c>
      <c r="C2536" s="38" t="s">
        <v>5453</v>
      </c>
      <c r="D2536" s="38" t="s">
        <v>5456</v>
      </c>
      <c r="E2536" s="38" t="s">
        <v>5457</v>
      </c>
      <c r="F2536" s="38">
        <v>1904.47</v>
      </c>
      <c r="G2536" s="38">
        <v>1904.47</v>
      </c>
      <c r="H2536" s="38">
        <f t="shared" si="123"/>
        <v>729</v>
      </c>
      <c r="I2536" s="38">
        <v>483</v>
      </c>
      <c r="J2536" s="38">
        <v>246</v>
      </c>
      <c r="K2536" s="38">
        <v>237</v>
      </c>
      <c r="L2536" s="50">
        <f t="shared" si="124"/>
        <v>32.510288065843625</v>
      </c>
      <c r="M2536" s="38">
        <v>94</v>
      </c>
      <c r="N2536" s="50">
        <f t="shared" si="125"/>
        <v>12.894375857338819</v>
      </c>
      <c r="O2536" s="38">
        <v>16.47</v>
      </c>
      <c r="P2536" s="38">
        <v>0</v>
      </c>
      <c r="Q2536" s="98" t="s">
        <v>160</v>
      </c>
      <c r="R2536" s="7">
        <v>45158</v>
      </c>
      <c r="S2536" s="99"/>
      <c r="T2536" s="11">
        <v>0</v>
      </c>
      <c r="U2536" s="98"/>
      <c r="V2536" s="98"/>
      <c r="W2536" s="98"/>
      <c r="X2536" s="98"/>
      <c r="Y2536" s="98"/>
      <c r="Z2536" s="20"/>
      <c r="AB2536" s="20"/>
      <c r="AC2536" s="11" t="s">
        <v>5458</v>
      </c>
      <c r="AD2536" s="61"/>
      <c r="AE2536" s="99"/>
    </row>
    <row r="2537" spans="1:31" x14ac:dyDescent="0.25">
      <c r="A2537" s="38" t="s">
        <v>36</v>
      </c>
      <c r="B2537" s="38" t="s">
        <v>5376</v>
      </c>
      <c r="C2537" s="38" t="s">
        <v>5453</v>
      </c>
      <c r="D2537" s="38" t="s">
        <v>2145</v>
      </c>
      <c r="E2537" s="38" t="s">
        <v>5459</v>
      </c>
      <c r="F2537" s="38">
        <v>1314.08</v>
      </c>
      <c r="G2537" s="38">
        <v>1314.08</v>
      </c>
      <c r="H2537" s="38">
        <f t="shared" si="123"/>
        <v>1245</v>
      </c>
      <c r="I2537" s="38">
        <v>813</v>
      </c>
      <c r="J2537" s="38">
        <v>432</v>
      </c>
      <c r="K2537" s="38">
        <v>381</v>
      </c>
      <c r="L2537" s="50">
        <f t="shared" si="124"/>
        <v>30.602409638554217</v>
      </c>
      <c r="M2537" s="38">
        <v>0</v>
      </c>
      <c r="N2537" s="50">
        <f t="shared" si="125"/>
        <v>0</v>
      </c>
      <c r="O2537" s="38">
        <v>0</v>
      </c>
      <c r="P2537" s="38">
        <v>0</v>
      </c>
      <c r="Q2537" s="98" t="s">
        <v>160</v>
      </c>
      <c r="R2537" s="7">
        <v>45158</v>
      </c>
      <c r="S2537" s="99"/>
      <c r="T2537" s="11">
        <v>0</v>
      </c>
      <c r="U2537" s="98"/>
      <c r="V2537" s="98"/>
      <c r="W2537" s="98"/>
      <c r="X2537" s="98"/>
      <c r="Y2537" s="98"/>
      <c r="Z2537" s="20"/>
      <c r="AB2537" s="20"/>
      <c r="AC2537" s="11" t="s">
        <v>2145</v>
      </c>
      <c r="AD2537" s="61"/>
      <c r="AE2537" s="99"/>
    </row>
    <row r="2538" spans="1:31" x14ac:dyDescent="0.25">
      <c r="A2538" s="38" t="s">
        <v>36</v>
      </c>
      <c r="B2538" s="38" t="s">
        <v>5376</v>
      </c>
      <c r="C2538" s="38" t="s">
        <v>5453</v>
      </c>
      <c r="D2538" s="38" t="s">
        <v>5460</v>
      </c>
      <c r="E2538" s="38" t="s">
        <v>5461</v>
      </c>
      <c r="F2538" s="38">
        <v>1459.64</v>
      </c>
      <c r="G2538" s="38">
        <v>1459.64</v>
      </c>
      <c r="H2538" s="38">
        <f t="shared" si="123"/>
        <v>290</v>
      </c>
      <c r="I2538" s="38">
        <v>188</v>
      </c>
      <c r="J2538" s="38">
        <v>102</v>
      </c>
      <c r="K2538" s="38">
        <v>86</v>
      </c>
      <c r="L2538" s="50">
        <f t="shared" si="124"/>
        <v>29.655172413793103</v>
      </c>
      <c r="M2538" s="38">
        <v>4</v>
      </c>
      <c r="N2538" s="50">
        <f t="shared" si="125"/>
        <v>1.3793103448275863</v>
      </c>
      <c r="O2538" s="38">
        <v>0</v>
      </c>
      <c r="P2538" s="38">
        <v>2</v>
      </c>
      <c r="Q2538" s="98" t="s">
        <v>160</v>
      </c>
      <c r="R2538" s="7">
        <v>45158</v>
      </c>
      <c r="S2538" s="99"/>
      <c r="T2538" s="11">
        <v>83.53</v>
      </c>
      <c r="U2538" s="98"/>
      <c r="V2538" s="98"/>
      <c r="W2538" s="98"/>
      <c r="X2538" s="98"/>
      <c r="Y2538" s="98"/>
      <c r="Z2538" s="20"/>
      <c r="AB2538" s="20"/>
      <c r="AC2538" s="11" t="s">
        <v>5462</v>
      </c>
      <c r="AD2538" s="61"/>
      <c r="AE2538" s="99"/>
    </row>
    <row r="2539" spans="1:31" x14ac:dyDescent="0.25">
      <c r="A2539" s="38" t="s">
        <v>36</v>
      </c>
      <c r="B2539" s="41" t="s">
        <v>5376</v>
      </c>
      <c r="C2539" s="41" t="s">
        <v>5463</v>
      </c>
      <c r="D2539" s="41" t="s">
        <v>5464</v>
      </c>
      <c r="E2539" s="41" t="s">
        <v>5465</v>
      </c>
      <c r="F2539" s="41">
        <v>2859.14</v>
      </c>
      <c r="G2539" s="41">
        <v>2859.14</v>
      </c>
      <c r="H2539" s="38">
        <f t="shared" si="123"/>
        <v>904</v>
      </c>
      <c r="I2539" s="41">
        <v>594</v>
      </c>
      <c r="J2539" s="41">
        <v>310</v>
      </c>
      <c r="K2539" s="41">
        <v>284</v>
      </c>
      <c r="L2539" s="50">
        <f t="shared" si="124"/>
        <v>31.415929203539822</v>
      </c>
      <c r="M2539" s="41">
        <v>11</v>
      </c>
      <c r="N2539" s="50">
        <f t="shared" si="125"/>
        <v>1.2168141592920354</v>
      </c>
      <c r="O2539" s="41">
        <v>0</v>
      </c>
      <c r="P2539" s="41">
        <v>960</v>
      </c>
      <c r="Q2539" s="43" t="s">
        <v>44</v>
      </c>
      <c r="R2539" s="27">
        <v>45145</v>
      </c>
      <c r="S2539" s="44"/>
      <c r="T2539" s="44">
        <v>0</v>
      </c>
      <c r="U2539" s="43"/>
      <c r="V2539" s="43"/>
      <c r="W2539" s="43"/>
      <c r="X2539" s="43"/>
      <c r="Y2539" s="43"/>
      <c r="Z2539" s="5"/>
      <c r="AB2539" s="5">
        <v>100</v>
      </c>
      <c r="AC2539" s="45" t="s">
        <v>5464</v>
      </c>
      <c r="AD2539" s="44">
        <v>26.417731</v>
      </c>
      <c r="AE2539" s="44">
        <v>71.490744000000007</v>
      </c>
    </row>
    <row r="2540" spans="1:31" x14ac:dyDescent="0.25">
      <c r="A2540" s="38" t="s">
        <v>36</v>
      </c>
      <c r="B2540" s="41" t="s">
        <v>5376</v>
      </c>
      <c r="C2540" s="41" t="s">
        <v>5463</v>
      </c>
      <c r="D2540" s="41" t="s">
        <v>5466</v>
      </c>
      <c r="E2540" s="41" t="s">
        <v>5467</v>
      </c>
      <c r="F2540" s="41">
        <v>2552.15</v>
      </c>
      <c r="G2540" s="41">
        <v>2552.15</v>
      </c>
      <c r="H2540" s="38">
        <f t="shared" si="123"/>
        <v>1459</v>
      </c>
      <c r="I2540" s="41">
        <v>956</v>
      </c>
      <c r="J2540" s="41">
        <v>503</v>
      </c>
      <c r="K2540" s="41">
        <v>453</v>
      </c>
      <c r="L2540" s="50">
        <f t="shared" si="124"/>
        <v>31.048663468128858</v>
      </c>
      <c r="M2540" s="41">
        <v>101</v>
      </c>
      <c r="N2540" s="50">
        <f t="shared" si="125"/>
        <v>6.9225496915695679</v>
      </c>
      <c r="O2540" s="41">
        <v>0</v>
      </c>
      <c r="P2540" s="41">
        <v>4</v>
      </c>
      <c r="Q2540" s="43" t="s">
        <v>44</v>
      </c>
      <c r="R2540" s="27">
        <v>45145</v>
      </c>
      <c r="S2540" s="44"/>
      <c r="T2540" s="82">
        <v>0</v>
      </c>
      <c r="U2540" s="43"/>
      <c r="V2540" s="43"/>
      <c r="W2540" s="43"/>
      <c r="X2540" s="43"/>
      <c r="Y2540" s="43"/>
      <c r="Z2540" s="5"/>
      <c r="AB2540" s="5">
        <v>15</v>
      </c>
      <c r="AC2540" s="45" t="s">
        <v>5466</v>
      </c>
      <c r="AD2540" s="44">
        <v>26.379587999999998</v>
      </c>
      <c r="AE2540" s="44">
        <v>71.549535000000006</v>
      </c>
    </row>
    <row r="2541" spans="1:31" x14ac:dyDescent="0.25">
      <c r="A2541" s="38" t="s">
        <v>36</v>
      </c>
      <c r="B2541" s="38" t="s">
        <v>5376</v>
      </c>
      <c r="C2541" s="38" t="s">
        <v>5463</v>
      </c>
      <c r="D2541" s="38" t="s">
        <v>5468</v>
      </c>
      <c r="E2541" s="38" t="s">
        <v>5469</v>
      </c>
      <c r="F2541" s="38">
        <v>623.41999999999996</v>
      </c>
      <c r="G2541" s="38">
        <v>623.41999999999996</v>
      </c>
      <c r="H2541" s="38">
        <f t="shared" si="123"/>
        <v>440</v>
      </c>
      <c r="I2541" s="38">
        <v>279</v>
      </c>
      <c r="J2541" s="38">
        <v>161</v>
      </c>
      <c r="K2541" s="38">
        <v>118</v>
      </c>
      <c r="L2541" s="50">
        <f t="shared" si="124"/>
        <v>26.81818181818182</v>
      </c>
      <c r="M2541" s="38">
        <v>0</v>
      </c>
      <c r="N2541" s="50">
        <f t="shared" si="125"/>
        <v>0</v>
      </c>
      <c r="O2541" s="38">
        <v>0</v>
      </c>
      <c r="P2541" s="38">
        <v>0</v>
      </c>
    </row>
    <row r="2542" spans="1:31" x14ac:dyDescent="0.25">
      <c r="A2542" s="38" t="s">
        <v>36</v>
      </c>
      <c r="B2542" s="38" t="s">
        <v>5376</v>
      </c>
      <c r="C2542" s="38" t="s">
        <v>5463</v>
      </c>
      <c r="D2542" s="38" t="s">
        <v>1927</v>
      </c>
      <c r="E2542" s="38" t="s">
        <v>5470</v>
      </c>
      <c r="F2542" s="38">
        <v>962.42</v>
      </c>
      <c r="G2542" s="38">
        <v>962.42</v>
      </c>
      <c r="H2542" s="38">
        <f t="shared" si="123"/>
        <v>725</v>
      </c>
      <c r="I2542" s="38">
        <v>475</v>
      </c>
      <c r="J2542" s="38">
        <v>250</v>
      </c>
      <c r="K2542" s="38">
        <v>225</v>
      </c>
      <c r="L2542" s="50">
        <f t="shared" si="124"/>
        <v>31.03448275862069</v>
      </c>
      <c r="M2542" s="38">
        <v>1</v>
      </c>
      <c r="N2542" s="50">
        <f t="shared" si="125"/>
        <v>0.13793103448275862</v>
      </c>
      <c r="O2542" s="38">
        <v>0</v>
      </c>
      <c r="P2542" s="38">
        <v>0</v>
      </c>
      <c r="Q2542" s="39" t="s">
        <v>44</v>
      </c>
      <c r="R2542" s="25">
        <v>45145</v>
      </c>
      <c r="S2542" s="40"/>
      <c r="T2542" s="60">
        <v>0</v>
      </c>
      <c r="U2542" s="39"/>
      <c r="V2542" s="39"/>
      <c r="W2542" s="39"/>
      <c r="X2542" s="39"/>
      <c r="Y2542" s="39"/>
      <c r="Z2542" s="3"/>
      <c r="AB2542" s="3"/>
      <c r="AC2542" s="42" t="s">
        <v>1927</v>
      </c>
      <c r="AD2542" s="2"/>
      <c r="AE2542" s="40"/>
    </row>
    <row r="2543" spans="1:31" x14ac:dyDescent="0.25">
      <c r="A2543" s="38" t="s">
        <v>36</v>
      </c>
      <c r="B2543" s="41" t="s">
        <v>5376</v>
      </c>
      <c r="C2543" s="41" t="s">
        <v>5463</v>
      </c>
      <c r="D2543" s="41" t="s">
        <v>1927</v>
      </c>
      <c r="E2543" s="41" t="s">
        <v>5470</v>
      </c>
      <c r="F2543" s="41">
        <v>962.42</v>
      </c>
      <c r="G2543" s="41">
        <v>962.42</v>
      </c>
      <c r="H2543" s="38">
        <f t="shared" si="123"/>
        <v>725</v>
      </c>
      <c r="I2543" s="41">
        <v>475</v>
      </c>
      <c r="J2543" s="41">
        <v>250</v>
      </c>
      <c r="K2543" s="41">
        <v>225</v>
      </c>
      <c r="L2543" s="50">
        <f t="shared" si="124"/>
        <v>31.03448275862069</v>
      </c>
      <c r="M2543" s="41">
        <v>1</v>
      </c>
      <c r="N2543" s="50">
        <f t="shared" si="125"/>
        <v>0.13793103448275862</v>
      </c>
      <c r="O2543" s="41">
        <v>0</v>
      </c>
      <c r="P2543" s="41">
        <v>0</v>
      </c>
      <c r="Q2543" s="39" t="s">
        <v>44</v>
      </c>
      <c r="R2543" s="27">
        <v>45145</v>
      </c>
      <c r="S2543" s="44"/>
      <c r="T2543" s="82"/>
      <c r="U2543" s="39"/>
      <c r="V2543" s="39"/>
      <c r="W2543" s="39"/>
      <c r="X2543" s="39"/>
      <c r="Y2543" s="39"/>
      <c r="Z2543" s="205"/>
      <c r="AB2543" s="5">
        <v>21</v>
      </c>
      <c r="AC2543" s="45" t="s">
        <v>1927</v>
      </c>
      <c r="AD2543" s="44">
        <v>26.407140999999999</v>
      </c>
      <c r="AE2543" s="44">
        <v>71.506988000000007</v>
      </c>
    </row>
    <row r="2544" spans="1:31" x14ac:dyDescent="0.25">
      <c r="A2544" s="38" t="s">
        <v>36</v>
      </c>
      <c r="B2544" s="41" t="s">
        <v>5376</v>
      </c>
      <c r="C2544" s="41" t="s">
        <v>5463</v>
      </c>
      <c r="D2544" s="41" t="s">
        <v>5471</v>
      </c>
      <c r="E2544" s="41" t="s">
        <v>5472</v>
      </c>
      <c r="F2544" s="41">
        <v>1001.34</v>
      </c>
      <c r="G2544" s="41">
        <v>1001.34</v>
      </c>
      <c r="H2544" s="38">
        <f t="shared" si="123"/>
        <v>770</v>
      </c>
      <c r="I2544" s="41">
        <v>503</v>
      </c>
      <c r="J2544" s="41">
        <v>267</v>
      </c>
      <c r="K2544" s="41">
        <v>236</v>
      </c>
      <c r="L2544" s="50">
        <f t="shared" si="124"/>
        <v>30.649350649350648</v>
      </c>
      <c r="M2544" s="41">
        <v>38</v>
      </c>
      <c r="N2544" s="50">
        <f t="shared" si="125"/>
        <v>4.9350649350649354</v>
      </c>
      <c r="O2544" s="41">
        <v>0</v>
      </c>
      <c r="P2544" s="41">
        <v>0</v>
      </c>
      <c r="Q2544" s="39" t="s">
        <v>44</v>
      </c>
      <c r="R2544" s="27">
        <v>45145</v>
      </c>
      <c r="S2544" s="44"/>
      <c r="T2544" s="82"/>
      <c r="U2544" s="39"/>
      <c r="V2544" s="39"/>
      <c r="W2544" s="39"/>
      <c r="X2544" s="39"/>
      <c r="Y2544" s="39"/>
      <c r="Z2544" s="205"/>
      <c r="AB2544" s="5">
        <v>22</v>
      </c>
      <c r="AC2544" s="45" t="s">
        <v>5471</v>
      </c>
      <c r="AD2544" s="44">
        <v>26.401411</v>
      </c>
      <c r="AE2544" s="44">
        <v>71.491607999999999</v>
      </c>
    </row>
    <row r="2545" spans="1:31" x14ac:dyDescent="0.25">
      <c r="A2545" s="38" t="s">
        <v>36</v>
      </c>
      <c r="B2545" s="38" t="s">
        <v>5376</v>
      </c>
      <c r="C2545" s="38" t="s">
        <v>5463</v>
      </c>
      <c r="D2545" s="38" t="s">
        <v>5471</v>
      </c>
      <c r="E2545" s="38" t="s">
        <v>5472</v>
      </c>
      <c r="F2545" s="38">
        <v>1001.34</v>
      </c>
      <c r="G2545" s="38">
        <v>1001.34</v>
      </c>
      <c r="H2545" s="38">
        <f t="shared" si="123"/>
        <v>770</v>
      </c>
      <c r="I2545" s="38">
        <v>503</v>
      </c>
      <c r="J2545" s="38">
        <v>267</v>
      </c>
      <c r="K2545" s="38">
        <v>236</v>
      </c>
      <c r="L2545" s="50">
        <f t="shared" si="124"/>
        <v>30.649350649350648</v>
      </c>
      <c r="M2545" s="38">
        <v>38</v>
      </c>
      <c r="N2545" s="50">
        <f t="shared" si="125"/>
        <v>4.9350649350649354</v>
      </c>
      <c r="O2545" s="38">
        <v>0</v>
      </c>
      <c r="P2545" s="38">
        <v>0</v>
      </c>
      <c r="Q2545" s="39" t="s">
        <v>44</v>
      </c>
      <c r="R2545" s="25">
        <v>45145</v>
      </c>
      <c r="S2545" s="40"/>
      <c r="T2545" s="60">
        <v>0</v>
      </c>
      <c r="U2545" s="39"/>
      <c r="V2545" s="39"/>
      <c r="W2545" s="39"/>
      <c r="X2545" s="39"/>
      <c r="Y2545" s="39"/>
      <c r="Z2545" s="3"/>
      <c r="AB2545" s="3"/>
      <c r="AC2545" s="42" t="s">
        <v>5471</v>
      </c>
      <c r="AD2545" s="2"/>
      <c r="AE2545" s="40"/>
    </row>
    <row r="2546" spans="1:31" x14ac:dyDescent="0.25">
      <c r="A2546" s="38" t="s">
        <v>36</v>
      </c>
      <c r="B2546" s="38" t="s">
        <v>5376</v>
      </c>
      <c r="C2546" s="38" t="s">
        <v>5463</v>
      </c>
      <c r="D2546" s="38" t="s">
        <v>5473</v>
      </c>
      <c r="E2546" s="38" t="s">
        <v>5474</v>
      </c>
      <c r="F2546" s="38">
        <v>1039.28</v>
      </c>
      <c r="G2546" s="38">
        <v>1039.28</v>
      </c>
      <c r="H2546" s="38">
        <f t="shared" si="123"/>
        <v>486</v>
      </c>
      <c r="I2546" s="38">
        <v>319</v>
      </c>
      <c r="J2546" s="38">
        <v>167</v>
      </c>
      <c r="K2546" s="38">
        <v>152</v>
      </c>
      <c r="L2546" s="50">
        <f t="shared" si="124"/>
        <v>31.275720164609055</v>
      </c>
      <c r="M2546" s="38">
        <v>3</v>
      </c>
      <c r="N2546" s="50">
        <f t="shared" si="125"/>
        <v>0.61728395061728392</v>
      </c>
      <c r="O2546" s="38">
        <v>0</v>
      </c>
      <c r="P2546" s="38">
        <v>68</v>
      </c>
      <c r="Q2546" s="39" t="s">
        <v>44</v>
      </c>
      <c r="R2546" s="25">
        <v>45145</v>
      </c>
      <c r="S2546" s="40"/>
      <c r="T2546" s="60">
        <v>1.59</v>
      </c>
      <c r="U2546" s="39"/>
      <c r="V2546" s="39"/>
      <c r="W2546" s="39"/>
      <c r="X2546" s="39"/>
      <c r="Y2546" s="39"/>
      <c r="Z2546" s="3"/>
      <c r="AB2546" s="3"/>
      <c r="AC2546" s="42" t="s">
        <v>5473</v>
      </c>
      <c r="AD2546" s="2"/>
      <c r="AE2546" s="40"/>
    </row>
    <row r="2547" spans="1:31" x14ac:dyDescent="0.25">
      <c r="A2547" s="38" t="s">
        <v>36</v>
      </c>
      <c r="B2547" s="41" t="s">
        <v>5376</v>
      </c>
      <c r="C2547" s="41" t="s">
        <v>5463</v>
      </c>
      <c r="D2547" s="41" t="s">
        <v>5475</v>
      </c>
      <c r="E2547" s="41" t="s">
        <v>5476</v>
      </c>
      <c r="F2547" s="41">
        <v>923.95</v>
      </c>
      <c r="G2547" s="41">
        <v>923.95</v>
      </c>
      <c r="H2547" s="38">
        <f t="shared" si="123"/>
        <v>466</v>
      </c>
      <c r="I2547" s="41">
        <v>307</v>
      </c>
      <c r="J2547" s="41">
        <v>159</v>
      </c>
      <c r="K2547" s="41">
        <v>148</v>
      </c>
      <c r="L2547" s="50">
        <f t="shared" si="124"/>
        <v>31.759656652360512</v>
      </c>
      <c r="M2547" s="41">
        <v>0</v>
      </c>
      <c r="N2547" s="50">
        <f t="shared" si="125"/>
        <v>0</v>
      </c>
      <c r="O2547" s="41">
        <v>0</v>
      </c>
      <c r="P2547" s="41">
        <v>39</v>
      </c>
      <c r="Q2547" s="43" t="s">
        <v>44</v>
      </c>
      <c r="R2547" s="27">
        <v>45145</v>
      </c>
      <c r="S2547" s="44"/>
      <c r="T2547" s="82">
        <v>0.17</v>
      </c>
      <c r="U2547" s="43"/>
      <c r="V2547" s="43"/>
      <c r="W2547" s="43"/>
      <c r="X2547" s="43"/>
      <c r="Y2547" s="43"/>
      <c r="Z2547" s="5"/>
      <c r="AB2547" s="5">
        <v>38</v>
      </c>
      <c r="AC2547" s="45" t="s">
        <v>5475</v>
      </c>
      <c r="AD2547" s="44">
        <v>26.469075</v>
      </c>
      <c r="AE2547" s="44">
        <v>71.462075999999996</v>
      </c>
    </row>
    <row r="2548" spans="1:31" x14ac:dyDescent="0.25">
      <c r="A2548" s="38" t="s">
        <v>36</v>
      </c>
      <c r="B2548" s="38" t="s">
        <v>5376</v>
      </c>
      <c r="C2548" s="38" t="s">
        <v>5477</v>
      </c>
      <c r="D2548" s="38" t="s">
        <v>5477</v>
      </c>
      <c r="E2548" s="38" t="s">
        <v>5478</v>
      </c>
      <c r="F2548" s="38">
        <v>1815</v>
      </c>
      <c r="G2548" s="38">
        <v>1815</v>
      </c>
      <c r="H2548" s="38">
        <f t="shared" si="123"/>
        <v>2075</v>
      </c>
      <c r="I2548" s="38">
        <v>1365</v>
      </c>
      <c r="J2548" s="38">
        <v>710</v>
      </c>
      <c r="K2548" s="38">
        <v>655</v>
      </c>
      <c r="L2548" s="50">
        <f t="shared" si="124"/>
        <v>31.566265060240962</v>
      </c>
      <c r="M2548" s="38">
        <v>186</v>
      </c>
      <c r="N2548" s="50">
        <f t="shared" si="125"/>
        <v>8.9638554216867465</v>
      </c>
      <c r="O2548" s="38">
        <v>157</v>
      </c>
      <c r="P2548" s="38">
        <v>78</v>
      </c>
      <c r="Q2548" s="39" t="s">
        <v>44</v>
      </c>
      <c r="R2548" s="111">
        <v>45920</v>
      </c>
      <c r="S2548" s="40"/>
      <c r="T2548" s="11">
        <v>2.1299999999999999E-2</v>
      </c>
      <c r="U2548" s="39"/>
      <c r="V2548" s="39"/>
      <c r="W2548" s="39"/>
      <c r="X2548" s="39"/>
      <c r="Y2548" s="39"/>
      <c r="Z2548" s="3"/>
      <c r="AB2548" s="3"/>
      <c r="AC2548" s="38" t="s">
        <v>5477</v>
      </c>
      <c r="AD2548" s="2"/>
      <c r="AE2548" s="40"/>
    </row>
    <row r="2549" spans="1:31" x14ac:dyDescent="0.25">
      <c r="A2549" s="38" t="s">
        <v>36</v>
      </c>
      <c r="B2549" s="38" t="s">
        <v>5376</v>
      </c>
      <c r="C2549" s="38" t="s">
        <v>5477</v>
      </c>
      <c r="D2549" s="38" t="s">
        <v>5479</v>
      </c>
      <c r="E2549" s="38"/>
      <c r="F2549" s="38"/>
      <c r="G2549" s="38"/>
      <c r="H2549" s="38">
        <f t="shared" si="123"/>
        <v>0</v>
      </c>
      <c r="I2549" s="38"/>
      <c r="J2549" s="38"/>
      <c r="K2549" s="38"/>
      <c r="L2549" s="50"/>
      <c r="M2549" s="38"/>
      <c r="N2549" s="50"/>
      <c r="O2549" s="38"/>
      <c r="P2549" s="38"/>
      <c r="Q2549" s="39" t="s">
        <v>44</v>
      </c>
      <c r="R2549" s="111">
        <v>45920</v>
      </c>
      <c r="S2549" s="40"/>
      <c r="T2549" s="11">
        <v>1.34E-2</v>
      </c>
      <c r="U2549" s="39"/>
      <c r="V2549" s="39"/>
      <c r="W2549" s="39"/>
      <c r="X2549" s="39"/>
      <c r="Y2549" s="39"/>
      <c r="Z2549" s="3"/>
      <c r="AB2549" s="3"/>
      <c r="AC2549" s="38" t="s">
        <v>5479</v>
      </c>
      <c r="AD2549" s="2"/>
      <c r="AE2549" s="40"/>
    </row>
    <row r="2550" spans="1:31" x14ac:dyDescent="0.25">
      <c r="A2550" s="38" t="s">
        <v>36</v>
      </c>
      <c r="B2550" s="41" t="s">
        <v>5376</v>
      </c>
      <c r="C2550" s="41" t="s">
        <v>5477</v>
      </c>
      <c r="D2550" s="41" t="s">
        <v>5480</v>
      </c>
      <c r="E2550" s="41"/>
      <c r="F2550" s="41"/>
      <c r="G2550" s="41"/>
      <c r="H2550" s="38">
        <f t="shared" si="123"/>
        <v>0</v>
      </c>
      <c r="I2550" s="41"/>
      <c r="J2550" s="41"/>
      <c r="K2550" s="41"/>
      <c r="L2550" s="50"/>
      <c r="M2550" s="41"/>
      <c r="N2550" s="50"/>
      <c r="O2550" s="41"/>
      <c r="P2550" s="41"/>
      <c r="Q2550" s="43" t="s">
        <v>44</v>
      </c>
      <c r="R2550" s="119">
        <v>45920</v>
      </c>
      <c r="S2550" s="44"/>
      <c r="T2550" s="18">
        <v>77.9666</v>
      </c>
      <c r="U2550" s="43"/>
      <c r="V2550" s="43"/>
      <c r="W2550" s="43"/>
      <c r="X2550" s="43"/>
      <c r="Y2550" s="43"/>
      <c r="Z2550" s="5"/>
      <c r="AB2550" s="5">
        <v>35</v>
      </c>
      <c r="AC2550" s="41" t="s">
        <v>5480</v>
      </c>
      <c r="AD2550" s="44">
        <v>26.299597299999999</v>
      </c>
      <c r="AE2550" s="44">
        <v>71.683981500000002</v>
      </c>
    </row>
    <row r="2551" spans="1:31" x14ac:dyDescent="0.25">
      <c r="A2551" s="38" t="s">
        <v>36</v>
      </c>
      <c r="B2551" s="41" t="s">
        <v>5376</v>
      </c>
      <c r="C2551" s="41" t="s">
        <v>5477</v>
      </c>
      <c r="D2551" s="41" t="s">
        <v>1480</v>
      </c>
      <c r="E2551" s="41" t="s">
        <v>5481</v>
      </c>
      <c r="F2551" s="41">
        <v>817</v>
      </c>
      <c r="G2551" s="41">
        <v>817</v>
      </c>
      <c r="H2551" s="38">
        <f t="shared" si="123"/>
        <v>1188</v>
      </c>
      <c r="I2551" s="41">
        <v>786</v>
      </c>
      <c r="J2551" s="41">
        <v>402</v>
      </c>
      <c r="K2551" s="41">
        <v>384</v>
      </c>
      <c r="L2551" s="50">
        <f t="shared" si="124"/>
        <v>32.323232323232325</v>
      </c>
      <c r="M2551" s="41">
        <v>0</v>
      </c>
      <c r="N2551" s="50">
        <f t="shared" si="125"/>
        <v>0</v>
      </c>
      <c r="O2551" s="41">
        <v>0</v>
      </c>
      <c r="P2551" s="41">
        <v>28</v>
      </c>
      <c r="Q2551" s="43" t="s">
        <v>44</v>
      </c>
      <c r="R2551" s="119">
        <v>45920</v>
      </c>
      <c r="S2551" s="44"/>
      <c r="T2551" s="18">
        <v>28.279399999999999</v>
      </c>
      <c r="U2551" s="43"/>
      <c r="V2551" s="43"/>
      <c r="W2551" s="43"/>
      <c r="X2551" s="43"/>
      <c r="Y2551" s="43"/>
      <c r="Z2551" s="5"/>
      <c r="AB2551" s="5">
        <v>25</v>
      </c>
      <c r="AC2551" s="41" t="s">
        <v>1480</v>
      </c>
      <c r="AD2551" s="44">
        <v>26.293741700000002</v>
      </c>
      <c r="AE2551" s="44">
        <v>71.725107199999997</v>
      </c>
    </row>
    <row r="2552" spans="1:31" x14ac:dyDescent="0.25">
      <c r="A2552" s="38" t="s">
        <v>36</v>
      </c>
      <c r="B2552" s="41" t="s">
        <v>5376</v>
      </c>
      <c r="C2552" s="41" t="s">
        <v>5482</v>
      </c>
      <c r="D2552" s="41" t="s">
        <v>5483</v>
      </c>
      <c r="E2552" s="41" t="s">
        <v>5484</v>
      </c>
      <c r="F2552" s="41">
        <v>1593</v>
      </c>
      <c r="G2552" s="41">
        <v>1593</v>
      </c>
      <c r="H2552" s="38">
        <f t="shared" si="123"/>
        <v>1090</v>
      </c>
      <c r="I2552" s="41">
        <v>729</v>
      </c>
      <c r="J2552" s="41">
        <v>361</v>
      </c>
      <c r="K2552" s="41">
        <v>368</v>
      </c>
      <c r="L2552" s="50">
        <f t="shared" si="124"/>
        <v>33.761467889908261</v>
      </c>
      <c r="M2552" s="41">
        <v>78</v>
      </c>
      <c r="N2552" s="50">
        <f t="shared" si="125"/>
        <v>7.1559633027522942</v>
      </c>
      <c r="O2552" s="41">
        <v>0</v>
      </c>
      <c r="P2552" s="41">
        <v>220</v>
      </c>
      <c r="Q2552" s="213" t="s">
        <v>160</v>
      </c>
      <c r="R2552" s="24">
        <v>45143</v>
      </c>
      <c r="S2552" s="214"/>
      <c r="T2552" s="18">
        <v>65.979799999999997</v>
      </c>
      <c r="U2552" s="213"/>
      <c r="V2552" s="213"/>
      <c r="W2552" s="213"/>
      <c r="X2552" s="213"/>
      <c r="Y2552" s="213"/>
      <c r="Z2552" s="215"/>
      <c r="AB2552" s="215">
        <v>60</v>
      </c>
      <c r="AC2552" s="18" t="s">
        <v>5485</v>
      </c>
      <c r="AD2552" s="214">
        <v>26.436136399999999</v>
      </c>
      <c r="AE2552" s="214">
        <v>71.357004500000002</v>
      </c>
    </row>
    <row r="2553" spans="1:31" x14ac:dyDescent="0.25">
      <c r="A2553" s="38" t="s">
        <v>36</v>
      </c>
      <c r="B2553" s="38" t="s">
        <v>5376</v>
      </c>
      <c r="C2553" s="38" t="s">
        <v>5482</v>
      </c>
      <c r="D2553" s="11" t="s">
        <v>5486</v>
      </c>
      <c r="E2553" s="38"/>
      <c r="F2553" s="38"/>
      <c r="G2553" s="38"/>
      <c r="H2553" s="38">
        <f t="shared" si="123"/>
        <v>0</v>
      </c>
      <c r="I2553" s="38"/>
      <c r="J2553" s="38"/>
      <c r="K2553" s="38"/>
      <c r="L2553" s="50"/>
      <c r="M2553" s="38"/>
      <c r="N2553" s="50"/>
      <c r="O2553" s="38"/>
      <c r="P2553" s="38"/>
      <c r="Q2553" s="98" t="s">
        <v>160</v>
      </c>
      <c r="R2553" s="7">
        <v>45143</v>
      </c>
      <c r="S2553" s="99"/>
      <c r="T2553" s="11">
        <v>0</v>
      </c>
      <c r="U2553" s="98"/>
      <c r="V2553" s="98"/>
      <c r="W2553" s="98"/>
      <c r="X2553" s="98"/>
      <c r="Y2553" s="98"/>
      <c r="Z2553" s="20"/>
      <c r="AB2553" s="20"/>
      <c r="AC2553" s="11" t="s">
        <v>5486</v>
      </c>
      <c r="AD2553" s="61"/>
      <c r="AE2553" s="99"/>
    </row>
    <row r="2554" spans="1:31" x14ac:dyDescent="0.25">
      <c r="A2554" s="38" t="s">
        <v>36</v>
      </c>
      <c r="B2554" s="38" t="s">
        <v>5376</v>
      </c>
      <c r="C2554" s="38" t="s">
        <v>5482</v>
      </c>
      <c r="D2554" s="11" t="s">
        <v>2139</v>
      </c>
      <c r="E2554" s="38"/>
      <c r="F2554" s="38"/>
      <c r="G2554" s="38"/>
      <c r="H2554" s="38">
        <f t="shared" si="123"/>
        <v>0</v>
      </c>
      <c r="I2554" s="38"/>
      <c r="J2554" s="38"/>
      <c r="K2554" s="38"/>
      <c r="L2554" s="50"/>
      <c r="M2554" s="38"/>
      <c r="N2554" s="50"/>
      <c r="O2554" s="38"/>
      <c r="P2554" s="38"/>
      <c r="Q2554" s="98" t="s">
        <v>160</v>
      </c>
      <c r="R2554" s="7">
        <v>45143</v>
      </c>
      <c r="S2554" s="99"/>
      <c r="T2554" s="11">
        <v>0</v>
      </c>
      <c r="U2554" s="98"/>
      <c r="V2554" s="98"/>
      <c r="W2554" s="98"/>
      <c r="X2554" s="98"/>
      <c r="Y2554" s="98"/>
      <c r="Z2554" s="20"/>
      <c r="AB2554" s="20"/>
      <c r="AC2554" s="11" t="s">
        <v>2139</v>
      </c>
      <c r="AD2554" s="61"/>
      <c r="AE2554" s="99"/>
    </row>
    <row r="2555" spans="1:31" x14ac:dyDescent="0.25">
      <c r="A2555" s="38" t="s">
        <v>36</v>
      </c>
      <c r="B2555" s="38" t="s">
        <v>5376</v>
      </c>
      <c r="C2555" s="38" t="s">
        <v>5482</v>
      </c>
      <c r="D2555" s="38" t="s">
        <v>5487</v>
      </c>
      <c r="E2555" s="38" t="s">
        <v>5488</v>
      </c>
      <c r="F2555" s="38">
        <v>837</v>
      </c>
      <c r="G2555" s="38">
        <v>837</v>
      </c>
      <c r="H2555" s="38">
        <f t="shared" si="123"/>
        <v>276</v>
      </c>
      <c r="I2555" s="38">
        <v>180</v>
      </c>
      <c r="J2555" s="38">
        <v>96</v>
      </c>
      <c r="K2555" s="38">
        <v>84</v>
      </c>
      <c r="L2555" s="50">
        <f t="shared" si="124"/>
        <v>30.434782608695656</v>
      </c>
      <c r="M2555" s="38">
        <v>0</v>
      </c>
      <c r="N2555" s="50">
        <f t="shared" si="125"/>
        <v>0</v>
      </c>
      <c r="O2555" s="38">
        <v>0</v>
      </c>
      <c r="P2555" s="38">
        <v>36</v>
      </c>
      <c r="Q2555" s="98" t="s">
        <v>160</v>
      </c>
      <c r="R2555" s="7">
        <v>45143</v>
      </c>
      <c r="S2555" s="99"/>
      <c r="T2555" s="11">
        <v>70.212900000000005</v>
      </c>
      <c r="U2555" s="98"/>
      <c r="V2555" s="98"/>
      <c r="W2555" s="98"/>
      <c r="X2555" s="98"/>
      <c r="Y2555" s="98"/>
      <c r="Z2555" s="20"/>
      <c r="AB2555" s="20"/>
      <c r="AC2555" s="11" t="s">
        <v>2135</v>
      </c>
      <c r="AD2555" s="61"/>
      <c r="AE2555" s="99"/>
    </row>
    <row r="2556" spans="1:31" x14ac:dyDescent="0.25">
      <c r="A2556" s="38" t="s">
        <v>36</v>
      </c>
      <c r="B2556" s="38" t="s">
        <v>5376</v>
      </c>
      <c r="C2556" s="38" t="s">
        <v>5482</v>
      </c>
      <c r="D2556" s="38" t="s">
        <v>5489</v>
      </c>
      <c r="E2556" s="38" t="s">
        <v>5490</v>
      </c>
      <c r="F2556" s="38">
        <v>582</v>
      </c>
      <c r="G2556" s="38">
        <v>582</v>
      </c>
      <c r="H2556" s="38">
        <f t="shared" si="123"/>
        <v>317</v>
      </c>
      <c r="I2556" s="38">
        <v>218</v>
      </c>
      <c r="J2556" s="38">
        <v>99</v>
      </c>
      <c r="K2556" s="38">
        <v>119</v>
      </c>
      <c r="L2556" s="50">
        <f t="shared" si="124"/>
        <v>37.539432176656149</v>
      </c>
      <c r="M2556" s="38">
        <v>0</v>
      </c>
      <c r="N2556" s="50">
        <f t="shared" si="125"/>
        <v>0</v>
      </c>
      <c r="O2556" s="38">
        <v>0</v>
      </c>
      <c r="P2556" s="38">
        <v>0</v>
      </c>
      <c r="Q2556" s="98" t="s">
        <v>160</v>
      </c>
      <c r="R2556" s="7">
        <v>45143</v>
      </c>
      <c r="S2556" s="99"/>
      <c r="T2556" s="11">
        <v>0</v>
      </c>
      <c r="U2556" s="98"/>
      <c r="V2556" s="98"/>
      <c r="W2556" s="98"/>
      <c r="X2556" s="98"/>
      <c r="Y2556" s="98"/>
      <c r="Z2556" s="20"/>
      <c r="AB2556" s="20"/>
      <c r="AC2556" s="11" t="s">
        <v>2137</v>
      </c>
      <c r="AD2556" s="61"/>
      <c r="AE2556" s="99"/>
    </row>
    <row r="2557" spans="1:31" x14ac:dyDescent="0.25">
      <c r="A2557" s="38" t="s">
        <v>36</v>
      </c>
      <c r="B2557" s="38" t="s">
        <v>5376</v>
      </c>
      <c r="C2557" s="38" t="s">
        <v>5482</v>
      </c>
      <c r="D2557" s="38" t="s">
        <v>5491</v>
      </c>
      <c r="E2557" s="38" t="s">
        <v>5492</v>
      </c>
      <c r="F2557" s="38">
        <v>1308</v>
      </c>
      <c r="G2557" s="38">
        <v>1308</v>
      </c>
      <c r="H2557" s="38">
        <f t="shared" si="123"/>
        <v>722</v>
      </c>
      <c r="I2557" s="38">
        <v>466</v>
      </c>
      <c r="J2557" s="38">
        <v>256</v>
      </c>
      <c r="K2557" s="38">
        <v>210</v>
      </c>
      <c r="L2557" s="50">
        <f t="shared" si="124"/>
        <v>29.085872576177284</v>
      </c>
      <c r="M2557" s="38">
        <v>0</v>
      </c>
      <c r="N2557" s="50">
        <f t="shared" si="125"/>
        <v>0</v>
      </c>
      <c r="O2557" s="38">
        <v>0</v>
      </c>
      <c r="P2557" s="38">
        <v>10</v>
      </c>
      <c r="Q2557" s="98" t="s">
        <v>160</v>
      </c>
      <c r="R2557" s="7">
        <v>45143</v>
      </c>
      <c r="S2557" s="99"/>
      <c r="T2557" s="11">
        <v>0</v>
      </c>
      <c r="U2557" s="98"/>
      <c r="V2557" s="98"/>
      <c r="W2557" s="98"/>
      <c r="X2557" s="98"/>
      <c r="Y2557" s="98"/>
      <c r="Z2557" s="20"/>
      <c r="AB2557" s="20"/>
      <c r="AC2557" s="11" t="s">
        <v>5491</v>
      </c>
      <c r="AD2557" s="61"/>
      <c r="AE2557" s="99"/>
    </row>
    <row r="2558" spans="1:31" x14ac:dyDescent="0.25">
      <c r="A2558" s="38" t="s">
        <v>36</v>
      </c>
      <c r="B2558" s="38" t="s">
        <v>5376</v>
      </c>
      <c r="C2558" s="38" t="s">
        <v>5482</v>
      </c>
      <c r="D2558" s="38" t="s">
        <v>5493</v>
      </c>
      <c r="E2558" s="38" t="s">
        <v>5494</v>
      </c>
      <c r="F2558" s="38">
        <v>2712</v>
      </c>
      <c r="G2558" s="38">
        <v>2712</v>
      </c>
      <c r="H2558" s="38">
        <f t="shared" si="123"/>
        <v>1955</v>
      </c>
      <c r="I2558" s="38">
        <v>1279</v>
      </c>
      <c r="J2558" s="38">
        <v>676</v>
      </c>
      <c r="K2558" s="38">
        <v>603</v>
      </c>
      <c r="L2558" s="50">
        <f t="shared" si="124"/>
        <v>30.843989769820972</v>
      </c>
      <c r="M2558" s="38">
        <v>61</v>
      </c>
      <c r="N2558" s="50">
        <f t="shared" si="125"/>
        <v>3.1202046035805626</v>
      </c>
      <c r="O2558" s="38">
        <v>0</v>
      </c>
      <c r="P2558" s="38">
        <v>0</v>
      </c>
      <c r="Q2558" s="98" t="s">
        <v>160</v>
      </c>
      <c r="R2558" s="7">
        <v>45143</v>
      </c>
      <c r="S2558" s="99"/>
      <c r="T2558" s="11">
        <v>0</v>
      </c>
      <c r="U2558" s="98"/>
      <c r="V2558" s="98"/>
      <c r="W2558" s="98"/>
      <c r="X2558" s="98"/>
      <c r="Y2558" s="98"/>
      <c r="Z2558" s="20"/>
      <c r="AB2558" s="20"/>
      <c r="AC2558" s="11" t="s">
        <v>2133</v>
      </c>
      <c r="AD2558" s="61"/>
      <c r="AE2558" s="99"/>
    </row>
    <row r="2559" spans="1:31" x14ac:dyDescent="0.25">
      <c r="A2559" s="38" t="s">
        <v>36</v>
      </c>
      <c r="B2559" s="38" t="s">
        <v>5376</v>
      </c>
      <c r="C2559" s="38" t="s">
        <v>5482</v>
      </c>
      <c r="D2559" s="38" t="s">
        <v>5495</v>
      </c>
      <c r="E2559" s="38" t="s">
        <v>5496</v>
      </c>
      <c r="F2559" s="38">
        <v>1872</v>
      </c>
      <c r="G2559" s="38">
        <v>1872</v>
      </c>
      <c r="H2559" s="38">
        <f t="shared" si="123"/>
        <v>829</v>
      </c>
      <c r="I2559" s="38">
        <v>538</v>
      </c>
      <c r="J2559" s="38">
        <v>291</v>
      </c>
      <c r="K2559" s="38">
        <v>247</v>
      </c>
      <c r="L2559" s="50">
        <f t="shared" si="124"/>
        <v>29.794933655006034</v>
      </c>
      <c r="M2559" s="38">
        <v>0</v>
      </c>
      <c r="N2559" s="50">
        <f t="shared" si="125"/>
        <v>0</v>
      </c>
      <c r="O2559" s="38">
        <v>5</v>
      </c>
      <c r="P2559" s="38">
        <v>421</v>
      </c>
      <c r="Q2559" s="98" t="s">
        <v>160</v>
      </c>
      <c r="R2559" s="7">
        <v>45143</v>
      </c>
      <c r="S2559" s="99"/>
      <c r="T2559" s="11">
        <v>40.889400000000002</v>
      </c>
      <c r="U2559" s="98"/>
      <c r="V2559" s="98"/>
      <c r="W2559" s="98"/>
      <c r="X2559" s="98"/>
      <c r="Y2559" s="98"/>
      <c r="Z2559" s="20"/>
      <c r="AB2559" s="20"/>
      <c r="AC2559" s="11" t="s">
        <v>5497</v>
      </c>
      <c r="AD2559" s="61"/>
      <c r="AE2559" s="99"/>
    </row>
    <row r="2560" spans="1:31" x14ac:dyDescent="0.25">
      <c r="A2560" s="38" t="s">
        <v>36</v>
      </c>
      <c r="B2560" s="41" t="s">
        <v>5376</v>
      </c>
      <c r="C2560" s="41" t="s">
        <v>5498</v>
      </c>
      <c r="D2560" s="41" t="s">
        <v>5499</v>
      </c>
      <c r="E2560" s="41" t="s">
        <v>5500</v>
      </c>
      <c r="F2560" s="41">
        <v>1743</v>
      </c>
      <c r="G2560" s="41">
        <v>1743</v>
      </c>
      <c r="H2560" s="38">
        <f t="shared" si="123"/>
        <v>1591</v>
      </c>
      <c r="I2560" s="18">
        <v>1036</v>
      </c>
      <c r="J2560" s="18">
        <v>555</v>
      </c>
      <c r="K2560" s="18">
        <v>481</v>
      </c>
      <c r="L2560" s="50">
        <f t="shared" si="124"/>
        <v>30.232558139534881</v>
      </c>
      <c r="M2560" s="18">
        <v>48</v>
      </c>
      <c r="N2560" s="50">
        <f t="shared" si="125"/>
        <v>3.0169704588309241</v>
      </c>
      <c r="O2560" s="41">
        <v>0</v>
      </c>
      <c r="P2560" s="41">
        <v>273</v>
      </c>
      <c r="Q2560" s="43" t="s">
        <v>44</v>
      </c>
      <c r="R2560" s="24">
        <v>45292</v>
      </c>
      <c r="S2560" s="44"/>
      <c r="T2560" s="18">
        <v>278.65809999999999</v>
      </c>
      <c r="U2560" s="43"/>
      <c r="V2560" s="43"/>
      <c r="W2560" s="43"/>
      <c r="X2560" s="43"/>
      <c r="Y2560" s="43"/>
      <c r="Z2560" s="5"/>
      <c r="AB2560" s="5">
        <v>17</v>
      </c>
      <c r="AC2560" s="41" t="s">
        <v>5499</v>
      </c>
      <c r="AD2560" s="44">
        <v>26.4035124</v>
      </c>
      <c r="AE2560" s="44">
        <v>71.3350449</v>
      </c>
    </row>
    <row r="2561" spans="1:31" x14ac:dyDescent="0.25">
      <c r="A2561" s="38" t="s">
        <v>36</v>
      </c>
      <c r="B2561" s="38" t="s">
        <v>5376</v>
      </c>
      <c r="C2561" s="38" t="s">
        <v>5498</v>
      </c>
      <c r="D2561" s="38" t="s">
        <v>5501</v>
      </c>
      <c r="E2561" s="38" t="s">
        <v>5502</v>
      </c>
      <c r="F2561" s="38">
        <v>2574</v>
      </c>
      <c r="G2561" s="38">
        <v>2574</v>
      </c>
      <c r="H2561" s="38">
        <f t="shared" si="123"/>
        <v>1107</v>
      </c>
      <c r="I2561" s="38">
        <v>736</v>
      </c>
      <c r="J2561" s="38">
        <v>371</v>
      </c>
      <c r="K2561" s="38">
        <v>365</v>
      </c>
      <c r="L2561" s="50">
        <f t="shared" si="124"/>
        <v>32.971996386630529</v>
      </c>
      <c r="M2561" s="38">
        <v>0</v>
      </c>
      <c r="N2561" s="50">
        <f t="shared" si="125"/>
        <v>0</v>
      </c>
      <c r="O2561" s="38">
        <v>0</v>
      </c>
      <c r="P2561" s="38">
        <v>90</v>
      </c>
      <c r="Q2561" s="39" t="s">
        <v>44</v>
      </c>
      <c r="R2561" s="7">
        <v>45292</v>
      </c>
      <c r="S2561" s="40"/>
      <c r="T2561" s="11">
        <v>87.501099999999994</v>
      </c>
      <c r="U2561" s="39"/>
      <c r="V2561" s="39"/>
      <c r="W2561" s="39"/>
      <c r="X2561" s="39"/>
      <c r="Y2561" s="39"/>
      <c r="Z2561" s="3"/>
      <c r="AB2561" s="3"/>
      <c r="AC2561" s="38" t="s">
        <v>5501</v>
      </c>
      <c r="AD2561" s="2"/>
      <c r="AE2561" s="40"/>
    </row>
    <row r="2562" spans="1:31" x14ac:dyDescent="0.25">
      <c r="A2562" s="38" t="s">
        <v>36</v>
      </c>
      <c r="B2562" s="38" t="s">
        <v>5376</v>
      </c>
      <c r="C2562" s="38" t="s">
        <v>5498</v>
      </c>
      <c r="D2562" s="38" t="s">
        <v>5503</v>
      </c>
      <c r="E2562" s="38" t="s">
        <v>5504</v>
      </c>
      <c r="F2562" s="38">
        <v>1886</v>
      </c>
      <c r="G2562" s="38">
        <v>1886</v>
      </c>
      <c r="H2562" s="38">
        <f t="shared" si="123"/>
        <v>637</v>
      </c>
      <c r="I2562" s="38">
        <v>413</v>
      </c>
      <c r="J2562" s="38">
        <v>224</v>
      </c>
      <c r="K2562" s="38">
        <v>189</v>
      </c>
      <c r="L2562" s="50">
        <f t="shared" si="124"/>
        <v>29.670329670329672</v>
      </c>
      <c r="M2562" s="38">
        <v>0</v>
      </c>
      <c r="N2562" s="50">
        <f t="shared" si="125"/>
        <v>0</v>
      </c>
      <c r="O2562" s="38">
        <v>0</v>
      </c>
      <c r="P2562" s="38">
        <v>13</v>
      </c>
      <c r="Q2562" s="98" t="s">
        <v>44</v>
      </c>
      <c r="R2562" s="7">
        <v>45292</v>
      </c>
      <c r="S2562" s="99"/>
      <c r="T2562" s="11">
        <v>0</v>
      </c>
      <c r="U2562" s="98"/>
      <c r="V2562" s="98"/>
      <c r="W2562" s="98"/>
      <c r="X2562" s="98"/>
      <c r="Y2562" s="98"/>
      <c r="Z2562" s="20"/>
      <c r="AB2562" s="61"/>
      <c r="AC2562" s="38" t="s">
        <v>5503</v>
      </c>
      <c r="AD2562" s="61"/>
      <c r="AE2562" s="99"/>
    </row>
    <row r="2563" spans="1:31" x14ac:dyDescent="0.25">
      <c r="A2563" s="38" t="s">
        <v>36</v>
      </c>
      <c r="B2563" s="38" t="s">
        <v>5376</v>
      </c>
      <c r="C2563" s="38" t="s">
        <v>5498</v>
      </c>
      <c r="D2563" s="38" t="s">
        <v>2126</v>
      </c>
      <c r="E2563" s="38" t="s">
        <v>5505</v>
      </c>
      <c r="F2563" s="38">
        <v>1776</v>
      </c>
      <c r="G2563" s="38">
        <v>1776</v>
      </c>
      <c r="H2563" s="38">
        <f t="shared" si="123"/>
        <v>767</v>
      </c>
      <c r="I2563" s="38">
        <v>497</v>
      </c>
      <c r="J2563" s="38">
        <v>270</v>
      </c>
      <c r="K2563" s="38">
        <v>227</v>
      </c>
      <c r="L2563" s="50">
        <f t="shared" si="124"/>
        <v>29.595827900912646</v>
      </c>
      <c r="M2563" s="38">
        <v>29</v>
      </c>
      <c r="N2563" s="50">
        <f t="shared" si="125"/>
        <v>3.7809647979139509</v>
      </c>
      <c r="O2563" s="38">
        <v>0</v>
      </c>
      <c r="P2563" s="38">
        <v>0</v>
      </c>
      <c r="Q2563" s="98" t="s">
        <v>44</v>
      </c>
      <c r="R2563" s="7">
        <v>45292</v>
      </c>
      <c r="S2563" s="99"/>
      <c r="T2563" s="11">
        <v>0.1133</v>
      </c>
      <c r="U2563" s="98"/>
      <c r="V2563" s="98"/>
      <c r="W2563" s="98"/>
      <c r="X2563" s="98"/>
      <c r="Y2563" s="98"/>
      <c r="Z2563" s="20"/>
      <c r="AB2563" s="61"/>
      <c r="AC2563" s="38" t="s">
        <v>2126</v>
      </c>
      <c r="AD2563" s="61"/>
      <c r="AE2563" s="99"/>
    </row>
    <row r="2564" spans="1:31" x14ac:dyDescent="0.25">
      <c r="A2564" s="38" t="s">
        <v>36</v>
      </c>
      <c r="B2564" s="38" t="s">
        <v>5376</v>
      </c>
      <c r="C2564" s="38" t="s">
        <v>5498</v>
      </c>
      <c r="D2564" s="38" t="s">
        <v>5506</v>
      </c>
      <c r="E2564" s="38" t="s">
        <v>5507</v>
      </c>
      <c r="F2564" s="38">
        <v>1455</v>
      </c>
      <c r="G2564" s="38">
        <v>1455</v>
      </c>
      <c r="H2564" s="38">
        <f t="shared" si="123"/>
        <v>863</v>
      </c>
      <c r="I2564" s="38">
        <v>566</v>
      </c>
      <c r="J2564" s="38">
        <v>297</v>
      </c>
      <c r="K2564" s="38">
        <v>269</v>
      </c>
      <c r="L2564" s="50">
        <f t="shared" si="124"/>
        <v>31.170336037079956</v>
      </c>
      <c r="M2564" s="38">
        <v>37</v>
      </c>
      <c r="N2564" s="50">
        <f t="shared" si="125"/>
        <v>4.2873696407879489</v>
      </c>
      <c r="O2564" s="38">
        <v>0</v>
      </c>
      <c r="P2564" s="38">
        <v>0</v>
      </c>
      <c r="Q2564" s="98" t="s">
        <v>44</v>
      </c>
      <c r="R2564" s="7">
        <v>45292</v>
      </c>
      <c r="S2564" s="99"/>
      <c r="T2564" s="11">
        <v>0</v>
      </c>
      <c r="U2564" s="98"/>
      <c r="V2564" s="98"/>
      <c r="W2564" s="98"/>
      <c r="X2564" s="98"/>
      <c r="Y2564" s="98"/>
      <c r="Z2564" s="20"/>
      <c r="AB2564" s="61"/>
      <c r="AC2564" s="38" t="s">
        <v>5506</v>
      </c>
      <c r="AD2564" s="61"/>
      <c r="AE2564" s="99"/>
    </row>
    <row r="2565" spans="1:31" x14ac:dyDescent="0.25">
      <c r="A2565" s="38" t="s">
        <v>36</v>
      </c>
      <c r="B2565" s="38" t="s">
        <v>5376</v>
      </c>
      <c r="C2565" s="38" t="s">
        <v>5498</v>
      </c>
      <c r="D2565" s="38" t="s">
        <v>5508</v>
      </c>
      <c r="E2565" s="38" t="s">
        <v>5509</v>
      </c>
      <c r="F2565" s="38">
        <v>1234</v>
      </c>
      <c r="G2565" s="38">
        <v>1234</v>
      </c>
      <c r="H2565" s="38">
        <f t="shared" ref="H2565:H2628" si="126">I2565+J2565</f>
        <v>686</v>
      </c>
      <c r="I2565" s="38">
        <v>449</v>
      </c>
      <c r="J2565" s="38">
        <v>237</v>
      </c>
      <c r="K2565" s="38">
        <v>212</v>
      </c>
      <c r="L2565" s="50">
        <f t="shared" si="124"/>
        <v>30.903790087463555</v>
      </c>
      <c r="M2565" s="38">
        <v>3</v>
      </c>
      <c r="N2565" s="50">
        <f t="shared" si="125"/>
        <v>0.43731778425655976</v>
      </c>
      <c r="O2565" s="38">
        <v>0</v>
      </c>
      <c r="P2565" s="38">
        <v>54</v>
      </c>
      <c r="Q2565" s="98" t="s">
        <v>44</v>
      </c>
      <c r="R2565" s="7">
        <v>45292</v>
      </c>
      <c r="S2565" s="99"/>
      <c r="T2565" s="11">
        <v>0</v>
      </c>
      <c r="U2565" s="98"/>
      <c r="V2565" s="98"/>
      <c r="W2565" s="98"/>
      <c r="X2565" s="98"/>
      <c r="Y2565" s="98"/>
      <c r="Z2565" s="20"/>
      <c r="AB2565" s="61"/>
      <c r="AC2565" s="38" t="s">
        <v>5508</v>
      </c>
      <c r="AD2565" s="61"/>
      <c r="AE2565" s="99"/>
    </row>
    <row r="2566" spans="1:31" x14ac:dyDescent="0.25">
      <c r="A2566" s="38" t="s">
        <v>36</v>
      </c>
      <c r="B2566" s="41" t="s">
        <v>5376</v>
      </c>
      <c r="C2566" s="41" t="s">
        <v>5510</v>
      </c>
      <c r="D2566" s="41" t="s">
        <v>5511</v>
      </c>
      <c r="E2566" s="41" t="s">
        <v>5512</v>
      </c>
      <c r="F2566" s="41">
        <v>7314</v>
      </c>
      <c r="G2566" s="41">
        <v>7314</v>
      </c>
      <c r="H2566" s="38">
        <f t="shared" si="126"/>
        <v>6897</v>
      </c>
      <c r="I2566" s="41">
        <v>4484</v>
      </c>
      <c r="J2566" s="41">
        <v>2413</v>
      </c>
      <c r="K2566" s="41">
        <v>2071</v>
      </c>
      <c r="L2566" s="50">
        <f t="shared" ref="L2566:L2629" si="127">K2566/H2566*100</f>
        <v>30.02754820936639</v>
      </c>
      <c r="M2566" s="41">
        <v>188</v>
      </c>
      <c r="N2566" s="50">
        <f t="shared" si="125"/>
        <v>2.7258228215166014</v>
      </c>
      <c r="O2566" s="41">
        <v>0</v>
      </c>
      <c r="P2566" s="41">
        <v>179</v>
      </c>
      <c r="Q2566" s="48" t="s">
        <v>43</v>
      </c>
      <c r="R2566" s="31">
        <v>44597</v>
      </c>
      <c r="S2566" s="48"/>
      <c r="T2566" s="48">
        <v>0</v>
      </c>
      <c r="U2566" s="48"/>
      <c r="V2566" s="48"/>
      <c r="W2566" s="48"/>
      <c r="X2566" s="48"/>
      <c r="Y2566" s="48"/>
      <c r="Z2566" s="80"/>
      <c r="AB2566" s="80">
        <v>160</v>
      </c>
      <c r="AC2566" s="48" t="s">
        <v>5513</v>
      </c>
      <c r="AD2566" s="48">
        <v>26.251017000000001</v>
      </c>
      <c r="AE2566" s="48">
        <v>71.256568000000001</v>
      </c>
    </row>
    <row r="2567" spans="1:31" x14ac:dyDescent="0.25">
      <c r="A2567" s="38" t="s">
        <v>36</v>
      </c>
      <c r="B2567" s="38" t="s">
        <v>5376</v>
      </c>
      <c r="C2567" s="38" t="s">
        <v>5510</v>
      </c>
      <c r="D2567" s="38" t="s">
        <v>5514</v>
      </c>
      <c r="E2567" s="38" t="s">
        <v>5515</v>
      </c>
      <c r="F2567" s="38">
        <v>2038</v>
      </c>
      <c r="G2567" s="38">
        <v>2038</v>
      </c>
      <c r="H2567" s="38">
        <f t="shared" si="126"/>
        <v>666</v>
      </c>
      <c r="I2567" s="38">
        <v>445</v>
      </c>
      <c r="J2567" s="38">
        <v>221</v>
      </c>
      <c r="K2567" s="38">
        <v>224</v>
      </c>
      <c r="L2567" s="50">
        <f t="shared" si="127"/>
        <v>33.633633633633636</v>
      </c>
      <c r="M2567" s="38">
        <v>0</v>
      </c>
      <c r="N2567" s="50">
        <f t="shared" si="125"/>
        <v>0</v>
      </c>
      <c r="O2567" s="38">
        <v>0</v>
      </c>
      <c r="P2567" s="38">
        <v>0</v>
      </c>
      <c r="Q2567" s="98" t="s">
        <v>160</v>
      </c>
      <c r="R2567" s="9">
        <v>45127</v>
      </c>
      <c r="S2567" s="99"/>
      <c r="T2567" s="20">
        <v>0</v>
      </c>
      <c r="U2567" s="98"/>
      <c r="V2567" s="98"/>
      <c r="W2567" s="98"/>
      <c r="X2567" s="98"/>
      <c r="Y2567" s="98"/>
      <c r="Z2567" s="20"/>
      <c r="AB2567" s="20"/>
      <c r="AC2567" s="51" t="s">
        <v>5516</v>
      </c>
      <c r="AD2567" s="61"/>
      <c r="AE2567" s="99"/>
    </row>
    <row r="2568" spans="1:31" x14ac:dyDescent="0.25">
      <c r="A2568" s="38" t="s">
        <v>36</v>
      </c>
      <c r="B2568" s="41" t="s">
        <v>5376</v>
      </c>
      <c r="C2568" s="41" t="s">
        <v>5517</v>
      </c>
      <c r="D2568" s="41" t="s">
        <v>5517</v>
      </c>
      <c r="E2568" s="41" t="s">
        <v>5518</v>
      </c>
      <c r="F2568" s="41">
        <v>1843</v>
      </c>
      <c r="G2568" s="41">
        <v>1843</v>
      </c>
      <c r="H2568" s="38">
        <f t="shared" si="126"/>
        <v>2174</v>
      </c>
      <c r="I2568" s="11">
        <v>1417</v>
      </c>
      <c r="J2568" s="11">
        <v>757</v>
      </c>
      <c r="K2568" s="11">
        <v>660</v>
      </c>
      <c r="L2568" s="50">
        <f t="shared" si="127"/>
        <v>30.358785648574056</v>
      </c>
      <c r="M2568" s="11">
        <v>151</v>
      </c>
      <c r="N2568" s="50">
        <f t="shared" si="125"/>
        <v>6.9457221711131556</v>
      </c>
      <c r="O2568" s="41">
        <v>0</v>
      </c>
      <c r="P2568" s="41">
        <v>164</v>
      </c>
      <c r="Q2568" s="43" t="s">
        <v>44</v>
      </c>
      <c r="R2568" s="27">
        <v>45139</v>
      </c>
      <c r="S2568" s="44"/>
      <c r="T2568" s="44">
        <v>0</v>
      </c>
      <c r="U2568" s="43"/>
      <c r="V2568" s="43"/>
      <c r="W2568" s="43"/>
      <c r="X2568" s="43"/>
      <c r="Y2568" s="43"/>
      <c r="Z2568" s="5"/>
      <c r="AB2568" s="5">
        <v>90</v>
      </c>
      <c r="AC2568" s="82" t="s">
        <v>5517</v>
      </c>
      <c r="AD2568" s="44">
        <v>26.260832000000001</v>
      </c>
      <c r="AE2568" s="44">
        <v>71.175999000000004</v>
      </c>
    </row>
    <row r="2569" spans="1:31" x14ac:dyDescent="0.25">
      <c r="A2569" s="38" t="s">
        <v>36</v>
      </c>
      <c r="B2569" s="38" t="s">
        <v>5376</v>
      </c>
      <c r="C2569" s="38" t="s">
        <v>5517</v>
      </c>
      <c r="D2569" s="38" t="s">
        <v>5519</v>
      </c>
      <c r="E2569" s="38" t="s">
        <v>5520</v>
      </c>
      <c r="F2569" s="38">
        <v>1102</v>
      </c>
      <c r="G2569" s="38">
        <v>1102</v>
      </c>
      <c r="H2569" s="38">
        <f t="shared" si="126"/>
        <v>1828</v>
      </c>
      <c r="I2569" s="38">
        <v>1193</v>
      </c>
      <c r="J2569" s="38">
        <v>635</v>
      </c>
      <c r="K2569" s="38">
        <v>558</v>
      </c>
      <c r="L2569" s="50">
        <f t="shared" si="127"/>
        <v>30.525164113785557</v>
      </c>
      <c r="M2569" s="38">
        <v>3</v>
      </c>
      <c r="N2569" s="50">
        <f t="shared" si="125"/>
        <v>0.16411378555798686</v>
      </c>
      <c r="O2569" s="38">
        <v>0</v>
      </c>
      <c r="P2569" s="38">
        <v>160</v>
      </c>
      <c r="Q2569" s="98" t="s">
        <v>160</v>
      </c>
      <c r="R2569" s="7">
        <v>45139</v>
      </c>
      <c r="S2569" s="99"/>
      <c r="T2569" s="11">
        <v>110</v>
      </c>
      <c r="U2569" s="98"/>
      <c r="V2569" s="98"/>
      <c r="W2569" s="98"/>
      <c r="X2569" s="98"/>
      <c r="Y2569" s="98"/>
      <c r="Z2569" s="20"/>
      <c r="AB2569" s="20">
        <v>45</v>
      </c>
      <c r="AC2569" s="11" t="s">
        <v>5521</v>
      </c>
      <c r="AD2569" s="61">
        <v>26.243200999999999</v>
      </c>
      <c r="AE2569" s="99">
        <v>71.168561999999994</v>
      </c>
    </row>
    <row r="2570" spans="1:31" x14ac:dyDescent="0.25">
      <c r="A2570" s="38" t="s">
        <v>36</v>
      </c>
      <c r="B2570" s="38" t="s">
        <v>5376</v>
      </c>
      <c r="C2570" s="38" t="s">
        <v>5517</v>
      </c>
      <c r="D2570" s="38" t="s">
        <v>5522</v>
      </c>
      <c r="E2570" s="38" t="s">
        <v>5523</v>
      </c>
      <c r="F2570" s="38">
        <v>2141</v>
      </c>
      <c r="G2570" s="38">
        <v>2141</v>
      </c>
      <c r="H2570" s="38">
        <f t="shared" si="126"/>
        <v>492</v>
      </c>
      <c r="I2570" s="38">
        <v>323</v>
      </c>
      <c r="J2570" s="38">
        <v>169</v>
      </c>
      <c r="K2570" s="38">
        <v>154</v>
      </c>
      <c r="L2570" s="50">
        <f t="shared" si="127"/>
        <v>31.300813008130078</v>
      </c>
      <c r="M2570" s="38">
        <v>15</v>
      </c>
      <c r="N2570" s="50">
        <f t="shared" si="125"/>
        <v>3.0487804878048781</v>
      </c>
      <c r="O2570" s="38">
        <v>0</v>
      </c>
      <c r="P2570" s="38">
        <v>36</v>
      </c>
      <c r="Q2570" s="98" t="s">
        <v>160</v>
      </c>
      <c r="R2570" s="7">
        <v>45139</v>
      </c>
      <c r="S2570" s="99"/>
      <c r="T2570" s="11">
        <v>12</v>
      </c>
      <c r="U2570" s="98"/>
      <c r="V2570" s="98"/>
      <c r="W2570" s="98"/>
      <c r="X2570" s="98"/>
      <c r="Y2570" s="98"/>
      <c r="Z2570" s="20"/>
      <c r="AB2570" s="20"/>
      <c r="AC2570" s="11" t="s">
        <v>5524</v>
      </c>
      <c r="AD2570" s="61"/>
      <c r="AE2570" s="99"/>
    </row>
    <row r="2571" spans="1:31" x14ac:dyDescent="0.25">
      <c r="A2571" s="38" t="s">
        <v>36</v>
      </c>
      <c r="B2571" s="38" t="s">
        <v>5376</v>
      </c>
      <c r="C2571" s="38" t="s">
        <v>5517</v>
      </c>
      <c r="D2571" s="38" t="s">
        <v>5525</v>
      </c>
      <c r="E2571" s="38" t="s">
        <v>5526</v>
      </c>
      <c r="F2571" s="38">
        <v>97</v>
      </c>
      <c r="G2571" s="38">
        <v>97</v>
      </c>
      <c r="H2571" s="38">
        <f t="shared" si="126"/>
        <v>0</v>
      </c>
      <c r="I2571" s="38">
        <v>0</v>
      </c>
      <c r="J2571" s="38">
        <v>0</v>
      </c>
      <c r="K2571" s="38">
        <v>0</v>
      </c>
      <c r="L2571" s="50"/>
      <c r="M2571" s="38">
        <v>0</v>
      </c>
      <c r="N2571" s="50"/>
      <c r="O2571" s="38">
        <v>0</v>
      </c>
      <c r="P2571" s="38">
        <v>5</v>
      </c>
      <c r="Q2571" s="98" t="s">
        <v>160</v>
      </c>
      <c r="U2571" s="98"/>
      <c r="V2571" s="98"/>
      <c r="W2571" s="98"/>
      <c r="X2571" s="98"/>
      <c r="Y2571" s="98"/>
    </row>
    <row r="2572" spans="1:31" ht="30" x14ac:dyDescent="0.25">
      <c r="A2572" s="38" t="s">
        <v>36</v>
      </c>
      <c r="B2572" s="41" t="s">
        <v>5376</v>
      </c>
      <c r="C2572" s="41" t="s">
        <v>5517</v>
      </c>
      <c r="D2572" s="41" t="s">
        <v>5527</v>
      </c>
      <c r="E2572" s="41" t="s">
        <v>5528</v>
      </c>
      <c r="F2572" s="41">
        <v>1941</v>
      </c>
      <c r="G2572" s="41">
        <v>1941</v>
      </c>
      <c r="H2572" s="38">
        <f t="shared" si="126"/>
        <v>1204</v>
      </c>
      <c r="I2572" s="41">
        <v>787</v>
      </c>
      <c r="J2572" s="41">
        <v>417</v>
      </c>
      <c r="K2572" s="41">
        <v>370</v>
      </c>
      <c r="L2572" s="50">
        <f t="shared" si="127"/>
        <v>30.730897009966778</v>
      </c>
      <c r="M2572" s="41">
        <v>0</v>
      </c>
      <c r="N2572" s="50">
        <f t="shared" si="125"/>
        <v>0</v>
      </c>
      <c r="O2572" s="41">
        <v>0</v>
      </c>
      <c r="P2572" s="41">
        <v>97</v>
      </c>
      <c r="Q2572" s="98" t="s">
        <v>160</v>
      </c>
      <c r="R2572" s="24">
        <v>45139</v>
      </c>
      <c r="S2572" s="214"/>
      <c r="T2572" s="18"/>
      <c r="U2572" s="98"/>
      <c r="V2572" s="98"/>
      <c r="W2572" s="98"/>
      <c r="X2572" s="98"/>
      <c r="Y2572" s="98"/>
      <c r="Z2572" s="215"/>
      <c r="AB2572" s="215">
        <v>80</v>
      </c>
      <c r="AC2572" s="189" t="s">
        <v>5529</v>
      </c>
      <c r="AD2572" s="214">
        <v>26.281184</v>
      </c>
      <c r="AE2572" s="214">
        <v>71.191671999999997</v>
      </c>
    </row>
    <row r="2573" spans="1:31" ht="26.25" x14ac:dyDescent="0.25">
      <c r="A2573" s="38" t="s">
        <v>36</v>
      </c>
      <c r="B2573" s="38" t="s">
        <v>5376</v>
      </c>
      <c r="C2573" s="38" t="s">
        <v>5517</v>
      </c>
      <c r="D2573" s="38" t="s">
        <v>5527</v>
      </c>
      <c r="E2573" s="38" t="s">
        <v>5528</v>
      </c>
      <c r="F2573" s="38">
        <v>1941</v>
      </c>
      <c r="G2573" s="38">
        <v>1941</v>
      </c>
      <c r="H2573" s="38">
        <f t="shared" si="126"/>
        <v>1204</v>
      </c>
      <c r="I2573" s="38">
        <v>787</v>
      </c>
      <c r="J2573" s="38">
        <v>417</v>
      </c>
      <c r="K2573" s="38">
        <v>370</v>
      </c>
      <c r="L2573" s="50">
        <f t="shared" si="127"/>
        <v>30.730897009966778</v>
      </c>
      <c r="M2573" s="38">
        <v>0</v>
      </c>
      <c r="N2573" s="50">
        <f t="shared" si="125"/>
        <v>0</v>
      </c>
      <c r="O2573" s="38">
        <v>0</v>
      </c>
      <c r="P2573" s="38">
        <v>97</v>
      </c>
      <c r="Q2573" s="98" t="s">
        <v>160</v>
      </c>
      <c r="R2573" s="7">
        <v>45139</v>
      </c>
      <c r="S2573" s="40"/>
      <c r="U2573" s="98"/>
      <c r="V2573" s="98"/>
      <c r="W2573" s="98"/>
      <c r="X2573" s="98"/>
      <c r="Y2573" s="98"/>
      <c r="Z2573" s="3"/>
      <c r="AB2573" s="3">
        <v>10</v>
      </c>
      <c r="AC2573" s="208" t="s">
        <v>5531</v>
      </c>
      <c r="AD2573" s="2">
        <v>26.281527000000001</v>
      </c>
      <c r="AE2573" s="40">
        <v>71.194597999999999</v>
      </c>
    </row>
    <row r="2574" spans="1:31" x14ac:dyDescent="0.25">
      <c r="A2574" s="38" t="s">
        <v>36</v>
      </c>
      <c r="B2574" s="38" t="s">
        <v>5376</v>
      </c>
      <c r="C2574" s="38" t="s">
        <v>5517</v>
      </c>
      <c r="D2574" s="38" t="s">
        <v>5527</v>
      </c>
      <c r="E2574" s="38" t="s">
        <v>5528</v>
      </c>
      <c r="F2574" s="38">
        <v>1941</v>
      </c>
      <c r="G2574" s="38">
        <v>1941</v>
      </c>
      <c r="H2574" s="38">
        <f t="shared" si="126"/>
        <v>1204</v>
      </c>
      <c r="I2574" s="38">
        <v>787</v>
      </c>
      <c r="J2574" s="38">
        <v>417</v>
      </c>
      <c r="K2574" s="38">
        <v>370</v>
      </c>
      <c r="L2574" s="50">
        <f t="shared" si="127"/>
        <v>30.730897009966778</v>
      </c>
      <c r="M2574" s="38">
        <v>0</v>
      </c>
      <c r="N2574" s="50">
        <f t="shared" si="125"/>
        <v>0</v>
      </c>
      <c r="O2574" s="38">
        <v>0</v>
      </c>
      <c r="P2574" s="38">
        <v>97</v>
      </c>
      <c r="Q2574" s="98" t="s">
        <v>160</v>
      </c>
      <c r="R2574" s="7">
        <v>45139</v>
      </c>
      <c r="S2574" s="99"/>
      <c r="T2574" s="11">
        <v>97.901399999999995</v>
      </c>
      <c r="U2574" s="98"/>
      <c r="V2574" s="98"/>
      <c r="W2574" s="98"/>
      <c r="X2574" s="98"/>
      <c r="Y2574" s="98"/>
      <c r="Z2574" s="20"/>
      <c r="AB2574" s="20"/>
      <c r="AC2574" s="11" t="s">
        <v>5530</v>
      </c>
      <c r="AD2574" s="61"/>
      <c r="AE2574" s="99"/>
    </row>
    <row r="2575" spans="1:31" x14ac:dyDescent="0.25">
      <c r="A2575" s="38" t="s">
        <v>36</v>
      </c>
      <c r="B2575" s="41" t="s">
        <v>5376</v>
      </c>
      <c r="C2575" s="41" t="s">
        <v>5532</v>
      </c>
      <c r="D2575" s="41" t="s">
        <v>5533</v>
      </c>
      <c r="E2575" s="41" t="s">
        <v>5534</v>
      </c>
      <c r="F2575" s="41">
        <v>3423</v>
      </c>
      <c r="G2575" s="41">
        <v>3423</v>
      </c>
      <c r="H2575" s="38">
        <f t="shared" si="126"/>
        <v>1349</v>
      </c>
      <c r="I2575" s="41">
        <v>859</v>
      </c>
      <c r="J2575" s="41">
        <v>490</v>
      </c>
      <c r="K2575" s="41">
        <v>369</v>
      </c>
      <c r="L2575" s="50">
        <f t="shared" si="127"/>
        <v>27.353595255744995</v>
      </c>
      <c r="M2575" s="41">
        <v>18</v>
      </c>
      <c r="N2575" s="50">
        <f t="shared" si="125"/>
        <v>1.3343217197924389</v>
      </c>
      <c r="O2575" s="41">
        <v>0</v>
      </c>
      <c r="P2575" s="41">
        <v>1371</v>
      </c>
      <c r="Q2575" s="43" t="s">
        <v>44</v>
      </c>
      <c r="R2575" s="24">
        <v>45189</v>
      </c>
      <c r="S2575" s="44"/>
      <c r="T2575" s="44">
        <v>0</v>
      </c>
      <c r="U2575" s="43"/>
      <c r="V2575" s="43"/>
      <c r="W2575" s="43"/>
      <c r="X2575" s="43"/>
      <c r="Y2575" s="43"/>
      <c r="Z2575" s="80"/>
      <c r="AB2575" s="5">
        <v>19</v>
      </c>
      <c r="AC2575" s="41" t="s">
        <v>5533</v>
      </c>
      <c r="AD2575" s="44">
        <v>26.266687000000001</v>
      </c>
      <c r="AE2575" s="44">
        <v>70.994460000000004</v>
      </c>
    </row>
    <row r="2576" spans="1:31" x14ac:dyDescent="0.25">
      <c r="A2576" s="38" t="s">
        <v>36</v>
      </c>
      <c r="B2576" s="41" t="s">
        <v>5376</v>
      </c>
      <c r="C2576" s="41" t="s">
        <v>5532</v>
      </c>
      <c r="D2576" s="38" t="s">
        <v>5535</v>
      </c>
      <c r="E2576" s="41"/>
      <c r="F2576" s="41"/>
      <c r="G2576" s="41"/>
      <c r="H2576" s="38">
        <f t="shared" si="126"/>
        <v>0</v>
      </c>
      <c r="I2576" s="41"/>
      <c r="J2576" s="41"/>
      <c r="K2576" s="41"/>
      <c r="L2576" s="50"/>
      <c r="M2576" s="41"/>
      <c r="N2576" s="50"/>
      <c r="O2576" s="41"/>
      <c r="P2576" s="41"/>
      <c r="Q2576" s="39" t="s">
        <v>44</v>
      </c>
      <c r="R2576" s="7">
        <v>45189</v>
      </c>
      <c r="S2576" s="40"/>
      <c r="T2576" s="11">
        <v>12.9742</v>
      </c>
      <c r="U2576" s="39"/>
      <c r="V2576" s="39"/>
      <c r="W2576" s="39"/>
      <c r="X2576" s="39"/>
      <c r="Y2576" s="39"/>
      <c r="Z2576" s="3"/>
      <c r="AB2576" s="3"/>
      <c r="AC2576" s="38" t="s">
        <v>5535</v>
      </c>
      <c r="AD2576" s="2"/>
      <c r="AE2576" s="40"/>
    </row>
    <row r="2577" spans="1:31" x14ac:dyDescent="0.25">
      <c r="A2577" s="38" t="s">
        <v>36</v>
      </c>
      <c r="B2577" s="41" t="s">
        <v>5376</v>
      </c>
      <c r="C2577" s="41" t="s">
        <v>5532</v>
      </c>
      <c r="D2577" s="38" t="s">
        <v>5536</v>
      </c>
      <c r="E2577" s="41"/>
      <c r="F2577" s="41"/>
      <c r="G2577" s="41"/>
      <c r="H2577" s="38">
        <f t="shared" si="126"/>
        <v>0</v>
      </c>
      <c r="I2577" s="41"/>
      <c r="J2577" s="41"/>
      <c r="K2577" s="41"/>
      <c r="L2577" s="50"/>
      <c r="M2577" s="41"/>
      <c r="N2577" s="50"/>
      <c r="O2577" s="41"/>
      <c r="P2577" s="41"/>
      <c r="Q2577" s="39" t="s">
        <v>44</v>
      </c>
      <c r="R2577" s="7">
        <v>45189</v>
      </c>
      <c r="S2577" s="40"/>
      <c r="T2577" s="11">
        <v>102.4824</v>
      </c>
      <c r="U2577" s="39"/>
      <c r="V2577" s="39"/>
      <c r="W2577" s="39"/>
      <c r="X2577" s="39"/>
      <c r="Y2577" s="39"/>
      <c r="Z2577" s="3"/>
      <c r="AB2577" s="3"/>
      <c r="AC2577" s="38" t="s">
        <v>5536</v>
      </c>
      <c r="AD2577" s="2"/>
      <c r="AE2577" s="40"/>
    </row>
    <row r="2578" spans="1:31" x14ac:dyDescent="0.25">
      <c r="A2578" s="38" t="s">
        <v>36</v>
      </c>
      <c r="B2578" s="41" t="s">
        <v>5376</v>
      </c>
      <c r="C2578" s="41" t="s">
        <v>5532</v>
      </c>
      <c r="D2578" s="38" t="s">
        <v>5537</v>
      </c>
      <c r="E2578" s="41"/>
      <c r="F2578" s="41"/>
      <c r="G2578" s="41"/>
      <c r="H2578" s="38">
        <f t="shared" si="126"/>
        <v>0</v>
      </c>
      <c r="I2578" s="41"/>
      <c r="J2578" s="41"/>
      <c r="K2578" s="41"/>
      <c r="L2578" s="50"/>
      <c r="M2578" s="41"/>
      <c r="N2578" s="50"/>
      <c r="O2578" s="41"/>
      <c r="P2578" s="41"/>
      <c r="Q2578" s="39" t="s">
        <v>44</v>
      </c>
      <c r="R2578" s="7">
        <v>45189</v>
      </c>
      <c r="S2578" s="40"/>
      <c r="T2578" s="11">
        <v>105.7766</v>
      </c>
      <c r="U2578" s="39"/>
      <c r="V2578" s="39"/>
      <c r="W2578" s="39"/>
      <c r="X2578" s="39"/>
      <c r="Y2578" s="39"/>
      <c r="Z2578" s="3"/>
      <c r="AB2578" s="3"/>
      <c r="AC2578" s="38" t="s">
        <v>5537</v>
      </c>
      <c r="AD2578" s="2"/>
      <c r="AE2578" s="40"/>
    </row>
    <row r="2579" spans="1:31" x14ac:dyDescent="0.25">
      <c r="A2579" s="38" t="s">
        <v>36</v>
      </c>
      <c r="B2579" s="38" t="s">
        <v>5376</v>
      </c>
      <c r="C2579" s="38" t="s">
        <v>5532</v>
      </c>
      <c r="D2579" s="38" t="s">
        <v>5538</v>
      </c>
      <c r="E2579" s="38" t="s">
        <v>5539</v>
      </c>
      <c r="F2579" s="38">
        <v>2998</v>
      </c>
      <c r="G2579" s="38">
        <v>2998</v>
      </c>
      <c r="H2579" s="38">
        <f t="shared" si="126"/>
        <v>1617</v>
      </c>
      <c r="I2579" s="38">
        <v>1059</v>
      </c>
      <c r="J2579" s="38">
        <v>558</v>
      </c>
      <c r="K2579" s="38">
        <v>501</v>
      </c>
      <c r="L2579" s="50">
        <f t="shared" si="127"/>
        <v>30.983302411873844</v>
      </c>
      <c r="M2579" s="38">
        <v>0</v>
      </c>
      <c r="N2579" s="50">
        <f t="shared" si="125"/>
        <v>0</v>
      </c>
      <c r="O2579" s="38">
        <v>0</v>
      </c>
      <c r="P2579" s="38">
        <v>188</v>
      </c>
      <c r="Q2579" s="39" t="s">
        <v>44</v>
      </c>
      <c r="R2579" s="7">
        <v>45189</v>
      </c>
      <c r="S2579" s="40"/>
      <c r="T2579" s="2">
        <v>0</v>
      </c>
      <c r="U2579" s="39"/>
      <c r="V2579" s="39"/>
      <c r="W2579" s="39"/>
      <c r="X2579" s="39"/>
      <c r="Y2579" s="39"/>
      <c r="Z2579" s="3"/>
      <c r="AB2579" s="3"/>
      <c r="AC2579" s="38" t="s">
        <v>5538</v>
      </c>
      <c r="AD2579" s="2"/>
      <c r="AE2579" s="40"/>
    </row>
    <row r="2580" spans="1:31" x14ac:dyDescent="0.25">
      <c r="A2580" s="38" t="s">
        <v>36</v>
      </c>
      <c r="B2580" s="38" t="s">
        <v>5376</v>
      </c>
      <c r="C2580" s="38" t="s">
        <v>5532</v>
      </c>
      <c r="D2580" s="38" t="s">
        <v>5540</v>
      </c>
      <c r="E2580" s="38" t="s">
        <v>5541</v>
      </c>
      <c r="F2580" s="38">
        <v>1433</v>
      </c>
      <c r="G2580" s="38">
        <v>1433</v>
      </c>
      <c r="H2580" s="38">
        <f t="shared" si="126"/>
        <v>636</v>
      </c>
      <c r="I2580" s="38">
        <v>424</v>
      </c>
      <c r="J2580" s="38">
        <v>212</v>
      </c>
      <c r="K2580" s="38">
        <v>212</v>
      </c>
      <c r="L2580" s="50">
        <f t="shared" si="127"/>
        <v>33.333333333333329</v>
      </c>
      <c r="M2580" s="38">
        <v>0</v>
      </c>
      <c r="N2580" s="50">
        <f t="shared" si="125"/>
        <v>0</v>
      </c>
      <c r="O2580" s="38">
        <v>0</v>
      </c>
      <c r="P2580" s="38">
        <v>52</v>
      </c>
      <c r="Q2580" s="39" t="s">
        <v>44</v>
      </c>
      <c r="R2580" s="7">
        <v>45189</v>
      </c>
      <c r="S2580" s="40"/>
      <c r="T2580" s="2">
        <v>0</v>
      </c>
      <c r="U2580" s="39"/>
      <c r="V2580" s="39"/>
      <c r="W2580" s="39"/>
      <c r="X2580" s="39"/>
      <c r="Y2580" s="39"/>
      <c r="Z2580" s="3"/>
      <c r="AB2580" s="3"/>
      <c r="AC2580" s="38" t="s">
        <v>5540</v>
      </c>
      <c r="AD2580" s="2"/>
      <c r="AE2580" s="40"/>
    </row>
    <row r="2581" spans="1:31" x14ac:dyDescent="0.25">
      <c r="A2581" s="38" t="s">
        <v>36</v>
      </c>
      <c r="B2581" s="38" t="s">
        <v>5376</v>
      </c>
      <c r="C2581" s="38" t="s">
        <v>5532</v>
      </c>
      <c r="D2581" s="38" t="s">
        <v>5542</v>
      </c>
      <c r="E2581" s="38" t="s">
        <v>5543</v>
      </c>
      <c r="F2581" s="38">
        <v>38</v>
      </c>
      <c r="G2581" s="38">
        <v>38</v>
      </c>
      <c r="H2581" s="38">
        <f t="shared" si="126"/>
        <v>1185</v>
      </c>
      <c r="I2581" s="38">
        <v>774</v>
      </c>
      <c r="J2581" s="38">
        <v>411</v>
      </c>
      <c r="K2581" s="38">
        <v>363</v>
      </c>
      <c r="L2581" s="50">
        <f t="shared" si="127"/>
        <v>30.632911392405067</v>
      </c>
      <c r="M2581" s="38">
        <v>0</v>
      </c>
      <c r="N2581" s="50">
        <f t="shared" si="125"/>
        <v>0</v>
      </c>
      <c r="O2581" s="38">
        <v>0</v>
      </c>
      <c r="P2581" s="38">
        <v>11</v>
      </c>
      <c r="Q2581" s="39" t="s">
        <v>44</v>
      </c>
      <c r="R2581" s="7">
        <v>45189</v>
      </c>
      <c r="S2581" s="40"/>
      <c r="T2581" s="11">
        <v>9.9456000000000007</v>
      </c>
      <c r="U2581" s="39"/>
      <c r="V2581" s="39"/>
      <c r="W2581" s="39"/>
      <c r="X2581" s="39"/>
      <c r="Y2581" s="39"/>
      <c r="Z2581" s="3"/>
      <c r="AB2581" s="3"/>
      <c r="AC2581" s="38" t="s">
        <v>5542</v>
      </c>
      <c r="AD2581" s="2"/>
      <c r="AE2581" s="40"/>
    </row>
    <row r="2582" spans="1:31" x14ac:dyDescent="0.25">
      <c r="A2582" s="38" t="s">
        <v>36</v>
      </c>
      <c r="B2582" s="38" t="s">
        <v>5376</v>
      </c>
      <c r="C2582" s="38" t="s">
        <v>5532</v>
      </c>
      <c r="D2582" s="38" t="s">
        <v>5544</v>
      </c>
      <c r="E2582" s="38" t="s">
        <v>5545</v>
      </c>
      <c r="F2582" s="38">
        <v>1506</v>
      </c>
      <c r="G2582" s="38">
        <v>1506</v>
      </c>
      <c r="H2582" s="38">
        <f t="shared" si="126"/>
        <v>1114</v>
      </c>
      <c r="I2582" s="38">
        <v>709</v>
      </c>
      <c r="J2582" s="38">
        <v>405</v>
      </c>
      <c r="K2582" s="38">
        <v>304</v>
      </c>
      <c r="L2582" s="50">
        <f t="shared" si="127"/>
        <v>27.289048473967686</v>
      </c>
      <c r="M2582" s="38">
        <v>50</v>
      </c>
      <c r="N2582" s="50">
        <f t="shared" si="125"/>
        <v>4.4883303411131061</v>
      </c>
      <c r="O2582" s="38">
        <v>0</v>
      </c>
      <c r="P2582" s="38">
        <v>247</v>
      </c>
      <c r="Q2582" s="39" t="s">
        <v>44</v>
      </c>
      <c r="R2582" s="7">
        <v>45189</v>
      </c>
      <c r="S2582" s="40"/>
      <c r="T2582" s="11">
        <v>2</v>
      </c>
      <c r="U2582" s="39"/>
      <c r="V2582" s="39"/>
      <c r="W2582" s="39"/>
      <c r="X2582" s="39"/>
      <c r="Y2582" s="39"/>
      <c r="Z2582" s="3"/>
      <c r="AB2582" s="3"/>
      <c r="AC2582" s="38" t="s">
        <v>5544</v>
      </c>
      <c r="AD2582" s="2"/>
      <c r="AE2582" s="40"/>
    </row>
    <row r="2583" spans="1:31" x14ac:dyDescent="0.25">
      <c r="A2583" s="38" t="s">
        <v>36</v>
      </c>
      <c r="B2583" s="38" t="s">
        <v>5376</v>
      </c>
      <c r="C2583" s="38" t="s">
        <v>5546</v>
      </c>
      <c r="D2583" s="38" t="s">
        <v>5547</v>
      </c>
      <c r="E2583" s="38" t="s">
        <v>5548</v>
      </c>
      <c r="F2583" s="38">
        <v>2834</v>
      </c>
      <c r="G2583" s="38">
        <v>2834</v>
      </c>
      <c r="H2583" s="38">
        <f t="shared" si="126"/>
        <v>1850</v>
      </c>
      <c r="I2583" s="38">
        <v>1206</v>
      </c>
      <c r="J2583" s="38">
        <v>644</v>
      </c>
      <c r="K2583" s="38">
        <v>562</v>
      </c>
      <c r="L2583" s="50">
        <f t="shared" si="127"/>
        <v>30.378378378378379</v>
      </c>
      <c r="M2583" s="38">
        <v>30</v>
      </c>
      <c r="N2583" s="50">
        <f t="shared" si="125"/>
        <v>1.6216216216216217</v>
      </c>
      <c r="O2583" s="38">
        <v>0</v>
      </c>
      <c r="P2583" s="38">
        <v>113</v>
      </c>
      <c r="Q2583" s="39" t="s">
        <v>44</v>
      </c>
      <c r="R2583" s="7">
        <v>45356</v>
      </c>
      <c r="S2583" s="40"/>
      <c r="T2583" s="11">
        <v>271.2115</v>
      </c>
      <c r="U2583" s="39"/>
      <c r="V2583" s="39"/>
      <c r="W2583" s="39"/>
      <c r="X2583" s="39"/>
      <c r="Y2583" s="39"/>
      <c r="Z2583" s="3"/>
      <c r="AB2583" s="3"/>
      <c r="AC2583" s="38" t="s">
        <v>5547</v>
      </c>
      <c r="AD2583" s="2"/>
      <c r="AE2583" s="40"/>
    </row>
    <row r="2584" spans="1:31" x14ac:dyDescent="0.25">
      <c r="A2584" s="38" t="s">
        <v>36</v>
      </c>
      <c r="B2584" s="41" t="s">
        <v>5376</v>
      </c>
      <c r="C2584" s="41" t="s">
        <v>5546</v>
      </c>
      <c r="D2584" s="41" t="s">
        <v>5547</v>
      </c>
      <c r="E2584" s="41" t="s">
        <v>5548</v>
      </c>
      <c r="F2584" s="41">
        <v>2834</v>
      </c>
      <c r="G2584" s="41">
        <v>2834</v>
      </c>
      <c r="H2584" s="38">
        <f t="shared" si="126"/>
        <v>1850</v>
      </c>
      <c r="I2584" s="41">
        <v>1206</v>
      </c>
      <c r="J2584" s="41">
        <v>644</v>
      </c>
      <c r="K2584" s="41">
        <v>562</v>
      </c>
      <c r="L2584" s="50">
        <f t="shared" si="127"/>
        <v>30.378378378378379</v>
      </c>
      <c r="M2584" s="41">
        <v>30</v>
      </c>
      <c r="N2584" s="50">
        <f t="shared" si="125"/>
        <v>1.6216216216216217</v>
      </c>
      <c r="O2584" s="41">
        <v>0</v>
      </c>
      <c r="P2584" s="41">
        <v>113</v>
      </c>
      <c r="Q2584" s="43"/>
      <c r="R2584" s="24">
        <v>45356</v>
      </c>
      <c r="S2584" s="44"/>
      <c r="T2584" s="18"/>
      <c r="U2584" s="43"/>
      <c r="V2584" s="43"/>
      <c r="W2584" s="43"/>
      <c r="X2584" s="43"/>
      <c r="Y2584" s="43"/>
      <c r="Z2584" s="205"/>
      <c r="AB2584" s="5">
        <v>40</v>
      </c>
      <c r="AC2584" s="41" t="s">
        <v>5547</v>
      </c>
      <c r="AD2584" s="44">
        <v>26.204975000000001</v>
      </c>
      <c r="AE2584" s="44">
        <v>71.224587999999997</v>
      </c>
    </row>
    <row r="2585" spans="1:31" x14ac:dyDescent="0.25">
      <c r="A2585" s="38" t="s">
        <v>36</v>
      </c>
      <c r="B2585" s="38" t="s">
        <v>5376</v>
      </c>
      <c r="C2585" s="38" t="s">
        <v>5546</v>
      </c>
      <c r="D2585" s="38" t="s">
        <v>5549</v>
      </c>
      <c r="E2585" s="38" t="s">
        <v>5550</v>
      </c>
      <c r="F2585" s="38">
        <v>325</v>
      </c>
      <c r="G2585" s="38">
        <v>325</v>
      </c>
      <c r="H2585" s="38">
        <f t="shared" si="126"/>
        <v>373</v>
      </c>
      <c r="I2585" s="38">
        <v>248</v>
      </c>
      <c r="J2585" s="38">
        <v>125</v>
      </c>
      <c r="K2585" s="38">
        <v>123</v>
      </c>
      <c r="L2585" s="50">
        <f t="shared" si="127"/>
        <v>32.975871313672926</v>
      </c>
      <c r="M2585" s="38">
        <v>44</v>
      </c>
      <c r="N2585" s="50">
        <f t="shared" si="125"/>
        <v>11.796246648793565</v>
      </c>
      <c r="O2585" s="38">
        <v>0</v>
      </c>
      <c r="P2585" s="38">
        <v>171</v>
      </c>
      <c r="Q2585" s="39" t="s">
        <v>44</v>
      </c>
      <c r="R2585" s="7">
        <v>45356</v>
      </c>
      <c r="S2585" s="40"/>
      <c r="T2585" s="11">
        <v>176.81489999999999</v>
      </c>
      <c r="U2585" s="39"/>
      <c r="V2585" s="39"/>
      <c r="W2585" s="39"/>
      <c r="X2585" s="39"/>
      <c r="Y2585" s="39"/>
      <c r="Z2585" s="3"/>
      <c r="AB2585" s="3"/>
      <c r="AC2585" s="38" t="s">
        <v>5549</v>
      </c>
      <c r="AD2585" s="2"/>
      <c r="AE2585" s="40"/>
    </row>
    <row r="2586" spans="1:31" x14ac:dyDescent="0.25">
      <c r="A2586" s="38" t="s">
        <v>36</v>
      </c>
      <c r="B2586" s="38" t="s">
        <v>5376</v>
      </c>
      <c r="C2586" s="38" t="s">
        <v>5546</v>
      </c>
      <c r="D2586" s="38" t="s">
        <v>5551</v>
      </c>
      <c r="E2586" s="38"/>
      <c r="F2586" s="38"/>
      <c r="G2586" s="38"/>
      <c r="H2586" s="38">
        <f t="shared" si="126"/>
        <v>0</v>
      </c>
      <c r="I2586" s="38"/>
      <c r="J2586" s="38"/>
      <c r="K2586" s="38"/>
      <c r="L2586" s="50"/>
      <c r="M2586" s="38"/>
      <c r="N2586" s="50"/>
      <c r="O2586" s="38"/>
      <c r="P2586" s="38"/>
      <c r="Q2586" s="39" t="s">
        <v>44</v>
      </c>
      <c r="R2586" s="7">
        <v>45356</v>
      </c>
      <c r="S2586" s="40"/>
      <c r="T2586" s="11">
        <v>41.462200000000003</v>
      </c>
      <c r="U2586" s="39"/>
      <c r="V2586" s="39"/>
      <c r="W2586" s="39"/>
      <c r="X2586" s="39"/>
      <c r="Y2586" s="39"/>
      <c r="Z2586" s="3"/>
      <c r="AB2586" s="3"/>
      <c r="AC2586" s="38" t="s">
        <v>5551</v>
      </c>
      <c r="AD2586" s="2"/>
      <c r="AE2586" s="40"/>
    </row>
    <row r="2587" spans="1:31" x14ac:dyDescent="0.25">
      <c r="A2587" s="38" t="s">
        <v>36</v>
      </c>
      <c r="B2587" s="38" t="s">
        <v>5376</v>
      </c>
      <c r="C2587" s="38" t="s">
        <v>5546</v>
      </c>
      <c r="D2587" s="38" t="s">
        <v>5552</v>
      </c>
      <c r="E2587" s="38" t="s">
        <v>5553</v>
      </c>
      <c r="F2587" s="38">
        <v>2208</v>
      </c>
      <c r="G2587" s="38">
        <v>2208</v>
      </c>
      <c r="H2587" s="38">
        <f t="shared" si="126"/>
        <v>684</v>
      </c>
      <c r="I2587" s="38">
        <v>438</v>
      </c>
      <c r="J2587" s="38">
        <v>246</v>
      </c>
      <c r="K2587" s="38">
        <v>192</v>
      </c>
      <c r="L2587" s="50">
        <f t="shared" si="127"/>
        <v>28.07017543859649</v>
      </c>
      <c r="M2587" s="38">
        <v>0</v>
      </c>
      <c r="N2587" s="50">
        <f t="shared" si="125"/>
        <v>0</v>
      </c>
      <c r="O2587" s="38">
        <v>0</v>
      </c>
      <c r="P2587" s="38">
        <v>0</v>
      </c>
      <c r="Q2587" s="39" t="s">
        <v>44</v>
      </c>
      <c r="R2587" s="7">
        <v>45356</v>
      </c>
      <c r="S2587" s="40"/>
      <c r="T2587" s="11">
        <v>290.0378</v>
      </c>
      <c r="U2587" s="39"/>
      <c r="V2587" s="39"/>
      <c r="W2587" s="39"/>
      <c r="X2587" s="39"/>
      <c r="Y2587" s="39"/>
      <c r="Z2587" s="3"/>
      <c r="AB2587" s="3"/>
      <c r="AC2587" s="38" t="s">
        <v>5552</v>
      </c>
      <c r="AD2587" s="2"/>
      <c r="AE2587" s="40"/>
    </row>
    <row r="2588" spans="1:31" x14ac:dyDescent="0.25">
      <c r="A2588" s="38" t="s">
        <v>36</v>
      </c>
      <c r="B2588" s="41" t="s">
        <v>5376</v>
      </c>
      <c r="C2588" s="41" t="s">
        <v>5546</v>
      </c>
      <c r="D2588" s="41" t="s">
        <v>5552</v>
      </c>
      <c r="E2588" s="41" t="s">
        <v>5553</v>
      </c>
      <c r="F2588" s="41">
        <v>2208</v>
      </c>
      <c r="G2588" s="41">
        <v>2208</v>
      </c>
      <c r="H2588" s="38">
        <f t="shared" si="126"/>
        <v>684</v>
      </c>
      <c r="I2588" s="41">
        <v>438</v>
      </c>
      <c r="J2588" s="41">
        <v>246</v>
      </c>
      <c r="K2588" s="41">
        <v>192</v>
      </c>
      <c r="L2588" s="50">
        <f t="shared" si="127"/>
        <v>28.07017543859649</v>
      </c>
      <c r="M2588" s="41">
        <v>0</v>
      </c>
      <c r="N2588" s="50">
        <f t="shared" si="125"/>
        <v>0</v>
      </c>
      <c r="O2588" s="41">
        <v>0</v>
      </c>
      <c r="P2588" s="41">
        <v>0</v>
      </c>
      <c r="Q2588" s="39"/>
      <c r="R2588" s="7">
        <v>45356</v>
      </c>
      <c r="S2588" s="40"/>
      <c r="U2588" s="39"/>
      <c r="V2588" s="39"/>
      <c r="W2588" s="39"/>
      <c r="X2588" s="39"/>
      <c r="Y2588" s="39"/>
      <c r="Z2588" s="207"/>
      <c r="AB2588" s="3">
        <v>45</v>
      </c>
      <c r="AC2588" s="38" t="s">
        <v>5552</v>
      </c>
      <c r="AD2588" s="2">
        <v>26.201886999999999</v>
      </c>
      <c r="AE2588" s="40">
        <v>71.200654</v>
      </c>
    </row>
    <row r="2589" spans="1:31" x14ac:dyDescent="0.25">
      <c r="A2589" s="38" t="s">
        <v>36</v>
      </c>
      <c r="B2589" s="38" t="s">
        <v>5376</v>
      </c>
      <c r="C2589" s="38" t="s">
        <v>5546</v>
      </c>
      <c r="D2589" s="38" t="s">
        <v>5554</v>
      </c>
      <c r="E2589" s="38" t="s">
        <v>5555</v>
      </c>
      <c r="F2589" s="38">
        <v>254</v>
      </c>
      <c r="G2589" s="38">
        <v>254</v>
      </c>
      <c r="H2589" s="38">
        <f t="shared" si="126"/>
        <v>124</v>
      </c>
      <c r="I2589" s="38">
        <v>83</v>
      </c>
      <c r="J2589" s="38">
        <v>41</v>
      </c>
      <c r="K2589" s="38">
        <v>42</v>
      </c>
      <c r="L2589" s="50">
        <f t="shared" si="127"/>
        <v>33.87096774193548</v>
      </c>
      <c r="M2589" s="38">
        <v>15</v>
      </c>
      <c r="N2589" s="50">
        <f t="shared" si="125"/>
        <v>12.096774193548388</v>
      </c>
      <c r="O2589" s="38">
        <v>0</v>
      </c>
      <c r="P2589" s="38">
        <v>0</v>
      </c>
      <c r="Q2589" s="39" t="s">
        <v>44</v>
      </c>
      <c r="R2589" s="7">
        <v>45356</v>
      </c>
      <c r="S2589" s="40"/>
      <c r="T2589" s="11">
        <v>0</v>
      </c>
      <c r="U2589" s="39"/>
      <c r="V2589" s="39"/>
      <c r="W2589" s="39"/>
      <c r="X2589" s="39"/>
      <c r="Y2589" s="39"/>
      <c r="Z2589" s="3"/>
      <c r="AB2589" s="3"/>
      <c r="AC2589" s="38" t="s">
        <v>5554</v>
      </c>
      <c r="AD2589" s="2"/>
      <c r="AE2589" s="40"/>
    </row>
    <row r="2590" spans="1:31" x14ac:dyDescent="0.25">
      <c r="A2590" s="38" t="s">
        <v>36</v>
      </c>
      <c r="B2590" s="41" t="s">
        <v>5376</v>
      </c>
      <c r="C2590" s="41" t="s">
        <v>5556</v>
      </c>
      <c r="D2590" s="41" t="s">
        <v>5557</v>
      </c>
      <c r="E2590" s="41" t="s">
        <v>5558</v>
      </c>
      <c r="F2590" s="41">
        <v>1893</v>
      </c>
      <c r="G2590" s="41">
        <v>1893</v>
      </c>
      <c r="H2590" s="38">
        <f t="shared" si="126"/>
        <v>1223</v>
      </c>
      <c r="I2590" s="41">
        <v>1223</v>
      </c>
      <c r="J2590" s="41"/>
      <c r="K2590" s="41"/>
      <c r="L2590" s="50">
        <f t="shared" si="127"/>
        <v>0</v>
      </c>
      <c r="M2590" s="41"/>
      <c r="N2590" s="50">
        <f t="shared" ref="N2590:N2653" si="128">M2590/H2590*100</f>
        <v>0</v>
      </c>
      <c r="O2590" s="41">
        <v>0</v>
      </c>
      <c r="P2590" s="41">
        <v>49</v>
      </c>
      <c r="Q2590" s="43" t="s">
        <v>44</v>
      </c>
      <c r="R2590" s="82" t="s">
        <v>5560</v>
      </c>
      <c r="S2590" s="44"/>
      <c r="T2590" s="82">
        <v>96.671099999999996</v>
      </c>
      <c r="U2590" s="43"/>
      <c r="V2590" s="43"/>
      <c r="W2590" s="43"/>
      <c r="X2590" s="43"/>
      <c r="Y2590" s="43"/>
      <c r="Z2590" s="5"/>
      <c r="AB2590" s="5">
        <v>17</v>
      </c>
      <c r="AC2590" s="82" t="s">
        <v>5559</v>
      </c>
      <c r="AD2590" s="44">
        <v>26.064582999999999</v>
      </c>
      <c r="AE2590" s="44">
        <v>71.171445599999998</v>
      </c>
    </row>
    <row r="2591" spans="1:31" x14ac:dyDescent="0.25">
      <c r="A2591" s="38" t="s">
        <v>36</v>
      </c>
      <c r="B2591" s="38" t="s">
        <v>5376</v>
      </c>
      <c r="C2591" s="38" t="s">
        <v>5556</v>
      </c>
      <c r="D2591" s="38" t="s">
        <v>5561</v>
      </c>
      <c r="E2591" s="38" t="s">
        <v>5562</v>
      </c>
      <c r="F2591" s="38">
        <v>1350</v>
      </c>
      <c r="G2591" s="38">
        <v>1350</v>
      </c>
      <c r="H2591" s="38">
        <f t="shared" si="126"/>
        <v>788</v>
      </c>
      <c r="I2591" s="38">
        <v>513</v>
      </c>
      <c r="J2591" s="38">
        <v>275</v>
      </c>
      <c r="K2591" s="38">
        <v>238</v>
      </c>
      <c r="L2591" s="50">
        <f t="shared" si="127"/>
        <v>30.203045685279189</v>
      </c>
      <c r="M2591" s="38">
        <v>0</v>
      </c>
      <c r="N2591" s="50">
        <f t="shared" si="128"/>
        <v>0</v>
      </c>
      <c r="O2591" s="38">
        <v>0</v>
      </c>
      <c r="P2591" s="38">
        <v>0</v>
      </c>
      <c r="Q2591" s="39" t="s">
        <v>44</v>
      </c>
      <c r="R2591" s="60" t="s">
        <v>5560</v>
      </c>
      <c r="S2591" s="40"/>
      <c r="T2591" s="60">
        <v>18.453600000000002</v>
      </c>
      <c r="U2591" s="39"/>
      <c r="V2591" s="39"/>
      <c r="W2591" s="39"/>
      <c r="X2591" s="39"/>
      <c r="Y2591" s="39"/>
      <c r="Z2591" s="3"/>
      <c r="AB2591" s="3"/>
      <c r="AC2591" s="60" t="s">
        <v>5561</v>
      </c>
      <c r="AD2591" s="2">
        <v>0</v>
      </c>
      <c r="AE2591" s="40">
        <v>0</v>
      </c>
    </row>
    <row r="2592" spans="1:31" x14ac:dyDescent="0.25">
      <c r="A2592" s="38" t="s">
        <v>36</v>
      </c>
      <c r="B2592" s="38" t="s">
        <v>5376</v>
      </c>
      <c r="C2592" s="38" t="s">
        <v>5556</v>
      </c>
      <c r="D2592" s="38" t="s">
        <v>5261</v>
      </c>
      <c r="E2592" s="38" t="s">
        <v>5563</v>
      </c>
      <c r="F2592" s="38">
        <v>1942</v>
      </c>
      <c r="G2592" s="38">
        <v>1942</v>
      </c>
      <c r="H2592" s="38">
        <f t="shared" si="126"/>
        <v>1691</v>
      </c>
      <c r="I2592" s="38">
        <v>1102</v>
      </c>
      <c r="J2592" s="38">
        <v>589</v>
      </c>
      <c r="K2592" s="38">
        <v>513</v>
      </c>
      <c r="L2592" s="50">
        <f t="shared" si="127"/>
        <v>30.337078651685395</v>
      </c>
      <c r="M2592" s="38">
        <v>12</v>
      </c>
      <c r="N2592" s="50">
        <f t="shared" si="128"/>
        <v>0.70963926670609112</v>
      </c>
      <c r="O2592" s="38">
        <v>0</v>
      </c>
      <c r="P2592" s="38">
        <v>193</v>
      </c>
      <c r="Q2592" s="39" t="s">
        <v>44</v>
      </c>
      <c r="R2592" s="60" t="s">
        <v>5560</v>
      </c>
      <c r="S2592" s="40"/>
      <c r="T2592" s="60">
        <v>152.76050000000001</v>
      </c>
      <c r="U2592" s="39"/>
      <c r="V2592" s="39"/>
      <c r="W2592" s="39"/>
      <c r="X2592" s="39"/>
      <c r="Y2592" s="39"/>
      <c r="Z2592" s="3"/>
      <c r="AB2592" s="3"/>
      <c r="AC2592" s="60" t="s">
        <v>5261</v>
      </c>
      <c r="AD2592" s="2">
        <v>0</v>
      </c>
      <c r="AE2592" s="40">
        <v>0</v>
      </c>
    </row>
    <row r="2593" spans="1:31" x14ac:dyDescent="0.25">
      <c r="A2593" s="38" t="s">
        <v>36</v>
      </c>
      <c r="B2593" s="38" t="s">
        <v>5376</v>
      </c>
      <c r="C2593" s="38" t="s">
        <v>5556</v>
      </c>
      <c r="D2593" s="38" t="s">
        <v>5564</v>
      </c>
      <c r="E2593" s="38" t="s">
        <v>5565</v>
      </c>
      <c r="F2593" s="38">
        <v>1456</v>
      </c>
      <c r="G2593" s="38">
        <v>1456</v>
      </c>
      <c r="H2593" s="38">
        <f t="shared" si="126"/>
        <v>1255</v>
      </c>
      <c r="I2593" s="38">
        <v>822</v>
      </c>
      <c r="J2593" s="38">
        <v>433</v>
      </c>
      <c r="K2593" s="38">
        <v>389</v>
      </c>
      <c r="L2593" s="50">
        <f t="shared" si="127"/>
        <v>30.996015936254977</v>
      </c>
      <c r="M2593" s="38">
        <v>0</v>
      </c>
      <c r="N2593" s="50">
        <f t="shared" si="128"/>
        <v>0</v>
      </c>
      <c r="O2593" s="38">
        <v>0</v>
      </c>
      <c r="P2593" s="38">
        <v>87</v>
      </c>
      <c r="Q2593" s="39" t="s">
        <v>44</v>
      </c>
      <c r="R2593" s="60" t="s">
        <v>5560</v>
      </c>
      <c r="S2593" s="40"/>
      <c r="T2593" s="60">
        <v>16.672999999999998</v>
      </c>
      <c r="U2593" s="39"/>
      <c r="V2593" s="39"/>
      <c r="W2593" s="39"/>
      <c r="X2593" s="39"/>
      <c r="Y2593" s="39"/>
      <c r="Z2593" s="3"/>
      <c r="AB2593" s="3"/>
      <c r="AC2593" s="60" t="s">
        <v>5566</v>
      </c>
      <c r="AD2593" s="2">
        <v>0</v>
      </c>
      <c r="AE2593" s="40">
        <v>0</v>
      </c>
    </row>
    <row r="2594" spans="1:31" x14ac:dyDescent="0.25">
      <c r="A2594" s="38" t="s">
        <v>36</v>
      </c>
      <c r="B2594" s="41" t="s">
        <v>5376</v>
      </c>
      <c r="C2594" s="41" t="s">
        <v>5567</v>
      </c>
      <c r="D2594" s="41" t="s">
        <v>5567</v>
      </c>
      <c r="E2594" s="41" t="s">
        <v>5568</v>
      </c>
      <c r="F2594" s="41">
        <v>1867</v>
      </c>
      <c r="G2594" s="41">
        <v>1867</v>
      </c>
      <c r="H2594" s="38">
        <f t="shared" si="126"/>
        <v>853</v>
      </c>
      <c r="I2594" s="41">
        <v>543</v>
      </c>
      <c r="J2594" s="41">
        <v>310</v>
      </c>
      <c r="K2594" s="41">
        <v>233</v>
      </c>
      <c r="L2594" s="50">
        <f t="shared" si="127"/>
        <v>27.315357561547483</v>
      </c>
      <c r="M2594" s="41">
        <v>3</v>
      </c>
      <c r="N2594" s="50">
        <f t="shared" si="128"/>
        <v>0.35169988276670577</v>
      </c>
      <c r="O2594" s="41">
        <v>0</v>
      </c>
      <c r="P2594" s="41">
        <v>0</v>
      </c>
      <c r="Q2594" s="43" t="s">
        <v>44</v>
      </c>
      <c r="R2594" s="24">
        <v>45348</v>
      </c>
      <c r="S2594" s="44"/>
      <c r="T2594" s="18">
        <v>14.641400000000001</v>
      </c>
      <c r="U2594" s="43"/>
      <c r="V2594" s="43"/>
      <c r="W2594" s="43"/>
      <c r="X2594" s="43"/>
      <c r="Y2594" s="43"/>
      <c r="Z2594" s="5"/>
      <c r="AB2594" s="189">
        <v>14.589399999999999</v>
      </c>
      <c r="AC2594" s="41" t="s">
        <v>5567</v>
      </c>
      <c r="AD2594" s="44">
        <v>26.1575819</v>
      </c>
      <c r="AE2594" s="44">
        <v>71.472362000000004</v>
      </c>
    </row>
    <row r="2595" spans="1:31" x14ac:dyDescent="0.25">
      <c r="A2595" s="38" t="s">
        <v>36</v>
      </c>
      <c r="B2595" s="38" t="s">
        <v>5376</v>
      </c>
      <c r="C2595" s="38" t="s">
        <v>5567</v>
      </c>
      <c r="D2595" s="38" t="s">
        <v>5569</v>
      </c>
      <c r="E2595" s="38" t="s">
        <v>5570</v>
      </c>
      <c r="F2595" s="38">
        <v>1003.63</v>
      </c>
      <c r="G2595" s="38">
        <v>1003.63</v>
      </c>
      <c r="H2595" s="38">
        <f t="shared" si="126"/>
        <v>405</v>
      </c>
      <c r="I2595" s="38">
        <v>259</v>
      </c>
      <c r="J2595" s="38">
        <v>146</v>
      </c>
      <c r="K2595" s="38">
        <v>113</v>
      </c>
      <c r="L2595" s="50">
        <f t="shared" si="127"/>
        <v>27.901234567901234</v>
      </c>
      <c r="M2595" s="38">
        <v>0</v>
      </c>
      <c r="N2595" s="50">
        <f t="shared" si="128"/>
        <v>0</v>
      </c>
      <c r="O2595" s="38">
        <v>0</v>
      </c>
      <c r="P2595" s="38">
        <v>30.63</v>
      </c>
      <c r="Q2595" s="39" t="s">
        <v>44</v>
      </c>
      <c r="R2595" s="7">
        <v>45348</v>
      </c>
      <c r="S2595" s="40"/>
      <c r="T2595" s="11">
        <v>14.309699999999999</v>
      </c>
      <c r="U2595" s="39"/>
      <c r="V2595" s="39"/>
      <c r="W2595" s="39"/>
      <c r="X2595" s="39"/>
      <c r="Y2595" s="39"/>
      <c r="Z2595" s="3"/>
      <c r="AB2595" s="2"/>
      <c r="AC2595" s="38" t="s">
        <v>5569</v>
      </c>
      <c r="AD2595" s="2"/>
      <c r="AE2595" s="40"/>
    </row>
    <row r="2596" spans="1:31" x14ac:dyDescent="0.25">
      <c r="A2596" s="38" t="s">
        <v>36</v>
      </c>
      <c r="B2596" s="38" t="s">
        <v>5376</v>
      </c>
      <c r="C2596" s="38" t="s">
        <v>5567</v>
      </c>
      <c r="D2596" s="38" t="s">
        <v>5571</v>
      </c>
      <c r="E2596" s="38" t="s">
        <v>5572</v>
      </c>
      <c r="F2596" s="38">
        <v>683</v>
      </c>
      <c r="G2596" s="38">
        <v>683</v>
      </c>
      <c r="H2596" s="38">
        <f t="shared" si="126"/>
        <v>520</v>
      </c>
      <c r="I2596" s="38">
        <v>333</v>
      </c>
      <c r="J2596" s="38">
        <v>187</v>
      </c>
      <c r="K2596" s="38">
        <v>146</v>
      </c>
      <c r="L2596" s="50">
        <f t="shared" si="127"/>
        <v>28.076923076923077</v>
      </c>
      <c r="M2596" s="38">
        <v>0</v>
      </c>
      <c r="N2596" s="50">
        <f t="shared" si="128"/>
        <v>0</v>
      </c>
      <c r="O2596" s="38">
        <v>0</v>
      </c>
      <c r="P2596" s="38">
        <v>0</v>
      </c>
      <c r="Q2596" s="39" t="s">
        <v>44</v>
      </c>
      <c r="R2596" s="7">
        <v>45348</v>
      </c>
      <c r="S2596" s="40"/>
      <c r="T2596" s="11">
        <v>0.1052</v>
      </c>
      <c r="U2596" s="39"/>
      <c r="V2596" s="39"/>
      <c r="W2596" s="39"/>
      <c r="X2596" s="39"/>
      <c r="Y2596" s="39"/>
      <c r="Z2596" s="3"/>
      <c r="AB2596" s="2"/>
      <c r="AC2596" s="38" t="s">
        <v>5573</v>
      </c>
      <c r="AD2596" s="2"/>
      <c r="AE2596" s="40"/>
    </row>
    <row r="2597" spans="1:31" x14ac:dyDescent="0.25">
      <c r="A2597" s="38" t="s">
        <v>36</v>
      </c>
      <c r="B2597" s="41" t="s">
        <v>5376</v>
      </c>
      <c r="C2597" s="41" t="s">
        <v>5567</v>
      </c>
      <c r="D2597" s="41" t="s">
        <v>5574</v>
      </c>
      <c r="E2597" s="41" t="s">
        <v>5575</v>
      </c>
      <c r="F2597" s="41">
        <v>997</v>
      </c>
      <c r="G2597" s="41">
        <v>997</v>
      </c>
      <c r="H2597" s="38">
        <f t="shared" si="126"/>
        <v>437</v>
      </c>
      <c r="I2597" s="41">
        <v>280</v>
      </c>
      <c r="J2597" s="41">
        <v>157</v>
      </c>
      <c r="K2597" s="41">
        <v>123</v>
      </c>
      <c r="L2597" s="50">
        <f t="shared" si="127"/>
        <v>28.146453089244851</v>
      </c>
      <c r="M2597" s="41">
        <v>12</v>
      </c>
      <c r="N2597" s="50">
        <f t="shared" si="128"/>
        <v>2.7459954233409611</v>
      </c>
      <c r="O2597" s="41">
        <v>0</v>
      </c>
      <c r="P2597" s="41">
        <v>0</v>
      </c>
      <c r="Q2597" s="43" t="s">
        <v>44</v>
      </c>
      <c r="R2597" s="24">
        <v>45348</v>
      </c>
      <c r="S2597" s="44"/>
      <c r="T2597" s="18">
        <v>3.7231000000000001</v>
      </c>
      <c r="U2597" s="43"/>
      <c r="V2597" s="43"/>
      <c r="W2597" s="43"/>
      <c r="X2597" s="43"/>
      <c r="Y2597" s="43"/>
      <c r="Z2597" s="5"/>
      <c r="AB2597" s="189">
        <v>3</v>
      </c>
      <c r="AC2597" s="41" t="s">
        <v>5574</v>
      </c>
      <c r="AD2597" s="44">
        <v>26.191711999999999</v>
      </c>
      <c r="AE2597" s="44">
        <v>71.364727999999999</v>
      </c>
    </row>
    <row r="2598" spans="1:31" x14ac:dyDescent="0.25">
      <c r="A2598" s="38" t="s">
        <v>36</v>
      </c>
      <c r="B2598" s="38" t="s">
        <v>5376</v>
      </c>
      <c r="C2598" s="38" t="s">
        <v>5567</v>
      </c>
      <c r="D2598" s="38" t="s">
        <v>5576</v>
      </c>
      <c r="E2598" s="38" t="s">
        <v>5577</v>
      </c>
      <c r="F2598" s="38">
        <v>847</v>
      </c>
      <c r="G2598" s="38">
        <v>847</v>
      </c>
      <c r="H2598" s="38">
        <f t="shared" si="126"/>
        <v>703</v>
      </c>
      <c r="I2598" s="38">
        <v>463</v>
      </c>
      <c r="J2598" s="38">
        <v>240</v>
      </c>
      <c r="K2598" s="38">
        <v>223</v>
      </c>
      <c r="L2598" s="50">
        <f t="shared" si="127"/>
        <v>31.721194879089616</v>
      </c>
      <c r="M2598" s="38">
        <v>0</v>
      </c>
      <c r="N2598" s="50">
        <f t="shared" si="128"/>
        <v>0</v>
      </c>
      <c r="O2598" s="38">
        <v>0</v>
      </c>
      <c r="P2598" s="38">
        <v>0</v>
      </c>
      <c r="Q2598" s="39" t="s">
        <v>44</v>
      </c>
      <c r="R2598" s="7">
        <v>45348</v>
      </c>
      <c r="S2598" s="40"/>
      <c r="T2598" s="11">
        <v>1.9911000000000001</v>
      </c>
      <c r="U2598" s="39"/>
      <c r="V2598" s="39"/>
      <c r="W2598" s="39"/>
      <c r="X2598" s="39"/>
      <c r="Y2598" s="39"/>
      <c r="Z2598" s="3"/>
      <c r="AB2598" s="2"/>
      <c r="AC2598" s="38" t="s">
        <v>5576</v>
      </c>
      <c r="AD2598" s="2"/>
      <c r="AE2598" s="40"/>
    </row>
    <row r="2599" spans="1:31" x14ac:dyDescent="0.25">
      <c r="A2599" s="38" t="s">
        <v>36</v>
      </c>
      <c r="B2599" s="38" t="s">
        <v>5376</v>
      </c>
      <c r="C2599" s="38" t="s">
        <v>5578</v>
      </c>
      <c r="D2599" s="38" t="s">
        <v>5579</v>
      </c>
      <c r="E2599" s="38" t="s">
        <v>5580</v>
      </c>
      <c r="F2599" s="38">
        <v>4078.46</v>
      </c>
      <c r="G2599" s="38">
        <v>4078.46</v>
      </c>
      <c r="H2599" s="38">
        <f t="shared" si="126"/>
        <v>4281</v>
      </c>
      <c r="I2599" s="38">
        <v>2824</v>
      </c>
      <c r="J2599" s="38">
        <v>1457</v>
      </c>
      <c r="K2599" s="38">
        <v>1367</v>
      </c>
      <c r="L2599" s="50">
        <f t="shared" si="127"/>
        <v>31.931791637467882</v>
      </c>
      <c r="M2599" s="38">
        <v>156</v>
      </c>
      <c r="N2599" s="50">
        <f t="shared" si="128"/>
        <v>3.6440084092501754</v>
      </c>
      <c r="O2599" s="38">
        <v>399</v>
      </c>
      <c r="P2599" s="38">
        <v>141</v>
      </c>
      <c r="Q2599" s="34" t="s">
        <v>43</v>
      </c>
      <c r="R2599" s="9">
        <v>44605</v>
      </c>
      <c r="S2599" s="34"/>
      <c r="T2599" s="34">
        <v>81</v>
      </c>
      <c r="U2599" s="34"/>
      <c r="V2599" s="34"/>
      <c r="W2599" s="34"/>
      <c r="X2599" s="34"/>
      <c r="Y2599" s="34"/>
      <c r="Z2599" s="109"/>
      <c r="AB2599" s="109">
        <v>60</v>
      </c>
      <c r="AC2599" s="34" t="s">
        <v>5581</v>
      </c>
      <c r="AD2599" s="34">
        <v>26.324345000000001</v>
      </c>
      <c r="AE2599" s="34">
        <v>71.568185</v>
      </c>
    </row>
    <row r="2600" spans="1:31" ht="30" x14ac:dyDescent="0.25">
      <c r="A2600" s="38" t="s">
        <v>36</v>
      </c>
      <c r="B2600" s="38" t="s">
        <v>5376</v>
      </c>
      <c r="C2600" s="38" t="s">
        <v>5578</v>
      </c>
      <c r="D2600" s="38" t="s">
        <v>5579</v>
      </c>
      <c r="E2600" s="38" t="s">
        <v>5580</v>
      </c>
      <c r="F2600" s="38">
        <v>4078.46</v>
      </c>
      <c r="G2600" s="38">
        <v>4078.46</v>
      </c>
      <c r="H2600" s="38">
        <f t="shared" si="126"/>
        <v>4281</v>
      </c>
      <c r="I2600" s="38">
        <v>2824</v>
      </c>
      <c r="J2600" s="38">
        <v>1457</v>
      </c>
      <c r="K2600" s="38">
        <v>1367</v>
      </c>
      <c r="L2600" s="50">
        <f t="shared" si="127"/>
        <v>31.931791637467882</v>
      </c>
      <c r="M2600" s="38">
        <v>156</v>
      </c>
      <c r="N2600" s="50">
        <f t="shared" si="128"/>
        <v>3.6440084092501754</v>
      </c>
      <c r="O2600" s="38">
        <v>399</v>
      </c>
      <c r="P2600" s="38">
        <v>141</v>
      </c>
      <c r="Q2600" s="34" t="s">
        <v>43</v>
      </c>
      <c r="R2600" s="32">
        <v>44605</v>
      </c>
      <c r="S2600" s="120"/>
      <c r="T2600" s="237"/>
      <c r="U2600" s="34"/>
      <c r="V2600" s="34"/>
      <c r="W2600" s="34"/>
      <c r="X2600" s="34"/>
      <c r="Y2600" s="34"/>
      <c r="Z2600" s="80"/>
      <c r="AB2600" s="244">
        <v>20</v>
      </c>
      <c r="AC2600" s="216" t="s">
        <v>5582</v>
      </c>
      <c r="AD2600" s="120">
        <v>26.338332000000001</v>
      </c>
      <c r="AE2600" s="120">
        <v>71.565993000000006</v>
      </c>
    </row>
    <row r="2601" spans="1:31" x14ac:dyDescent="0.25">
      <c r="A2601" s="38" t="s">
        <v>36</v>
      </c>
      <c r="B2601" s="38" t="s">
        <v>5376</v>
      </c>
      <c r="C2601" s="38" t="s">
        <v>5583</v>
      </c>
      <c r="D2601" s="38" t="s">
        <v>5584</v>
      </c>
      <c r="E2601" s="38" t="s">
        <v>5585</v>
      </c>
      <c r="F2601" s="38">
        <v>1562</v>
      </c>
      <c r="G2601" s="38">
        <v>1562</v>
      </c>
      <c r="H2601" s="38">
        <f t="shared" si="126"/>
        <v>1988</v>
      </c>
      <c r="I2601" s="38">
        <v>1296</v>
      </c>
      <c r="J2601" s="38">
        <v>692</v>
      </c>
      <c r="K2601" s="38">
        <v>604</v>
      </c>
      <c r="L2601" s="50">
        <f t="shared" si="127"/>
        <v>30.382293762575451</v>
      </c>
      <c r="M2601" s="38">
        <v>123</v>
      </c>
      <c r="N2601" s="50">
        <f t="shared" si="128"/>
        <v>6.1871227364185115</v>
      </c>
      <c r="O2601" s="38">
        <v>0</v>
      </c>
      <c r="P2601" s="38">
        <v>155</v>
      </c>
      <c r="Q2601" s="39" t="s">
        <v>44</v>
      </c>
      <c r="R2601" s="7">
        <v>45356</v>
      </c>
      <c r="S2601" s="40"/>
      <c r="T2601" s="11">
        <v>104.8943</v>
      </c>
      <c r="U2601" s="39"/>
      <c r="V2601" s="39"/>
      <c r="W2601" s="39"/>
      <c r="X2601" s="39"/>
      <c r="Y2601" s="39"/>
      <c r="Z2601" s="3"/>
      <c r="AB2601" s="3"/>
      <c r="AC2601" s="38" t="s">
        <v>5584</v>
      </c>
      <c r="AD2601" s="2"/>
      <c r="AE2601" s="40"/>
    </row>
    <row r="2602" spans="1:31" x14ac:dyDescent="0.25">
      <c r="A2602" s="38" t="s">
        <v>36</v>
      </c>
      <c r="B2602" s="38" t="s">
        <v>5376</v>
      </c>
      <c r="C2602" s="38" t="s">
        <v>5583</v>
      </c>
      <c r="D2602" s="38" t="s">
        <v>5586</v>
      </c>
      <c r="E2602" s="38"/>
      <c r="F2602" s="38"/>
      <c r="G2602" s="38"/>
      <c r="H2602" s="38">
        <f t="shared" si="126"/>
        <v>0</v>
      </c>
      <c r="I2602" s="38"/>
      <c r="J2602" s="38"/>
      <c r="K2602" s="38"/>
      <c r="L2602" s="50"/>
      <c r="M2602" s="38"/>
      <c r="N2602" s="50"/>
      <c r="O2602" s="38"/>
      <c r="P2602" s="38"/>
      <c r="Q2602" s="39" t="s">
        <v>44</v>
      </c>
      <c r="R2602" s="7">
        <v>45356</v>
      </c>
      <c r="S2602" s="40"/>
      <c r="T2602" s="11">
        <v>1.0036</v>
      </c>
      <c r="U2602" s="39"/>
      <c r="V2602" s="39"/>
      <c r="W2602" s="39"/>
      <c r="X2602" s="39"/>
      <c r="Y2602" s="39"/>
      <c r="Z2602" s="3"/>
      <c r="AB2602" s="3"/>
      <c r="AC2602" s="38" t="s">
        <v>5586</v>
      </c>
      <c r="AD2602" s="2"/>
      <c r="AE2602" s="40"/>
    </row>
    <row r="2603" spans="1:31" x14ac:dyDescent="0.25">
      <c r="A2603" s="38" t="s">
        <v>36</v>
      </c>
      <c r="B2603" s="38" t="s">
        <v>5376</v>
      </c>
      <c r="C2603" s="38" t="s">
        <v>5583</v>
      </c>
      <c r="D2603" s="38" t="s">
        <v>5587</v>
      </c>
      <c r="E2603" s="38"/>
      <c r="F2603" s="38"/>
      <c r="G2603" s="38"/>
      <c r="H2603" s="38">
        <f t="shared" si="126"/>
        <v>0</v>
      </c>
      <c r="I2603" s="38"/>
      <c r="J2603" s="38"/>
      <c r="K2603" s="38"/>
      <c r="L2603" s="50"/>
      <c r="M2603" s="38"/>
      <c r="N2603" s="50"/>
      <c r="O2603" s="38"/>
      <c r="P2603" s="38"/>
      <c r="Q2603" s="39" t="s">
        <v>44</v>
      </c>
      <c r="R2603" s="7">
        <v>45356</v>
      </c>
      <c r="S2603" s="40"/>
      <c r="T2603" s="11">
        <v>3.2698</v>
      </c>
      <c r="U2603" s="39"/>
      <c r="V2603" s="39"/>
      <c r="W2603" s="39"/>
      <c r="X2603" s="39"/>
      <c r="Y2603" s="39"/>
      <c r="Z2603" s="3"/>
      <c r="AB2603" s="3"/>
      <c r="AC2603" s="38" t="s">
        <v>5587</v>
      </c>
      <c r="AD2603" s="2"/>
      <c r="AE2603" s="40"/>
    </row>
    <row r="2604" spans="1:31" x14ac:dyDescent="0.25">
      <c r="A2604" s="38" t="s">
        <v>36</v>
      </c>
      <c r="B2604" s="38" t="s">
        <v>5376</v>
      </c>
      <c r="C2604" s="38" t="s">
        <v>5583</v>
      </c>
      <c r="D2604" s="38" t="s">
        <v>5588</v>
      </c>
      <c r="E2604" s="38"/>
      <c r="F2604" s="38"/>
      <c r="G2604" s="38"/>
      <c r="H2604" s="38">
        <f t="shared" si="126"/>
        <v>0</v>
      </c>
      <c r="I2604" s="38"/>
      <c r="J2604" s="38"/>
      <c r="K2604" s="38"/>
      <c r="L2604" s="50"/>
      <c r="M2604" s="38"/>
      <c r="N2604" s="50"/>
      <c r="O2604" s="38"/>
      <c r="P2604" s="38"/>
      <c r="Q2604" s="39" t="s">
        <v>44</v>
      </c>
      <c r="R2604" s="7">
        <v>45356</v>
      </c>
      <c r="S2604" s="40"/>
      <c r="T2604" s="11">
        <v>63.624499999999998</v>
      </c>
      <c r="U2604" s="39"/>
      <c r="V2604" s="39"/>
      <c r="W2604" s="39"/>
      <c r="X2604" s="39"/>
      <c r="Y2604" s="39"/>
      <c r="Z2604" s="3"/>
      <c r="AB2604" s="3"/>
      <c r="AC2604" s="38" t="s">
        <v>5588</v>
      </c>
      <c r="AD2604" s="2"/>
      <c r="AE2604" s="40"/>
    </row>
    <row r="2605" spans="1:31" x14ac:dyDescent="0.25">
      <c r="A2605" s="38" t="s">
        <v>36</v>
      </c>
      <c r="B2605" s="38" t="s">
        <v>5376</v>
      </c>
      <c r="C2605" s="38" t="s">
        <v>5583</v>
      </c>
      <c r="D2605" s="38" t="s">
        <v>5589</v>
      </c>
      <c r="E2605" s="38" t="s">
        <v>5590</v>
      </c>
      <c r="F2605" s="38">
        <v>844</v>
      </c>
      <c r="G2605" s="38">
        <v>844</v>
      </c>
      <c r="H2605" s="38">
        <f t="shared" si="126"/>
        <v>518</v>
      </c>
      <c r="I2605" s="38">
        <v>342</v>
      </c>
      <c r="J2605" s="38">
        <v>176</v>
      </c>
      <c r="K2605" s="38">
        <v>166</v>
      </c>
      <c r="L2605" s="50">
        <f t="shared" si="127"/>
        <v>32.046332046332047</v>
      </c>
      <c r="M2605" s="38">
        <v>0</v>
      </c>
      <c r="N2605" s="50">
        <f t="shared" si="128"/>
        <v>0</v>
      </c>
      <c r="O2605" s="38">
        <v>0</v>
      </c>
      <c r="P2605" s="38">
        <v>12</v>
      </c>
      <c r="Q2605" s="39" t="s">
        <v>44</v>
      </c>
      <c r="R2605" s="7">
        <v>45356</v>
      </c>
      <c r="S2605" s="40"/>
      <c r="T2605" s="11">
        <v>2.4281000000000001</v>
      </c>
      <c r="U2605" s="39"/>
      <c r="V2605" s="39"/>
      <c r="W2605" s="39"/>
      <c r="X2605" s="39"/>
      <c r="Y2605" s="39"/>
      <c r="Z2605" s="3"/>
      <c r="AB2605" s="3"/>
      <c r="AC2605" s="38" t="s">
        <v>5589</v>
      </c>
      <c r="AD2605" s="2"/>
      <c r="AE2605" s="40"/>
    </row>
    <row r="2606" spans="1:31" x14ac:dyDescent="0.25">
      <c r="A2606" s="38" t="s">
        <v>36</v>
      </c>
      <c r="B2606" s="38" t="s">
        <v>5376</v>
      </c>
      <c r="C2606" s="38" t="s">
        <v>5583</v>
      </c>
      <c r="D2606" s="38" t="s">
        <v>5591</v>
      </c>
      <c r="E2606" s="38" t="s">
        <v>5592</v>
      </c>
      <c r="F2606" s="38">
        <v>2408</v>
      </c>
      <c r="G2606" s="38">
        <v>2408</v>
      </c>
      <c r="H2606" s="38">
        <f t="shared" si="126"/>
        <v>1870</v>
      </c>
      <c r="I2606" s="38">
        <v>1231</v>
      </c>
      <c r="J2606" s="38">
        <v>639</v>
      </c>
      <c r="K2606" s="38">
        <v>592</v>
      </c>
      <c r="L2606" s="50">
        <f t="shared" si="127"/>
        <v>31.657754010695189</v>
      </c>
      <c r="M2606" s="38">
        <v>12</v>
      </c>
      <c r="N2606" s="50">
        <f t="shared" si="128"/>
        <v>0.64171122994652408</v>
      </c>
      <c r="O2606" s="38">
        <v>0</v>
      </c>
      <c r="P2606" s="38">
        <v>64</v>
      </c>
      <c r="Q2606" s="39" t="s">
        <v>44</v>
      </c>
      <c r="R2606" s="7">
        <v>45356</v>
      </c>
      <c r="S2606" s="40"/>
      <c r="T2606" s="11">
        <v>0</v>
      </c>
      <c r="U2606" s="39"/>
      <c r="V2606" s="39"/>
      <c r="W2606" s="39"/>
      <c r="X2606" s="39"/>
      <c r="Y2606" s="39"/>
      <c r="Z2606" s="3"/>
      <c r="AB2606" s="3"/>
      <c r="AC2606" s="38" t="s">
        <v>5591</v>
      </c>
      <c r="AD2606" s="2"/>
      <c r="AE2606" s="40"/>
    </row>
    <row r="2607" spans="1:31" x14ac:dyDescent="0.25">
      <c r="A2607" s="38" t="s">
        <v>36</v>
      </c>
      <c r="B2607" s="38" t="s">
        <v>5376</v>
      </c>
      <c r="C2607" s="38" t="s">
        <v>5593</v>
      </c>
      <c r="D2607" s="38" t="s">
        <v>5593</v>
      </c>
      <c r="E2607" s="38" t="s">
        <v>5594</v>
      </c>
      <c r="F2607" s="38">
        <v>1239.44</v>
      </c>
      <c r="G2607" s="38">
        <v>1239.44</v>
      </c>
      <c r="H2607" s="38">
        <f t="shared" si="126"/>
        <v>1143</v>
      </c>
      <c r="I2607" s="38">
        <v>757</v>
      </c>
      <c r="J2607" s="38">
        <v>386</v>
      </c>
      <c r="K2607" s="38">
        <v>371</v>
      </c>
      <c r="L2607" s="50">
        <f t="shared" si="127"/>
        <v>32.458442694663162</v>
      </c>
      <c r="M2607" s="38">
        <v>0</v>
      </c>
      <c r="N2607" s="50">
        <f t="shared" si="128"/>
        <v>0</v>
      </c>
      <c r="O2607" s="38">
        <v>0</v>
      </c>
      <c r="P2607" s="38">
        <v>0</v>
      </c>
      <c r="Q2607" s="39" t="s">
        <v>44</v>
      </c>
      <c r="R2607" s="11" t="s">
        <v>5595</v>
      </c>
      <c r="S2607" s="40"/>
      <c r="T2607" s="11">
        <v>242.83529999999999</v>
      </c>
      <c r="U2607" s="39"/>
      <c r="V2607" s="39"/>
      <c r="W2607" s="39"/>
      <c r="X2607" s="39"/>
      <c r="Y2607" s="39"/>
      <c r="Z2607" s="3"/>
      <c r="AB2607" s="3"/>
      <c r="AC2607" s="38" t="s">
        <v>5593</v>
      </c>
      <c r="AD2607" s="2"/>
      <c r="AE2607" s="40"/>
    </row>
    <row r="2608" spans="1:31" x14ac:dyDescent="0.25">
      <c r="A2608" s="38" t="s">
        <v>36</v>
      </c>
      <c r="B2608" s="38" t="s">
        <v>5376</v>
      </c>
      <c r="C2608" s="38" t="s">
        <v>5593</v>
      </c>
      <c r="D2608" s="38" t="s">
        <v>5596</v>
      </c>
      <c r="E2608" s="38" t="s">
        <v>5597</v>
      </c>
      <c r="F2608" s="38">
        <v>1035.3699999999999</v>
      </c>
      <c r="G2608" s="38">
        <v>1035.3699999999999</v>
      </c>
      <c r="H2608" s="38">
        <f t="shared" si="126"/>
        <v>1558</v>
      </c>
      <c r="I2608" s="38">
        <v>1013</v>
      </c>
      <c r="J2608" s="38">
        <v>545</v>
      </c>
      <c r="K2608" s="38">
        <v>468</v>
      </c>
      <c r="L2608" s="50">
        <f t="shared" si="127"/>
        <v>30.038510911424904</v>
      </c>
      <c r="M2608" s="38">
        <v>51</v>
      </c>
      <c r="N2608" s="50">
        <f t="shared" si="128"/>
        <v>3.2734274711168165</v>
      </c>
      <c r="O2608" s="38">
        <v>0</v>
      </c>
      <c r="P2608" s="38">
        <v>0</v>
      </c>
      <c r="Q2608" s="39" t="s">
        <v>44</v>
      </c>
      <c r="R2608" s="7">
        <v>45348</v>
      </c>
      <c r="S2608" s="40"/>
      <c r="T2608" s="11">
        <v>0</v>
      </c>
      <c r="U2608" s="39"/>
      <c r="V2608" s="39"/>
      <c r="W2608" s="39"/>
      <c r="X2608" s="39"/>
      <c r="Y2608" s="39"/>
      <c r="Z2608" s="3"/>
      <c r="AB2608" s="3"/>
      <c r="AC2608" s="38" t="s">
        <v>5596</v>
      </c>
      <c r="AD2608" s="2"/>
      <c r="AE2608" s="40"/>
    </row>
    <row r="2609" spans="1:31" x14ac:dyDescent="0.25">
      <c r="A2609" s="38" t="s">
        <v>36</v>
      </c>
      <c r="B2609" s="38" t="s">
        <v>5376</v>
      </c>
      <c r="C2609" s="38" t="s">
        <v>5593</v>
      </c>
      <c r="D2609" s="38" t="s">
        <v>5598</v>
      </c>
      <c r="E2609" s="38" t="s">
        <v>5599</v>
      </c>
      <c r="F2609" s="38">
        <v>1637.05</v>
      </c>
      <c r="G2609" s="38">
        <v>1637.05</v>
      </c>
      <c r="H2609" s="38">
        <f t="shared" si="126"/>
        <v>1278</v>
      </c>
      <c r="I2609" s="38">
        <v>840</v>
      </c>
      <c r="J2609" s="38">
        <v>438</v>
      </c>
      <c r="K2609" s="38">
        <v>402</v>
      </c>
      <c r="L2609" s="50">
        <f t="shared" si="127"/>
        <v>31.455399061032864</v>
      </c>
      <c r="M2609" s="38">
        <v>40</v>
      </c>
      <c r="N2609" s="50">
        <f t="shared" si="128"/>
        <v>3.1298904538341157</v>
      </c>
      <c r="O2609" s="38">
        <v>0</v>
      </c>
      <c r="P2609" s="38">
        <v>0</v>
      </c>
      <c r="Q2609" s="39" t="s">
        <v>44</v>
      </c>
      <c r="R2609" s="7">
        <v>45348</v>
      </c>
      <c r="S2609" s="40"/>
      <c r="T2609" s="11">
        <v>108.2856</v>
      </c>
      <c r="U2609" s="39"/>
      <c r="V2609" s="39"/>
      <c r="W2609" s="39"/>
      <c r="X2609" s="39"/>
      <c r="Y2609" s="39"/>
      <c r="Z2609" s="3"/>
      <c r="AB2609" s="3"/>
      <c r="AC2609" s="38" t="s">
        <v>5598</v>
      </c>
      <c r="AD2609" s="2"/>
      <c r="AE2609" s="40"/>
    </row>
    <row r="2610" spans="1:31" x14ac:dyDescent="0.25">
      <c r="A2610" s="38" t="s">
        <v>36</v>
      </c>
      <c r="B2610" s="41" t="s">
        <v>5376</v>
      </c>
      <c r="C2610" s="41" t="s">
        <v>5600</v>
      </c>
      <c r="D2610" s="41" t="s">
        <v>5601</v>
      </c>
      <c r="E2610" s="41" t="s">
        <v>5602</v>
      </c>
      <c r="F2610" s="41">
        <v>3443</v>
      </c>
      <c r="G2610" s="41">
        <v>3443</v>
      </c>
      <c r="H2610" s="38">
        <f t="shared" si="126"/>
        <v>1320</v>
      </c>
      <c r="I2610" s="41">
        <v>862</v>
      </c>
      <c r="J2610" s="41">
        <v>458</v>
      </c>
      <c r="K2610" s="41">
        <v>404</v>
      </c>
      <c r="L2610" s="50">
        <f t="shared" si="127"/>
        <v>30.606060606060602</v>
      </c>
      <c r="M2610" s="41">
        <v>69</v>
      </c>
      <c r="N2610" s="50">
        <f t="shared" si="128"/>
        <v>5.2272727272727266</v>
      </c>
      <c r="O2610" s="41">
        <v>101</v>
      </c>
      <c r="P2610" s="41">
        <v>1070</v>
      </c>
      <c r="Q2610" s="43" t="s">
        <v>44</v>
      </c>
      <c r="R2610" s="24">
        <v>45356</v>
      </c>
      <c r="S2610" s="44"/>
      <c r="T2610" s="18">
        <v>1086.5064</v>
      </c>
      <c r="U2610" s="43"/>
      <c r="V2610" s="43"/>
      <c r="W2610" s="43"/>
      <c r="X2610" s="43"/>
      <c r="Y2610" s="43"/>
      <c r="Z2610" s="5"/>
      <c r="AB2610" s="5">
        <v>15</v>
      </c>
      <c r="AC2610" s="41" t="s">
        <v>5601</v>
      </c>
      <c r="AD2610" s="44">
        <v>26.101828999999999</v>
      </c>
      <c r="AE2610" s="44">
        <v>71.200986999999998</v>
      </c>
    </row>
    <row r="2611" spans="1:31" x14ac:dyDescent="0.25">
      <c r="A2611" s="38" t="s">
        <v>36</v>
      </c>
      <c r="B2611" s="38" t="s">
        <v>5376</v>
      </c>
      <c r="C2611" s="38" t="s">
        <v>5600</v>
      </c>
      <c r="D2611" s="38" t="s">
        <v>5603</v>
      </c>
      <c r="E2611" s="38" t="s">
        <v>5604</v>
      </c>
      <c r="F2611" s="38">
        <v>1295</v>
      </c>
      <c r="G2611" s="38">
        <v>1295</v>
      </c>
      <c r="H2611" s="38">
        <f t="shared" si="126"/>
        <v>1138</v>
      </c>
      <c r="I2611" s="38">
        <v>742</v>
      </c>
      <c r="J2611" s="38">
        <v>396</v>
      </c>
      <c r="K2611" s="38">
        <v>346</v>
      </c>
      <c r="L2611" s="50">
        <f t="shared" si="127"/>
        <v>30.404217926186295</v>
      </c>
      <c r="M2611" s="38">
        <v>0</v>
      </c>
      <c r="N2611" s="50">
        <f t="shared" si="128"/>
        <v>0</v>
      </c>
      <c r="O2611" s="38">
        <v>0</v>
      </c>
      <c r="P2611" s="38">
        <v>26</v>
      </c>
      <c r="Q2611" s="39" t="s">
        <v>44</v>
      </c>
      <c r="R2611" s="7">
        <v>45356</v>
      </c>
      <c r="S2611" s="40"/>
      <c r="T2611" s="11">
        <v>26.871099999999998</v>
      </c>
      <c r="U2611" s="39"/>
      <c r="V2611" s="39"/>
      <c r="W2611" s="39"/>
      <c r="X2611" s="39"/>
      <c r="Y2611" s="39"/>
      <c r="Z2611" s="3"/>
      <c r="AB2611" s="3"/>
      <c r="AC2611" s="38" t="s">
        <v>5603</v>
      </c>
      <c r="AD2611" s="2"/>
      <c r="AE2611" s="40"/>
    </row>
    <row r="2612" spans="1:31" x14ac:dyDescent="0.25">
      <c r="A2612" s="38" t="s">
        <v>36</v>
      </c>
      <c r="B2612" s="38" t="s">
        <v>5376</v>
      </c>
      <c r="C2612" s="38" t="s">
        <v>5600</v>
      </c>
      <c r="D2612" s="38" t="s">
        <v>536</v>
      </c>
      <c r="E2612" s="38" t="s">
        <v>5605</v>
      </c>
      <c r="F2612" s="38">
        <v>793</v>
      </c>
      <c r="G2612" s="38">
        <v>793</v>
      </c>
      <c r="H2612" s="38">
        <f t="shared" si="126"/>
        <v>167</v>
      </c>
      <c r="I2612" s="38">
        <v>106</v>
      </c>
      <c r="J2612" s="38">
        <v>61</v>
      </c>
      <c r="K2612" s="38">
        <v>45</v>
      </c>
      <c r="L2612" s="50">
        <f t="shared" si="127"/>
        <v>26.946107784431138</v>
      </c>
      <c r="M2612" s="38">
        <v>1</v>
      </c>
      <c r="N2612" s="50">
        <f t="shared" si="128"/>
        <v>0.5988023952095809</v>
      </c>
      <c r="O2612" s="38">
        <v>0</v>
      </c>
      <c r="P2612" s="38">
        <v>150</v>
      </c>
      <c r="Q2612" s="39" t="s">
        <v>44</v>
      </c>
      <c r="R2612" s="7">
        <v>45356</v>
      </c>
      <c r="S2612" s="40"/>
      <c r="T2612" s="11">
        <v>142.46510000000001</v>
      </c>
      <c r="U2612" s="39"/>
      <c r="V2612" s="39"/>
      <c r="W2612" s="39"/>
      <c r="X2612" s="39"/>
      <c r="Y2612" s="39"/>
      <c r="Z2612" s="3"/>
      <c r="AB2612" s="3"/>
      <c r="AC2612" s="38" t="s">
        <v>536</v>
      </c>
      <c r="AD2612" s="2"/>
      <c r="AE2612" s="40"/>
    </row>
    <row r="2613" spans="1:31" x14ac:dyDescent="0.25">
      <c r="A2613" s="38" t="s">
        <v>36</v>
      </c>
      <c r="B2613" s="38" t="s">
        <v>5376</v>
      </c>
      <c r="C2613" s="38" t="s">
        <v>5600</v>
      </c>
      <c r="D2613" s="38" t="s">
        <v>727</v>
      </c>
      <c r="E2613" s="38" t="s">
        <v>5606</v>
      </c>
      <c r="F2613" s="38">
        <v>2126</v>
      </c>
      <c r="G2613" s="38">
        <v>2126</v>
      </c>
      <c r="H2613" s="38">
        <f t="shared" si="126"/>
        <v>1211</v>
      </c>
      <c r="I2613" s="38">
        <v>789</v>
      </c>
      <c r="J2613" s="38">
        <v>422</v>
      </c>
      <c r="K2613" s="38">
        <v>367</v>
      </c>
      <c r="L2613" s="50">
        <f t="shared" si="127"/>
        <v>30.305532617671343</v>
      </c>
      <c r="M2613" s="38">
        <v>87</v>
      </c>
      <c r="N2613" s="50">
        <f t="shared" si="128"/>
        <v>7.1841453344343513</v>
      </c>
      <c r="O2613" s="38">
        <v>0</v>
      </c>
      <c r="P2613" s="38">
        <v>27</v>
      </c>
      <c r="Q2613" s="39" t="s">
        <v>44</v>
      </c>
      <c r="R2613" s="7">
        <v>45356</v>
      </c>
      <c r="S2613" s="40"/>
      <c r="T2613" s="11">
        <v>83.405699999999996</v>
      </c>
      <c r="U2613" s="39"/>
      <c r="V2613" s="39"/>
      <c r="W2613" s="39"/>
      <c r="X2613" s="39"/>
      <c r="Y2613" s="39"/>
      <c r="Z2613" s="3"/>
      <c r="AB2613" s="3"/>
      <c r="AC2613" s="38" t="s">
        <v>727</v>
      </c>
      <c r="AD2613" s="2"/>
      <c r="AE2613" s="40"/>
    </row>
    <row r="2614" spans="1:31" x14ac:dyDescent="0.25">
      <c r="A2614" s="38" t="s">
        <v>36</v>
      </c>
      <c r="B2614" s="38" t="s">
        <v>5376</v>
      </c>
      <c r="C2614" s="38" t="s">
        <v>5600</v>
      </c>
      <c r="D2614" s="38" t="s">
        <v>2323</v>
      </c>
      <c r="E2614" s="38" t="s">
        <v>5607</v>
      </c>
      <c r="F2614" s="38">
        <v>1427</v>
      </c>
      <c r="G2614" s="38">
        <v>1427</v>
      </c>
      <c r="H2614" s="38">
        <f t="shared" si="126"/>
        <v>1109</v>
      </c>
      <c r="I2614" s="38">
        <v>697</v>
      </c>
      <c r="J2614" s="38">
        <v>412</v>
      </c>
      <c r="K2614" s="38">
        <v>285</v>
      </c>
      <c r="L2614" s="50">
        <f t="shared" si="127"/>
        <v>25.698827772768261</v>
      </c>
      <c r="M2614" s="38">
        <v>80</v>
      </c>
      <c r="N2614" s="50">
        <f t="shared" si="128"/>
        <v>7.2137060414788099</v>
      </c>
      <c r="O2614" s="38">
        <v>0</v>
      </c>
      <c r="P2614" s="38">
        <v>206</v>
      </c>
      <c r="Q2614" s="39" t="s">
        <v>44</v>
      </c>
      <c r="R2614" s="7">
        <v>45356</v>
      </c>
      <c r="S2614" s="40"/>
      <c r="T2614" s="11">
        <v>86.0685</v>
      </c>
      <c r="U2614" s="39"/>
      <c r="V2614" s="39"/>
      <c r="W2614" s="39"/>
      <c r="X2614" s="39"/>
      <c r="Y2614" s="39"/>
      <c r="Z2614" s="3"/>
      <c r="AB2614" s="3">
        <v>23</v>
      </c>
      <c r="AC2614" s="38" t="s">
        <v>2323</v>
      </c>
      <c r="AD2614" s="2">
        <v>26.095751</v>
      </c>
      <c r="AE2614" s="40">
        <v>71.213415999999995</v>
      </c>
    </row>
    <row r="2615" spans="1:31" x14ac:dyDescent="0.25">
      <c r="A2615" s="38" t="s">
        <v>36</v>
      </c>
      <c r="B2615" s="38" t="s">
        <v>5376</v>
      </c>
      <c r="C2615" s="38" t="s">
        <v>5608</v>
      </c>
      <c r="D2615" s="38" t="s">
        <v>5608</v>
      </c>
      <c r="E2615" s="38" t="s">
        <v>5609</v>
      </c>
      <c r="F2615" s="38">
        <v>1829</v>
      </c>
      <c r="G2615" s="38">
        <v>1829</v>
      </c>
      <c r="H2615" s="38">
        <f t="shared" si="126"/>
        <v>1862</v>
      </c>
      <c r="I2615" s="38">
        <v>1216</v>
      </c>
      <c r="J2615" s="38">
        <v>646</v>
      </c>
      <c r="K2615" s="38">
        <v>570</v>
      </c>
      <c r="L2615" s="50">
        <f t="shared" si="127"/>
        <v>30.612244897959183</v>
      </c>
      <c r="M2615" s="38">
        <v>0</v>
      </c>
      <c r="N2615" s="50">
        <f t="shared" si="128"/>
        <v>0</v>
      </c>
      <c r="O2615" s="38">
        <v>0</v>
      </c>
      <c r="P2615" s="38">
        <v>16</v>
      </c>
      <c r="Q2615" s="98" t="s">
        <v>160</v>
      </c>
      <c r="R2615" s="7">
        <v>45201</v>
      </c>
      <c r="S2615" s="99"/>
      <c r="T2615" s="11">
        <v>16.18</v>
      </c>
      <c r="U2615" s="98"/>
      <c r="V2615" s="98"/>
      <c r="W2615" s="98"/>
      <c r="X2615" s="98"/>
      <c r="Y2615" s="98"/>
      <c r="Z2615" s="20"/>
      <c r="AB2615" s="20"/>
      <c r="AC2615" s="38" t="s">
        <v>5608</v>
      </c>
      <c r="AD2615" s="61"/>
      <c r="AE2615" s="99"/>
    </row>
    <row r="2616" spans="1:31" x14ac:dyDescent="0.25">
      <c r="A2616" s="38" t="s">
        <v>36</v>
      </c>
      <c r="B2616" s="38" t="s">
        <v>5376</v>
      </c>
      <c r="C2616" s="38" t="s">
        <v>5608</v>
      </c>
      <c r="D2616" s="38" t="s">
        <v>5610</v>
      </c>
      <c r="E2616" s="38" t="s">
        <v>5611</v>
      </c>
      <c r="F2616" s="38">
        <v>922</v>
      </c>
      <c r="G2616" s="38">
        <v>922</v>
      </c>
      <c r="H2616" s="38">
        <f t="shared" si="126"/>
        <v>1621</v>
      </c>
      <c r="I2616" s="38">
        <v>1063</v>
      </c>
      <c r="J2616" s="38">
        <v>558</v>
      </c>
      <c r="K2616" s="38">
        <v>505</v>
      </c>
      <c r="L2616" s="50">
        <f t="shared" si="127"/>
        <v>31.153608883405305</v>
      </c>
      <c r="M2616" s="38">
        <v>0</v>
      </c>
      <c r="N2616" s="50">
        <f t="shared" si="128"/>
        <v>0</v>
      </c>
      <c r="O2616" s="38">
        <v>0</v>
      </c>
      <c r="P2616" s="38">
        <v>10</v>
      </c>
      <c r="Q2616" s="98" t="s">
        <v>160</v>
      </c>
      <c r="R2616" s="7">
        <v>45201</v>
      </c>
      <c r="S2616" s="99"/>
      <c r="T2616" s="11">
        <v>9.1199999999999992</v>
      </c>
      <c r="U2616" s="98"/>
      <c r="V2616" s="98"/>
      <c r="W2616" s="98"/>
      <c r="X2616" s="98"/>
      <c r="Y2616" s="98"/>
      <c r="Z2616" s="20"/>
      <c r="AB2616" s="20"/>
      <c r="AC2616" s="38" t="s">
        <v>5610</v>
      </c>
      <c r="AD2616" s="61"/>
      <c r="AE2616" s="99"/>
    </row>
    <row r="2617" spans="1:31" x14ac:dyDescent="0.25">
      <c r="A2617" s="38" t="s">
        <v>36</v>
      </c>
      <c r="B2617" s="38" t="s">
        <v>5376</v>
      </c>
      <c r="C2617" s="38" t="s">
        <v>5608</v>
      </c>
      <c r="D2617" s="38" t="s">
        <v>5612</v>
      </c>
      <c r="E2617" s="38" t="s">
        <v>5613</v>
      </c>
      <c r="F2617" s="38">
        <v>1335</v>
      </c>
      <c r="G2617" s="38">
        <v>1335</v>
      </c>
      <c r="H2617" s="38">
        <f t="shared" si="126"/>
        <v>1156</v>
      </c>
      <c r="I2617" s="38">
        <v>752</v>
      </c>
      <c r="J2617" s="38">
        <v>404</v>
      </c>
      <c r="K2617" s="38">
        <v>348</v>
      </c>
      <c r="L2617" s="50">
        <f t="shared" si="127"/>
        <v>30.103806228373703</v>
      </c>
      <c r="M2617" s="38">
        <v>0</v>
      </c>
      <c r="N2617" s="50">
        <f t="shared" si="128"/>
        <v>0</v>
      </c>
      <c r="O2617" s="38">
        <v>0</v>
      </c>
      <c r="P2617" s="38">
        <v>13</v>
      </c>
      <c r="Q2617" s="98" t="s">
        <v>160</v>
      </c>
      <c r="R2617" s="7">
        <v>45201</v>
      </c>
      <c r="S2617" s="99"/>
      <c r="T2617" s="11">
        <v>12.54</v>
      </c>
      <c r="U2617" s="98"/>
      <c r="V2617" s="98"/>
      <c r="W2617" s="98"/>
      <c r="X2617" s="98"/>
      <c r="Y2617" s="98"/>
      <c r="Z2617" s="20"/>
      <c r="AB2617" s="20"/>
      <c r="AC2617" s="38" t="s">
        <v>5612</v>
      </c>
      <c r="AD2617" s="61"/>
      <c r="AE2617" s="99"/>
    </row>
    <row r="2618" spans="1:31" x14ac:dyDescent="0.25">
      <c r="A2618" s="38" t="s">
        <v>36</v>
      </c>
      <c r="B2618" s="38" t="s">
        <v>5376</v>
      </c>
      <c r="C2618" s="38" t="s">
        <v>5614</v>
      </c>
      <c r="D2618" s="38" t="s">
        <v>5615</v>
      </c>
      <c r="E2618" s="38" t="s">
        <v>5616</v>
      </c>
      <c r="F2618" s="38">
        <v>2260.61</v>
      </c>
      <c r="G2618" s="38">
        <v>2260.61</v>
      </c>
      <c r="H2618" s="38">
        <f t="shared" si="126"/>
        <v>2204</v>
      </c>
      <c r="I2618" s="38">
        <v>1447</v>
      </c>
      <c r="J2618" s="38">
        <v>757</v>
      </c>
      <c r="K2618" s="38">
        <v>690</v>
      </c>
      <c r="L2618" s="50">
        <f t="shared" si="127"/>
        <v>31.306715063520873</v>
      </c>
      <c r="M2618" s="38">
        <v>90</v>
      </c>
      <c r="N2618" s="50">
        <f t="shared" si="128"/>
        <v>4.0834845735027221</v>
      </c>
      <c r="O2618" s="38">
        <v>0</v>
      </c>
      <c r="P2618" s="38">
        <v>94</v>
      </c>
      <c r="Q2618" s="39" t="s">
        <v>44</v>
      </c>
      <c r="R2618" s="7">
        <v>45361</v>
      </c>
      <c r="S2618" s="40"/>
      <c r="T2618" s="11">
        <v>100.9691</v>
      </c>
      <c r="U2618" s="39"/>
      <c r="V2618" s="39"/>
      <c r="W2618" s="39"/>
      <c r="X2618" s="39"/>
      <c r="Y2618" s="39"/>
      <c r="Z2618" s="3"/>
      <c r="AB2618" s="3"/>
      <c r="AC2618" s="38" t="s">
        <v>5615</v>
      </c>
      <c r="AD2618" s="2"/>
      <c r="AE2618" s="40"/>
    </row>
    <row r="2619" spans="1:31" x14ac:dyDescent="0.25">
      <c r="A2619" s="38" t="s">
        <v>36</v>
      </c>
      <c r="B2619" s="38" t="s">
        <v>5376</v>
      </c>
      <c r="C2619" s="38" t="s">
        <v>5614</v>
      </c>
      <c r="D2619" s="38" t="s">
        <v>5617</v>
      </c>
      <c r="E2619" s="38" t="s">
        <v>5618</v>
      </c>
      <c r="F2619" s="38">
        <v>2136.91</v>
      </c>
      <c r="G2619" s="38">
        <v>2136.91</v>
      </c>
      <c r="H2619" s="38">
        <f t="shared" si="126"/>
        <v>1123</v>
      </c>
      <c r="I2619" s="38">
        <v>724</v>
      </c>
      <c r="J2619" s="38">
        <v>399</v>
      </c>
      <c r="K2619" s="38">
        <v>325</v>
      </c>
      <c r="L2619" s="50">
        <f t="shared" si="127"/>
        <v>28.940338379341053</v>
      </c>
      <c r="M2619" s="38">
        <v>129</v>
      </c>
      <c r="N2619" s="50">
        <f t="shared" si="128"/>
        <v>11.487088156723063</v>
      </c>
      <c r="O2619" s="38">
        <v>0</v>
      </c>
      <c r="P2619" s="38">
        <v>0</v>
      </c>
      <c r="Q2619" s="39" t="s">
        <v>44</v>
      </c>
      <c r="R2619" s="7">
        <v>45361</v>
      </c>
      <c r="S2619" s="40"/>
      <c r="T2619" s="11">
        <v>115.7805</v>
      </c>
      <c r="U2619" s="39"/>
      <c r="V2619" s="39"/>
      <c r="W2619" s="39"/>
      <c r="X2619" s="39"/>
      <c r="Y2619" s="39"/>
      <c r="Z2619" s="3"/>
      <c r="AB2619" s="3"/>
      <c r="AC2619" s="38" t="s">
        <v>5617</v>
      </c>
      <c r="AD2619" s="2"/>
      <c r="AE2619" s="40"/>
    </row>
    <row r="2620" spans="1:31" x14ac:dyDescent="0.25">
      <c r="A2620" s="38" t="s">
        <v>36</v>
      </c>
      <c r="B2620" s="38" t="s">
        <v>5376</v>
      </c>
      <c r="C2620" s="38" t="s">
        <v>5614</v>
      </c>
      <c r="D2620" s="38" t="s">
        <v>5619</v>
      </c>
      <c r="E2620" s="38" t="s">
        <v>5620</v>
      </c>
      <c r="F2620" s="38">
        <v>1974.57</v>
      </c>
      <c r="G2620" s="38">
        <v>1974.57</v>
      </c>
      <c r="H2620" s="38">
        <f t="shared" si="126"/>
        <v>1590</v>
      </c>
      <c r="I2620" s="38">
        <v>1033</v>
      </c>
      <c r="J2620" s="38">
        <v>557</v>
      </c>
      <c r="K2620" s="38">
        <v>476</v>
      </c>
      <c r="L2620" s="50">
        <f t="shared" si="127"/>
        <v>29.937106918238992</v>
      </c>
      <c r="M2620" s="38">
        <v>0</v>
      </c>
      <c r="N2620" s="50">
        <f t="shared" si="128"/>
        <v>0</v>
      </c>
      <c r="O2620" s="38">
        <v>0</v>
      </c>
      <c r="P2620" s="38">
        <v>0</v>
      </c>
      <c r="Q2620" s="39" t="s">
        <v>44</v>
      </c>
      <c r="R2620" s="7">
        <v>45361</v>
      </c>
      <c r="S2620" s="40"/>
      <c r="T2620" s="11">
        <v>31.1616</v>
      </c>
      <c r="U2620" s="39"/>
      <c r="V2620" s="39"/>
      <c r="W2620" s="39"/>
      <c r="X2620" s="39"/>
      <c r="Y2620" s="39"/>
      <c r="Z2620" s="3"/>
      <c r="AB2620" s="3"/>
      <c r="AC2620" s="38" t="s">
        <v>5619</v>
      </c>
      <c r="AD2620" s="2"/>
      <c r="AE2620" s="40"/>
    </row>
    <row r="2621" spans="1:31" x14ac:dyDescent="0.25">
      <c r="A2621" s="38" t="s">
        <v>36</v>
      </c>
      <c r="B2621" s="38" t="s">
        <v>5376</v>
      </c>
      <c r="C2621" s="38" t="s">
        <v>5614</v>
      </c>
      <c r="D2621" s="38" t="s">
        <v>5621</v>
      </c>
      <c r="E2621" s="38" t="s">
        <v>5622</v>
      </c>
      <c r="F2621" s="38">
        <v>1504.72</v>
      </c>
      <c r="G2621" s="38">
        <v>1504.72</v>
      </c>
      <c r="H2621" s="38">
        <f t="shared" si="126"/>
        <v>1989</v>
      </c>
      <c r="I2621" s="38">
        <v>1299</v>
      </c>
      <c r="J2621" s="38">
        <v>690</v>
      </c>
      <c r="K2621" s="38">
        <v>609</v>
      </c>
      <c r="L2621" s="50">
        <f t="shared" si="127"/>
        <v>30.618401206636502</v>
      </c>
      <c r="M2621" s="38">
        <v>29</v>
      </c>
      <c r="N2621" s="50">
        <f t="shared" si="128"/>
        <v>1.4580191050779285</v>
      </c>
      <c r="O2621" s="38">
        <v>0</v>
      </c>
      <c r="P2621" s="38">
        <v>48</v>
      </c>
      <c r="Q2621" s="39" t="s">
        <v>44</v>
      </c>
      <c r="R2621" s="7">
        <v>45361</v>
      </c>
      <c r="S2621" s="40"/>
      <c r="T2621" s="11">
        <v>66.336100000000002</v>
      </c>
      <c r="U2621" s="39"/>
      <c r="V2621" s="39"/>
      <c r="W2621" s="39"/>
      <c r="X2621" s="39"/>
      <c r="Y2621" s="39"/>
      <c r="Z2621" s="3"/>
      <c r="AB2621" s="3"/>
      <c r="AC2621" s="38" t="s">
        <v>5621</v>
      </c>
      <c r="AD2621" s="2"/>
      <c r="AE2621" s="40"/>
    </row>
    <row r="2622" spans="1:31" x14ac:dyDescent="0.25">
      <c r="A2622" s="38" t="s">
        <v>36</v>
      </c>
      <c r="B2622" s="38" t="s">
        <v>5376</v>
      </c>
      <c r="C2622" s="38" t="s">
        <v>5614</v>
      </c>
      <c r="D2622" s="38" t="s">
        <v>4068</v>
      </c>
      <c r="E2622" s="38" t="s">
        <v>5623</v>
      </c>
      <c r="F2622" s="38">
        <v>740.18</v>
      </c>
      <c r="G2622" s="38">
        <v>740.18</v>
      </c>
      <c r="H2622" s="38">
        <f t="shared" si="126"/>
        <v>673</v>
      </c>
      <c r="I2622" s="38">
        <v>441</v>
      </c>
      <c r="J2622" s="38">
        <v>232</v>
      </c>
      <c r="K2622" s="38">
        <v>209</v>
      </c>
      <c r="L2622" s="50">
        <f t="shared" si="127"/>
        <v>31.054977711738484</v>
      </c>
      <c r="M2622" s="38">
        <v>0</v>
      </c>
      <c r="N2622" s="50">
        <f t="shared" si="128"/>
        <v>0</v>
      </c>
      <c r="O2622" s="38">
        <v>0</v>
      </c>
      <c r="P2622" s="38">
        <v>0</v>
      </c>
      <c r="Q2622" s="39" t="s">
        <v>44</v>
      </c>
      <c r="R2622" s="7">
        <v>45361</v>
      </c>
      <c r="S2622" s="40"/>
      <c r="T2622" s="11">
        <v>0</v>
      </c>
      <c r="U2622" s="39"/>
      <c r="V2622" s="39"/>
      <c r="W2622" s="39"/>
      <c r="X2622" s="39"/>
      <c r="Y2622" s="39"/>
      <c r="Z2622" s="3"/>
      <c r="AB2622" s="3"/>
      <c r="AC2622" s="38" t="s">
        <v>4068</v>
      </c>
      <c r="AD2622" s="2"/>
      <c r="AE2622" s="40"/>
    </row>
    <row r="2623" spans="1:31" x14ac:dyDescent="0.25">
      <c r="A2623" s="38" t="s">
        <v>36</v>
      </c>
      <c r="B2623" s="38" t="s">
        <v>5376</v>
      </c>
      <c r="C2623" s="38" t="s">
        <v>5614</v>
      </c>
      <c r="D2623" s="38" t="s">
        <v>5624</v>
      </c>
      <c r="E2623" s="38" t="s">
        <v>5625</v>
      </c>
      <c r="F2623" s="38">
        <v>183.14</v>
      </c>
      <c r="G2623" s="38">
        <v>183.14</v>
      </c>
      <c r="H2623" s="38">
        <f t="shared" si="126"/>
        <v>635</v>
      </c>
      <c r="I2623" s="38">
        <v>418</v>
      </c>
      <c r="J2623" s="38">
        <v>217</v>
      </c>
      <c r="K2623" s="38">
        <v>201</v>
      </c>
      <c r="L2623" s="50">
        <f t="shared" si="127"/>
        <v>31.653543307086611</v>
      </c>
      <c r="M2623" s="38">
        <v>0</v>
      </c>
      <c r="N2623" s="50">
        <f t="shared" si="128"/>
        <v>0</v>
      </c>
      <c r="O2623" s="38">
        <v>0</v>
      </c>
      <c r="P2623" s="38">
        <v>0</v>
      </c>
      <c r="Q2623" s="39" t="s">
        <v>44</v>
      </c>
      <c r="R2623" s="7">
        <v>45361</v>
      </c>
      <c r="S2623" s="40"/>
      <c r="T2623" s="11">
        <v>0.1052</v>
      </c>
      <c r="U2623" s="39"/>
      <c r="V2623" s="39"/>
      <c r="W2623" s="39"/>
      <c r="X2623" s="39"/>
      <c r="Y2623" s="39"/>
      <c r="Z2623" s="3"/>
      <c r="AB2623" s="3"/>
      <c r="AC2623" s="38" t="s">
        <v>5624</v>
      </c>
      <c r="AD2623" s="2"/>
      <c r="AE2623" s="40"/>
    </row>
    <row r="2624" spans="1:31" x14ac:dyDescent="0.25">
      <c r="A2624" s="38" t="s">
        <v>36</v>
      </c>
      <c r="B2624" s="38" t="s">
        <v>5376</v>
      </c>
      <c r="C2624" s="38" t="s">
        <v>5614</v>
      </c>
      <c r="D2624" s="38" t="s">
        <v>5626</v>
      </c>
      <c r="E2624" s="38"/>
      <c r="F2624" s="38"/>
      <c r="G2624" s="38"/>
      <c r="H2624" s="38">
        <f t="shared" si="126"/>
        <v>0</v>
      </c>
      <c r="I2624" s="38"/>
      <c r="J2624" s="38"/>
      <c r="K2624" s="38"/>
      <c r="L2624" s="50"/>
      <c r="M2624" s="38"/>
      <c r="N2624" s="50"/>
      <c r="O2624" s="38"/>
      <c r="P2624" s="38"/>
      <c r="Q2624" s="39" t="s">
        <v>44</v>
      </c>
      <c r="R2624" s="7">
        <v>45361</v>
      </c>
      <c r="S2624" s="40"/>
      <c r="T2624" s="11">
        <v>7.7942</v>
      </c>
      <c r="U2624" s="39"/>
      <c r="V2624" s="39"/>
      <c r="W2624" s="39"/>
      <c r="X2624" s="39"/>
      <c r="Y2624" s="39"/>
      <c r="Z2624" s="3"/>
      <c r="AB2624" s="3"/>
      <c r="AC2624" s="38" t="s">
        <v>5626</v>
      </c>
      <c r="AD2624" s="2"/>
      <c r="AE2624" s="40"/>
    </row>
    <row r="2625" spans="1:31" x14ac:dyDescent="0.25">
      <c r="A2625" s="38" t="s">
        <v>36</v>
      </c>
      <c r="B2625" s="38" t="s">
        <v>5376</v>
      </c>
      <c r="C2625" s="38" t="s">
        <v>5614</v>
      </c>
      <c r="D2625" s="38" t="s">
        <v>5627</v>
      </c>
      <c r="E2625" s="38" t="s">
        <v>5628</v>
      </c>
      <c r="F2625" s="38">
        <v>1431.95</v>
      </c>
      <c r="G2625" s="38">
        <v>1431.95</v>
      </c>
      <c r="H2625" s="38">
        <f t="shared" si="126"/>
        <v>913</v>
      </c>
      <c r="I2625" s="38">
        <v>600</v>
      </c>
      <c r="J2625" s="38">
        <v>313</v>
      </c>
      <c r="K2625" s="38">
        <v>287</v>
      </c>
      <c r="L2625" s="50">
        <f t="shared" si="127"/>
        <v>31.434830230010952</v>
      </c>
      <c r="M2625" s="38">
        <v>10</v>
      </c>
      <c r="N2625" s="50">
        <f t="shared" si="128"/>
        <v>1.095290251916758</v>
      </c>
      <c r="O2625" s="38">
        <v>0</v>
      </c>
      <c r="P2625" s="38">
        <v>0</v>
      </c>
      <c r="Q2625" s="39" t="s">
        <v>44</v>
      </c>
      <c r="R2625" s="7">
        <v>45361</v>
      </c>
      <c r="S2625" s="40"/>
      <c r="T2625" s="11">
        <v>0</v>
      </c>
      <c r="U2625" s="39"/>
      <c r="V2625" s="39"/>
      <c r="W2625" s="39"/>
      <c r="X2625" s="39"/>
      <c r="Y2625" s="39"/>
      <c r="Z2625" s="3"/>
      <c r="AB2625" s="3"/>
      <c r="AC2625" s="38" t="s">
        <v>5627</v>
      </c>
      <c r="AD2625" s="2"/>
      <c r="AE2625" s="40"/>
    </row>
    <row r="2626" spans="1:31" x14ac:dyDescent="0.25">
      <c r="A2626" s="38" t="s">
        <v>36</v>
      </c>
      <c r="B2626" s="38" t="s">
        <v>5376</v>
      </c>
      <c r="C2626" s="38" t="s">
        <v>5614</v>
      </c>
      <c r="D2626" s="38" t="s">
        <v>1046</v>
      </c>
      <c r="E2626" s="38" t="s">
        <v>5629</v>
      </c>
      <c r="F2626" s="38">
        <v>1436.61</v>
      </c>
      <c r="G2626" s="38">
        <v>1436.61</v>
      </c>
      <c r="H2626" s="38">
        <f t="shared" si="126"/>
        <v>1336</v>
      </c>
      <c r="I2626" s="38">
        <v>871</v>
      </c>
      <c r="J2626" s="38">
        <v>465</v>
      </c>
      <c r="K2626" s="38">
        <v>406</v>
      </c>
      <c r="L2626" s="50">
        <f t="shared" si="127"/>
        <v>30.389221556886227</v>
      </c>
      <c r="M2626" s="38">
        <v>246</v>
      </c>
      <c r="N2626" s="50">
        <f t="shared" si="128"/>
        <v>18.41317365269461</v>
      </c>
      <c r="O2626" s="38">
        <v>0</v>
      </c>
      <c r="P2626" s="38">
        <v>96</v>
      </c>
      <c r="Q2626" s="39" t="s">
        <v>44</v>
      </c>
      <c r="R2626" s="7">
        <v>45361</v>
      </c>
      <c r="S2626" s="40"/>
      <c r="T2626" s="11">
        <v>65.743099999999998</v>
      </c>
      <c r="U2626" s="39"/>
      <c r="V2626" s="39"/>
      <c r="W2626" s="39"/>
      <c r="X2626" s="39"/>
      <c r="Y2626" s="39"/>
      <c r="Z2626" s="3"/>
      <c r="AB2626" s="3"/>
      <c r="AC2626" s="38" t="s">
        <v>1046</v>
      </c>
      <c r="AD2626" s="2"/>
      <c r="AE2626" s="40"/>
    </row>
    <row r="2627" spans="1:31" x14ac:dyDescent="0.25">
      <c r="A2627" s="38" t="s">
        <v>36</v>
      </c>
      <c r="B2627" s="41" t="s">
        <v>5376</v>
      </c>
      <c r="C2627" s="41" t="s">
        <v>5630</v>
      </c>
      <c r="D2627" s="41" t="s">
        <v>5631</v>
      </c>
      <c r="E2627" s="41" t="s">
        <v>5632</v>
      </c>
      <c r="F2627" s="41">
        <v>4335</v>
      </c>
      <c r="G2627" s="41">
        <v>4335</v>
      </c>
      <c r="H2627" s="38">
        <f t="shared" si="126"/>
        <v>659</v>
      </c>
      <c r="I2627" s="41">
        <v>659</v>
      </c>
      <c r="J2627" s="41"/>
      <c r="K2627" s="41"/>
      <c r="L2627" s="50">
        <f t="shared" si="127"/>
        <v>0</v>
      </c>
      <c r="M2627" s="41"/>
      <c r="N2627" s="50">
        <f t="shared" si="128"/>
        <v>0</v>
      </c>
      <c r="O2627" s="41">
        <v>85</v>
      </c>
      <c r="P2627" s="41">
        <v>285</v>
      </c>
      <c r="Q2627" s="43" t="s">
        <v>44</v>
      </c>
      <c r="R2627" s="24">
        <v>45201</v>
      </c>
      <c r="S2627" s="44"/>
      <c r="T2627" s="18">
        <v>149.96010000000001</v>
      </c>
      <c r="U2627" s="43"/>
      <c r="V2627" s="43"/>
      <c r="W2627" s="43"/>
      <c r="X2627" s="43"/>
      <c r="Y2627" s="43"/>
      <c r="Z2627" s="5"/>
      <c r="AB2627" s="5">
        <v>16</v>
      </c>
      <c r="AC2627" s="41" t="s">
        <v>5631</v>
      </c>
      <c r="AD2627" s="44">
        <v>26.077987</v>
      </c>
      <c r="AE2627" s="44">
        <v>70.958989000000003</v>
      </c>
    </row>
    <row r="2628" spans="1:31" x14ac:dyDescent="0.25">
      <c r="A2628" s="38" t="s">
        <v>36</v>
      </c>
      <c r="B2628" s="41" t="s">
        <v>5376</v>
      </c>
      <c r="C2628" s="41" t="s">
        <v>5630</v>
      </c>
      <c r="D2628" s="41" t="s">
        <v>5633</v>
      </c>
      <c r="E2628" s="41" t="s">
        <v>5634</v>
      </c>
      <c r="F2628" s="41">
        <v>2690</v>
      </c>
      <c r="G2628" s="41">
        <v>2690</v>
      </c>
      <c r="H2628" s="38">
        <f t="shared" si="126"/>
        <v>1313</v>
      </c>
      <c r="I2628" s="41">
        <v>853</v>
      </c>
      <c r="J2628" s="41">
        <v>460</v>
      </c>
      <c r="K2628" s="41">
        <v>393</v>
      </c>
      <c r="L2628" s="50">
        <f t="shared" si="127"/>
        <v>29.931454683929932</v>
      </c>
      <c r="M2628" s="41">
        <v>63</v>
      </c>
      <c r="N2628" s="50">
        <f t="shared" si="128"/>
        <v>4.7981721249047986</v>
      </c>
      <c r="O2628" s="41">
        <v>0</v>
      </c>
      <c r="P2628" s="41">
        <v>27</v>
      </c>
      <c r="Q2628" s="43" t="s">
        <v>44</v>
      </c>
      <c r="R2628" s="24">
        <v>45201</v>
      </c>
      <c r="S2628" s="44"/>
      <c r="T2628" s="18">
        <v>22.953700000000001</v>
      </c>
      <c r="U2628" s="43"/>
      <c r="V2628" s="43"/>
      <c r="W2628" s="43"/>
      <c r="X2628" s="43"/>
      <c r="Y2628" s="43"/>
      <c r="Z2628" s="5"/>
      <c r="AB2628" s="5">
        <v>18</v>
      </c>
      <c r="AC2628" s="41" t="s">
        <v>5633</v>
      </c>
      <c r="AD2628" s="44">
        <v>26.053903999999999</v>
      </c>
      <c r="AE2628" s="44">
        <v>70.972016999999994</v>
      </c>
    </row>
    <row r="2629" spans="1:31" x14ac:dyDescent="0.25">
      <c r="A2629" s="38" t="s">
        <v>36</v>
      </c>
      <c r="B2629" s="38" t="s">
        <v>5376</v>
      </c>
      <c r="C2629" s="38" t="s">
        <v>5630</v>
      </c>
      <c r="D2629" s="38" t="s">
        <v>2500</v>
      </c>
      <c r="E2629" s="38" t="s">
        <v>5635</v>
      </c>
      <c r="F2629" s="38">
        <v>1053</v>
      </c>
      <c r="G2629" s="38">
        <v>1053</v>
      </c>
      <c r="H2629" s="38">
        <f t="shared" ref="H2629:H2692" si="129">I2629+J2629</f>
        <v>519</v>
      </c>
      <c r="I2629" s="38">
        <v>329</v>
      </c>
      <c r="J2629" s="38">
        <v>190</v>
      </c>
      <c r="K2629" s="38">
        <v>139</v>
      </c>
      <c r="L2629" s="50">
        <f t="shared" si="127"/>
        <v>26.782273603082849</v>
      </c>
      <c r="M2629" s="38">
        <v>63</v>
      </c>
      <c r="N2629" s="50">
        <f t="shared" si="128"/>
        <v>12.138728323699421</v>
      </c>
      <c r="O2629" s="38">
        <v>0</v>
      </c>
      <c r="P2629" s="38">
        <v>0</v>
      </c>
    </row>
    <row r="2630" spans="1:31" x14ac:dyDescent="0.25">
      <c r="A2630" s="38" t="s">
        <v>36</v>
      </c>
      <c r="B2630" s="38" t="s">
        <v>5376</v>
      </c>
      <c r="C2630" s="38" t="s">
        <v>5636</v>
      </c>
      <c r="D2630" s="38" t="s">
        <v>5637</v>
      </c>
      <c r="E2630" s="38" t="s">
        <v>5638</v>
      </c>
      <c r="F2630" s="38">
        <v>1550.7</v>
      </c>
      <c r="G2630" s="38">
        <v>1550.7</v>
      </c>
      <c r="H2630" s="38">
        <f t="shared" si="129"/>
        <v>1191</v>
      </c>
      <c r="I2630" s="38">
        <v>775</v>
      </c>
      <c r="J2630" s="38">
        <v>416</v>
      </c>
      <c r="K2630" s="38">
        <v>359</v>
      </c>
      <c r="L2630" s="50">
        <f t="shared" ref="L2630:L2693" si="130">K2630/H2630*100</f>
        <v>30.142737195633924</v>
      </c>
      <c r="M2630" s="38">
        <v>125</v>
      </c>
      <c r="N2630" s="50">
        <f t="shared" si="128"/>
        <v>10.495382031905962</v>
      </c>
      <c r="O2630" s="38">
        <v>0</v>
      </c>
      <c r="P2630" s="38">
        <v>0</v>
      </c>
      <c r="Q2630" s="34" t="s">
        <v>43</v>
      </c>
      <c r="R2630" s="7">
        <v>45201</v>
      </c>
      <c r="S2630" s="34"/>
      <c r="T2630" s="34">
        <v>164</v>
      </c>
      <c r="U2630" s="34"/>
      <c r="V2630" s="34"/>
      <c r="W2630" s="34"/>
      <c r="X2630" s="34"/>
      <c r="Y2630" s="34"/>
      <c r="Z2630" s="109"/>
      <c r="AB2630" s="109"/>
      <c r="AC2630" s="34" t="s">
        <v>5639</v>
      </c>
      <c r="AD2630" s="34">
        <v>26.154938999999999</v>
      </c>
      <c r="AE2630" s="34">
        <v>71.409057000000004</v>
      </c>
    </row>
    <row r="2631" spans="1:31" x14ac:dyDescent="0.25">
      <c r="A2631" s="38" t="s">
        <v>36</v>
      </c>
      <c r="B2631" s="38" t="s">
        <v>5376</v>
      </c>
      <c r="C2631" s="38" t="s">
        <v>5636</v>
      </c>
      <c r="D2631" s="11" t="s">
        <v>5640</v>
      </c>
      <c r="E2631" s="38"/>
      <c r="F2631" s="38"/>
      <c r="G2631" s="38"/>
      <c r="H2631" s="38">
        <f t="shared" si="129"/>
        <v>0</v>
      </c>
      <c r="I2631" s="38"/>
      <c r="J2631" s="38"/>
      <c r="K2631" s="38"/>
      <c r="L2631" s="50"/>
      <c r="M2631" s="38"/>
      <c r="N2631" s="50"/>
      <c r="O2631" s="38"/>
      <c r="P2631" s="38"/>
      <c r="Q2631" s="98" t="s">
        <v>160</v>
      </c>
      <c r="R2631" s="7">
        <v>45201</v>
      </c>
      <c r="S2631" s="99"/>
      <c r="T2631" s="11">
        <v>29.5825</v>
      </c>
      <c r="U2631" s="98"/>
      <c r="V2631" s="98"/>
      <c r="W2631" s="98"/>
      <c r="X2631" s="98"/>
      <c r="Y2631" s="98"/>
      <c r="Z2631" s="20"/>
      <c r="AB2631" s="20"/>
      <c r="AC2631" s="11" t="s">
        <v>5640</v>
      </c>
      <c r="AD2631" s="61"/>
      <c r="AE2631" s="99"/>
    </row>
    <row r="2632" spans="1:31" x14ac:dyDescent="0.25">
      <c r="A2632" s="38" t="s">
        <v>36</v>
      </c>
      <c r="B2632" s="41" t="s">
        <v>5376</v>
      </c>
      <c r="C2632" s="41" t="s">
        <v>5636</v>
      </c>
      <c r="D2632" s="41" t="s">
        <v>5641</v>
      </c>
      <c r="E2632" s="41" t="s">
        <v>5642</v>
      </c>
      <c r="F2632" s="41">
        <v>2769.72</v>
      </c>
      <c r="G2632" s="41">
        <v>2769.72</v>
      </c>
      <c r="H2632" s="38">
        <f t="shared" si="129"/>
        <v>704</v>
      </c>
      <c r="I2632" s="41">
        <v>463</v>
      </c>
      <c r="J2632" s="41">
        <v>241</v>
      </c>
      <c r="K2632" s="41">
        <v>222</v>
      </c>
      <c r="L2632" s="50">
        <f t="shared" si="130"/>
        <v>31.53409090909091</v>
      </c>
      <c r="M2632" s="41">
        <v>0</v>
      </c>
      <c r="N2632" s="50">
        <f t="shared" si="128"/>
        <v>0</v>
      </c>
      <c r="O2632" s="41">
        <v>0</v>
      </c>
      <c r="P2632" s="41">
        <v>0</v>
      </c>
      <c r="Q2632" s="43" t="s">
        <v>44</v>
      </c>
      <c r="R2632" s="24">
        <v>45201</v>
      </c>
      <c r="S2632" s="44"/>
      <c r="T2632" s="18">
        <v>38.226500000000001</v>
      </c>
      <c r="U2632" s="43"/>
      <c r="V2632" s="43"/>
      <c r="W2632" s="43"/>
      <c r="X2632" s="43"/>
      <c r="Y2632" s="43"/>
      <c r="Z2632" s="5"/>
      <c r="AB2632" s="189">
        <v>38</v>
      </c>
      <c r="AC2632" s="41" t="s">
        <v>5641</v>
      </c>
      <c r="AD2632" s="44">
        <v>26.059957199999999</v>
      </c>
      <c r="AE2632" s="44">
        <v>71.432090900000006</v>
      </c>
    </row>
    <row r="2633" spans="1:31" x14ac:dyDescent="0.25">
      <c r="A2633" s="38" t="s">
        <v>36</v>
      </c>
      <c r="B2633" s="38" t="s">
        <v>5376</v>
      </c>
      <c r="C2633" s="38" t="s">
        <v>5636</v>
      </c>
      <c r="D2633" s="38" t="s">
        <v>5643</v>
      </c>
      <c r="E2633" s="38" t="s">
        <v>5644</v>
      </c>
      <c r="F2633" s="38">
        <v>2328.64</v>
      </c>
      <c r="G2633" s="38">
        <v>2328.64</v>
      </c>
      <c r="H2633" s="38">
        <f t="shared" si="129"/>
        <v>1198</v>
      </c>
      <c r="I2633" s="38">
        <v>763</v>
      </c>
      <c r="J2633" s="38">
        <v>435</v>
      </c>
      <c r="K2633" s="38">
        <v>328</v>
      </c>
      <c r="L2633" s="50">
        <f t="shared" si="130"/>
        <v>27.378964941569283</v>
      </c>
      <c r="M2633" s="38">
        <v>0</v>
      </c>
      <c r="N2633" s="50">
        <f t="shared" si="128"/>
        <v>0</v>
      </c>
      <c r="O2633" s="38">
        <v>0</v>
      </c>
      <c r="P2633" s="38">
        <v>156</v>
      </c>
      <c r="Q2633" s="39" t="s">
        <v>44</v>
      </c>
      <c r="R2633" s="25">
        <v>45201</v>
      </c>
      <c r="S2633" s="40"/>
      <c r="T2633" s="60">
        <v>0</v>
      </c>
      <c r="U2633" s="39"/>
      <c r="V2633" s="39"/>
      <c r="W2633" s="39"/>
      <c r="X2633" s="39"/>
      <c r="Y2633" s="39"/>
      <c r="Z2633" s="3"/>
      <c r="AB2633" s="3"/>
      <c r="AC2633" s="42" t="s">
        <v>5643</v>
      </c>
      <c r="AD2633" s="2"/>
      <c r="AE2633" s="40"/>
    </row>
    <row r="2634" spans="1:31" x14ac:dyDescent="0.25">
      <c r="A2634" s="38" t="s">
        <v>36</v>
      </c>
      <c r="B2634" s="38" t="s">
        <v>5376</v>
      </c>
      <c r="C2634" s="38" t="s">
        <v>5636</v>
      </c>
      <c r="D2634" s="38" t="s">
        <v>5645</v>
      </c>
      <c r="E2634" s="38" t="s">
        <v>5646</v>
      </c>
      <c r="F2634" s="38">
        <v>1517.18</v>
      </c>
      <c r="G2634" s="38">
        <v>1517.18</v>
      </c>
      <c r="H2634" s="38">
        <f t="shared" si="129"/>
        <v>512</v>
      </c>
      <c r="I2634" s="38">
        <v>331</v>
      </c>
      <c r="J2634" s="38">
        <v>181</v>
      </c>
      <c r="K2634" s="38">
        <v>150</v>
      </c>
      <c r="L2634" s="50">
        <f t="shared" si="130"/>
        <v>29.296875</v>
      </c>
      <c r="M2634" s="38">
        <v>0</v>
      </c>
      <c r="N2634" s="50">
        <f t="shared" si="128"/>
        <v>0</v>
      </c>
      <c r="O2634" s="38">
        <v>97</v>
      </c>
      <c r="P2634" s="38">
        <v>47.18</v>
      </c>
      <c r="Q2634" s="39" t="s">
        <v>44</v>
      </c>
      <c r="R2634" s="25">
        <v>45201</v>
      </c>
      <c r="S2634" s="40"/>
      <c r="T2634" s="60">
        <v>0</v>
      </c>
      <c r="U2634" s="39"/>
      <c r="V2634" s="39"/>
      <c r="W2634" s="39"/>
      <c r="X2634" s="39"/>
      <c r="Y2634" s="39"/>
      <c r="Z2634" s="3"/>
      <c r="AB2634" s="3"/>
      <c r="AC2634" s="42" t="s">
        <v>5645</v>
      </c>
      <c r="AD2634" s="2"/>
      <c r="AE2634" s="40"/>
    </row>
    <row r="2635" spans="1:31" x14ac:dyDescent="0.25">
      <c r="A2635" s="38" t="s">
        <v>36</v>
      </c>
      <c r="B2635" s="38" t="s">
        <v>5376</v>
      </c>
      <c r="C2635" s="38" t="s">
        <v>5647</v>
      </c>
      <c r="D2635" s="38" t="s">
        <v>5648</v>
      </c>
      <c r="E2635" s="38" t="s">
        <v>5649</v>
      </c>
      <c r="F2635" s="38">
        <v>1385.5</v>
      </c>
      <c r="G2635" s="38">
        <v>1385.5</v>
      </c>
      <c r="H2635" s="38">
        <f t="shared" si="129"/>
        <v>1259</v>
      </c>
      <c r="I2635" s="38">
        <v>831</v>
      </c>
      <c r="J2635" s="38">
        <v>428</v>
      </c>
      <c r="K2635" s="38">
        <v>403</v>
      </c>
      <c r="L2635" s="50">
        <f t="shared" si="130"/>
        <v>32.00953137410643</v>
      </c>
      <c r="M2635" s="38">
        <v>3</v>
      </c>
      <c r="N2635" s="50">
        <f t="shared" si="128"/>
        <v>0.23828435266084197</v>
      </c>
      <c r="O2635" s="38">
        <v>0</v>
      </c>
      <c r="P2635" s="38">
        <v>30</v>
      </c>
      <c r="Q2635" s="39" t="s">
        <v>44</v>
      </c>
      <c r="R2635" s="7">
        <v>45201</v>
      </c>
      <c r="S2635" s="40"/>
      <c r="T2635" s="11">
        <v>30.877500000000001</v>
      </c>
      <c r="U2635" s="39"/>
      <c r="V2635" s="39"/>
      <c r="W2635" s="39"/>
      <c r="X2635" s="39"/>
      <c r="Y2635" s="39"/>
      <c r="Z2635" s="3"/>
      <c r="AB2635" s="2"/>
      <c r="AC2635" s="38" t="s">
        <v>5648</v>
      </c>
      <c r="AD2635" s="2"/>
      <c r="AE2635" s="40"/>
    </row>
    <row r="2636" spans="1:31" x14ac:dyDescent="0.25">
      <c r="A2636" s="38" t="s">
        <v>36</v>
      </c>
      <c r="B2636" s="41" t="s">
        <v>5376</v>
      </c>
      <c r="C2636" s="41" t="s">
        <v>5647</v>
      </c>
      <c r="D2636" s="41" t="s">
        <v>5648</v>
      </c>
      <c r="E2636" s="41" t="s">
        <v>5649</v>
      </c>
      <c r="F2636" s="41">
        <v>1385.5</v>
      </c>
      <c r="G2636" s="41">
        <v>1385.5</v>
      </c>
      <c r="H2636" s="38">
        <f t="shared" si="129"/>
        <v>831</v>
      </c>
      <c r="I2636" s="41">
        <v>831</v>
      </c>
      <c r="J2636" s="41"/>
      <c r="K2636" s="41"/>
      <c r="L2636" s="50">
        <f t="shared" si="130"/>
        <v>0</v>
      </c>
      <c r="M2636" s="41"/>
      <c r="N2636" s="50">
        <f t="shared" si="128"/>
        <v>0</v>
      </c>
      <c r="O2636" s="41">
        <v>0</v>
      </c>
      <c r="P2636" s="41">
        <v>30</v>
      </c>
      <c r="Q2636" s="43"/>
      <c r="R2636" s="24">
        <v>45201</v>
      </c>
      <c r="S2636" s="44"/>
      <c r="T2636" s="18"/>
      <c r="U2636" s="43"/>
      <c r="V2636" s="43"/>
      <c r="W2636" s="43"/>
      <c r="X2636" s="43"/>
      <c r="Y2636" s="43"/>
      <c r="Z2636" s="5"/>
      <c r="AB2636" s="44">
        <v>10</v>
      </c>
      <c r="AC2636" s="41" t="s">
        <v>5648</v>
      </c>
      <c r="AD2636" s="44">
        <v>26.062173000000001</v>
      </c>
      <c r="AE2636" s="44">
        <v>71.337154999999996</v>
      </c>
    </row>
    <row r="2637" spans="1:31" x14ac:dyDescent="0.25">
      <c r="A2637" s="38" t="s">
        <v>36</v>
      </c>
      <c r="B2637" s="41" t="s">
        <v>5376</v>
      </c>
      <c r="C2637" s="41" t="s">
        <v>5647</v>
      </c>
      <c r="D2637" s="41" t="s">
        <v>5647</v>
      </c>
      <c r="E2637" s="41" t="s">
        <v>5650</v>
      </c>
      <c r="F2637" s="41">
        <v>1564</v>
      </c>
      <c r="G2637" s="41">
        <v>1564</v>
      </c>
      <c r="H2637" s="38">
        <f t="shared" si="129"/>
        <v>640</v>
      </c>
      <c r="I2637" s="41">
        <v>640</v>
      </c>
      <c r="J2637" s="41">
        <v>0</v>
      </c>
      <c r="K2637" s="41">
        <v>113</v>
      </c>
      <c r="L2637" s="50">
        <f t="shared" si="130"/>
        <v>17.65625</v>
      </c>
      <c r="M2637" s="41">
        <v>245</v>
      </c>
      <c r="N2637" s="50">
        <f t="shared" si="128"/>
        <v>38.28125</v>
      </c>
      <c r="O2637" s="41"/>
      <c r="P2637" s="41"/>
      <c r="Q2637" s="43" t="s">
        <v>44</v>
      </c>
      <c r="R2637" s="24">
        <v>45201</v>
      </c>
      <c r="S2637" s="44"/>
      <c r="T2637" s="18">
        <v>248.30670000000001</v>
      </c>
      <c r="U2637" s="43"/>
      <c r="V2637" s="43"/>
      <c r="W2637" s="43"/>
      <c r="X2637" s="43"/>
      <c r="Y2637" s="43"/>
      <c r="Z2637" s="5"/>
      <c r="AB2637" s="189">
        <v>40</v>
      </c>
      <c r="AC2637" s="41" t="s">
        <v>5647</v>
      </c>
      <c r="AD2637" s="44">
        <v>26.054064</v>
      </c>
      <c r="AE2637" s="44">
        <v>71.337236000000004</v>
      </c>
    </row>
    <row r="2638" spans="1:31" x14ac:dyDescent="0.25">
      <c r="A2638" s="38" t="s">
        <v>36</v>
      </c>
      <c r="B2638" s="38" t="s">
        <v>5376</v>
      </c>
      <c r="C2638" s="38" t="s">
        <v>5647</v>
      </c>
      <c r="D2638" s="38" t="s">
        <v>5651</v>
      </c>
      <c r="E2638" s="38" t="s">
        <v>5652</v>
      </c>
      <c r="F2638" s="38">
        <v>1395.39</v>
      </c>
      <c r="G2638" s="38">
        <v>1395.39</v>
      </c>
      <c r="H2638" s="38">
        <f t="shared" si="129"/>
        <v>1318</v>
      </c>
      <c r="I2638" s="38">
        <v>875</v>
      </c>
      <c r="J2638" s="38">
        <v>443</v>
      </c>
      <c r="K2638" s="38">
        <v>432</v>
      </c>
      <c r="L2638" s="50">
        <f t="shared" si="130"/>
        <v>32.776934749620636</v>
      </c>
      <c r="M2638" s="38">
        <v>8</v>
      </c>
      <c r="N2638" s="50">
        <f t="shared" si="128"/>
        <v>0.60698027314112291</v>
      </c>
      <c r="O2638" s="38">
        <v>0</v>
      </c>
      <c r="P2638" s="38">
        <v>0</v>
      </c>
      <c r="Q2638" s="98" t="s">
        <v>160</v>
      </c>
      <c r="R2638" s="7">
        <v>45201</v>
      </c>
      <c r="S2638" s="99"/>
      <c r="T2638" s="11">
        <v>11.8249</v>
      </c>
      <c r="U2638" s="98"/>
      <c r="V2638" s="98"/>
      <c r="W2638" s="98"/>
      <c r="X2638" s="98"/>
      <c r="Y2638" s="98"/>
      <c r="Z2638" s="20"/>
      <c r="AB2638" s="20"/>
      <c r="AC2638" s="38" t="s">
        <v>5651</v>
      </c>
      <c r="AD2638" s="61"/>
      <c r="AE2638" s="99"/>
    </row>
    <row r="2639" spans="1:31" x14ac:dyDescent="0.25">
      <c r="A2639" s="38" t="s">
        <v>36</v>
      </c>
      <c r="B2639" s="38" t="s">
        <v>5376</v>
      </c>
      <c r="C2639" s="38" t="s">
        <v>5647</v>
      </c>
      <c r="D2639" s="38" t="s">
        <v>5653</v>
      </c>
      <c r="E2639" s="38" t="s">
        <v>5654</v>
      </c>
      <c r="F2639" s="38">
        <v>1564</v>
      </c>
      <c r="G2639" s="38">
        <v>1564</v>
      </c>
      <c r="H2639" s="38">
        <f t="shared" si="129"/>
        <v>989</v>
      </c>
      <c r="I2639" s="38">
        <v>640</v>
      </c>
      <c r="J2639" s="38">
        <v>349</v>
      </c>
      <c r="K2639" s="38">
        <v>291</v>
      </c>
      <c r="L2639" s="50">
        <f t="shared" si="130"/>
        <v>29.423660262891811</v>
      </c>
      <c r="M2639" s="38">
        <v>0</v>
      </c>
      <c r="N2639" s="50">
        <f t="shared" si="128"/>
        <v>0</v>
      </c>
      <c r="O2639" s="38">
        <v>0</v>
      </c>
      <c r="P2639" s="38">
        <v>75</v>
      </c>
      <c r="Q2639" s="39" t="s">
        <v>44</v>
      </c>
      <c r="R2639" s="7">
        <v>45201</v>
      </c>
      <c r="S2639" s="40"/>
      <c r="T2639" s="11">
        <v>66.036500000000004</v>
      </c>
      <c r="U2639" s="39"/>
      <c r="V2639" s="39"/>
      <c r="W2639" s="39"/>
      <c r="X2639" s="39"/>
      <c r="Y2639" s="39"/>
      <c r="Z2639" s="3"/>
      <c r="AB2639" s="2"/>
      <c r="AC2639" s="38" t="s">
        <v>5653</v>
      </c>
      <c r="AD2639" s="2"/>
      <c r="AE2639" s="40"/>
    </row>
    <row r="2640" spans="1:31" x14ac:dyDescent="0.25">
      <c r="A2640" s="38" t="s">
        <v>36</v>
      </c>
      <c r="B2640" s="41" t="s">
        <v>5376</v>
      </c>
      <c r="C2640" s="41" t="s">
        <v>5655</v>
      </c>
      <c r="D2640" s="41" t="s">
        <v>5655</v>
      </c>
      <c r="E2640" s="41" t="s">
        <v>5656</v>
      </c>
      <c r="F2640" s="41">
        <v>1927</v>
      </c>
      <c r="G2640" s="41">
        <v>1927</v>
      </c>
      <c r="H2640" s="38">
        <f t="shared" si="129"/>
        <v>2759</v>
      </c>
      <c r="I2640" s="41">
        <v>1818</v>
      </c>
      <c r="J2640" s="41">
        <v>941</v>
      </c>
      <c r="K2640" s="41">
        <v>877</v>
      </c>
      <c r="L2640" s="50">
        <f t="shared" si="130"/>
        <v>31.786879304095688</v>
      </c>
      <c r="M2640" s="41">
        <v>74</v>
      </c>
      <c r="N2640" s="50">
        <f t="shared" si="128"/>
        <v>2.6821312069590428</v>
      </c>
      <c r="O2640" s="41">
        <v>0</v>
      </c>
      <c r="P2640" s="41">
        <v>34</v>
      </c>
      <c r="Q2640" s="43" t="s">
        <v>44</v>
      </c>
      <c r="R2640" s="119">
        <v>45327</v>
      </c>
      <c r="S2640" s="44"/>
      <c r="T2640" s="18">
        <v>34.479199999999999</v>
      </c>
      <c r="U2640" s="43"/>
      <c r="V2640" s="43"/>
      <c r="W2640" s="43"/>
      <c r="X2640" s="43"/>
      <c r="Y2640" s="43"/>
      <c r="Z2640" s="5"/>
      <c r="AB2640" s="5">
        <v>25</v>
      </c>
      <c r="AC2640" s="41" t="s">
        <v>5655</v>
      </c>
      <c r="AD2640" s="44">
        <v>26.270223819999998</v>
      </c>
      <c r="AE2640" s="44">
        <v>71.128930429999997</v>
      </c>
    </row>
    <row r="2641" spans="1:31" x14ac:dyDescent="0.25">
      <c r="A2641" s="38" t="s">
        <v>36</v>
      </c>
      <c r="B2641" s="38" t="s">
        <v>5376</v>
      </c>
      <c r="C2641" s="38" t="s">
        <v>5655</v>
      </c>
      <c r="D2641" s="38" t="s">
        <v>5657</v>
      </c>
      <c r="E2641" s="38" t="s">
        <v>5658</v>
      </c>
      <c r="F2641" s="38">
        <v>1411</v>
      </c>
      <c r="G2641" s="38">
        <v>1411</v>
      </c>
      <c r="H2641" s="38">
        <f t="shared" si="129"/>
        <v>891</v>
      </c>
      <c r="I2641" s="38">
        <v>598</v>
      </c>
      <c r="J2641" s="38">
        <v>293</v>
      </c>
      <c r="K2641" s="38">
        <v>305</v>
      </c>
      <c r="L2641" s="50">
        <f t="shared" si="130"/>
        <v>34.231200897867566</v>
      </c>
      <c r="M2641" s="38">
        <v>0</v>
      </c>
      <c r="N2641" s="50">
        <f t="shared" si="128"/>
        <v>0</v>
      </c>
      <c r="O2641" s="38">
        <v>0</v>
      </c>
      <c r="P2641" s="38">
        <v>23</v>
      </c>
      <c r="Q2641" s="39" t="s">
        <v>44</v>
      </c>
      <c r="R2641" s="111">
        <v>45327</v>
      </c>
      <c r="S2641" s="40"/>
      <c r="T2641" s="11">
        <v>22.322399999999998</v>
      </c>
      <c r="U2641" s="39"/>
      <c r="V2641" s="39"/>
      <c r="W2641" s="39"/>
      <c r="X2641" s="39"/>
      <c r="Y2641" s="39"/>
      <c r="Z2641" s="3"/>
      <c r="AB2641" s="3"/>
      <c r="AC2641" s="38" t="s">
        <v>5657</v>
      </c>
      <c r="AD2641" s="2"/>
      <c r="AE2641" s="40"/>
    </row>
    <row r="2642" spans="1:31" x14ac:dyDescent="0.25">
      <c r="A2642" s="38" t="s">
        <v>36</v>
      </c>
      <c r="B2642" s="38" t="s">
        <v>5376</v>
      </c>
      <c r="C2642" s="38" t="s">
        <v>5655</v>
      </c>
      <c r="D2642" s="38" t="s">
        <v>5659</v>
      </c>
      <c r="E2642" s="38" t="s">
        <v>5660</v>
      </c>
      <c r="F2642" s="38">
        <v>934</v>
      </c>
      <c r="G2642" s="38">
        <v>934</v>
      </c>
      <c r="H2642" s="38">
        <f t="shared" si="129"/>
        <v>138</v>
      </c>
      <c r="I2642" s="38">
        <v>94</v>
      </c>
      <c r="J2642" s="38">
        <v>44</v>
      </c>
      <c r="K2642" s="38">
        <v>50</v>
      </c>
      <c r="L2642" s="50">
        <f t="shared" si="130"/>
        <v>36.231884057971016</v>
      </c>
      <c r="M2642" s="38">
        <v>0</v>
      </c>
      <c r="N2642" s="50">
        <f t="shared" si="128"/>
        <v>0</v>
      </c>
      <c r="O2642" s="38">
        <v>0</v>
      </c>
      <c r="P2642" s="38">
        <v>0</v>
      </c>
      <c r="Q2642" s="39" t="s">
        <v>44</v>
      </c>
      <c r="R2642" s="111">
        <v>45327</v>
      </c>
      <c r="S2642" s="40"/>
      <c r="T2642" s="11">
        <v>12.949400000000001</v>
      </c>
      <c r="U2642" s="39"/>
      <c r="V2642" s="39"/>
      <c r="W2642" s="39"/>
      <c r="X2642" s="39"/>
      <c r="Y2642" s="39"/>
      <c r="Z2642" s="3"/>
      <c r="AB2642" s="3"/>
      <c r="AC2642" s="38" t="s">
        <v>5659</v>
      </c>
      <c r="AD2642" s="2"/>
      <c r="AE2642" s="40"/>
    </row>
    <row r="2643" spans="1:31" x14ac:dyDescent="0.25">
      <c r="A2643" s="38" t="s">
        <v>36</v>
      </c>
      <c r="B2643" s="41" t="s">
        <v>5376</v>
      </c>
      <c r="C2643" s="41" t="s">
        <v>5661</v>
      </c>
      <c r="D2643" s="41" t="s">
        <v>2059</v>
      </c>
      <c r="E2643" s="41" t="s">
        <v>5662</v>
      </c>
      <c r="F2643" s="41">
        <v>1762.99</v>
      </c>
      <c r="G2643" s="41">
        <v>1762.99</v>
      </c>
      <c r="H2643" s="38">
        <f t="shared" si="129"/>
        <v>1070</v>
      </c>
      <c r="I2643" s="41">
        <v>693</v>
      </c>
      <c r="J2643" s="41">
        <v>377</v>
      </c>
      <c r="K2643" s="41">
        <v>316</v>
      </c>
      <c r="L2643" s="50">
        <f t="shared" si="130"/>
        <v>29.532710280373831</v>
      </c>
      <c r="M2643" s="41">
        <v>0</v>
      </c>
      <c r="N2643" s="50">
        <f t="shared" si="128"/>
        <v>0</v>
      </c>
      <c r="O2643" s="41">
        <v>0</v>
      </c>
      <c r="P2643" s="41">
        <v>0</v>
      </c>
      <c r="Q2643" s="217" t="s">
        <v>43</v>
      </c>
      <c r="R2643" s="27">
        <v>45356</v>
      </c>
      <c r="S2643" s="44"/>
      <c r="T2643" s="82">
        <v>45.413800000000002</v>
      </c>
      <c r="U2643" s="217"/>
      <c r="V2643" s="217"/>
      <c r="W2643" s="217"/>
      <c r="X2643" s="217"/>
      <c r="Y2643" s="217"/>
      <c r="Z2643" s="5"/>
      <c r="AB2643" s="5">
        <v>15</v>
      </c>
      <c r="AC2643" s="45" t="s">
        <v>2059</v>
      </c>
      <c r="AD2643" s="44">
        <v>26.104735999999999</v>
      </c>
      <c r="AE2643" s="44">
        <v>71.489386999999994</v>
      </c>
    </row>
    <row r="2644" spans="1:31" x14ac:dyDescent="0.25">
      <c r="A2644" s="38" t="s">
        <v>36</v>
      </c>
      <c r="B2644" s="38" t="s">
        <v>5376</v>
      </c>
      <c r="C2644" s="38" t="s">
        <v>5661</v>
      </c>
      <c r="D2644" s="38" t="s">
        <v>5663</v>
      </c>
      <c r="E2644" s="38" t="s">
        <v>5664</v>
      </c>
      <c r="F2644" s="38">
        <v>755.56</v>
      </c>
      <c r="G2644" s="38">
        <v>755.56</v>
      </c>
      <c r="H2644" s="38">
        <f t="shared" si="129"/>
        <v>766</v>
      </c>
      <c r="I2644" s="38">
        <v>500</v>
      </c>
      <c r="J2644" s="38">
        <v>266</v>
      </c>
      <c r="K2644" s="38">
        <v>234</v>
      </c>
      <c r="L2644" s="50">
        <f t="shared" si="130"/>
        <v>30.548302872062667</v>
      </c>
      <c r="M2644" s="38">
        <v>0</v>
      </c>
      <c r="N2644" s="50">
        <f t="shared" si="128"/>
        <v>0</v>
      </c>
      <c r="O2644" s="38">
        <v>0</v>
      </c>
      <c r="P2644" s="38">
        <v>0</v>
      </c>
      <c r="Q2644" s="120" t="s">
        <v>43</v>
      </c>
      <c r="R2644" s="25">
        <v>45356</v>
      </c>
      <c r="S2644" s="40"/>
      <c r="T2644" s="60">
        <v>91.628799999999998</v>
      </c>
      <c r="U2644" s="120"/>
      <c r="V2644" s="120"/>
      <c r="W2644" s="120"/>
      <c r="X2644" s="120"/>
      <c r="Y2644" s="120"/>
      <c r="Z2644" s="3"/>
      <c r="AB2644" s="3"/>
      <c r="AC2644" s="42" t="s">
        <v>5663</v>
      </c>
      <c r="AD2644" s="2"/>
      <c r="AE2644" s="40"/>
    </row>
    <row r="2645" spans="1:31" x14ac:dyDescent="0.25">
      <c r="A2645" s="38" t="s">
        <v>36</v>
      </c>
      <c r="B2645" s="38" t="s">
        <v>5376</v>
      </c>
      <c r="C2645" s="38" t="s">
        <v>5661</v>
      </c>
      <c r="D2645" s="38" t="s">
        <v>5665</v>
      </c>
      <c r="E2645" s="38" t="s">
        <v>5666</v>
      </c>
      <c r="F2645" s="38">
        <v>1310.4000000000001</v>
      </c>
      <c r="G2645" s="38">
        <v>1310.4000000000001</v>
      </c>
      <c r="H2645" s="38">
        <f t="shared" si="129"/>
        <v>1187</v>
      </c>
      <c r="I2645" s="38">
        <v>769</v>
      </c>
      <c r="J2645" s="38">
        <v>418</v>
      </c>
      <c r="K2645" s="38">
        <v>351</v>
      </c>
      <c r="L2645" s="50">
        <f t="shared" si="130"/>
        <v>29.570345408593091</v>
      </c>
      <c r="M2645" s="38">
        <v>17</v>
      </c>
      <c r="N2645" s="50">
        <f t="shared" si="128"/>
        <v>1.4321819713563606</v>
      </c>
      <c r="O2645" s="38">
        <v>0</v>
      </c>
      <c r="P2645" s="38">
        <v>0</v>
      </c>
      <c r="Q2645" s="120" t="s">
        <v>43</v>
      </c>
      <c r="R2645" s="25">
        <v>45356</v>
      </c>
      <c r="S2645" s="40"/>
      <c r="T2645" s="60">
        <v>4.8319000000000001</v>
      </c>
      <c r="U2645" s="120"/>
      <c r="V2645" s="120"/>
      <c r="W2645" s="120"/>
      <c r="X2645" s="120"/>
      <c r="Y2645" s="120"/>
      <c r="Z2645" s="3"/>
      <c r="AB2645" s="3"/>
      <c r="AC2645" s="42" t="s">
        <v>5665</v>
      </c>
      <c r="AD2645" s="2"/>
      <c r="AE2645" s="40"/>
    </row>
    <row r="2646" spans="1:31" x14ac:dyDescent="0.25">
      <c r="A2646" s="38" t="s">
        <v>36</v>
      </c>
      <c r="B2646" s="38" t="s">
        <v>5376</v>
      </c>
      <c r="C2646" s="38" t="s">
        <v>5661</v>
      </c>
      <c r="D2646" s="38" t="s">
        <v>5667</v>
      </c>
      <c r="E2646" s="38" t="s">
        <v>5668</v>
      </c>
      <c r="F2646" s="38">
        <v>2161.79</v>
      </c>
      <c r="G2646" s="38">
        <v>2161.79</v>
      </c>
      <c r="H2646" s="38">
        <f t="shared" si="129"/>
        <v>1669</v>
      </c>
      <c r="I2646" s="38">
        <v>1104</v>
      </c>
      <c r="J2646" s="38">
        <v>565</v>
      </c>
      <c r="K2646" s="38">
        <v>539</v>
      </c>
      <c r="L2646" s="50">
        <f t="shared" si="130"/>
        <v>32.29478729778311</v>
      </c>
      <c r="M2646" s="38">
        <v>0</v>
      </c>
      <c r="N2646" s="50">
        <f t="shared" si="128"/>
        <v>0</v>
      </c>
      <c r="O2646" s="38">
        <v>0</v>
      </c>
      <c r="P2646" s="38">
        <v>0</v>
      </c>
      <c r="Q2646" s="120" t="s">
        <v>43</v>
      </c>
      <c r="R2646" s="25">
        <v>45356</v>
      </c>
      <c r="S2646" s="40"/>
      <c r="T2646" s="60">
        <v>6.5881999999999996</v>
      </c>
      <c r="U2646" s="120"/>
      <c r="V2646" s="120"/>
      <c r="W2646" s="120"/>
      <c r="X2646" s="120"/>
      <c r="Y2646" s="120"/>
      <c r="Z2646" s="3"/>
      <c r="AB2646" s="3"/>
      <c r="AC2646" s="42" t="s">
        <v>5667</v>
      </c>
      <c r="AD2646" s="2"/>
      <c r="AE2646" s="40"/>
    </row>
    <row r="2647" spans="1:31" x14ac:dyDescent="0.25">
      <c r="A2647" s="38" t="s">
        <v>36</v>
      </c>
      <c r="B2647" s="38" t="s">
        <v>5376</v>
      </c>
      <c r="C2647" s="38" t="s">
        <v>5669</v>
      </c>
      <c r="D2647" s="38" t="s">
        <v>5670</v>
      </c>
      <c r="E2647" s="38" t="s">
        <v>5671</v>
      </c>
      <c r="F2647" s="38">
        <v>1571</v>
      </c>
      <c r="G2647" s="38">
        <v>1571</v>
      </c>
      <c r="H2647" s="38">
        <f t="shared" si="129"/>
        <v>2825</v>
      </c>
      <c r="I2647" s="38">
        <v>1861</v>
      </c>
      <c r="J2647" s="38">
        <v>964</v>
      </c>
      <c r="K2647" s="38">
        <v>897</v>
      </c>
      <c r="L2647" s="50">
        <f t="shared" si="130"/>
        <v>31.752212389380531</v>
      </c>
      <c r="M2647" s="38">
        <v>119</v>
      </c>
      <c r="N2647" s="50">
        <f t="shared" si="128"/>
        <v>4.2123893805309729</v>
      </c>
      <c r="O2647" s="38">
        <v>0</v>
      </c>
      <c r="P2647" s="38">
        <v>4</v>
      </c>
      <c r="Q2647" s="39" t="s">
        <v>44</v>
      </c>
      <c r="R2647" s="11" t="s">
        <v>5672</v>
      </c>
      <c r="S2647" s="40"/>
      <c r="T2647" s="11">
        <v>2.9622999999999999</v>
      </c>
      <c r="U2647" s="39"/>
      <c r="V2647" s="39"/>
      <c r="W2647" s="39"/>
      <c r="X2647" s="39"/>
      <c r="Y2647" s="39"/>
      <c r="Z2647" s="3"/>
      <c r="AB2647" s="3"/>
      <c r="AC2647" s="38" t="s">
        <v>5670</v>
      </c>
      <c r="AD2647" s="2"/>
      <c r="AE2647" s="40"/>
    </row>
    <row r="2648" spans="1:31" x14ac:dyDescent="0.25">
      <c r="A2648" s="38" t="s">
        <v>36</v>
      </c>
      <c r="B2648" s="38" t="s">
        <v>5376</v>
      </c>
      <c r="C2648" s="38" t="s">
        <v>5669</v>
      </c>
      <c r="D2648" s="38" t="s">
        <v>5673</v>
      </c>
      <c r="E2648" s="38" t="s">
        <v>5674</v>
      </c>
      <c r="F2648" s="38">
        <v>1798</v>
      </c>
      <c r="G2648" s="38">
        <v>1798</v>
      </c>
      <c r="H2648" s="38">
        <f t="shared" si="129"/>
        <v>1785</v>
      </c>
      <c r="I2648" s="38">
        <v>1172</v>
      </c>
      <c r="J2648" s="38">
        <v>613</v>
      </c>
      <c r="K2648" s="38">
        <v>559</v>
      </c>
      <c r="L2648" s="50">
        <f t="shared" si="130"/>
        <v>31.316526610644257</v>
      </c>
      <c r="M2648" s="38">
        <v>136</v>
      </c>
      <c r="N2648" s="50">
        <f t="shared" si="128"/>
        <v>7.6190476190476195</v>
      </c>
      <c r="O2648" s="38">
        <v>0</v>
      </c>
      <c r="P2648" s="38">
        <v>0</v>
      </c>
      <c r="Q2648" s="39" t="s">
        <v>44</v>
      </c>
      <c r="R2648" s="11" t="s">
        <v>5672</v>
      </c>
      <c r="S2648" s="40"/>
      <c r="T2648" s="11">
        <v>0.66369999999999996</v>
      </c>
      <c r="U2648" s="39"/>
      <c r="V2648" s="39"/>
      <c r="W2648" s="39"/>
      <c r="X2648" s="39"/>
      <c r="Y2648" s="39"/>
      <c r="Z2648" s="3"/>
      <c r="AB2648" s="3"/>
      <c r="AC2648" s="38" t="s">
        <v>5673</v>
      </c>
      <c r="AD2648" s="2"/>
      <c r="AE2648" s="40"/>
    </row>
    <row r="2649" spans="1:31" x14ac:dyDescent="0.25">
      <c r="A2649" s="38" t="s">
        <v>36</v>
      </c>
      <c r="B2649" s="38" t="s">
        <v>5376</v>
      </c>
      <c r="C2649" s="38" t="s">
        <v>5675</v>
      </c>
      <c r="D2649" s="38" t="s">
        <v>5676</v>
      </c>
      <c r="E2649" s="38" t="s">
        <v>5677</v>
      </c>
      <c r="F2649" s="38">
        <v>1837</v>
      </c>
      <c r="G2649" s="38">
        <v>1837</v>
      </c>
      <c r="H2649" s="38">
        <f t="shared" si="129"/>
        <v>1264</v>
      </c>
      <c r="I2649" s="38">
        <v>1264</v>
      </c>
      <c r="J2649" s="38"/>
      <c r="K2649" s="38"/>
      <c r="L2649" s="50">
        <f t="shared" si="130"/>
        <v>0</v>
      </c>
      <c r="M2649" s="38"/>
      <c r="N2649" s="50">
        <f t="shared" si="128"/>
        <v>0</v>
      </c>
      <c r="O2649" s="38">
        <v>0</v>
      </c>
      <c r="P2649" s="38">
        <v>127</v>
      </c>
      <c r="Q2649" s="39" t="s">
        <v>44</v>
      </c>
      <c r="R2649" s="111">
        <v>45371</v>
      </c>
      <c r="S2649" s="40"/>
      <c r="T2649" s="11">
        <v>132.0164</v>
      </c>
      <c r="U2649" s="39"/>
      <c r="V2649" s="39"/>
      <c r="W2649" s="39"/>
      <c r="X2649" s="39"/>
      <c r="Y2649" s="39"/>
      <c r="Z2649" s="3"/>
      <c r="AB2649" s="3"/>
      <c r="AC2649" s="38" t="s">
        <v>5676</v>
      </c>
      <c r="AD2649" s="2"/>
      <c r="AE2649" s="40"/>
    </row>
    <row r="2650" spans="1:31" x14ac:dyDescent="0.25">
      <c r="A2650" s="38" t="s">
        <v>36</v>
      </c>
      <c r="B2650" s="38" t="s">
        <v>5376</v>
      </c>
      <c r="C2650" s="38" t="s">
        <v>5675</v>
      </c>
      <c r="D2650" s="38" t="s">
        <v>5678</v>
      </c>
      <c r="E2650" s="38" t="s">
        <v>5679</v>
      </c>
      <c r="F2650" s="38">
        <v>1330</v>
      </c>
      <c r="G2650" s="38">
        <v>1330</v>
      </c>
      <c r="H2650" s="38">
        <f t="shared" si="129"/>
        <v>511</v>
      </c>
      <c r="I2650" s="38">
        <v>337</v>
      </c>
      <c r="J2650" s="38">
        <v>174</v>
      </c>
      <c r="K2650" s="38">
        <v>163</v>
      </c>
      <c r="L2650" s="50">
        <f t="shared" si="130"/>
        <v>31.898238747553815</v>
      </c>
      <c r="M2650" s="38">
        <v>0</v>
      </c>
      <c r="N2650" s="50">
        <f t="shared" si="128"/>
        <v>0</v>
      </c>
      <c r="O2650" s="38">
        <v>0</v>
      </c>
      <c r="P2650" s="38">
        <v>301</v>
      </c>
    </row>
    <row r="2651" spans="1:31" x14ac:dyDescent="0.25">
      <c r="A2651" s="38" t="s">
        <v>36</v>
      </c>
      <c r="B2651" s="41" t="s">
        <v>5376</v>
      </c>
      <c r="C2651" s="41" t="s">
        <v>5675</v>
      </c>
      <c r="D2651" s="41" t="s">
        <v>5680</v>
      </c>
      <c r="E2651" s="41" t="s">
        <v>5681</v>
      </c>
      <c r="F2651" s="41">
        <v>2112</v>
      </c>
      <c r="G2651" s="41">
        <v>2112</v>
      </c>
      <c r="H2651" s="38">
        <f t="shared" si="129"/>
        <v>1513</v>
      </c>
      <c r="I2651" s="41">
        <v>981</v>
      </c>
      <c r="J2651" s="41">
        <v>532</v>
      </c>
      <c r="K2651" s="41">
        <v>449</v>
      </c>
      <c r="L2651" s="50">
        <f t="shared" si="130"/>
        <v>29.676140118968934</v>
      </c>
      <c r="M2651" s="41">
        <v>2</v>
      </c>
      <c r="N2651" s="50">
        <f t="shared" si="128"/>
        <v>0.13218770654329146</v>
      </c>
      <c r="O2651" s="41">
        <v>56</v>
      </c>
      <c r="P2651" s="41">
        <v>281</v>
      </c>
      <c r="Q2651" s="43" t="s">
        <v>44</v>
      </c>
      <c r="R2651" s="119">
        <v>45371</v>
      </c>
      <c r="S2651" s="44"/>
      <c r="T2651" s="18">
        <v>279.56689999999998</v>
      </c>
      <c r="U2651" s="43"/>
      <c r="V2651" s="43"/>
      <c r="W2651" s="43"/>
      <c r="X2651" s="43"/>
      <c r="Y2651" s="43"/>
      <c r="Z2651" s="5"/>
      <c r="AB2651" s="5">
        <v>22</v>
      </c>
      <c r="AC2651" s="41" t="s">
        <v>5680</v>
      </c>
      <c r="AD2651" s="44">
        <v>26.348236</v>
      </c>
      <c r="AE2651" s="44">
        <v>71.210634999999996</v>
      </c>
    </row>
    <row r="2652" spans="1:31" x14ac:dyDescent="0.25">
      <c r="A2652" s="38" t="s">
        <v>36</v>
      </c>
      <c r="B2652" s="41" t="s">
        <v>5376</v>
      </c>
      <c r="C2652" s="41" t="s">
        <v>5675</v>
      </c>
      <c r="D2652" s="41" t="s">
        <v>5682</v>
      </c>
      <c r="E2652" s="41" t="s">
        <v>5683</v>
      </c>
      <c r="F2652" s="41">
        <v>943</v>
      </c>
      <c r="G2652" s="41">
        <v>943</v>
      </c>
      <c r="H2652" s="38">
        <f t="shared" si="129"/>
        <v>745</v>
      </c>
      <c r="I2652" s="41">
        <v>488</v>
      </c>
      <c r="J2652" s="41">
        <v>257</v>
      </c>
      <c r="K2652" s="41">
        <v>231</v>
      </c>
      <c r="L2652" s="50">
        <f t="shared" si="130"/>
        <v>31.006711409395969</v>
      </c>
      <c r="M2652" s="41">
        <v>6</v>
      </c>
      <c r="N2652" s="50">
        <f t="shared" si="128"/>
        <v>0.80536912751677858</v>
      </c>
      <c r="O2652" s="41">
        <v>0</v>
      </c>
      <c r="P2652" s="41">
        <v>346</v>
      </c>
      <c r="Q2652" s="43" t="s">
        <v>44</v>
      </c>
      <c r="R2652" s="119">
        <v>45371</v>
      </c>
      <c r="S2652" s="44"/>
      <c r="T2652" s="18">
        <v>343.82029999999997</v>
      </c>
      <c r="U2652" s="43"/>
      <c r="V2652" s="43"/>
      <c r="W2652" s="43"/>
      <c r="X2652" s="43"/>
      <c r="Y2652" s="43"/>
      <c r="Z2652" s="5"/>
      <c r="AB2652" s="5">
        <v>20</v>
      </c>
      <c r="AC2652" s="41" t="s">
        <v>5682</v>
      </c>
      <c r="AD2652" s="44">
        <v>26.38183265</v>
      </c>
      <c r="AE2652" s="44">
        <v>71.197095050000001</v>
      </c>
    </row>
    <row r="2653" spans="1:31" x14ac:dyDescent="0.25">
      <c r="A2653" s="38" t="s">
        <v>36</v>
      </c>
      <c r="B2653" s="41" t="s">
        <v>5376</v>
      </c>
      <c r="C2653" s="41" t="s">
        <v>5675</v>
      </c>
      <c r="D2653" s="41" t="s">
        <v>5684</v>
      </c>
      <c r="E2653" s="41" t="s">
        <v>5685</v>
      </c>
      <c r="F2653" s="41">
        <v>2323</v>
      </c>
      <c r="G2653" s="41">
        <v>2323</v>
      </c>
      <c r="H2653" s="38">
        <f t="shared" si="129"/>
        <v>1331</v>
      </c>
      <c r="I2653" s="41">
        <v>873</v>
      </c>
      <c r="J2653" s="41">
        <v>458</v>
      </c>
      <c r="K2653" s="41">
        <v>415</v>
      </c>
      <c r="L2653" s="50">
        <f t="shared" si="130"/>
        <v>31.179564237415473</v>
      </c>
      <c r="M2653" s="41">
        <v>88</v>
      </c>
      <c r="N2653" s="50">
        <f t="shared" si="128"/>
        <v>6.6115702479338845</v>
      </c>
      <c r="O2653" s="41">
        <v>157</v>
      </c>
      <c r="P2653" s="41">
        <v>254</v>
      </c>
      <c r="Q2653" s="43" t="s">
        <v>44</v>
      </c>
      <c r="R2653" s="119">
        <v>45371</v>
      </c>
      <c r="S2653" s="44"/>
      <c r="T2653" s="18">
        <v>252.8715</v>
      </c>
      <c r="U2653" s="43"/>
      <c r="V2653" s="43"/>
      <c r="W2653" s="43"/>
      <c r="X2653" s="43"/>
      <c r="Y2653" s="43"/>
      <c r="Z2653" s="5"/>
      <c r="AB2653" s="5">
        <v>21</v>
      </c>
      <c r="AC2653" s="41" t="s">
        <v>5684</v>
      </c>
      <c r="AD2653" s="44">
        <v>26.386618160000001</v>
      </c>
      <c r="AE2653" s="44">
        <v>71.222915271000005</v>
      </c>
    </row>
    <row r="2654" spans="1:31" x14ac:dyDescent="0.25">
      <c r="A2654" s="38" t="s">
        <v>36</v>
      </c>
      <c r="B2654" s="38" t="s">
        <v>5376</v>
      </c>
      <c r="C2654" s="38" t="s">
        <v>594</v>
      </c>
      <c r="D2654" s="38" t="s">
        <v>594</v>
      </c>
      <c r="E2654" s="38" t="s">
        <v>5686</v>
      </c>
      <c r="F2654" s="38">
        <v>1394</v>
      </c>
      <c r="G2654" s="38">
        <v>1394</v>
      </c>
      <c r="H2654" s="38">
        <f t="shared" si="129"/>
        <v>1341</v>
      </c>
      <c r="I2654" s="38">
        <v>876</v>
      </c>
      <c r="J2654" s="38">
        <v>465</v>
      </c>
      <c r="K2654" s="38">
        <v>411</v>
      </c>
      <c r="L2654" s="50">
        <f t="shared" si="130"/>
        <v>30.648769574944073</v>
      </c>
      <c r="M2654" s="38">
        <v>0</v>
      </c>
      <c r="N2654" s="50">
        <f t="shared" ref="N2654:N2717" si="131">M2654/H2654*100</f>
        <v>0</v>
      </c>
      <c r="O2654" s="38">
        <v>0</v>
      </c>
      <c r="P2654" s="38">
        <v>66</v>
      </c>
      <c r="Q2654" s="39" t="s">
        <v>44</v>
      </c>
      <c r="R2654" s="7">
        <v>45356</v>
      </c>
      <c r="S2654" s="40"/>
      <c r="T2654" s="11">
        <v>27.5852</v>
      </c>
      <c r="U2654" s="39"/>
      <c r="V2654" s="39"/>
      <c r="W2654" s="39"/>
      <c r="X2654" s="39"/>
      <c r="Y2654" s="39"/>
      <c r="Z2654" s="3"/>
      <c r="AB2654" s="3"/>
      <c r="AC2654" s="38" t="s">
        <v>594</v>
      </c>
      <c r="AD2654" s="2"/>
      <c r="AE2654" s="40"/>
    </row>
    <row r="2655" spans="1:31" x14ac:dyDescent="0.25">
      <c r="A2655" s="38" t="s">
        <v>36</v>
      </c>
      <c r="B2655" s="38" t="s">
        <v>5376</v>
      </c>
      <c r="C2655" s="38" t="s">
        <v>594</v>
      </c>
      <c r="D2655" s="38" t="s">
        <v>5687</v>
      </c>
      <c r="E2655" s="38" t="s">
        <v>5688</v>
      </c>
      <c r="F2655" s="38">
        <v>2324</v>
      </c>
      <c r="G2655" s="38">
        <v>2324</v>
      </c>
      <c r="H2655" s="38">
        <f t="shared" si="129"/>
        <v>1935</v>
      </c>
      <c r="I2655" s="38">
        <v>1281</v>
      </c>
      <c r="J2655" s="38">
        <v>654</v>
      </c>
      <c r="K2655" s="38">
        <v>627</v>
      </c>
      <c r="L2655" s="50">
        <f t="shared" si="130"/>
        <v>32.403100775193799</v>
      </c>
      <c r="M2655" s="38">
        <v>0</v>
      </c>
      <c r="N2655" s="50">
        <f t="shared" si="131"/>
        <v>0</v>
      </c>
      <c r="O2655" s="38">
        <v>0</v>
      </c>
      <c r="P2655" s="38">
        <v>20</v>
      </c>
      <c r="Q2655" s="39" t="s">
        <v>44</v>
      </c>
      <c r="R2655" s="7">
        <v>45356</v>
      </c>
      <c r="S2655" s="40"/>
      <c r="T2655" s="11">
        <v>0.59079999999999999</v>
      </c>
      <c r="U2655" s="39"/>
      <c r="V2655" s="39"/>
      <c r="W2655" s="39"/>
      <c r="X2655" s="39"/>
      <c r="Y2655" s="39"/>
      <c r="Z2655" s="3"/>
      <c r="AB2655" s="3"/>
      <c r="AC2655" s="38" t="s">
        <v>5687</v>
      </c>
      <c r="AD2655" s="2"/>
      <c r="AE2655" s="40"/>
    </row>
    <row r="2656" spans="1:31" x14ac:dyDescent="0.25">
      <c r="A2656" s="38" t="s">
        <v>36</v>
      </c>
      <c r="B2656" s="38" t="s">
        <v>5376</v>
      </c>
      <c r="C2656" s="38" t="s">
        <v>594</v>
      </c>
      <c r="D2656" s="38" t="s">
        <v>5689</v>
      </c>
      <c r="E2656" s="38" t="s">
        <v>5690</v>
      </c>
      <c r="F2656" s="38">
        <v>1169</v>
      </c>
      <c r="G2656" s="38">
        <v>1169</v>
      </c>
      <c r="H2656" s="38">
        <f t="shared" si="129"/>
        <v>1020</v>
      </c>
      <c r="I2656" s="38">
        <v>657</v>
      </c>
      <c r="J2656" s="38">
        <v>363</v>
      </c>
      <c r="K2656" s="38">
        <v>294</v>
      </c>
      <c r="L2656" s="50">
        <f t="shared" si="130"/>
        <v>28.823529411764703</v>
      </c>
      <c r="M2656" s="38">
        <v>0</v>
      </c>
      <c r="N2656" s="50">
        <f t="shared" si="131"/>
        <v>0</v>
      </c>
      <c r="O2656" s="38">
        <v>0</v>
      </c>
      <c r="P2656" s="38">
        <v>14</v>
      </c>
      <c r="Q2656" s="39" t="s">
        <v>44</v>
      </c>
      <c r="R2656" s="7">
        <v>45356</v>
      </c>
      <c r="S2656" s="40"/>
      <c r="T2656" s="11">
        <v>12.1729</v>
      </c>
      <c r="U2656" s="39"/>
      <c r="V2656" s="39"/>
      <c r="W2656" s="39"/>
      <c r="X2656" s="39"/>
      <c r="Y2656" s="39"/>
      <c r="Z2656" s="3"/>
      <c r="AB2656" s="3"/>
      <c r="AC2656" s="38" t="s">
        <v>5689</v>
      </c>
      <c r="AD2656" s="2"/>
      <c r="AE2656" s="40"/>
    </row>
    <row r="2657" spans="1:31" x14ac:dyDescent="0.25">
      <c r="A2657" s="38" t="s">
        <v>36</v>
      </c>
      <c r="B2657" s="38" t="s">
        <v>5376</v>
      </c>
      <c r="C2657" s="38" t="s">
        <v>594</v>
      </c>
      <c r="D2657" s="38" t="s">
        <v>5691</v>
      </c>
      <c r="E2657" s="38" t="s">
        <v>5692</v>
      </c>
      <c r="F2657" s="38">
        <v>1165</v>
      </c>
      <c r="G2657" s="38">
        <v>1165</v>
      </c>
      <c r="H2657" s="38">
        <f t="shared" si="129"/>
        <v>734</v>
      </c>
      <c r="I2657" s="38">
        <v>479</v>
      </c>
      <c r="J2657" s="38">
        <v>255</v>
      </c>
      <c r="K2657" s="38">
        <v>224</v>
      </c>
      <c r="L2657" s="50">
        <f t="shared" si="130"/>
        <v>30.517711171662125</v>
      </c>
      <c r="M2657" s="38">
        <v>0</v>
      </c>
      <c r="N2657" s="50">
        <f t="shared" si="131"/>
        <v>0</v>
      </c>
      <c r="O2657" s="38">
        <v>0</v>
      </c>
      <c r="P2657" s="38">
        <v>240</v>
      </c>
      <c r="Q2657" s="39" t="s">
        <v>44</v>
      </c>
      <c r="R2657" s="7">
        <v>45356</v>
      </c>
      <c r="S2657" s="40"/>
      <c r="T2657" s="11">
        <v>1.2948999999999999</v>
      </c>
      <c r="U2657" s="39"/>
      <c r="V2657" s="39"/>
      <c r="W2657" s="39"/>
      <c r="X2657" s="39"/>
      <c r="Y2657" s="39"/>
      <c r="Z2657" s="3"/>
      <c r="AB2657" s="3"/>
      <c r="AC2657" s="38" t="s">
        <v>5693</v>
      </c>
      <c r="AD2657" s="2"/>
      <c r="AE2657" s="40"/>
    </row>
    <row r="2658" spans="1:31" x14ac:dyDescent="0.25">
      <c r="A2658" s="38" t="s">
        <v>36</v>
      </c>
      <c r="B2658" s="38" t="s">
        <v>5376</v>
      </c>
      <c r="C2658" s="38" t="s">
        <v>594</v>
      </c>
      <c r="D2658" s="38" t="s">
        <v>5694</v>
      </c>
      <c r="E2658" s="38"/>
      <c r="F2658" s="38"/>
      <c r="G2658" s="38"/>
      <c r="H2658" s="38">
        <f t="shared" si="129"/>
        <v>0</v>
      </c>
      <c r="I2658" s="38"/>
      <c r="J2658" s="38"/>
      <c r="K2658" s="38"/>
      <c r="L2658" s="50"/>
      <c r="M2658" s="38"/>
      <c r="N2658" s="50"/>
      <c r="O2658" s="38"/>
      <c r="P2658" s="38"/>
      <c r="Q2658" s="39" t="s">
        <v>44</v>
      </c>
      <c r="R2658" s="7">
        <v>45356</v>
      </c>
      <c r="S2658" s="40"/>
      <c r="T2658" s="11">
        <v>36.372999999999998</v>
      </c>
      <c r="U2658" s="39"/>
      <c r="V2658" s="39"/>
      <c r="W2658" s="39"/>
      <c r="X2658" s="39"/>
      <c r="Y2658" s="39"/>
      <c r="Z2658" s="3"/>
      <c r="AB2658" s="3"/>
      <c r="AC2658" s="38" t="s">
        <v>5694</v>
      </c>
      <c r="AD2658" s="2"/>
      <c r="AE2658" s="40"/>
    </row>
    <row r="2659" spans="1:31" x14ac:dyDescent="0.25">
      <c r="A2659" s="38" t="s">
        <v>36</v>
      </c>
      <c r="B2659" s="38" t="s">
        <v>5376</v>
      </c>
      <c r="C2659" s="38" t="s">
        <v>594</v>
      </c>
      <c r="D2659" s="38" t="s">
        <v>5695</v>
      </c>
      <c r="E2659" s="38"/>
      <c r="F2659" s="38"/>
      <c r="G2659" s="38"/>
      <c r="H2659" s="38">
        <f t="shared" si="129"/>
        <v>0</v>
      </c>
      <c r="I2659" s="38"/>
      <c r="J2659" s="38"/>
      <c r="K2659" s="38"/>
      <c r="L2659" s="50"/>
      <c r="M2659" s="38"/>
      <c r="N2659" s="50"/>
      <c r="O2659" s="38"/>
      <c r="P2659" s="38"/>
      <c r="Q2659" s="39" t="s">
        <v>44</v>
      </c>
      <c r="R2659" s="7">
        <v>45356</v>
      </c>
      <c r="S2659" s="40"/>
      <c r="T2659" s="11">
        <v>0.76080000000000003</v>
      </c>
      <c r="U2659" s="39"/>
      <c r="V2659" s="39"/>
      <c r="W2659" s="39"/>
      <c r="X2659" s="39"/>
      <c r="Y2659" s="39"/>
      <c r="Z2659" s="3"/>
      <c r="AB2659" s="3"/>
      <c r="AC2659" s="38" t="s">
        <v>5695</v>
      </c>
      <c r="AD2659" s="2"/>
      <c r="AE2659" s="40"/>
    </row>
    <row r="2660" spans="1:31" x14ac:dyDescent="0.25">
      <c r="A2660" s="38" t="s">
        <v>36</v>
      </c>
      <c r="B2660" s="38" t="s">
        <v>5376</v>
      </c>
      <c r="C2660" s="38" t="s">
        <v>5696</v>
      </c>
      <c r="D2660" s="38" t="s">
        <v>5696</v>
      </c>
      <c r="E2660" s="38" t="s">
        <v>5697</v>
      </c>
      <c r="F2660" s="38">
        <v>811</v>
      </c>
      <c r="G2660" s="38">
        <v>811</v>
      </c>
      <c r="H2660" s="38">
        <f t="shared" si="129"/>
        <v>919</v>
      </c>
      <c r="I2660" s="38">
        <v>577</v>
      </c>
      <c r="J2660" s="38">
        <v>342</v>
      </c>
      <c r="K2660" s="38">
        <v>235</v>
      </c>
      <c r="L2660" s="50">
        <f t="shared" si="130"/>
        <v>25.571273122959738</v>
      </c>
      <c r="M2660" s="38">
        <v>1</v>
      </c>
      <c r="N2660" s="50">
        <f t="shared" si="131"/>
        <v>0.1088139281828074</v>
      </c>
      <c r="O2660" s="38">
        <v>0</v>
      </c>
      <c r="P2660" s="38">
        <v>421</v>
      </c>
      <c r="Q2660" s="39" t="s">
        <v>44</v>
      </c>
      <c r="R2660" s="11" t="s">
        <v>5560</v>
      </c>
      <c r="S2660" s="40"/>
      <c r="T2660" s="11">
        <v>409.25790000000001</v>
      </c>
      <c r="U2660" s="39"/>
      <c r="V2660" s="39"/>
      <c r="W2660" s="39"/>
      <c r="X2660" s="39"/>
      <c r="Y2660" s="39"/>
      <c r="Z2660" s="3"/>
      <c r="AB2660" s="3"/>
      <c r="AC2660" s="11" t="s">
        <v>5698</v>
      </c>
      <c r="AD2660" s="2"/>
      <c r="AE2660" s="40"/>
    </row>
    <row r="2661" spans="1:31" x14ac:dyDescent="0.25">
      <c r="A2661" s="38" t="s">
        <v>36</v>
      </c>
      <c r="B2661" s="38" t="s">
        <v>5376</v>
      </c>
      <c r="C2661" s="38" t="s">
        <v>5696</v>
      </c>
      <c r="D2661" s="38" t="s">
        <v>5699</v>
      </c>
      <c r="E2661" s="38" t="s">
        <v>5700</v>
      </c>
      <c r="F2661" s="38">
        <v>991</v>
      </c>
      <c r="G2661" s="38">
        <v>991</v>
      </c>
      <c r="H2661" s="38">
        <f t="shared" si="129"/>
        <v>682</v>
      </c>
      <c r="I2661" s="38">
        <v>440</v>
      </c>
      <c r="J2661" s="38">
        <v>242</v>
      </c>
      <c r="K2661" s="38">
        <v>198</v>
      </c>
      <c r="L2661" s="50">
        <f t="shared" si="130"/>
        <v>29.032258064516132</v>
      </c>
      <c r="M2661" s="38">
        <v>0</v>
      </c>
      <c r="N2661" s="50">
        <f t="shared" si="131"/>
        <v>0</v>
      </c>
      <c r="O2661" s="38">
        <v>0</v>
      </c>
      <c r="P2661" s="38">
        <v>41</v>
      </c>
      <c r="Q2661" s="39" t="s">
        <v>44</v>
      </c>
      <c r="R2661" s="11" t="s">
        <v>5560</v>
      </c>
      <c r="S2661" s="40"/>
      <c r="T2661" s="11">
        <v>10.4328</v>
      </c>
      <c r="U2661" s="39"/>
      <c r="V2661" s="39"/>
      <c r="W2661" s="39"/>
      <c r="X2661" s="39"/>
      <c r="Y2661" s="39"/>
      <c r="Z2661" s="3"/>
      <c r="AB2661" s="3"/>
      <c r="AC2661" s="11" t="s">
        <v>5701</v>
      </c>
      <c r="AD2661" s="2"/>
      <c r="AE2661" s="40"/>
    </row>
    <row r="2662" spans="1:31" x14ac:dyDescent="0.25">
      <c r="A2662" s="38" t="s">
        <v>36</v>
      </c>
      <c r="B2662" s="38" t="s">
        <v>5376</v>
      </c>
      <c r="C2662" s="38" t="s">
        <v>5696</v>
      </c>
      <c r="D2662" s="38" t="s">
        <v>5702</v>
      </c>
      <c r="E2662" s="38" t="s">
        <v>5703</v>
      </c>
      <c r="F2662" s="38">
        <v>1608</v>
      </c>
      <c r="G2662" s="38">
        <v>1608</v>
      </c>
      <c r="H2662" s="38">
        <f t="shared" si="129"/>
        <v>535</v>
      </c>
      <c r="I2662" s="38">
        <v>345</v>
      </c>
      <c r="J2662" s="38">
        <v>190</v>
      </c>
      <c r="K2662" s="38">
        <v>155</v>
      </c>
      <c r="L2662" s="50">
        <f t="shared" si="130"/>
        <v>28.971962616822427</v>
      </c>
      <c r="M2662" s="38">
        <v>0</v>
      </c>
      <c r="N2662" s="50">
        <f t="shared" si="131"/>
        <v>0</v>
      </c>
      <c r="O2662" s="38">
        <v>0</v>
      </c>
      <c r="P2662" s="38">
        <v>30</v>
      </c>
      <c r="Q2662" s="39" t="s">
        <v>44</v>
      </c>
      <c r="R2662" s="11" t="s">
        <v>5560</v>
      </c>
      <c r="S2662" s="40"/>
      <c r="T2662" s="245">
        <v>35.774000000000001</v>
      </c>
      <c r="U2662" s="39"/>
      <c r="V2662" s="39"/>
      <c r="W2662" s="39"/>
      <c r="X2662" s="39"/>
      <c r="Y2662" s="39"/>
      <c r="Z2662" s="3"/>
      <c r="AB2662" s="3"/>
      <c r="AC2662" s="11" t="s">
        <v>5704</v>
      </c>
      <c r="AD2662" s="2"/>
      <c r="AE2662" s="40"/>
    </row>
    <row r="2663" spans="1:31" x14ac:dyDescent="0.25">
      <c r="A2663" s="38" t="s">
        <v>36</v>
      </c>
      <c r="B2663" s="38" t="s">
        <v>5376</v>
      </c>
      <c r="C2663" s="38" t="s">
        <v>5696</v>
      </c>
      <c r="D2663" s="38" t="s">
        <v>5705</v>
      </c>
      <c r="E2663" s="38" t="s">
        <v>5706</v>
      </c>
      <c r="F2663" s="38">
        <v>669</v>
      </c>
      <c r="G2663" s="38">
        <v>669</v>
      </c>
      <c r="H2663" s="38">
        <f t="shared" si="129"/>
        <v>992</v>
      </c>
      <c r="I2663" s="38">
        <v>632</v>
      </c>
      <c r="J2663" s="38">
        <v>360</v>
      </c>
      <c r="K2663" s="38">
        <v>272</v>
      </c>
      <c r="L2663" s="50">
        <f t="shared" si="130"/>
        <v>27.419354838709676</v>
      </c>
      <c r="M2663" s="38">
        <v>16</v>
      </c>
      <c r="N2663" s="50">
        <f t="shared" si="131"/>
        <v>1.6129032258064515</v>
      </c>
      <c r="O2663" s="38">
        <v>0</v>
      </c>
      <c r="P2663" s="38">
        <v>352</v>
      </c>
      <c r="Q2663" s="39" t="s">
        <v>44</v>
      </c>
      <c r="R2663" s="11" t="s">
        <v>5560</v>
      </c>
      <c r="S2663" s="40"/>
      <c r="T2663" s="11">
        <v>0.24279999999999999</v>
      </c>
      <c r="U2663" s="39"/>
      <c r="V2663" s="39"/>
      <c r="W2663" s="39"/>
      <c r="X2663" s="39"/>
      <c r="Y2663" s="39"/>
      <c r="Z2663" s="3"/>
      <c r="AB2663" s="3"/>
      <c r="AC2663" s="11" t="s">
        <v>5707</v>
      </c>
      <c r="AD2663" s="2"/>
      <c r="AE2663" s="40"/>
    </row>
    <row r="2664" spans="1:31" x14ac:dyDescent="0.25">
      <c r="A2664" s="38" t="s">
        <v>36</v>
      </c>
      <c r="B2664" s="38" t="s">
        <v>5376</v>
      </c>
      <c r="C2664" s="38" t="s">
        <v>5696</v>
      </c>
      <c r="D2664" s="38" t="s">
        <v>5708</v>
      </c>
      <c r="E2664" s="38" t="s">
        <v>5709</v>
      </c>
      <c r="F2664" s="38">
        <v>925</v>
      </c>
      <c r="G2664" s="38">
        <v>925</v>
      </c>
      <c r="H2664" s="38">
        <f t="shared" si="129"/>
        <v>967</v>
      </c>
      <c r="I2664" s="38">
        <v>636</v>
      </c>
      <c r="J2664" s="38">
        <v>331</v>
      </c>
      <c r="K2664" s="38">
        <v>305</v>
      </c>
      <c r="L2664" s="50">
        <f t="shared" si="130"/>
        <v>31.540847983453979</v>
      </c>
      <c r="M2664" s="38">
        <v>55</v>
      </c>
      <c r="N2664" s="50">
        <f t="shared" si="131"/>
        <v>5.6876938986556356</v>
      </c>
      <c r="O2664" s="38">
        <v>0</v>
      </c>
      <c r="P2664" s="38">
        <v>0</v>
      </c>
      <c r="Q2664" s="39" t="s">
        <v>44</v>
      </c>
      <c r="R2664" s="11" t="s">
        <v>5560</v>
      </c>
      <c r="S2664" s="40"/>
      <c r="T2664" s="11">
        <v>32.552900000000001</v>
      </c>
      <c r="U2664" s="39"/>
      <c r="V2664" s="39"/>
      <c r="W2664" s="39"/>
      <c r="X2664" s="39"/>
      <c r="Y2664" s="39"/>
      <c r="Z2664" s="3"/>
      <c r="AB2664" s="3"/>
      <c r="AC2664" s="11" t="s">
        <v>5708</v>
      </c>
      <c r="AD2664" s="2"/>
      <c r="AE2664" s="40"/>
    </row>
    <row r="2665" spans="1:31" x14ac:dyDescent="0.25">
      <c r="A2665" s="38" t="s">
        <v>36</v>
      </c>
      <c r="B2665" s="38" t="s">
        <v>5376</v>
      </c>
      <c r="C2665" s="38" t="s">
        <v>5125</v>
      </c>
      <c r="D2665" s="38" t="s">
        <v>5125</v>
      </c>
      <c r="E2665" s="38" t="s">
        <v>5710</v>
      </c>
      <c r="F2665" s="38">
        <v>1735.8</v>
      </c>
      <c r="G2665" s="38">
        <v>1735.8</v>
      </c>
      <c r="H2665" s="38">
        <f t="shared" si="129"/>
        <v>1732</v>
      </c>
      <c r="I2665" s="38">
        <v>1138</v>
      </c>
      <c r="J2665" s="38">
        <v>594</v>
      </c>
      <c r="K2665" s="38">
        <v>544</v>
      </c>
      <c r="L2665" s="50">
        <f t="shared" si="130"/>
        <v>31.408775981524251</v>
      </c>
      <c r="M2665" s="38">
        <v>385</v>
      </c>
      <c r="N2665" s="50">
        <f t="shared" si="131"/>
        <v>22.228637413394921</v>
      </c>
      <c r="O2665" s="38">
        <v>0</v>
      </c>
      <c r="P2665" s="38">
        <v>0</v>
      </c>
      <c r="Q2665" s="39" t="s">
        <v>44</v>
      </c>
      <c r="R2665" s="7">
        <v>45189</v>
      </c>
      <c r="S2665" s="40"/>
      <c r="T2665" s="11">
        <v>59.820500000000003</v>
      </c>
      <c r="U2665" s="39"/>
      <c r="V2665" s="39"/>
      <c r="W2665" s="39"/>
      <c r="X2665" s="39"/>
      <c r="Y2665" s="39"/>
      <c r="Z2665" s="3"/>
      <c r="AB2665" s="3"/>
      <c r="AC2665" s="38" t="s">
        <v>5125</v>
      </c>
      <c r="AD2665" s="2"/>
      <c r="AE2665" s="40"/>
    </row>
    <row r="2666" spans="1:31" x14ac:dyDescent="0.25">
      <c r="A2666" s="38" t="s">
        <v>36</v>
      </c>
      <c r="B2666" s="38" t="s">
        <v>5376</v>
      </c>
      <c r="C2666" s="38" t="s">
        <v>5125</v>
      </c>
      <c r="D2666" s="38" t="s">
        <v>5711</v>
      </c>
      <c r="E2666" s="38" t="s">
        <v>5712</v>
      </c>
      <c r="F2666" s="38">
        <v>678.49</v>
      </c>
      <c r="G2666" s="38">
        <v>678.49</v>
      </c>
      <c r="H2666" s="38">
        <f t="shared" si="129"/>
        <v>665</v>
      </c>
      <c r="I2666" s="38">
        <v>440</v>
      </c>
      <c r="J2666" s="38">
        <v>225</v>
      </c>
      <c r="K2666" s="38">
        <v>215</v>
      </c>
      <c r="L2666" s="50">
        <f t="shared" si="130"/>
        <v>32.330827067669169</v>
      </c>
      <c r="M2666" s="38">
        <v>0</v>
      </c>
      <c r="N2666" s="50">
        <f t="shared" si="131"/>
        <v>0</v>
      </c>
      <c r="O2666" s="38">
        <v>0</v>
      </c>
      <c r="P2666" s="38">
        <v>0</v>
      </c>
      <c r="Q2666" s="39" t="s">
        <v>44</v>
      </c>
      <c r="R2666" s="7">
        <v>45189</v>
      </c>
      <c r="S2666" s="40"/>
      <c r="T2666" s="11">
        <v>83.389300000000006</v>
      </c>
      <c r="U2666" s="39"/>
      <c r="V2666" s="39"/>
      <c r="W2666" s="39"/>
      <c r="X2666" s="39"/>
      <c r="Y2666" s="39"/>
      <c r="Z2666" s="3"/>
      <c r="AB2666" s="3"/>
      <c r="AC2666" s="38" t="s">
        <v>5711</v>
      </c>
      <c r="AD2666" s="2"/>
      <c r="AE2666" s="40"/>
    </row>
    <row r="2667" spans="1:31" x14ac:dyDescent="0.25">
      <c r="A2667" s="38" t="s">
        <v>36</v>
      </c>
      <c r="B2667" s="38" t="s">
        <v>5376</v>
      </c>
      <c r="C2667" s="38" t="s">
        <v>5125</v>
      </c>
      <c r="D2667" s="38" t="s">
        <v>5713</v>
      </c>
      <c r="E2667" s="38" t="s">
        <v>5714</v>
      </c>
      <c r="F2667" s="38">
        <v>986.54</v>
      </c>
      <c r="G2667" s="38">
        <v>986.54</v>
      </c>
      <c r="H2667" s="38">
        <f t="shared" si="129"/>
        <v>1108</v>
      </c>
      <c r="I2667" s="38">
        <v>736</v>
      </c>
      <c r="J2667" s="38">
        <v>372</v>
      </c>
      <c r="K2667" s="38">
        <v>364</v>
      </c>
      <c r="L2667" s="50">
        <f t="shared" si="130"/>
        <v>32.851985559566785</v>
      </c>
      <c r="M2667" s="38">
        <v>0</v>
      </c>
      <c r="N2667" s="50">
        <f t="shared" si="131"/>
        <v>0</v>
      </c>
      <c r="O2667" s="38">
        <v>0</v>
      </c>
      <c r="P2667" s="38">
        <v>0</v>
      </c>
      <c r="Q2667" s="39" t="s">
        <v>44</v>
      </c>
      <c r="R2667" s="7">
        <v>45189</v>
      </c>
      <c r="S2667" s="40"/>
      <c r="T2667" s="11">
        <v>41.553100000000001</v>
      </c>
      <c r="U2667" s="39"/>
      <c r="V2667" s="39"/>
      <c r="W2667" s="39"/>
      <c r="X2667" s="39"/>
      <c r="Y2667" s="39"/>
      <c r="Z2667" s="3"/>
      <c r="AB2667" s="3"/>
      <c r="AC2667" s="38" t="s">
        <v>5713</v>
      </c>
      <c r="AD2667" s="2"/>
      <c r="AE2667" s="40"/>
    </row>
    <row r="2668" spans="1:31" x14ac:dyDescent="0.25">
      <c r="A2668" s="38" t="s">
        <v>36</v>
      </c>
      <c r="B2668" s="38" t="s">
        <v>5376</v>
      </c>
      <c r="C2668" s="38" t="s">
        <v>5125</v>
      </c>
      <c r="D2668" s="38" t="s">
        <v>5715</v>
      </c>
      <c r="E2668" s="38" t="s">
        <v>5716</v>
      </c>
      <c r="F2668" s="38">
        <v>1596.45</v>
      </c>
      <c r="G2668" s="38">
        <v>1596.45</v>
      </c>
      <c r="H2668" s="38">
        <f t="shared" si="129"/>
        <v>844</v>
      </c>
      <c r="I2668" s="38">
        <v>547</v>
      </c>
      <c r="J2668" s="38">
        <v>297</v>
      </c>
      <c r="K2668" s="38">
        <v>250</v>
      </c>
      <c r="L2668" s="50">
        <f t="shared" si="130"/>
        <v>29.620853080568722</v>
      </c>
      <c r="M2668" s="38">
        <v>25</v>
      </c>
      <c r="N2668" s="50">
        <f t="shared" si="131"/>
        <v>2.9620853080568721</v>
      </c>
      <c r="O2668" s="38">
        <v>0</v>
      </c>
      <c r="P2668" s="38">
        <v>0</v>
      </c>
      <c r="Q2668" s="39" t="s">
        <v>44</v>
      </c>
      <c r="R2668" s="7">
        <v>45189</v>
      </c>
      <c r="S2668" s="40"/>
      <c r="T2668" s="11">
        <v>22.816199999999998</v>
      </c>
      <c r="U2668" s="39"/>
      <c r="V2668" s="39"/>
      <c r="W2668" s="39"/>
      <c r="X2668" s="39"/>
      <c r="Y2668" s="39"/>
      <c r="Z2668" s="3"/>
      <c r="AB2668" s="3"/>
      <c r="AC2668" s="38" t="s">
        <v>5715</v>
      </c>
      <c r="AD2668" s="2"/>
      <c r="AE2668" s="40"/>
    </row>
    <row r="2669" spans="1:31" x14ac:dyDescent="0.25">
      <c r="A2669" s="38" t="s">
        <v>36</v>
      </c>
      <c r="B2669" s="41" t="s">
        <v>5376</v>
      </c>
      <c r="C2669" s="41" t="s">
        <v>5125</v>
      </c>
      <c r="D2669" s="41" t="s">
        <v>5717</v>
      </c>
      <c r="E2669" s="41" t="s">
        <v>5718</v>
      </c>
      <c r="F2669" s="41">
        <v>781</v>
      </c>
      <c r="G2669" s="41">
        <v>781</v>
      </c>
      <c r="H2669" s="38">
        <f t="shared" si="129"/>
        <v>581</v>
      </c>
      <c r="I2669" s="41">
        <v>370</v>
      </c>
      <c r="J2669" s="41">
        <v>211</v>
      </c>
      <c r="K2669" s="41">
        <v>159</v>
      </c>
      <c r="L2669" s="50">
        <f t="shared" si="130"/>
        <v>27.366609294320138</v>
      </c>
      <c r="M2669" s="41">
        <v>114</v>
      </c>
      <c r="N2669" s="50">
        <f t="shared" si="131"/>
        <v>19.621342512908779</v>
      </c>
      <c r="O2669" s="41">
        <v>0</v>
      </c>
      <c r="P2669" s="41">
        <v>0</v>
      </c>
      <c r="Q2669" s="39" t="s">
        <v>44</v>
      </c>
      <c r="R2669" s="24">
        <v>45189</v>
      </c>
      <c r="S2669" s="44"/>
      <c r="T2669" s="18">
        <v>83.389300000000006</v>
      </c>
      <c r="U2669" s="39"/>
      <c r="V2669" s="39"/>
      <c r="W2669" s="39"/>
      <c r="X2669" s="39"/>
      <c r="Y2669" s="39"/>
      <c r="Z2669" s="5"/>
      <c r="AB2669" s="5">
        <v>20</v>
      </c>
      <c r="AC2669" s="41" t="s">
        <v>5717</v>
      </c>
      <c r="AD2669" s="44">
        <v>26.291691100000001</v>
      </c>
      <c r="AE2669" s="44">
        <v>71.458550599999995</v>
      </c>
    </row>
    <row r="2670" spans="1:31" x14ac:dyDescent="0.25">
      <c r="A2670" s="38" t="s">
        <v>36</v>
      </c>
      <c r="B2670" s="41" t="s">
        <v>5376</v>
      </c>
      <c r="C2670" s="41" t="s">
        <v>5376</v>
      </c>
      <c r="D2670" s="41" t="s">
        <v>5719</v>
      </c>
      <c r="E2670" s="41" t="s">
        <v>5720</v>
      </c>
      <c r="F2670" s="41">
        <v>3870</v>
      </c>
      <c r="G2670" s="41">
        <v>3870</v>
      </c>
      <c r="H2670" s="38">
        <f t="shared" si="129"/>
        <v>7006</v>
      </c>
      <c r="I2670" s="41">
        <v>4540</v>
      </c>
      <c r="J2670" s="41">
        <v>2466</v>
      </c>
      <c r="K2670" s="41">
        <v>2074</v>
      </c>
      <c r="L2670" s="50">
        <f t="shared" si="130"/>
        <v>29.603197259491864</v>
      </c>
      <c r="M2670" s="41">
        <v>310</v>
      </c>
      <c r="N2670" s="50">
        <f t="shared" si="131"/>
        <v>4.4247787610619467</v>
      </c>
      <c r="O2670" s="41">
        <v>1</v>
      </c>
      <c r="P2670" s="41">
        <v>0</v>
      </c>
      <c r="Q2670" s="217" t="s">
        <v>43</v>
      </c>
      <c r="R2670" s="27">
        <v>45334</v>
      </c>
      <c r="S2670" s="44"/>
      <c r="T2670" s="82">
        <v>50.6</v>
      </c>
      <c r="U2670" s="217"/>
      <c r="V2670" s="217"/>
      <c r="W2670" s="217"/>
      <c r="X2670" s="217"/>
      <c r="Y2670" s="217"/>
      <c r="Z2670" s="5"/>
      <c r="AB2670" s="5">
        <v>50</v>
      </c>
      <c r="AC2670" s="45" t="s">
        <v>5719</v>
      </c>
      <c r="AD2670" s="44">
        <v>26.182401200000001</v>
      </c>
      <c r="AE2670" s="44">
        <v>71.242021600000001</v>
      </c>
    </row>
    <row r="2671" spans="1:31" x14ac:dyDescent="0.25">
      <c r="A2671" s="38" t="s">
        <v>36</v>
      </c>
      <c r="B2671" s="41" t="s">
        <v>5376</v>
      </c>
      <c r="C2671" s="41" t="s">
        <v>5376</v>
      </c>
      <c r="D2671" s="41" t="s">
        <v>5721</v>
      </c>
      <c r="E2671" s="41" t="s">
        <v>5722</v>
      </c>
      <c r="F2671" s="41">
        <v>2256</v>
      </c>
      <c r="G2671" s="41">
        <v>2256</v>
      </c>
      <c r="H2671" s="38">
        <f t="shared" si="129"/>
        <v>1022</v>
      </c>
      <c r="I2671" s="41">
        <v>671</v>
      </c>
      <c r="J2671" s="41">
        <v>351</v>
      </c>
      <c r="K2671" s="41">
        <v>320</v>
      </c>
      <c r="L2671" s="50">
        <f t="shared" si="130"/>
        <v>31.31115459882583</v>
      </c>
      <c r="M2671" s="41">
        <v>0</v>
      </c>
      <c r="N2671" s="50">
        <f t="shared" si="131"/>
        <v>0</v>
      </c>
      <c r="O2671" s="41">
        <v>0</v>
      </c>
      <c r="P2671" s="41">
        <v>194</v>
      </c>
      <c r="Q2671" s="217" t="s">
        <v>43</v>
      </c>
      <c r="R2671" s="27">
        <v>45334</v>
      </c>
      <c r="S2671" s="44"/>
      <c r="T2671" s="82">
        <v>193</v>
      </c>
      <c r="U2671" s="217"/>
      <c r="V2671" s="217"/>
      <c r="W2671" s="217"/>
      <c r="X2671" s="217"/>
      <c r="Y2671" s="217"/>
      <c r="Z2671" s="5"/>
      <c r="AB2671" s="5">
        <v>22</v>
      </c>
      <c r="AC2671" s="45" t="s">
        <v>5721</v>
      </c>
      <c r="AD2671" s="44">
        <v>26.158546000000001</v>
      </c>
      <c r="AE2671" s="44">
        <v>71.272757999999996</v>
      </c>
    </row>
    <row r="2672" spans="1:31" x14ac:dyDescent="0.25">
      <c r="A2672" s="38" t="s">
        <v>36</v>
      </c>
      <c r="B2672" s="38" t="s">
        <v>5376</v>
      </c>
      <c r="C2672" s="38" t="s">
        <v>5376</v>
      </c>
      <c r="D2672" s="38" t="s">
        <v>5723</v>
      </c>
      <c r="E2672" s="38" t="s">
        <v>5724</v>
      </c>
      <c r="F2672" s="38">
        <v>2139</v>
      </c>
      <c r="G2672" s="38">
        <v>2139</v>
      </c>
      <c r="H2672" s="38">
        <f t="shared" si="129"/>
        <v>1718</v>
      </c>
      <c r="I2672" s="38">
        <v>1138</v>
      </c>
      <c r="J2672" s="38">
        <v>580</v>
      </c>
      <c r="K2672" s="38">
        <v>558</v>
      </c>
      <c r="L2672" s="50">
        <f t="shared" si="130"/>
        <v>32.479627473806758</v>
      </c>
      <c r="M2672" s="38">
        <v>26</v>
      </c>
      <c r="N2672" s="50">
        <f t="shared" si="131"/>
        <v>1.5133876600698486</v>
      </c>
      <c r="O2672" s="38">
        <v>0</v>
      </c>
      <c r="P2672" s="38">
        <v>175</v>
      </c>
      <c r="Q2672" s="120" t="s">
        <v>43</v>
      </c>
      <c r="R2672" s="25">
        <v>45334</v>
      </c>
      <c r="S2672" s="40"/>
      <c r="T2672" s="60">
        <v>0.80900000000000005</v>
      </c>
      <c r="U2672" s="120"/>
      <c r="V2672" s="120"/>
      <c r="W2672" s="120"/>
      <c r="X2672" s="120"/>
      <c r="Y2672" s="120"/>
      <c r="Z2672" s="3"/>
      <c r="AB2672" s="3"/>
      <c r="AC2672" s="42" t="s">
        <v>5723</v>
      </c>
      <c r="AD2672" s="2"/>
      <c r="AE2672" s="40"/>
    </row>
    <row r="2673" spans="1:31" x14ac:dyDescent="0.25">
      <c r="A2673" s="38" t="s">
        <v>36</v>
      </c>
      <c r="B2673" s="38" t="s">
        <v>5376</v>
      </c>
      <c r="C2673" s="38" t="s">
        <v>5725</v>
      </c>
      <c r="D2673" s="38" t="s">
        <v>5725</v>
      </c>
      <c r="E2673" s="38" t="s">
        <v>5726</v>
      </c>
      <c r="F2673" s="38">
        <v>1158.33</v>
      </c>
      <c r="G2673" s="38">
        <v>1158.33</v>
      </c>
      <c r="H2673" s="38">
        <f t="shared" si="129"/>
        <v>1139</v>
      </c>
      <c r="I2673" s="38">
        <v>735</v>
      </c>
      <c r="J2673" s="38">
        <v>404</v>
      </c>
      <c r="K2673" s="38">
        <v>331</v>
      </c>
      <c r="L2673" s="50">
        <f t="shared" si="130"/>
        <v>29.060579455662861</v>
      </c>
      <c r="M2673" s="38">
        <v>74</v>
      </c>
      <c r="N2673" s="50">
        <f t="shared" si="131"/>
        <v>6.4969271290605795</v>
      </c>
      <c r="O2673" s="38">
        <v>0</v>
      </c>
      <c r="P2673" s="38">
        <v>7</v>
      </c>
      <c r="Q2673" s="39" t="s">
        <v>44</v>
      </c>
      <c r="R2673" s="11" t="s">
        <v>5727</v>
      </c>
      <c r="S2673" s="40"/>
      <c r="T2673" s="11">
        <v>7.86</v>
      </c>
      <c r="U2673" s="39"/>
      <c r="V2673" s="39"/>
      <c r="W2673" s="39"/>
      <c r="X2673" s="39"/>
      <c r="Y2673" s="39"/>
      <c r="Z2673" s="3"/>
      <c r="AB2673" s="3"/>
      <c r="AC2673" s="38" t="s">
        <v>5725</v>
      </c>
      <c r="AD2673" s="2"/>
      <c r="AE2673" s="40"/>
    </row>
    <row r="2674" spans="1:31" x14ac:dyDescent="0.25">
      <c r="A2674" s="38" t="s">
        <v>36</v>
      </c>
      <c r="B2674" s="38" t="s">
        <v>5376</v>
      </c>
      <c r="C2674" s="38" t="s">
        <v>5725</v>
      </c>
      <c r="D2674" s="38" t="s">
        <v>5728</v>
      </c>
      <c r="E2674" s="38" t="s">
        <v>5729</v>
      </c>
      <c r="F2674" s="38">
        <v>1350.05</v>
      </c>
      <c r="G2674" s="38">
        <v>1350.05</v>
      </c>
      <c r="H2674" s="38">
        <f t="shared" si="129"/>
        <v>1618</v>
      </c>
      <c r="I2674" s="38">
        <v>1055</v>
      </c>
      <c r="J2674" s="38">
        <v>563</v>
      </c>
      <c r="K2674" s="38">
        <v>492</v>
      </c>
      <c r="L2674" s="50">
        <f t="shared" si="130"/>
        <v>30.407911001236094</v>
      </c>
      <c r="M2674" s="38">
        <v>0</v>
      </c>
      <c r="N2674" s="50">
        <f t="shared" si="131"/>
        <v>0</v>
      </c>
      <c r="O2674" s="38">
        <v>0</v>
      </c>
      <c r="P2674" s="38">
        <v>40</v>
      </c>
      <c r="Q2674" s="39" t="s">
        <v>44</v>
      </c>
      <c r="R2674" s="11" t="s">
        <v>5727</v>
      </c>
      <c r="S2674" s="40"/>
      <c r="T2674" s="11">
        <v>99.18</v>
      </c>
      <c r="U2674" s="39"/>
      <c r="V2674" s="39"/>
      <c r="W2674" s="39"/>
      <c r="X2674" s="39"/>
      <c r="Y2674" s="39"/>
      <c r="Z2674" s="3"/>
      <c r="AB2674" s="3"/>
      <c r="AC2674" s="38" t="s">
        <v>5728</v>
      </c>
      <c r="AD2674" s="2"/>
      <c r="AE2674" s="40"/>
    </row>
    <row r="2675" spans="1:31" x14ac:dyDescent="0.25">
      <c r="A2675" s="38" t="s">
        <v>36</v>
      </c>
      <c r="B2675" s="38" t="s">
        <v>5376</v>
      </c>
      <c r="C2675" s="38" t="s">
        <v>5725</v>
      </c>
      <c r="D2675" s="38" t="s">
        <v>1600</v>
      </c>
      <c r="E2675" s="38" t="s">
        <v>5730</v>
      </c>
      <c r="F2675" s="38">
        <v>1013.54</v>
      </c>
      <c r="G2675" s="38">
        <v>1013.54</v>
      </c>
      <c r="H2675" s="38">
        <f t="shared" si="129"/>
        <v>806</v>
      </c>
      <c r="I2675" s="38">
        <v>518</v>
      </c>
      <c r="J2675" s="38">
        <v>288</v>
      </c>
      <c r="K2675" s="38">
        <v>230</v>
      </c>
      <c r="L2675" s="50">
        <f t="shared" si="130"/>
        <v>28.535980148883372</v>
      </c>
      <c r="M2675" s="38">
        <v>102</v>
      </c>
      <c r="N2675" s="50">
        <f t="shared" si="131"/>
        <v>12.655086848635236</v>
      </c>
      <c r="O2675" s="38">
        <v>0</v>
      </c>
      <c r="P2675" s="38">
        <v>0</v>
      </c>
      <c r="Q2675" s="39" t="s">
        <v>44</v>
      </c>
      <c r="R2675" s="11" t="s">
        <v>5727</v>
      </c>
      <c r="S2675" s="40"/>
      <c r="T2675" s="11">
        <v>0.47799999999999998</v>
      </c>
      <c r="U2675" s="39"/>
      <c r="V2675" s="39"/>
      <c r="W2675" s="39"/>
      <c r="X2675" s="39"/>
      <c r="Y2675" s="39"/>
      <c r="Z2675" s="3"/>
      <c r="AB2675" s="3"/>
      <c r="AC2675" s="38" t="s">
        <v>1600</v>
      </c>
      <c r="AD2675" s="2"/>
      <c r="AE2675" s="40"/>
    </row>
    <row r="2676" spans="1:31" x14ac:dyDescent="0.25">
      <c r="A2676" s="38" t="s">
        <v>36</v>
      </c>
      <c r="B2676" s="38" t="s">
        <v>5376</v>
      </c>
      <c r="C2676" s="38" t="s">
        <v>5731</v>
      </c>
      <c r="D2676" s="38" t="s">
        <v>5732</v>
      </c>
      <c r="E2676" s="38" t="s">
        <v>5733</v>
      </c>
      <c r="F2676" s="38">
        <v>1755</v>
      </c>
      <c r="G2676" s="38">
        <v>1755</v>
      </c>
      <c r="H2676" s="38">
        <f t="shared" si="129"/>
        <v>1065</v>
      </c>
      <c r="I2676" s="38">
        <v>695</v>
      </c>
      <c r="J2676" s="38">
        <v>370</v>
      </c>
      <c r="K2676" s="38">
        <v>325</v>
      </c>
      <c r="L2676" s="50">
        <f t="shared" si="130"/>
        <v>30.516431924882632</v>
      </c>
      <c r="M2676" s="38">
        <v>125</v>
      </c>
      <c r="N2676" s="50">
        <f t="shared" si="131"/>
        <v>11.737089201877934</v>
      </c>
      <c r="O2676" s="38">
        <v>0</v>
      </c>
      <c r="P2676" s="38">
        <v>0</v>
      </c>
      <c r="Q2676" s="98" t="s">
        <v>160</v>
      </c>
      <c r="R2676" s="7">
        <v>45145</v>
      </c>
      <c r="S2676" s="99"/>
      <c r="T2676" s="20">
        <v>151.24700000000001</v>
      </c>
      <c r="U2676" s="98"/>
      <c r="V2676" s="98"/>
      <c r="W2676" s="98"/>
      <c r="X2676" s="98"/>
      <c r="Y2676" s="98"/>
      <c r="Z2676" s="20"/>
      <c r="AC2676" s="38" t="s">
        <v>5732</v>
      </c>
      <c r="AD2676" s="61">
        <v>26.272601999999999</v>
      </c>
      <c r="AE2676" s="99">
        <v>71.012296000000006</v>
      </c>
    </row>
    <row r="2677" spans="1:31" x14ac:dyDescent="0.25">
      <c r="A2677" s="38" t="s">
        <v>36</v>
      </c>
      <c r="B2677" s="41" t="s">
        <v>5376</v>
      </c>
      <c r="C2677" s="41" t="s">
        <v>5731</v>
      </c>
      <c r="D2677" s="41" t="s">
        <v>5734</v>
      </c>
      <c r="E2677" s="41" t="s">
        <v>5735</v>
      </c>
      <c r="F2677" s="41">
        <v>2257</v>
      </c>
      <c r="G2677" s="41">
        <v>2257</v>
      </c>
      <c r="H2677" s="38">
        <f t="shared" si="129"/>
        <v>957</v>
      </c>
      <c r="I2677" s="41">
        <v>628</v>
      </c>
      <c r="J2677" s="41">
        <v>329</v>
      </c>
      <c r="K2677" s="41">
        <v>299</v>
      </c>
      <c r="L2677" s="50">
        <f t="shared" si="130"/>
        <v>31.243469174503659</v>
      </c>
      <c r="M2677" s="41">
        <v>66</v>
      </c>
      <c r="N2677" s="50">
        <f t="shared" si="131"/>
        <v>6.8965517241379306</v>
      </c>
      <c r="O2677" s="41">
        <v>0</v>
      </c>
      <c r="P2677" s="41">
        <v>32</v>
      </c>
      <c r="Q2677" s="213" t="s">
        <v>160</v>
      </c>
      <c r="R2677" s="218">
        <v>45145</v>
      </c>
      <c r="S2677" s="214"/>
      <c r="T2677" s="214">
        <v>117.3425</v>
      </c>
      <c r="U2677" s="213"/>
      <c r="V2677" s="213"/>
      <c r="W2677" s="213"/>
      <c r="X2677" s="213"/>
      <c r="Y2677" s="213"/>
      <c r="Z2677" s="80"/>
      <c r="AB2677" s="215">
        <v>117</v>
      </c>
      <c r="AC2677" s="41" t="s">
        <v>5734</v>
      </c>
      <c r="AD2677" s="214">
        <v>26.200125</v>
      </c>
      <c r="AE2677" s="214">
        <v>71.054193999999995</v>
      </c>
    </row>
    <row r="2678" spans="1:31" x14ac:dyDescent="0.25">
      <c r="A2678" s="38" t="s">
        <v>36</v>
      </c>
      <c r="B2678" s="38" t="s">
        <v>5376</v>
      </c>
      <c r="C2678" s="38" t="s">
        <v>5731</v>
      </c>
      <c r="D2678" s="38" t="s">
        <v>5736</v>
      </c>
      <c r="E2678" s="38" t="s">
        <v>5737</v>
      </c>
      <c r="F2678" s="38">
        <v>1494</v>
      </c>
      <c r="G2678" s="38">
        <v>1494</v>
      </c>
      <c r="H2678" s="38">
        <f t="shared" si="129"/>
        <v>656</v>
      </c>
      <c r="I2678" s="38">
        <v>437</v>
      </c>
      <c r="J2678" s="38">
        <v>219</v>
      </c>
      <c r="K2678" s="38">
        <v>218</v>
      </c>
      <c r="L2678" s="50">
        <f t="shared" si="130"/>
        <v>33.231707317073173</v>
      </c>
      <c r="M2678" s="38">
        <v>0</v>
      </c>
      <c r="N2678" s="50">
        <f t="shared" si="131"/>
        <v>0</v>
      </c>
      <c r="O2678" s="38">
        <v>0</v>
      </c>
      <c r="P2678" s="38">
        <v>0</v>
      </c>
      <c r="Q2678" s="98" t="s">
        <v>44</v>
      </c>
      <c r="R2678" s="7">
        <v>45145</v>
      </c>
      <c r="S2678" s="99"/>
      <c r="T2678" s="11">
        <v>527.45830000000001</v>
      </c>
      <c r="U2678" s="98"/>
      <c r="V2678" s="98"/>
      <c r="W2678" s="98"/>
      <c r="X2678" s="98"/>
      <c r="Y2678" s="98"/>
      <c r="Z2678" s="20"/>
      <c r="AB2678" s="20"/>
      <c r="AC2678" s="38" t="s">
        <v>5736</v>
      </c>
      <c r="AD2678" s="61"/>
      <c r="AE2678" s="99"/>
    </row>
    <row r="2679" spans="1:31" x14ac:dyDescent="0.25">
      <c r="A2679" s="38" t="s">
        <v>36</v>
      </c>
      <c r="B2679" s="41" t="s">
        <v>5376</v>
      </c>
      <c r="C2679" s="41" t="s">
        <v>5731</v>
      </c>
      <c r="D2679" s="41" t="s">
        <v>5738</v>
      </c>
      <c r="E2679" s="41" t="s">
        <v>5739</v>
      </c>
      <c r="F2679" s="41">
        <v>2224</v>
      </c>
      <c r="G2679" s="41">
        <v>2224</v>
      </c>
      <c r="H2679" s="38">
        <f t="shared" si="129"/>
        <v>1346</v>
      </c>
      <c r="I2679" s="41">
        <v>869</v>
      </c>
      <c r="J2679" s="41">
        <v>477</v>
      </c>
      <c r="K2679" s="41">
        <v>392</v>
      </c>
      <c r="L2679" s="50">
        <f t="shared" si="130"/>
        <v>29.123328380386333</v>
      </c>
      <c r="M2679" s="41">
        <v>112</v>
      </c>
      <c r="N2679" s="50">
        <f t="shared" si="131"/>
        <v>8.3209509658246645</v>
      </c>
      <c r="O2679" s="41">
        <v>0</v>
      </c>
      <c r="P2679" s="41">
        <v>202</v>
      </c>
      <c r="Q2679" s="213" t="s">
        <v>44</v>
      </c>
      <c r="R2679" s="24">
        <v>45145</v>
      </c>
      <c r="S2679" s="214"/>
      <c r="T2679" s="18">
        <v>199.9468</v>
      </c>
      <c r="U2679" s="213"/>
      <c r="V2679" s="213"/>
      <c r="W2679" s="213"/>
      <c r="X2679" s="213"/>
      <c r="Y2679" s="213"/>
      <c r="Z2679" s="215"/>
      <c r="AB2679" s="215">
        <v>14</v>
      </c>
      <c r="AC2679" s="41" t="s">
        <v>5738</v>
      </c>
      <c r="AD2679" s="214">
        <v>26.196584000000001</v>
      </c>
      <c r="AE2679" s="214">
        <v>70.979012999999995</v>
      </c>
    </row>
    <row r="2680" spans="1:31" x14ac:dyDescent="0.25">
      <c r="A2680" s="38" t="s">
        <v>36</v>
      </c>
      <c r="B2680" s="38" t="s">
        <v>5376</v>
      </c>
      <c r="C2680" s="38" t="s">
        <v>5731</v>
      </c>
      <c r="D2680" s="38" t="s">
        <v>5740</v>
      </c>
      <c r="E2680" s="38" t="s">
        <v>5741</v>
      </c>
      <c r="F2680" s="38">
        <v>1040</v>
      </c>
      <c r="G2680" s="38">
        <v>1040</v>
      </c>
      <c r="H2680" s="38">
        <f t="shared" si="129"/>
        <v>1335</v>
      </c>
      <c r="I2680" s="38">
        <v>872</v>
      </c>
      <c r="J2680" s="38">
        <v>463</v>
      </c>
      <c r="K2680" s="38">
        <v>409</v>
      </c>
      <c r="L2680" s="50">
        <f t="shared" si="130"/>
        <v>30.63670411985019</v>
      </c>
      <c r="M2680" s="38">
        <v>1</v>
      </c>
      <c r="N2680" s="50">
        <f t="shared" si="131"/>
        <v>7.4906367041198504E-2</v>
      </c>
      <c r="O2680" s="38">
        <v>0</v>
      </c>
      <c r="P2680" s="38">
        <v>0</v>
      </c>
      <c r="Q2680" s="98" t="s">
        <v>44</v>
      </c>
      <c r="R2680" s="7">
        <v>45145</v>
      </c>
      <c r="S2680" s="99"/>
      <c r="T2680" s="11">
        <v>164.04320000000001</v>
      </c>
      <c r="U2680" s="98"/>
      <c r="V2680" s="98"/>
      <c r="W2680" s="98"/>
      <c r="X2680" s="98"/>
      <c r="Y2680" s="98"/>
      <c r="Z2680" s="20"/>
      <c r="AB2680" s="20">
        <v>15</v>
      </c>
      <c r="AC2680" s="38" t="s">
        <v>5740</v>
      </c>
      <c r="AD2680" s="61">
        <v>26.272456999999999</v>
      </c>
      <c r="AE2680" s="99">
        <v>71.073454999999996</v>
      </c>
    </row>
    <row r="2681" spans="1:31" x14ac:dyDescent="0.25">
      <c r="A2681" s="38" t="s">
        <v>36</v>
      </c>
      <c r="B2681" s="41" t="s">
        <v>5376</v>
      </c>
      <c r="C2681" s="41" t="s">
        <v>5731</v>
      </c>
      <c r="D2681" s="41" t="s">
        <v>5742</v>
      </c>
      <c r="E2681" s="41" t="s">
        <v>5743</v>
      </c>
      <c r="F2681" s="41">
        <v>1250</v>
      </c>
      <c r="G2681" s="41">
        <v>1250</v>
      </c>
      <c r="H2681" s="38">
        <f t="shared" si="129"/>
        <v>690</v>
      </c>
      <c r="I2681" s="41">
        <v>452</v>
      </c>
      <c r="J2681" s="41">
        <v>238</v>
      </c>
      <c r="K2681" s="41">
        <v>214</v>
      </c>
      <c r="L2681" s="50">
        <f t="shared" si="130"/>
        <v>31.014492753623191</v>
      </c>
      <c r="M2681" s="41">
        <v>16</v>
      </c>
      <c r="N2681" s="50">
        <f t="shared" si="131"/>
        <v>2.318840579710145</v>
      </c>
      <c r="O2681" s="41">
        <v>0</v>
      </c>
      <c r="P2681" s="41">
        <v>24</v>
      </c>
      <c r="Q2681" s="213" t="s">
        <v>44</v>
      </c>
      <c r="R2681" s="24">
        <v>45145</v>
      </c>
      <c r="S2681" s="214"/>
      <c r="T2681" s="18">
        <v>46.9435</v>
      </c>
      <c r="U2681" s="213"/>
      <c r="V2681" s="213"/>
      <c r="W2681" s="213"/>
      <c r="X2681" s="213"/>
      <c r="Y2681" s="213"/>
      <c r="Z2681" s="215"/>
      <c r="AB2681" s="215">
        <v>15</v>
      </c>
      <c r="AC2681" s="41" t="s">
        <v>5742</v>
      </c>
      <c r="AD2681" s="214">
        <v>26.296772000000001</v>
      </c>
      <c r="AE2681" s="214">
        <v>71.076257999999996</v>
      </c>
    </row>
    <row r="2682" spans="1:31" x14ac:dyDescent="0.25">
      <c r="A2682" s="38" t="s">
        <v>36</v>
      </c>
      <c r="B2682" s="41" t="s">
        <v>5376</v>
      </c>
      <c r="C2682" s="41" t="s">
        <v>5731</v>
      </c>
      <c r="D2682" s="41" t="s">
        <v>5742</v>
      </c>
      <c r="E2682" s="41" t="s">
        <v>5743</v>
      </c>
      <c r="F2682" s="41">
        <v>1250</v>
      </c>
      <c r="G2682" s="41">
        <v>1250</v>
      </c>
      <c r="H2682" s="38">
        <f t="shared" si="129"/>
        <v>690</v>
      </c>
      <c r="I2682" s="41">
        <v>452</v>
      </c>
      <c r="J2682" s="41">
        <v>238</v>
      </c>
      <c r="K2682" s="41">
        <v>214</v>
      </c>
      <c r="L2682" s="50">
        <f t="shared" si="130"/>
        <v>31.014492753623191</v>
      </c>
      <c r="M2682" s="41">
        <v>16</v>
      </c>
      <c r="N2682" s="50">
        <f t="shared" si="131"/>
        <v>2.318840579710145</v>
      </c>
      <c r="O2682" s="41">
        <v>0</v>
      </c>
      <c r="P2682" s="41">
        <v>24</v>
      </c>
      <c r="Q2682" s="213" t="s">
        <v>44</v>
      </c>
      <c r="R2682" s="24">
        <v>45145</v>
      </c>
      <c r="S2682" s="214"/>
      <c r="T2682" s="18"/>
      <c r="U2682" s="213"/>
      <c r="V2682" s="213"/>
      <c r="W2682" s="213"/>
      <c r="X2682" s="213"/>
      <c r="Y2682" s="213"/>
      <c r="Z2682" s="215"/>
      <c r="AB2682" s="215">
        <v>15</v>
      </c>
      <c r="AC2682" s="41" t="s">
        <v>5744</v>
      </c>
      <c r="AD2682" s="214">
        <v>26.302904000000002</v>
      </c>
      <c r="AE2682" s="214">
        <v>71.100102000000007</v>
      </c>
    </row>
    <row r="2683" spans="1:31" x14ac:dyDescent="0.25">
      <c r="A2683" s="38" t="s">
        <v>36</v>
      </c>
      <c r="B2683" s="38" t="s">
        <v>5376</v>
      </c>
      <c r="C2683" s="38" t="s">
        <v>5745</v>
      </c>
      <c r="D2683" s="38" t="s">
        <v>5746</v>
      </c>
      <c r="E2683" s="38" t="s">
        <v>5747</v>
      </c>
      <c r="F2683" s="38">
        <v>1924</v>
      </c>
      <c r="G2683" s="38">
        <v>1924</v>
      </c>
      <c r="H2683" s="38">
        <f t="shared" si="129"/>
        <v>2418</v>
      </c>
      <c r="I2683" s="38">
        <v>1596</v>
      </c>
      <c r="J2683" s="38">
        <v>822</v>
      </c>
      <c r="K2683" s="38">
        <v>774</v>
      </c>
      <c r="L2683" s="50">
        <f t="shared" si="130"/>
        <v>32.009925558312659</v>
      </c>
      <c r="M2683" s="38">
        <v>38</v>
      </c>
      <c r="N2683" s="50">
        <f t="shared" si="131"/>
        <v>1.5715467328370554</v>
      </c>
      <c r="O2683" s="38">
        <v>23</v>
      </c>
      <c r="P2683" s="38">
        <v>54</v>
      </c>
      <c r="Q2683" s="120" t="s">
        <v>43</v>
      </c>
      <c r="R2683" s="32">
        <v>45356</v>
      </c>
      <c r="S2683" s="40"/>
      <c r="T2683" s="58">
        <v>5.3983999999999996</v>
      </c>
      <c r="U2683" s="120"/>
      <c r="V2683" s="120"/>
      <c r="W2683" s="120"/>
      <c r="X2683" s="120"/>
      <c r="Y2683" s="120"/>
      <c r="Z2683" s="3"/>
      <c r="AB2683" s="3"/>
      <c r="AC2683" s="55" t="s">
        <v>5746</v>
      </c>
      <c r="AD2683" s="2"/>
      <c r="AE2683" s="40"/>
    </row>
    <row r="2684" spans="1:31" x14ac:dyDescent="0.25">
      <c r="A2684" s="38" t="s">
        <v>36</v>
      </c>
      <c r="B2684" s="38" t="s">
        <v>5376</v>
      </c>
      <c r="C2684" s="38" t="s">
        <v>5745</v>
      </c>
      <c r="D2684" s="55" t="s">
        <v>5748</v>
      </c>
      <c r="E2684" s="38"/>
      <c r="F2684" s="38"/>
      <c r="G2684" s="38"/>
      <c r="H2684" s="38">
        <f t="shared" si="129"/>
        <v>0</v>
      </c>
      <c r="I2684" s="38"/>
      <c r="J2684" s="38"/>
      <c r="K2684" s="38"/>
      <c r="L2684" s="50"/>
      <c r="M2684" s="38"/>
      <c r="N2684" s="50"/>
      <c r="O2684" s="38"/>
      <c r="P2684" s="38"/>
      <c r="Q2684" s="120" t="s">
        <v>43</v>
      </c>
      <c r="R2684" s="32">
        <v>45356</v>
      </c>
      <c r="S2684" s="40"/>
      <c r="T2684" s="58">
        <v>0.1236</v>
      </c>
      <c r="U2684" s="120"/>
      <c r="V2684" s="120"/>
      <c r="W2684" s="120"/>
      <c r="X2684" s="120"/>
      <c r="Y2684" s="120"/>
      <c r="Z2684" s="3"/>
      <c r="AB2684" s="3"/>
      <c r="AC2684" s="55" t="s">
        <v>5748</v>
      </c>
      <c r="AD2684" s="2"/>
      <c r="AE2684" s="40"/>
    </row>
    <row r="2685" spans="1:31" x14ac:dyDescent="0.25">
      <c r="A2685" s="38" t="s">
        <v>36</v>
      </c>
      <c r="B2685" s="38" t="s">
        <v>5376</v>
      </c>
      <c r="C2685" s="38" t="s">
        <v>5745</v>
      </c>
      <c r="D2685" s="55" t="s">
        <v>5749</v>
      </c>
      <c r="E2685" s="38"/>
      <c r="F2685" s="38"/>
      <c r="G2685" s="38"/>
      <c r="H2685" s="38">
        <f t="shared" si="129"/>
        <v>0</v>
      </c>
      <c r="I2685" s="38"/>
      <c r="J2685" s="38"/>
      <c r="K2685" s="38"/>
      <c r="L2685" s="50"/>
      <c r="M2685" s="38"/>
      <c r="N2685" s="50"/>
      <c r="O2685" s="38"/>
      <c r="P2685" s="38"/>
      <c r="Q2685" s="120" t="s">
        <v>43</v>
      </c>
      <c r="R2685" s="32">
        <v>45356</v>
      </c>
      <c r="S2685" s="40"/>
      <c r="T2685" s="58">
        <v>0.8337</v>
      </c>
      <c r="U2685" s="120"/>
      <c r="V2685" s="120"/>
      <c r="W2685" s="120"/>
      <c r="X2685" s="120"/>
      <c r="Y2685" s="120"/>
      <c r="Z2685" s="3"/>
      <c r="AB2685" s="3"/>
      <c r="AC2685" s="55" t="s">
        <v>5749</v>
      </c>
      <c r="AD2685" s="2"/>
      <c r="AE2685" s="40"/>
    </row>
    <row r="2686" spans="1:31" x14ac:dyDescent="0.25">
      <c r="A2686" s="38" t="s">
        <v>36</v>
      </c>
      <c r="B2686" s="38" t="s">
        <v>5376</v>
      </c>
      <c r="C2686" s="38" t="s">
        <v>5745</v>
      </c>
      <c r="D2686" s="38" t="s">
        <v>1591</v>
      </c>
      <c r="E2686" s="38" t="s">
        <v>5750</v>
      </c>
      <c r="F2686" s="38">
        <v>1502</v>
      </c>
      <c r="G2686" s="38">
        <v>1502</v>
      </c>
      <c r="H2686" s="38">
        <f t="shared" si="129"/>
        <v>1298</v>
      </c>
      <c r="I2686" s="38">
        <v>851</v>
      </c>
      <c r="J2686" s="38">
        <v>447</v>
      </c>
      <c r="K2686" s="38">
        <v>404</v>
      </c>
      <c r="L2686" s="50">
        <f t="shared" si="130"/>
        <v>31.124807395993837</v>
      </c>
      <c r="M2686" s="38">
        <v>3</v>
      </c>
      <c r="N2686" s="50">
        <f t="shared" si="131"/>
        <v>0.23112480739599386</v>
      </c>
      <c r="O2686" s="38">
        <v>0</v>
      </c>
      <c r="P2686" s="38">
        <v>9</v>
      </c>
      <c r="Q2686" s="120" t="s">
        <v>43</v>
      </c>
      <c r="R2686" s="32">
        <v>45356</v>
      </c>
      <c r="S2686" s="40"/>
      <c r="T2686" s="58">
        <v>23.973600000000001</v>
      </c>
      <c r="U2686" s="120"/>
      <c r="V2686" s="120"/>
      <c r="W2686" s="120"/>
      <c r="X2686" s="120"/>
      <c r="Y2686" s="120"/>
      <c r="Z2686" s="3"/>
      <c r="AB2686" s="3"/>
      <c r="AC2686" s="55" t="s">
        <v>5751</v>
      </c>
      <c r="AD2686" s="2"/>
      <c r="AE2686" s="40"/>
    </row>
    <row r="2687" spans="1:31" x14ac:dyDescent="0.25">
      <c r="A2687" s="38" t="s">
        <v>36</v>
      </c>
      <c r="B2687" s="38" t="s">
        <v>5376</v>
      </c>
      <c r="C2687" s="38" t="s">
        <v>5745</v>
      </c>
      <c r="D2687" s="55" t="s">
        <v>5752</v>
      </c>
      <c r="E2687" s="38"/>
      <c r="F2687" s="38"/>
      <c r="G2687" s="38"/>
      <c r="H2687" s="38">
        <f t="shared" si="129"/>
        <v>0</v>
      </c>
      <c r="I2687" s="38"/>
      <c r="J2687" s="38"/>
      <c r="K2687" s="38"/>
      <c r="L2687" s="50"/>
      <c r="M2687" s="38"/>
      <c r="N2687" s="50"/>
      <c r="O2687" s="38"/>
      <c r="P2687" s="38"/>
      <c r="Q2687" s="120" t="s">
        <v>43</v>
      </c>
      <c r="R2687" s="32">
        <v>45356</v>
      </c>
      <c r="S2687" s="40"/>
      <c r="T2687" s="58">
        <v>7.77</v>
      </c>
      <c r="U2687" s="120"/>
      <c r="V2687" s="120"/>
      <c r="W2687" s="120"/>
      <c r="X2687" s="120"/>
      <c r="Y2687" s="120"/>
      <c r="Z2687" s="3"/>
      <c r="AB2687" s="3"/>
      <c r="AC2687" s="55" t="s">
        <v>5752</v>
      </c>
      <c r="AD2687" s="2"/>
      <c r="AE2687" s="40"/>
    </row>
    <row r="2688" spans="1:31" x14ac:dyDescent="0.25">
      <c r="A2688" s="38" t="s">
        <v>36</v>
      </c>
      <c r="B2688" s="38" t="s">
        <v>5376</v>
      </c>
      <c r="C2688" s="38" t="s">
        <v>5745</v>
      </c>
      <c r="D2688" s="55" t="s">
        <v>5753</v>
      </c>
      <c r="E2688" s="38"/>
      <c r="F2688" s="38"/>
      <c r="G2688" s="38"/>
      <c r="H2688" s="38">
        <f t="shared" si="129"/>
        <v>0</v>
      </c>
      <c r="I2688" s="38"/>
      <c r="J2688" s="38"/>
      <c r="K2688" s="38"/>
      <c r="L2688" s="50"/>
      <c r="M2688" s="38"/>
      <c r="N2688" s="50"/>
      <c r="O2688" s="38"/>
      <c r="P2688" s="38"/>
      <c r="Q2688" s="120" t="s">
        <v>43</v>
      </c>
      <c r="R2688" s="32">
        <v>45356</v>
      </c>
      <c r="S2688" s="40"/>
      <c r="T2688" s="58">
        <v>0.15340000000000001</v>
      </c>
      <c r="U2688" s="120"/>
      <c r="V2688" s="120"/>
      <c r="W2688" s="120"/>
      <c r="X2688" s="120"/>
      <c r="Y2688" s="120"/>
      <c r="Z2688" s="3"/>
      <c r="AB2688" s="3"/>
      <c r="AC2688" s="55" t="s">
        <v>5753</v>
      </c>
      <c r="AD2688" s="2"/>
      <c r="AE2688" s="40"/>
    </row>
    <row r="2689" spans="1:31" x14ac:dyDescent="0.25">
      <c r="A2689" s="38" t="s">
        <v>36</v>
      </c>
      <c r="B2689" s="38" t="s">
        <v>5376</v>
      </c>
      <c r="C2689" s="38" t="s">
        <v>5745</v>
      </c>
      <c r="D2689" s="55" t="s">
        <v>5754</v>
      </c>
      <c r="E2689" s="38"/>
      <c r="F2689" s="38"/>
      <c r="G2689" s="38"/>
      <c r="H2689" s="38">
        <f t="shared" si="129"/>
        <v>0</v>
      </c>
      <c r="I2689" s="38"/>
      <c r="J2689" s="38"/>
      <c r="K2689" s="38"/>
      <c r="L2689" s="50"/>
      <c r="M2689" s="38"/>
      <c r="N2689" s="50"/>
      <c r="O2689" s="38"/>
      <c r="P2689" s="38"/>
      <c r="Q2689" s="120" t="s">
        <v>43</v>
      </c>
      <c r="R2689" s="32">
        <v>45356</v>
      </c>
      <c r="S2689" s="40"/>
      <c r="T2689" s="58">
        <v>100.3699</v>
      </c>
      <c r="U2689" s="120"/>
      <c r="V2689" s="120"/>
      <c r="W2689" s="120"/>
      <c r="X2689" s="120"/>
      <c r="Y2689" s="120"/>
      <c r="Z2689" s="3"/>
      <c r="AB2689" s="3"/>
      <c r="AC2689" s="55" t="s">
        <v>5754</v>
      </c>
      <c r="AD2689" s="2"/>
      <c r="AE2689" s="40"/>
    </row>
    <row r="2690" spans="1:31" x14ac:dyDescent="0.25">
      <c r="A2690" s="38" t="s">
        <v>36</v>
      </c>
      <c r="B2690" s="38" t="s">
        <v>5376</v>
      </c>
      <c r="C2690" s="38" t="s">
        <v>5745</v>
      </c>
      <c r="D2690" s="55" t="s">
        <v>5755</v>
      </c>
      <c r="E2690" s="38"/>
      <c r="F2690" s="38"/>
      <c r="G2690" s="38"/>
      <c r="H2690" s="38">
        <f t="shared" si="129"/>
        <v>0</v>
      </c>
      <c r="I2690" s="38"/>
      <c r="J2690" s="38"/>
      <c r="K2690" s="38"/>
      <c r="L2690" s="50"/>
      <c r="M2690" s="38"/>
      <c r="N2690" s="50"/>
      <c r="O2690" s="38"/>
      <c r="P2690" s="38"/>
      <c r="Q2690" s="120" t="s">
        <v>43</v>
      </c>
      <c r="R2690" s="32">
        <v>45356</v>
      </c>
      <c r="S2690" s="40"/>
      <c r="T2690" s="58">
        <v>33.770299999999999</v>
      </c>
      <c r="U2690" s="120"/>
      <c r="V2690" s="120"/>
      <c r="W2690" s="120"/>
      <c r="X2690" s="120"/>
      <c r="Y2690" s="120"/>
      <c r="Z2690" s="3"/>
      <c r="AB2690" s="3"/>
      <c r="AC2690" s="55" t="s">
        <v>5755</v>
      </c>
      <c r="AD2690" s="2"/>
      <c r="AE2690" s="40"/>
    </row>
    <row r="2691" spans="1:31" x14ac:dyDescent="0.25">
      <c r="A2691" s="38" t="s">
        <v>36</v>
      </c>
      <c r="B2691" s="38" t="s">
        <v>5376</v>
      </c>
      <c r="C2691" s="38" t="s">
        <v>5745</v>
      </c>
      <c r="D2691" s="55" t="s">
        <v>5756</v>
      </c>
      <c r="E2691" s="38"/>
      <c r="F2691" s="38"/>
      <c r="G2691" s="38"/>
      <c r="H2691" s="38">
        <f t="shared" si="129"/>
        <v>0</v>
      </c>
      <c r="I2691" s="38"/>
      <c r="J2691" s="38"/>
      <c r="K2691" s="38"/>
      <c r="L2691" s="50"/>
      <c r="M2691" s="38"/>
      <c r="N2691" s="50"/>
      <c r="O2691" s="38"/>
      <c r="P2691" s="38"/>
      <c r="Q2691" s="120" t="s">
        <v>43</v>
      </c>
      <c r="R2691" s="32">
        <v>45356</v>
      </c>
      <c r="S2691" s="40"/>
      <c r="T2691" s="58">
        <v>0.23669999999999999</v>
      </c>
      <c r="U2691" s="120"/>
      <c r="V2691" s="120"/>
      <c r="W2691" s="120"/>
      <c r="X2691" s="120"/>
      <c r="Y2691" s="120"/>
      <c r="Z2691" s="3"/>
      <c r="AB2691" s="3"/>
      <c r="AC2691" s="55" t="s">
        <v>5756</v>
      </c>
      <c r="AD2691" s="2"/>
      <c r="AE2691" s="40"/>
    </row>
    <row r="2692" spans="1:31" x14ac:dyDescent="0.25">
      <c r="A2692" s="38" t="s">
        <v>36</v>
      </c>
      <c r="B2692" s="38" t="s">
        <v>5376</v>
      </c>
      <c r="C2692" s="38" t="s">
        <v>5745</v>
      </c>
      <c r="D2692" s="38" t="s">
        <v>5757</v>
      </c>
      <c r="E2692" s="38" t="s">
        <v>5758</v>
      </c>
      <c r="F2692" s="38">
        <v>2265</v>
      </c>
      <c r="G2692" s="38">
        <v>2265</v>
      </c>
      <c r="H2692" s="38">
        <f t="shared" si="129"/>
        <v>1780</v>
      </c>
      <c r="I2692" s="38">
        <v>1169</v>
      </c>
      <c r="J2692" s="38">
        <v>611</v>
      </c>
      <c r="K2692" s="38">
        <v>558</v>
      </c>
      <c r="L2692" s="50">
        <f t="shared" si="130"/>
        <v>31.348314606741575</v>
      </c>
      <c r="M2692" s="38">
        <v>118</v>
      </c>
      <c r="N2692" s="50">
        <f t="shared" si="131"/>
        <v>6.6292134831460681</v>
      </c>
      <c r="O2692" s="38">
        <v>0</v>
      </c>
      <c r="P2692" s="38">
        <v>0</v>
      </c>
      <c r="Q2692" s="120" t="s">
        <v>43</v>
      </c>
      <c r="R2692" s="32">
        <v>45356</v>
      </c>
      <c r="S2692" s="40"/>
      <c r="T2692" s="58">
        <v>0.44359999999999999</v>
      </c>
      <c r="U2692" s="120"/>
      <c r="V2692" s="120"/>
      <c r="W2692" s="120"/>
      <c r="X2692" s="120"/>
      <c r="Y2692" s="120"/>
      <c r="Z2692" s="3"/>
      <c r="AB2692" s="3"/>
      <c r="AC2692" s="55" t="s">
        <v>5759</v>
      </c>
      <c r="AD2692" s="2"/>
      <c r="AE2692" s="40"/>
    </row>
    <row r="2693" spans="1:31" x14ac:dyDescent="0.25">
      <c r="A2693" s="38" t="s">
        <v>36</v>
      </c>
      <c r="B2693" s="38" t="s">
        <v>5760</v>
      </c>
      <c r="C2693" s="38" t="s">
        <v>5761</v>
      </c>
      <c r="D2693" s="38" t="s">
        <v>1942</v>
      </c>
      <c r="E2693" s="38" t="s">
        <v>5762</v>
      </c>
      <c r="F2693" s="38">
        <v>196</v>
      </c>
      <c r="G2693" s="38">
        <v>196</v>
      </c>
      <c r="H2693" s="38">
        <f t="shared" ref="H2693:H2756" si="132">I2693+J2693</f>
        <v>1225</v>
      </c>
      <c r="I2693" s="38">
        <v>660</v>
      </c>
      <c r="J2693" s="38">
        <v>565</v>
      </c>
      <c r="K2693" s="38">
        <v>593</v>
      </c>
      <c r="L2693" s="50">
        <f t="shared" si="130"/>
        <v>48.408163265306122</v>
      </c>
      <c r="M2693" s="38">
        <v>9</v>
      </c>
      <c r="N2693" s="50">
        <f t="shared" si="131"/>
        <v>0.73469387755102034</v>
      </c>
      <c r="O2693" s="38">
        <v>31</v>
      </c>
      <c r="P2693" s="38">
        <v>0</v>
      </c>
      <c r="Q2693" s="120" t="s">
        <v>43</v>
      </c>
      <c r="R2693" s="9"/>
      <c r="S2693" s="34"/>
      <c r="T2693" s="34"/>
      <c r="U2693" s="120"/>
      <c r="V2693" s="120"/>
      <c r="W2693" s="120"/>
      <c r="X2693" s="120"/>
      <c r="Y2693" s="120"/>
      <c r="Z2693" s="109"/>
      <c r="AB2693" s="109"/>
      <c r="AC2693" s="83"/>
      <c r="AD2693" s="34"/>
      <c r="AE2693" s="34"/>
    </row>
    <row r="2694" spans="1:31" x14ac:dyDescent="0.25">
      <c r="A2694" s="38" t="s">
        <v>36</v>
      </c>
      <c r="B2694" s="38" t="s">
        <v>5760</v>
      </c>
      <c r="C2694" s="38" t="s">
        <v>5763</v>
      </c>
      <c r="D2694" s="38" t="s">
        <v>5763</v>
      </c>
      <c r="E2694" s="38" t="s">
        <v>5764</v>
      </c>
      <c r="F2694" s="38">
        <v>262</v>
      </c>
      <c r="G2694" s="38">
        <v>262</v>
      </c>
      <c r="H2694" s="38">
        <f t="shared" si="132"/>
        <v>1609</v>
      </c>
      <c r="I2694" s="38">
        <v>853</v>
      </c>
      <c r="J2694" s="38">
        <v>756</v>
      </c>
      <c r="K2694" s="38">
        <v>371</v>
      </c>
      <c r="L2694" s="50">
        <f t="shared" ref="L2694:L2757" si="133">K2694/H2694*100</f>
        <v>23.057799875699192</v>
      </c>
      <c r="M2694" s="38">
        <v>428</v>
      </c>
      <c r="N2694" s="50">
        <f t="shared" si="131"/>
        <v>26.600372902423864</v>
      </c>
      <c r="O2694" s="38">
        <v>0</v>
      </c>
      <c r="P2694" s="38">
        <v>52.84</v>
      </c>
      <c r="Q2694" s="39"/>
      <c r="R2694" s="7">
        <v>45938</v>
      </c>
      <c r="S2694" s="40"/>
      <c r="T2694" s="11">
        <v>70.107600000000005</v>
      </c>
      <c r="U2694" s="39"/>
      <c r="V2694" s="39"/>
      <c r="W2694" s="39"/>
      <c r="X2694" s="39"/>
      <c r="Y2694" s="39"/>
      <c r="Z2694" s="3"/>
      <c r="AB2694" s="3">
        <v>18</v>
      </c>
      <c r="AC2694" s="11" t="s">
        <v>5763</v>
      </c>
      <c r="AD2694" s="2">
        <v>25.661729999999999</v>
      </c>
      <c r="AE2694" s="40">
        <v>72.480428000000003</v>
      </c>
    </row>
    <row r="2695" spans="1:31" x14ac:dyDescent="0.25">
      <c r="A2695" s="38" t="s">
        <v>36</v>
      </c>
      <c r="B2695" s="38" t="s">
        <v>5760</v>
      </c>
      <c r="C2695" s="38" t="s">
        <v>5763</v>
      </c>
      <c r="D2695" s="38" t="s">
        <v>5763</v>
      </c>
      <c r="E2695" s="38" t="s">
        <v>5764</v>
      </c>
      <c r="F2695" s="38">
        <v>262</v>
      </c>
      <c r="G2695" s="38">
        <v>262</v>
      </c>
      <c r="H2695" s="38">
        <f t="shared" si="132"/>
        <v>1609</v>
      </c>
      <c r="I2695" s="38">
        <v>853</v>
      </c>
      <c r="J2695" s="38">
        <v>756</v>
      </c>
      <c r="K2695" s="38">
        <v>371</v>
      </c>
      <c r="L2695" s="50">
        <f t="shared" si="133"/>
        <v>23.057799875699192</v>
      </c>
      <c r="M2695" s="38">
        <v>428</v>
      </c>
      <c r="N2695" s="50">
        <f t="shared" si="131"/>
        <v>26.600372902423864</v>
      </c>
      <c r="O2695" s="38">
        <v>0</v>
      </c>
      <c r="P2695" s="38">
        <v>52.84</v>
      </c>
      <c r="Q2695" s="39" t="s">
        <v>44</v>
      </c>
      <c r="R2695" s="7">
        <v>45938</v>
      </c>
      <c r="S2695" s="40"/>
      <c r="T2695" s="11">
        <v>18</v>
      </c>
      <c r="U2695" s="39"/>
      <c r="V2695" s="39"/>
      <c r="W2695" s="39"/>
      <c r="X2695" s="39"/>
      <c r="Y2695" s="39"/>
      <c r="Z2695" s="3"/>
      <c r="AB2695" s="3">
        <v>13</v>
      </c>
      <c r="AC2695" s="11" t="s">
        <v>5763</v>
      </c>
      <c r="AD2695" s="2">
        <v>25.666036999999999</v>
      </c>
      <c r="AE2695" s="40">
        <v>72.482941999999994</v>
      </c>
    </row>
    <row r="2696" spans="1:31" x14ac:dyDescent="0.25">
      <c r="A2696" s="38" t="s">
        <v>36</v>
      </c>
      <c r="B2696" s="38" t="s">
        <v>5760</v>
      </c>
      <c r="C2696" s="38" t="s">
        <v>5763</v>
      </c>
      <c r="D2696" s="38" t="s">
        <v>5766</v>
      </c>
      <c r="E2696" s="38" t="s">
        <v>5767</v>
      </c>
      <c r="F2696" s="38">
        <v>322</v>
      </c>
      <c r="G2696" s="38">
        <v>322</v>
      </c>
      <c r="H2696" s="38">
        <f t="shared" si="132"/>
        <v>1905</v>
      </c>
      <c r="I2696" s="38">
        <v>989</v>
      </c>
      <c r="J2696" s="38">
        <v>916</v>
      </c>
      <c r="K2696" s="38">
        <v>407</v>
      </c>
      <c r="L2696" s="50">
        <f t="shared" si="133"/>
        <v>21.364829396325462</v>
      </c>
      <c r="M2696" s="38">
        <v>175</v>
      </c>
      <c r="N2696" s="50">
        <f t="shared" si="131"/>
        <v>9.1863517060367457</v>
      </c>
      <c r="O2696" s="38">
        <v>0</v>
      </c>
      <c r="P2696" s="38">
        <v>233.11</v>
      </c>
      <c r="Q2696" s="39" t="s">
        <v>44</v>
      </c>
      <c r="R2696" s="7">
        <v>45938</v>
      </c>
      <c r="S2696" s="40"/>
      <c r="T2696" s="11">
        <v>1.2706999999999999</v>
      </c>
      <c r="U2696" s="39"/>
      <c r="V2696" s="39"/>
      <c r="W2696" s="39"/>
      <c r="X2696" s="39"/>
      <c r="Y2696" s="39"/>
      <c r="Z2696" s="3"/>
      <c r="AB2696" s="3"/>
      <c r="AC2696" s="11" t="s">
        <v>5768</v>
      </c>
      <c r="AD2696" s="2"/>
      <c r="AE2696" s="40"/>
    </row>
    <row r="2697" spans="1:31" ht="21" x14ac:dyDescent="0.25">
      <c r="A2697" s="38" t="s">
        <v>36</v>
      </c>
      <c r="B2697" s="38" t="s">
        <v>5760</v>
      </c>
      <c r="C2697" s="38" t="s">
        <v>5769</v>
      </c>
      <c r="D2697" s="38" t="s">
        <v>5770</v>
      </c>
      <c r="E2697" s="38" t="s">
        <v>5771</v>
      </c>
      <c r="F2697" s="38"/>
      <c r="G2697" s="38"/>
      <c r="H2697" s="38">
        <f t="shared" si="132"/>
        <v>0</v>
      </c>
      <c r="I2697" s="38"/>
      <c r="J2697" s="38"/>
      <c r="K2697" s="38"/>
      <c r="L2697" s="50"/>
      <c r="M2697" s="38"/>
      <c r="N2697" s="50"/>
      <c r="O2697" s="38">
        <v>0</v>
      </c>
      <c r="P2697" s="38">
        <v>7</v>
      </c>
      <c r="Q2697" s="34" t="s">
        <v>43</v>
      </c>
      <c r="R2697" s="9">
        <v>44385</v>
      </c>
      <c r="S2697" s="34"/>
      <c r="T2697" s="34">
        <v>10.59</v>
      </c>
      <c r="U2697" s="34"/>
      <c r="V2697" s="34"/>
      <c r="W2697" s="34"/>
      <c r="X2697" s="34"/>
      <c r="Y2697" s="34"/>
      <c r="Z2697" s="109"/>
      <c r="AB2697" s="109">
        <v>4</v>
      </c>
      <c r="AC2697" s="79" t="s">
        <v>5772</v>
      </c>
      <c r="AD2697" s="34">
        <v>25.628921999999999</v>
      </c>
      <c r="AE2697" s="34">
        <v>72.628922000000003</v>
      </c>
    </row>
    <row r="2698" spans="1:31" x14ac:dyDescent="0.25">
      <c r="A2698" s="38" t="s">
        <v>36</v>
      </c>
      <c r="B2698" s="38" t="s">
        <v>5760</v>
      </c>
      <c r="C2698" s="38" t="s">
        <v>5769</v>
      </c>
      <c r="D2698" s="38" t="s">
        <v>5773</v>
      </c>
      <c r="E2698" s="38" t="s">
        <v>5774</v>
      </c>
      <c r="F2698" s="38">
        <v>264</v>
      </c>
      <c r="G2698" s="38">
        <v>264</v>
      </c>
      <c r="H2698" s="38">
        <f t="shared" si="132"/>
        <v>1774</v>
      </c>
      <c r="I2698" s="38">
        <v>910</v>
      </c>
      <c r="J2698" s="38">
        <v>864</v>
      </c>
      <c r="K2698" s="38">
        <v>604</v>
      </c>
      <c r="L2698" s="50">
        <f t="shared" si="133"/>
        <v>34.047350620067647</v>
      </c>
      <c r="M2698" s="38">
        <v>0</v>
      </c>
      <c r="N2698" s="50">
        <f t="shared" si="131"/>
        <v>0</v>
      </c>
      <c r="O2698" s="38">
        <v>0</v>
      </c>
      <c r="P2698" s="38">
        <v>0</v>
      </c>
      <c r="Q2698" s="34" t="s">
        <v>43</v>
      </c>
      <c r="R2698" s="28">
        <v>44447</v>
      </c>
      <c r="S2698" s="34"/>
      <c r="T2698" s="34">
        <v>34</v>
      </c>
      <c r="U2698" s="34"/>
      <c r="V2698" s="34"/>
      <c r="W2698" s="34"/>
      <c r="X2698" s="34"/>
      <c r="Y2698" s="34"/>
      <c r="Z2698" s="109"/>
      <c r="AB2698" s="109"/>
      <c r="AC2698" s="34" t="s">
        <v>5775</v>
      </c>
      <c r="AD2698" s="34">
        <v>25.630741</v>
      </c>
      <c r="AE2698" s="34">
        <v>72.414477000000005</v>
      </c>
    </row>
    <row r="2699" spans="1:31" x14ac:dyDescent="0.25">
      <c r="A2699" s="38" t="s">
        <v>36</v>
      </c>
      <c r="B2699" s="38" t="s">
        <v>5760</v>
      </c>
      <c r="C2699" s="38" t="s">
        <v>5776</v>
      </c>
      <c r="D2699" s="38" t="s">
        <v>5777</v>
      </c>
      <c r="E2699" s="38" t="s">
        <v>5778</v>
      </c>
      <c r="F2699" s="38">
        <v>556</v>
      </c>
      <c r="G2699" s="38">
        <v>556</v>
      </c>
      <c r="H2699" s="38">
        <f t="shared" si="132"/>
        <v>3154</v>
      </c>
      <c r="I2699" s="38">
        <v>1669</v>
      </c>
      <c r="J2699" s="38">
        <v>1485</v>
      </c>
      <c r="K2699" s="38">
        <v>1177</v>
      </c>
      <c r="L2699" s="50">
        <f t="shared" si="133"/>
        <v>37.317691819911225</v>
      </c>
      <c r="M2699" s="38">
        <v>380</v>
      </c>
      <c r="N2699" s="50">
        <f t="shared" si="131"/>
        <v>12.048192771084338</v>
      </c>
      <c r="O2699" s="38">
        <v>0</v>
      </c>
      <c r="P2699" s="38">
        <v>80</v>
      </c>
      <c r="Q2699" s="34" t="s">
        <v>43</v>
      </c>
      <c r="R2699" s="28">
        <v>44452</v>
      </c>
      <c r="S2699" s="34"/>
      <c r="T2699" s="34">
        <v>80</v>
      </c>
      <c r="U2699" s="34"/>
      <c r="V2699" s="34"/>
      <c r="W2699" s="34"/>
      <c r="X2699" s="34"/>
      <c r="Y2699" s="34"/>
      <c r="Z2699" s="109"/>
      <c r="AB2699" s="109"/>
      <c r="AC2699" s="34" t="s">
        <v>5779</v>
      </c>
      <c r="AD2699" s="34">
        <v>25.471159</v>
      </c>
      <c r="AE2699" s="34">
        <v>72.457943999999998</v>
      </c>
    </row>
    <row r="2700" spans="1:31" x14ac:dyDescent="0.25">
      <c r="A2700" s="38" t="s">
        <v>36</v>
      </c>
      <c r="B2700" s="38" t="s">
        <v>5760</v>
      </c>
      <c r="C2700" s="38" t="s">
        <v>5776</v>
      </c>
      <c r="D2700" s="11" t="s">
        <v>5780</v>
      </c>
      <c r="F2700" s="6"/>
      <c r="G2700" s="6"/>
      <c r="H2700" s="38">
        <f t="shared" si="132"/>
        <v>0</v>
      </c>
      <c r="I2700" s="61"/>
      <c r="J2700" s="61"/>
      <c r="K2700" s="61"/>
      <c r="L2700" s="50"/>
      <c r="M2700" s="61"/>
      <c r="N2700" s="50"/>
      <c r="O2700" s="99"/>
      <c r="P2700" s="61"/>
      <c r="Q2700" s="61" t="s">
        <v>43</v>
      </c>
      <c r="R2700" s="7">
        <v>44452</v>
      </c>
      <c r="S2700" s="61"/>
      <c r="T2700" s="20">
        <v>0</v>
      </c>
      <c r="U2700" s="61"/>
      <c r="V2700" s="61"/>
      <c r="W2700" s="61"/>
      <c r="X2700" s="61"/>
      <c r="Y2700" s="61"/>
      <c r="Z2700" s="20"/>
      <c r="AB2700" s="20"/>
      <c r="AC2700" s="11" t="s">
        <v>5780</v>
      </c>
      <c r="AD2700" s="61">
        <v>0</v>
      </c>
      <c r="AE2700" s="61"/>
    </row>
    <row r="2701" spans="1:31" x14ac:dyDescent="0.25">
      <c r="A2701" s="38" t="s">
        <v>36</v>
      </c>
      <c r="B2701" s="38" t="s">
        <v>5760</v>
      </c>
      <c r="C2701" s="38" t="s">
        <v>5776</v>
      </c>
      <c r="D2701" s="38" t="s">
        <v>5781</v>
      </c>
      <c r="E2701" s="38" t="s">
        <v>5782</v>
      </c>
      <c r="F2701" s="38">
        <v>251</v>
      </c>
      <c r="G2701" s="38">
        <v>251</v>
      </c>
      <c r="H2701" s="38">
        <f t="shared" si="132"/>
        <v>1589</v>
      </c>
      <c r="I2701" s="38">
        <v>820</v>
      </c>
      <c r="J2701" s="38">
        <v>769</v>
      </c>
      <c r="K2701" s="38">
        <v>171</v>
      </c>
      <c r="L2701" s="50">
        <f t="shared" si="133"/>
        <v>10.761485210824418</v>
      </c>
      <c r="M2701" s="38">
        <v>290</v>
      </c>
      <c r="N2701" s="50">
        <f t="shared" si="131"/>
        <v>18.250471994965388</v>
      </c>
      <c r="O2701" s="38">
        <v>302</v>
      </c>
      <c r="P2701" s="38">
        <v>55</v>
      </c>
      <c r="Q2701" s="34" t="s">
        <v>43</v>
      </c>
      <c r="R2701" s="28">
        <v>44452</v>
      </c>
      <c r="S2701" s="34"/>
      <c r="T2701" s="34">
        <v>55</v>
      </c>
      <c r="U2701" s="34"/>
      <c r="V2701" s="34"/>
      <c r="W2701" s="34"/>
      <c r="X2701" s="34"/>
      <c r="Y2701" s="34"/>
      <c r="Z2701" s="109"/>
      <c r="AB2701" s="109"/>
      <c r="AC2701" s="34" t="s">
        <v>5783</v>
      </c>
      <c r="AD2701" s="34">
        <v>25.627326</v>
      </c>
      <c r="AE2701" s="34">
        <v>72.413132000000004</v>
      </c>
    </row>
    <row r="2702" spans="1:31" ht="30" x14ac:dyDescent="0.25">
      <c r="A2702" s="38" t="s">
        <v>36</v>
      </c>
      <c r="B2702" s="38" t="s">
        <v>5760</v>
      </c>
      <c r="C2702" s="219" t="s">
        <v>5784</v>
      </c>
      <c r="D2702" s="219" t="s">
        <v>5785</v>
      </c>
      <c r="H2702" s="38">
        <f t="shared" si="132"/>
        <v>0</v>
      </c>
      <c r="L2702" s="50"/>
      <c r="N2702" s="50"/>
      <c r="O2702" s="38"/>
      <c r="P2702" s="38"/>
      <c r="Q2702" s="61" t="s">
        <v>43</v>
      </c>
      <c r="R2702" s="7">
        <v>44453</v>
      </c>
      <c r="S2702" s="61"/>
      <c r="T2702" s="20">
        <v>0</v>
      </c>
      <c r="U2702" s="61"/>
      <c r="V2702" s="61"/>
      <c r="W2702" s="61"/>
      <c r="X2702" s="61"/>
      <c r="Y2702" s="61"/>
      <c r="Z2702" s="20"/>
      <c r="AB2702" s="20"/>
      <c r="AC2702" s="11" t="s">
        <v>5786</v>
      </c>
      <c r="AD2702" s="61">
        <v>0</v>
      </c>
      <c r="AE2702" s="61"/>
    </row>
    <row r="2703" spans="1:31" x14ac:dyDescent="0.25">
      <c r="A2703" s="38" t="s">
        <v>36</v>
      </c>
      <c r="B2703" s="38" t="s">
        <v>5760</v>
      </c>
      <c r="C2703" s="38" t="s">
        <v>5787</v>
      </c>
      <c r="D2703" s="38" t="s">
        <v>5788</v>
      </c>
      <c r="E2703" s="38" t="s">
        <v>5789</v>
      </c>
      <c r="F2703" s="38">
        <v>88</v>
      </c>
      <c r="G2703" s="38">
        <v>88</v>
      </c>
      <c r="H2703" s="38">
        <f t="shared" si="132"/>
        <v>698</v>
      </c>
      <c r="I2703" s="38">
        <v>355</v>
      </c>
      <c r="J2703" s="38">
        <v>343</v>
      </c>
      <c r="K2703" s="38">
        <v>1</v>
      </c>
      <c r="L2703" s="50">
        <f t="shared" si="133"/>
        <v>0.14326647564469913</v>
      </c>
      <c r="M2703" s="38">
        <v>68</v>
      </c>
      <c r="N2703" s="50">
        <f t="shared" si="131"/>
        <v>9.7421203438395416</v>
      </c>
      <c r="O2703" s="38">
        <v>0</v>
      </c>
      <c r="P2703" s="38">
        <v>1</v>
      </c>
      <c r="Q2703" s="34" t="s">
        <v>43</v>
      </c>
      <c r="R2703" s="28">
        <v>44453</v>
      </c>
      <c r="S2703" s="34"/>
      <c r="T2703" s="34">
        <v>62</v>
      </c>
      <c r="U2703" s="34"/>
      <c r="V2703" s="34"/>
      <c r="W2703" s="34"/>
      <c r="X2703" s="34"/>
      <c r="Y2703" s="34"/>
      <c r="Z2703" s="109"/>
      <c r="AB2703" s="109"/>
      <c r="AC2703" s="34" t="s">
        <v>5790</v>
      </c>
      <c r="AD2703" s="34">
        <v>25.644119</v>
      </c>
      <c r="AE2703" s="34">
        <v>72.411060000000006</v>
      </c>
    </row>
    <row r="2704" spans="1:31" x14ac:dyDescent="0.25">
      <c r="A2704" s="38" t="s">
        <v>36</v>
      </c>
      <c r="B2704" s="38" t="s">
        <v>5760</v>
      </c>
      <c r="C2704" s="38" t="s">
        <v>5787</v>
      </c>
      <c r="D2704" s="38" t="s">
        <v>5791</v>
      </c>
      <c r="E2704" s="38" t="s">
        <v>5792</v>
      </c>
      <c r="F2704" s="38">
        <v>148</v>
      </c>
      <c r="G2704" s="38">
        <v>148</v>
      </c>
      <c r="H2704" s="38">
        <f t="shared" si="132"/>
        <v>930</v>
      </c>
      <c r="I2704" s="38">
        <v>463</v>
      </c>
      <c r="J2704" s="38">
        <v>467</v>
      </c>
      <c r="K2704" s="38">
        <v>0</v>
      </c>
      <c r="L2704" s="50">
        <f t="shared" si="133"/>
        <v>0</v>
      </c>
      <c r="M2704" s="38">
        <v>31</v>
      </c>
      <c r="N2704" s="50">
        <f t="shared" si="131"/>
        <v>3.3333333333333335</v>
      </c>
      <c r="O2704" s="38">
        <v>13</v>
      </c>
      <c r="P2704" s="38">
        <v>42</v>
      </c>
      <c r="Q2704" s="34" t="s">
        <v>43</v>
      </c>
      <c r="R2704" s="28">
        <v>44453</v>
      </c>
      <c r="S2704" s="34"/>
      <c r="T2704" s="34">
        <v>42</v>
      </c>
      <c r="U2704" s="34"/>
      <c r="V2704" s="34"/>
      <c r="W2704" s="34"/>
      <c r="X2704" s="34"/>
      <c r="Y2704" s="34"/>
      <c r="Z2704" s="109"/>
      <c r="AB2704" s="109"/>
      <c r="AC2704" s="34" t="s">
        <v>5793</v>
      </c>
      <c r="AD2704" s="34">
        <v>25.646581999999999</v>
      </c>
      <c r="AE2704" s="34">
        <v>72.398830000000004</v>
      </c>
    </row>
    <row r="2705" spans="1:31" x14ac:dyDescent="0.25">
      <c r="A2705" s="38" t="s">
        <v>36</v>
      </c>
      <c r="B2705" s="38" t="s">
        <v>5760</v>
      </c>
      <c r="C2705" s="38" t="s">
        <v>5794</v>
      </c>
      <c r="D2705" s="38" t="s">
        <v>5795</v>
      </c>
      <c r="E2705" s="38" t="s">
        <v>5796</v>
      </c>
      <c r="F2705" s="38">
        <v>277</v>
      </c>
      <c r="G2705" s="38">
        <v>277</v>
      </c>
      <c r="H2705" s="38">
        <f t="shared" si="132"/>
        <v>1629</v>
      </c>
      <c r="I2705" s="38">
        <v>871</v>
      </c>
      <c r="J2705" s="38">
        <v>758</v>
      </c>
      <c r="K2705" s="38">
        <v>154</v>
      </c>
      <c r="L2705" s="50">
        <f t="shared" si="133"/>
        <v>9.4536525475751993</v>
      </c>
      <c r="M2705" s="38">
        <v>431</v>
      </c>
      <c r="N2705" s="50">
        <f t="shared" si="131"/>
        <v>26.45794966236955</v>
      </c>
      <c r="O2705" s="38">
        <v>312</v>
      </c>
      <c r="P2705" s="38">
        <v>597</v>
      </c>
      <c r="Q2705" s="34" t="s">
        <v>43</v>
      </c>
      <c r="R2705" s="28">
        <v>44447</v>
      </c>
      <c r="S2705" s="34"/>
      <c r="T2705" s="34">
        <v>597</v>
      </c>
      <c r="U2705" s="34"/>
      <c r="V2705" s="34"/>
      <c r="W2705" s="34"/>
      <c r="X2705" s="34"/>
      <c r="Y2705" s="34"/>
      <c r="Z2705" s="109"/>
      <c r="AB2705" s="109"/>
      <c r="AC2705" s="34" t="s">
        <v>5797</v>
      </c>
      <c r="AD2705" s="34">
        <v>25.725231999999998</v>
      </c>
      <c r="AE2705" s="34">
        <v>72.359277000000006</v>
      </c>
    </row>
    <row r="2706" spans="1:31" x14ac:dyDescent="0.25">
      <c r="A2706" s="38" t="s">
        <v>36</v>
      </c>
      <c r="B2706" s="38" t="s">
        <v>5760</v>
      </c>
      <c r="C2706" s="38" t="s">
        <v>5794</v>
      </c>
      <c r="D2706" s="38" t="s">
        <v>5798</v>
      </c>
      <c r="E2706" s="38" t="s">
        <v>5799</v>
      </c>
      <c r="F2706" s="38">
        <v>193</v>
      </c>
      <c r="G2706" s="38">
        <v>193</v>
      </c>
      <c r="H2706" s="38">
        <f t="shared" si="132"/>
        <v>1165</v>
      </c>
      <c r="I2706" s="38">
        <v>607</v>
      </c>
      <c r="J2706" s="38">
        <v>558</v>
      </c>
      <c r="K2706" s="38">
        <v>545</v>
      </c>
      <c r="L2706" s="50">
        <f t="shared" si="133"/>
        <v>46.781115879828327</v>
      </c>
      <c r="M2706" s="38">
        <v>0</v>
      </c>
      <c r="N2706" s="50">
        <f t="shared" si="131"/>
        <v>0</v>
      </c>
      <c r="O2706" s="38">
        <v>60</v>
      </c>
      <c r="P2706" s="38">
        <v>145</v>
      </c>
      <c r="Q2706" s="34" t="s">
        <v>43</v>
      </c>
      <c r="R2706" s="28">
        <v>44447</v>
      </c>
      <c r="S2706" s="34"/>
      <c r="T2706" s="34">
        <v>145</v>
      </c>
      <c r="U2706" s="34"/>
      <c r="V2706" s="34"/>
      <c r="W2706" s="34"/>
      <c r="X2706" s="34"/>
      <c r="Y2706" s="34"/>
      <c r="Z2706" s="109"/>
      <c r="AB2706" s="109"/>
      <c r="AC2706" s="34" t="s">
        <v>5800</v>
      </c>
      <c r="AD2706" s="34">
        <v>25.810525999999999</v>
      </c>
      <c r="AE2706" s="34">
        <v>72.304652000000004</v>
      </c>
    </row>
    <row r="2707" spans="1:31" x14ac:dyDescent="0.25">
      <c r="A2707" s="38" t="s">
        <v>36</v>
      </c>
      <c r="B2707" s="38" t="s">
        <v>5760</v>
      </c>
      <c r="C2707" s="38" t="s">
        <v>5801</v>
      </c>
      <c r="D2707" s="38" t="s">
        <v>5802</v>
      </c>
      <c r="E2707" s="38" t="s">
        <v>5803</v>
      </c>
      <c r="F2707" s="38">
        <v>164</v>
      </c>
      <c r="G2707" s="38">
        <v>164</v>
      </c>
      <c r="H2707" s="38">
        <f t="shared" si="132"/>
        <v>1138</v>
      </c>
      <c r="I2707" s="38">
        <v>624</v>
      </c>
      <c r="J2707" s="38">
        <v>514</v>
      </c>
      <c r="K2707" s="38">
        <v>281</v>
      </c>
      <c r="L2707" s="50">
        <f t="shared" si="133"/>
        <v>24.692442882249559</v>
      </c>
      <c r="M2707" s="38">
        <v>108</v>
      </c>
      <c r="N2707" s="50">
        <f t="shared" si="131"/>
        <v>9.4903339191564147</v>
      </c>
      <c r="O2707" s="38">
        <v>94.65</v>
      </c>
      <c r="P2707" s="38">
        <v>0</v>
      </c>
      <c r="Q2707" s="34" t="s">
        <v>43</v>
      </c>
      <c r="R2707" s="9"/>
      <c r="S2707" s="34"/>
      <c r="T2707" s="34"/>
      <c r="U2707" s="34"/>
      <c r="V2707" s="34"/>
      <c r="W2707" s="34"/>
      <c r="X2707" s="34"/>
      <c r="Y2707" s="34"/>
      <c r="Z2707" s="109"/>
      <c r="AB2707" s="109"/>
      <c r="AC2707" s="83"/>
      <c r="AD2707" s="34"/>
      <c r="AE2707" s="34"/>
    </row>
    <row r="2708" spans="1:31" x14ac:dyDescent="0.25">
      <c r="A2708" s="38" t="s">
        <v>36</v>
      </c>
      <c r="B2708" s="38" t="s">
        <v>5760</v>
      </c>
      <c r="C2708" s="38" t="s">
        <v>5801</v>
      </c>
      <c r="D2708" s="38" t="s">
        <v>5804</v>
      </c>
      <c r="E2708" s="38" t="s">
        <v>5805</v>
      </c>
      <c r="F2708" s="38">
        <v>66</v>
      </c>
      <c r="G2708" s="38">
        <v>66</v>
      </c>
      <c r="H2708" s="38">
        <f t="shared" si="132"/>
        <v>361</v>
      </c>
      <c r="I2708" s="38">
        <v>193</v>
      </c>
      <c r="J2708" s="38">
        <v>168</v>
      </c>
      <c r="K2708" s="38">
        <v>73</v>
      </c>
      <c r="L2708" s="50">
        <f t="shared" si="133"/>
        <v>20.221606648199447</v>
      </c>
      <c r="M2708" s="38">
        <v>7</v>
      </c>
      <c r="N2708" s="50">
        <f t="shared" si="131"/>
        <v>1.9390581717451523</v>
      </c>
      <c r="O2708" s="38">
        <v>193.68</v>
      </c>
      <c r="P2708" s="38">
        <v>0</v>
      </c>
      <c r="Q2708" s="34" t="s">
        <v>43</v>
      </c>
      <c r="R2708" s="9"/>
      <c r="S2708" s="34"/>
      <c r="T2708" s="34"/>
      <c r="U2708" s="34"/>
      <c r="V2708" s="34"/>
      <c r="W2708" s="34"/>
      <c r="X2708" s="34"/>
      <c r="Y2708" s="34"/>
      <c r="Z2708" s="109"/>
      <c r="AB2708" s="109"/>
      <c r="AC2708" s="83"/>
      <c r="AD2708" s="34"/>
      <c r="AE2708" s="34"/>
    </row>
    <row r="2709" spans="1:31" x14ac:dyDescent="0.25">
      <c r="A2709" s="38" t="s">
        <v>36</v>
      </c>
      <c r="B2709" s="38" t="s">
        <v>5760</v>
      </c>
      <c r="C2709" s="38" t="s">
        <v>5801</v>
      </c>
      <c r="D2709" s="38" t="s">
        <v>5806</v>
      </c>
      <c r="E2709" s="38" t="s">
        <v>5807</v>
      </c>
      <c r="F2709" s="38">
        <v>177</v>
      </c>
      <c r="G2709" s="38">
        <v>177</v>
      </c>
      <c r="H2709" s="38">
        <f t="shared" si="132"/>
        <v>997</v>
      </c>
      <c r="I2709" s="38">
        <v>568</v>
      </c>
      <c r="J2709" s="38">
        <v>429</v>
      </c>
      <c r="K2709" s="38">
        <v>39</v>
      </c>
      <c r="L2709" s="50">
        <f t="shared" si="133"/>
        <v>3.9117352056168508</v>
      </c>
      <c r="M2709" s="38">
        <v>224</v>
      </c>
      <c r="N2709" s="50">
        <f t="shared" si="131"/>
        <v>22.467402206619859</v>
      </c>
      <c r="O2709" s="38">
        <v>0</v>
      </c>
      <c r="P2709" s="38">
        <v>69.8</v>
      </c>
      <c r="Q2709" s="34" t="s">
        <v>43</v>
      </c>
      <c r="R2709" s="9"/>
      <c r="S2709" s="34"/>
      <c r="T2709" s="34"/>
      <c r="U2709" s="34"/>
      <c r="V2709" s="34"/>
      <c r="W2709" s="34"/>
      <c r="X2709" s="34"/>
      <c r="Y2709" s="34"/>
      <c r="Z2709" s="109"/>
      <c r="AB2709" s="109"/>
      <c r="AC2709" s="47"/>
      <c r="AD2709" s="34"/>
      <c r="AE2709" s="34"/>
    </row>
    <row r="2710" spans="1:31" x14ac:dyDescent="0.25">
      <c r="A2710" s="38" t="s">
        <v>36</v>
      </c>
      <c r="B2710" s="38" t="s">
        <v>5760</v>
      </c>
      <c r="C2710" s="38" t="s">
        <v>5808</v>
      </c>
      <c r="D2710" s="38" t="s">
        <v>5809</v>
      </c>
      <c r="E2710" s="38" t="s">
        <v>5810</v>
      </c>
      <c r="F2710" s="38">
        <v>457</v>
      </c>
      <c r="G2710" s="38">
        <v>457</v>
      </c>
      <c r="H2710" s="38">
        <f t="shared" si="132"/>
        <v>2742</v>
      </c>
      <c r="I2710" s="38">
        <v>1440</v>
      </c>
      <c r="J2710" s="38">
        <v>1302</v>
      </c>
      <c r="K2710" s="38">
        <v>238</v>
      </c>
      <c r="L2710" s="50">
        <f t="shared" si="133"/>
        <v>8.6797957695113066</v>
      </c>
      <c r="M2710" s="38">
        <v>205</v>
      </c>
      <c r="N2710" s="50">
        <f t="shared" si="131"/>
        <v>7.4762946754194024</v>
      </c>
      <c r="O2710" s="38">
        <v>273</v>
      </c>
      <c r="P2710" s="38">
        <v>8</v>
      </c>
      <c r="Q2710" s="34" t="s">
        <v>43</v>
      </c>
      <c r="R2710" s="28">
        <v>44469</v>
      </c>
      <c r="S2710" s="34"/>
      <c r="T2710" s="34">
        <v>8</v>
      </c>
      <c r="U2710" s="34"/>
      <c r="V2710" s="34"/>
      <c r="W2710" s="34"/>
      <c r="X2710" s="34"/>
      <c r="Y2710" s="34"/>
      <c r="Z2710" s="109"/>
      <c r="AB2710" s="109"/>
      <c r="AC2710" s="34" t="s">
        <v>5811</v>
      </c>
      <c r="AD2710" s="34">
        <v>25.646581999999999</v>
      </c>
      <c r="AE2710" s="34">
        <v>72.398830000000004</v>
      </c>
    </row>
    <row r="2711" spans="1:31" x14ac:dyDescent="0.25">
      <c r="A2711" s="38" t="s">
        <v>36</v>
      </c>
      <c r="B2711" s="38" t="s">
        <v>5760</v>
      </c>
      <c r="C2711" s="38" t="s">
        <v>5808</v>
      </c>
      <c r="D2711" s="38" t="s">
        <v>5812</v>
      </c>
      <c r="E2711" s="38" t="s">
        <v>5813</v>
      </c>
      <c r="F2711" s="38">
        <v>255</v>
      </c>
      <c r="G2711" s="38">
        <v>255</v>
      </c>
      <c r="H2711" s="38">
        <f t="shared" si="132"/>
        <v>1665</v>
      </c>
      <c r="I2711" s="38">
        <v>886</v>
      </c>
      <c r="J2711" s="38">
        <v>779</v>
      </c>
      <c r="K2711" s="38">
        <v>335</v>
      </c>
      <c r="L2711" s="50">
        <f t="shared" si="133"/>
        <v>20.12012012012012</v>
      </c>
      <c r="M2711" s="38">
        <v>0</v>
      </c>
      <c r="N2711" s="50">
        <f t="shared" si="131"/>
        <v>0</v>
      </c>
      <c r="O2711" s="38">
        <v>0</v>
      </c>
      <c r="P2711" s="38">
        <v>0</v>
      </c>
      <c r="Q2711" s="61" t="s">
        <v>43</v>
      </c>
      <c r="R2711" s="7">
        <v>44469</v>
      </c>
      <c r="S2711" s="61"/>
      <c r="T2711" s="20">
        <v>0</v>
      </c>
      <c r="U2711" s="61"/>
      <c r="V2711" s="61"/>
      <c r="W2711" s="61"/>
      <c r="X2711" s="61"/>
      <c r="Y2711" s="61"/>
      <c r="Z2711" s="20"/>
      <c r="AB2711" s="20"/>
      <c r="AC2711" s="11" t="s">
        <v>5812</v>
      </c>
      <c r="AD2711" s="61">
        <v>0</v>
      </c>
      <c r="AE2711" s="61"/>
    </row>
    <row r="2712" spans="1:31" x14ac:dyDescent="0.25">
      <c r="A2712" s="38" t="s">
        <v>36</v>
      </c>
      <c r="B2712" s="38" t="s">
        <v>5760</v>
      </c>
      <c r="C2712" s="38" t="s">
        <v>5808</v>
      </c>
      <c r="D2712" s="11" t="s">
        <v>5814</v>
      </c>
      <c r="E2712" s="38"/>
      <c r="F2712" s="38"/>
      <c r="G2712" s="38"/>
      <c r="H2712" s="38">
        <f t="shared" si="132"/>
        <v>0</v>
      </c>
      <c r="I2712" s="38"/>
      <c r="J2712" s="38"/>
      <c r="K2712" s="38"/>
      <c r="L2712" s="50"/>
      <c r="M2712" s="38"/>
      <c r="N2712" s="50"/>
      <c r="O2712" s="38"/>
      <c r="P2712" s="38"/>
      <c r="Q2712" s="61" t="s">
        <v>43</v>
      </c>
      <c r="R2712" s="7">
        <v>44469</v>
      </c>
      <c r="S2712" s="61"/>
      <c r="T2712" s="20">
        <v>0</v>
      </c>
      <c r="U2712" s="61"/>
      <c r="V2712" s="61"/>
      <c r="W2712" s="61"/>
      <c r="X2712" s="61"/>
      <c r="Y2712" s="61"/>
      <c r="Z2712" s="20"/>
      <c r="AB2712" s="20"/>
      <c r="AC2712" s="11" t="s">
        <v>5814</v>
      </c>
      <c r="AD2712" s="61">
        <v>0</v>
      </c>
      <c r="AE2712" s="61"/>
    </row>
    <row r="2713" spans="1:31" x14ac:dyDescent="0.25">
      <c r="A2713" s="38" t="s">
        <v>36</v>
      </c>
      <c r="B2713" s="38" t="s">
        <v>5760</v>
      </c>
      <c r="C2713" s="38" t="s">
        <v>5808</v>
      </c>
      <c r="D2713" s="38" t="s">
        <v>5815</v>
      </c>
      <c r="E2713" s="38" t="s">
        <v>5816</v>
      </c>
      <c r="F2713" s="38">
        <v>354</v>
      </c>
      <c r="G2713" s="38">
        <v>354</v>
      </c>
      <c r="H2713" s="38">
        <f t="shared" si="132"/>
        <v>2144</v>
      </c>
      <c r="I2713" s="38">
        <v>1108</v>
      </c>
      <c r="J2713" s="38">
        <v>1036</v>
      </c>
      <c r="K2713" s="38">
        <v>367</v>
      </c>
      <c r="L2713" s="50">
        <f t="shared" si="133"/>
        <v>17.117537313432834</v>
      </c>
      <c r="M2713" s="38">
        <v>20</v>
      </c>
      <c r="N2713" s="50">
        <f t="shared" si="131"/>
        <v>0.93283582089552231</v>
      </c>
      <c r="O2713" s="38">
        <v>0</v>
      </c>
      <c r="P2713" s="38">
        <v>13</v>
      </c>
      <c r="Q2713" s="98" t="s">
        <v>160</v>
      </c>
      <c r="R2713" s="7">
        <v>44469</v>
      </c>
      <c r="S2713" s="99"/>
      <c r="T2713" s="11">
        <v>13</v>
      </c>
      <c r="U2713" s="98"/>
      <c r="V2713" s="98"/>
      <c r="W2713" s="98"/>
      <c r="X2713" s="98"/>
      <c r="Y2713" s="98"/>
      <c r="Z2713" s="20"/>
      <c r="AB2713" s="20"/>
      <c r="AC2713" s="11" t="s">
        <v>2058</v>
      </c>
      <c r="AD2713" s="61"/>
      <c r="AE2713" s="99"/>
    </row>
    <row r="2714" spans="1:31" x14ac:dyDescent="0.25">
      <c r="A2714" s="38" t="s">
        <v>36</v>
      </c>
      <c r="B2714" s="38" t="s">
        <v>5760</v>
      </c>
      <c r="C2714" s="38" t="s">
        <v>5817</v>
      </c>
      <c r="D2714" s="38" t="s">
        <v>5818</v>
      </c>
      <c r="E2714" s="38" t="s">
        <v>5819</v>
      </c>
      <c r="F2714" s="38">
        <v>521</v>
      </c>
      <c r="G2714" s="38">
        <v>521</v>
      </c>
      <c r="H2714" s="38">
        <f t="shared" si="132"/>
        <v>2938</v>
      </c>
      <c r="I2714" s="38">
        <v>1529</v>
      </c>
      <c r="J2714" s="38">
        <v>1409</v>
      </c>
      <c r="K2714" s="38">
        <v>732</v>
      </c>
      <c r="L2714" s="50">
        <f t="shared" si="133"/>
        <v>24.914908100748807</v>
      </c>
      <c r="M2714" s="38">
        <v>238</v>
      </c>
      <c r="N2714" s="50">
        <f t="shared" si="131"/>
        <v>8.1007488087134103</v>
      </c>
      <c r="O2714" s="38">
        <v>1410</v>
      </c>
      <c r="P2714" s="38">
        <v>250</v>
      </c>
      <c r="Q2714" s="34"/>
      <c r="R2714" s="9"/>
      <c r="S2714" s="34"/>
      <c r="T2714" s="34"/>
      <c r="U2714" s="34"/>
      <c r="V2714" s="34"/>
      <c r="W2714" s="34"/>
      <c r="X2714" s="34"/>
      <c r="Y2714" s="34"/>
      <c r="Z2714" s="109"/>
      <c r="AB2714" s="109"/>
      <c r="AC2714" s="47"/>
      <c r="AD2714" s="34"/>
      <c r="AE2714" s="34"/>
    </row>
    <row r="2715" spans="1:31" x14ac:dyDescent="0.25">
      <c r="A2715" s="38" t="s">
        <v>36</v>
      </c>
      <c r="B2715" s="38" t="s">
        <v>5760</v>
      </c>
      <c r="C2715" s="38" t="s">
        <v>5820</v>
      </c>
      <c r="D2715" s="38" t="s">
        <v>5821</v>
      </c>
      <c r="E2715" s="38" t="s">
        <v>5822</v>
      </c>
      <c r="F2715" s="38">
        <v>139</v>
      </c>
      <c r="G2715" s="38">
        <v>139</v>
      </c>
      <c r="H2715" s="38">
        <f t="shared" si="132"/>
        <v>817</v>
      </c>
      <c r="I2715" s="38">
        <v>439</v>
      </c>
      <c r="J2715" s="38">
        <v>378</v>
      </c>
      <c r="K2715" s="38">
        <v>27</v>
      </c>
      <c r="L2715" s="50">
        <f t="shared" si="133"/>
        <v>3.3047735618115053</v>
      </c>
      <c r="M2715" s="38">
        <v>0</v>
      </c>
      <c r="N2715" s="50">
        <f t="shared" si="131"/>
        <v>0</v>
      </c>
      <c r="O2715" s="38">
        <v>0</v>
      </c>
      <c r="P2715" s="38">
        <v>48.11</v>
      </c>
      <c r="Q2715" s="34" t="s">
        <v>43</v>
      </c>
      <c r="R2715" s="9">
        <v>44445</v>
      </c>
      <c r="S2715" s="34"/>
      <c r="T2715" s="34">
        <v>48</v>
      </c>
      <c r="U2715" s="34"/>
      <c r="V2715" s="34"/>
      <c r="W2715" s="34"/>
      <c r="X2715" s="34"/>
      <c r="Y2715" s="34"/>
      <c r="Z2715" s="109"/>
      <c r="AB2715" s="109"/>
      <c r="AC2715" s="34" t="s">
        <v>5823</v>
      </c>
      <c r="AD2715" s="34">
        <v>25.629702000000002</v>
      </c>
      <c r="AE2715" s="34">
        <v>72.413871</v>
      </c>
    </row>
    <row r="2716" spans="1:31" x14ac:dyDescent="0.25">
      <c r="A2716" s="38" t="s">
        <v>36</v>
      </c>
      <c r="B2716" s="38" t="s">
        <v>5760</v>
      </c>
      <c r="C2716" s="38" t="s">
        <v>5820</v>
      </c>
      <c r="D2716" s="38" t="s">
        <v>5824</v>
      </c>
      <c r="E2716" s="38" t="s">
        <v>5825</v>
      </c>
      <c r="F2716" s="38">
        <v>166</v>
      </c>
      <c r="G2716" s="38">
        <v>166</v>
      </c>
      <c r="H2716" s="38">
        <f t="shared" si="132"/>
        <v>1074</v>
      </c>
      <c r="I2716" s="38">
        <v>573</v>
      </c>
      <c r="J2716" s="38">
        <v>501</v>
      </c>
      <c r="K2716" s="38">
        <v>218</v>
      </c>
      <c r="L2716" s="50">
        <f t="shared" si="133"/>
        <v>20.297951582867785</v>
      </c>
      <c r="M2716" s="38">
        <v>222</v>
      </c>
      <c r="N2716" s="50">
        <f t="shared" si="131"/>
        <v>20.670391061452513</v>
      </c>
      <c r="O2716" s="38">
        <v>0</v>
      </c>
      <c r="P2716" s="38">
        <v>20</v>
      </c>
      <c r="Q2716" s="34" t="s">
        <v>43</v>
      </c>
      <c r="R2716" s="28">
        <v>44445</v>
      </c>
      <c r="S2716" s="34"/>
      <c r="T2716" s="34">
        <v>20</v>
      </c>
      <c r="U2716" s="34"/>
      <c r="V2716" s="34"/>
      <c r="W2716" s="34"/>
      <c r="X2716" s="34"/>
      <c r="Y2716" s="34"/>
      <c r="Z2716" s="109"/>
      <c r="AB2716" s="109"/>
      <c r="AC2716" s="34" t="s">
        <v>5826</v>
      </c>
      <c r="AD2716" s="34">
        <v>25.629702000000002</v>
      </c>
      <c r="AE2716" s="34">
        <v>72.413871</v>
      </c>
    </row>
    <row r="2717" spans="1:31" x14ac:dyDescent="0.25">
      <c r="A2717" s="38" t="s">
        <v>36</v>
      </c>
      <c r="B2717" s="38" t="s">
        <v>5760</v>
      </c>
      <c r="C2717" s="38" t="s">
        <v>5820</v>
      </c>
      <c r="D2717" s="38" t="s">
        <v>5827</v>
      </c>
      <c r="E2717" s="38" t="s">
        <v>5828</v>
      </c>
      <c r="F2717" s="38">
        <v>233</v>
      </c>
      <c r="G2717" s="38">
        <v>233</v>
      </c>
      <c r="H2717" s="38">
        <f t="shared" si="132"/>
        <v>1373</v>
      </c>
      <c r="I2717" s="38">
        <v>733</v>
      </c>
      <c r="J2717" s="38">
        <v>640</v>
      </c>
      <c r="K2717" s="38">
        <v>435</v>
      </c>
      <c r="L2717" s="50">
        <f t="shared" si="133"/>
        <v>31.682447195921341</v>
      </c>
      <c r="M2717" s="38">
        <v>11</v>
      </c>
      <c r="N2717" s="50">
        <f t="shared" si="131"/>
        <v>0.80116533139111445</v>
      </c>
      <c r="O2717" s="38">
        <v>0</v>
      </c>
      <c r="P2717" s="38">
        <v>9.1</v>
      </c>
      <c r="Q2717" s="34" t="s">
        <v>43</v>
      </c>
      <c r="R2717" s="28">
        <v>44445</v>
      </c>
      <c r="S2717" s="34"/>
      <c r="T2717" s="34">
        <v>9</v>
      </c>
      <c r="U2717" s="34"/>
      <c r="V2717" s="34"/>
      <c r="W2717" s="34"/>
      <c r="X2717" s="34"/>
      <c r="Y2717" s="34"/>
      <c r="Z2717" s="109"/>
      <c r="AB2717" s="109"/>
      <c r="AC2717" s="34" t="s">
        <v>5829</v>
      </c>
      <c r="AD2717" s="34">
        <v>25.606947000000002</v>
      </c>
      <c r="AE2717" s="34">
        <v>72.406764999999993</v>
      </c>
    </row>
    <row r="2718" spans="1:31" x14ac:dyDescent="0.25">
      <c r="A2718" s="38" t="s">
        <v>36</v>
      </c>
      <c r="B2718" s="38" t="s">
        <v>5760</v>
      </c>
      <c r="C2718" s="38" t="s">
        <v>5820</v>
      </c>
      <c r="D2718" s="38" t="s">
        <v>5830</v>
      </c>
      <c r="E2718" s="38" t="s">
        <v>5831</v>
      </c>
      <c r="F2718" s="38">
        <v>292</v>
      </c>
      <c r="G2718" s="38">
        <v>292</v>
      </c>
      <c r="H2718" s="38">
        <f t="shared" si="132"/>
        <v>1929</v>
      </c>
      <c r="I2718" s="38">
        <v>1021</v>
      </c>
      <c r="J2718" s="38">
        <v>908</v>
      </c>
      <c r="K2718" s="38">
        <v>486</v>
      </c>
      <c r="L2718" s="50">
        <f t="shared" si="133"/>
        <v>25.194401244167963</v>
      </c>
      <c r="M2718" s="38">
        <v>0</v>
      </c>
      <c r="N2718" s="50">
        <f t="shared" ref="N2718:N2780" si="134">M2718/H2718*100</f>
        <v>0</v>
      </c>
      <c r="O2718" s="38">
        <v>0</v>
      </c>
      <c r="P2718" s="38">
        <v>98.04</v>
      </c>
      <c r="Q2718" s="34" t="s">
        <v>43</v>
      </c>
      <c r="R2718" s="28">
        <v>44445</v>
      </c>
      <c r="S2718" s="34"/>
      <c r="T2718" s="34">
        <v>98</v>
      </c>
      <c r="U2718" s="34"/>
      <c r="V2718" s="34"/>
      <c r="W2718" s="34"/>
      <c r="X2718" s="34"/>
      <c r="Y2718" s="34"/>
      <c r="Z2718" s="109"/>
      <c r="AB2718" s="109"/>
      <c r="AC2718" s="34" t="s">
        <v>5832</v>
      </c>
      <c r="AD2718" s="34">
        <v>25.629837999999999</v>
      </c>
      <c r="AE2718" s="34">
        <v>72.413466</v>
      </c>
    </row>
    <row r="2719" spans="1:31" x14ac:dyDescent="0.25">
      <c r="A2719" s="38" t="s">
        <v>36</v>
      </c>
      <c r="B2719" s="38" t="s">
        <v>5760</v>
      </c>
      <c r="C2719" s="38" t="s">
        <v>5833</v>
      </c>
      <c r="D2719" s="38" t="s">
        <v>5834</v>
      </c>
      <c r="E2719" s="38" t="s">
        <v>5835</v>
      </c>
      <c r="F2719" s="38">
        <v>503</v>
      </c>
      <c r="G2719" s="38">
        <v>503</v>
      </c>
      <c r="H2719" s="38">
        <f t="shared" si="132"/>
        <v>3155</v>
      </c>
      <c r="I2719" s="38">
        <v>1634</v>
      </c>
      <c r="J2719" s="38">
        <v>1521</v>
      </c>
      <c r="K2719" s="38">
        <v>517</v>
      </c>
      <c r="L2719" s="50">
        <f t="shared" si="133"/>
        <v>16.386687797147385</v>
      </c>
      <c r="M2719" s="38">
        <v>102</v>
      </c>
      <c r="N2719" s="50">
        <f t="shared" si="134"/>
        <v>3.2329635499207607</v>
      </c>
      <c r="O2719" s="38">
        <v>192</v>
      </c>
      <c r="P2719" s="38">
        <v>68</v>
      </c>
      <c r="Q2719" s="34"/>
      <c r="R2719" s="28"/>
      <c r="S2719" s="34"/>
      <c r="T2719" s="34"/>
      <c r="U2719" s="34"/>
      <c r="V2719" s="34"/>
      <c r="W2719" s="34"/>
      <c r="X2719" s="34"/>
      <c r="Y2719" s="34"/>
      <c r="Z2719" s="109"/>
      <c r="AB2719" s="109"/>
      <c r="AC2719" s="34"/>
      <c r="AD2719" s="34"/>
      <c r="AE2719" s="34"/>
    </row>
    <row r="2720" spans="1:31" x14ac:dyDescent="0.25">
      <c r="A2720" s="38" t="s">
        <v>36</v>
      </c>
      <c r="B2720" s="38" t="s">
        <v>5760</v>
      </c>
      <c r="C2720" s="38" t="s">
        <v>5833</v>
      </c>
      <c r="D2720" s="38" t="s">
        <v>5836</v>
      </c>
      <c r="E2720" s="38" t="s">
        <v>5837</v>
      </c>
      <c r="F2720" s="38">
        <v>197</v>
      </c>
      <c r="G2720" s="38">
        <v>197</v>
      </c>
      <c r="H2720" s="38">
        <f t="shared" si="132"/>
        <v>1052</v>
      </c>
      <c r="I2720" s="38">
        <v>535</v>
      </c>
      <c r="J2720" s="38">
        <v>517</v>
      </c>
      <c r="K2720" s="38">
        <v>3</v>
      </c>
      <c r="L2720" s="50">
        <f t="shared" si="133"/>
        <v>0.28517110266159695</v>
      </c>
      <c r="M2720" s="38">
        <v>479</v>
      </c>
      <c r="N2720" s="50">
        <f t="shared" si="134"/>
        <v>45.532319391634978</v>
      </c>
      <c r="O2720" s="38">
        <v>362</v>
      </c>
      <c r="P2720" s="38">
        <v>0</v>
      </c>
      <c r="Q2720" s="34"/>
      <c r="R2720" s="28"/>
      <c r="S2720" s="34"/>
      <c r="T2720" s="34"/>
      <c r="U2720" s="34"/>
      <c r="V2720" s="34"/>
      <c r="W2720" s="34"/>
      <c r="X2720" s="34"/>
      <c r="Y2720" s="34"/>
      <c r="Z2720" s="109"/>
      <c r="AB2720" s="109"/>
      <c r="AC2720" s="34"/>
      <c r="AD2720" s="34"/>
      <c r="AE2720" s="34"/>
    </row>
    <row r="2721" spans="1:31" x14ac:dyDescent="0.25">
      <c r="A2721" s="38" t="s">
        <v>36</v>
      </c>
      <c r="B2721" s="38" t="s">
        <v>5760</v>
      </c>
      <c r="C2721" s="38" t="s">
        <v>5838</v>
      </c>
      <c r="D2721" s="38" t="s">
        <v>5839</v>
      </c>
      <c r="E2721" s="38" t="s">
        <v>5840</v>
      </c>
      <c r="F2721" s="38">
        <v>1139</v>
      </c>
      <c r="G2721" s="38">
        <v>1139</v>
      </c>
      <c r="H2721" s="38">
        <f t="shared" si="132"/>
        <v>6969</v>
      </c>
      <c r="I2721" s="38">
        <v>3654</v>
      </c>
      <c r="J2721" s="38">
        <v>3315</v>
      </c>
      <c r="K2721" s="38">
        <v>990</v>
      </c>
      <c r="L2721" s="50">
        <f t="shared" si="133"/>
        <v>14.20576840292725</v>
      </c>
      <c r="M2721" s="38">
        <v>173</v>
      </c>
      <c r="N2721" s="50">
        <f t="shared" si="134"/>
        <v>2.482422155259004</v>
      </c>
      <c r="O2721" s="38">
        <v>451</v>
      </c>
      <c r="P2721" s="38">
        <v>116</v>
      </c>
      <c r="Q2721" s="34" t="s">
        <v>43</v>
      </c>
      <c r="R2721" s="9">
        <v>44480</v>
      </c>
      <c r="S2721" s="34"/>
      <c r="T2721" s="34">
        <v>150</v>
      </c>
      <c r="U2721" s="34"/>
      <c r="V2721" s="34"/>
      <c r="W2721" s="34"/>
      <c r="X2721" s="34"/>
      <c r="Y2721" s="34"/>
      <c r="Z2721" s="109"/>
      <c r="AB2721" s="109">
        <v>200</v>
      </c>
      <c r="AC2721" s="34" t="s">
        <v>5841</v>
      </c>
      <c r="AD2721" s="34">
        <v>25.651993999999998</v>
      </c>
      <c r="AE2721" s="34">
        <v>72.264163999999994</v>
      </c>
    </row>
    <row r="2722" spans="1:31" x14ac:dyDescent="0.25">
      <c r="A2722" s="38" t="s">
        <v>36</v>
      </c>
      <c r="B2722" s="38" t="s">
        <v>5760</v>
      </c>
      <c r="C2722" s="38" t="s">
        <v>5838</v>
      </c>
      <c r="D2722" s="38" t="s">
        <v>5842</v>
      </c>
      <c r="E2722" s="38" t="s">
        <v>5843</v>
      </c>
      <c r="F2722" s="38">
        <v>216</v>
      </c>
      <c r="G2722" s="38">
        <v>216</v>
      </c>
      <c r="H2722" s="38">
        <f t="shared" si="132"/>
        <v>1362</v>
      </c>
      <c r="I2722" s="38">
        <v>718</v>
      </c>
      <c r="J2722" s="38">
        <v>644</v>
      </c>
      <c r="K2722" s="38">
        <v>429</v>
      </c>
      <c r="L2722" s="50">
        <f t="shared" si="133"/>
        <v>31.497797356828194</v>
      </c>
      <c r="M2722" s="38">
        <v>8</v>
      </c>
      <c r="N2722" s="50">
        <f t="shared" si="134"/>
        <v>0.58737151248164465</v>
      </c>
      <c r="O2722" s="38">
        <v>36</v>
      </c>
      <c r="P2722" s="38">
        <v>0</v>
      </c>
      <c r="Q2722" s="34" t="s">
        <v>43</v>
      </c>
      <c r="R2722" s="28">
        <v>44480</v>
      </c>
      <c r="S2722" s="34"/>
      <c r="T2722" s="34">
        <v>100</v>
      </c>
      <c r="U2722" s="34"/>
      <c r="V2722" s="34"/>
      <c r="W2722" s="34"/>
      <c r="X2722" s="34"/>
      <c r="Y2722" s="34"/>
      <c r="Z2722" s="109"/>
      <c r="AB2722" s="109"/>
      <c r="AC2722" s="34" t="s">
        <v>5844</v>
      </c>
      <c r="AD2722" s="34">
        <v>25.741907000000001</v>
      </c>
      <c r="AE2722" s="34">
        <v>72.355098999999996</v>
      </c>
    </row>
    <row r="2723" spans="1:31" x14ac:dyDescent="0.25">
      <c r="A2723" s="38" t="s">
        <v>36</v>
      </c>
      <c r="B2723" s="38" t="s">
        <v>5760</v>
      </c>
      <c r="C2723" s="38" t="s">
        <v>5845</v>
      </c>
      <c r="D2723" s="38" t="s">
        <v>5845</v>
      </c>
      <c r="E2723" s="38" t="s">
        <v>5846</v>
      </c>
      <c r="F2723" s="38">
        <v>181</v>
      </c>
      <c r="G2723" s="38">
        <v>181</v>
      </c>
      <c r="H2723" s="38">
        <f t="shared" si="132"/>
        <v>1</v>
      </c>
      <c r="I2723" s="38">
        <v>0</v>
      </c>
      <c r="J2723" s="38">
        <v>1</v>
      </c>
      <c r="K2723" s="38"/>
      <c r="L2723" s="50">
        <f t="shared" si="133"/>
        <v>0</v>
      </c>
      <c r="M2723" s="38"/>
      <c r="N2723" s="50">
        <f t="shared" si="134"/>
        <v>0</v>
      </c>
      <c r="O2723" s="38">
        <v>0</v>
      </c>
      <c r="P2723" s="38">
        <v>21</v>
      </c>
      <c r="Q2723" s="34" t="s">
        <v>43</v>
      </c>
      <c r="R2723" s="28">
        <v>44466</v>
      </c>
      <c r="S2723" s="34"/>
      <c r="T2723" s="34">
        <v>21</v>
      </c>
      <c r="U2723" s="34"/>
      <c r="V2723" s="34"/>
      <c r="W2723" s="34"/>
      <c r="X2723" s="34"/>
      <c r="Y2723" s="34"/>
      <c r="Z2723" s="109"/>
      <c r="AB2723" s="109"/>
      <c r="AC2723" s="34" t="s">
        <v>5847</v>
      </c>
      <c r="AD2723" s="34">
        <v>25.863887999999999</v>
      </c>
      <c r="AE2723" s="34">
        <v>72.165744000000004</v>
      </c>
    </row>
    <row r="2724" spans="1:31" x14ac:dyDescent="0.25">
      <c r="A2724" s="38" t="s">
        <v>36</v>
      </c>
      <c r="B2724" s="38" t="s">
        <v>5760</v>
      </c>
      <c r="C2724" s="38" t="s">
        <v>5845</v>
      </c>
      <c r="D2724" s="11" t="s">
        <v>5848</v>
      </c>
      <c r="E2724" s="220" t="s">
        <v>3086</v>
      </c>
      <c r="F2724" s="11">
        <v>108</v>
      </c>
      <c r="G2724" s="11">
        <v>108</v>
      </c>
      <c r="H2724" s="38">
        <f t="shared" si="132"/>
        <v>753</v>
      </c>
      <c r="I2724" s="11">
        <v>374</v>
      </c>
      <c r="J2724" s="11">
        <v>379</v>
      </c>
      <c r="K2724" s="11">
        <v>451</v>
      </c>
      <c r="L2724" s="50">
        <f t="shared" si="133"/>
        <v>59.893758300132802</v>
      </c>
      <c r="M2724" s="11">
        <v>0</v>
      </c>
      <c r="N2724" s="50">
        <f t="shared" si="134"/>
        <v>0</v>
      </c>
      <c r="O2724" s="11">
        <v>0</v>
      </c>
      <c r="P2724" s="11">
        <v>0</v>
      </c>
      <c r="Q2724" s="98" t="s">
        <v>44</v>
      </c>
      <c r="R2724" s="7">
        <v>44466</v>
      </c>
      <c r="S2724" s="99"/>
      <c r="T2724" s="4">
        <v>0</v>
      </c>
      <c r="U2724" s="98"/>
      <c r="V2724" s="98"/>
      <c r="W2724" s="98"/>
      <c r="X2724" s="98"/>
      <c r="Y2724" s="98"/>
      <c r="Z2724" s="20"/>
      <c r="AB2724" s="20"/>
      <c r="AC2724" s="11" t="s">
        <v>5848</v>
      </c>
      <c r="AD2724" s="61"/>
      <c r="AE2724" s="99"/>
    </row>
    <row r="2725" spans="1:31" ht="28.5" x14ac:dyDescent="0.25">
      <c r="A2725" s="38" t="s">
        <v>36</v>
      </c>
      <c r="B2725" s="38" t="s">
        <v>5760</v>
      </c>
      <c r="C2725" s="38" t="s">
        <v>5849</v>
      </c>
      <c r="D2725" s="38" t="s">
        <v>5850</v>
      </c>
      <c r="E2725" s="38" t="s">
        <v>5851</v>
      </c>
      <c r="F2725" s="38">
        <v>329</v>
      </c>
      <c r="G2725" s="38">
        <v>329</v>
      </c>
      <c r="H2725" s="38">
        <f t="shared" si="132"/>
        <v>2229</v>
      </c>
      <c r="I2725" s="38">
        <v>1136</v>
      </c>
      <c r="J2725" s="38">
        <v>1093</v>
      </c>
      <c r="K2725" s="38">
        <v>916</v>
      </c>
      <c r="L2725" s="50">
        <f t="shared" si="133"/>
        <v>41.094661283086587</v>
      </c>
      <c r="M2725" s="38">
        <v>133</v>
      </c>
      <c r="N2725" s="50">
        <f t="shared" si="134"/>
        <v>5.9668012561686856</v>
      </c>
      <c r="O2725" s="38">
        <v>0</v>
      </c>
      <c r="P2725" s="38">
        <v>35</v>
      </c>
      <c r="Q2725" s="34" t="s">
        <v>43</v>
      </c>
      <c r="R2725" s="9">
        <v>44467</v>
      </c>
      <c r="S2725" s="34"/>
      <c r="T2725" s="34">
        <v>10.55</v>
      </c>
      <c r="U2725" s="34"/>
      <c r="V2725" s="34"/>
      <c r="W2725" s="34"/>
      <c r="X2725" s="34"/>
      <c r="Y2725" s="34"/>
      <c r="Z2725" s="109"/>
      <c r="AB2725" s="109">
        <v>4</v>
      </c>
      <c r="AC2725" s="47" t="s">
        <v>5852</v>
      </c>
      <c r="AD2725" s="34">
        <v>25.419392999999999</v>
      </c>
      <c r="AE2725" s="34">
        <v>72.302477999999994</v>
      </c>
    </row>
    <row r="2726" spans="1:31" x14ac:dyDescent="0.25">
      <c r="A2726" s="38" t="s">
        <v>36</v>
      </c>
      <c r="B2726" s="38" t="s">
        <v>5760</v>
      </c>
      <c r="C2726" s="38" t="s">
        <v>5849</v>
      </c>
      <c r="D2726" s="38" t="s">
        <v>5853</v>
      </c>
      <c r="E2726" s="38" t="s">
        <v>5854</v>
      </c>
      <c r="F2726" s="38">
        <v>232</v>
      </c>
      <c r="G2726" s="38">
        <v>232</v>
      </c>
      <c r="H2726" s="38">
        <f t="shared" si="132"/>
        <v>1627</v>
      </c>
      <c r="I2726" s="38">
        <v>868</v>
      </c>
      <c r="J2726" s="38">
        <v>759</v>
      </c>
      <c r="K2726" s="38">
        <v>318</v>
      </c>
      <c r="L2726" s="50">
        <f t="shared" si="133"/>
        <v>19.545175169022741</v>
      </c>
      <c r="M2726" s="38">
        <v>312</v>
      </c>
      <c r="N2726" s="50">
        <f t="shared" si="134"/>
        <v>19.17639827904118</v>
      </c>
      <c r="O2726" s="38">
        <v>50</v>
      </c>
      <c r="P2726" s="38">
        <v>6</v>
      </c>
      <c r="Q2726" s="98" t="s">
        <v>160</v>
      </c>
      <c r="R2726" s="7">
        <v>44467</v>
      </c>
      <c r="S2726" s="99"/>
      <c r="T2726" s="11">
        <v>6</v>
      </c>
      <c r="U2726" s="98"/>
      <c r="V2726" s="98"/>
      <c r="W2726" s="98"/>
      <c r="X2726" s="98"/>
      <c r="Y2726" s="98"/>
      <c r="Z2726" s="20"/>
      <c r="AB2726" s="20"/>
      <c r="AC2726" s="11" t="s">
        <v>2047</v>
      </c>
      <c r="AD2726" s="61"/>
      <c r="AE2726" s="99"/>
    </row>
    <row r="2727" spans="1:31" x14ac:dyDescent="0.25">
      <c r="A2727" s="38" t="s">
        <v>36</v>
      </c>
      <c r="B2727" s="38" t="s">
        <v>5760</v>
      </c>
      <c r="C2727" s="38" t="s">
        <v>5849</v>
      </c>
      <c r="D2727" s="38" t="s">
        <v>5855</v>
      </c>
      <c r="E2727" s="38" t="s">
        <v>5856</v>
      </c>
      <c r="F2727" s="38">
        <v>78</v>
      </c>
      <c r="G2727" s="38">
        <v>78</v>
      </c>
      <c r="H2727" s="38">
        <f t="shared" si="132"/>
        <v>529</v>
      </c>
      <c r="I2727" s="38">
        <v>280</v>
      </c>
      <c r="J2727" s="38">
        <v>249</v>
      </c>
      <c r="K2727" s="38">
        <v>308</v>
      </c>
      <c r="L2727" s="50">
        <f t="shared" si="133"/>
        <v>58.22306238185255</v>
      </c>
      <c r="M2727" s="38">
        <v>12</v>
      </c>
      <c r="N2727" s="50">
        <f t="shared" si="134"/>
        <v>2.2684310018903595</v>
      </c>
      <c r="O2727" s="38">
        <v>0</v>
      </c>
      <c r="P2727" s="38">
        <v>6</v>
      </c>
      <c r="Q2727" s="34" t="s">
        <v>43</v>
      </c>
      <c r="R2727" s="28">
        <v>44467</v>
      </c>
      <c r="S2727" s="34"/>
      <c r="T2727" s="34">
        <v>6</v>
      </c>
      <c r="U2727" s="34"/>
      <c r="V2727" s="34"/>
      <c r="W2727" s="34"/>
      <c r="X2727" s="34"/>
      <c r="Y2727" s="34"/>
      <c r="Z2727" s="109"/>
      <c r="AB2727" s="109"/>
      <c r="AC2727" s="34" t="s">
        <v>5857</v>
      </c>
      <c r="AD2727" s="34">
        <v>25.812344</v>
      </c>
      <c r="AE2727" s="34">
        <v>72.466605999999999</v>
      </c>
    </row>
    <row r="2728" spans="1:31" ht="28.5" x14ac:dyDescent="0.25">
      <c r="A2728" s="38" t="s">
        <v>36</v>
      </c>
      <c r="B2728" s="38" t="s">
        <v>5760</v>
      </c>
      <c r="C2728" s="38" t="s">
        <v>5858</v>
      </c>
      <c r="D2728" s="38" t="s">
        <v>5858</v>
      </c>
      <c r="E2728" s="38" t="s">
        <v>5859</v>
      </c>
      <c r="F2728" s="38">
        <v>232</v>
      </c>
      <c r="G2728" s="38">
        <v>232</v>
      </c>
      <c r="H2728" s="38">
        <f t="shared" si="132"/>
        <v>1547</v>
      </c>
      <c r="I2728" s="38">
        <v>824</v>
      </c>
      <c r="J2728" s="38">
        <v>723</v>
      </c>
      <c r="K2728" s="38">
        <v>115</v>
      </c>
      <c r="L2728" s="50">
        <f t="shared" si="133"/>
        <v>7.4337427278603752</v>
      </c>
      <c r="M2728" s="38">
        <v>225</v>
      </c>
      <c r="N2728" s="50">
        <f t="shared" si="134"/>
        <v>14.544279250161605</v>
      </c>
      <c r="O2728" s="38">
        <v>0</v>
      </c>
      <c r="P2728" s="38">
        <v>74.92</v>
      </c>
      <c r="Q2728" s="34" t="s">
        <v>43</v>
      </c>
      <c r="R2728" s="9">
        <v>44475</v>
      </c>
      <c r="S2728" s="34"/>
      <c r="T2728" s="34">
        <v>8.86</v>
      </c>
      <c r="U2728" s="34"/>
      <c r="V2728" s="34"/>
      <c r="W2728" s="34"/>
      <c r="X2728" s="34"/>
      <c r="Y2728" s="34"/>
      <c r="Z2728" s="109"/>
      <c r="AB2728" s="109">
        <v>3</v>
      </c>
      <c r="AC2728" s="47" t="s">
        <v>5860</v>
      </c>
      <c r="AD2728" s="34">
        <v>25.701644999999999</v>
      </c>
      <c r="AE2728" s="34">
        <v>72.373676000000003</v>
      </c>
    </row>
    <row r="2729" spans="1:31" ht="22.5" x14ac:dyDescent="0.25">
      <c r="A2729" s="38" t="s">
        <v>36</v>
      </c>
      <c r="B2729" s="38" t="s">
        <v>5760</v>
      </c>
      <c r="C2729" s="38" t="s">
        <v>5858</v>
      </c>
      <c r="D2729" s="38" t="s">
        <v>5858</v>
      </c>
      <c r="E2729" s="38" t="s">
        <v>5859</v>
      </c>
      <c r="F2729" s="38">
        <v>232</v>
      </c>
      <c r="G2729" s="38">
        <v>232</v>
      </c>
      <c r="H2729" s="38">
        <f t="shared" si="132"/>
        <v>1547</v>
      </c>
      <c r="I2729" s="38">
        <v>824</v>
      </c>
      <c r="J2729" s="38">
        <v>723</v>
      </c>
      <c r="K2729" s="38">
        <v>115</v>
      </c>
      <c r="L2729" s="50">
        <f t="shared" si="133"/>
        <v>7.4337427278603752</v>
      </c>
      <c r="M2729" s="38">
        <v>225</v>
      </c>
      <c r="N2729" s="50">
        <f t="shared" si="134"/>
        <v>14.544279250161605</v>
      </c>
      <c r="O2729" s="38">
        <v>0</v>
      </c>
      <c r="P2729" s="38">
        <v>74.92</v>
      </c>
      <c r="Q2729" s="63" t="s">
        <v>43</v>
      </c>
      <c r="R2729" s="133">
        <v>44475</v>
      </c>
      <c r="S2729" s="221"/>
      <c r="T2729" s="134"/>
      <c r="U2729" s="63"/>
      <c r="V2729" s="63"/>
      <c r="W2729" s="63"/>
      <c r="X2729" s="63"/>
      <c r="Y2729" s="63"/>
      <c r="Z2729" s="134"/>
      <c r="AB2729" s="222">
        <v>15</v>
      </c>
      <c r="AC2729" s="223" t="s">
        <v>5860</v>
      </c>
      <c r="AD2729" s="222">
        <v>25.707174999999999</v>
      </c>
      <c r="AE2729" s="221">
        <v>72.425867999999994</v>
      </c>
    </row>
    <row r="2730" spans="1:31" ht="24" x14ac:dyDescent="0.25">
      <c r="A2730" s="38" t="s">
        <v>36</v>
      </c>
      <c r="B2730" s="38" t="s">
        <v>5760</v>
      </c>
      <c r="C2730" s="38" t="s">
        <v>5858</v>
      </c>
      <c r="D2730" s="38" t="s">
        <v>5858</v>
      </c>
      <c r="E2730" s="38" t="s">
        <v>5859</v>
      </c>
      <c r="F2730" s="38">
        <v>232</v>
      </c>
      <c r="G2730" s="38">
        <v>232</v>
      </c>
      <c r="H2730" s="38">
        <f t="shared" si="132"/>
        <v>1547</v>
      </c>
      <c r="I2730" s="38">
        <v>824</v>
      </c>
      <c r="J2730" s="38">
        <v>723</v>
      </c>
      <c r="K2730" s="38">
        <v>115</v>
      </c>
      <c r="L2730" s="50">
        <f t="shared" si="133"/>
        <v>7.4337427278603752</v>
      </c>
      <c r="M2730" s="38">
        <v>225</v>
      </c>
      <c r="N2730" s="50">
        <f t="shared" si="134"/>
        <v>14.544279250161605</v>
      </c>
      <c r="O2730" s="38">
        <v>0</v>
      </c>
      <c r="P2730" s="38">
        <v>74.92</v>
      </c>
      <c r="Q2730" s="63" t="s">
        <v>43</v>
      </c>
      <c r="R2730" s="133">
        <v>44475</v>
      </c>
      <c r="S2730" s="221"/>
      <c r="T2730" s="134"/>
      <c r="U2730" s="63"/>
      <c r="V2730" s="63"/>
      <c r="W2730" s="63"/>
      <c r="X2730" s="63"/>
      <c r="Y2730" s="63"/>
      <c r="Z2730" s="134"/>
      <c r="AB2730" s="222">
        <v>11</v>
      </c>
      <c r="AC2730" s="222" t="s">
        <v>5861</v>
      </c>
      <c r="AD2730" s="222">
        <v>25.707238</v>
      </c>
      <c r="AE2730" s="221">
        <v>72.426057</v>
      </c>
    </row>
    <row r="2731" spans="1:31" ht="24" x14ac:dyDescent="0.25">
      <c r="A2731" s="38" t="s">
        <v>36</v>
      </c>
      <c r="B2731" s="38" t="s">
        <v>5760</v>
      </c>
      <c r="C2731" s="38" t="s">
        <v>5858</v>
      </c>
      <c r="D2731" s="38" t="s">
        <v>5858</v>
      </c>
      <c r="E2731" s="38" t="s">
        <v>5859</v>
      </c>
      <c r="F2731" s="38">
        <v>232</v>
      </c>
      <c r="G2731" s="38">
        <v>232</v>
      </c>
      <c r="H2731" s="38">
        <f t="shared" si="132"/>
        <v>1547</v>
      </c>
      <c r="I2731" s="38">
        <v>824</v>
      </c>
      <c r="J2731" s="38">
        <v>723</v>
      </c>
      <c r="K2731" s="38">
        <v>115</v>
      </c>
      <c r="L2731" s="50">
        <f t="shared" si="133"/>
        <v>7.4337427278603752</v>
      </c>
      <c r="M2731" s="38">
        <v>225</v>
      </c>
      <c r="N2731" s="50">
        <f t="shared" si="134"/>
        <v>14.544279250161605</v>
      </c>
      <c r="O2731" s="38">
        <v>0</v>
      </c>
      <c r="P2731" s="38">
        <v>74.92</v>
      </c>
      <c r="Q2731" s="63" t="s">
        <v>43</v>
      </c>
      <c r="R2731" s="133">
        <v>44475</v>
      </c>
      <c r="S2731" s="221"/>
      <c r="T2731" s="134"/>
      <c r="U2731" s="63"/>
      <c r="V2731" s="63"/>
      <c r="W2731" s="63"/>
      <c r="X2731" s="63"/>
      <c r="Y2731" s="63"/>
      <c r="Z2731" s="134"/>
      <c r="AB2731" s="222">
        <v>13</v>
      </c>
      <c r="AC2731" s="222" t="s">
        <v>5862</v>
      </c>
      <c r="AD2731" s="222">
        <v>25.707238</v>
      </c>
      <c r="AE2731" s="221">
        <v>72.426057</v>
      </c>
    </row>
    <row r="2732" spans="1:31" x14ac:dyDescent="0.25">
      <c r="A2732" s="38" t="s">
        <v>36</v>
      </c>
      <c r="B2732" s="38" t="s">
        <v>5760</v>
      </c>
      <c r="C2732" s="38" t="s">
        <v>5858</v>
      </c>
      <c r="D2732" s="38" t="s">
        <v>5863</v>
      </c>
      <c r="E2732" s="38" t="s">
        <v>5864</v>
      </c>
      <c r="F2732" s="38">
        <v>128</v>
      </c>
      <c r="G2732" s="38">
        <v>128</v>
      </c>
      <c r="H2732" s="38">
        <f t="shared" si="132"/>
        <v>788</v>
      </c>
      <c r="I2732" s="38">
        <v>405</v>
      </c>
      <c r="J2732" s="38">
        <v>383</v>
      </c>
      <c r="K2732" s="38">
        <v>224</v>
      </c>
      <c r="L2732" s="50">
        <f t="shared" si="133"/>
        <v>28.426395939086298</v>
      </c>
      <c r="M2732" s="38">
        <v>0</v>
      </c>
      <c r="N2732" s="50">
        <f t="shared" si="134"/>
        <v>0</v>
      </c>
      <c r="O2732" s="38">
        <v>0</v>
      </c>
      <c r="P2732" s="38">
        <v>74.02</v>
      </c>
      <c r="Q2732" s="34" t="s">
        <v>43</v>
      </c>
      <c r="R2732" s="28">
        <v>44477</v>
      </c>
      <c r="S2732" s="34"/>
      <c r="T2732" s="34">
        <v>5</v>
      </c>
      <c r="U2732" s="34"/>
      <c r="V2732" s="34"/>
      <c r="W2732" s="34"/>
      <c r="X2732" s="34"/>
      <c r="Y2732" s="34"/>
      <c r="Z2732" s="109"/>
      <c r="AB2732" s="109"/>
      <c r="AC2732" s="34" t="s">
        <v>5865</v>
      </c>
      <c r="AD2732" s="34">
        <v>25.785831999999999</v>
      </c>
      <c r="AE2732" s="34">
        <v>72.409133999999995</v>
      </c>
    </row>
    <row r="2733" spans="1:31" x14ac:dyDescent="0.25">
      <c r="A2733" s="38" t="s">
        <v>36</v>
      </c>
      <c r="B2733" s="38" t="s">
        <v>5760</v>
      </c>
      <c r="C2733" s="38" t="s">
        <v>5858</v>
      </c>
      <c r="D2733" s="38" t="s">
        <v>5866</v>
      </c>
      <c r="E2733" s="38" t="s">
        <v>5867</v>
      </c>
      <c r="F2733" s="38">
        <v>53</v>
      </c>
      <c r="G2733" s="38">
        <v>53</v>
      </c>
      <c r="H2733" s="38">
        <f t="shared" si="132"/>
        <v>359</v>
      </c>
      <c r="I2733" s="38">
        <v>192</v>
      </c>
      <c r="J2733" s="38">
        <v>167</v>
      </c>
      <c r="K2733" s="38">
        <v>0</v>
      </c>
      <c r="L2733" s="50">
        <f t="shared" si="133"/>
        <v>0</v>
      </c>
      <c r="M2733" s="38">
        <v>0</v>
      </c>
      <c r="N2733" s="50">
        <f t="shared" si="134"/>
        <v>0</v>
      </c>
      <c r="O2733" s="38">
        <v>0</v>
      </c>
      <c r="P2733" s="38">
        <v>4.8600000000000003</v>
      </c>
      <c r="Q2733" s="98" t="s">
        <v>44</v>
      </c>
      <c r="R2733" s="7">
        <v>44476</v>
      </c>
      <c r="S2733" s="99"/>
      <c r="T2733" s="4" t="s">
        <v>6184</v>
      </c>
      <c r="U2733" s="98"/>
      <c r="V2733" s="98"/>
      <c r="W2733" s="98"/>
      <c r="X2733" s="98"/>
      <c r="Y2733" s="98"/>
      <c r="Z2733" s="20"/>
      <c r="AB2733" s="20"/>
      <c r="AC2733" s="11" t="s">
        <v>5866</v>
      </c>
      <c r="AD2733" s="61"/>
      <c r="AE2733" s="99"/>
    </row>
    <row r="2734" spans="1:31" x14ac:dyDescent="0.25">
      <c r="A2734" s="38" t="s">
        <v>36</v>
      </c>
      <c r="B2734" s="38" t="s">
        <v>5760</v>
      </c>
      <c r="C2734" s="38" t="s">
        <v>5868</v>
      </c>
      <c r="D2734" s="38" t="s">
        <v>5869</v>
      </c>
      <c r="E2734" s="38" t="s">
        <v>5870</v>
      </c>
      <c r="F2734" s="38">
        <v>378</v>
      </c>
      <c r="G2734" s="38">
        <v>378</v>
      </c>
      <c r="H2734" s="38">
        <f t="shared" si="132"/>
        <v>2171</v>
      </c>
      <c r="I2734" s="38">
        <v>1112</v>
      </c>
      <c r="J2734" s="38">
        <v>1059</v>
      </c>
      <c r="K2734" s="38">
        <v>136</v>
      </c>
      <c r="L2734" s="50">
        <f t="shared" si="133"/>
        <v>6.2643942883463835</v>
      </c>
      <c r="M2734" s="38">
        <v>327</v>
      </c>
      <c r="N2734" s="50">
        <f t="shared" si="134"/>
        <v>15.062183325656381</v>
      </c>
      <c r="O2734" s="38">
        <v>0</v>
      </c>
      <c r="P2734" s="38">
        <v>59</v>
      </c>
      <c r="Q2734" s="120"/>
      <c r="R2734" s="29">
        <v>44826</v>
      </c>
      <c r="S2734" s="120"/>
      <c r="T2734" s="237"/>
      <c r="U2734" s="120"/>
      <c r="V2734" s="120"/>
      <c r="W2734" s="120"/>
      <c r="X2734" s="120"/>
      <c r="Y2734" s="120"/>
      <c r="Z2734" s="80"/>
      <c r="AB2734" s="244">
        <v>15</v>
      </c>
      <c r="AC2734" s="224" t="s">
        <v>5871</v>
      </c>
      <c r="AD2734" s="120">
        <v>25.498138999999998</v>
      </c>
      <c r="AE2734" s="120">
        <v>72.338755000000006</v>
      </c>
    </row>
    <row r="2735" spans="1:31" x14ac:dyDescent="0.25">
      <c r="A2735" s="38" t="s">
        <v>36</v>
      </c>
      <c r="B2735" s="38" t="s">
        <v>5760</v>
      </c>
      <c r="C2735" s="38" t="s">
        <v>5868</v>
      </c>
      <c r="D2735" s="59" t="s">
        <v>5869</v>
      </c>
      <c r="E2735" s="38"/>
      <c r="F2735" s="38"/>
      <c r="G2735" s="38"/>
      <c r="H2735" s="38">
        <f t="shared" si="132"/>
        <v>0</v>
      </c>
      <c r="I2735" s="38"/>
      <c r="J2735" s="38"/>
      <c r="K2735" s="38"/>
      <c r="L2735" s="50"/>
      <c r="M2735" s="38">
        <v>2171</v>
      </c>
      <c r="N2735" s="50"/>
      <c r="O2735" s="38">
        <v>63</v>
      </c>
      <c r="P2735" s="38">
        <v>327</v>
      </c>
      <c r="Q2735" s="34" t="s">
        <v>43</v>
      </c>
      <c r="R2735" s="28">
        <v>44826</v>
      </c>
      <c r="S2735" s="34"/>
      <c r="T2735" s="34">
        <v>40</v>
      </c>
      <c r="U2735" s="34"/>
      <c r="V2735" s="34"/>
      <c r="W2735" s="34"/>
      <c r="X2735" s="34"/>
      <c r="Y2735" s="34"/>
      <c r="Z2735" s="109"/>
      <c r="AB2735" s="109">
        <v>19</v>
      </c>
      <c r="AC2735" s="38">
        <v>0</v>
      </c>
      <c r="AD2735" s="34">
        <v>25.692260000000001</v>
      </c>
      <c r="AE2735" s="34">
        <v>72.286832000000004</v>
      </c>
    </row>
    <row r="2736" spans="1:31" x14ac:dyDescent="0.25">
      <c r="A2736" s="38" t="s">
        <v>36</v>
      </c>
      <c r="B2736" s="38" t="s">
        <v>5760</v>
      </c>
      <c r="C2736" s="38" t="s">
        <v>5868</v>
      </c>
      <c r="D2736" s="59" t="s">
        <v>5872</v>
      </c>
      <c r="E2736" s="38"/>
      <c r="F2736" s="38"/>
      <c r="G2736" s="38"/>
      <c r="H2736" s="38">
        <f t="shared" si="132"/>
        <v>0</v>
      </c>
      <c r="I2736" s="38"/>
      <c r="J2736" s="38"/>
      <c r="K2736" s="38"/>
      <c r="L2736" s="50"/>
      <c r="M2736" s="38"/>
      <c r="N2736" s="50"/>
      <c r="O2736" s="38"/>
      <c r="P2736" s="38"/>
      <c r="Q2736" s="34" t="s">
        <v>43</v>
      </c>
      <c r="R2736" s="28">
        <v>44826</v>
      </c>
      <c r="S2736" s="34"/>
      <c r="T2736" s="34">
        <v>29.5</v>
      </c>
      <c r="U2736" s="34"/>
      <c r="V2736" s="34"/>
      <c r="W2736" s="34"/>
      <c r="X2736" s="34"/>
      <c r="Y2736" s="34"/>
      <c r="Z2736" s="109"/>
      <c r="AB2736" s="109"/>
      <c r="AC2736" s="34" t="s">
        <v>5873</v>
      </c>
      <c r="AD2736" s="34">
        <v>25.702052999999999</v>
      </c>
      <c r="AE2736" s="34">
        <v>72.352035999999998</v>
      </c>
    </row>
    <row r="2737" spans="1:31" x14ac:dyDescent="0.25">
      <c r="A2737" s="38" t="s">
        <v>36</v>
      </c>
      <c r="B2737" s="38" t="s">
        <v>5760</v>
      </c>
      <c r="C2737" s="38" t="s">
        <v>5868</v>
      </c>
      <c r="D2737" s="38" t="s">
        <v>5874</v>
      </c>
      <c r="E2737" s="38" t="s">
        <v>5875</v>
      </c>
      <c r="F2737" s="38">
        <v>279</v>
      </c>
      <c r="G2737" s="38">
        <v>279</v>
      </c>
      <c r="H2737" s="38">
        <f t="shared" si="132"/>
        <v>1876</v>
      </c>
      <c r="I2737" s="38">
        <v>930</v>
      </c>
      <c r="J2737" s="38">
        <v>946</v>
      </c>
      <c r="K2737" s="38">
        <v>366</v>
      </c>
      <c r="L2737" s="50">
        <f t="shared" si="133"/>
        <v>19.50959488272921</v>
      </c>
      <c r="M2737" s="38">
        <v>261</v>
      </c>
      <c r="N2737" s="50">
        <f t="shared" si="134"/>
        <v>13.912579957356078</v>
      </c>
      <c r="O2737" s="38">
        <v>2030</v>
      </c>
      <c r="P2737" s="38">
        <v>0</v>
      </c>
      <c r="Q2737" s="61" t="s">
        <v>43</v>
      </c>
      <c r="R2737" s="7">
        <v>44826</v>
      </c>
      <c r="S2737" s="61"/>
      <c r="T2737" s="20">
        <v>0</v>
      </c>
      <c r="U2737" s="61"/>
      <c r="V2737" s="61"/>
      <c r="W2737" s="61"/>
      <c r="X2737" s="61"/>
      <c r="Y2737" s="61"/>
      <c r="Z2737" s="20"/>
      <c r="AB2737" s="20"/>
      <c r="AC2737" s="11" t="s">
        <v>5876</v>
      </c>
      <c r="AD2737" s="61">
        <v>0</v>
      </c>
      <c r="AE2737" s="61"/>
    </row>
    <row r="2738" spans="1:31" x14ac:dyDescent="0.25">
      <c r="A2738" s="38" t="s">
        <v>36</v>
      </c>
      <c r="B2738" s="38" t="s">
        <v>5760</v>
      </c>
      <c r="C2738" s="38" t="s">
        <v>5877</v>
      </c>
      <c r="D2738" s="38" t="s">
        <v>5878</v>
      </c>
      <c r="E2738" s="38" t="s">
        <v>5879</v>
      </c>
      <c r="F2738" s="38">
        <v>675</v>
      </c>
      <c r="G2738" s="38">
        <v>675</v>
      </c>
      <c r="H2738" s="38">
        <f t="shared" si="132"/>
        <v>3804</v>
      </c>
      <c r="I2738" s="38">
        <v>2057</v>
      </c>
      <c r="J2738" s="38">
        <v>1747</v>
      </c>
      <c r="K2738" s="38">
        <v>888</v>
      </c>
      <c r="L2738" s="50">
        <f t="shared" si="133"/>
        <v>23.343848580441641</v>
      </c>
      <c r="M2738" s="38">
        <v>144</v>
      </c>
      <c r="N2738" s="50">
        <f t="shared" si="134"/>
        <v>3.7854889589905363</v>
      </c>
      <c r="O2738" s="38">
        <v>476</v>
      </c>
      <c r="P2738" s="38">
        <v>226</v>
      </c>
      <c r="Q2738" s="98" t="s">
        <v>44</v>
      </c>
      <c r="R2738" s="7">
        <v>44446</v>
      </c>
      <c r="S2738" s="99"/>
      <c r="T2738" s="4">
        <v>226</v>
      </c>
      <c r="U2738" s="98"/>
      <c r="V2738" s="98"/>
      <c r="W2738" s="98"/>
      <c r="X2738" s="98"/>
      <c r="Y2738" s="98"/>
      <c r="Z2738" s="20"/>
      <c r="AB2738" s="20"/>
      <c r="AC2738" s="11" t="s">
        <v>5880</v>
      </c>
      <c r="AD2738" s="61"/>
      <c r="AE2738" s="99"/>
    </row>
    <row r="2739" spans="1:31" x14ac:dyDescent="0.25">
      <c r="A2739" s="38" t="s">
        <v>36</v>
      </c>
      <c r="B2739" s="41" t="s">
        <v>5760</v>
      </c>
      <c r="C2739" s="41" t="s">
        <v>5877</v>
      </c>
      <c r="D2739" s="82" t="s">
        <v>5880</v>
      </c>
      <c r="E2739" s="38" t="s">
        <v>5879</v>
      </c>
      <c r="F2739" s="38">
        <v>675</v>
      </c>
      <c r="G2739" s="38">
        <v>675</v>
      </c>
      <c r="H2739" s="38">
        <f t="shared" si="132"/>
        <v>3804</v>
      </c>
      <c r="I2739" s="38">
        <v>2057</v>
      </c>
      <c r="J2739" s="38">
        <v>1747</v>
      </c>
      <c r="K2739" s="38">
        <v>888</v>
      </c>
      <c r="L2739" s="50">
        <f t="shared" si="133"/>
        <v>23.343848580441641</v>
      </c>
      <c r="M2739" s="38">
        <v>144</v>
      </c>
      <c r="N2739" s="50">
        <f t="shared" si="134"/>
        <v>3.7854889589905363</v>
      </c>
      <c r="O2739" s="38">
        <v>476</v>
      </c>
      <c r="P2739" s="38">
        <v>226</v>
      </c>
      <c r="Q2739" s="43"/>
      <c r="R2739" s="27">
        <v>44446</v>
      </c>
      <c r="S2739" s="44"/>
      <c r="T2739" s="82"/>
      <c r="U2739" s="43"/>
      <c r="V2739" s="43"/>
      <c r="W2739" s="43"/>
      <c r="X2739" s="43"/>
      <c r="Y2739" s="43"/>
      <c r="Z2739" s="5"/>
      <c r="AB2739" s="5">
        <v>10</v>
      </c>
      <c r="AC2739" s="82" t="s">
        <v>5880</v>
      </c>
      <c r="AD2739" s="44" t="s">
        <v>5881</v>
      </c>
      <c r="AE2739" s="44">
        <v>72.394423000000003</v>
      </c>
    </row>
    <row r="2740" spans="1:31" x14ac:dyDescent="0.25">
      <c r="A2740" s="38" t="s">
        <v>36</v>
      </c>
      <c r="B2740" s="38" t="s">
        <v>5760</v>
      </c>
      <c r="C2740" s="38" t="s">
        <v>5877</v>
      </c>
      <c r="D2740" s="38" t="s">
        <v>5882</v>
      </c>
      <c r="E2740" s="38" t="s">
        <v>5883</v>
      </c>
      <c r="F2740" s="38">
        <v>92</v>
      </c>
      <c r="G2740" s="38">
        <v>92</v>
      </c>
      <c r="H2740" s="38">
        <f t="shared" si="132"/>
        <v>460</v>
      </c>
      <c r="I2740" s="38">
        <v>252</v>
      </c>
      <c r="J2740" s="38">
        <v>208</v>
      </c>
      <c r="K2740" s="38">
        <v>155</v>
      </c>
      <c r="L2740" s="50">
        <f t="shared" si="133"/>
        <v>33.695652173913047</v>
      </c>
      <c r="M2740" s="38">
        <v>255</v>
      </c>
      <c r="N2740" s="50">
        <f t="shared" si="134"/>
        <v>55.434782608695656</v>
      </c>
      <c r="O2740" s="38">
        <v>373</v>
      </c>
      <c r="P2740" s="38">
        <v>0</v>
      </c>
      <c r="Q2740" s="61" t="s">
        <v>43</v>
      </c>
      <c r="R2740" s="7">
        <v>44446</v>
      </c>
      <c r="S2740" s="61"/>
      <c r="T2740" s="20">
        <v>0</v>
      </c>
      <c r="U2740" s="61"/>
      <c r="V2740" s="61"/>
      <c r="W2740" s="61"/>
      <c r="X2740" s="61"/>
      <c r="Y2740" s="61"/>
      <c r="Z2740" s="20"/>
      <c r="AB2740" s="20"/>
      <c r="AC2740" s="11" t="s">
        <v>5884</v>
      </c>
      <c r="AD2740" s="61">
        <v>0</v>
      </c>
      <c r="AE2740" s="61"/>
    </row>
    <row r="2741" spans="1:31" x14ac:dyDescent="0.25">
      <c r="A2741" s="38" t="s">
        <v>36</v>
      </c>
      <c r="B2741" s="38" t="s">
        <v>5760</v>
      </c>
      <c r="C2741" s="38" t="s">
        <v>5885</v>
      </c>
      <c r="D2741" s="38" t="s">
        <v>5886</v>
      </c>
      <c r="E2741" s="38" t="s">
        <v>5887</v>
      </c>
      <c r="F2741" s="38">
        <v>1099</v>
      </c>
      <c r="G2741" s="38">
        <v>1099</v>
      </c>
      <c r="H2741" s="38">
        <f t="shared" si="132"/>
        <v>5797</v>
      </c>
      <c r="I2741" s="38">
        <v>2963</v>
      </c>
      <c r="J2741" s="38">
        <v>2834</v>
      </c>
      <c r="K2741" s="38">
        <v>1457</v>
      </c>
      <c r="L2741" s="50">
        <f t="shared" si="133"/>
        <v>25.133689839572192</v>
      </c>
      <c r="M2741" s="38">
        <v>6</v>
      </c>
      <c r="N2741" s="50">
        <f t="shared" si="134"/>
        <v>0.10350181128169743</v>
      </c>
      <c r="O2741" s="38">
        <v>266.8</v>
      </c>
      <c r="P2741" s="38">
        <v>274.60000000000002</v>
      </c>
      <c r="Q2741" s="34" t="s">
        <v>43</v>
      </c>
      <c r="R2741" s="28">
        <v>44470</v>
      </c>
      <c r="S2741" s="34"/>
      <c r="T2741" s="34">
        <v>100</v>
      </c>
      <c r="U2741" s="34"/>
      <c r="V2741" s="34"/>
      <c r="W2741" s="34"/>
      <c r="X2741" s="34"/>
      <c r="Y2741" s="34"/>
      <c r="Z2741" s="109"/>
      <c r="AB2741" s="109">
        <v>60</v>
      </c>
      <c r="AC2741" s="34" t="s">
        <v>5888</v>
      </c>
      <c r="AD2741" s="34">
        <v>0</v>
      </c>
      <c r="AE2741" s="34"/>
    </row>
    <row r="2742" spans="1:31" x14ac:dyDescent="0.25">
      <c r="A2742" s="38" t="s">
        <v>36</v>
      </c>
      <c r="B2742" s="38" t="s">
        <v>5760</v>
      </c>
      <c r="C2742" s="38" t="s">
        <v>5885</v>
      </c>
      <c r="D2742" s="38" t="s">
        <v>5886</v>
      </c>
      <c r="E2742" s="38" t="s">
        <v>5887</v>
      </c>
      <c r="F2742" s="38">
        <v>1099</v>
      </c>
      <c r="G2742" s="38">
        <v>1099</v>
      </c>
      <c r="H2742" s="38">
        <f t="shared" si="132"/>
        <v>5797</v>
      </c>
      <c r="I2742" s="38">
        <v>2963</v>
      </c>
      <c r="J2742" s="38">
        <v>2834</v>
      </c>
      <c r="K2742" s="38">
        <v>1457</v>
      </c>
      <c r="L2742" s="50">
        <f t="shared" si="133"/>
        <v>25.133689839572192</v>
      </c>
      <c r="M2742" s="38">
        <v>6</v>
      </c>
      <c r="N2742" s="50">
        <f t="shared" si="134"/>
        <v>0.10350181128169743</v>
      </c>
      <c r="O2742" s="38">
        <v>266.8</v>
      </c>
      <c r="P2742" s="38">
        <v>274.60000000000002</v>
      </c>
      <c r="Q2742" s="34" t="s">
        <v>43</v>
      </c>
      <c r="R2742" s="28">
        <v>44470</v>
      </c>
      <c r="S2742" s="34"/>
      <c r="T2742" s="34">
        <v>95</v>
      </c>
      <c r="U2742" s="34"/>
      <c r="V2742" s="34"/>
      <c r="W2742" s="34"/>
      <c r="X2742" s="34"/>
      <c r="Y2742" s="34"/>
      <c r="Z2742" s="109"/>
      <c r="AB2742" s="109">
        <v>20</v>
      </c>
      <c r="AC2742" s="34" t="s">
        <v>5889</v>
      </c>
      <c r="AD2742" s="34">
        <v>0</v>
      </c>
      <c r="AE2742" s="34"/>
    </row>
    <row r="2743" spans="1:31" x14ac:dyDescent="0.25">
      <c r="A2743" s="38" t="s">
        <v>36</v>
      </c>
      <c r="B2743" s="38" t="s">
        <v>5760</v>
      </c>
      <c r="C2743" s="38" t="s">
        <v>5890</v>
      </c>
      <c r="D2743" s="38" t="s">
        <v>5890</v>
      </c>
      <c r="E2743" s="38" t="s">
        <v>5891</v>
      </c>
      <c r="F2743" s="38">
        <v>245</v>
      </c>
      <c r="G2743" s="38">
        <v>245</v>
      </c>
      <c r="H2743" s="38">
        <f t="shared" si="132"/>
        <v>1462</v>
      </c>
      <c r="I2743" s="38">
        <v>789</v>
      </c>
      <c r="J2743" s="38">
        <v>673</v>
      </c>
      <c r="K2743" s="38">
        <v>361</v>
      </c>
      <c r="L2743" s="50">
        <f t="shared" si="133"/>
        <v>24.692202462380301</v>
      </c>
      <c r="M2743" s="38">
        <v>234</v>
      </c>
      <c r="N2743" s="50">
        <f t="shared" si="134"/>
        <v>16.005471956224351</v>
      </c>
      <c r="O2743" s="38">
        <v>992</v>
      </c>
      <c r="P2743" s="38">
        <v>1</v>
      </c>
      <c r="Q2743" s="34" t="s">
        <v>43</v>
      </c>
      <c r="R2743" s="28">
        <v>44460</v>
      </c>
      <c r="S2743" s="34"/>
      <c r="T2743" s="34">
        <v>122</v>
      </c>
      <c r="U2743" s="34"/>
      <c r="V2743" s="34"/>
      <c r="W2743" s="34"/>
      <c r="X2743" s="34"/>
      <c r="Y2743" s="34"/>
      <c r="Z2743" s="109"/>
      <c r="AB2743" s="109"/>
      <c r="AC2743" s="34" t="s">
        <v>5892</v>
      </c>
      <c r="AD2743" s="34">
        <v>25.760725999999998</v>
      </c>
      <c r="AE2743" s="34">
        <v>72.563828999999998</v>
      </c>
    </row>
    <row r="2744" spans="1:31" x14ac:dyDescent="0.25">
      <c r="A2744" s="38" t="s">
        <v>36</v>
      </c>
      <c r="B2744" s="38" t="s">
        <v>5760</v>
      </c>
      <c r="C2744" s="38" t="s">
        <v>5890</v>
      </c>
      <c r="D2744" s="38" t="s">
        <v>5893</v>
      </c>
      <c r="E2744" s="38" t="s">
        <v>5894</v>
      </c>
      <c r="F2744" s="38"/>
      <c r="G2744" s="38"/>
      <c r="H2744" s="38">
        <f t="shared" si="132"/>
        <v>0</v>
      </c>
      <c r="I2744" s="38"/>
      <c r="J2744" s="38"/>
      <c r="K2744" s="38"/>
      <c r="L2744" s="50"/>
      <c r="M2744" s="38"/>
      <c r="N2744" s="50"/>
      <c r="O2744" s="38">
        <v>597</v>
      </c>
      <c r="P2744" s="38">
        <v>32</v>
      </c>
      <c r="Q2744" s="34" t="s">
        <v>43</v>
      </c>
      <c r="R2744" s="28">
        <v>44460</v>
      </c>
      <c r="S2744" s="34"/>
      <c r="T2744" s="34">
        <v>32</v>
      </c>
      <c r="U2744" s="34"/>
      <c r="V2744" s="34"/>
      <c r="W2744" s="34"/>
      <c r="X2744" s="34"/>
      <c r="Y2744" s="34"/>
      <c r="Z2744" s="109"/>
      <c r="AB2744" s="109"/>
      <c r="AC2744" s="34" t="s">
        <v>5895</v>
      </c>
      <c r="AD2744" s="34">
        <v>25.774667000000001</v>
      </c>
      <c r="AE2744" s="34">
        <v>72.581498999999994</v>
      </c>
    </row>
    <row r="2745" spans="1:31" x14ac:dyDescent="0.25">
      <c r="A2745" s="38" t="s">
        <v>36</v>
      </c>
      <c r="B2745" s="38" t="s">
        <v>5760</v>
      </c>
      <c r="C2745" s="38" t="s">
        <v>5890</v>
      </c>
      <c r="D2745" s="11" t="s">
        <v>5896</v>
      </c>
      <c r="E2745" s="38"/>
      <c r="F2745" s="38"/>
      <c r="G2745" s="38"/>
      <c r="H2745" s="38">
        <f t="shared" si="132"/>
        <v>0</v>
      </c>
      <c r="I2745" s="38"/>
      <c r="J2745" s="38"/>
      <c r="K2745" s="38"/>
      <c r="L2745" s="50"/>
      <c r="M2745" s="38"/>
      <c r="N2745" s="50"/>
      <c r="O2745" s="38"/>
      <c r="P2745" s="38"/>
      <c r="Q2745" s="61" t="s">
        <v>43</v>
      </c>
      <c r="R2745" s="7">
        <v>44460</v>
      </c>
      <c r="S2745" s="61"/>
      <c r="T2745" s="20">
        <v>0</v>
      </c>
      <c r="U2745" s="61"/>
      <c r="V2745" s="61"/>
      <c r="W2745" s="61"/>
      <c r="X2745" s="61"/>
      <c r="Y2745" s="61"/>
      <c r="Z2745" s="20"/>
      <c r="AB2745" s="20"/>
      <c r="AC2745" s="11" t="s">
        <v>5896</v>
      </c>
      <c r="AD2745" s="61">
        <v>0</v>
      </c>
      <c r="AE2745" s="61"/>
    </row>
    <row r="2746" spans="1:31" x14ac:dyDescent="0.25">
      <c r="A2746" s="38" t="s">
        <v>36</v>
      </c>
      <c r="B2746" s="38" t="s">
        <v>5760</v>
      </c>
      <c r="C2746" s="38" t="s">
        <v>5890</v>
      </c>
      <c r="D2746" s="38" t="s">
        <v>5890</v>
      </c>
      <c r="E2746" s="38" t="s">
        <v>5894</v>
      </c>
      <c r="F2746" s="38">
        <v>164</v>
      </c>
      <c r="G2746" s="38">
        <v>164</v>
      </c>
      <c r="H2746" s="38">
        <f t="shared" si="132"/>
        <v>991</v>
      </c>
      <c r="I2746" s="38">
        <v>503</v>
      </c>
      <c r="J2746" s="38">
        <v>488</v>
      </c>
      <c r="K2746" s="38">
        <v>241</v>
      </c>
      <c r="L2746" s="50">
        <f t="shared" si="133"/>
        <v>24.318869828456105</v>
      </c>
      <c r="M2746" s="38">
        <v>82</v>
      </c>
      <c r="N2746" s="50">
        <f t="shared" si="134"/>
        <v>8.2744702320887988</v>
      </c>
      <c r="O2746" s="38">
        <v>597</v>
      </c>
      <c r="P2746" s="38">
        <v>32</v>
      </c>
      <c r="Q2746" s="147" t="s">
        <v>43</v>
      </c>
      <c r="R2746" s="225">
        <v>44460</v>
      </c>
      <c r="S2746" s="226"/>
      <c r="T2746" s="246"/>
      <c r="U2746" s="147"/>
      <c r="V2746" s="147"/>
      <c r="W2746" s="147"/>
      <c r="X2746" s="147"/>
      <c r="Y2746" s="147"/>
      <c r="Z2746" s="195"/>
      <c r="AB2746" s="226">
        <v>14</v>
      </c>
      <c r="AC2746" s="147" t="s">
        <v>5895</v>
      </c>
      <c r="AD2746" s="226">
        <v>25.523738000000002</v>
      </c>
      <c r="AE2746" s="226">
        <v>72.403627</v>
      </c>
    </row>
    <row r="2747" spans="1:31" x14ac:dyDescent="0.25">
      <c r="A2747" s="38" t="s">
        <v>36</v>
      </c>
      <c r="B2747" s="38" t="s">
        <v>5760</v>
      </c>
      <c r="C2747" s="38" t="s">
        <v>5897</v>
      </c>
      <c r="D2747" s="38" t="s">
        <v>5898</v>
      </c>
      <c r="E2747" s="38" t="s">
        <v>5899</v>
      </c>
      <c r="F2747" s="38"/>
      <c r="G2747" s="38"/>
      <c r="H2747" s="38">
        <f t="shared" si="132"/>
        <v>0</v>
      </c>
      <c r="I2747" s="38"/>
      <c r="J2747" s="38"/>
      <c r="K2747" s="38"/>
      <c r="L2747" s="50"/>
      <c r="M2747" s="38"/>
      <c r="N2747" s="50"/>
      <c r="O2747" s="38">
        <v>906.72</v>
      </c>
      <c r="P2747" s="38">
        <v>28.85</v>
      </c>
      <c r="Q2747" s="34"/>
      <c r="R2747" s="9"/>
      <c r="S2747" s="34"/>
      <c r="T2747" s="34"/>
      <c r="U2747" s="34"/>
      <c r="V2747" s="34"/>
      <c r="W2747" s="34"/>
      <c r="X2747" s="34"/>
      <c r="Y2747" s="34"/>
      <c r="Z2747" s="109"/>
      <c r="AB2747" s="109"/>
      <c r="AC2747" s="34"/>
      <c r="AD2747" s="34"/>
      <c r="AE2747" s="34"/>
    </row>
    <row r="2748" spans="1:31" x14ac:dyDescent="0.25">
      <c r="A2748" s="38" t="s">
        <v>36</v>
      </c>
      <c r="B2748" s="38" t="s">
        <v>5760</v>
      </c>
      <c r="C2748" s="38" t="s">
        <v>5897</v>
      </c>
      <c r="D2748" s="38" t="s">
        <v>5900</v>
      </c>
      <c r="E2748" s="38" t="s">
        <v>5901</v>
      </c>
      <c r="F2748" s="38">
        <v>170</v>
      </c>
      <c r="G2748" s="38">
        <v>170</v>
      </c>
      <c r="H2748" s="38">
        <f t="shared" si="132"/>
        <v>872</v>
      </c>
      <c r="I2748" s="38">
        <v>455</v>
      </c>
      <c r="J2748" s="38">
        <v>417</v>
      </c>
      <c r="K2748" s="38">
        <v>142</v>
      </c>
      <c r="L2748" s="50">
        <f t="shared" si="133"/>
        <v>16.284403669724771</v>
      </c>
      <c r="M2748" s="38">
        <v>0</v>
      </c>
      <c r="N2748" s="50">
        <f t="shared" si="134"/>
        <v>0</v>
      </c>
      <c r="O2748" s="38">
        <v>4.3099999999999996</v>
      </c>
      <c r="P2748" s="38">
        <v>43.68</v>
      </c>
      <c r="Q2748" s="34"/>
      <c r="R2748" s="9"/>
      <c r="S2748" s="34"/>
      <c r="T2748" s="34"/>
      <c r="U2748" s="34"/>
      <c r="V2748" s="34"/>
      <c r="W2748" s="34"/>
      <c r="X2748" s="34"/>
      <c r="Y2748" s="34"/>
      <c r="Z2748" s="109"/>
      <c r="AB2748" s="109"/>
      <c r="AC2748" s="34"/>
      <c r="AD2748" s="34"/>
      <c r="AE2748" s="34"/>
    </row>
    <row r="2749" spans="1:31" x14ac:dyDescent="0.25">
      <c r="A2749" s="38" t="s">
        <v>36</v>
      </c>
      <c r="B2749" s="38" t="s">
        <v>5760</v>
      </c>
      <c r="C2749" s="38" t="s">
        <v>5897</v>
      </c>
      <c r="D2749" s="38" t="s">
        <v>5902</v>
      </c>
      <c r="E2749" s="38" t="s">
        <v>5903</v>
      </c>
      <c r="F2749" s="38">
        <v>59</v>
      </c>
      <c r="G2749" s="38">
        <v>59</v>
      </c>
      <c r="H2749" s="38">
        <f t="shared" si="132"/>
        <v>364</v>
      </c>
      <c r="I2749" s="38">
        <v>192</v>
      </c>
      <c r="J2749" s="38">
        <v>172</v>
      </c>
      <c r="K2749" s="38">
        <v>0</v>
      </c>
      <c r="L2749" s="50">
        <f t="shared" si="133"/>
        <v>0</v>
      </c>
      <c r="M2749" s="38">
        <v>0</v>
      </c>
      <c r="N2749" s="50">
        <f t="shared" si="134"/>
        <v>0</v>
      </c>
      <c r="O2749" s="38">
        <v>0</v>
      </c>
      <c r="P2749" s="38">
        <v>8.15</v>
      </c>
      <c r="Q2749" s="34"/>
      <c r="R2749" s="28"/>
      <c r="S2749" s="34"/>
      <c r="T2749" s="34"/>
      <c r="U2749" s="34"/>
      <c r="V2749" s="34"/>
      <c r="W2749" s="34"/>
      <c r="X2749" s="34"/>
      <c r="Y2749" s="34"/>
      <c r="Z2749" s="109"/>
      <c r="AB2749" s="109"/>
      <c r="AC2749" s="34"/>
      <c r="AD2749" s="34"/>
      <c r="AE2749" s="34"/>
    </row>
    <row r="2750" spans="1:31" x14ac:dyDescent="0.25">
      <c r="A2750" s="38" t="s">
        <v>36</v>
      </c>
      <c r="B2750" s="38" t="s">
        <v>5760</v>
      </c>
      <c r="C2750" s="38" t="s">
        <v>5904</v>
      </c>
      <c r="D2750" s="38" t="s">
        <v>5905</v>
      </c>
      <c r="E2750" s="38" t="s">
        <v>5906</v>
      </c>
      <c r="F2750" s="38"/>
      <c r="G2750" s="38"/>
      <c r="H2750" s="38">
        <f t="shared" si="132"/>
        <v>0</v>
      </c>
      <c r="I2750" s="38"/>
      <c r="J2750" s="38"/>
      <c r="K2750" s="38"/>
      <c r="L2750" s="50"/>
      <c r="M2750" s="38"/>
      <c r="N2750" s="50"/>
      <c r="O2750" s="38">
        <v>0</v>
      </c>
      <c r="P2750" s="38">
        <v>132</v>
      </c>
      <c r="Q2750" s="34" t="s">
        <v>43</v>
      </c>
      <c r="R2750" s="28">
        <v>44477</v>
      </c>
      <c r="S2750" s="34"/>
      <c r="T2750" s="34">
        <v>100</v>
      </c>
      <c r="U2750" s="34"/>
      <c r="V2750" s="34"/>
      <c r="W2750" s="34"/>
      <c r="X2750" s="34"/>
      <c r="Y2750" s="34"/>
      <c r="Z2750" s="109"/>
      <c r="AB2750" s="109">
        <v>32</v>
      </c>
      <c r="AC2750" s="34" t="s">
        <v>5907</v>
      </c>
      <c r="AD2750" s="34">
        <v>25.730162</v>
      </c>
      <c r="AE2750" s="34">
        <v>72.465475999999995</v>
      </c>
    </row>
    <row r="2751" spans="1:31" x14ac:dyDescent="0.25">
      <c r="A2751" s="38" t="s">
        <v>36</v>
      </c>
      <c r="B2751" s="38" t="s">
        <v>5760</v>
      </c>
      <c r="C2751" s="38" t="s">
        <v>5904</v>
      </c>
      <c r="D2751" s="38" t="s">
        <v>5905</v>
      </c>
      <c r="E2751" s="38" t="s">
        <v>5906</v>
      </c>
      <c r="F2751" s="38"/>
      <c r="G2751" s="38"/>
      <c r="H2751" s="38">
        <f t="shared" si="132"/>
        <v>0</v>
      </c>
      <c r="I2751" s="38"/>
      <c r="J2751" s="38"/>
      <c r="K2751" s="38"/>
      <c r="L2751" s="50"/>
      <c r="M2751" s="38"/>
      <c r="N2751" s="50"/>
      <c r="O2751" s="38">
        <v>0</v>
      </c>
      <c r="P2751" s="38">
        <v>132</v>
      </c>
      <c r="Q2751" s="34" t="s">
        <v>43</v>
      </c>
      <c r="R2751" s="28">
        <v>44477</v>
      </c>
      <c r="S2751" s="34"/>
      <c r="T2751" s="34">
        <v>92</v>
      </c>
      <c r="U2751" s="34"/>
      <c r="V2751" s="34"/>
      <c r="W2751" s="34"/>
      <c r="X2751" s="34"/>
      <c r="Y2751" s="34"/>
      <c r="Z2751" s="109"/>
      <c r="AB2751" s="109">
        <v>40</v>
      </c>
      <c r="AC2751" s="34" t="s">
        <v>5908</v>
      </c>
      <c r="AD2751" s="34">
        <v>25.730162</v>
      </c>
      <c r="AE2751" s="34">
        <v>72.465475999999995</v>
      </c>
    </row>
    <row r="2752" spans="1:31" x14ac:dyDescent="0.25">
      <c r="A2752" s="38" t="s">
        <v>36</v>
      </c>
      <c r="B2752" s="38" t="s">
        <v>5760</v>
      </c>
      <c r="C2752" s="38" t="s">
        <v>5904</v>
      </c>
      <c r="D2752" s="38" t="s">
        <v>5905</v>
      </c>
      <c r="E2752" s="38" t="s">
        <v>5906</v>
      </c>
      <c r="F2752" s="38"/>
      <c r="G2752" s="38"/>
      <c r="H2752" s="38">
        <f t="shared" si="132"/>
        <v>0</v>
      </c>
      <c r="I2752" s="38"/>
      <c r="J2752" s="38"/>
      <c r="K2752" s="38"/>
      <c r="L2752" s="50"/>
      <c r="M2752" s="38"/>
      <c r="N2752" s="50"/>
      <c r="O2752" s="38">
        <v>0</v>
      </c>
      <c r="P2752" s="38">
        <v>132</v>
      </c>
      <c r="Q2752" s="34" t="s">
        <v>43</v>
      </c>
      <c r="R2752" s="28">
        <v>44477</v>
      </c>
      <c r="S2752" s="34"/>
      <c r="T2752" s="34">
        <v>100</v>
      </c>
      <c r="U2752" s="34"/>
      <c r="V2752" s="34"/>
      <c r="W2752" s="34"/>
      <c r="X2752" s="34"/>
      <c r="Y2752" s="34"/>
      <c r="Z2752" s="109"/>
      <c r="AB2752" s="109">
        <v>32</v>
      </c>
      <c r="AC2752" s="34" t="s">
        <v>5909</v>
      </c>
      <c r="AD2752" s="34">
        <v>25.730162</v>
      </c>
      <c r="AE2752" s="34">
        <v>72.465475999999995</v>
      </c>
    </row>
    <row r="2753" spans="1:31" x14ac:dyDescent="0.25">
      <c r="A2753" s="38" t="s">
        <v>36</v>
      </c>
      <c r="B2753" s="38" t="s">
        <v>5760</v>
      </c>
      <c r="C2753" s="38" t="s">
        <v>5910</v>
      </c>
      <c r="D2753" s="11" t="s">
        <v>5911</v>
      </c>
      <c r="E2753" s="38" t="s">
        <v>5912</v>
      </c>
      <c r="F2753" s="38"/>
      <c r="G2753" s="38"/>
      <c r="H2753" s="38">
        <f t="shared" si="132"/>
        <v>0</v>
      </c>
      <c r="I2753" s="38"/>
      <c r="J2753" s="38"/>
      <c r="K2753" s="38"/>
      <c r="L2753" s="50"/>
      <c r="M2753" s="38"/>
      <c r="N2753" s="50"/>
      <c r="O2753" s="38">
        <v>0</v>
      </c>
      <c r="P2753" s="38">
        <v>48</v>
      </c>
      <c r="Q2753" s="61" t="s">
        <v>43</v>
      </c>
      <c r="R2753" s="7">
        <v>44440</v>
      </c>
      <c r="S2753" s="61"/>
      <c r="T2753" s="20">
        <v>0</v>
      </c>
      <c r="U2753" s="61"/>
      <c r="V2753" s="61"/>
      <c r="W2753" s="61"/>
      <c r="X2753" s="61"/>
      <c r="Y2753" s="61"/>
      <c r="Z2753" s="20"/>
      <c r="AB2753" s="20"/>
      <c r="AC2753" s="11" t="s">
        <v>5911</v>
      </c>
      <c r="AD2753" s="61">
        <v>0</v>
      </c>
      <c r="AE2753" s="61"/>
    </row>
    <row r="2754" spans="1:31" ht="22.5" x14ac:dyDescent="0.25">
      <c r="A2754" s="38" t="s">
        <v>36</v>
      </c>
      <c r="B2754" s="38" t="s">
        <v>5760</v>
      </c>
      <c r="C2754" s="38" t="s">
        <v>5910</v>
      </c>
      <c r="D2754" s="38" t="s">
        <v>5913</v>
      </c>
      <c r="E2754" s="38" t="s">
        <v>5912</v>
      </c>
      <c r="F2754" s="38"/>
      <c r="G2754" s="38"/>
      <c r="H2754" s="38">
        <f t="shared" si="132"/>
        <v>0</v>
      </c>
      <c r="I2754" s="38"/>
      <c r="J2754" s="38"/>
      <c r="K2754" s="38"/>
      <c r="L2754" s="50"/>
      <c r="M2754" s="38"/>
      <c r="N2754" s="50"/>
      <c r="O2754" s="38">
        <v>0</v>
      </c>
      <c r="P2754" s="38">
        <v>48</v>
      </c>
      <c r="Q2754" s="72" t="s">
        <v>43</v>
      </c>
      <c r="R2754" s="167">
        <v>44440</v>
      </c>
      <c r="S2754" s="72"/>
      <c r="T2754" s="72">
        <v>68</v>
      </c>
      <c r="U2754" s="72"/>
      <c r="V2754" s="72"/>
      <c r="W2754" s="72"/>
      <c r="X2754" s="72"/>
      <c r="Y2754" s="72"/>
      <c r="Z2754" s="168"/>
      <c r="AB2754" s="168">
        <v>23</v>
      </c>
      <c r="AC2754" s="84" t="s">
        <v>5914</v>
      </c>
      <c r="AD2754" s="72">
        <v>25.647561</v>
      </c>
      <c r="AE2754" s="72">
        <v>72.192113000000006</v>
      </c>
    </row>
    <row r="2755" spans="1:31" x14ac:dyDescent="0.25">
      <c r="A2755" s="38" t="s">
        <v>36</v>
      </c>
      <c r="B2755" s="38" t="s">
        <v>5760</v>
      </c>
      <c r="C2755" s="38" t="s">
        <v>5910</v>
      </c>
      <c r="D2755" s="38" t="s">
        <v>5915</v>
      </c>
      <c r="E2755" s="38" t="s">
        <v>5916</v>
      </c>
      <c r="F2755" s="38">
        <v>328</v>
      </c>
      <c r="G2755" s="38">
        <v>328</v>
      </c>
      <c r="H2755" s="38">
        <f t="shared" si="132"/>
        <v>2037</v>
      </c>
      <c r="I2755" s="38">
        <v>1121</v>
      </c>
      <c r="J2755" s="38">
        <v>916</v>
      </c>
      <c r="K2755" s="38">
        <v>199</v>
      </c>
      <c r="L2755" s="50">
        <f t="shared" si="133"/>
        <v>9.7692685321551309</v>
      </c>
      <c r="M2755" s="38">
        <v>0</v>
      </c>
      <c r="N2755" s="50">
        <f t="shared" si="134"/>
        <v>0</v>
      </c>
      <c r="O2755" s="38">
        <v>0</v>
      </c>
      <c r="P2755" s="38">
        <v>32</v>
      </c>
      <c r="Q2755" s="72" t="s">
        <v>43</v>
      </c>
      <c r="R2755" s="227">
        <v>44440</v>
      </c>
      <c r="S2755" s="72"/>
      <c r="T2755" s="72">
        <v>32</v>
      </c>
      <c r="U2755" s="72"/>
      <c r="V2755" s="72"/>
      <c r="W2755" s="72"/>
      <c r="X2755" s="72"/>
      <c r="Y2755" s="72"/>
      <c r="Z2755" s="168"/>
      <c r="AB2755" s="168"/>
      <c r="AC2755" s="72" t="s">
        <v>5917</v>
      </c>
      <c r="AD2755" s="72">
        <v>25.647587000000001</v>
      </c>
      <c r="AE2755" s="72">
        <v>72.192147000000006</v>
      </c>
    </row>
    <row r="2756" spans="1:31" x14ac:dyDescent="0.25">
      <c r="A2756" s="38" t="s">
        <v>36</v>
      </c>
      <c r="B2756" s="38" t="s">
        <v>5760</v>
      </c>
      <c r="C2756" s="38" t="s">
        <v>5918</v>
      </c>
      <c r="D2756" s="38" t="s">
        <v>5919</v>
      </c>
      <c r="E2756" s="38" t="s">
        <v>5920</v>
      </c>
      <c r="F2756" s="38"/>
      <c r="G2756" s="38"/>
      <c r="H2756" s="38">
        <f t="shared" si="132"/>
        <v>0</v>
      </c>
      <c r="I2756" s="38"/>
      <c r="J2756" s="38"/>
      <c r="K2756" s="38"/>
      <c r="L2756" s="50"/>
      <c r="M2756" s="38"/>
      <c r="N2756" s="50"/>
      <c r="O2756" s="38">
        <v>820.45</v>
      </c>
      <c r="P2756" s="38">
        <v>152.19999999999999</v>
      </c>
      <c r="Q2756" s="34" t="s">
        <v>43</v>
      </c>
      <c r="R2756" s="28">
        <v>44481</v>
      </c>
      <c r="S2756" s="34"/>
      <c r="T2756" s="34">
        <v>152</v>
      </c>
      <c r="U2756" s="34"/>
      <c r="V2756" s="34"/>
      <c r="W2756" s="34"/>
      <c r="X2756" s="34"/>
      <c r="Y2756" s="34"/>
      <c r="Z2756" s="109"/>
      <c r="AB2756" s="109"/>
      <c r="AC2756" s="34" t="s">
        <v>5921</v>
      </c>
      <c r="AD2756" s="34">
        <v>25.696062000000001</v>
      </c>
      <c r="AE2756" s="34">
        <v>72.381253000000001</v>
      </c>
    </row>
    <row r="2757" spans="1:31" x14ac:dyDescent="0.25">
      <c r="A2757" s="38" t="s">
        <v>36</v>
      </c>
      <c r="B2757" s="38" t="s">
        <v>5760</v>
      </c>
      <c r="C2757" s="38" t="s">
        <v>5922</v>
      </c>
      <c r="D2757" s="38" t="s">
        <v>5923</v>
      </c>
      <c r="E2757" s="38" t="s">
        <v>5924</v>
      </c>
      <c r="F2757" s="38">
        <v>507</v>
      </c>
      <c r="G2757" s="38">
        <v>507</v>
      </c>
      <c r="H2757" s="38">
        <f t="shared" ref="H2757:H2820" si="135">I2757+J2757</f>
        <v>2976</v>
      </c>
      <c r="I2757" s="38">
        <v>1612</v>
      </c>
      <c r="J2757" s="38">
        <v>1364</v>
      </c>
      <c r="K2757" s="38">
        <v>375</v>
      </c>
      <c r="L2757" s="50">
        <f t="shared" si="133"/>
        <v>12.600806451612904</v>
      </c>
      <c r="M2757" s="38">
        <v>786</v>
      </c>
      <c r="N2757" s="50">
        <f t="shared" si="134"/>
        <v>26.411290322580644</v>
      </c>
      <c r="O2757" s="38">
        <v>0</v>
      </c>
      <c r="P2757" s="38">
        <v>133</v>
      </c>
      <c r="Q2757" s="34" t="s">
        <v>43</v>
      </c>
      <c r="R2757" s="9">
        <v>44566</v>
      </c>
      <c r="S2757" s="34"/>
      <c r="T2757" s="34">
        <v>103</v>
      </c>
      <c r="U2757" s="34"/>
      <c r="V2757" s="34"/>
      <c r="W2757" s="34"/>
      <c r="X2757" s="34"/>
      <c r="Y2757" s="34"/>
      <c r="Z2757" s="109"/>
      <c r="AB2757" s="109">
        <v>30</v>
      </c>
      <c r="AC2757" s="83" t="s">
        <v>5925</v>
      </c>
      <c r="AD2757" s="34">
        <v>25.693439000000001</v>
      </c>
      <c r="AE2757" s="34">
        <v>72.283118000000002</v>
      </c>
    </row>
    <row r="2758" spans="1:31" ht="23.25" x14ac:dyDescent="0.25">
      <c r="A2758" s="38" t="s">
        <v>36</v>
      </c>
      <c r="B2758" s="38" t="s">
        <v>5760</v>
      </c>
      <c r="C2758" s="38" t="s">
        <v>5922</v>
      </c>
      <c r="D2758" s="38" t="s">
        <v>3893</v>
      </c>
      <c r="E2758" s="38" t="s">
        <v>5926</v>
      </c>
      <c r="F2758" s="38">
        <v>145</v>
      </c>
      <c r="G2758" s="38">
        <v>145</v>
      </c>
      <c r="H2758" s="38">
        <f t="shared" si="135"/>
        <v>881</v>
      </c>
      <c r="I2758" s="38">
        <v>462</v>
      </c>
      <c r="J2758" s="38">
        <v>419</v>
      </c>
      <c r="K2758" s="38">
        <v>5</v>
      </c>
      <c r="L2758" s="50">
        <f t="shared" ref="L2758:L2821" si="136">K2758/H2758*100</f>
        <v>0.56753688989784334</v>
      </c>
      <c r="M2758" s="38">
        <v>9</v>
      </c>
      <c r="N2758" s="50">
        <f t="shared" si="134"/>
        <v>1.0215664018161181</v>
      </c>
      <c r="O2758" s="38">
        <v>0</v>
      </c>
      <c r="P2758" s="38">
        <v>12</v>
      </c>
      <c r="Q2758" s="158"/>
      <c r="R2758" s="159">
        <v>44566</v>
      </c>
      <c r="S2758" s="160"/>
      <c r="T2758" s="234"/>
      <c r="U2758" s="158"/>
      <c r="V2758" s="158"/>
      <c r="W2758" s="158"/>
      <c r="X2758" s="158"/>
      <c r="Y2758" s="158"/>
      <c r="Z2758" s="16"/>
      <c r="AB2758" s="16">
        <v>15</v>
      </c>
      <c r="AC2758" s="228" t="s">
        <v>5927</v>
      </c>
      <c r="AD2758" s="161">
        <v>25.685573000000002</v>
      </c>
      <c r="AE2758" s="160">
        <v>72.255816999999993</v>
      </c>
    </row>
    <row r="2759" spans="1:31" x14ac:dyDescent="0.25">
      <c r="A2759" s="38" t="s">
        <v>36</v>
      </c>
      <c r="B2759" s="38" t="s">
        <v>5760</v>
      </c>
      <c r="C2759" s="38" t="s">
        <v>5922</v>
      </c>
      <c r="D2759" s="38" t="s">
        <v>3893</v>
      </c>
      <c r="E2759" s="38" t="s">
        <v>5926</v>
      </c>
      <c r="F2759" s="38">
        <v>145</v>
      </c>
      <c r="G2759" s="38">
        <v>145</v>
      </c>
      <c r="H2759" s="38">
        <f t="shared" si="135"/>
        <v>881</v>
      </c>
      <c r="I2759" s="38">
        <v>462</v>
      </c>
      <c r="J2759" s="38">
        <v>419</v>
      </c>
      <c r="K2759" s="38">
        <v>5</v>
      </c>
      <c r="L2759" s="50">
        <f t="shared" si="136"/>
        <v>0.56753688989784334</v>
      </c>
      <c r="M2759" s="38">
        <v>9</v>
      </c>
      <c r="N2759" s="50">
        <f t="shared" si="134"/>
        <v>1.0215664018161181</v>
      </c>
      <c r="O2759" s="38">
        <v>0</v>
      </c>
      <c r="P2759" s="38">
        <v>12</v>
      </c>
      <c r="Q2759" s="98" t="s">
        <v>160</v>
      </c>
      <c r="R2759" s="7">
        <v>44566</v>
      </c>
      <c r="S2759" s="99"/>
      <c r="T2759" s="11">
        <v>18</v>
      </c>
      <c r="U2759" s="98"/>
      <c r="V2759" s="98"/>
      <c r="W2759" s="98"/>
      <c r="X2759" s="98"/>
      <c r="Y2759" s="98"/>
      <c r="Z2759" s="20"/>
      <c r="AB2759" s="20"/>
      <c r="AC2759" s="11" t="s">
        <v>2109</v>
      </c>
      <c r="AD2759" s="61"/>
      <c r="AE2759" s="99"/>
    </row>
    <row r="2760" spans="1:31" x14ac:dyDescent="0.25">
      <c r="A2760" s="38" t="s">
        <v>36</v>
      </c>
      <c r="B2760" s="38" t="s">
        <v>5760</v>
      </c>
      <c r="C2760" s="38" t="s">
        <v>5928</v>
      </c>
      <c r="D2760" s="38" t="s">
        <v>4483</v>
      </c>
      <c r="E2760" s="38" t="s">
        <v>5929</v>
      </c>
      <c r="F2760" s="38">
        <v>417</v>
      </c>
      <c r="G2760" s="38">
        <v>417</v>
      </c>
      <c r="H2760" s="38">
        <f t="shared" si="135"/>
        <v>2401</v>
      </c>
      <c r="I2760" s="38">
        <v>1272</v>
      </c>
      <c r="J2760" s="38">
        <v>1129</v>
      </c>
      <c r="K2760" s="38">
        <v>409</v>
      </c>
      <c r="L2760" s="50">
        <f t="shared" si="136"/>
        <v>17.034568929612661</v>
      </c>
      <c r="M2760" s="38">
        <v>342</v>
      </c>
      <c r="N2760" s="50">
        <f t="shared" si="134"/>
        <v>14.244064972927948</v>
      </c>
      <c r="O2760" s="38">
        <v>0</v>
      </c>
      <c r="P2760" s="38">
        <v>102.14</v>
      </c>
      <c r="Q2760" s="98" t="s">
        <v>44</v>
      </c>
      <c r="R2760" s="7">
        <v>44489</v>
      </c>
      <c r="S2760" s="99"/>
      <c r="T2760" s="4">
        <v>102</v>
      </c>
      <c r="U2760" s="98"/>
      <c r="V2760" s="98"/>
      <c r="W2760" s="98"/>
      <c r="X2760" s="98"/>
      <c r="Y2760" s="98"/>
      <c r="Z2760" s="20"/>
      <c r="AB2760" s="20"/>
      <c r="AC2760" s="11" t="s">
        <v>4483</v>
      </c>
      <c r="AD2760" s="61"/>
      <c r="AE2760" s="99"/>
    </row>
    <row r="2761" spans="1:31" x14ac:dyDescent="0.25">
      <c r="A2761" s="38" t="s">
        <v>36</v>
      </c>
      <c r="B2761" s="38" t="s">
        <v>5760</v>
      </c>
      <c r="C2761" s="38" t="s">
        <v>5928</v>
      </c>
      <c r="D2761" s="38" t="s">
        <v>5930</v>
      </c>
      <c r="E2761" s="38" t="s">
        <v>5931</v>
      </c>
      <c r="F2761" s="38">
        <v>53</v>
      </c>
      <c r="G2761" s="38">
        <v>53</v>
      </c>
      <c r="H2761" s="38">
        <f t="shared" si="135"/>
        <v>349</v>
      </c>
      <c r="I2761" s="38">
        <v>177</v>
      </c>
      <c r="J2761" s="38">
        <v>172</v>
      </c>
      <c r="K2761" s="38">
        <v>0</v>
      </c>
      <c r="L2761" s="50">
        <f t="shared" si="136"/>
        <v>0</v>
      </c>
      <c r="M2761" s="38">
        <v>0</v>
      </c>
      <c r="N2761" s="50">
        <f t="shared" si="134"/>
        <v>0</v>
      </c>
      <c r="O2761" s="38">
        <v>0</v>
      </c>
      <c r="P2761" s="38">
        <v>5.08</v>
      </c>
      <c r="Q2761" s="34" t="s">
        <v>43</v>
      </c>
      <c r="R2761" s="28">
        <v>44489</v>
      </c>
      <c r="S2761" s="34"/>
      <c r="T2761" s="34">
        <v>5</v>
      </c>
      <c r="U2761" s="34"/>
      <c r="V2761" s="34"/>
      <c r="W2761" s="34"/>
      <c r="X2761" s="34"/>
      <c r="Y2761" s="34"/>
      <c r="Z2761" s="109"/>
      <c r="AB2761" s="109"/>
      <c r="AC2761" s="34" t="s">
        <v>5932</v>
      </c>
      <c r="AD2761" s="34">
        <v>25.723376999999999</v>
      </c>
      <c r="AE2761" s="34">
        <v>72.351957999999996</v>
      </c>
    </row>
    <row r="2762" spans="1:31" x14ac:dyDescent="0.25">
      <c r="A2762" s="38" t="s">
        <v>36</v>
      </c>
      <c r="B2762" s="38" t="s">
        <v>5760</v>
      </c>
      <c r="C2762" s="38" t="s">
        <v>5928</v>
      </c>
      <c r="D2762" s="38" t="s">
        <v>5933</v>
      </c>
      <c r="E2762" s="38" t="s">
        <v>5934</v>
      </c>
      <c r="F2762" s="38">
        <v>54</v>
      </c>
      <c r="G2762" s="38">
        <v>54</v>
      </c>
      <c r="H2762" s="38">
        <f t="shared" si="135"/>
        <v>267</v>
      </c>
      <c r="I2762" s="38">
        <v>154</v>
      </c>
      <c r="J2762" s="38">
        <v>113</v>
      </c>
      <c r="K2762" s="38">
        <v>0</v>
      </c>
      <c r="L2762" s="50">
        <f t="shared" si="136"/>
        <v>0</v>
      </c>
      <c r="M2762" s="38">
        <v>0</v>
      </c>
      <c r="N2762" s="50">
        <f t="shared" si="134"/>
        <v>0</v>
      </c>
      <c r="O2762" s="38">
        <v>0</v>
      </c>
      <c r="P2762" s="38">
        <v>11.95</v>
      </c>
      <c r="Q2762" s="61" t="s">
        <v>43</v>
      </c>
      <c r="R2762" s="7">
        <v>44489</v>
      </c>
      <c r="S2762" s="61"/>
      <c r="T2762" s="20">
        <v>0</v>
      </c>
      <c r="U2762" s="61"/>
      <c r="V2762" s="61"/>
      <c r="W2762" s="61"/>
      <c r="X2762" s="61"/>
      <c r="Y2762" s="61"/>
      <c r="Z2762" s="20"/>
      <c r="AB2762" s="20"/>
      <c r="AC2762" s="11" t="s">
        <v>5935</v>
      </c>
      <c r="AD2762" s="61">
        <v>0</v>
      </c>
      <c r="AE2762" s="61"/>
    </row>
    <row r="2763" spans="1:31" x14ac:dyDescent="0.25">
      <c r="A2763" s="38" t="s">
        <v>36</v>
      </c>
      <c r="B2763" s="38" t="s">
        <v>5760</v>
      </c>
      <c r="C2763" s="38" t="s">
        <v>5928</v>
      </c>
      <c r="D2763" s="38" t="s">
        <v>3920</v>
      </c>
      <c r="E2763" s="38" t="s">
        <v>5936</v>
      </c>
      <c r="F2763" s="38">
        <v>114</v>
      </c>
      <c r="G2763" s="38">
        <v>114</v>
      </c>
      <c r="H2763" s="38">
        <f t="shared" si="135"/>
        <v>852</v>
      </c>
      <c r="I2763" s="38">
        <v>420</v>
      </c>
      <c r="J2763" s="38">
        <v>432</v>
      </c>
      <c r="K2763" s="38">
        <v>15</v>
      </c>
      <c r="L2763" s="50">
        <f t="shared" si="136"/>
        <v>1.7605633802816902</v>
      </c>
      <c r="M2763" s="38">
        <v>200</v>
      </c>
      <c r="N2763" s="50">
        <f t="shared" si="134"/>
        <v>23.474178403755868</v>
      </c>
      <c r="O2763" s="38">
        <v>0</v>
      </c>
      <c r="P2763" s="38">
        <v>0</v>
      </c>
      <c r="Q2763" s="34" t="s">
        <v>43</v>
      </c>
      <c r="R2763" s="28">
        <v>44489</v>
      </c>
      <c r="S2763" s="34"/>
      <c r="T2763" s="34">
        <v>12</v>
      </c>
      <c r="U2763" s="34"/>
      <c r="V2763" s="34"/>
      <c r="W2763" s="34"/>
      <c r="X2763" s="34"/>
      <c r="Y2763" s="34"/>
      <c r="Z2763" s="109"/>
      <c r="AB2763" s="109"/>
      <c r="AC2763" s="34" t="s">
        <v>5937</v>
      </c>
      <c r="AD2763" s="34">
        <v>25.718422</v>
      </c>
      <c r="AE2763" s="34">
        <v>72.331978000000007</v>
      </c>
    </row>
    <row r="2764" spans="1:31" x14ac:dyDescent="0.25">
      <c r="A2764" s="38" t="s">
        <v>36</v>
      </c>
      <c r="B2764" s="38" t="s">
        <v>5760</v>
      </c>
      <c r="C2764" s="38" t="s">
        <v>5922</v>
      </c>
      <c r="D2764" s="11" t="s">
        <v>5938</v>
      </c>
      <c r="E2764" s="38"/>
      <c r="F2764" s="38"/>
      <c r="G2764" s="38"/>
      <c r="H2764" s="38">
        <f t="shared" si="135"/>
        <v>0</v>
      </c>
      <c r="I2764" s="38"/>
      <c r="J2764" s="38"/>
      <c r="K2764" s="38"/>
      <c r="L2764" s="50"/>
      <c r="M2764" s="38"/>
      <c r="N2764" s="50"/>
      <c r="O2764" s="38"/>
      <c r="P2764" s="38"/>
      <c r="Q2764" s="98" t="s">
        <v>44</v>
      </c>
      <c r="R2764" s="7">
        <v>44495</v>
      </c>
      <c r="S2764" s="99"/>
      <c r="T2764" s="4">
        <v>250</v>
      </c>
      <c r="U2764" s="98"/>
      <c r="V2764" s="98"/>
      <c r="W2764" s="98"/>
      <c r="X2764" s="98"/>
      <c r="Y2764" s="98"/>
      <c r="Z2764" s="20"/>
      <c r="AB2764" s="20"/>
      <c r="AC2764" s="11" t="s">
        <v>5938</v>
      </c>
      <c r="AD2764" s="61"/>
      <c r="AE2764" s="99"/>
    </row>
    <row r="2765" spans="1:31" x14ac:dyDescent="0.25">
      <c r="A2765" s="38" t="s">
        <v>36</v>
      </c>
      <c r="B2765" s="38" t="s">
        <v>5760</v>
      </c>
      <c r="C2765" s="38" t="s">
        <v>5939</v>
      </c>
      <c r="D2765" s="38" t="s">
        <v>5940</v>
      </c>
      <c r="E2765" s="38" t="s">
        <v>5941</v>
      </c>
      <c r="F2765" s="38">
        <v>426</v>
      </c>
      <c r="G2765" s="38">
        <v>426</v>
      </c>
      <c r="H2765" s="38">
        <f t="shared" si="135"/>
        <v>2927</v>
      </c>
      <c r="I2765" s="38">
        <v>1554</v>
      </c>
      <c r="J2765" s="38">
        <v>1373</v>
      </c>
      <c r="K2765" s="38">
        <v>211</v>
      </c>
      <c r="L2765" s="50">
        <f t="shared" si="136"/>
        <v>7.2087461564742048</v>
      </c>
      <c r="M2765" s="38">
        <v>367</v>
      </c>
      <c r="N2765" s="50">
        <f t="shared" si="134"/>
        <v>12.538435257943286</v>
      </c>
      <c r="O2765" s="38">
        <v>1318</v>
      </c>
      <c r="P2765" s="38">
        <v>556</v>
      </c>
      <c r="Q2765" s="34" t="s">
        <v>43</v>
      </c>
      <c r="R2765" s="28">
        <v>44495</v>
      </c>
      <c r="S2765" s="34"/>
      <c r="T2765" s="34">
        <v>255</v>
      </c>
      <c r="U2765" s="34"/>
      <c r="V2765" s="34"/>
      <c r="W2765" s="34"/>
      <c r="X2765" s="34"/>
      <c r="Y2765" s="34"/>
      <c r="Z2765" s="109"/>
      <c r="AB2765" s="109">
        <v>45</v>
      </c>
      <c r="AC2765" s="34" t="s">
        <v>5942</v>
      </c>
      <c r="AD2765" s="34">
        <v>25.607987999999999</v>
      </c>
      <c r="AE2765" s="34">
        <v>72.308853999999997</v>
      </c>
    </row>
    <row r="2766" spans="1:31" x14ac:dyDescent="0.25">
      <c r="A2766" s="38" t="s">
        <v>36</v>
      </c>
      <c r="B2766" s="38" t="s">
        <v>5760</v>
      </c>
      <c r="C2766" s="38" t="s">
        <v>5943</v>
      </c>
      <c r="D2766" s="38" t="s">
        <v>4126</v>
      </c>
      <c r="E2766" s="38" t="s">
        <v>5944</v>
      </c>
      <c r="F2766" s="38">
        <v>237</v>
      </c>
      <c r="G2766" s="38">
        <v>237</v>
      </c>
      <c r="H2766" s="38">
        <f t="shared" si="135"/>
        <v>1286</v>
      </c>
      <c r="I2766" s="38">
        <v>672</v>
      </c>
      <c r="J2766" s="38">
        <v>614</v>
      </c>
      <c r="K2766" s="38">
        <v>299</v>
      </c>
      <c r="L2766" s="50">
        <f t="shared" si="136"/>
        <v>23.250388802488338</v>
      </c>
      <c r="M2766" s="38">
        <v>318</v>
      </c>
      <c r="N2766" s="50">
        <f t="shared" si="134"/>
        <v>24.727838258164851</v>
      </c>
      <c r="O2766" s="38">
        <v>70</v>
      </c>
      <c r="P2766" s="38">
        <v>87</v>
      </c>
      <c r="Q2766" s="34" t="s">
        <v>43</v>
      </c>
      <c r="R2766" s="28">
        <v>44446</v>
      </c>
      <c r="S2766" s="34"/>
      <c r="T2766" s="34">
        <v>21</v>
      </c>
      <c r="U2766" s="34"/>
      <c r="V2766" s="34"/>
      <c r="W2766" s="34"/>
      <c r="X2766" s="34"/>
      <c r="Y2766" s="34"/>
      <c r="Z2766" s="109"/>
      <c r="AB2766" s="109"/>
      <c r="AC2766" s="34" t="s">
        <v>5945</v>
      </c>
      <c r="AD2766" s="34">
        <v>25.658864000000001</v>
      </c>
      <c r="AE2766" s="34">
        <v>72.405047999999994</v>
      </c>
    </row>
    <row r="2767" spans="1:31" x14ac:dyDescent="0.25">
      <c r="A2767" s="38" t="s">
        <v>36</v>
      </c>
      <c r="B2767" s="38" t="s">
        <v>5760</v>
      </c>
      <c r="C2767" s="38" t="s">
        <v>5943</v>
      </c>
      <c r="D2767" s="38" t="s">
        <v>5946</v>
      </c>
      <c r="E2767" s="38" t="s">
        <v>5947</v>
      </c>
      <c r="F2767" s="38">
        <v>177</v>
      </c>
      <c r="G2767" s="38">
        <v>177</v>
      </c>
      <c r="H2767" s="38">
        <f t="shared" si="135"/>
        <v>984</v>
      </c>
      <c r="I2767" s="38">
        <v>510</v>
      </c>
      <c r="J2767" s="38">
        <v>474</v>
      </c>
      <c r="K2767" s="38">
        <v>0</v>
      </c>
      <c r="L2767" s="50">
        <f t="shared" si="136"/>
        <v>0</v>
      </c>
      <c r="M2767" s="38">
        <v>60</v>
      </c>
      <c r="N2767" s="50">
        <f t="shared" si="134"/>
        <v>6.0975609756097562</v>
      </c>
      <c r="O2767" s="38">
        <v>16</v>
      </c>
      <c r="P2767" s="38">
        <v>21</v>
      </c>
      <c r="Q2767" s="34" t="s">
        <v>43</v>
      </c>
      <c r="R2767" s="28">
        <v>44446</v>
      </c>
      <c r="S2767" s="34"/>
      <c r="T2767" s="34">
        <v>21</v>
      </c>
      <c r="U2767" s="34"/>
      <c r="V2767" s="34"/>
      <c r="W2767" s="34"/>
      <c r="X2767" s="34"/>
      <c r="Y2767" s="34"/>
      <c r="Z2767" s="109"/>
      <c r="AB2767" s="109"/>
      <c r="AC2767" s="34" t="s">
        <v>5948</v>
      </c>
      <c r="AD2767" s="34">
        <v>25.658294000000001</v>
      </c>
      <c r="AE2767" s="34">
        <v>72.377809999999997</v>
      </c>
    </row>
    <row r="2768" spans="1:31" x14ac:dyDescent="0.25">
      <c r="A2768" s="38" t="s">
        <v>36</v>
      </c>
      <c r="B2768" s="38" t="s">
        <v>5760</v>
      </c>
      <c r="C2768" s="38" t="s">
        <v>5949</v>
      </c>
      <c r="D2768" s="38" t="s">
        <v>5950</v>
      </c>
      <c r="E2768" s="38" t="s">
        <v>5951</v>
      </c>
      <c r="F2768" s="38">
        <v>1695</v>
      </c>
      <c r="G2768" s="38">
        <v>1695</v>
      </c>
      <c r="H2768" s="38">
        <f t="shared" si="135"/>
        <v>10528</v>
      </c>
      <c r="I2768" s="38">
        <v>5546</v>
      </c>
      <c r="J2768" s="38">
        <v>4982</v>
      </c>
      <c r="K2768" s="38">
        <v>2228</v>
      </c>
      <c r="L2768" s="50">
        <f t="shared" si="136"/>
        <v>21.162613981762917</v>
      </c>
      <c r="M2768" s="38">
        <v>722</v>
      </c>
      <c r="N2768" s="50">
        <f t="shared" si="134"/>
        <v>6.8579027355623099</v>
      </c>
      <c r="O2768" s="38">
        <v>0</v>
      </c>
      <c r="P2768" s="38">
        <v>162</v>
      </c>
      <c r="Q2768" s="61" t="s">
        <v>43</v>
      </c>
      <c r="R2768" s="7">
        <v>44446</v>
      </c>
      <c r="S2768" s="61"/>
      <c r="T2768" s="20">
        <v>0</v>
      </c>
      <c r="U2768" s="61"/>
      <c r="V2768" s="61"/>
      <c r="W2768" s="61"/>
      <c r="X2768" s="61"/>
      <c r="Y2768" s="61"/>
      <c r="Z2768" s="20"/>
      <c r="AB2768" s="20"/>
      <c r="AC2768" s="11" t="s">
        <v>5952</v>
      </c>
      <c r="AD2768" s="61">
        <v>0</v>
      </c>
      <c r="AE2768" s="61"/>
    </row>
    <row r="2769" spans="1:31" x14ac:dyDescent="0.25">
      <c r="A2769" s="38" t="s">
        <v>36</v>
      </c>
      <c r="B2769" s="38" t="s">
        <v>5760</v>
      </c>
      <c r="C2769" s="38" t="s">
        <v>5949</v>
      </c>
      <c r="D2769" s="38" t="s">
        <v>5950</v>
      </c>
      <c r="E2769" s="38" t="s">
        <v>5951</v>
      </c>
      <c r="F2769" s="38">
        <v>1695</v>
      </c>
      <c r="G2769" s="38">
        <v>1695</v>
      </c>
      <c r="H2769" s="38">
        <f t="shared" si="135"/>
        <v>10528</v>
      </c>
      <c r="I2769" s="38">
        <v>5546</v>
      </c>
      <c r="J2769" s="38">
        <v>4982</v>
      </c>
      <c r="K2769" s="38">
        <v>2228</v>
      </c>
      <c r="L2769" s="50">
        <f t="shared" si="136"/>
        <v>21.162613981762917</v>
      </c>
      <c r="M2769" s="38">
        <v>722</v>
      </c>
      <c r="N2769" s="50">
        <f t="shared" si="134"/>
        <v>6.8579027355623099</v>
      </c>
      <c r="O2769" s="38">
        <v>0</v>
      </c>
      <c r="P2769" s="38">
        <v>162</v>
      </c>
      <c r="Q2769" s="61" t="s">
        <v>43</v>
      </c>
      <c r="R2769" s="7">
        <v>44446</v>
      </c>
      <c r="S2769" s="157"/>
      <c r="T2769" s="20"/>
      <c r="U2769" s="61"/>
      <c r="V2769" s="61"/>
      <c r="W2769" s="61"/>
      <c r="X2769" s="61"/>
      <c r="Y2769" s="61"/>
      <c r="Z2769" s="80"/>
      <c r="AB2769" s="157">
        <v>10</v>
      </c>
      <c r="AC2769" s="11" t="s">
        <v>5952</v>
      </c>
      <c r="AD2769" s="157">
        <v>25.654292000000002</v>
      </c>
      <c r="AE2769" s="157">
        <v>72.402285000000006</v>
      </c>
    </row>
    <row r="2770" spans="1:31" ht="21" x14ac:dyDescent="0.25">
      <c r="A2770" s="38" t="s">
        <v>36</v>
      </c>
      <c r="B2770" s="38" t="s">
        <v>5760</v>
      </c>
      <c r="C2770" s="38" t="s">
        <v>5949</v>
      </c>
      <c r="D2770" s="38" t="s">
        <v>5950</v>
      </c>
      <c r="E2770" s="38" t="s">
        <v>5951</v>
      </c>
      <c r="F2770" s="38">
        <v>1695</v>
      </c>
      <c r="G2770" s="38">
        <v>1695</v>
      </c>
      <c r="H2770" s="38">
        <f t="shared" si="135"/>
        <v>10528</v>
      </c>
      <c r="I2770" s="38">
        <v>5546</v>
      </c>
      <c r="J2770" s="38">
        <v>4982</v>
      </c>
      <c r="K2770" s="38">
        <v>2228</v>
      </c>
      <c r="L2770" s="50">
        <f t="shared" si="136"/>
        <v>21.162613981762917</v>
      </c>
      <c r="M2770" s="38">
        <v>722</v>
      </c>
      <c r="N2770" s="50">
        <f t="shared" si="134"/>
        <v>6.8579027355623099</v>
      </c>
      <c r="O2770" s="38">
        <v>0</v>
      </c>
      <c r="P2770" s="38">
        <v>162</v>
      </c>
      <c r="Q2770" s="35" t="s">
        <v>43</v>
      </c>
      <c r="R2770" s="229">
        <v>44441</v>
      </c>
      <c r="S2770" s="35"/>
      <c r="T2770" s="35">
        <v>16.670000000000002</v>
      </c>
      <c r="U2770" s="35"/>
      <c r="V2770" s="35"/>
      <c r="W2770" s="35"/>
      <c r="X2770" s="35"/>
      <c r="Y2770" s="35"/>
      <c r="Z2770" s="87"/>
      <c r="AB2770" s="87">
        <v>5</v>
      </c>
      <c r="AC2770" s="79" t="s">
        <v>5953</v>
      </c>
      <c r="AD2770" s="35">
        <v>25.468921999999999</v>
      </c>
      <c r="AE2770" s="35">
        <v>72.458284000000006</v>
      </c>
    </row>
    <row r="2771" spans="1:31" x14ac:dyDescent="0.25">
      <c r="A2771" s="38" t="s">
        <v>36</v>
      </c>
      <c r="B2771" s="38" t="s">
        <v>5760</v>
      </c>
      <c r="C2771" s="38" t="s">
        <v>5949</v>
      </c>
      <c r="D2771" s="38" t="s">
        <v>5950</v>
      </c>
      <c r="E2771" s="38" t="s">
        <v>5951</v>
      </c>
      <c r="F2771" s="38">
        <v>1695</v>
      </c>
      <c r="G2771" s="38">
        <v>1695</v>
      </c>
      <c r="H2771" s="38">
        <f t="shared" si="135"/>
        <v>10528</v>
      </c>
      <c r="I2771" s="38">
        <v>5546</v>
      </c>
      <c r="J2771" s="38">
        <v>4982</v>
      </c>
      <c r="K2771" s="38">
        <v>2228</v>
      </c>
      <c r="L2771" s="50">
        <f t="shared" si="136"/>
        <v>21.162613981762917</v>
      </c>
      <c r="M2771" s="38">
        <v>722</v>
      </c>
      <c r="N2771" s="50">
        <f t="shared" si="134"/>
        <v>6.8579027355623099</v>
      </c>
      <c r="O2771" s="38">
        <v>0</v>
      </c>
      <c r="P2771" s="38">
        <v>162</v>
      </c>
      <c r="Q2771" s="35" t="s">
        <v>43</v>
      </c>
      <c r="R2771" s="100">
        <v>44441</v>
      </c>
      <c r="S2771" s="35"/>
      <c r="T2771" s="35">
        <v>21.27</v>
      </c>
      <c r="U2771" s="35"/>
      <c r="V2771" s="35"/>
      <c r="W2771" s="35"/>
      <c r="X2771" s="35"/>
      <c r="Y2771" s="35"/>
      <c r="Z2771" s="87"/>
      <c r="AB2771" s="87">
        <v>6</v>
      </c>
      <c r="AC2771" s="79" t="s">
        <v>5954</v>
      </c>
      <c r="AD2771" s="35">
        <v>25.519926999999999</v>
      </c>
      <c r="AE2771" s="35">
        <v>72.217686999999998</v>
      </c>
    </row>
    <row r="2772" spans="1:31" x14ac:dyDescent="0.25">
      <c r="A2772" s="38" t="s">
        <v>36</v>
      </c>
      <c r="B2772" s="38" t="s">
        <v>5760</v>
      </c>
      <c r="C2772" s="38" t="s">
        <v>5949</v>
      </c>
      <c r="D2772" s="38" t="s">
        <v>5950</v>
      </c>
      <c r="E2772" s="38">
        <v>811500580087596</v>
      </c>
      <c r="F2772" s="38">
        <v>1695</v>
      </c>
      <c r="G2772" s="38">
        <v>1695</v>
      </c>
      <c r="H2772" s="38">
        <f t="shared" si="135"/>
        <v>10528</v>
      </c>
      <c r="I2772" s="38">
        <v>5546</v>
      </c>
      <c r="J2772" s="38">
        <v>4982</v>
      </c>
      <c r="K2772" s="38">
        <v>2228</v>
      </c>
      <c r="L2772" s="50">
        <f t="shared" si="136"/>
        <v>21.162613981762917</v>
      </c>
      <c r="M2772" s="38">
        <v>722</v>
      </c>
      <c r="N2772" s="50">
        <f t="shared" si="134"/>
        <v>6.8579027355623099</v>
      </c>
      <c r="O2772" s="38">
        <v>0</v>
      </c>
      <c r="P2772" s="38">
        <v>162</v>
      </c>
      <c r="Q2772" s="35" t="s">
        <v>43</v>
      </c>
      <c r="R2772" s="100">
        <v>44441</v>
      </c>
      <c r="S2772" s="35"/>
      <c r="T2772" s="35">
        <v>28.810000000000002</v>
      </c>
      <c r="U2772" s="35"/>
      <c r="V2772" s="35"/>
      <c r="W2772" s="35"/>
      <c r="X2772" s="35"/>
      <c r="Y2772" s="35"/>
      <c r="Z2772" s="87"/>
      <c r="AB2772" s="87">
        <v>9</v>
      </c>
      <c r="AC2772" s="79" t="s">
        <v>5955</v>
      </c>
      <c r="AD2772" s="35">
        <v>25.526917999999998</v>
      </c>
      <c r="AE2772" s="35">
        <v>72.222128999999995</v>
      </c>
    </row>
    <row r="2773" spans="1:31" x14ac:dyDescent="0.25">
      <c r="A2773" s="38" t="s">
        <v>36</v>
      </c>
      <c r="B2773" s="38" t="s">
        <v>5760</v>
      </c>
      <c r="C2773" s="38" t="s">
        <v>5956</v>
      </c>
      <c r="D2773" s="38" t="s">
        <v>5957</v>
      </c>
      <c r="E2773" s="38" t="s">
        <v>5958</v>
      </c>
      <c r="F2773" s="38">
        <v>392</v>
      </c>
      <c r="G2773" s="38">
        <v>392</v>
      </c>
      <c r="H2773" s="38">
        <f t="shared" si="135"/>
        <v>2742</v>
      </c>
      <c r="I2773" s="38">
        <v>1471</v>
      </c>
      <c r="J2773" s="38">
        <v>1271</v>
      </c>
      <c r="K2773" s="38">
        <v>537</v>
      </c>
      <c r="L2773" s="50">
        <f t="shared" si="136"/>
        <v>19.584245076586434</v>
      </c>
      <c r="M2773" s="38">
        <v>214</v>
      </c>
      <c r="N2773" s="50">
        <f t="shared" si="134"/>
        <v>7.8045222465353756</v>
      </c>
      <c r="O2773" s="38">
        <v>0</v>
      </c>
      <c r="P2773" s="38">
        <v>88</v>
      </c>
      <c r="Q2773" s="34" t="s">
        <v>43</v>
      </c>
      <c r="R2773" s="28">
        <v>44468</v>
      </c>
      <c r="S2773" s="34"/>
      <c r="T2773" s="34">
        <v>42</v>
      </c>
      <c r="U2773" s="34"/>
      <c r="V2773" s="34"/>
      <c r="W2773" s="34"/>
      <c r="X2773" s="34"/>
      <c r="Y2773" s="34"/>
      <c r="Z2773" s="109"/>
      <c r="AB2773" s="109"/>
      <c r="AC2773" s="34" t="s">
        <v>5959</v>
      </c>
      <c r="AD2773" s="34">
        <v>25.889794999999999</v>
      </c>
      <c r="AE2773" s="34">
        <v>72.299963000000005</v>
      </c>
    </row>
    <row r="2774" spans="1:31" x14ac:dyDescent="0.25">
      <c r="A2774" s="38" t="s">
        <v>36</v>
      </c>
      <c r="B2774" s="38" t="s">
        <v>5760</v>
      </c>
      <c r="C2774" s="38" t="s">
        <v>5956</v>
      </c>
      <c r="D2774" s="38" t="s">
        <v>5960</v>
      </c>
      <c r="E2774" s="38" t="s">
        <v>5961</v>
      </c>
      <c r="F2774" s="38">
        <v>179</v>
      </c>
      <c r="G2774" s="38">
        <v>179</v>
      </c>
      <c r="H2774" s="38">
        <f t="shared" si="135"/>
        <v>1126</v>
      </c>
      <c r="I2774" s="38">
        <v>611</v>
      </c>
      <c r="J2774" s="38">
        <v>515</v>
      </c>
      <c r="K2774" s="38">
        <v>240</v>
      </c>
      <c r="L2774" s="50">
        <f t="shared" si="136"/>
        <v>21.314387211367674</v>
      </c>
      <c r="M2774" s="38">
        <v>0</v>
      </c>
      <c r="N2774" s="50">
        <f t="shared" si="134"/>
        <v>0</v>
      </c>
      <c r="O2774" s="38">
        <v>0</v>
      </c>
      <c r="P2774" s="38">
        <v>33</v>
      </c>
      <c r="Q2774" s="98" t="s">
        <v>44</v>
      </c>
      <c r="R2774" s="7">
        <v>44468</v>
      </c>
      <c r="S2774" s="99"/>
      <c r="T2774" s="4">
        <v>33</v>
      </c>
      <c r="U2774" s="98"/>
      <c r="V2774" s="98"/>
      <c r="W2774" s="98"/>
      <c r="X2774" s="98"/>
      <c r="Y2774" s="98"/>
      <c r="Z2774" s="20"/>
      <c r="AB2774" s="20"/>
      <c r="AC2774" s="11" t="s">
        <v>5962</v>
      </c>
      <c r="AD2774" s="61"/>
      <c r="AE2774" s="99"/>
    </row>
    <row r="2775" spans="1:31" x14ac:dyDescent="0.25">
      <c r="A2775" s="38" t="s">
        <v>36</v>
      </c>
      <c r="B2775" s="38" t="s">
        <v>5760</v>
      </c>
      <c r="C2775" s="38" t="s">
        <v>5963</v>
      </c>
      <c r="D2775" s="38" t="s">
        <v>5964</v>
      </c>
      <c r="E2775" s="38" t="s">
        <v>5965</v>
      </c>
      <c r="F2775" s="38">
        <v>631</v>
      </c>
      <c r="G2775" s="38">
        <v>631</v>
      </c>
      <c r="H2775" s="38">
        <f t="shared" si="135"/>
        <v>3761</v>
      </c>
      <c r="I2775" s="38">
        <v>1977</v>
      </c>
      <c r="J2775" s="38">
        <v>1784</v>
      </c>
      <c r="K2775" s="38">
        <v>628</v>
      </c>
      <c r="L2775" s="50">
        <f t="shared" si="136"/>
        <v>16.697686785429408</v>
      </c>
      <c r="M2775" s="38">
        <v>629</v>
      </c>
      <c r="N2775" s="50">
        <f t="shared" si="134"/>
        <v>16.724275458654613</v>
      </c>
      <c r="O2775" s="38">
        <v>151.76</v>
      </c>
      <c r="P2775" s="38">
        <v>303.26</v>
      </c>
      <c r="Q2775" s="98" t="s">
        <v>44</v>
      </c>
      <c r="R2775" s="7">
        <v>44468</v>
      </c>
      <c r="S2775" s="99"/>
      <c r="T2775" s="4">
        <v>25</v>
      </c>
      <c r="U2775" s="98"/>
      <c r="V2775" s="98"/>
      <c r="W2775" s="98"/>
      <c r="X2775" s="98"/>
      <c r="Y2775" s="98"/>
      <c r="Z2775" s="20"/>
      <c r="AB2775" s="20"/>
      <c r="AC2775" s="11" t="s">
        <v>5966</v>
      </c>
      <c r="AD2775" s="61"/>
      <c r="AE2775" s="99"/>
    </row>
    <row r="2776" spans="1:31" x14ac:dyDescent="0.25">
      <c r="A2776" s="38" t="s">
        <v>36</v>
      </c>
      <c r="B2776" s="38" t="s">
        <v>5760</v>
      </c>
      <c r="C2776" s="38" t="s">
        <v>5963</v>
      </c>
      <c r="D2776" s="38" t="s">
        <v>5964</v>
      </c>
      <c r="E2776" s="38" t="s">
        <v>5965</v>
      </c>
      <c r="F2776" s="38">
        <v>631</v>
      </c>
      <c r="G2776" s="38">
        <v>631</v>
      </c>
      <c r="H2776" s="38">
        <f t="shared" si="135"/>
        <v>3761</v>
      </c>
      <c r="I2776" s="38">
        <v>1977</v>
      </c>
      <c r="J2776" s="38">
        <v>1784</v>
      </c>
      <c r="K2776" s="38">
        <v>628</v>
      </c>
      <c r="L2776" s="50">
        <f t="shared" si="136"/>
        <v>16.697686785429408</v>
      </c>
      <c r="M2776" s="38">
        <v>629</v>
      </c>
      <c r="N2776" s="50">
        <f t="shared" si="134"/>
        <v>16.724275458654613</v>
      </c>
      <c r="O2776" s="38">
        <v>151.76</v>
      </c>
      <c r="P2776" s="38">
        <v>303.26</v>
      </c>
      <c r="Q2776" s="98" t="s">
        <v>44</v>
      </c>
      <c r="R2776" s="7">
        <v>44468</v>
      </c>
      <c r="S2776" s="99"/>
      <c r="T2776" s="4">
        <v>21</v>
      </c>
      <c r="U2776" s="98"/>
      <c r="V2776" s="98"/>
      <c r="W2776" s="98"/>
      <c r="X2776" s="98"/>
      <c r="Y2776" s="98"/>
      <c r="Z2776" s="20"/>
      <c r="AB2776" s="20"/>
      <c r="AC2776" s="11" t="s">
        <v>5967</v>
      </c>
      <c r="AD2776" s="61"/>
      <c r="AE2776" s="99"/>
    </row>
    <row r="2777" spans="1:31" x14ac:dyDescent="0.25">
      <c r="A2777" s="38" t="s">
        <v>36</v>
      </c>
      <c r="B2777" s="38" t="s">
        <v>5760</v>
      </c>
      <c r="C2777" s="38" t="s">
        <v>5968</v>
      </c>
      <c r="D2777" s="38" t="s">
        <v>3330</v>
      </c>
      <c r="E2777" s="38" t="s">
        <v>5969</v>
      </c>
      <c r="F2777" s="38">
        <v>176</v>
      </c>
      <c r="G2777" s="38">
        <v>176</v>
      </c>
      <c r="H2777" s="38">
        <f t="shared" si="135"/>
        <v>1070</v>
      </c>
      <c r="I2777" s="38">
        <v>595</v>
      </c>
      <c r="J2777" s="38">
        <v>475</v>
      </c>
      <c r="K2777" s="38">
        <v>161</v>
      </c>
      <c r="L2777" s="50">
        <f t="shared" si="136"/>
        <v>15.046728971962617</v>
      </c>
      <c r="M2777" s="38">
        <v>133</v>
      </c>
      <c r="N2777" s="50">
        <f t="shared" si="134"/>
        <v>12.429906542056075</v>
      </c>
      <c r="O2777" s="38">
        <v>0</v>
      </c>
      <c r="P2777" s="38">
        <v>55</v>
      </c>
      <c r="Q2777" s="34"/>
      <c r="R2777" s="9"/>
      <c r="S2777" s="34"/>
      <c r="T2777" s="34"/>
      <c r="U2777" s="34"/>
      <c r="V2777" s="34"/>
      <c r="W2777" s="34"/>
      <c r="X2777" s="34"/>
      <c r="Y2777" s="34"/>
      <c r="Z2777" s="109"/>
      <c r="AB2777" s="109"/>
      <c r="AC2777" s="34"/>
      <c r="AD2777" s="34"/>
      <c r="AE2777" s="34"/>
    </row>
    <row r="2778" spans="1:31" x14ac:dyDescent="0.25">
      <c r="A2778" s="38" t="s">
        <v>36</v>
      </c>
      <c r="B2778" s="38" t="s">
        <v>5760</v>
      </c>
      <c r="C2778" s="38" t="s">
        <v>5968</v>
      </c>
      <c r="D2778" s="38" t="s">
        <v>5970</v>
      </c>
      <c r="E2778" s="38" t="s">
        <v>5971</v>
      </c>
      <c r="F2778" s="38">
        <v>86</v>
      </c>
      <c r="G2778" s="38">
        <v>86</v>
      </c>
      <c r="H2778" s="38">
        <f t="shared" si="135"/>
        <v>528</v>
      </c>
      <c r="I2778" s="38">
        <v>269</v>
      </c>
      <c r="J2778" s="38">
        <v>259</v>
      </c>
      <c r="K2778" s="38">
        <v>0</v>
      </c>
      <c r="L2778" s="50">
        <f t="shared" si="136"/>
        <v>0</v>
      </c>
      <c r="M2778" s="38">
        <v>29</v>
      </c>
      <c r="N2778" s="50">
        <f t="shared" si="134"/>
        <v>5.4924242424242422</v>
      </c>
      <c r="O2778" s="38">
        <v>0</v>
      </c>
      <c r="P2778" s="38">
        <v>9</v>
      </c>
      <c r="Q2778" s="34"/>
      <c r="R2778" s="9"/>
      <c r="S2778" s="34"/>
      <c r="T2778" s="34"/>
      <c r="U2778" s="34"/>
      <c r="V2778" s="34"/>
      <c r="W2778" s="34"/>
      <c r="X2778" s="34"/>
      <c r="Y2778" s="34"/>
      <c r="Z2778" s="109"/>
      <c r="AB2778" s="109"/>
      <c r="AC2778" s="34"/>
      <c r="AD2778" s="34"/>
      <c r="AE2778" s="34"/>
    </row>
    <row r="2779" spans="1:31" x14ac:dyDescent="0.25">
      <c r="A2779" s="38" t="s">
        <v>36</v>
      </c>
      <c r="B2779" s="38" t="s">
        <v>5760</v>
      </c>
      <c r="C2779" s="38" t="s">
        <v>5968</v>
      </c>
      <c r="D2779" s="38" t="s">
        <v>1457</v>
      </c>
      <c r="E2779" s="38" t="s">
        <v>5972</v>
      </c>
      <c r="F2779" s="38"/>
      <c r="G2779" s="38"/>
      <c r="H2779" s="38">
        <f t="shared" si="135"/>
        <v>0</v>
      </c>
      <c r="I2779" s="38"/>
      <c r="J2779" s="38"/>
      <c r="K2779" s="38"/>
      <c r="L2779" s="50"/>
      <c r="M2779" s="38"/>
      <c r="N2779" s="50"/>
      <c r="O2779" s="38">
        <v>725</v>
      </c>
      <c r="P2779" s="38">
        <v>63</v>
      </c>
      <c r="Q2779" s="34"/>
      <c r="R2779" s="9"/>
      <c r="S2779" s="34"/>
      <c r="T2779" s="34"/>
      <c r="U2779" s="34"/>
      <c r="V2779" s="34"/>
      <c r="W2779" s="34"/>
      <c r="X2779" s="34"/>
      <c r="Y2779" s="34"/>
      <c r="Z2779" s="109"/>
      <c r="AB2779" s="109"/>
      <c r="AC2779" s="34"/>
      <c r="AD2779" s="34"/>
      <c r="AE2779" s="34"/>
    </row>
    <row r="2780" spans="1:31" x14ac:dyDescent="0.25">
      <c r="A2780" s="38" t="s">
        <v>36</v>
      </c>
      <c r="B2780" s="38" t="s">
        <v>5760</v>
      </c>
      <c r="C2780" s="38" t="s">
        <v>5968</v>
      </c>
      <c r="D2780" s="38" t="s">
        <v>1457</v>
      </c>
      <c r="E2780" s="38" t="s">
        <v>5972</v>
      </c>
      <c r="F2780" s="38">
        <v>212</v>
      </c>
      <c r="G2780" s="38">
        <v>212</v>
      </c>
      <c r="H2780" s="38">
        <f t="shared" si="135"/>
        <v>1291</v>
      </c>
      <c r="I2780" s="38">
        <v>648</v>
      </c>
      <c r="J2780" s="38">
        <v>643</v>
      </c>
      <c r="K2780" s="38">
        <v>259</v>
      </c>
      <c r="L2780" s="50">
        <f t="shared" si="136"/>
        <v>20.061967467079782</v>
      </c>
      <c r="M2780" s="38">
        <v>625</v>
      </c>
      <c r="N2780" s="50">
        <f t="shared" si="134"/>
        <v>48.412083656080554</v>
      </c>
      <c r="O2780" s="38">
        <v>725</v>
      </c>
      <c r="P2780" s="38">
        <v>63</v>
      </c>
      <c r="Q2780" s="34"/>
      <c r="R2780" s="9"/>
      <c r="S2780" s="34"/>
      <c r="T2780" s="34"/>
      <c r="U2780" s="34"/>
      <c r="V2780" s="34"/>
      <c r="W2780" s="34"/>
      <c r="X2780" s="34"/>
      <c r="Y2780" s="34"/>
      <c r="Z2780" s="109"/>
      <c r="AB2780" s="109"/>
      <c r="AC2780" s="34"/>
      <c r="AD2780" s="34"/>
      <c r="AE2780" s="34"/>
    </row>
    <row r="2781" spans="1:31" x14ac:dyDescent="0.25">
      <c r="A2781" s="38" t="s">
        <v>36</v>
      </c>
      <c r="B2781" s="38" t="s">
        <v>5760</v>
      </c>
      <c r="C2781" s="38" t="s">
        <v>5956</v>
      </c>
      <c r="D2781" s="11" t="s">
        <v>5966</v>
      </c>
      <c r="E2781" s="38"/>
      <c r="F2781" s="38"/>
      <c r="G2781" s="38"/>
      <c r="H2781" s="38">
        <f t="shared" si="135"/>
        <v>0</v>
      </c>
      <c r="I2781" s="38"/>
      <c r="J2781" s="38"/>
      <c r="K2781" s="38"/>
      <c r="L2781" s="50"/>
      <c r="M2781" s="38"/>
      <c r="N2781" s="50"/>
      <c r="O2781" s="38"/>
      <c r="P2781" s="38"/>
      <c r="Q2781" s="98" t="s">
        <v>44</v>
      </c>
      <c r="R2781" s="7">
        <v>44468</v>
      </c>
      <c r="S2781" s="99"/>
      <c r="T2781" s="4">
        <v>25</v>
      </c>
      <c r="U2781" s="98"/>
      <c r="V2781" s="98"/>
      <c r="W2781" s="98"/>
      <c r="X2781" s="98"/>
      <c r="Y2781" s="98"/>
      <c r="Z2781" s="20"/>
      <c r="AB2781" s="20"/>
      <c r="AC2781" s="11" t="s">
        <v>5966</v>
      </c>
      <c r="AD2781" s="61"/>
      <c r="AE2781" s="99"/>
    </row>
    <row r="2782" spans="1:31" x14ac:dyDescent="0.25">
      <c r="A2782" s="38" t="s">
        <v>36</v>
      </c>
      <c r="B2782" s="38" t="s">
        <v>5760</v>
      </c>
      <c r="C2782" s="38" t="s">
        <v>5956</v>
      </c>
      <c r="D2782" s="11" t="s">
        <v>5967</v>
      </c>
      <c r="E2782" s="38"/>
      <c r="F2782" s="38"/>
      <c r="G2782" s="38"/>
      <c r="H2782" s="38">
        <f t="shared" si="135"/>
        <v>0</v>
      </c>
      <c r="I2782" s="38"/>
      <c r="J2782" s="38"/>
      <c r="K2782" s="38"/>
      <c r="L2782" s="50"/>
      <c r="M2782" s="38"/>
      <c r="N2782" s="50"/>
      <c r="O2782" s="38"/>
      <c r="P2782" s="38"/>
      <c r="Q2782" s="98" t="s">
        <v>44</v>
      </c>
      <c r="R2782" s="7">
        <v>44468</v>
      </c>
      <c r="S2782" s="99"/>
      <c r="T2782" s="4">
        <v>21</v>
      </c>
      <c r="U2782" s="98"/>
      <c r="V2782" s="98"/>
      <c r="W2782" s="98"/>
      <c r="X2782" s="98"/>
      <c r="Y2782" s="98"/>
      <c r="Z2782" s="20"/>
      <c r="AB2782" s="20"/>
      <c r="AC2782" s="11" t="s">
        <v>5967</v>
      </c>
      <c r="AD2782" s="61"/>
      <c r="AE2782" s="99"/>
    </row>
    <row r="2783" spans="1:31" x14ac:dyDescent="0.25">
      <c r="A2783" s="38" t="s">
        <v>36</v>
      </c>
      <c r="B2783" s="38" t="s">
        <v>5760</v>
      </c>
      <c r="C2783" s="11" t="s">
        <v>5973</v>
      </c>
      <c r="D2783" s="11" t="s">
        <v>5974</v>
      </c>
      <c r="E2783" s="38"/>
      <c r="F2783" s="38"/>
      <c r="G2783" s="38"/>
      <c r="H2783" s="38">
        <f t="shared" si="135"/>
        <v>0</v>
      </c>
      <c r="I2783" s="38"/>
      <c r="J2783" s="38"/>
      <c r="K2783" s="38"/>
      <c r="L2783" s="50"/>
      <c r="M2783" s="38"/>
      <c r="N2783" s="50"/>
      <c r="O2783" s="38"/>
      <c r="P2783" s="38"/>
      <c r="Q2783" s="61" t="s">
        <v>43</v>
      </c>
      <c r="R2783" s="7">
        <v>44487</v>
      </c>
      <c r="S2783" s="61"/>
      <c r="T2783" s="20">
        <v>0</v>
      </c>
      <c r="U2783" s="61"/>
      <c r="V2783" s="61"/>
      <c r="W2783" s="61"/>
      <c r="X2783" s="61"/>
      <c r="Y2783" s="61"/>
      <c r="Z2783" s="20"/>
      <c r="AB2783" s="20"/>
      <c r="AC2783" s="11" t="s">
        <v>5974</v>
      </c>
      <c r="AD2783" s="61">
        <v>0</v>
      </c>
      <c r="AE2783" s="61"/>
    </row>
    <row r="2784" spans="1:31" x14ac:dyDescent="0.25">
      <c r="A2784" s="38" t="s">
        <v>36</v>
      </c>
      <c r="B2784" s="38" t="s">
        <v>5760</v>
      </c>
      <c r="C2784" s="11" t="s">
        <v>5973</v>
      </c>
      <c r="D2784" s="11" t="s">
        <v>5975</v>
      </c>
      <c r="E2784" s="38"/>
      <c r="F2784" s="38"/>
      <c r="G2784" s="38"/>
      <c r="H2784" s="38">
        <f t="shared" si="135"/>
        <v>0</v>
      </c>
      <c r="I2784" s="38"/>
      <c r="J2784" s="38"/>
      <c r="K2784" s="38"/>
      <c r="L2784" s="50"/>
      <c r="M2784" s="38"/>
      <c r="N2784" s="50"/>
      <c r="O2784" s="38"/>
      <c r="P2784" s="38"/>
      <c r="Q2784" s="61" t="s">
        <v>43</v>
      </c>
      <c r="R2784" s="7">
        <v>44487</v>
      </c>
      <c r="S2784" s="61"/>
      <c r="T2784" s="20">
        <v>0</v>
      </c>
      <c r="U2784" s="61"/>
      <c r="V2784" s="61"/>
      <c r="W2784" s="61"/>
      <c r="X2784" s="61"/>
      <c r="Y2784" s="61"/>
      <c r="Z2784" s="20"/>
      <c r="AB2784" s="20"/>
      <c r="AC2784" s="11" t="s">
        <v>5975</v>
      </c>
      <c r="AD2784" s="61">
        <v>0</v>
      </c>
      <c r="AE2784" s="61"/>
    </row>
    <row r="2785" spans="1:31" x14ac:dyDescent="0.25">
      <c r="A2785" s="38" t="s">
        <v>36</v>
      </c>
      <c r="B2785" s="38" t="s">
        <v>5760</v>
      </c>
      <c r="C2785" s="11" t="s">
        <v>5973</v>
      </c>
      <c r="D2785" s="11" t="s">
        <v>5976</v>
      </c>
      <c r="E2785" s="38" t="s">
        <v>5977</v>
      </c>
      <c r="F2785" s="38">
        <v>301</v>
      </c>
      <c r="G2785" s="38">
        <v>301</v>
      </c>
      <c r="H2785" s="38">
        <f t="shared" si="135"/>
        <v>1681</v>
      </c>
      <c r="I2785" s="38">
        <v>899</v>
      </c>
      <c r="J2785" s="38">
        <v>782</v>
      </c>
      <c r="K2785" s="38">
        <v>257</v>
      </c>
      <c r="L2785" s="50">
        <f t="shared" si="136"/>
        <v>15.288518738845925</v>
      </c>
      <c r="M2785" s="38">
        <v>70</v>
      </c>
      <c r="N2785" s="50">
        <f t="shared" ref="N2785:N2845" si="137">M2785/H2785*100</f>
        <v>4.1641879833432487</v>
      </c>
      <c r="O2785" s="38">
        <v>111</v>
      </c>
      <c r="P2785" s="38">
        <v>65</v>
      </c>
      <c r="Q2785" s="98" t="s">
        <v>44</v>
      </c>
      <c r="R2785" s="7">
        <v>44487</v>
      </c>
      <c r="S2785" s="157"/>
      <c r="T2785" s="20"/>
      <c r="U2785" s="98"/>
      <c r="V2785" s="98"/>
      <c r="W2785" s="98"/>
      <c r="X2785" s="98"/>
      <c r="Y2785" s="98"/>
      <c r="Z2785" s="80"/>
      <c r="AB2785" s="157">
        <v>11</v>
      </c>
      <c r="AC2785" s="157" t="s">
        <v>5978</v>
      </c>
      <c r="AD2785" s="157">
        <v>25.614871000000001</v>
      </c>
      <c r="AE2785" s="157">
        <v>72.268362999999994</v>
      </c>
    </row>
    <row r="2786" spans="1:31" x14ac:dyDescent="0.25">
      <c r="A2786" s="38" t="s">
        <v>36</v>
      </c>
      <c r="B2786" s="38" t="s">
        <v>5760</v>
      </c>
      <c r="C2786" s="11" t="s">
        <v>5973</v>
      </c>
      <c r="D2786" s="11" t="s">
        <v>5979</v>
      </c>
      <c r="E2786" s="38"/>
      <c r="F2786" s="38"/>
      <c r="G2786" s="38"/>
      <c r="H2786" s="38">
        <f t="shared" si="135"/>
        <v>0</v>
      </c>
      <c r="I2786" s="38"/>
      <c r="J2786" s="38"/>
      <c r="K2786" s="38"/>
      <c r="L2786" s="50"/>
      <c r="M2786" s="38"/>
      <c r="N2786" s="50"/>
      <c r="O2786" s="38"/>
      <c r="P2786" s="38"/>
      <c r="Q2786" s="98" t="s">
        <v>44</v>
      </c>
      <c r="R2786" s="7">
        <v>44487</v>
      </c>
      <c r="S2786" s="99"/>
      <c r="T2786" s="4">
        <v>34</v>
      </c>
      <c r="U2786" s="98"/>
      <c r="V2786" s="98"/>
      <c r="W2786" s="98"/>
      <c r="X2786" s="98"/>
      <c r="Y2786" s="98"/>
      <c r="Z2786" s="20"/>
      <c r="AB2786" s="20"/>
      <c r="AC2786" s="11" t="s">
        <v>5979</v>
      </c>
      <c r="AD2786" s="61"/>
      <c r="AE2786" s="99"/>
    </row>
    <row r="2787" spans="1:31" x14ac:dyDescent="0.25">
      <c r="A2787" s="38" t="s">
        <v>36</v>
      </c>
      <c r="B2787" s="38" t="s">
        <v>5760</v>
      </c>
      <c r="C2787" s="38" t="s">
        <v>5980</v>
      </c>
      <c r="D2787" s="38" t="s">
        <v>5976</v>
      </c>
      <c r="E2787" s="38" t="s">
        <v>5977</v>
      </c>
      <c r="F2787" s="38">
        <v>301</v>
      </c>
      <c r="G2787" s="38">
        <v>301</v>
      </c>
      <c r="H2787" s="38">
        <f t="shared" si="135"/>
        <v>1681</v>
      </c>
      <c r="I2787" s="38">
        <v>899</v>
      </c>
      <c r="J2787" s="38">
        <v>782</v>
      </c>
      <c r="K2787" s="38">
        <v>257</v>
      </c>
      <c r="L2787" s="50">
        <f t="shared" si="136"/>
        <v>15.288518738845925</v>
      </c>
      <c r="M2787" s="38">
        <v>70</v>
      </c>
      <c r="N2787" s="50">
        <f t="shared" si="137"/>
        <v>4.1641879833432487</v>
      </c>
      <c r="O2787" s="38">
        <v>111</v>
      </c>
      <c r="P2787" s="38">
        <v>65</v>
      </c>
      <c r="Q2787" s="34" t="s">
        <v>43</v>
      </c>
      <c r="R2787" s="28">
        <v>44487</v>
      </c>
      <c r="S2787" s="34"/>
      <c r="T2787" s="34">
        <v>65</v>
      </c>
      <c r="U2787" s="34"/>
      <c r="V2787" s="34"/>
      <c r="W2787" s="34"/>
      <c r="X2787" s="34"/>
      <c r="Y2787" s="34"/>
      <c r="Z2787" s="109"/>
      <c r="AB2787" s="109"/>
      <c r="AC2787" s="34" t="s">
        <v>5981</v>
      </c>
      <c r="AD2787" s="34">
        <v>25.906139</v>
      </c>
      <c r="AE2787" s="34">
        <v>72.309051999999994</v>
      </c>
    </row>
    <row r="2788" spans="1:31" x14ac:dyDescent="0.25">
      <c r="A2788" s="38" t="s">
        <v>36</v>
      </c>
      <c r="B2788" s="38" t="s">
        <v>5760</v>
      </c>
      <c r="C2788" s="38" t="s">
        <v>5980</v>
      </c>
      <c r="D2788" s="38" t="s">
        <v>5982</v>
      </c>
      <c r="E2788" s="38" t="s">
        <v>5983</v>
      </c>
      <c r="F2788" s="38">
        <v>252</v>
      </c>
      <c r="G2788" s="38">
        <v>252</v>
      </c>
      <c r="H2788" s="38">
        <f t="shared" si="135"/>
        <v>1582</v>
      </c>
      <c r="I2788" s="38">
        <v>856</v>
      </c>
      <c r="J2788" s="38">
        <v>726</v>
      </c>
      <c r="K2788" s="38">
        <v>438</v>
      </c>
      <c r="L2788" s="50">
        <f t="shared" si="136"/>
        <v>27.686472819216185</v>
      </c>
      <c r="M2788" s="38">
        <v>198</v>
      </c>
      <c r="N2788" s="50">
        <f t="shared" si="137"/>
        <v>12.515802781289507</v>
      </c>
      <c r="O2788" s="38">
        <v>196</v>
      </c>
      <c r="P2788" s="38">
        <v>34</v>
      </c>
      <c r="Q2788" s="98" t="s">
        <v>44</v>
      </c>
      <c r="R2788" s="7">
        <v>44487</v>
      </c>
      <c r="S2788" s="157"/>
      <c r="T2788" s="4"/>
      <c r="U2788" s="98"/>
      <c r="V2788" s="98"/>
      <c r="W2788" s="98"/>
      <c r="X2788" s="98"/>
      <c r="Y2788" s="98"/>
      <c r="Z2788" s="80"/>
      <c r="AB2788" s="157">
        <v>20</v>
      </c>
      <c r="AC2788" s="11" t="s">
        <v>5984</v>
      </c>
      <c r="AD2788" s="157">
        <v>25.609919999999999</v>
      </c>
      <c r="AE2788" s="157">
        <v>72.249437</v>
      </c>
    </row>
    <row r="2789" spans="1:31" x14ac:dyDescent="0.25">
      <c r="A2789" s="38" t="s">
        <v>36</v>
      </c>
      <c r="B2789" s="38" t="s">
        <v>5760</v>
      </c>
      <c r="C2789" s="38" t="s">
        <v>5760</v>
      </c>
      <c r="D2789" s="38" t="s">
        <v>5765</v>
      </c>
      <c r="E2789" s="220" t="s">
        <v>5985</v>
      </c>
      <c r="F2789" s="11">
        <v>4315</v>
      </c>
      <c r="G2789" s="11">
        <v>4315</v>
      </c>
      <c r="H2789" s="38">
        <f t="shared" si="135"/>
        <v>24387</v>
      </c>
      <c r="I2789" s="11">
        <v>12845</v>
      </c>
      <c r="J2789" s="11">
        <v>11542</v>
      </c>
      <c r="K2789" s="11">
        <v>4753</v>
      </c>
      <c r="L2789" s="50">
        <f t="shared" si="136"/>
        <v>19.489892155656701</v>
      </c>
      <c r="M2789" s="11">
        <v>2513</v>
      </c>
      <c r="N2789" s="50">
        <f t="shared" si="137"/>
        <v>10.304670521179316</v>
      </c>
      <c r="O2789" s="38">
        <v>241</v>
      </c>
      <c r="P2789" s="38">
        <v>230</v>
      </c>
      <c r="Q2789" s="34" t="s">
        <v>43</v>
      </c>
      <c r="R2789" s="28">
        <v>44477</v>
      </c>
      <c r="S2789" s="34"/>
      <c r="T2789" s="34">
        <v>230</v>
      </c>
      <c r="U2789" s="34"/>
      <c r="V2789" s="34"/>
      <c r="W2789" s="34"/>
      <c r="X2789" s="34"/>
      <c r="Y2789" s="34"/>
      <c r="Z2789" s="109"/>
      <c r="AB2789" s="109"/>
      <c r="AC2789" s="34" t="s">
        <v>5986</v>
      </c>
      <c r="AD2789" s="34">
        <v>25.65587</v>
      </c>
      <c r="AE2789" s="34">
        <v>72.403977999999995</v>
      </c>
    </row>
    <row r="2790" spans="1:31" x14ac:dyDescent="0.25">
      <c r="A2790" s="38" t="s">
        <v>36</v>
      </c>
      <c r="B2790" s="38" t="s">
        <v>5760</v>
      </c>
      <c r="C2790" s="38" t="s">
        <v>5987</v>
      </c>
      <c r="D2790" s="38" t="s">
        <v>5988</v>
      </c>
      <c r="E2790" s="38" t="s">
        <v>5989</v>
      </c>
      <c r="F2790" s="38">
        <v>290</v>
      </c>
      <c r="G2790" s="38">
        <v>290</v>
      </c>
      <c r="H2790" s="38">
        <f t="shared" si="135"/>
        <v>279</v>
      </c>
      <c r="I2790" s="38">
        <v>176</v>
      </c>
      <c r="J2790" s="38">
        <v>103</v>
      </c>
      <c r="K2790" s="38"/>
      <c r="L2790" s="50">
        <f t="shared" si="136"/>
        <v>0</v>
      </c>
      <c r="M2790" s="38"/>
      <c r="N2790" s="50">
        <f t="shared" si="137"/>
        <v>0</v>
      </c>
      <c r="O2790" s="38">
        <v>176</v>
      </c>
      <c r="P2790" s="38">
        <v>390</v>
      </c>
      <c r="Q2790" s="34" t="s">
        <v>43</v>
      </c>
      <c r="R2790" s="28">
        <v>44489</v>
      </c>
      <c r="S2790" s="34"/>
      <c r="T2790" s="34">
        <v>180</v>
      </c>
      <c r="U2790" s="34"/>
      <c r="V2790" s="34"/>
      <c r="W2790" s="34"/>
      <c r="X2790" s="34"/>
      <c r="Y2790" s="34"/>
      <c r="Z2790" s="109"/>
      <c r="AB2790" s="109">
        <v>20</v>
      </c>
      <c r="AC2790" s="34" t="s">
        <v>5990</v>
      </c>
      <c r="AD2790" s="34">
        <v>25.685675</v>
      </c>
      <c r="AE2790" s="34">
        <v>72.294634000000002</v>
      </c>
    </row>
    <row r="2791" spans="1:31" x14ac:dyDescent="0.25">
      <c r="A2791" s="38" t="s">
        <v>36</v>
      </c>
      <c r="B2791" s="38" t="s">
        <v>5760</v>
      </c>
      <c r="C2791" s="38" t="s">
        <v>5987</v>
      </c>
      <c r="D2791" s="38" t="s">
        <v>5988</v>
      </c>
      <c r="E2791" s="38" t="s">
        <v>5989</v>
      </c>
      <c r="F2791" s="38">
        <v>290</v>
      </c>
      <c r="G2791" s="38">
        <v>290</v>
      </c>
      <c r="H2791" s="38">
        <f t="shared" si="135"/>
        <v>279</v>
      </c>
      <c r="I2791" s="38">
        <v>176</v>
      </c>
      <c r="J2791" s="38">
        <v>103</v>
      </c>
      <c r="K2791" s="38"/>
      <c r="L2791" s="50">
        <f t="shared" si="136"/>
        <v>0</v>
      </c>
      <c r="M2791" s="38"/>
      <c r="N2791" s="50">
        <f t="shared" si="137"/>
        <v>0</v>
      </c>
      <c r="O2791" s="38">
        <v>176</v>
      </c>
      <c r="P2791" s="38">
        <v>390</v>
      </c>
      <c r="Q2791" s="34" t="s">
        <v>43</v>
      </c>
      <c r="R2791" s="28">
        <v>44489</v>
      </c>
      <c r="S2791" s="34"/>
      <c r="T2791" s="34">
        <v>110</v>
      </c>
      <c r="U2791" s="34"/>
      <c r="V2791" s="34"/>
      <c r="W2791" s="34"/>
      <c r="X2791" s="34"/>
      <c r="Y2791" s="34"/>
      <c r="Z2791" s="109"/>
      <c r="AB2791" s="109">
        <v>60</v>
      </c>
      <c r="AC2791" s="34" t="s">
        <v>5991</v>
      </c>
      <c r="AD2791" s="34">
        <v>25.688426</v>
      </c>
      <c r="AE2791" s="34">
        <v>72.299901000000006</v>
      </c>
    </row>
    <row r="2792" spans="1:31" x14ac:dyDescent="0.25">
      <c r="A2792" s="38" t="s">
        <v>36</v>
      </c>
      <c r="B2792" s="38" t="s">
        <v>5992</v>
      </c>
      <c r="C2792" s="38" t="s">
        <v>5993</v>
      </c>
      <c r="D2792" s="38" t="s">
        <v>5756</v>
      </c>
      <c r="E2792" s="38" t="s">
        <v>5994</v>
      </c>
      <c r="F2792" s="38">
        <v>3457</v>
      </c>
      <c r="G2792" s="38">
        <v>738</v>
      </c>
      <c r="H2792" s="38">
        <f t="shared" si="135"/>
        <v>4369</v>
      </c>
      <c r="I2792" s="38">
        <v>2327</v>
      </c>
      <c r="J2792" s="38">
        <v>2042</v>
      </c>
      <c r="K2792" s="38">
        <v>783</v>
      </c>
      <c r="L2792" s="50">
        <f t="shared" si="136"/>
        <v>17.921721217669948</v>
      </c>
      <c r="M2792" s="38">
        <v>255</v>
      </c>
      <c r="N2792" s="50">
        <f t="shared" si="137"/>
        <v>5.836575875486381</v>
      </c>
      <c r="O2792" s="38">
        <v>0</v>
      </c>
      <c r="P2792" s="38">
        <v>105.18</v>
      </c>
      <c r="Q2792" s="11" t="s">
        <v>6375</v>
      </c>
      <c r="R2792" s="255">
        <v>45160</v>
      </c>
      <c r="S2792" s="11">
        <v>71</v>
      </c>
      <c r="T2792" s="11">
        <v>71</v>
      </c>
      <c r="V2792" s="11" t="s">
        <v>6375</v>
      </c>
    </row>
    <row r="2793" spans="1:31" x14ac:dyDescent="0.25">
      <c r="A2793" s="38" t="s">
        <v>36</v>
      </c>
      <c r="B2793" s="38" t="s">
        <v>5992</v>
      </c>
      <c r="C2793" s="38" t="s">
        <v>5995</v>
      </c>
      <c r="D2793" s="38" t="s">
        <v>4934</v>
      </c>
      <c r="E2793" s="38" t="s">
        <v>5996</v>
      </c>
      <c r="F2793" s="38">
        <v>856.62</v>
      </c>
      <c r="G2793" s="38">
        <v>197</v>
      </c>
      <c r="H2793" s="38">
        <f t="shared" si="135"/>
        <v>1254</v>
      </c>
      <c r="I2793" s="38">
        <v>672</v>
      </c>
      <c r="J2793" s="38">
        <v>582</v>
      </c>
      <c r="K2793" s="38">
        <v>213</v>
      </c>
      <c r="L2793" s="50">
        <f t="shared" si="136"/>
        <v>16.985645933014354</v>
      </c>
      <c r="M2793" s="38">
        <v>101</v>
      </c>
      <c r="N2793" s="50">
        <f t="shared" si="137"/>
        <v>8.0542264752791066</v>
      </c>
      <c r="O2793" s="38">
        <v>0</v>
      </c>
      <c r="P2793" s="38">
        <v>32.840000000000003</v>
      </c>
      <c r="Q2793" s="11" t="s">
        <v>6375</v>
      </c>
      <c r="R2793" s="256">
        <v>44134.722638888888</v>
      </c>
      <c r="S2793" s="11">
        <v>6.33</v>
      </c>
      <c r="T2793" s="11">
        <v>6.33</v>
      </c>
      <c r="V2793" s="11" t="s">
        <v>6375</v>
      </c>
    </row>
    <row r="2794" spans="1:31" x14ac:dyDescent="0.25">
      <c r="A2794" s="38" t="s">
        <v>36</v>
      </c>
      <c r="B2794" s="38" t="s">
        <v>5992</v>
      </c>
      <c r="C2794" s="38" t="s">
        <v>5995</v>
      </c>
      <c r="D2794" s="38" t="s">
        <v>5997</v>
      </c>
      <c r="E2794" s="38" t="s">
        <v>5998</v>
      </c>
      <c r="F2794" s="38">
        <v>1565.45</v>
      </c>
      <c r="G2794" s="38">
        <v>194</v>
      </c>
      <c r="H2794" s="38">
        <f t="shared" si="135"/>
        <v>1240</v>
      </c>
      <c r="I2794" s="38">
        <v>620</v>
      </c>
      <c r="J2794" s="38">
        <v>620</v>
      </c>
      <c r="K2794" s="38">
        <v>160</v>
      </c>
      <c r="L2794" s="50">
        <f t="shared" si="136"/>
        <v>12.903225806451612</v>
      </c>
      <c r="M2794" s="38">
        <v>29</v>
      </c>
      <c r="N2794" s="50">
        <f t="shared" si="137"/>
        <v>2.338709677419355</v>
      </c>
      <c r="O2794" s="38">
        <v>0</v>
      </c>
      <c r="P2794" s="38">
        <v>97.18</v>
      </c>
      <c r="Q2794" s="11" t="s">
        <v>44</v>
      </c>
      <c r="R2794" s="256">
        <v>44133.715810185182</v>
      </c>
      <c r="S2794" s="11">
        <v>15</v>
      </c>
      <c r="T2794" s="11">
        <v>15</v>
      </c>
      <c r="V2794" s="11" t="s">
        <v>6375</v>
      </c>
    </row>
    <row r="2795" spans="1:31" x14ac:dyDescent="0.25">
      <c r="A2795" s="38" t="s">
        <v>36</v>
      </c>
      <c r="B2795" s="38" t="s">
        <v>5992</v>
      </c>
      <c r="C2795" s="38" t="s">
        <v>5999</v>
      </c>
      <c r="D2795" s="38" t="s">
        <v>6000</v>
      </c>
      <c r="E2795" s="38" t="s">
        <v>6001</v>
      </c>
      <c r="F2795" s="38">
        <v>1002.44</v>
      </c>
      <c r="G2795" s="38">
        <v>309</v>
      </c>
      <c r="H2795" s="38">
        <f t="shared" si="135"/>
        <v>1738</v>
      </c>
      <c r="I2795" s="38">
        <v>925</v>
      </c>
      <c r="J2795" s="38">
        <v>813</v>
      </c>
      <c r="K2795" s="38">
        <v>50</v>
      </c>
      <c r="L2795" s="50">
        <f t="shared" si="136"/>
        <v>2.8768699654775602</v>
      </c>
      <c r="M2795" s="38">
        <v>0</v>
      </c>
      <c r="N2795" s="50">
        <f t="shared" si="137"/>
        <v>0</v>
      </c>
      <c r="O2795" s="38">
        <v>0</v>
      </c>
      <c r="P2795" s="38">
        <v>10</v>
      </c>
      <c r="Q2795" s="11" t="s">
        <v>6375</v>
      </c>
      <c r="R2795" s="256">
        <v>44072.721226851849</v>
      </c>
    </row>
    <row r="2796" spans="1:31" x14ac:dyDescent="0.25">
      <c r="A2796" s="38" t="s">
        <v>36</v>
      </c>
      <c r="B2796" s="38" t="s">
        <v>5992</v>
      </c>
      <c r="C2796" s="38" t="s">
        <v>5999</v>
      </c>
      <c r="D2796" s="38" t="s">
        <v>6002</v>
      </c>
      <c r="E2796" s="38" t="s">
        <v>6003</v>
      </c>
      <c r="F2796" s="38">
        <v>258.64999999999998</v>
      </c>
      <c r="G2796" s="38">
        <v>54</v>
      </c>
      <c r="H2796" s="38">
        <f t="shared" si="135"/>
        <v>289</v>
      </c>
      <c r="I2796" s="38">
        <v>155</v>
      </c>
      <c r="J2796" s="38">
        <v>134</v>
      </c>
      <c r="K2796" s="38">
        <v>0</v>
      </c>
      <c r="L2796" s="50">
        <f t="shared" si="136"/>
        <v>0</v>
      </c>
      <c r="M2796" s="38">
        <v>0</v>
      </c>
      <c r="N2796" s="50">
        <f t="shared" si="137"/>
        <v>0</v>
      </c>
      <c r="O2796" s="38">
        <v>0</v>
      </c>
      <c r="P2796" s="38">
        <v>0</v>
      </c>
      <c r="Q2796" s="11" t="s">
        <v>44</v>
      </c>
      <c r="R2796" s="255">
        <v>45161</v>
      </c>
      <c r="V2796" s="11" t="s">
        <v>6375</v>
      </c>
    </row>
    <row r="2797" spans="1:31" x14ac:dyDescent="0.25">
      <c r="A2797" s="38" t="s">
        <v>36</v>
      </c>
      <c r="B2797" s="38" t="s">
        <v>5992</v>
      </c>
      <c r="C2797" s="38" t="s">
        <v>5999</v>
      </c>
      <c r="D2797" s="38" t="s">
        <v>6004</v>
      </c>
      <c r="E2797" s="38" t="s">
        <v>6005</v>
      </c>
      <c r="F2797" s="38">
        <v>227.81</v>
      </c>
      <c r="G2797" s="38">
        <v>82</v>
      </c>
      <c r="H2797" s="38">
        <f t="shared" si="135"/>
        <v>445</v>
      </c>
      <c r="I2797" s="38">
        <v>224</v>
      </c>
      <c r="J2797" s="38">
        <v>221</v>
      </c>
      <c r="K2797" s="38"/>
      <c r="L2797" s="50">
        <f t="shared" si="136"/>
        <v>0</v>
      </c>
      <c r="M2797" s="38">
        <v>0</v>
      </c>
      <c r="N2797" s="50">
        <f t="shared" si="137"/>
        <v>0</v>
      </c>
      <c r="O2797" s="38">
        <v>0</v>
      </c>
      <c r="P2797" s="38">
        <v>0</v>
      </c>
      <c r="Q2797" s="11" t="s">
        <v>6375</v>
      </c>
      <c r="R2797" s="256">
        <v>44072.721226851849</v>
      </c>
      <c r="V2797" s="11" t="s">
        <v>6375</v>
      </c>
    </row>
    <row r="2798" spans="1:31" x14ac:dyDescent="0.25">
      <c r="A2798" s="38" t="s">
        <v>36</v>
      </c>
      <c r="B2798" s="38" t="s">
        <v>5992</v>
      </c>
      <c r="C2798" s="38" t="s">
        <v>5999</v>
      </c>
      <c r="D2798" s="38" t="s">
        <v>6006</v>
      </c>
      <c r="E2798" s="38" t="s">
        <v>6007</v>
      </c>
      <c r="F2798" s="38">
        <v>611.30999999999995</v>
      </c>
      <c r="G2798" s="38">
        <v>241</v>
      </c>
      <c r="H2798" s="38">
        <f t="shared" si="135"/>
        <v>1382</v>
      </c>
      <c r="I2798" s="38">
        <v>738</v>
      </c>
      <c r="J2798" s="38">
        <v>644</v>
      </c>
      <c r="K2798" s="38">
        <v>57</v>
      </c>
      <c r="L2798" s="50">
        <f t="shared" si="136"/>
        <v>4.1244573082489149</v>
      </c>
      <c r="M2798" s="38">
        <v>24</v>
      </c>
      <c r="N2798" s="50">
        <f t="shared" si="137"/>
        <v>1.7366136034732274</v>
      </c>
      <c r="O2798" s="38">
        <v>0</v>
      </c>
      <c r="P2798" s="38">
        <v>0</v>
      </c>
      <c r="Q2798" s="11" t="s">
        <v>44</v>
      </c>
      <c r="R2798" s="256">
        <v>44072.721226851849</v>
      </c>
      <c r="S2798" s="11">
        <v>2</v>
      </c>
      <c r="T2798" s="11">
        <v>2</v>
      </c>
      <c r="V2798" s="11" t="s">
        <v>6375</v>
      </c>
    </row>
    <row r="2799" spans="1:31" x14ac:dyDescent="0.25">
      <c r="A2799" s="38" t="s">
        <v>36</v>
      </c>
      <c r="B2799" s="38" t="s">
        <v>5992</v>
      </c>
      <c r="C2799" s="38" t="s">
        <v>6008</v>
      </c>
      <c r="D2799" s="38" t="s">
        <v>6009</v>
      </c>
      <c r="E2799" s="38" t="s">
        <v>6010</v>
      </c>
      <c r="F2799" s="38">
        <v>862.25</v>
      </c>
      <c r="G2799" s="38">
        <v>320</v>
      </c>
      <c r="H2799" s="38">
        <f t="shared" si="135"/>
        <v>2004</v>
      </c>
      <c r="I2799" s="38">
        <v>1033</v>
      </c>
      <c r="J2799" s="38">
        <v>971</v>
      </c>
      <c r="K2799" s="38">
        <v>0</v>
      </c>
      <c r="L2799" s="50">
        <f t="shared" si="136"/>
        <v>0</v>
      </c>
      <c r="M2799" s="38">
        <v>60</v>
      </c>
      <c r="N2799" s="50">
        <f t="shared" si="137"/>
        <v>2.9940119760479043</v>
      </c>
      <c r="O2799" s="38">
        <v>0</v>
      </c>
      <c r="P2799" s="38">
        <v>0</v>
      </c>
    </row>
    <row r="2800" spans="1:31" x14ac:dyDescent="0.25">
      <c r="A2800" s="38" t="s">
        <v>36</v>
      </c>
      <c r="B2800" s="38" t="s">
        <v>5992</v>
      </c>
      <c r="C2800" s="38" t="s">
        <v>6008</v>
      </c>
      <c r="D2800" s="38" t="s">
        <v>2563</v>
      </c>
      <c r="E2800" s="38" t="s">
        <v>6011</v>
      </c>
      <c r="F2800" s="38">
        <v>804.57</v>
      </c>
      <c r="G2800" s="38">
        <v>190</v>
      </c>
      <c r="H2800" s="38">
        <f t="shared" si="135"/>
        <v>927</v>
      </c>
      <c r="I2800" s="38">
        <v>497</v>
      </c>
      <c r="J2800" s="38">
        <v>430</v>
      </c>
      <c r="K2800" s="38">
        <v>70</v>
      </c>
      <c r="L2800" s="50">
        <f t="shared" si="136"/>
        <v>7.5512405609492985</v>
      </c>
      <c r="M2800" s="38">
        <v>68</v>
      </c>
      <c r="N2800" s="50">
        <f t="shared" si="137"/>
        <v>7.335490830636461</v>
      </c>
      <c r="O2800" s="38">
        <v>0</v>
      </c>
      <c r="P2800" s="38">
        <v>0</v>
      </c>
    </row>
    <row r="2801" spans="1:22" x14ac:dyDescent="0.25">
      <c r="A2801" s="38" t="s">
        <v>36</v>
      </c>
      <c r="B2801" s="38" t="s">
        <v>5992</v>
      </c>
      <c r="C2801" s="38" t="s">
        <v>6008</v>
      </c>
      <c r="D2801" s="38" t="s">
        <v>6012</v>
      </c>
      <c r="E2801" s="38" t="s">
        <v>6013</v>
      </c>
      <c r="F2801" s="38">
        <v>568.92999999999995</v>
      </c>
      <c r="G2801" s="38">
        <v>123</v>
      </c>
      <c r="H2801" s="38">
        <f t="shared" si="135"/>
        <v>707</v>
      </c>
      <c r="I2801" s="38">
        <v>377</v>
      </c>
      <c r="J2801" s="38">
        <v>330</v>
      </c>
      <c r="K2801" s="38">
        <v>0</v>
      </c>
      <c r="L2801" s="50">
        <f t="shared" si="136"/>
        <v>0</v>
      </c>
      <c r="M2801" s="38">
        <v>159</v>
      </c>
      <c r="N2801" s="50">
        <f t="shared" si="137"/>
        <v>22.48939179632249</v>
      </c>
      <c r="O2801" s="38">
        <v>0</v>
      </c>
      <c r="P2801" s="38">
        <v>0</v>
      </c>
    </row>
    <row r="2802" spans="1:22" x14ac:dyDescent="0.25">
      <c r="A2802" s="38" t="s">
        <v>36</v>
      </c>
      <c r="B2802" s="38" t="s">
        <v>5992</v>
      </c>
      <c r="C2802" s="38" t="s">
        <v>6014</v>
      </c>
      <c r="D2802" s="38" t="s">
        <v>6015</v>
      </c>
      <c r="E2802" s="38" t="s">
        <v>6016</v>
      </c>
      <c r="F2802" s="38">
        <v>1252.6600000000001</v>
      </c>
      <c r="G2802" s="38">
        <v>250</v>
      </c>
      <c r="H2802" s="38">
        <f t="shared" si="135"/>
        <v>1399</v>
      </c>
      <c r="I2802" s="38">
        <v>752</v>
      </c>
      <c r="J2802" s="38">
        <v>647</v>
      </c>
      <c r="K2802" s="38">
        <v>36</v>
      </c>
      <c r="L2802" s="50">
        <f t="shared" si="136"/>
        <v>2.5732666190135811</v>
      </c>
      <c r="M2802" s="38">
        <v>1</v>
      </c>
      <c r="N2802" s="50">
        <f t="shared" si="137"/>
        <v>7.147962830593281E-2</v>
      </c>
      <c r="O2802" s="38">
        <v>0</v>
      </c>
      <c r="P2802" s="38">
        <v>292.06</v>
      </c>
      <c r="Q2802" s="11" t="s">
        <v>44</v>
      </c>
      <c r="R2802" s="256">
        <v>44072.677974537037</v>
      </c>
      <c r="V2802" s="11" t="s">
        <v>44</v>
      </c>
    </row>
    <row r="2803" spans="1:22" x14ac:dyDescent="0.25">
      <c r="A2803" s="38" t="s">
        <v>36</v>
      </c>
      <c r="B2803" s="38" t="s">
        <v>5992</v>
      </c>
      <c r="C2803" s="38" t="s">
        <v>6014</v>
      </c>
      <c r="D2803" s="38" t="s">
        <v>6017</v>
      </c>
      <c r="E2803" s="38" t="s">
        <v>6018</v>
      </c>
      <c r="F2803" s="38">
        <v>442.42</v>
      </c>
      <c r="G2803" s="38">
        <v>97</v>
      </c>
      <c r="H2803" s="38">
        <f t="shared" si="135"/>
        <v>469</v>
      </c>
      <c r="I2803" s="38">
        <v>270</v>
      </c>
      <c r="J2803" s="38">
        <v>199</v>
      </c>
      <c r="K2803" s="38">
        <v>0</v>
      </c>
      <c r="L2803" s="50">
        <f t="shared" si="136"/>
        <v>0</v>
      </c>
      <c r="M2803" s="38">
        <v>89</v>
      </c>
      <c r="N2803" s="50">
        <f t="shared" si="137"/>
        <v>18.976545842217483</v>
      </c>
      <c r="O2803" s="38">
        <v>0</v>
      </c>
      <c r="P2803" s="38">
        <v>20.96</v>
      </c>
      <c r="Q2803" s="11" t="s">
        <v>44</v>
      </c>
      <c r="R2803" s="255">
        <v>45161</v>
      </c>
      <c r="S2803" s="11">
        <v>38</v>
      </c>
      <c r="T2803" s="11">
        <v>38</v>
      </c>
      <c r="V2803" s="11" t="s">
        <v>44</v>
      </c>
    </row>
    <row r="2804" spans="1:22" x14ac:dyDescent="0.25">
      <c r="A2804" s="38" t="s">
        <v>36</v>
      </c>
      <c r="B2804" s="38" t="s">
        <v>5992</v>
      </c>
      <c r="C2804" s="38" t="s">
        <v>6014</v>
      </c>
      <c r="D2804" s="38" t="s">
        <v>6019</v>
      </c>
      <c r="E2804" s="38" t="s">
        <v>6020</v>
      </c>
      <c r="F2804" s="38">
        <v>689.81</v>
      </c>
      <c r="G2804" s="38">
        <v>97</v>
      </c>
      <c r="H2804" s="38">
        <f t="shared" si="135"/>
        <v>528</v>
      </c>
      <c r="I2804" s="38">
        <v>274</v>
      </c>
      <c r="J2804" s="38">
        <v>254</v>
      </c>
      <c r="K2804" s="38">
        <v>115</v>
      </c>
      <c r="L2804" s="50">
        <f t="shared" si="136"/>
        <v>21.780303030303031</v>
      </c>
      <c r="M2804" s="38">
        <v>0</v>
      </c>
      <c r="N2804" s="50">
        <f t="shared" si="137"/>
        <v>0</v>
      </c>
      <c r="O2804" s="38">
        <v>0</v>
      </c>
      <c r="P2804" s="38">
        <v>0</v>
      </c>
      <c r="Q2804" s="11" t="s">
        <v>44</v>
      </c>
      <c r="R2804" s="256">
        <v>44072.677974537037</v>
      </c>
      <c r="V2804" s="11" t="s">
        <v>44</v>
      </c>
    </row>
    <row r="2805" spans="1:22" x14ac:dyDescent="0.25">
      <c r="A2805" s="38" t="s">
        <v>36</v>
      </c>
      <c r="B2805" s="38" t="s">
        <v>5992</v>
      </c>
      <c r="C2805" s="38" t="s">
        <v>6014</v>
      </c>
      <c r="D2805" s="38" t="s">
        <v>6021</v>
      </c>
      <c r="E2805" s="38" t="s">
        <v>6022</v>
      </c>
      <c r="F2805" s="38">
        <v>895.81</v>
      </c>
      <c r="G2805" s="38">
        <v>182</v>
      </c>
      <c r="H2805" s="38">
        <f t="shared" si="135"/>
        <v>1046</v>
      </c>
      <c r="I2805" s="38">
        <v>546</v>
      </c>
      <c r="J2805" s="38">
        <v>500</v>
      </c>
      <c r="K2805" s="38">
        <v>163</v>
      </c>
      <c r="L2805" s="50">
        <f t="shared" si="136"/>
        <v>15.583173996175908</v>
      </c>
      <c r="M2805" s="38">
        <v>0</v>
      </c>
      <c r="N2805" s="50">
        <f t="shared" si="137"/>
        <v>0</v>
      </c>
      <c r="O2805" s="38">
        <v>0</v>
      </c>
      <c r="P2805" s="38">
        <v>19.100000000000001</v>
      </c>
      <c r="Q2805" s="11" t="s">
        <v>44</v>
      </c>
      <c r="R2805" s="256">
        <v>44072.677974537037</v>
      </c>
      <c r="V2805" s="11" t="s">
        <v>44</v>
      </c>
    </row>
    <row r="2806" spans="1:22" x14ac:dyDescent="0.25">
      <c r="A2806" s="38" t="s">
        <v>36</v>
      </c>
      <c r="B2806" s="38" t="s">
        <v>5992</v>
      </c>
      <c r="C2806" s="38" t="s">
        <v>6023</v>
      </c>
      <c r="D2806" s="38" t="s">
        <v>6024</v>
      </c>
      <c r="E2806" s="38" t="s">
        <v>6025</v>
      </c>
      <c r="F2806" s="38">
        <v>1514.44</v>
      </c>
      <c r="G2806" s="38">
        <v>373</v>
      </c>
      <c r="H2806" s="38">
        <f t="shared" si="135"/>
        <v>2193</v>
      </c>
      <c r="I2806" s="38">
        <v>1170</v>
      </c>
      <c r="J2806" s="38">
        <v>1023</v>
      </c>
      <c r="K2806" s="38">
        <v>42</v>
      </c>
      <c r="L2806" s="50">
        <f t="shared" si="136"/>
        <v>1.9151846785225719</v>
      </c>
      <c r="M2806" s="38">
        <v>141</v>
      </c>
      <c r="N2806" s="50">
        <f t="shared" si="137"/>
        <v>6.4295485636114913</v>
      </c>
      <c r="O2806" s="38">
        <v>0</v>
      </c>
      <c r="P2806" s="38">
        <v>1</v>
      </c>
    </row>
    <row r="2807" spans="1:22" x14ac:dyDescent="0.25">
      <c r="A2807" s="38" t="s">
        <v>36</v>
      </c>
      <c r="B2807" s="38" t="s">
        <v>5992</v>
      </c>
      <c r="C2807" s="38" t="s">
        <v>6023</v>
      </c>
      <c r="D2807" s="38" t="s">
        <v>6026</v>
      </c>
      <c r="E2807" s="38" t="s">
        <v>6027</v>
      </c>
      <c r="F2807" s="38">
        <v>464.77</v>
      </c>
      <c r="G2807" s="38">
        <v>64</v>
      </c>
      <c r="H2807" s="38">
        <f t="shared" si="135"/>
        <v>409</v>
      </c>
      <c r="I2807" s="38">
        <v>208</v>
      </c>
      <c r="J2807" s="38">
        <v>201</v>
      </c>
      <c r="K2807" s="38">
        <v>0</v>
      </c>
      <c r="L2807" s="50">
        <f t="shared" si="136"/>
        <v>0</v>
      </c>
      <c r="M2807" s="38">
        <v>0</v>
      </c>
      <c r="N2807" s="50">
        <f t="shared" si="137"/>
        <v>0</v>
      </c>
      <c r="O2807" s="38">
        <v>0</v>
      </c>
      <c r="P2807" s="38">
        <v>0</v>
      </c>
    </row>
    <row r="2808" spans="1:22" x14ac:dyDescent="0.25">
      <c r="A2808" s="38" t="s">
        <v>36</v>
      </c>
      <c r="B2808" s="38" t="s">
        <v>5992</v>
      </c>
      <c r="C2808" s="38" t="s">
        <v>6023</v>
      </c>
      <c r="D2808" s="38" t="s">
        <v>6028</v>
      </c>
      <c r="E2808" s="38" t="s">
        <v>6029</v>
      </c>
      <c r="F2808" s="38">
        <v>681.74</v>
      </c>
      <c r="G2808" s="38">
        <v>117</v>
      </c>
      <c r="H2808" s="38">
        <f t="shared" si="135"/>
        <v>676</v>
      </c>
      <c r="I2808" s="38">
        <v>356</v>
      </c>
      <c r="J2808" s="38">
        <v>320</v>
      </c>
      <c r="K2808" s="38">
        <v>94</v>
      </c>
      <c r="L2808" s="50">
        <f t="shared" si="136"/>
        <v>13.905325443786982</v>
      </c>
      <c r="M2808" s="38">
        <v>0</v>
      </c>
      <c r="N2808" s="50">
        <f t="shared" si="137"/>
        <v>0</v>
      </c>
      <c r="O2808" s="38">
        <v>0</v>
      </c>
      <c r="P2808" s="38">
        <v>0</v>
      </c>
    </row>
    <row r="2809" spans="1:22" x14ac:dyDescent="0.25">
      <c r="A2809" s="38" t="s">
        <v>36</v>
      </c>
      <c r="B2809" s="38" t="s">
        <v>5992</v>
      </c>
      <c r="C2809" s="38" t="s">
        <v>6030</v>
      </c>
      <c r="D2809" s="38" t="s">
        <v>6030</v>
      </c>
      <c r="E2809" s="38" t="s">
        <v>6031</v>
      </c>
      <c r="F2809" s="38">
        <v>718</v>
      </c>
      <c r="G2809" s="38">
        <v>95</v>
      </c>
      <c r="H2809" s="38">
        <f t="shared" si="135"/>
        <v>448</v>
      </c>
      <c r="I2809" s="38">
        <v>234</v>
      </c>
      <c r="J2809" s="38">
        <v>214</v>
      </c>
      <c r="K2809" s="38">
        <v>4</v>
      </c>
      <c r="L2809" s="50">
        <f t="shared" si="136"/>
        <v>0.89285714285714279</v>
      </c>
      <c r="M2809" s="38">
        <v>0</v>
      </c>
      <c r="N2809" s="50">
        <f t="shared" si="137"/>
        <v>0</v>
      </c>
      <c r="O2809" s="38">
        <v>0</v>
      </c>
      <c r="P2809" s="38">
        <v>0</v>
      </c>
    </row>
    <row r="2810" spans="1:22" x14ac:dyDescent="0.25">
      <c r="A2810" s="38" t="s">
        <v>36</v>
      </c>
      <c r="B2810" s="38" t="s">
        <v>5992</v>
      </c>
      <c r="C2810" s="38" t="s">
        <v>6030</v>
      </c>
      <c r="D2810" s="38" t="s">
        <v>6032</v>
      </c>
      <c r="E2810" s="38" t="s">
        <v>6033</v>
      </c>
      <c r="F2810" s="38">
        <v>358</v>
      </c>
      <c r="G2810" s="38">
        <v>84</v>
      </c>
      <c r="H2810" s="38">
        <f t="shared" si="135"/>
        <v>380</v>
      </c>
      <c r="I2810" s="38">
        <v>198</v>
      </c>
      <c r="J2810" s="38">
        <v>182</v>
      </c>
      <c r="K2810" s="38">
        <v>0</v>
      </c>
      <c r="L2810" s="50">
        <f t="shared" si="136"/>
        <v>0</v>
      </c>
      <c r="M2810" s="38">
        <v>0</v>
      </c>
      <c r="N2810" s="50">
        <f t="shared" si="137"/>
        <v>0</v>
      </c>
      <c r="O2810" s="38">
        <v>0</v>
      </c>
      <c r="P2810" s="38">
        <v>0</v>
      </c>
    </row>
    <row r="2811" spans="1:22" x14ac:dyDescent="0.25">
      <c r="A2811" s="38" t="s">
        <v>36</v>
      </c>
      <c r="B2811" s="38" t="s">
        <v>5992</v>
      </c>
      <c r="C2811" s="38" t="s">
        <v>6030</v>
      </c>
      <c r="D2811" s="38" t="s">
        <v>6034</v>
      </c>
      <c r="E2811" s="38" t="s">
        <v>6035</v>
      </c>
      <c r="F2811" s="38">
        <v>1122</v>
      </c>
      <c r="G2811" s="38">
        <v>194</v>
      </c>
      <c r="H2811" s="38">
        <f t="shared" si="135"/>
        <v>896</v>
      </c>
      <c r="I2811" s="38">
        <v>453</v>
      </c>
      <c r="J2811" s="38">
        <v>443</v>
      </c>
      <c r="K2811" s="38">
        <v>157</v>
      </c>
      <c r="L2811" s="50">
        <f t="shared" si="136"/>
        <v>17.522321428571427</v>
      </c>
      <c r="M2811" s="38">
        <v>0</v>
      </c>
      <c r="N2811" s="50">
        <f t="shared" si="137"/>
        <v>0</v>
      </c>
      <c r="O2811" s="38">
        <v>0</v>
      </c>
      <c r="P2811" s="38">
        <v>0</v>
      </c>
    </row>
    <row r="2812" spans="1:22" x14ac:dyDescent="0.25">
      <c r="A2812" s="38" t="s">
        <v>36</v>
      </c>
      <c r="B2812" s="38" t="s">
        <v>5992</v>
      </c>
      <c r="C2812" s="38" t="s">
        <v>6030</v>
      </c>
      <c r="D2812" s="38" t="s">
        <v>6036</v>
      </c>
      <c r="E2812" s="38" t="s">
        <v>6037</v>
      </c>
      <c r="F2812" s="38">
        <v>264</v>
      </c>
      <c r="G2812" s="38">
        <v>30</v>
      </c>
      <c r="H2812" s="38">
        <f t="shared" si="135"/>
        <v>144</v>
      </c>
      <c r="I2812" s="38">
        <v>72</v>
      </c>
      <c r="J2812" s="38">
        <v>72</v>
      </c>
      <c r="K2812" s="38">
        <v>0</v>
      </c>
      <c r="L2812" s="50">
        <f t="shared" si="136"/>
        <v>0</v>
      </c>
      <c r="M2812" s="38">
        <v>0</v>
      </c>
      <c r="N2812" s="50">
        <f t="shared" si="137"/>
        <v>0</v>
      </c>
      <c r="O2812" s="38">
        <v>0</v>
      </c>
      <c r="P2812" s="38">
        <v>0</v>
      </c>
    </row>
    <row r="2813" spans="1:22" x14ac:dyDescent="0.25">
      <c r="A2813" s="38" t="s">
        <v>36</v>
      </c>
      <c r="B2813" s="38" t="s">
        <v>5992</v>
      </c>
      <c r="C2813" s="38" t="s">
        <v>6030</v>
      </c>
      <c r="D2813" s="38" t="s">
        <v>6038</v>
      </c>
      <c r="E2813" s="38" t="s">
        <v>6039</v>
      </c>
      <c r="F2813" s="38">
        <v>821</v>
      </c>
      <c r="G2813" s="38">
        <v>146</v>
      </c>
      <c r="H2813" s="38">
        <f t="shared" si="135"/>
        <v>738</v>
      </c>
      <c r="I2813" s="38">
        <v>382</v>
      </c>
      <c r="J2813" s="38">
        <v>356</v>
      </c>
      <c r="K2813" s="38">
        <v>0</v>
      </c>
      <c r="L2813" s="50">
        <f t="shared" si="136"/>
        <v>0</v>
      </c>
      <c r="M2813" s="38">
        <v>0</v>
      </c>
      <c r="N2813" s="50">
        <f t="shared" si="137"/>
        <v>0</v>
      </c>
      <c r="O2813" s="38">
        <v>0</v>
      </c>
      <c r="P2813" s="38">
        <v>0</v>
      </c>
    </row>
    <row r="2814" spans="1:22" x14ac:dyDescent="0.25">
      <c r="A2814" s="38" t="s">
        <v>36</v>
      </c>
      <c r="B2814" s="38" t="s">
        <v>5992</v>
      </c>
      <c r="C2814" s="38" t="s">
        <v>6040</v>
      </c>
      <c r="D2814" s="38" t="s">
        <v>5017</v>
      </c>
      <c r="E2814" s="38" t="s">
        <v>6041</v>
      </c>
      <c r="F2814" s="38">
        <v>3093.81</v>
      </c>
      <c r="G2814" s="38">
        <v>318</v>
      </c>
      <c r="H2814" s="38">
        <f t="shared" si="135"/>
        <v>1803</v>
      </c>
      <c r="I2814" s="38">
        <v>957</v>
      </c>
      <c r="J2814" s="38">
        <v>846</v>
      </c>
      <c r="K2814" s="38">
        <v>191</v>
      </c>
      <c r="L2814" s="50">
        <f t="shared" si="136"/>
        <v>10.593455352190793</v>
      </c>
      <c r="M2814" s="38">
        <v>0</v>
      </c>
      <c r="N2814" s="50">
        <f t="shared" si="137"/>
        <v>0</v>
      </c>
      <c r="O2814" s="38">
        <v>0</v>
      </c>
      <c r="P2814" s="38">
        <v>0</v>
      </c>
    </row>
    <row r="2815" spans="1:22" x14ac:dyDescent="0.25">
      <c r="A2815" s="38" t="s">
        <v>36</v>
      </c>
      <c r="B2815" s="38" t="s">
        <v>5992</v>
      </c>
      <c r="C2815" s="38" t="s">
        <v>6040</v>
      </c>
      <c r="D2815" s="38" t="s">
        <v>6042</v>
      </c>
      <c r="E2815" s="38" t="s">
        <v>6043</v>
      </c>
      <c r="F2815" s="38">
        <v>598.04999999999995</v>
      </c>
      <c r="G2815" s="38">
        <v>108</v>
      </c>
      <c r="H2815" s="38">
        <f t="shared" si="135"/>
        <v>731</v>
      </c>
      <c r="I2815" s="38">
        <v>391</v>
      </c>
      <c r="J2815" s="38">
        <v>340</v>
      </c>
      <c r="K2815" s="38">
        <v>96</v>
      </c>
      <c r="L2815" s="50">
        <f t="shared" si="136"/>
        <v>13.132694938440492</v>
      </c>
      <c r="M2815" s="38">
        <v>0</v>
      </c>
      <c r="N2815" s="50">
        <f t="shared" si="137"/>
        <v>0</v>
      </c>
      <c r="O2815" s="38">
        <v>0</v>
      </c>
      <c r="P2815" s="38">
        <v>34.549999999999997</v>
      </c>
      <c r="Q2815" s="11" t="s">
        <v>6375</v>
      </c>
      <c r="R2815" s="255">
        <v>45160</v>
      </c>
    </row>
    <row r="2816" spans="1:22" x14ac:dyDescent="0.25">
      <c r="A2816" s="38" t="s">
        <v>36</v>
      </c>
      <c r="B2816" s="38" t="s">
        <v>5992</v>
      </c>
      <c r="C2816" s="38" t="s">
        <v>6040</v>
      </c>
      <c r="D2816" s="38" t="s">
        <v>6044</v>
      </c>
      <c r="E2816" s="38" t="s">
        <v>6045</v>
      </c>
      <c r="F2816" s="38">
        <v>393.54</v>
      </c>
      <c r="G2816" s="38">
        <v>85</v>
      </c>
      <c r="H2816" s="38">
        <f t="shared" si="135"/>
        <v>478</v>
      </c>
      <c r="I2816" s="38">
        <v>250</v>
      </c>
      <c r="J2816" s="38">
        <v>228</v>
      </c>
      <c r="K2816" s="38">
        <v>41</v>
      </c>
      <c r="L2816" s="50">
        <f t="shared" si="136"/>
        <v>8.5774058577405867</v>
      </c>
      <c r="M2816" s="38">
        <v>0</v>
      </c>
      <c r="N2816" s="50">
        <f t="shared" si="137"/>
        <v>0</v>
      </c>
      <c r="O2816" s="38">
        <v>0</v>
      </c>
      <c r="P2816" s="38">
        <v>0</v>
      </c>
    </row>
    <row r="2817" spans="1:22" x14ac:dyDescent="0.25">
      <c r="A2817" s="38" t="s">
        <v>36</v>
      </c>
      <c r="B2817" s="38" t="s">
        <v>5992</v>
      </c>
      <c r="C2817" s="38" t="s">
        <v>197</v>
      </c>
      <c r="D2817" s="38" t="s">
        <v>197</v>
      </c>
      <c r="E2817" s="38" t="s">
        <v>6046</v>
      </c>
      <c r="F2817" s="38">
        <v>1050</v>
      </c>
      <c r="G2817" s="38">
        <v>288</v>
      </c>
      <c r="H2817" s="38">
        <f t="shared" si="135"/>
        <v>1475</v>
      </c>
      <c r="I2817" s="38">
        <v>750</v>
      </c>
      <c r="J2817" s="38">
        <v>725</v>
      </c>
      <c r="K2817" s="38">
        <v>100</v>
      </c>
      <c r="L2817" s="50">
        <f t="shared" si="136"/>
        <v>6.7796610169491522</v>
      </c>
      <c r="M2817" s="38">
        <v>115</v>
      </c>
      <c r="N2817" s="50">
        <f t="shared" si="137"/>
        <v>7.796610169491526</v>
      </c>
      <c r="O2817" s="38">
        <v>0</v>
      </c>
      <c r="P2817" s="38">
        <v>0</v>
      </c>
      <c r="Q2817" s="11" t="s">
        <v>44</v>
      </c>
      <c r="R2817" s="255">
        <v>45161</v>
      </c>
      <c r="S2817" s="11">
        <v>1</v>
      </c>
      <c r="T2817" s="11">
        <v>1</v>
      </c>
      <c r="V2817" s="11" t="s">
        <v>44</v>
      </c>
    </row>
    <row r="2818" spans="1:22" x14ac:dyDescent="0.25">
      <c r="A2818" s="38" t="s">
        <v>36</v>
      </c>
      <c r="B2818" s="38" t="s">
        <v>5992</v>
      </c>
      <c r="C2818" s="38" t="s">
        <v>6047</v>
      </c>
      <c r="D2818" s="38" t="s">
        <v>6047</v>
      </c>
      <c r="E2818" s="38" t="s">
        <v>6048</v>
      </c>
      <c r="F2818" s="38">
        <v>773.13</v>
      </c>
      <c r="G2818" s="38">
        <v>260</v>
      </c>
      <c r="H2818" s="38">
        <f t="shared" si="135"/>
        <v>1371</v>
      </c>
      <c r="I2818" s="38">
        <v>716</v>
      </c>
      <c r="J2818" s="38">
        <v>655</v>
      </c>
      <c r="K2818" s="38">
        <v>0</v>
      </c>
      <c r="L2818" s="50">
        <f t="shared" si="136"/>
        <v>0</v>
      </c>
      <c r="M2818" s="38">
        <v>0</v>
      </c>
      <c r="N2818" s="50">
        <f t="shared" si="137"/>
        <v>0</v>
      </c>
      <c r="O2818" s="38">
        <v>0</v>
      </c>
      <c r="P2818" s="38">
        <v>0</v>
      </c>
    </row>
    <row r="2819" spans="1:22" x14ac:dyDescent="0.25">
      <c r="A2819" s="38" t="s">
        <v>36</v>
      </c>
      <c r="B2819" s="38" t="s">
        <v>5992</v>
      </c>
      <c r="C2819" s="38" t="s">
        <v>6047</v>
      </c>
      <c r="D2819" s="38" t="s">
        <v>6049</v>
      </c>
      <c r="E2819" s="38" t="s">
        <v>6050</v>
      </c>
      <c r="F2819" s="38">
        <v>324.75</v>
      </c>
      <c r="G2819" s="38">
        <v>107</v>
      </c>
      <c r="H2819" s="38">
        <f t="shared" si="135"/>
        <v>621</v>
      </c>
      <c r="I2819" s="38">
        <v>331</v>
      </c>
      <c r="J2819" s="38">
        <v>290</v>
      </c>
      <c r="K2819" s="38">
        <v>0</v>
      </c>
      <c r="L2819" s="50">
        <f t="shared" si="136"/>
        <v>0</v>
      </c>
      <c r="M2819" s="38">
        <v>0</v>
      </c>
      <c r="N2819" s="50">
        <f t="shared" si="137"/>
        <v>0</v>
      </c>
      <c r="O2819" s="38">
        <v>0</v>
      </c>
      <c r="P2819" s="38">
        <v>0</v>
      </c>
    </row>
    <row r="2820" spans="1:22" x14ac:dyDescent="0.25">
      <c r="A2820" s="38" t="s">
        <v>36</v>
      </c>
      <c r="B2820" s="38" t="s">
        <v>5992</v>
      </c>
      <c r="C2820" s="38" t="s">
        <v>6051</v>
      </c>
      <c r="D2820" s="38" t="s">
        <v>6052</v>
      </c>
      <c r="E2820" s="38" t="s">
        <v>6053</v>
      </c>
      <c r="F2820" s="38">
        <v>1077</v>
      </c>
      <c r="G2820" s="38">
        <v>132</v>
      </c>
      <c r="H2820" s="38">
        <f t="shared" si="135"/>
        <v>888</v>
      </c>
      <c r="I2820" s="38">
        <v>467</v>
      </c>
      <c r="J2820" s="38">
        <v>421</v>
      </c>
      <c r="K2820" s="38">
        <v>39</v>
      </c>
      <c r="L2820" s="50">
        <f t="shared" si="136"/>
        <v>4.3918918918918921</v>
      </c>
      <c r="M2820" s="38">
        <v>5</v>
      </c>
      <c r="N2820" s="50">
        <f t="shared" si="137"/>
        <v>0.56306306306306309</v>
      </c>
      <c r="O2820" s="38">
        <v>0</v>
      </c>
      <c r="P2820" s="38">
        <v>0</v>
      </c>
    </row>
    <row r="2821" spans="1:22" x14ac:dyDescent="0.25">
      <c r="A2821" s="38" t="s">
        <v>36</v>
      </c>
      <c r="B2821" s="38" t="s">
        <v>5992</v>
      </c>
      <c r="C2821" s="38" t="s">
        <v>6051</v>
      </c>
      <c r="D2821" s="38" t="s">
        <v>6054</v>
      </c>
      <c r="E2821" s="38" t="s">
        <v>6055</v>
      </c>
      <c r="F2821" s="38">
        <v>616</v>
      </c>
      <c r="G2821" s="38">
        <v>94</v>
      </c>
      <c r="H2821" s="38">
        <f t="shared" ref="H2821:H2884" si="138">I2821+J2821</f>
        <v>519</v>
      </c>
      <c r="I2821" s="38">
        <v>277</v>
      </c>
      <c r="J2821" s="38">
        <v>242</v>
      </c>
      <c r="K2821" s="38">
        <v>0</v>
      </c>
      <c r="L2821" s="50">
        <f t="shared" si="136"/>
        <v>0</v>
      </c>
      <c r="M2821" s="38">
        <v>0</v>
      </c>
      <c r="N2821" s="50">
        <f t="shared" si="137"/>
        <v>0</v>
      </c>
      <c r="O2821" s="38">
        <v>0</v>
      </c>
      <c r="P2821" s="38">
        <v>0</v>
      </c>
    </row>
    <row r="2822" spans="1:22" x14ac:dyDescent="0.25">
      <c r="A2822" s="38" t="s">
        <v>36</v>
      </c>
      <c r="B2822" s="38" t="s">
        <v>5992</v>
      </c>
      <c r="C2822" s="38" t="s">
        <v>6051</v>
      </c>
      <c r="D2822" s="38" t="s">
        <v>4807</v>
      </c>
      <c r="E2822" s="38" t="s">
        <v>6056</v>
      </c>
      <c r="F2822" s="38">
        <v>971</v>
      </c>
      <c r="G2822" s="38">
        <v>118</v>
      </c>
      <c r="H2822" s="38">
        <f t="shared" si="138"/>
        <v>656</v>
      </c>
      <c r="I2822" s="38">
        <v>348</v>
      </c>
      <c r="J2822" s="38">
        <v>308</v>
      </c>
      <c r="K2822" s="38">
        <v>48</v>
      </c>
      <c r="L2822" s="50">
        <f t="shared" ref="L2822:L2885" si="139">K2822/H2822*100</f>
        <v>7.3170731707317067</v>
      </c>
      <c r="M2822" s="38">
        <v>0</v>
      </c>
      <c r="N2822" s="50">
        <f t="shared" si="137"/>
        <v>0</v>
      </c>
      <c r="O2822" s="38">
        <v>0</v>
      </c>
      <c r="P2822" s="38">
        <v>0</v>
      </c>
    </row>
    <row r="2823" spans="1:22" x14ac:dyDescent="0.25">
      <c r="A2823" s="38" t="s">
        <v>36</v>
      </c>
      <c r="B2823" s="38" t="s">
        <v>5992</v>
      </c>
      <c r="C2823" s="38" t="s">
        <v>6057</v>
      </c>
      <c r="D2823" s="38" t="s">
        <v>6058</v>
      </c>
      <c r="E2823" s="38" t="s">
        <v>6059</v>
      </c>
      <c r="F2823" s="38">
        <v>1587</v>
      </c>
      <c r="G2823" s="38">
        <v>215</v>
      </c>
      <c r="H2823" s="38">
        <f t="shared" si="138"/>
        <v>1268</v>
      </c>
      <c r="I2823" s="38">
        <v>674</v>
      </c>
      <c r="J2823" s="38">
        <v>594</v>
      </c>
      <c r="K2823" s="38">
        <v>273</v>
      </c>
      <c r="L2823" s="50">
        <f t="shared" si="139"/>
        <v>21.529968454258675</v>
      </c>
      <c r="M2823" s="38">
        <v>101</v>
      </c>
      <c r="N2823" s="50">
        <f t="shared" si="137"/>
        <v>7.965299684542587</v>
      </c>
      <c r="O2823" s="38">
        <v>0</v>
      </c>
      <c r="P2823" s="38">
        <v>55</v>
      </c>
      <c r="Q2823" s="11" t="s">
        <v>44</v>
      </c>
      <c r="R2823" s="256">
        <v>44072.747592592597</v>
      </c>
    </row>
    <row r="2824" spans="1:22" x14ac:dyDescent="0.25">
      <c r="A2824" s="38" t="s">
        <v>36</v>
      </c>
      <c r="B2824" s="38" t="s">
        <v>5992</v>
      </c>
      <c r="C2824" s="38" t="s">
        <v>6057</v>
      </c>
      <c r="D2824" s="38" t="s">
        <v>6060</v>
      </c>
      <c r="E2824" s="38" t="s">
        <v>6061</v>
      </c>
      <c r="F2824" s="38">
        <v>287.93</v>
      </c>
      <c r="G2824" s="38">
        <v>64</v>
      </c>
      <c r="H2824" s="38">
        <f t="shared" si="138"/>
        <v>317</v>
      </c>
      <c r="I2824" s="38">
        <v>161</v>
      </c>
      <c r="J2824" s="38">
        <v>156</v>
      </c>
      <c r="K2824" s="38">
        <v>54</v>
      </c>
      <c r="L2824" s="50">
        <f t="shared" si="139"/>
        <v>17.034700315457414</v>
      </c>
      <c r="M2824" s="38">
        <v>0</v>
      </c>
      <c r="N2824" s="50">
        <f t="shared" si="137"/>
        <v>0</v>
      </c>
      <c r="O2824" s="38">
        <v>0</v>
      </c>
      <c r="P2824" s="38">
        <v>0</v>
      </c>
      <c r="Q2824" s="11" t="s">
        <v>44</v>
      </c>
      <c r="R2824" s="256">
        <v>44072.747592592597</v>
      </c>
    </row>
    <row r="2825" spans="1:22" x14ac:dyDescent="0.25">
      <c r="A2825" s="38" t="s">
        <v>36</v>
      </c>
      <c r="B2825" s="38" t="s">
        <v>5992</v>
      </c>
      <c r="C2825" s="38" t="s">
        <v>6057</v>
      </c>
      <c r="D2825" s="38" t="s">
        <v>6062</v>
      </c>
      <c r="E2825" s="38" t="s">
        <v>6063</v>
      </c>
      <c r="F2825" s="38">
        <v>910.18</v>
      </c>
      <c r="G2825" s="38">
        <v>149</v>
      </c>
      <c r="H2825" s="38">
        <f t="shared" si="138"/>
        <v>737</v>
      </c>
      <c r="I2825" s="38">
        <v>390</v>
      </c>
      <c r="J2825" s="38">
        <v>347</v>
      </c>
      <c r="K2825" s="38">
        <v>71</v>
      </c>
      <c r="L2825" s="50">
        <f t="shared" si="139"/>
        <v>9.633649932157395</v>
      </c>
      <c r="M2825" s="38">
        <v>179</v>
      </c>
      <c r="N2825" s="50">
        <f t="shared" si="137"/>
        <v>24.287652645861602</v>
      </c>
      <c r="O2825" s="38">
        <v>0</v>
      </c>
      <c r="P2825" s="38">
        <v>7</v>
      </c>
      <c r="Q2825" s="11" t="s">
        <v>44</v>
      </c>
      <c r="R2825" s="256">
        <v>44072.747592592597</v>
      </c>
      <c r="S2825" s="11">
        <v>151</v>
      </c>
      <c r="T2825" s="11">
        <v>151</v>
      </c>
      <c r="V2825" s="11" t="s">
        <v>44</v>
      </c>
    </row>
    <row r="2826" spans="1:22" x14ac:dyDescent="0.25">
      <c r="A2826" s="38" t="s">
        <v>36</v>
      </c>
      <c r="B2826" s="38" t="s">
        <v>5992</v>
      </c>
      <c r="C2826" s="38" t="s">
        <v>5576</v>
      </c>
      <c r="D2826" s="38" t="s">
        <v>5576</v>
      </c>
      <c r="E2826" s="38" t="s">
        <v>6064</v>
      </c>
      <c r="F2826" s="38">
        <v>972.48</v>
      </c>
      <c r="G2826" s="38">
        <v>194</v>
      </c>
      <c r="H2826" s="38">
        <f t="shared" si="138"/>
        <v>1057</v>
      </c>
      <c r="I2826" s="38">
        <v>538</v>
      </c>
      <c r="J2826" s="38">
        <v>519</v>
      </c>
      <c r="K2826" s="38">
        <v>0</v>
      </c>
      <c r="L2826" s="50">
        <f t="shared" si="139"/>
        <v>0</v>
      </c>
      <c r="M2826" s="38">
        <v>0</v>
      </c>
      <c r="N2826" s="50">
        <f t="shared" si="137"/>
        <v>0</v>
      </c>
      <c r="O2826" s="38">
        <v>0</v>
      </c>
      <c r="P2826" s="38">
        <v>0</v>
      </c>
    </row>
    <row r="2827" spans="1:22" x14ac:dyDescent="0.25">
      <c r="A2827" s="38" t="s">
        <v>36</v>
      </c>
      <c r="B2827" s="38" t="s">
        <v>5992</v>
      </c>
      <c r="C2827" s="38" t="s">
        <v>5576</v>
      </c>
      <c r="D2827" s="38" t="s">
        <v>6065</v>
      </c>
      <c r="E2827" s="38" t="s">
        <v>6066</v>
      </c>
      <c r="F2827" s="38">
        <v>289.39999999999998</v>
      </c>
      <c r="G2827" s="38">
        <v>57</v>
      </c>
      <c r="H2827" s="38">
        <f t="shared" si="138"/>
        <v>334</v>
      </c>
      <c r="I2827" s="38">
        <v>165</v>
      </c>
      <c r="J2827" s="38">
        <v>169</v>
      </c>
      <c r="K2827" s="38">
        <v>0</v>
      </c>
      <c r="L2827" s="50">
        <f t="shared" si="139"/>
        <v>0</v>
      </c>
      <c r="M2827" s="38">
        <v>1</v>
      </c>
      <c r="N2827" s="50">
        <f t="shared" si="137"/>
        <v>0.29940119760479045</v>
      </c>
      <c r="O2827" s="38">
        <v>0</v>
      </c>
      <c r="P2827" s="38">
        <v>0</v>
      </c>
    </row>
    <row r="2828" spans="1:22" x14ac:dyDescent="0.25">
      <c r="A2828" s="38" t="s">
        <v>36</v>
      </c>
      <c r="B2828" s="38" t="s">
        <v>5992</v>
      </c>
      <c r="C2828" s="38" t="s">
        <v>5576</v>
      </c>
      <c r="D2828" s="38" t="s">
        <v>6067</v>
      </c>
      <c r="E2828" s="38" t="s">
        <v>6068</v>
      </c>
      <c r="F2828" s="38">
        <v>437.12</v>
      </c>
      <c r="G2828" s="38">
        <v>119</v>
      </c>
      <c r="H2828" s="38">
        <f t="shared" si="138"/>
        <v>680</v>
      </c>
      <c r="I2828" s="38">
        <v>350</v>
      </c>
      <c r="J2828" s="38">
        <v>330</v>
      </c>
      <c r="K2828" s="38">
        <v>1</v>
      </c>
      <c r="L2828" s="50">
        <f t="shared" si="139"/>
        <v>0.14705882352941177</v>
      </c>
      <c r="M2828" s="38">
        <v>0</v>
      </c>
      <c r="N2828" s="50">
        <f t="shared" si="137"/>
        <v>0</v>
      </c>
      <c r="O2828" s="38">
        <v>0</v>
      </c>
      <c r="P2828" s="38">
        <v>0</v>
      </c>
    </row>
    <row r="2829" spans="1:22" x14ac:dyDescent="0.25">
      <c r="A2829" s="38" t="s">
        <v>36</v>
      </c>
      <c r="B2829" s="38" t="s">
        <v>5992</v>
      </c>
      <c r="C2829" s="38" t="s">
        <v>6069</v>
      </c>
      <c r="D2829" s="38" t="s">
        <v>6070</v>
      </c>
      <c r="E2829" s="38" t="s">
        <v>6071</v>
      </c>
      <c r="F2829" s="38">
        <v>2193.1999999999998</v>
      </c>
      <c r="G2829" s="38">
        <v>393</v>
      </c>
      <c r="H2829" s="38">
        <f t="shared" si="138"/>
        <v>2214</v>
      </c>
      <c r="I2829" s="38">
        <v>1148</v>
      </c>
      <c r="J2829" s="38">
        <v>1066</v>
      </c>
      <c r="K2829" s="38">
        <v>655</v>
      </c>
      <c r="L2829" s="50">
        <f t="shared" si="139"/>
        <v>29.584462511291783</v>
      </c>
      <c r="M2829" s="38">
        <v>125</v>
      </c>
      <c r="N2829" s="50">
        <f t="shared" si="137"/>
        <v>5.6458897922312552</v>
      </c>
      <c r="O2829" s="38">
        <v>104.2</v>
      </c>
      <c r="P2829" s="38">
        <v>0</v>
      </c>
      <c r="Q2829" s="11" t="s">
        <v>44</v>
      </c>
      <c r="R2829" s="256">
        <v>44072.768368055556</v>
      </c>
      <c r="S2829" s="11">
        <v>124</v>
      </c>
      <c r="T2829" s="11">
        <v>124</v>
      </c>
      <c r="V2829" s="11" t="s">
        <v>6375</v>
      </c>
    </row>
    <row r="2830" spans="1:22" x14ac:dyDescent="0.25">
      <c r="A2830" s="38" t="s">
        <v>36</v>
      </c>
      <c r="B2830" s="38" t="s">
        <v>5992</v>
      </c>
      <c r="C2830" s="38" t="s">
        <v>6069</v>
      </c>
      <c r="D2830" s="38" t="s">
        <v>6072</v>
      </c>
      <c r="E2830" s="38" t="s">
        <v>6073</v>
      </c>
      <c r="F2830" s="38">
        <v>418.18</v>
      </c>
      <c r="G2830" s="38">
        <v>96</v>
      </c>
      <c r="H2830" s="38">
        <f t="shared" si="138"/>
        <v>508</v>
      </c>
      <c r="I2830" s="38">
        <v>251</v>
      </c>
      <c r="J2830" s="38">
        <v>257</v>
      </c>
      <c r="K2830" s="38">
        <v>0</v>
      </c>
      <c r="L2830" s="50">
        <f t="shared" si="139"/>
        <v>0</v>
      </c>
      <c r="M2830" s="38">
        <v>0</v>
      </c>
      <c r="N2830" s="50">
        <f t="shared" si="137"/>
        <v>0</v>
      </c>
      <c r="O2830" s="38">
        <v>0</v>
      </c>
      <c r="P2830" s="38">
        <v>0</v>
      </c>
      <c r="Q2830" s="11" t="s">
        <v>44</v>
      </c>
      <c r="R2830" s="256">
        <v>44072.768368055556</v>
      </c>
    </row>
    <row r="2831" spans="1:22" x14ac:dyDescent="0.25">
      <c r="A2831" s="38" t="s">
        <v>36</v>
      </c>
      <c r="B2831" s="38" t="s">
        <v>5992</v>
      </c>
      <c r="C2831" s="38" t="s">
        <v>6069</v>
      </c>
      <c r="D2831" s="38" t="s">
        <v>6074</v>
      </c>
      <c r="E2831" s="38" t="s">
        <v>6075</v>
      </c>
      <c r="F2831" s="38">
        <v>516.45000000000005</v>
      </c>
      <c r="G2831" s="38">
        <v>95</v>
      </c>
      <c r="H2831" s="38">
        <f t="shared" si="138"/>
        <v>480</v>
      </c>
      <c r="I2831" s="38">
        <v>250</v>
      </c>
      <c r="J2831" s="38">
        <v>230</v>
      </c>
      <c r="K2831" s="38">
        <v>118</v>
      </c>
      <c r="L2831" s="50">
        <f t="shared" si="139"/>
        <v>24.583333333333332</v>
      </c>
      <c r="M2831" s="38">
        <v>0</v>
      </c>
      <c r="N2831" s="50">
        <f t="shared" si="137"/>
        <v>0</v>
      </c>
      <c r="O2831" s="38">
        <v>0</v>
      </c>
      <c r="P2831" s="38">
        <v>0</v>
      </c>
      <c r="Q2831" s="11" t="s">
        <v>44</v>
      </c>
      <c r="R2831" s="256">
        <v>44072.768368055556</v>
      </c>
    </row>
    <row r="2832" spans="1:22" x14ac:dyDescent="0.25">
      <c r="A2832" s="38" t="s">
        <v>36</v>
      </c>
      <c r="B2832" s="38" t="s">
        <v>5992</v>
      </c>
      <c r="C2832" s="38" t="s">
        <v>6076</v>
      </c>
      <c r="D2832" s="38" t="s">
        <v>6076</v>
      </c>
      <c r="E2832" s="38" t="s">
        <v>6077</v>
      </c>
      <c r="F2832" s="38">
        <v>1725.97</v>
      </c>
      <c r="G2832" s="38">
        <v>377</v>
      </c>
      <c r="H2832" s="38">
        <f t="shared" si="138"/>
        <v>2141</v>
      </c>
      <c r="I2832" s="38">
        <v>1137</v>
      </c>
      <c r="J2832" s="38">
        <v>1004</v>
      </c>
      <c r="K2832" s="38">
        <v>357</v>
      </c>
      <c r="L2832" s="50">
        <f t="shared" si="139"/>
        <v>16.674451191032226</v>
      </c>
      <c r="M2832" s="38">
        <v>356</v>
      </c>
      <c r="N2832" s="50">
        <f t="shared" si="137"/>
        <v>16.62774404483886</v>
      </c>
      <c r="O2832" s="38">
        <v>0</v>
      </c>
      <c r="P2832" s="38">
        <v>72.95</v>
      </c>
      <c r="Q2832" s="11" t="s">
        <v>6375</v>
      </c>
      <c r="R2832" s="256">
        <v>44072.789594907408</v>
      </c>
    </row>
    <row r="2833" spans="1:22" x14ac:dyDescent="0.25">
      <c r="A2833" s="38" t="s">
        <v>36</v>
      </c>
      <c r="B2833" s="38" t="s">
        <v>5992</v>
      </c>
      <c r="C2833" s="38" t="s">
        <v>6076</v>
      </c>
      <c r="D2833" s="38" t="s">
        <v>6078</v>
      </c>
      <c r="E2833" s="38" t="s">
        <v>6079</v>
      </c>
      <c r="F2833" s="38">
        <v>486.67</v>
      </c>
      <c r="G2833" s="38">
        <v>149</v>
      </c>
      <c r="H2833" s="38">
        <f t="shared" si="138"/>
        <v>786</v>
      </c>
      <c r="I2833" s="38">
        <v>427</v>
      </c>
      <c r="J2833" s="38">
        <v>359</v>
      </c>
      <c r="K2833" s="38">
        <v>480</v>
      </c>
      <c r="L2833" s="50">
        <f t="shared" si="139"/>
        <v>61.068702290076338</v>
      </c>
      <c r="M2833" s="38">
        <v>0</v>
      </c>
      <c r="N2833" s="50">
        <f t="shared" si="137"/>
        <v>0</v>
      </c>
      <c r="O2833" s="38">
        <v>0</v>
      </c>
      <c r="P2833" s="38">
        <v>134.27000000000001</v>
      </c>
      <c r="Q2833" s="11" t="s">
        <v>44</v>
      </c>
      <c r="R2833" s="256">
        <v>44072.789594907408</v>
      </c>
      <c r="S2833" s="11">
        <v>136.21</v>
      </c>
      <c r="T2833" s="11">
        <v>136.21</v>
      </c>
      <c r="V2833" s="11" t="s">
        <v>6375</v>
      </c>
    </row>
    <row r="2834" spans="1:22" x14ac:dyDescent="0.25">
      <c r="A2834" s="38" t="s">
        <v>36</v>
      </c>
      <c r="B2834" s="38" t="s">
        <v>5992</v>
      </c>
      <c r="C2834" s="38" t="s">
        <v>6080</v>
      </c>
      <c r="D2834" s="38" t="s">
        <v>6081</v>
      </c>
      <c r="E2834" s="38" t="s">
        <v>6082</v>
      </c>
      <c r="F2834" s="38">
        <v>515.6</v>
      </c>
      <c r="G2834" s="38">
        <v>83</v>
      </c>
      <c r="H2834" s="38">
        <f t="shared" si="138"/>
        <v>534</v>
      </c>
      <c r="I2834" s="38">
        <v>283</v>
      </c>
      <c r="J2834" s="38">
        <v>251</v>
      </c>
      <c r="K2834" s="38">
        <v>0</v>
      </c>
      <c r="L2834" s="50">
        <f t="shared" si="139"/>
        <v>0</v>
      </c>
      <c r="M2834" s="38">
        <v>1</v>
      </c>
      <c r="N2834" s="50">
        <f t="shared" si="137"/>
        <v>0.18726591760299627</v>
      </c>
      <c r="O2834" s="38">
        <v>0</v>
      </c>
      <c r="P2834" s="38">
        <v>3.02</v>
      </c>
    </row>
    <row r="2835" spans="1:22" x14ac:dyDescent="0.25">
      <c r="A2835" s="38" t="s">
        <v>36</v>
      </c>
      <c r="B2835" s="38" t="s">
        <v>5992</v>
      </c>
      <c r="C2835" s="38" t="s">
        <v>6080</v>
      </c>
      <c r="D2835" s="38" t="s">
        <v>6083</v>
      </c>
      <c r="E2835" s="38" t="s">
        <v>6084</v>
      </c>
      <c r="F2835" s="38">
        <v>1349</v>
      </c>
      <c r="G2835" s="38">
        <v>185</v>
      </c>
      <c r="H2835" s="38">
        <f t="shared" si="138"/>
        <v>951</v>
      </c>
      <c r="I2835" s="38">
        <v>513</v>
      </c>
      <c r="J2835" s="38">
        <v>438</v>
      </c>
      <c r="K2835" s="38">
        <v>496</v>
      </c>
      <c r="L2835" s="50">
        <f t="shared" si="139"/>
        <v>52.15562565720294</v>
      </c>
      <c r="M2835" s="38">
        <v>8</v>
      </c>
      <c r="N2835" s="50">
        <f t="shared" si="137"/>
        <v>0.84121976866456361</v>
      </c>
      <c r="O2835" s="38">
        <v>115</v>
      </c>
      <c r="P2835" s="38">
        <v>45</v>
      </c>
    </row>
    <row r="2836" spans="1:22" x14ac:dyDescent="0.25">
      <c r="A2836" s="38" t="s">
        <v>36</v>
      </c>
      <c r="B2836" s="38" t="s">
        <v>5992</v>
      </c>
      <c r="C2836" s="38" t="s">
        <v>6080</v>
      </c>
      <c r="D2836" s="38" t="s">
        <v>6085</v>
      </c>
      <c r="E2836" s="38" t="s">
        <v>6086</v>
      </c>
      <c r="F2836" s="38">
        <v>750</v>
      </c>
      <c r="G2836" s="38">
        <v>102</v>
      </c>
      <c r="H2836" s="38">
        <f t="shared" si="138"/>
        <v>741</v>
      </c>
      <c r="I2836" s="38">
        <v>397</v>
      </c>
      <c r="J2836" s="38">
        <v>344</v>
      </c>
      <c r="K2836" s="38">
        <v>167</v>
      </c>
      <c r="L2836" s="50">
        <f t="shared" si="139"/>
        <v>22.537112010796221</v>
      </c>
      <c r="M2836" s="38">
        <v>0</v>
      </c>
      <c r="N2836" s="50">
        <f t="shared" si="137"/>
        <v>0</v>
      </c>
      <c r="O2836" s="38">
        <v>0</v>
      </c>
      <c r="P2836" s="38">
        <v>12</v>
      </c>
      <c r="Q2836" s="11" t="s">
        <v>6375</v>
      </c>
      <c r="R2836" s="256">
        <v>44681.575219907405</v>
      </c>
      <c r="V2836" s="11" t="s">
        <v>6375</v>
      </c>
    </row>
    <row r="2837" spans="1:22" x14ac:dyDescent="0.25">
      <c r="A2837" s="38" t="s">
        <v>36</v>
      </c>
      <c r="B2837" s="38" t="s">
        <v>5992</v>
      </c>
      <c r="C2837" s="38" t="s">
        <v>6080</v>
      </c>
      <c r="D2837" s="38" t="s">
        <v>225</v>
      </c>
      <c r="E2837" s="38" t="s">
        <v>6087</v>
      </c>
      <c r="F2837" s="38">
        <v>804</v>
      </c>
      <c r="G2837" s="38">
        <v>109</v>
      </c>
      <c r="H2837" s="38">
        <f t="shared" si="138"/>
        <v>597</v>
      </c>
      <c r="I2837" s="38">
        <v>319</v>
      </c>
      <c r="J2837" s="38">
        <v>278</v>
      </c>
      <c r="K2837" s="38">
        <v>0</v>
      </c>
      <c r="L2837" s="50">
        <f t="shared" si="139"/>
        <v>0</v>
      </c>
      <c r="M2837" s="38">
        <v>0</v>
      </c>
      <c r="N2837" s="50">
        <f t="shared" si="137"/>
        <v>0</v>
      </c>
      <c r="O2837" s="38">
        <v>0</v>
      </c>
      <c r="P2837" s="38">
        <v>6</v>
      </c>
    </row>
    <row r="2838" spans="1:22" x14ac:dyDescent="0.25">
      <c r="A2838" s="38" t="s">
        <v>36</v>
      </c>
      <c r="B2838" s="38" t="s">
        <v>5992</v>
      </c>
      <c r="C2838" s="38" t="s">
        <v>6080</v>
      </c>
      <c r="D2838" s="38" t="s">
        <v>6088</v>
      </c>
      <c r="E2838" s="38" t="s">
        <v>6089</v>
      </c>
      <c r="F2838" s="38">
        <v>1544</v>
      </c>
      <c r="G2838" s="38">
        <v>43</v>
      </c>
      <c r="H2838" s="38">
        <f t="shared" si="138"/>
        <v>220</v>
      </c>
      <c r="I2838" s="38">
        <v>123</v>
      </c>
      <c r="J2838" s="38">
        <v>97</v>
      </c>
      <c r="K2838" s="38">
        <v>0</v>
      </c>
      <c r="L2838" s="50">
        <f t="shared" si="139"/>
        <v>0</v>
      </c>
      <c r="M2838" s="38">
        <v>0</v>
      </c>
      <c r="N2838" s="50">
        <f t="shared" si="137"/>
        <v>0</v>
      </c>
      <c r="O2838" s="38">
        <v>0</v>
      </c>
      <c r="P2838" s="38">
        <v>0</v>
      </c>
    </row>
    <row r="2839" spans="1:22" x14ac:dyDescent="0.25">
      <c r="A2839" s="38" t="s">
        <v>36</v>
      </c>
      <c r="B2839" s="38" t="s">
        <v>5992</v>
      </c>
      <c r="C2839" s="38" t="s">
        <v>6090</v>
      </c>
      <c r="D2839" s="38" t="s">
        <v>6090</v>
      </c>
      <c r="E2839" s="38" t="s">
        <v>6091</v>
      </c>
      <c r="F2839" s="38">
        <v>1100.44</v>
      </c>
      <c r="G2839" s="38">
        <v>228</v>
      </c>
      <c r="H2839" s="38">
        <f t="shared" si="138"/>
        <v>1244</v>
      </c>
      <c r="I2839" s="38">
        <v>652</v>
      </c>
      <c r="J2839" s="38">
        <v>592</v>
      </c>
      <c r="K2839" s="38">
        <v>98</v>
      </c>
      <c r="L2839" s="50">
        <f t="shared" si="139"/>
        <v>7.8778135048231519</v>
      </c>
      <c r="M2839" s="38">
        <v>22</v>
      </c>
      <c r="N2839" s="50">
        <f t="shared" si="137"/>
        <v>1.7684887459807075</v>
      </c>
      <c r="O2839" s="38">
        <v>0</v>
      </c>
      <c r="P2839" s="38">
        <v>1</v>
      </c>
    </row>
    <row r="2840" spans="1:22" x14ac:dyDescent="0.25">
      <c r="A2840" s="38" t="s">
        <v>36</v>
      </c>
      <c r="B2840" s="38" t="s">
        <v>5992</v>
      </c>
      <c r="C2840" s="38" t="s">
        <v>6090</v>
      </c>
      <c r="D2840" s="38" t="s">
        <v>6092</v>
      </c>
      <c r="E2840" s="38" t="s">
        <v>6093</v>
      </c>
      <c r="F2840" s="38">
        <v>491.25</v>
      </c>
      <c r="G2840" s="38">
        <v>70</v>
      </c>
      <c r="H2840" s="38">
        <f t="shared" si="138"/>
        <v>361</v>
      </c>
      <c r="I2840" s="38">
        <v>198</v>
      </c>
      <c r="J2840" s="38">
        <v>163</v>
      </c>
      <c r="K2840" s="38">
        <v>22</v>
      </c>
      <c r="L2840" s="50">
        <f t="shared" si="139"/>
        <v>6.094182825484765</v>
      </c>
      <c r="M2840" s="38">
        <v>69</v>
      </c>
      <c r="N2840" s="50">
        <f t="shared" si="137"/>
        <v>19.113573407202217</v>
      </c>
      <c r="O2840" s="38">
        <v>0</v>
      </c>
      <c r="P2840" s="38">
        <v>0</v>
      </c>
    </row>
    <row r="2841" spans="1:22" x14ac:dyDescent="0.25">
      <c r="A2841" s="38" t="s">
        <v>36</v>
      </c>
      <c r="B2841" s="38" t="s">
        <v>5992</v>
      </c>
      <c r="C2841" s="38" t="s">
        <v>6094</v>
      </c>
      <c r="D2841" s="38" t="s">
        <v>6094</v>
      </c>
      <c r="E2841" s="38" t="s">
        <v>6095</v>
      </c>
      <c r="F2841" s="38">
        <v>1684.6</v>
      </c>
      <c r="G2841" s="38">
        <v>166</v>
      </c>
      <c r="H2841" s="38">
        <f t="shared" si="138"/>
        <v>1025</v>
      </c>
      <c r="I2841" s="38">
        <v>502</v>
      </c>
      <c r="J2841" s="38">
        <v>523</v>
      </c>
      <c r="K2841" s="38">
        <v>0</v>
      </c>
      <c r="L2841" s="50">
        <f t="shared" si="139"/>
        <v>0</v>
      </c>
      <c r="M2841" s="38">
        <v>42</v>
      </c>
      <c r="N2841" s="50">
        <f t="shared" si="137"/>
        <v>4.0975609756097562</v>
      </c>
      <c r="O2841" s="38">
        <v>0</v>
      </c>
      <c r="P2841" s="38">
        <v>90.64</v>
      </c>
      <c r="Q2841" s="11" t="s">
        <v>6375</v>
      </c>
      <c r="R2841" s="255">
        <v>45160</v>
      </c>
      <c r="S2841" s="11">
        <v>3.5</v>
      </c>
      <c r="T2841" s="11">
        <v>3.5</v>
      </c>
      <c r="V2841" s="11" t="s">
        <v>6375</v>
      </c>
    </row>
    <row r="2842" spans="1:22" x14ac:dyDescent="0.25">
      <c r="A2842" s="38" t="s">
        <v>36</v>
      </c>
      <c r="B2842" s="38" t="s">
        <v>5992</v>
      </c>
      <c r="C2842" s="38" t="s">
        <v>6094</v>
      </c>
      <c r="D2842" s="38" t="s">
        <v>6096</v>
      </c>
      <c r="E2842" s="38" t="s">
        <v>6097</v>
      </c>
      <c r="F2842" s="38">
        <v>503.66</v>
      </c>
      <c r="G2842" s="38">
        <v>88</v>
      </c>
      <c r="H2842" s="38">
        <f t="shared" si="138"/>
        <v>575</v>
      </c>
      <c r="I2842" s="38">
        <v>299</v>
      </c>
      <c r="J2842" s="38">
        <v>276</v>
      </c>
      <c r="K2842" s="38">
        <v>6</v>
      </c>
      <c r="L2842" s="50">
        <f t="shared" si="139"/>
        <v>1.0434782608695654</v>
      </c>
      <c r="M2842" s="38">
        <v>384</v>
      </c>
      <c r="N2842" s="50">
        <f t="shared" si="137"/>
        <v>66.782608695652186</v>
      </c>
      <c r="O2842" s="38">
        <v>0</v>
      </c>
      <c r="P2842" s="38">
        <v>0</v>
      </c>
    </row>
    <row r="2843" spans="1:22" x14ac:dyDescent="0.25">
      <c r="A2843" s="38" t="s">
        <v>36</v>
      </c>
      <c r="B2843" s="38" t="s">
        <v>5992</v>
      </c>
      <c r="C2843" s="38" t="s">
        <v>6094</v>
      </c>
      <c r="D2843" s="38" t="s">
        <v>6098</v>
      </c>
      <c r="E2843" s="38" t="s">
        <v>6099</v>
      </c>
      <c r="F2843" s="38">
        <v>456.89</v>
      </c>
      <c r="G2843" s="38">
        <v>48</v>
      </c>
      <c r="H2843" s="38">
        <f t="shared" si="138"/>
        <v>297</v>
      </c>
      <c r="I2843" s="38">
        <v>165</v>
      </c>
      <c r="J2843" s="38">
        <v>132</v>
      </c>
      <c r="K2843" s="38">
        <v>0</v>
      </c>
      <c r="L2843" s="50">
        <f t="shared" si="139"/>
        <v>0</v>
      </c>
      <c r="M2843" s="38">
        <v>149</v>
      </c>
      <c r="N2843" s="50">
        <f t="shared" si="137"/>
        <v>50.168350168350173</v>
      </c>
      <c r="O2843" s="38">
        <v>0</v>
      </c>
      <c r="P2843" s="38">
        <v>0</v>
      </c>
    </row>
    <row r="2844" spans="1:22" x14ac:dyDescent="0.25">
      <c r="A2844" s="38" t="s">
        <v>36</v>
      </c>
      <c r="B2844" s="38" t="s">
        <v>5992</v>
      </c>
      <c r="C2844" s="38" t="s">
        <v>6094</v>
      </c>
      <c r="D2844" s="38" t="s">
        <v>6100</v>
      </c>
      <c r="E2844" s="38" t="s">
        <v>6101</v>
      </c>
      <c r="F2844" s="38">
        <v>257.47000000000003</v>
      </c>
      <c r="G2844" s="38">
        <v>15</v>
      </c>
      <c r="H2844" s="38">
        <f t="shared" si="138"/>
        <v>97</v>
      </c>
      <c r="I2844" s="38">
        <v>55</v>
      </c>
      <c r="J2844" s="38">
        <v>42</v>
      </c>
      <c r="K2844" s="38">
        <v>0</v>
      </c>
      <c r="L2844" s="50">
        <f t="shared" si="139"/>
        <v>0</v>
      </c>
      <c r="M2844" s="38">
        <v>0</v>
      </c>
      <c r="N2844" s="50">
        <f t="shared" si="137"/>
        <v>0</v>
      </c>
      <c r="O2844" s="38">
        <v>0</v>
      </c>
      <c r="P2844" s="38">
        <v>0</v>
      </c>
    </row>
    <row r="2845" spans="1:22" x14ac:dyDescent="0.25">
      <c r="A2845" s="38" t="s">
        <v>36</v>
      </c>
      <c r="B2845" s="38" t="s">
        <v>5992</v>
      </c>
      <c r="C2845" s="38" t="s">
        <v>6094</v>
      </c>
      <c r="D2845" s="38" t="s">
        <v>6102</v>
      </c>
      <c r="E2845" s="38" t="s">
        <v>6103</v>
      </c>
      <c r="F2845" s="38">
        <v>209.69</v>
      </c>
      <c r="G2845" s="38">
        <v>45</v>
      </c>
      <c r="H2845" s="38">
        <f t="shared" si="138"/>
        <v>283</v>
      </c>
      <c r="I2845" s="38">
        <v>156</v>
      </c>
      <c r="J2845" s="38">
        <v>127</v>
      </c>
      <c r="K2845" s="38">
        <v>0</v>
      </c>
      <c r="L2845" s="50">
        <f t="shared" si="139"/>
        <v>0</v>
      </c>
      <c r="M2845" s="38">
        <v>0</v>
      </c>
      <c r="N2845" s="50">
        <f t="shared" si="137"/>
        <v>0</v>
      </c>
      <c r="O2845" s="38">
        <v>0</v>
      </c>
      <c r="P2845" s="38">
        <v>47.39</v>
      </c>
      <c r="Q2845" s="11" t="s">
        <v>6375</v>
      </c>
      <c r="R2845" s="255">
        <v>45432.7726736111</v>
      </c>
      <c r="S2845" s="11">
        <v>3.2</v>
      </c>
      <c r="T2845" s="11">
        <v>3.2</v>
      </c>
      <c r="V2845" s="11" t="s">
        <v>6375</v>
      </c>
    </row>
    <row r="2846" spans="1:22" x14ac:dyDescent="0.25">
      <c r="A2846" s="38" t="s">
        <v>36</v>
      </c>
      <c r="B2846" s="38" t="s">
        <v>5992</v>
      </c>
      <c r="C2846" s="38" t="s">
        <v>6104</v>
      </c>
      <c r="D2846" s="38" t="s">
        <v>6104</v>
      </c>
      <c r="E2846" s="38" t="s">
        <v>6105</v>
      </c>
      <c r="F2846" s="38">
        <v>284.14999999999998</v>
      </c>
      <c r="G2846" s="38">
        <v>83</v>
      </c>
      <c r="H2846" s="38">
        <f t="shared" si="138"/>
        <v>483</v>
      </c>
      <c r="I2846" s="38">
        <v>244</v>
      </c>
      <c r="J2846" s="38">
        <v>239</v>
      </c>
      <c r="K2846" s="38">
        <v>0</v>
      </c>
      <c r="L2846" s="50">
        <f t="shared" si="139"/>
        <v>0</v>
      </c>
      <c r="M2846" s="38">
        <v>2</v>
      </c>
      <c r="N2846" s="50">
        <f t="shared" ref="N2846:N2909" si="140">M2846/H2846*100</f>
        <v>0.41407867494824019</v>
      </c>
      <c r="O2846" s="38">
        <v>0</v>
      </c>
      <c r="P2846" s="38">
        <v>1.42</v>
      </c>
    </row>
    <row r="2847" spans="1:22" x14ac:dyDescent="0.25">
      <c r="A2847" s="38" t="s">
        <v>36</v>
      </c>
      <c r="B2847" s="38" t="s">
        <v>5992</v>
      </c>
      <c r="C2847" s="38" t="s">
        <v>6104</v>
      </c>
      <c r="D2847" s="38" t="s">
        <v>6106</v>
      </c>
      <c r="E2847" s="38" t="s">
        <v>6107</v>
      </c>
      <c r="F2847" s="38">
        <v>587.76</v>
      </c>
      <c r="G2847" s="38">
        <v>40</v>
      </c>
      <c r="H2847" s="38">
        <f t="shared" si="138"/>
        <v>310</v>
      </c>
      <c r="I2847" s="38">
        <v>157</v>
      </c>
      <c r="J2847" s="38">
        <v>153</v>
      </c>
      <c r="K2847" s="38">
        <v>19</v>
      </c>
      <c r="L2847" s="50">
        <f t="shared" si="139"/>
        <v>6.129032258064516</v>
      </c>
      <c r="M2847" s="38">
        <v>0</v>
      </c>
      <c r="N2847" s="50">
        <f t="shared" si="140"/>
        <v>0</v>
      </c>
      <c r="O2847" s="38">
        <v>0</v>
      </c>
      <c r="P2847" s="38">
        <v>44.91</v>
      </c>
      <c r="Q2847" s="11" t="s">
        <v>6375</v>
      </c>
      <c r="R2847" s="255">
        <v>45160</v>
      </c>
      <c r="V2847" s="11" t="s">
        <v>6375</v>
      </c>
    </row>
    <row r="2848" spans="1:22" x14ac:dyDescent="0.25">
      <c r="A2848" s="38" t="s">
        <v>36</v>
      </c>
      <c r="B2848" s="38" t="s">
        <v>5992</v>
      </c>
      <c r="C2848" s="38" t="s">
        <v>6104</v>
      </c>
      <c r="D2848" s="38" t="s">
        <v>6108</v>
      </c>
      <c r="E2848" s="38" t="s">
        <v>6109</v>
      </c>
      <c r="F2848" s="38">
        <v>716.31</v>
      </c>
      <c r="G2848" s="38">
        <v>92</v>
      </c>
      <c r="H2848" s="38">
        <f t="shared" si="138"/>
        <v>508</v>
      </c>
      <c r="I2848" s="38">
        <v>274</v>
      </c>
      <c r="J2848" s="38">
        <v>234</v>
      </c>
      <c r="K2848" s="38">
        <v>61</v>
      </c>
      <c r="L2848" s="50">
        <f t="shared" si="139"/>
        <v>12.007874015748031</v>
      </c>
      <c r="M2848" s="38">
        <v>0</v>
      </c>
      <c r="N2848" s="50">
        <f t="shared" si="140"/>
        <v>0</v>
      </c>
      <c r="O2848" s="38">
        <v>0</v>
      </c>
      <c r="P2848" s="38">
        <v>45.58</v>
      </c>
      <c r="Q2848" s="11" t="s">
        <v>44</v>
      </c>
      <c r="R2848" s="255">
        <v>45160</v>
      </c>
      <c r="V2848" s="11" t="s">
        <v>6375</v>
      </c>
    </row>
    <row r="2849" spans="1:22" x14ac:dyDescent="0.25">
      <c r="A2849" s="38" t="s">
        <v>36</v>
      </c>
      <c r="B2849" s="38" t="s">
        <v>5992</v>
      </c>
      <c r="C2849" s="38" t="s">
        <v>6104</v>
      </c>
      <c r="D2849" s="38" t="s">
        <v>6110</v>
      </c>
      <c r="E2849" s="38" t="s">
        <v>6111</v>
      </c>
      <c r="F2849" s="38">
        <v>1420.34</v>
      </c>
      <c r="G2849" s="38">
        <v>155</v>
      </c>
      <c r="H2849" s="38">
        <f t="shared" si="138"/>
        <v>1029</v>
      </c>
      <c r="I2849" s="38">
        <v>547</v>
      </c>
      <c r="J2849" s="38">
        <v>482</v>
      </c>
      <c r="K2849" s="38">
        <v>0</v>
      </c>
      <c r="L2849" s="50">
        <f t="shared" si="139"/>
        <v>0</v>
      </c>
      <c r="M2849" s="38">
        <v>115</v>
      </c>
      <c r="N2849" s="50">
        <f t="shared" si="140"/>
        <v>11.175898931000972</v>
      </c>
      <c r="O2849" s="38">
        <v>0</v>
      </c>
      <c r="P2849" s="38">
        <v>29.17</v>
      </c>
      <c r="Q2849" s="11" t="s">
        <v>44</v>
      </c>
      <c r="R2849" s="255">
        <v>45160</v>
      </c>
    </row>
    <row r="2850" spans="1:22" x14ac:dyDescent="0.25">
      <c r="A2850" s="38" t="s">
        <v>36</v>
      </c>
      <c r="B2850" s="38" t="s">
        <v>5992</v>
      </c>
      <c r="C2850" s="38" t="s">
        <v>6112</v>
      </c>
      <c r="D2850" s="38" t="s">
        <v>6113</v>
      </c>
      <c r="E2850" s="38" t="s">
        <v>6114</v>
      </c>
      <c r="F2850" s="38">
        <v>2069.52</v>
      </c>
      <c r="G2850" s="38">
        <v>393</v>
      </c>
      <c r="H2850" s="38">
        <f t="shared" si="138"/>
        <v>2384</v>
      </c>
      <c r="I2850" s="38">
        <v>1276</v>
      </c>
      <c r="J2850" s="38">
        <v>1108</v>
      </c>
      <c r="K2850" s="38">
        <v>399</v>
      </c>
      <c r="L2850" s="50">
        <f t="shared" si="139"/>
        <v>16.736577181208055</v>
      </c>
      <c r="M2850" s="38">
        <v>179</v>
      </c>
      <c r="N2850" s="50">
        <f t="shared" si="140"/>
        <v>7.5083892617449663</v>
      </c>
      <c r="O2850" s="38">
        <v>0</v>
      </c>
      <c r="P2850" s="38">
        <v>9.06</v>
      </c>
      <c r="Q2850" s="11" t="s">
        <v>6375</v>
      </c>
      <c r="R2850" s="256">
        <v>44133.691307870366</v>
      </c>
      <c r="S2850" s="11">
        <v>51</v>
      </c>
      <c r="T2850" s="11">
        <v>51</v>
      </c>
      <c r="V2850" s="11" t="s">
        <v>6375</v>
      </c>
    </row>
    <row r="2851" spans="1:22" x14ac:dyDescent="0.25">
      <c r="A2851" s="38" t="s">
        <v>36</v>
      </c>
      <c r="B2851" s="38" t="s">
        <v>5992</v>
      </c>
      <c r="C2851" s="38" t="s">
        <v>6112</v>
      </c>
      <c r="D2851" s="38" t="s">
        <v>233</v>
      </c>
      <c r="E2851" s="38" t="s">
        <v>6115</v>
      </c>
      <c r="F2851" s="38">
        <v>784.19</v>
      </c>
      <c r="G2851" s="38">
        <v>191</v>
      </c>
      <c r="H2851" s="38">
        <f t="shared" si="138"/>
        <v>1032</v>
      </c>
      <c r="I2851" s="38">
        <v>549</v>
      </c>
      <c r="J2851" s="38">
        <v>483</v>
      </c>
      <c r="K2851" s="38">
        <v>0</v>
      </c>
      <c r="L2851" s="50">
        <f t="shared" si="139"/>
        <v>0</v>
      </c>
      <c r="M2851" s="38">
        <v>0</v>
      </c>
      <c r="N2851" s="50">
        <f t="shared" si="140"/>
        <v>0</v>
      </c>
      <c r="O2851" s="38">
        <v>0</v>
      </c>
      <c r="P2851" s="38">
        <v>0</v>
      </c>
      <c r="Q2851" s="11" t="s">
        <v>6375</v>
      </c>
      <c r="R2851" s="256">
        <v>44133.691307870366</v>
      </c>
      <c r="S2851" s="11">
        <v>4</v>
      </c>
      <c r="T2851" s="11">
        <v>4</v>
      </c>
      <c r="V2851" s="11" t="s">
        <v>6375</v>
      </c>
    </row>
    <row r="2852" spans="1:22" x14ac:dyDescent="0.25">
      <c r="A2852" s="38" t="s">
        <v>36</v>
      </c>
      <c r="B2852" s="38" t="s">
        <v>5992</v>
      </c>
      <c r="C2852" s="38" t="s">
        <v>6116</v>
      </c>
      <c r="D2852" s="38" t="s">
        <v>6117</v>
      </c>
      <c r="E2852" s="38" t="s">
        <v>6118</v>
      </c>
      <c r="F2852" s="38">
        <v>1274.01</v>
      </c>
      <c r="G2852" s="38">
        <v>352</v>
      </c>
      <c r="H2852" s="38">
        <f t="shared" si="138"/>
        <v>2122</v>
      </c>
      <c r="I2852" s="38">
        <v>1123</v>
      </c>
      <c r="J2852" s="38">
        <v>999</v>
      </c>
      <c r="K2852" s="38">
        <v>277</v>
      </c>
      <c r="L2852" s="50">
        <f t="shared" si="139"/>
        <v>13.053722902921772</v>
      </c>
      <c r="M2852" s="38">
        <v>0</v>
      </c>
      <c r="N2852" s="50">
        <f t="shared" si="140"/>
        <v>0</v>
      </c>
      <c r="O2852" s="38">
        <v>0</v>
      </c>
      <c r="P2852" s="38">
        <v>0</v>
      </c>
      <c r="Q2852" s="11" t="s">
        <v>6375</v>
      </c>
      <c r="R2852" s="256">
        <v>44681.556250000001</v>
      </c>
      <c r="V2852" s="11" t="s">
        <v>6375</v>
      </c>
    </row>
    <row r="2853" spans="1:22" x14ac:dyDescent="0.25">
      <c r="A2853" s="38" t="s">
        <v>36</v>
      </c>
      <c r="B2853" s="38" t="s">
        <v>5992</v>
      </c>
      <c r="C2853" s="38" t="s">
        <v>6116</v>
      </c>
      <c r="D2853" s="38" t="s">
        <v>1819</v>
      </c>
      <c r="E2853" s="38" t="s">
        <v>6119</v>
      </c>
      <c r="F2853" s="38">
        <v>387.03</v>
      </c>
      <c r="G2853" s="38">
        <v>71</v>
      </c>
      <c r="H2853" s="38">
        <f t="shared" si="138"/>
        <v>429</v>
      </c>
      <c r="I2853" s="38">
        <v>209</v>
      </c>
      <c r="J2853" s="38">
        <v>220</v>
      </c>
      <c r="K2853" s="38">
        <v>0</v>
      </c>
      <c r="L2853" s="50">
        <f t="shared" si="139"/>
        <v>0</v>
      </c>
      <c r="M2853" s="38">
        <v>0</v>
      </c>
      <c r="N2853" s="50">
        <f t="shared" si="140"/>
        <v>0</v>
      </c>
      <c r="O2853" s="38">
        <v>0</v>
      </c>
      <c r="P2853" s="38">
        <v>0</v>
      </c>
      <c r="Q2853" s="11" t="s">
        <v>6375</v>
      </c>
      <c r="R2853" s="256">
        <v>44681.556250000001</v>
      </c>
      <c r="S2853" s="11">
        <v>33</v>
      </c>
      <c r="T2853" s="11">
        <v>33</v>
      </c>
      <c r="V2853" s="11" t="s">
        <v>6375</v>
      </c>
    </row>
    <row r="2854" spans="1:22" x14ac:dyDescent="0.25">
      <c r="A2854" s="38" t="s">
        <v>36</v>
      </c>
      <c r="B2854" s="38" t="s">
        <v>5992</v>
      </c>
      <c r="C2854" s="38" t="s">
        <v>6120</v>
      </c>
      <c r="D2854" s="38" t="s">
        <v>6120</v>
      </c>
      <c r="E2854" s="38" t="s">
        <v>6121</v>
      </c>
      <c r="F2854" s="38">
        <v>548</v>
      </c>
      <c r="G2854" s="38">
        <v>144</v>
      </c>
      <c r="H2854" s="38">
        <f t="shared" si="138"/>
        <v>837</v>
      </c>
      <c r="I2854" s="38">
        <v>449</v>
      </c>
      <c r="J2854" s="38">
        <v>388</v>
      </c>
      <c r="K2854" s="38">
        <v>99</v>
      </c>
      <c r="L2854" s="50">
        <f t="shared" si="139"/>
        <v>11.827956989247312</v>
      </c>
      <c r="M2854" s="38">
        <v>1</v>
      </c>
      <c r="N2854" s="50">
        <f t="shared" si="140"/>
        <v>0.11947431302270012</v>
      </c>
      <c r="O2854" s="38">
        <v>0</v>
      </c>
      <c r="P2854" s="38">
        <v>0</v>
      </c>
    </row>
    <row r="2855" spans="1:22" x14ac:dyDescent="0.25">
      <c r="A2855" s="38" t="s">
        <v>36</v>
      </c>
      <c r="B2855" s="38" t="s">
        <v>5992</v>
      </c>
      <c r="C2855" s="38" t="s">
        <v>6120</v>
      </c>
      <c r="D2855" s="38" t="s">
        <v>6122</v>
      </c>
      <c r="E2855" s="38" t="s">
        <v>6123</v>
      </c>
      <c r="F2855" s="38">
        <v>401.24</v>
      </c>
      <c r="G2855" s="38">
        <v>106</v>
      </c>
      <c r="H2855" s="38">
        <f t="shared" si="138"/>
        <v>632</v>
      </c>
      <c r="I2855" s="38">
        <v>346</v>
      </c>
      <c r="J2855" s="38">
        <v>286</v>
      </c>
      <c r="K2855" s="38">
        <v>0</v>
      </c>
      <c r="L2855" s="50">
        <f t="shared" si="139"/>
        <v>0</v>
      </c>
      <c r="M2855" s="38">
        <v>0</v>
      </c>
      <c r="N2855" s="50">
        <f t="shared" si="140"/>
        <v>0</v>
      </c>
      <c r="O2855" s="38">
        <v>0</v>
      </c>
      <c r="P2855" s="38">
        <v>0</v>
      </c>
    </row>
    <row r="2856" spans="1:22" x14ac:dyDescent="0.25">
      <c r="A2856" s="38" t="s">
        <v>36</v>
      </c>
      <c r="B2856" s="38" t="s">
        <v>5992</v>
      </c>
      <c r="C2856" s="38" t="s">
        <v>6120</v>
      </c>
      <c r="D2856" s="38" t="s">
        <v>6124</v>
      </c>
      <c r="E2856" s="38" t="s">
        <v>6125</v>
      </c>
      <c r="F2856" s="38">
        <v>399.11</v>
      </c>
      <c r="G2856" s="38">
        <v>161</v>
      </c>
      <c r="H2856" s="38">
        <f t="shared" si="138"/>
        <v>886</v>
      </c>
      <c r="I2856" s="38">
        <v>459</v>
      </c>
      <c r="J2856" s="38">
        <v>427</v>
      </c>
      <c r="K2856" s="38">
        <v>0</v>
      </c>
      <c r="L2856" s="50">
        <f t="shared" si="139"/>
        <v>0</v>
      </c>
      <c r="M2856" s="38">
        <v>0</v>
      </c>
      <c r="N2856" s="50">
        <f t="shared" si="140"/>
        <v>0</v>
      </c>
      <c r="O2856" s="38">
        <v>0</v>
      </c>
      <c r="P2856" s="38">
        <v>0</v>
      </c>
    </row>
    <row r="2857" spans="1:22" x14ac:dyDescent="0.25">
      <c r="A2857" s="38" t="s">
        <v>36</v>
      </c>
      <c r="B2857" s="38" t="s">
        <v>5992</v>
      </c>
      <c r="C2857" s="38" t="s">
        <v>6120</v>
      </c>
      <c r="D2857" s="38" t="s">
        <v>6126</v>
      </c>
      <c r="E2857" s="38" t="s">
        <v>6127</v>
      </c>
      <c r="F2857" s="38">
        <v>403</v>
      </c>
      <c r="G2857" s="38">
        <v>136</v>
      </c>
      <c r="H2857" s="38">
        <f t="shared" si="138"/>
        <v>683</v>
      </c>
      <c r="I2857" s="38">
        <v>358</v>
      </c>
      <c r="J2857" s="38">
        <v>325</v>
      </c>
      <c r="K2857" s="38">
        <v>81</v>
      </c>
      <c r="L2857" s="50">
        <f t="shared" si="139"/>
        <v>11.859443631039532</v>
      </c>
      <c r="M2857" s="38">
        <v>0</v>
      </c>
      <c r="N2857" s="50">
        <f t="shared" si="140"/>
        <v>0</v>
      </c>
      <c r="O2857" s="38">
        <v>0</v>
      </c>
      <c r="P2857" s="38">
        <v>0</v>
      </c>
    </row>
    <row r="2858" spans="1:22" x14ac:dyDescent="0.25">
      <c r="A2858" s="38" t="s">
        <v>36</v>
      </c>
      <c r="B2858" s="38" t="s">
        <v>5992</v>
      </c>
      <c r="C2858" s="38" t="s">
        <v>6128</v>
      </c>
      <c r="D2858" s="38" t="s">
        <v>6129</v>
      </c>
      <c r="E2858" s="38" t="s">
        <v>6130</v>
      </c>
      <c r="F2858" s="38">
        <v>990.51</v>
      </c>
      <c r="G2858" s="38">
        <v>170</v>
      </c>
      <c r="H2858" s="38">
        <f t="shared" si="138"/>
        <v>874</v>
      </c>
      <c r="I2858" s="38">
        <v>473</v>
      </c>
      <c r="J2858" s="38">
        <v>401</v>
      </c>
      <c r="K2858" s="38">
        <v>70</v>
      </c>
      <c r="L2858" s="50">
        <f t="shared" si="139"/>
        <v>8.0091533180778036</v>
      </c>
      <c r="M2858" s="38">
        <v>0</v>
      </c>
      <c r="N2858" s="50">
        <f t="shared" si="140"/>
        <v>0</v>
      </c>
      <c r="O2858" s="38">
        <v>0</v>
      </c>
      <c r="P2858" s="38">
        <v>3</v>
      </c>
      <c r="Q2858" s="11" t="s">
        <v>6375</v>
      </c>
      <c r="R2858" s="256">
        <v>44133.728680555556</v>
      </c>
      <c r="S2858" s="11">
        <v>20</v>
      </c>
      <c r="T2858" s="11">
        <v>20</v>
      </c>
      <c r="V2858" s="11" t="s">
        <v>6375</v>
      </c>
    </row>
    <row r="2859" spans="1:22" x14ac:dyDescent="0.25">
      <c r="A2859" s="38" t="s">
        <v>36</v>
      </c>
      <c r="B2859" s="38" t="s">
        <v>5992</v>
      </c>
      <c r="C2859" s="38" t="s">
        <v>6128</v>
      </c>
      <c r="D2859" s="38" t="s">
        <v>4534</v>
      </c>
      <c r="E2859" s="38" t="s">
        <v>6131</v>
      </c>
      <c r="F2859" s="38">
        <v>365.26</v>
      </c>
      <c r="G2859" s="38">
        <v>44</v>
      </c>
      <c r="H2859" s="38">
        <f t="shared" si="138"/>
        <v>259</v>
      </c>
      <c r="I2859" s="38">
        <v>124</v>
      </c>
      <c r="J2859" s="38">
        <v>135</v>
      </c>
      <c r="K2859" s="38">
        <v>55</v>
      </c>
      <c r="L2859" s="50">
        <f t="shared" si="139"/>
        <v>21.235521235521233</v>
      </c>
      <c r="M2859" s="38">
        <v>0</v>
      </c>
      <c r="N2859" s="50">
        <f t="shared" si="140"/>
        <v>0</v>
      </c>
      <c r="O2859" s="38">
        <v>0</v>
      </c>
      <c r="P2859" s="38">
        <v>0</v>
      </c>
      <c r="Q2859" s="11" t="s">
        <v>6375</v>
      </c>
      <c r="R2859" s="256">
        <v>44133.728680555556</v>
      </c>
      <c r="S2859" s="11">
        <v>2</v>
      </c>
      <c r="T2859" s="11">
        <v>2</v>
      </c>
      <c r="V2859" s="11" t="s">
        <v>6375</v>
      </c>
    </row>
    <row r="2860" spans="1:22" x14ac:dyDescent="0.25">
      <c r="A2860" s="38" t="s">
        <v>36</v>
      </c>
      <c r="B2860" s="38" t="s">
        <v>5992</v>
      </c>
      <c r="C2860" s="38" t="s">
        <v>6128</v>
      </c>
      <c r="D2860" s="38" t="s">
        <v>6132</v>
      </c>
      <c r="E2860" s="38" t="s">
        <v>6133</v>
      </c>
      <c r="F2860" s="38">
        <v>1493.47</v>
      </c>
      <c r="G2860" s="38">
        <v>200</v>
      </c>
      <c r="H2860" s="38">
        <f t="shared" si="138"/>
        <v>1006</v>
      </c>
      <c r="I2860" s="38">
        <v>541</v>
      </c>
      <c r="J2860" s="38">
        <v>465</v>
      </c>
      <c r="K2860" s="38">
        <v>0</v>
      </c>
      <c r="L2860" s="50">
        <f t="shared" si="139"/>
        <v>0</v>
      </c>
      <c r="M2860" s="38">
        <v>0</v>
      </c>
      <c r="N2860" s="50">
        <f t="shared" si="140"/>
        <v>0</v>
      </c>
      <c r="O2860" s="38">
        <v>0</v>
      </c>
      <c r="P2860" s="38">
        <v>0</v>
      </c>
      <c r="Q2860" s="11" t="s">
        <v>44</v>
      </c>
      <c r="R2860" s="256">
        <v>44681.508611111116</v>
      </c>
      <c r="S2860" s="11">
        <v>7</v>
      </c>
      <c r="T2860" s="11">
        <v>7</v>
      </c>
      <c r="V2860" s="11" t="s">
        <v>6375</v>
      </c>
    </row>
    <row r="2861" spans="1:22" x14ac:dyDescent="0.25">
      <c r="A2861" s="38" t="s">
        <v>36</v>
      </c>
      <c r="B2861" s="38" t="s">
        <v>5992</v>
      </c>
      <c r="C2861" s="38" t="s">
        <v>6134</v>
      </c>
      <c r="D2861" s="38" t="s">
        <v>6134</v>
      </c>
      <c r="E2861" s="38" t="s">
        <v>6135</v>
      </c>
      <c r="F2861" s="38">
        <v>3121.63</v>
      </c>
      <c r="G2861" s="38">
        <v>387</v>
      </c>
      <c r="H2861" s="38">
        <f t="shared" si="138"/>
        <v>2187</v>
      </c>
      <c r="I2861" s="38">
        <v>1133</v>
      </c>
      <c r="J2861" s="38">
        <v>1054</v>
      </c>
      <c r="K2861" s="38">
        <v>29</v>
      </c>
      <c r="L2861" s="50">
        <f t="shared" si="139"/>
        <v>1.3260173754000915</v>
      </c>
      <c r="M2861" s="38">
        <v>131</v>
      </c>
      <c r="N2861" s="50">
        <f t="shared" si="140"/>
        <v>5.989940557841793</v>
      </c>
      <c r="O2861" s="38">
        <v>0</v>
      </c>
      <c r="P2861" s="38">
        <v>159.68</v>
      </c>
      <c r="Q2861" s="11" t="s">
        <v>6375</v>
      </c>
      <c r="R2861" s="255">
        <v>45160</v>
      </c>
      <c r="V2861" s="11" t="s">
        <v>6375</v>
      </c>
    </row>
    <row r="2862" spans="1:22" x14ac:dyDescent="0.25">
      <c r="A2862" s="38" t="s">
        <v>36</v>
      </c>
      <c r="B2862" s="38" t="s">
        <v>5992</v>
      </c>
      <c r="C2862" s="38" t="s">
        <v>6136</v>
      </c>
      <c r="D2862" s="38" t="s">
        <v>5992</v>
      </c>
      <c r="E2862" s="38" t="s">
        <v>6137</v>
      </c>
      <c r="F2862" s="38">
        <v>667</v>
      </c>
      <c r="G2862" s="38">
        <v>636</v>
      </c>
      <c r="H2862" s="38">
        <f t="shared" si="138"/>
        <v>3492</v>
      </c>
      <c r="I2862" s="38">
        <v>1814</v>
      </c>
      <c r="J2862" s="38">
        <v>1678</v>
      </c>
      <c r="K2862" s="38">
        <v>1545</v>
      </c>
      <c r="L2862" s="50">
        <f t="shared" si="139"/>
        <v>44.243986254295528</v>
      </c>
      <c r="M2862" s="38">
        <v>244</v>
      </c>
      <c r="N2862" s="50">
        <f t="shared" si="140"/>
        <v>6.9873997709049256</v>
      </c>
      <c r="O2862" s="38">
        <v>0</v>
      </c>
      <c r="P2862" s="38">
        <v>3</v>
      </c>
      <c r="Q2862" s="11" t="s">
        <v>44</v>
      </c>
      <c r="R2862" s="256">
        <v>44072.644027777773</v>
      </c>
      <c r="S2862" s="11">
        <v>7.5</v>
      </c>
      <c r="T2862" s="11">
        <v>7.5</v>
      </c>
      <c r="V2862" s="11" t="s">
        <v>6375</v>
      </c>
    </row>
    <row r="2863" spans="1:22" x14ac:dyDescent="0.25">
      <c r="A2863" s="38" t="s">
        <v>36</v>
      </c>
      <c r="B2863" s="38" t="s">
        <v>5992</v>
      </c>
      <c r="C2863" s="38" t="s">
        <v>6136</v>
      </c>
      <c r="D2863" s="38" t="s">
        <v>6138</v>
      </c>
      <c r="E2863" s="38" t="s">
        <v>6139</v>
      </c>
      <c r="F2863" s="38">
        <v>643.41999999999996</v>
      </c>
      <c r="G2863" s="38">
        <v>90</v>
      </c>
      <c r="H2863" s="38">
        <f t="shared" si="138"/>
        <v>498</v>
      </c>
      <c r="I2863" s="38">
        <v>269</v>
      </c>
      <c r="J2863" s="38">
        <v>229</v>
      </c>
      <c r="K2863" s="38">
        <v>282</v>
      </c>
      <c r="L2863" s="50">
        <f t="shared" si="139"/>
        <v>56.626506024096393</v>
      </c>
      <c r="M2863" s="38">
        <v>125</v>
      </c>
      <c r="N2863" s="50">
        <f t="shared" si="140"/>
        <v>25.100401606425706</v>
      </c>
      <c r="O2863" s="38">
        <v>0</v>
      </c>
      <c r="P2863" s="38">
        <v>46.55</v>
      </c>
      <c r="Q2863" s="11" t="s">
        <v>6375</v>
      </c>
      <c r="R2863" s="256">
        <v>44072.644027777773</v>
      </c>
      <c r="S2863" s="11">
        <v>6.25</v>
      </c>
      <c r="T2863" s="11">
        <v>6.25</v>
      </c>
      <c r="V2863" s="11" t="s">
        <v>6375</v>
      </c>
    </row>
    <row r="2864" spans="1:22" x14ac:dyDescent="0.25">
      <c r="A2864" s="38" t="s">
        <v>36</v>
      </c>
      <c r="B2864" s="38" t="s">
        <v>5992</v>
      </c>
      <c r="C2864" s="38" t="s">
        <v>6140</v>
      </c>
      <c r="D2864" s="38" t="s">
        <v>6141</v>
      </c>
      <c r="E2864" s="38" t="s">
        <v>6142</v>
      </c>
      <c r="F2864" s="38">
        <v>1532.2</v>
      </c>
      <c r="G2864" s="38">
        <v>351</v>
      </c>
      <c r="H2864" s="38">
        <f t="shared" si="138"/>
        <v>1993</v>
      </c>
      <c r="I2864" s="38">
        <v>1035</v>
      </c>
      <c r="J2864" s="38">
        <v>958</v>
      </c>
      <c r="K2864" s="38">
        <v>369</v>
      </c>
      <c r="L2864" s="50">
        <f t="shared" si="139"/>
        <v>18.514801806322129</v>
      </c>
      <c r="M2864" s="38">
        <v>58</v>
      </c>
      <c r="N2864" s="50">
        <f t="shared" si="140"/>
        <v>2.9101856497742098</v>
      </c>
      <c r="O2864" s="38">
        <v>0</v>
      </c>
      <c r="P2864" s="38">
        <v>69.099999999999994</v>
      </c>
      <c r="Q2864" s="11" t="s">
        <v>44</v>
      </c>
      <c r="R2864" s="256">
        <v>44072.755682870367</v>
      </c>
      <c r="S2864" s="11">
        <v>15</v>
      </c>
      <c r="T2864" s="11">
        <v>15</v>
      </c>
      <c r="V2864" s="11" t="s">
        <v>6375</v>
      </c>
    </row>
    <row r="2865" spans="1:22" x14ac:dyDescent="0.25">
      <c r="A2865" s="38" t="s">
        <v>36</v>
      </c>
      <c r="B2865" s="38" t="s">
        <v>5992</v>
      </c>
      <c r="C2865" s="38" t="s">
        <v>6140</v>
      </c>
      <c r="D2865" s="38" t="s">
        <v>6143</v>
      </c>
      <c r="E2865" s="38" t="s">
        <v>6144</v>
      </c>
      <c r="F2865" s="38">
        <v>562.35</v>
      </c>
      <c r="G2865" s="38">
        <v>64</v>
      </c>
      <c r="H2865" s="38">
        <f t="shared" si="138"/>
        <v>328</v>
      </c>
      <c r="I2865" s="38">
        <v>185</v>
      </c>
      <c r="J2865" s="38">
        <v>143</v>
      </c>
      <c r="K2865" s="38">
        <v>40</v>
      </c>
      <c r="L2865" s="50">
        <f t="shared" si="139"/>
        <v>12.195121951219512</v>
      </c>
      <c r="M2865" s="38">
        <v>0</v>
      </c>
      <c r="N2865" s="50">
        <f t="shared" si="140"/>
        <v>0</v>
      </c>
      <c r="O2865" s="38">
        <v>0</v>
      </c>
      <c r="P2865" s="38">
        <v>0</v>
      </c>
      <c r="Q2865" s="11" t="s">
        <v>6375</v>
      </c>
      <c r="R2865" s="256">
        <v>44072.755682870367</v>
      </c>
      <c r="V2865" s="11" t="s">
        <v>6375</v>
      </c>
    </row>
    <row r="2866" spans="1:22" x14ac:dyDescent="0.25">
      <c r="A2866" s="38" t="s">
        <v>36</v>
      </c>
      <c r="B2866" s="38" t="s">
        <v>5992</v>
      </c>
      <c r="C2866" s="38" t="s">
        <v>6140</v>
      </c>
      <c r="D2866" s="38" t="s">
        <v>2137</v>
      </c>
      <c r="E2866" s="38" t="s">
        <v>6145</v>
      </c>
      <c r="F2866" s="38">
        <v>420.27</v>
      </c>
      <c r="G2866" s="38">
        <v>119</v>
      </c>
      <c r="H2866" s="38">
        <f t="shared" si="138"/>
        <v>690</v>
      </c>
      <c r="I2866" s="38">
        <v>364</v>
      </c>
      <c r="J2866" s="38">
        <v>326</v>
      </c>
      <c r="K2866" s="38">
        <v>25</v>
      </c>
      <c r="L2866" s="50">
        <f t="shared" si="139"/>
        <v>3.6231884057971016</v>
      </c>
      <c r="M2866" s="38">
        <v>167</v>
      </c>
      <c r="N2866" s="50">
        <f t="shared" si="140"/>
        <v>24.20289855072464</v>
      </c>
      <c r="O2866" s="38">
        <v>0</v>
      </c>
      <c r="P2866" s="38">
        <v>0</v>
      </c>
      <c r="Q2866" s="11" t="s">
        <v>44</v>
      </c>
      <c r="R2866" s="256">
        <v>44072.755682870367</v>
      </c>
      <c r="S2866" s="11">
        <v>6</v>
      </c>
      <c r="T2866" s="11">
        <v>6</v>
      </c>
      <c r="V2866" s="11" t="s">
        <v>6375</v>
      </c>
    </row>
    <row r="2867" spans="1:22" x14ac:dyDescent="0.25">
      <c r="A2867" s="38" t="s">
        <v>36</v>
      </c>
      <c r="B2867" s="38" t="s">
        <v>5992</v>
      </c>
      <c r="C2867" s="38" t="s">
        <v>6140</v>
      </c>
      <c r="D2867" s="38" t="s">
        <v>6146</v>
      </c>
      <c r="E2867" s="38" t="s">
        <v>6147</v>
      </c>
      <c r="F2867" s="38">
        <v>139</v>
      </c>
      <c r="G2867" s="38">
        <v>4</v>
      </c>
      <c r="H2867" s="38">
        <f t="shared" si="138"/>
        <v>27</v>
      </c>
      <c r="I2867" s="38">
        <v>15</v>
      </c>
      <c r="J2867" s="38">
        <v>12</v>
      </c>
      <c r="K2867" s="38">
        <v>27</v>
      </c>
      <c r="L2867" s="50">
        <f t="shared" si="139"/>
        <v>100</v>
      </c>
      <c r="M2867" s="38">
        <v>0</v>
      </c>
      <c r="N2867" s="50">
        <f t="shared" si="140"/>
        <v>0</v>
      </c>
      <c r="O2867" s="38">
        <v>0</v>
      </c>
      <c r="P2867" s="38">
        <v>0</v>
      </c>
    </row>
    <row r="2868" spans="1:22" x14ac:dyDescent="0.25">
      <c r="A2868" s="38" t="s">
        <v>36</v>
      </c>
      <c r="B2868" s="38" t="s">
        <v>5992</v>
      </c>
      <c r="C2868" s="38" t="s">
        <v>6140</v>
      </c>
      <c r="D2868" s="38" t="s">
        <v>6148</v>
      </c>
      <c r="E2868" s="38" t="s">
        <v>6149</v>
      </c>
      <c r="F2868" s="38">
        <v>450.68</v>
      </c>
      <c r="G2868" s="38">
        <v>85</v>
      </c>
      <c r="H2868" s="38">
        <f t="shared" si="138"/>
        <v>460</v>
      </c>
      <c r="I2868" s="38">
        <v>254</v>
      </c>
      <c r="J2868" s="38">
        <v>206</v>
      </c>
      <c r="K2868" s="38">
        <v>114</v>
      </c>
      <c r="L2868" s="50">
        <f t="shared" si="139"/>
        <v>24.782608695652176</v>
      </c>
      <c r="M2868" s="38">
        <v>20</v>
      </c>
      <c r="N2868" s="50">
        <f t="shared" si="140"/>
        <v>4.3478260869565215</v>
      </c>
      <c r="O2868" s="38">
        <v>0</v>
      </c>
      <c r="P2868" s="38">
        <v>0</v>
      </c>
      <c r="Q2868" s="11" t="s">
        <v>44</v>
      </c>
      <c r="R2868" s="256">
        <v>44072.755682870367</v>
      </c>
      <c r="V2868" s="11" t="s">
        <v>6375</v>
      </c>
    </row>
    <row r="2869" spans="1:22" x14ac:dyDescent="0.25">
      <c r="A2869" s="38" t="s">
        <v>36</v>
      </c>
      <c r="B2869" s="38" t="s">
        <v>5992</v>
      </c>
      <c r="C2869" s="38" t="s">
        <v>6150</v>
      </c>
      <c r="D2869" s="38" t="s">
        <v>6151</v>
      </c>
      <c r="E2869" s="38" t="s">
        <v>6152</v>
      </c>
      <c r="F2869" s="38">
        <v>2131</v>
      </c>
      <c r="G2869" s="38">
        <v>258</v>
      </c>
      <c r="H2869" s="38">
        <f t="shared" si="138"/>
        <v>1381</v>
      </c>
      <c r="I2869" s="38">
        <v>718</v>
      </c>
      <c r="J2869" s="38">
        <v>663</v>
      </c>
      <c r="K2869" s="38">
        <v>414</v>
      </c>
      <c r="L2869" s="50">
        <f t="shared" si="139"/>
        <v>29.97827661115134</v>
      </c>
      <c r="M2869" s="38">
        <v>117</v>
      </c>
      <c r="N2869" s="50">
        <f t="shared" si="140"/>
        <v>8.4721216509775523</v>
      </c>
      <c r="O2869" s="38">
        <v>0</v>
      </c>
      <c r="P2869" s="38">
        <v>11</v>
      </c>
    </row>
    <row r="2870" spans="1:22" x14ac:dyDescent="0.25">
      <c r="A2870" s="38" t="s">
        <v>36</v>
      </c>
      <c r="B2870" s="38" t="s">
        <v>5992</v>
      </c>
      <c r="C2870" s="38" t="s">
        <v>6150</v>
      </c>
      <c r="D2870" s="38" t="s">
        <v>6151</v>
      </c>
      <c r="E2870" s="38" t="s">
        <v>6152</v>
      </c>
      <c r="F2870" s="38"/>
      <c r="G2870" s="38"/>
      <c r="H2870" s="38">
        <f t="shared" si="138"/>
        <v>0</v>
      </c>
      <c r="I2870" s="38"/>
      <c r="J2870" s="38"/>
      <c r="K2870" s="38"/>
      <c r="L2870" s="50"/>
      <c r="M2870" s="38"/>
      <c r="N2870" s="50"/>
      <c r="O2870" s="38">
        <v>0</v>
      </c>
      <c r="P2870" s="38">
        <v>11</v>
      </c>
    </row>
    <row r="2871" spans="1:22" x14ac:dyDescent="0.25">
      <c r="A2871" s="38" t="s">
        <v>36</v>
      </c>
      <c r="B2871" s="38" t="s">
        <v>5992</v>
      </c>
      <c r="C2871" s="38" t="s">
        <v>6150</v>
      </c>
      <c r="D2871" s="38" t="s">
        <v>6151</v>
      </c>
      <c r="E2871" s="38" t="s">
        <v>6152</v>
      </c>
      <c r="F2871" s="38"/>
      <c r="G2871" s="38"/>
      <c r="H2871" s="38">
        <f t="shared" si="138"/>
        <v>0</v>
      </c>
      <c r="I2871" s="38"/>
      <c r="J2871" s="38"/>
      <c r="K2871" s="38"/>
      <c r="L2871" s="50"/>
      <c r="M2871" s="38"/>
      <c r="N2871" s="50"/>
      <c r="O2871" s="38">
        <v>0</v>
      </c>
      <c r="P2871" s="38">
        <v>11</v>
      </c>
    </row>
    <row r="2872" spans="1:22" x14ac:dyDescent="0.25">
      <c r="A2872" s="38" t="s">
        <v>36</v>
      </c>
      <c r="B2872" s="38" t="s">
        <v>5992</v>
      </c>
      <c r="C2872" s="38" t="s">
        <v>6150</v>
      </c>
      <c r="D2872" s="38" t="s">
        <v>6151</v>
      </c>
      <c r="E2872" s="38" t="s">
        <v>6152</v>
      </c>
      <c r="F2872" s="38"/>
      <c r="G2872" s="38"/>
      <c r="H2872" s="38">
        <f t="shared" si="138"/>
        <v>0</v>
      </c>
      <c r="I2872" s="38"/>
      <c r="J2872" s="38"/>
      <c r="K2872" s="38"/>
      <c r="L2872" s="50"/>
      <c r="M2872" s="38"/>
      <c r="N2872" s="50"/>
      <c r="O2872" s="38">
        <v>0</v>
      </c>
      <c r="P2872" s="38">
        <v>11</v>
      </c>
    </row>
    <row r="2873" spans="1:22" x14ac:dyDescent="0.25">
      <c r="A2873" s="38" t="s">
        <v>36</v>
      </c>
      <c r="B2873" s="38" t="s">
        <v>5992</v>
      </c>
      <c r="C2873" s="38" t="s">
        <v>6150</v>
      </c>
      <c r="D2873" s="38" t="s">
        <v>6151</v>
      </c>
      <c r="E2873" s="38" t="s">
        <v>6152</v>
      </c>
      <c r="F2873" s="38"/>
      <c r="G2873" s="38"/>
      <c r="H2873" s="38">
        <f t="shared" si="138"/>
        <v>0</v>
      </c>
      <c r="I2873" s="38"/>
      <c r="J2873" s="38"/>
      <c r="K2873" s="38"/>
      <c r="L2873" s="50"/>
      <c r="M2873" s="38"/>
      <c r="N2873" s="50"/>
      <c r="O2873" s="38">
        <v>0</v>
      </c>
      <c r="P2873" s="38">
        <v>11</v>
      </c>
    </row>
    <row r="2874" spans="1:22" x14ac:dyDescent="0.25">
      <c r="A2874" s="38" t="s">
        <v>36</v>
      </c>
      <c r="B2874" s="38" t="s">
        <v>5992</v>
      </c>
      <c r="C2874" s="38" t="s">
        <v>6150</v>
      </c>
      <c r="D2874" s="38" t="s">
        <v>6151</v>
      </c>
      <c r="E2874" s="38" t="s">
        <v>6152</v>
      </c>
      <c r="F2874" s="38"/>
      <c r="G2874" s="38"/>
      <c r="H2874" s="38">
        <f t="shared" si="138"/>
        <v>0</v>
      </c>
      <c r="I2874" s="38"/>
      <c r="J2874" s="38"/>
      <c r="K2874" s="38"/>
      <c r="L2874" s="50"/>
      <c r="M2874" s="38"/>
      <c r="N2874" s="50"/>
      <c r="O2874" s="38">
        <v>0</v>
      </c>
      <c r="P2874" s="38">
        <v>11</v>
      </c>
    </row>
    <row r="2875" spans="1:22" x14ac:dyDescent="0.25">
      <c r="A2875" s="38" t="s">
        <v>36</v>
      </c>
      <c r="B2875" s="38" t="s">
        <v>5992</v>
      </c>
      <c r="C2875" s="38" t="s">
        <v>6150</v>
      </c>
      <c r="D2875" s="38" t="s">
        <v>6151</v>
      </c>
      <c r="E2875" s="38" t="s">
        <v>6152</v>
      </c>
      <c r="F2875" s="38"/>
      <c r="G2875" s="38"/>
      <c r="H2875" s="38">
        <f t="shared" si="138"/>
        <v>0</v>
      </c>
      <c r="I2875" s="38"/>
      <c r="J2875" s="38"/>
      <c r="K2875" s="38"/>
      <c r="L2875" s="50"/>
      <c r="M2875" s="38"/>
      <c r="N2875" s="50"/>
      <c r="O2875" s="38">
        <v>0</v>
      </c>
      <c r="P2875" s="38">
        <v>11</v>
      </c>
    </row>
    <row r="2876" spans="1:22" x14ac:dyDescent="0.25">
      <c r="A2876" s="38" t="s">
        <v>36</v>
      </c>
      <c r="B2876" s="38" t="s">
        <v>5992</v>
      </c>
      <c r="C2876" s="38" t="s">
        <v>6150</v>
      </c>
      <c r="D2876" s="38" t="s">
        <v>6151</v>
      </c>
      <c r="E2876" s="38" t="s">
        <v>6152</v>
      </c>
      <c r="F2876" s="38"/>
      <c r="G2876" s="38"/>
      <c r="H2876" s="38">
        <f t="shared" si="138"/>
        <v>0</v>
      </c>
      <c r="I2876" s="38"/>
      <c r="J2876" s="38"/>
      <c r="K2876" s="38"/>
      <c r="L2876" s="50"/>
      <c r="M2876" s="38"/>
      <c r="N2876" s="50"/>
      <c r="O2876" s="38">
        <v>0</v>
      </c>
      <c r="P2876" s="38">
        <v>11</v>
      </c>
      <c r="Q2876" s="11" t="s">
        <v>44</v>
      </c>
      <c r="R2876" s="256">
        <v>44681.632881944446</v>
      </c>
    </row>
    <row r="2877" spans="1:22" x14ac:dyDescent="0.25">
      <c r="A2877" s="38" t="s">
        <v>36</v>
      </c>
      <c r="B2877" s="38" t="s">
        <v>5992</v>
      </c>
      <c r="C2877" s="38" t="s">
        <v>6150</v>
      </c>
      <c r="D2877" s="38" t="s">
        <v>6153</v>
      </c>
      <c r="E2877" s="38" t="s">
        <v>6154</v>
      </c>
      <c r="F2877" s="38">
        <v>1307</v>
      </c>
      <c r="G2877" s="38">
        <v>246</v>
      </c>
      <c r="H2877" s="38">
        <f t="shared" si="138"/>
        <v>1267</v>
      </c>
      <c r="I2877" s="38">
        <v>644</v>
      </c>
      <c r="J2877" s="38">
        <v>623</v>
      </c>
      <c r="K2877" s="38">
        <v>375</v>
      </c>
      <c r="L2877" s="50">
        <f t="shared" si="139"/>
        <v>29.597474348855563</v>
      </c>
      <c r="M2877" s="38">
        <v>82</v>
      </c>
      <c r="N2877" s="50">
        <f t="shared" si="140"/>
        <v>6.4719810576164161</v>
      </c>
      <c r="O2877" s="38">
        <v>0</v>
      </c>
      <c r="P2877" s="38">
        <v>18</v>
      </c>
      <c r="Q2877" s="11" t="s">
        <v>44</v>
      </c>
      <c r="R2877" s="256">
        <v>44681.632881944446</v>
      </c>
      <c r="S2877" s="11">
        <v>28</v>
      </c>
      <c r="T2877" s="11">
        <v>28</v>
      </c>
      <c r="V2877" s="11" t="s">
        <v>6375</v>
      </c>
    </row>
    <row r="2878" spans="1:22" x14ac:dyDescent="0.25">
      <c r="A2878" s="38" t="s">
        <v>36</v>
      </c>
      <c r="B2878" s="38" t="s">
        <v>5992</v>
      </c>
      <c r="C2878" s="38" t="s">
        <v>6150</v>
      </c>
      <c r="D2878" s="38" t="s">
        <v>754</v>
      </c>
      <c r="E2878" s="38" t="s">
        <v>6155</v>
      </c>
      <c r="F2878" s="38">
        <v>926</v>
      </c>
      <c r="G2878" s="38">
        <v>121</v>
      </c>
      <c r="H2878" s="38">
        <f t="shared" si="138"/>
        <v>758</v>
      </c>
      <c r="I2878" s="38">
        <v>406</v>
      </c>
      <c r="J2878" s="38">
        <v>352</v>
      </c>
      <c r="K2878" s="38">
        <v>66</v>
      </c>
      <c r="L2878" s="50">
        <f t="shared" si="139"/>
        <v>8.7071240105540895</v>
      </c>
      <c r="M2878" s="38">
        <v>0</v>
      </c>
      <c r="N2878" s="50">
        <f t="shared" si="140"/>
        <v>0</v>
      </c>
      <c r="O2878" s="38">
        <v>0</v>
      </c>
      <c r="P2878" s="38">
        <v>7</v>
      </c>
      <c r="Q2878" s="11" t="s">
        <v>44</v>
      </c>
      <c r="R2878" s="256">
        <v>44072.78288194444</v>
      </c>
      <c r="S2878" s="11">
        <v>7</v>
      </c>
      <c r="T2878" s="11">
        <v>7</v>
      </c>
      <c r="V2878" s="11" t="s">
        <v>6375</v>
      </c>
    </row>
    <row r="2879" spans="1:22" x14ac:dyDescent="0.25">
      <c r="A2879" s="38" t="s">
        <v>36</v>
      </c>
      <c r="B2879" s="38" t="s">
        <v>5992</v>
      </c>
      <c r="C2879" s="38" t="s">
        <v>6156</v>
      </c>
      <c r="D2879" s="38" t="s">
        <v>6157</v>
      </c>
      <c r="E2879" s="38" t="s">
        <v>6158</v>
      </c>
      <c r="F2879" s="38">
        <v>394</v>
      </c>
      <c r="G2879" s="38">
        <v>91</v>
      </c>
      <c r="H2879" s="38">
        <f t="shared" si="138"/>
        <v>536</v>
      </c>
      <c r="I2879" s="38">
        <v>279</v>
      </c>
      <c r="J2879" s="38">
        <v>257</v>
      </c>
      <c r="K2879" s="38">
        <v>121</v>
      </c>
      <c r="L2879" s="50">
        <f t="shared" si="139"/>
        <v>22.574626865671643</v>
      </c>
      <c r="M2879" s="38">
        <v>0</v>
      </c>
      <c r="N2879" s="50">
        <f t="shared" si="140"/>
        <v>0</v>
      </c>
      <c r="O2879" s="38">
        <v>0</v>
      </c>
      <c r="P2879" s="38">
        <v>0</v>
      </c>
      <c r="Q2879" s="11" t="s">
        <v>44</v>
      </c>
      <c r="R2879" s="256">
        <v>44134.706678240742</v>
      </c>
      <c r="V2879" s="11" t="s">
        <v>6375</v>
      </c>
    </row>
    <row r="2880" spans="1:22" x14ac:dyDescent="0.25">
      <c r="A2880" s="38" t="s">
        <v>36</v>
      </c>
      <c r="B2880" s="38" t="s">
        <v>5992</v>
      </c>
      <c r="C2880" s="38" t="s">
        <v>6156</v>
      </c>
      <c r="D2880" s="38" t="s">
        <v>6159</v>
      </c>
      <c r="E2880" s="38" t="s">
        <v>6160</v>
      </c>
      <c r="F2880" s="38">
        <v>578</v>
      </c>
      <c r="G2880" s="38">
        <v>122</v>
      </c>
      <c r="H2880" s="38">
        <f t="shared" si="138"/>
        <v>697</v>
      </c>
      <c r="I2880" s="38">
        <v>381</v>
      </c>
      <c r="J2880" s="38">
        <v>316</v>
      </c>
      <c r="K2880" s="38">
        <v>303</v>
      </c>
      <c r="L2880" s="50">
        <f t="shared" si="139"/>
        <v>43.47202295552367</v>
      </c>
      <c r="M2880" s="38">
        <v>0</v>
      </c>
      <c r="N2880" s="50">
        <f t="shared" si="140"/>
        <v>0</v>
      </c>
      <c r="O2880" s="38">
        <v>0</v>
      </c>
      <c r="P2880" s="38">
        <v>0</v>
      </c>
      <c r="Q2880" s="11" t="s">
        <v>44</v>
      </c>
      <c r="R2880" s="256">
        <v>44134.706678240742</v>
      </c>
      <c r="V2880" s="11" t="s">
        <v>6375</v>
      </c>
    </row>
    <row r="2881" spans="1:28" x14ac:dyDescent="0.25">
      <c r="A2881" s="38" t="s">
        <v>36</v>
      </c>
      <c r="B2881" s="38" t="s">
        <v>5992</v>
      </c>
      <c r="C2881" s="38" t="s">
        <v>6156</v>
      </c>
      <c r="D2881" s="38" t="s">
        <v>6161</v>
      </c>
      <c r="E2881" s="38" t="s">
        <v>6162</v>
      </c>
      <c r="F2881" s="38">
        <v>508</v>
      </c>
      <c r="G2881" s="38">
        <v>87</v>
      </c>
      <c r="H2881" s="38">
        <f t="shared" si="138"/>
        <v>396</v>
      </c>
      <c r="I2881" s="38">
        <v>211</v>
      </c>
      <c r="J2881" s="38">
        <v>185</v>
      </c>
      <c r="K2881" s="38">
        <v>47</v>
      </c>
      <c r="L2881" s="50">
        <f t="shared" si="139"/>
        <v>11.868686868686869</v>
      </c>
      <c r="M2881" s="38">
        <v>0</v>
      </c>
      <c r="N2881" s="50">
        <f t="shared" si="140"/>
        <v>0</v>
      </c>
      <c r="O2881" s="38">
        <v>0</v>
      </c>
      <c r="P2881" s="38">
        <v>110</v>
      </c>
      <c r="Q2881" s="11" t="s">
        <v>44</v>
      </c>
      <c r="R2881" s="256">
        <v>44134.706678240742</v>
      </c>
    </row>
    <row r="2882" spans="1:28" x14ac:dyDescent="0.25">
      <c r="A2882" s="38" t="s">
        <v>36</v>
      </c>
      <c r="B2882" s="38" t="s">
        <v>5992</v>
      </c>
      <c r="C2882" s="38" t="s">
        <v>6156</v>
      </c>
      <c r="D2882" s="38" t="s">
        <v>6163</v>
      </c>
      <c r="E2882" s="38" t="s">
        <v>6164</v>
      </c>
      <c r="F2882" s="38">
        <v>634</v>
      </c>
      <c r="G2882" s="38">
        <v>97</v>
      </c>
      <c r="H2882" s="38">
        <f t="shared" si="138"/>
        <v>546</v>
      </c>
      <c r="I2882" s="38">
        <v>277</v>
      </c>
      <c r="J2882" s="38">
        <v>269</v>
      </c>
      <c r="K2882" s="38">
        <v>8</v>
      </c>
      <c r="L2882" s="50">
        <f t="shared" si="139"/>
        <v>1.4652014652014651</v>
      </c>
      <c r="M2882" s="38">
        <v>0</v>
      </c>
      <c r="N2882" s="50">
        <f t="shared" si="140"/>
        <v>0</v>
      </c>
      <c r="O2882" s="38">
        <v>0</v>
      </c>
      <c r="P2882" s="38">
        <v>0</v>
      </c>
      <c r="Q2882" s="11" t="s">
        <v>6375</v>
      </c>
      <c r="R2882" s="256">
        <v>44134.706678240742</v>
      </c>
      <c r="V2882" s="11" t="s">
        <v>6375</v>
      </c>
    </row>
    <row r="2883" spans="1:28" x14ac:dyDescent="0.25">
      <c r="A2883" s="38" t="s">
        <v>36</v>
      </c>
      <c r="B2883" s="38" t="s">
        <v>5992</v>
      </c>
      <c r="C2883" s="38" t="s">
        <v>6156</v>
      </c>
      <c r="D2883" s="38" t="s">
        <v>1480</v>
      </c>
      <c r="E2883" s="38" t="s">
        <v>6165</v>
      </c>
      <c r="F2883" s="38">
        <v>367</v>
      </c>
      <c r="G2883" s="38">
        <v>97</v>
      </c>
      <c r="H2883" s="38">
        <f t="shared" si="138"/>
        <v>480</v>
      </c>
      <c r="I2883" s="38">
        <v>262</v>
      </c>
      <c r="J2883" s="38">
        <v>218</v>
      </c>
      <c r="K2883" s="38">
        <v>0</v>
      </c>
      <c r="L2883" s="50">
        <f t="shared" si="139"/>
        <v>0</v>
      </c>
      <c r="M2883" s="38">
        <v>0</v>
      </c>
      <c r="N2883" s="50">
        <f t="shared" si="140"/>
        <v>0</v>
      </c>
      <c r="O2883" s="38">
        <v>0</v>
      </c>
      <c r="P2883" s="38">
        <v>0</v>
      </c>
    </row>
    <row r="2884" spans="1:28" x14ac:dyDescent="0.25">
      <c r="A2884" s="38" t="s">
        <v>36</v>
      </c>
      <c r="B2884" s="38" t="s">
        <v>5992</v>
      </c>
      <c r="C2884" s="38" t="s">
        <v>6166</v>
      </c>
      <c r="D2884" s="38" t="s">
        <v>6167</v>
      </c>
      <c r="E2884" s="38" t="s">
        <v>6168</v>
      </c>
      <c r="F2884" s="38">
        <v>3722</v>
      </c>
      <c r="G2884" s="38">
        <v>157</v>
      </c>
      <c r="H2884" s="38">
        <f t="shared" si="138"/>
        <v>788</v>
      </c>
      <c r="I2884" s="38">
        <v>415</v>
      </c>
      <c r="J2884" s="38">
        <v>373</v>
      </c>
      <c r="K2884" s="38">
        <v>0</v>
      </c>
      <c r="L2884" s="50">
        <f t="shared" si="139"/>
        <v>0</v>
      </c>
      <c r="M2884" s="38">
        <v>447</v>
      </c>
      <c r="N2884" s="50">
        <f t="shared" si="140"/>
        <v>56.725888324873097</v>
      </c>
      <c r="O2884" s="38">
        <v>0</v>
      </c>
      <c r="P2884" s="38">
        <v>40</v>
      </c>
    </row>
    <row r="2885" spans="1:28" x14ac:dyDescent="0.25">
      <c r="A2885" s="38" t="s">
        <v>36</v>
      </c>
      <c r="B2885" s="38" t="s">
        <v>5992</v>
      </c>
      <c r="C2885" s="38" t="s">
        <v>6166</v>
      </c>
      <c r="D2885" s="38" t="s">
        <v>6169</v>
      </c>
      <c r="E2885" s="38" t="s">
        <v>6170</v>
      </c>
      <c r="F2885" s="38">
        <v>992.82</v>
      </c>
      <c r="G2885" s="38">
        <v>95</v>
      </c>
      <c r="H2885" s="38">
        <f t="shared" ref="H2885:H2948" si="141">I2885+J2885</f>
        <v>465</v>
      </c>
      <c r="I2885" s="38">
        <v>253</v>
      </c>
      <c r="J2885" s="38">
        <v>212</v>
      </c>
      <c r="K2885" s="38">
        <v>58</v>
      </c>
      <c r="L2885" s="50">
        <f t="shared" si="139"/>
        <v>12.473118279569892</v>
      </c>
      <c r="M2885" s="38">
        <v>175</v>
      </c>
      <c r="N2885" s="50">
        <f t="shared" si="140"/>
        <v>37.634408602150536</v>
      </c>
      <c r="O2885" s="38">
        <v>0</v>
      </c>
      <c r="P2885" s="38">
        <v>61.1</v>
      </c>
      <c r="Q2885" s="11" t="s">
        <v>6375</v>
      </c>
      <c r="R2885" s="256">
        <v>44681.650763888887</v>
      </c>
      <c r="S2885" s="11">
        <v>105.25</v>
      </c>
      <c r="T2885" s="11">
        <v>105.25</v>
      </c>
      <c r="V2885" s="11" t="s">
        <v>6375</v>
      </c>
    </row>
    <row r="2886" spans="1:28" x14ac:dyDescent="0.25">
      <c r="A2886" s="38" t="s">
        <v>36</v>
      </c>
      <c r="B2886" s="38" t="s">
        <v>5992</v>
      </c>
      <c r="C2886" s="38" t="s">
        <v>6166</v>
      </c>
      <c r="D2886" s="38" t="s">
        <v>5339</v>
      </c>
      <c r="E2886" s="38" t="s">
        <v>6171</v>
      </c>
      <c r="F2886" s="38">
        <v>992.64</v>
      </c>
      <c r="G2886" s="38">
        <v>120</v>
      </c>
      <c r="H2886" s="38">
        <f t="shared" si="141"/>
        <v>737</v>
      </c>
      <c r="I2886" s="38">
        <v>392</v>
      </c>
      <c r="J2886" s="38">
        <v>345</v>
      </c>
      <c r="K2886" s="38">
        <v>0</v>
      </c>
      <c r="L2886" s="50">
        <f t="shared" ref="L2886:L2949" si="142">K2886/H2886*100</f>
        <v>0</v>
      </c>
      <c r="M2886" s="38">
        <v>0</v>
      </c>
      <c r="N2886" s="50">
        <f t="shared" si="140"/>
        <v>0</v>
      </c>
      <c r="O2886" s="38">
        <v>0</v>
      </c>
      <c r="P2886" s="38">
        <v>0</v>
      </c>
    </row>
    <row r="2887" spans="1:28" x14ac:dyDescent="0.25">
      <c r="A2887" s="38" t="s">
        <v>36</v>
      </c>
      <c r="B2887" s="38" t="s">
        <v>5992</v>
      </c>
      <c r="C2887" s="38" t="s">
        <v>6172</v>
      </c>
      <c r="D2887" s="38" t="s">
        <v>6173</v>
      </c>
      <c r="E2887" s="38" t="s">
        <v>6174</v>
      </c>
      <c r="F2887" s="38">
        <v>768.89</v>
      </c>
      <c r="G2887" s="38">
        <v>196</v>
      </c>
      <c r="H2887" s="38">
        <f t="shared" si="141"/>
        <v>1219</v>
      </c>
      <c r="I2887" s="38">
        <v>630</v>
      </c>
      <c r="J2887" s="38">
        <v>589</v>
      </c>
      <c r="K2887" s="38">
        <v>257</v>
      </c>
      <c r="L2887" s="50">
        <f t="shared" si="142"/>
        <v>21.082854799015589</v>
      </c>
      <c r="M2887" s="38">
        <v>111</v>
      </c>
      <c r="N2887" s="50">
        <f t="shared" si="140"/>
        <v>9.105824446267432</v>
      </c>
      <c r="O2887" s="38">
        <v>0</v>
      </c>
      <c r="P2887" s="38">
        <v>0</v>
      </c>
      <c r="Q2887" s="11" t="s">
        <v>6375</v>
      </c>
      <c r="R2887" s="256">
        <v>44134.734780092593</v>
      </c>
      <c r="S2887" s="11">
        <v>3.5</v>
      </c>
      <c r="T2887" s="11">
        <v>3.5</v>
      </c>
      <c r="V2887" s="11" t="s">
        <v>6375</v>
      </c>
    </row>
    <row r="2888" spans="1:28" x14ac:dyDescent="0.25">
      <c r="A2888" s="38" t="s">
        <v>36</v>
      </c>
      <c r="B2888" s="38" t="s">
        <v>5992</v>
      </c>
      <c r="C2888" s="38" t="s">
        <v>6172</v>
      </c>
      <c r="D2888" s="38" t="s">
        <v>6175</v>
      </c>
      <c r="E2888" s="38" t="s">
        <v>6176</v>
      </c>
      <c r="F2888" s="38">
        <v>555.95000000000005</v>
      </c>
      <c r="G2888" s="38">
        <v>118</v>
      </c>
      <c r="H2888" s="38">
        <f t="shared" si="141"/>
        <v>582</v>
      </c>
      <c r="I2888" s="38">
        <v>312</v>
      </c>
      <c r="J2888" s="38">
        <v>270</v>
      </c>
      <c r="K2888" s="38">
        <v>37</v>
      </c>
      <c r="L2888" s="50">
        <f t="shared" si="142"/>
        <v>6.3573883161512024</v>
      </c>
      <c r="M2888" s="38">
        <v>0</v>
      </c>
      <c r="N2888" s="50">
        <f t="shared" si="140"/>
        <v>0</v>
      </c>
      <c r="O2888" s="38">
        <v>0</v>
      </c>
      <c r="P2888" s="38">
        <v>0</v>
      </c>
      <c r="Q2888" s="11" t="s">
        <v>6375</v>
      </c>
      <c r="R2888" s="256">
        <v>44072.751898148148</v>
      </c>
      <c r="V2888" s="11" t="s">
        <v>6375</v>
      </c>
    </row>
    <row r="2889" spans="1:28" x14ac:dyDescent="0.25">
      <c r="A2889" s="38" t="s">
        <v>36</v>
      </c>
      <c r="B2889" s="38" t="s">
        <v>5992</v>
      </c>
      <c r="C2889" s="38" t="s">
        <v>6172</v>
      </c>
      <c r="D2889" s="38" t="s">
        <v>6177</v>
      </c>
      <c r="E2889" s="38" t="s">
        <v>6178</v>
      </c>
      <c r="F2889" s="38">
        <v>743.35</v>
      </c>
      <c r="G2889" s="38">
        <v>180</v>
      </c>
      <c r="H2889" s="38">
        <f t="shared" si="141"/>
        <v>1042</v>
      </c>
      <c r="I2889" s="38">
        <v>534</v>
      </c>
      <c r="J2889" s="38">
        <v>508</v>
      </c>
      <c r="K2889" s="38">
        <v>0</v>
      </c>
      <c r="L2889" s="50">
        <f t="shared" si="142"/>
        <v>0</v>
      </c>
      <c r="M2889" s="38">
        <v>0</v>
      </c>
      <c r="N2889" s="50">
        <f t="shared" si="140"/>
        <v>0</v>
      </c>
      <c r="O2889" s="38">
        <v>0</v>
      </c>
      <c r="P2889" s="38">
        <v>0</v>
      </c>
      <c r="Q2889" s="11" t="s">
        <v>6375</v>
      </c>
      <c r="R2889" s="256">
        <v>44072.751898148148</v>
      </c>
      <c r="S2889" s="11">
        <v>1</v>
      </c>
      <c r="T2889" s="11">
        <v>1</v>
      </c>
      <c r="V2889" s="11" t="s">
        <v>6375</v>
      </c>
    </row>
    <row r="2890" spans="1:28" x14ac:dyDescent="0.25">
      <c r="A2890" s="38" t="s">
        <v>36</v>
      </c>
      <c r="B2890" s="38" t="s">
        <v>5992</v>
      </c>
      <c r="C2890" s="38" t="s">
        <v>6172</v>
      </c>
      <c r="D2890" s="38" t="s">
        <v>6179</v>
      </c>
      <c r="E2890" s="38" t="s">
        <v>6180</v>
      </c>
      <c r="F2890" s="38">
        <v>813.35</v>
      </c>
      <c r="G2890" s="38">
        <v>100</v>
      </c>
      <c r="H2890" s="38">
        <f t="shared" si="141"/>
        <v>543</v>
      </c>
      <c r="I2890" s="38">
        <v>283</v>
      </c>
      <c r="J2890" s="38">
        <v>260</v>
      </c>
      <c r="K2890" s="38">
        <v>0</v>
      </c>
      <c r="L2890" s="50">
        <f t="shared" si="142"/>
        <v>0</v>
      </c>
      <c r="M2890" s="38">
        <v>0</v>
      </c>
      <c r="N2890" s="50">
        <f t="shared" si="140"/>
        <v>0</v>
      </c>
      <c r="O2890" s="38">
        <v>0</v>
      </c>
      <c r="P2890" s="38">
        <v>1</v>
      </c>
      <c r="Q2890" s="11" t="s">
        <v>6375</v>
      </c>
      <c r="R2890" s="256">
        <v>44072.751898148148</v>
      </c>
      <c r="S2890" s="11">
        <v>3.75</v>
      </c>
      <c r="T2890" s="11">
        <v>3.75</v>
      </c>
      <c r="V2890" s="11" t="s">
        <v>6375</v>
      </c>
    </row>
    <row r="2891" spans="1:28" x14ac:dyDescent="0.25">
      <c r="A2891" s="38" t="s">
        <v>36</v>
      </c>
      <c r="B2891" s="38" t="s">
        <v>5992</v>
      </c>
      <c r="C2891" s="38" t="s">
        <v>6181</v>
      </c>
      <c r="D2891" s="38" t="s">
        <v>6182</v>
      </c>
      <c r="E2891" s="38" t="s">
        <v>6183</v>
      </c>
      <c r="F2891" s="38">
        <v>1994.9</v>
      </c>
      <c r="G2891" s="38">
        <v>395</v>
      </c>
      <c r="H2891" s="38">
        <f t="shared" si="141"/>
        <v>2386</v>
      </c>
      <c r="I2891" s="38">
        <v>1243</v>
      </c>
      <c r="J2891" s="38">
        <v>1143</v>
      </c>
      <c r="K2891" s="38">
        <v>310</v>
      </c>
      <c r="L2891" s="50">
        <f t="shared" si="142"/>
        <v>12.992455993294216</v>
      </c>
      <c r="M2891" s="38">
        <v>4</v>
      </c>
      <c r="N2891" s="50">
        <f t="shared" si="140"/>
        <v>0.16764459346186086</v>
      </c>
      <c r="O2891" s="38">
        <v>0</v>
      </c>
      <c r="P2891" s="38">
        <v>72.930000000000007</v>
      </c>
      <c r="Q2891" s="11" t="s">
        <v>6375</v>
      </c>
      <c r="R2891" s="255">
        <v>45160</v>
      </c>
      <c r="S2891" s="11">
        <v>19</v>
      </c>
      <c r="T2891" s="11">
        <v>19</v>
      </c>
      <c r="V2891" s="11" t="s">
        <v>44</v>
      </c>
    </row>
    <row r="2892" spans="1:28" x14ac:dyDescent="0.25">
      <c r="A2892" s="38" t="s">
        <v>36</v>
      </c>
      <c r="B2892" s="38" t="s">
        <v>6185</v>
      </c>
      <c r="C2892" s="38" t="s">
        <v>6186</v>
      </c>
      <c r="D2892" s="38" t="s">
        <v>6186</v>
      </c>
      <c r="E2892" s="38" t="s">
        <v>6187</v>
      </c>
      <c r="F2892" s="38">
        <v>573</v>
      </c>
      <c r="G2892" s="38">
        <v>249</v>
      </c>
      <c r="H2892" s="38">
        <f t="shared" si="141"/>
        <v>1374</v>
      </c>
      <c r="I2892" s="38">
        <v>708</v>
      </c>
      <c r="J2892" s="38">
        <v>666</v>
      </c>
      <c r="K2892" s="38">
        <v>91</v>
      </c>
      <c r="L2892" s="50">
        <f t="shared" si="142"/>
        <v>6.6229985443959247</v>
      </c>
      <c r="M2892" s="38">
        <v>0</v>
      </c>
      <c r="N2892" s="50">
        <f t="shared" si="140"/>
        <v>0</v>
      </c>
      <c r="O2892" s="38">
        <v>0</v>
      </c>
      <c r="P2892" s="38">
        <v>0</v>
      </c>
      <c r="Q2892" s="96" t="s">
        <v>43</v>
      </c>
      <c r="R2892" s="185">
        <v>44552</v>
      </c>
      <c r="T2892" s="11">
        <v>13.12</v>
      </c>
      <c r="AB2892" s="85"/>
    </row>
    <row r="2893" spans="1:28" x14ac:dyDescent="0.25">
      <c r="A2893" s="38" t="s">
        <v>36</v>
      </c>
      <c r="B2893" s="38" t="s">
        <v>6185</v>
      </c>
      <c r="C2893" s="38" t="s">
        <v>6186</v>
      </c>
      <c r="D2893" s="38" t="s">
        <v>6188</v>
      </c>
      <c r="E2893" s="38" t="s">
        <v>6189</v>
      </c>
      <c r="F2893" s="38">
        <v>1181</v>
      </c>
      <c r="G2893" s="38">
        <v>292</v>
      </c>
      <c r="H2893" s="38">
        <f t="shared" si="141"/>
        <v>1708</v>
      </c>
      <c r="I2893" s="38">
        <v>881</v>
      </c>
      <c r="J2893" s="38">
        <v>827</v>
      </c>
      <c r="K2893" s="38">
        <v>209</v>
      </c>
      <c r="L2893" s="50">
        <f t="shared" si="142"/>
        <v>12.236533957845433</v>
      </c>
      <c r="M2893" s="38">
        <v>113</v>
      </c>
      <c r="N2893" s="50">
        <f t="shared" si="140"/>
        <v>6.6159250585480098</v>
      </c>
      <c r="O2893" s="38">
        <v>0</v>
      </c>
      <c r="P2893" s="38">
        <v>0</v>
      </c>
      <c r="Q2893" s="36" t="s">
        <v>43</v>
      </c>
      <c r="R2893" s="14">
        <v>44552</v>
      </c>
      <c r="T2893" s="11">
        <v>0</v>
      </c>
      <c r="AB2893" s="85"/>
    </row>
    <row r="2894" spans="1:28" x14ac:dyDescent="0.25">
      <c r="A2894" s="38" t="s">
        <v>36</v>
      </c>
      <c r="B2894" s="38" t="s">
        <v>6185</v>
      </c>
      <c r="C2894" s="38" t="s">
        <v>6186</v>
      </c>
      <c r="D2894" s="38" t="s">
        <v>1067</v>
      </c>
      <c r="E2894" s="38" t="s">
        <v>6190</v>
      </c>
      <c r="F2894" s="38">
        <v>737</v>
      </c>
      <c r="G2894" s="38">
        <v>144</v>
      </c>
      <c r="H2894" s="38">
        <f t="shared" si="141"/>
        <v>753</v>
      </c>
      <c r="I2894" s="38">
        <v>394</v>
      </c>
      <c r="J2894" s="38">
        <v>359</v>
      </c>
      <c r="K2894" s="38">
        <v>267</v>
      </c>
      <c r="L2894" s="50">
        <f t="shared" si="142"/>
        <v>35.458167330677291</v>
      </c>
      <c r="M2894" s="38">
        <v>0</v>
      </c>
      <c r="N2894" s="50">
        <f t="shared" si="140"/>
        <v>0</v>
      </c>
      <c r="O2894" s="38">
        <v>0</v>
      </c>
      <c r="P2894" s="38">
        <v>0</v>
      </c>
      <c r="Q2894" s="36" t="s">
        <v>43</v>
      </c>
      <c r="R2894" s="14">
        <v>44552</v>
      </c>
      <c r="T2894" s="11">
        <v>0</v>
      </c>
      <c r="AB2894" s="85"/>
    </row>
    <row r="2895" spans="1:28" x14ac:dyDescent="0.25">
      <c r="A2895" s="38" t="s">
        <v>36</v>
      </c>
      <c r="B2895" s="38" t="s">
        <v>6185</v>
      </c>
      <c r="C2895" s="38" t="s">
        <v>6191</v>
      </c>
      <c r="D2895" s="38" t="s">
        <v>6192</v>
      </c>
      <c r="E2895" s="38" t="s">
        <v>6193</v>
      </c>
      <c r="F2895" s="38">
        <v>1803.45</v>
      </c>
      <c r="G2895" s="38">
        <v>413</v>
      </c>
      <c r="H2895" s="38">
        <f t="shared" si="141"/>
        <v>2292</v>
      </c>
      <c r="I2895" s="38">
        <v>1223</v>
      </c>
      <c r="J2895" s="38">
        <v>1069</v>
      </c>
      <c r="K2895" s="38">
        <v>175</v>
      </c>
      <c r="L2895" s="50">
        <f t="shared" si="142"/>
        <v>7.6352530541012227</v>
      </c>
      <c r="M2895" s="38">
        <v>0</v>
      </c>
      <c r="N2895" s="50">
        <f t="shared" si="140"/>
        <v>0</v>
      </c>
      <c r="O2895" s="38">
        <v>0</v>
      </c>
      <c r="P2895" s="38">
        <v>0</v>
      </c>
      <c r="Q2895" s="61" t="s">
        <v>43</v>
      </c>
      <c r="R2895" s="7">
        <v>44545</v>
      </c>
      <c r="T2895" s="11">
        <v>0</v>
      </c>
      <c r="AB2895" s="20"/>
    </row>
    <row r="2896" spans="1:28" x14ac:dyDescent="0.25">
      <c r="A2896" s="38" t="s">
        <v>36</v>
      </c>
      <c r="B2896" s="38" t="s">
        <v>6185</v>
      </c>
      <c r="C2896" s="38" t="s">
        <v>6191</v>
      </c>
      <c r="D2896" s="38" t="s">
        <v>6194</v>
      </c>
      <c r="E2896" s="38" t="s">
        <v>6195</v>
      </c>
      <c r="F2896" s="38">
        <v>840</v>
      </c>
      <c r="G2896" s="38">
        <v>92</v>
      </c>
      <c r="H2896" s="38">
        <f t="shared" si="141"/>
        <v>528</v>
      </c>
      <c r="I2896" s="38">
        <v>276</v>
      </c>
      <c r="J2896" s="38">
        <v>252</v>
      </c>
      <c r="K2896" s="38">
        <v>0</v>
      </c>
      <c r="L2896" s="50">
        <f t="shared" si="142"/>
        <v>0</v>
      </c>
      <c r="M2896" s="38">
        <v>0</v>
      </c>
      <c r="N2896" s="50">
        <f t="shared" si="140"/>
        <v>0</v>
      </c>
      <c r="O2896" s="38">
        <v>0</v>
      </c>
      <c r="P2896" s="38">
        <v>20</v>
      </c>
      <c r="Q2896" s="61" t="s">
        <v>43</v>
      </c>
      <c r="R2896" s="7">
        <v>44545</v>
      </c>
      <c r="T2896" s="11">
        <v>0</v>
      </c>
      <c r="AB2896" s="20"/>
    </row>
    <row r="2897" spans="1:28" x14ac:dyDescent="0.25">
      <c r="A2897" s="38" t="s">
        <v>36</v>
      </c>
      <c r="B2897" s="38" t="s">
        <v>6185</v>
      </c>
      <c r="C2897" s="38" t="s">
        <v>6196</v>
      </c>
      <c r="D2897" s="38" t="s">
        <v>6197</v>
      </c>
      <c r="E2897" s="38" t="s">
        <v>6198</v>
      </c>
      <c r="F2897" s="38">
        <v>422</v>
      </c>
      <c r="G2897" s="38">
        <v>157</v>
      </c>
      <c r="H2897" s="38">
        <f t="shared" si="141"/>
        <v>846</v>
      </c>
      <c r="I2897" s="38">
        <v>428</v>
      </c>
      <c r="J2897" s="38">
        <v>418</v>
      </c>
      <c r="K2897" s="38">
        <v>37</v>
      </c>
      <c r="L2897" s="50">
        <f t="shared" si="142"/>
        <v>4.3735224586288419</v>
      </c>
      <c r="M2897" s="38">
        <v>0</v>
      </c>
      <c r="N2897" s="50">
        <f t="shared" si="140"/>
        <v>0</v>
      </c>
      <c r="O2897" s="38">
        <v>0</v>
      </c>
      <c r="P2897" s="38">
        <v>0</v>
      </c>
      <c r="Q2897" s="90" t="s">
        <v>43</v>
      </c>
      <c r="R2897" s="91">
        <v>44546</v>
      </c>
      <c r="T2897" s="11">
        <v>0</v>
      </c>
      <c r="AB2897" s="92"/>
    </row>
    <row r="2898" spans="1:28" x14ac:dyDescent="0.25">
      <c r="A2898" s="38" t="s">
        <v>36</v>
      </c>
      <c r="B2898" s="38" t="s">
        <v>6185</v>
      </c>
      <c r="C2898" s="38" t="s">
        <v>6196</v>
      </c>
      <c r="D2898" s="38" t="s">
        <v>6199</v>
      </c>
      <c r="E2898" s="38" t="s">
        <v>6200</v>
      </c>
      <c r="F2898" s="38">
        <v>1158</v>
      </c>
      <c r="G2898" s="38">
        <v>247</v>
      </c>
      <c r="H2898" s="38">
        <f t="shared" si="141"/>
        <v>1355</v>
      </c>
      <c r="I2898" s="38">
        <v>705</v>
      </c>
      <c r="J2898" s="38">
        <v>650</v>
      </c>
      <c r="K2898" s="38">
        <v>354</v>
      </c>
      <c r="L2898" s="50">
        <f t="shared" si="142"/>
        <v>26.125461254612546</v>
      </c>
      <c r="M2898" s="38">
        <v>0</v>
      </c>
      <c r="N2898" s="50">
        <f t="shared" si="140"/>
        <v>0</v>
      </c>
      <c r="O2898" s="38">
        <v>0</v>
      </c>
      <c r="P2898" s="38">
        <v>46</v>
      </c>
      <c r="Q2898" s="35" t="s">
        <v>43</v>
      </c>
      <c r="R2898" s="100">
        <v>44546</v>
      </c>
      <c r="T2898" s="11">
        <v>46</v>
      </c>
      <c r="AB2898" s="87"/>
    </row>
    <row r="2899" spans="1:28" x14ac:dyDescent="0.25">
      <c r="A2899" s="38" t="s">
        <v>36</v>
      </c>
      <c r="B2899" s="38" t="s">
        <v>6185</v>
      </c>
      <c r="C2899" s="38" t="s">
        <v>6201</v>
      </c>
      <c r="D2899" s="38" t="s">
        <v>6201</v>
      </c>
      <c r="E2899" s="38" t="s">
        <v>6202</v>
      </c>
      <c r="F2899" s="38">
        <v>3552.17</v>
      </c>
      <c r="G2899" s="38">
        <v>598</v>
      </c>
      <c r="H2899" s="38">
        <f t="shared" si="141"/>
        <v>3583</v>
      </c>
      <c r="I2899" s="38">
        <v>1868</v>
      </c>
      <c r="J2899" s="38">
        <v>1715</v>
      </c>
      <c r="K2899" s="38">
        <v>419</v>
      </c>
      <c r="L2899" s="50">
        <f t="shared" si="142"/>
        <v>11.694111080100475</v>
      </c>
      <c r="M2899" s="38">
        <v>94</v>
      </c>
      <c r="N2899" s="50">
        <f t="shared" si="140"/>
        <v>2.6234998604521351</v>
      </c>
      <c r="O2899" s="38">
        <v>0</v>
      </c>
      <c r="P2899" s="38">
        <v>97.37</v>
      </c>
      <c r="Q2899" s="35" t="s">
        <v>43</v>
      </c>
      <c r="R2899" s="100">
        <v>44564</v>
      </c>
      <c r="T2899" s="11">
        <v>97</v>
      </c>
      <c r="AB2899" s="87"/>
    </row>
    <row r="2900" spans="1:28" x14ac:dyDescent="0.25">
      <c r="A2900" s="38" t="s">
        <v>36</v>
      </c>
      <c r="B2900" s="38" t="s">
        <v>6185</v>
      </c>
      <c r="C2900" s="38" t="s">
        <v>6203</v>
      </c>
      <c r="D2900" s="38" t="s">
        <v>6204</v>
      </c>
      <c r="E2900" s="38" t="s">
        <v>6205</v>
      </c>
      <c r="F2900" s="38">
        <v>958</v>
      </c>
      <c r="G2900" s="38">
        <v>190</v>
      </c>
      <c r="H2900" s="38">
        <f t="shared" si="141"/>
        <v>1027</v>
      </c>
      <c r="I2900" s="38">
        <v>538</v>
      </c>
      <c r="J2900" s="38">
        <v>489</v>
      </c>
      <c r="K2900" s="38">
        <v>41</v>
      </c>
      <c r="L2900" s="50">
        <f t="shared" si="142"/>
        <v>3.992210321324245</v>
      </c>
      <c r="M2900" s="38">
        <v>0</v>
      </c>
      <c r="N2900" s="50">
        <f t="shared" si="140"/>
        <v>0</v>
      </c>
      <c r="O2900" s="38">
        <v>0</v>
      </c>
      <c r="P2900" s="38">
        <v>20</v>
      </c>
      <c r="Q2900" s="125" t="s">
        <v>43</v>
      </c>
      <c r="R2900" s="230">
        <v>44561</v>
      </c>
      <c r="T2900" s="11">
        <v>20</v>
      </c>
      <c r="AB2900" s="92"/>
    </row>
    <row r="2901" spans="1:28" x14ac:dyDescent="0.25">
      <c r="A2901" s="38" t="s">
        <v>36</v>
      </c>
      <c r="B2901" s="38" t="s">
        <v>6185</v>
      </c>
      <c r="C2901" s="38" t="s">
        <v>6203</v>
      </c>
      <c r="D2901" s="38" t="s">
        <v>6206</v>
      </c>
      <c r="E2901" s="38" t="s">
        <v>6207</v>
      </c>
      <c r="F2901" s="38">
        <v>2619.14</v>
      </c>
      <c r="G2901" s="38">
        <v>493</v>
      </c>
      <c r="H2901" s="38">
        <f t="shared" si="141"/>
        <v>2786</v>
      </c>
      <c r="I2901" s="38">
        <v>1438</v>
      </c>
      <c r="J2901" s="38">
        <v>1348</v>
      </c>
      <c r="K2901" s="38">
        <v>303</v>
      </c>
      <c r="L2901" s="50">
        <f t="shared" si="142"/>
        <v>10.875807609475952</v>
      </c>
      <c r="M2901" s="38">
        <v>27</v>
      </c>
      <c r="N2901" s="50">
        <f t="shared" si="140"/>
        <v>0.96913137114142145</v>
      </c>
      <c r="O2901" s="38">
        <v>291</v>
      </c>
      <c r="P2901" s="38">
        <v>157</v>
      </c>
      <c r="Q2901" s="96" t="s">
        <v>43</v>
      </c>
      <c r="R2901" s="185">
        <v>44561</v>
      </c>
      <c r="T2901" s="11">
        <v>157</v>
      </c>
      <c r="AB2901" s="85"/>
    </row>
    <row r="2902" spans="1:28" x14ac:dyDescent="0.25">
      <c r="A2902" s="38" t="s">
        <v>36</v>
      </c>
      <c r="B2902" s="38" t="s">
        <v>6185</v>
      </c>
      <c r="C2902" s="38" t="s">
        <v>6203</v>
      </c>
      <c r="D2902" s="38" t="s">
        <v>6208</v>
      </c>
      <c r="E2902" s="38" t="s">
        <v>6209</v>
      </c>
      <c r="F2902" s="38">
        <v>2500.0700000000002</v>
      </c>
      <c r="G2902" s="38">
        <v>317</v>
      </c>
      <c r="H2902" s="38">
        <f t="shared" si="141"/>
        <v>1761</v>
      </c>
      <c r="I2902" s="38">
        <v>929</v>
      </c>
      <c r="J2902" s="38">
        <v>832</v>
      </c>
      <c r="K2902" s="38">
        <v>2</v>
      </c>
      <c r="L2902" s="50">
        <f t="shared" si="142"/>
        <v>0.11357183418512209</v>
      </c>
      <c r="M2902" s="38">
        <v>0</v>
      </c>
      <c r="N2902" s="50">
        <f t="shared" si="140"/>
        <v>0</v>
      </c>
      <c r="O2902" s="38">
        <v>0</v>
      </c>
      <c r="P2902" s="38">
        <v>39</v>
      </c>
      <c r="Q2902" s="96" t="s">
        <v>43</v>
      </c>
      <c r="R2902" s="185">
        <v>44561</v>
      </c>
      <c r="T2902" s="11">
        <v>39</v>
      </c>
      <c r="AB2902" s="85"/>
    </row>
    <row r="2903" spans="1:28" x14ac:dyDescent="0.25">
      <c r="A2903" s="38" t="s">
        <v>36</v>
      </c>
      <c r="B2903" s="38" t="s">
        <v>6185</v>
      </c>
      <c r="C2903" s="38" t="s">
        <v>6210</v>
      </c>
      <c r="D2903" s="38" t="s">
        <v>6211</v>
      </c>
      <c r="E2903" s="38" t="s">
        <v>6212</v>
      </c>
      <c r="F2903" s="38">
        <v>619</v>
      </c>
      <c r="G2903" s="38">
        <v>74</v>
      </c>
      <c r="H2903" s="38">
        <f t="shared" si="141"/>
        <v>460</v>
      </c>
      <c r="I2903" s="38">
        <v>241</v>
      </c>
      <c r="J2903" s="38">
        <v>219</v>
      </c>
      <c r="K2903" s="38">
        <v>8</v>
      </c>
      <c r="L2903" s="50">
        <f t="shared" si="142"/>
        <v>1.7391304347826086</v>
      </c>
      <c r="M2903" s="38">
        <v>0</v>
      </c>
      <c r="N2903" s="50">
        <f t="shared" si="140"/>
        <v>0</v>
      </c>
      <c r="O2903" s="38">
        <v>0</v>
      </c>
      <c r="P2903" s="38">
        <v>0</v>
      </c>
      <c r="Q2903" s="36" t="s">
        <v>43</v>
      </c>
      <c r="R2903" s="14">
        <v>44551</v>
      </c>
      <c r="T2903" s="11">
        <v>0</v>
      </c>
      <c r="AB2903" s="85"/>
    </row>
    <row r="2904" spans="1:28" x14ac:dyDescent="0.25">
      <c r="A2904" s="38" t="s">
        <v>36</v>
      </c>
      <c r="B2904" s="38" t="s">
        <v>6185</v>
      </c>
      <c r="C2904" s="38" t="s">
        <v>6210</v>
      </c>
      <c r="D2904" s="38" t="s">
        <v>856</v>
      </c>
      <c r="E2904" s="38" t="s">
        <v>6213</v>
      </c>
      <c r="F2904" s="38">
        <v>378</v>
      </c>
      <c r="G2904" s="38">
        <v>59</v>
      </c>
      <c r="H2904" s="38">
        <f t="shared" si="141"/>
        <v>339</v>
      </c>
      <c r="I2904" s="38">
        <v>156</v>
      </c>
      <c r="J2904" s="38">
        <v>183</v>
      </c>
      <c r="K2904" s="38">
        <v>0</v>
      </c>
      <c r="L2904" s="50">
        <f t="shared" si="142"/>
        <v>0</v>
      </c>
      <c r="M2904" s="38">
        <v>0</v>
      </c>
      <c r="N2904" s="50">
        <f t="shared" si="140"/>
        <v>0</v>
      </c>
      <c r="O2904" s="38">
        <v>0</v>
      </c>
      <c r="P2904" s="38">
        <v>60</v>
      </c>
      <c r="Q2904" s="96" t="s">
        <v>43</v>
      </c>
      <c r="R2904" s="185">
        <v>44551</v>
      </c>
      <c r="T2904" s="11">
        <v>60</v>
      </c>
      <c r="AB2904" s="85"/>
    </row>
    <row r="2905" spans="1:28" x14ac:dyDescent="0.25">
      <c r="A2905" s="38" t="s">
        <v>36</v>
      </c>
      <c r="B2905" s="38" t="s">
        <v>6185</v>
      </c>
      <c r="C2905" s="38" t="s">
        <v>6210</v>
      </c>
      <c r="D2905" s="38" t="s">
        <v>6214</v>
      </c>
      <c r="E2905" s="38" t="s">
        <v>6215</v>
      </c>
      <c r="F2905" s="38">
        <v>1642</v>
      </c>
      <c r="G2905" s="38">
        <v>350</v>
      </c>
      <c r="H2905" s="38">
        <f t="shared" si="141"/>
        <v>2173</v>
      </c>
      <c r="I2905" s="38">
        <v>1146</v>
      </c>
      <c r="J2905" s="38">
        <v>1027</v>
      </c>
      <c r="K2905" s="38">
        <v>357</v>
      </c>
      <c r="L2905" s="50">
        <f t="shared" si="142"/>
        <v>16.428900138057983</v>
      </c>
      <c r="M2905" s="38">
        <v>0</v>
      </c>
      <c r="N2905" s="50">
        <f t="shared" si="140"/>
        <v>0</v>
      </c>
      <c r="O2905" s="38">
        <v>0</v>
      </c>
      <c r="P2905" s="38">
        <v>0</v>
      </c>
      <c r="Q2905" s="36" t="s">
        <v>43</v>
      </c>
      <c r="R2905" s="14">
        <v>44551</v>
      </c>
      <c r="T2905" s="11">
        <v>0</v>
      </c>
      <c r="AB2905" s="85"/>
    </row>
    <row r="2906" spans="1:28" x14ac:dyDescent="0.25">
      <c r="A2906" s="38" t="s">
        <v>36</v>
      </c>
      <c r="B2906" s="38" t="s">
        <v>6185</v>
      </c>
      <c r="C2906" s="38" t="s">
        <v>6210</v>
      </c>
      <c r="D2906" s="38" t="s">
        <v>6216</v>
      </c>
      <c r="E2906" s="38" t="s">
        <v>6217</v>
      </c>
      <c r="F2906" s="38">
        <v>804</v>
      </c>
      <c r="G2906" s="38">
        <v>117</v>
      </c>
      <c r="H2906" s="38">
        <f t="shared" si="141"/>
        <v>666</v>
      </c>
      <c r="I2906" s="38">
        <v>353</v>
      </c>
      <c r="J2906" s="38">
        <v>313</v>
      </c>
      <c r="K2906" s="38">
        <v>67</v>
      </c>
      <c r="L2906" s="50">
        <f t="shared" si="142"/>
        <v>10.06006006006006</v>
      </c>
      <c r="M2906" s="38">
        <v>0</v>
      </c>
      <c r="N2906" s="50">
        <f t="shared" si="140"/>
        <v>0</v>
      </c>
      <c r="O2906" s="38">
        <v>0</v>
      </c>
      <c r="P2906" s="38">
        <v>40</v>
      </c>
      <c r="Q2906" s="72" t="s">
        <v>43</v>
      </c>
      <c r="R2906" s="167">
        <v>44521</v>
      </c>
      <c r="T2906" s="11">
        <v>40</v>
      </c>
      <c r="AB2906" s="168"/>
    </row>
    <row r="2907" spans="1:28" x14ac:dyDescent="0.25">
      <c r="A2907" s="38" t="s">
        <v>36</v>
      </c>
      <c r="B2907" s="38" t="s">
        <v>6185</v>
      </c>
      <c r="C2907" s="38" t="s">
        <v>6218</v>
      </c>
      <c r="D2907" s="38" t="s">
        <v>6219</v>
      </c>
      <c r="E2907" s="38" t="s">
        <v>6220</v>
      </c>
      <c r="F2907" s="38">
        <v>1413</v>
      </c>
      <c r="G2907" s="38">
        <v>560</v>
      </c>
      <c r="H2907" s="38">
        <f t="shared" si="141"/>
        <v>3307</v>
      </c>
      <c r="I2907" s="38">
        <v>1739</v>
      </c>
      <c r="J2907" s="38">
        <v>1568</v>
      </c>
      <c r="K2907" s="38">
        <v>71</v>
      </c>
      <c r="L2907" s="50">
        <f t="shared" si="142"/>
        <v>2.1469609918355004</v>
      </c>
      <c r="M2907" s="38">
        <v>0</v>
      </c>
      <c r="N2907" s="50">
        <f t="shared" si="140"/>
        <v>0</v>
      </c>
      <c r="O2907" s="38">
        <v>0</v>
      </c>
      <c r="P2907" s="38">
        <v>20</v>
      </c>
      <c r="Q2907" s="125" t="s">
        <v>43</v>
      </c>
      <c r="R2907" s="230">
        <v>44538</v>
      </c>
      <c r="T2907" s="11">
        <v>20</v>
      </c>
      <c r="AB2907" s="92"/>
    </row>
    <row r="2908" spans="1:28" x14ac:dyDescent="0.25">
      <c r="A2908" s="38" t="s">
        <v>36</v>
      </c>
      <c r="B2908" s="38" t="s">
        <v>6185</v>
      </c>
      <c r="C2908" s="38" t="s">
        <v>6221</v>
      </c>
      <c r="D2908" s="38" t="s">
        <v>6222</v>
      </c>
      <c r="E2908" s="38" t="s">
        <v>6223</v>
      </c>
      <c r="F2908" s="38">
        <v>3137</v>
      </c>
      <c r="G2908" s="38">
        <v>703</v>
      </c>
      <c r="H2908" s="38">
        <f t="shared" si="141"/>
        <v>3918</v>
      </c>
      <c r="I2908" s="38">
        <v>2055</v>
      </c>
      <c r="J2908" s="38">
        <v>1863</v>
      </c>
      <c r="K2908" s="38">
        <v>555</v>
      </c>
      <c r="L2908" s="50">
        <f t="shared" si="142"/>
        <v>14.165390505359879</v>
      </c>
      <c r="M2908" s="38">
        <v>210</v>
      </c>
      <c r="N2908" s="50">
        <f t="shared" si="140"/>
        <v>5.3598774885145479</v>
      </c>
      <c r="O2908" s="38">
        <v>0</v>
      </c>
      <c r="P2908" s="38">
        <v>18</v>
      </c>
      <c r="Q2908" s="35" t="s">
        <v>43</v>
      </c>
      <c r="R2908" s="100">
        <v>44529</v>
      </c>
      <c r="T2908" s="11">
        <v>18</v>
      </c>
      <c r="AB2908" s="87"/>
    </row>
    <row r="2909" spans="1:28" x14ac:dyDescent="0.25">
      <c r="A2909" s="38" t="s">
        <v>36</v>
      </c>
      <c r="B2909" s="38" t="s">
        <v>6185</v>
      </c>
      <c r="C2909" s="38" t="s">
        <v>6224</v>
      </c>
      <c r="D2909" s="38" t="s">
        <v>6225</v>
      </c>
      <c r="E2909" s="38" t="s">
        <v>6226</v>
      </c>
      <c r="F2909" s="38">
        <v>1630</v>
      </c>
      <c r="G2909" s="38">
        <v>7</v>
      </c>
      <c r="H2909" s="38">
        <f t="shared" si="141"/>
        <v>42</v>
      </c>
      <c r="I2909" s="38">
        <v>22</v>
      </c>
      <c r="J2909" s="38">
        <v>20</v>
      </c>
      <c r="K2909" s="38">
        <v>0</v>
      </c>
      <c r="L2909" s="50">
        <f t="shared" si="142"/>
        <v>0</v>
      </c>
      <c r="M2909" s="38">
        <v>0</v>
      </c>
      <c r="N2909" s="50">
        <f t="shared" si="140"/>
        <v>0</v>
      </c>
      <c r="O2909" s="38">
        <v>1089</v>
      </c>
      <c r="P2909" s="38">
        <v>121</v>
      </c>
      <c r="Q2909" s="96" t="s">
        <v>43</v>
      </c>
      <c r="R2909" s="185">
        <v>44559</v>
      </c>
      <c r="T2909" s="11">
        <v>19.36</v>
      </c>
      <c r="AB2909" s="85">
        <v>18</v>
      </c>
    </row>
    <row r="2910" spans="1:28" x14ac:dyDescent="0.25">
      <c r="A2910" s="38" t="s">
        <v>36</v>
      </c>
      <c r="B2910" s="38" t="s">
        <v>6185</v>
      </c>
      <c r="C2910" s="38" t="s">
        <v>6224</v>
      </c>
      <c r="D2910" s="38" t="s">
        <v>6227</v>
      </c>
      <c r="E2910" s="38" t="s">
        <v>6228</v>
      </c>
      <c r="F2910" s="38">
        <v>2534</v>
      </c>
      <c r="G2910" s="38">
        <v>349</v>
      </c>
      <c r="H2910" s="38">
        <f t="shared" si="141"/>
        <v>1862</v>
      </c>
      <c r="I2910" s="38">
        <v>951</v>
      </c>
      <c r="J2910" s="38">
        <v>911</v>
      </c>
      <c r="K2910" s="38">
        <v>439</v>
      </c>
      <c r="L2910" s="50">
        <f t="shared" si="142"/>
        <v>23.576799140708914</v>
      </c>
      <c r="M2910" s="38">
        <v>64</v>
      </c>
      <c r="N2910" s="50">
        <f t="shared" ref="N2910:N2973" si="143">M2910/H2910*100</f>
        <v>3.4371643394199785</v>
      </c>
      <c r="O2910" s="38">
        <v>74</v>
      </c>
      <c r="P2910" s="38">
        <v>223</v>
      </c>
      <c r="Q2910" s="96" t="s">
        <v>43</v>
      </c>
      <c r="R2910" s="185">
        <v>44559</v>
      </c>
      <c r="T2910" s="11">
        <v>35.68</v>
      </c>
      <c r="AB2910" s="85">
        <v>25</v>
      </c>
    </row>
    <row r="2911" spans="1:28" x14ac:dyDescent="0.25">
      <c r="A2911" s="38" t="s">
        <v>36</v>
      </c>
      <c r="B2911" s="38" t="s">
        <v>6185</v>
      </c>
      <c r="C2911" s="38" t="s">
        <v>6224</v>
      </c>
      <c r="D2911" s="38" t="s">
        <v>6229</v>
      </c>
      <c r="E2911" s="38" t="s">
        <v>6230</v>
      </c>
      <c r="F2911" s="38">
        <v>1118</v>
      </c>
      <c r="G2911" s="38">
        <v>121</v>
      </c>
      <c r="H2911" s="38">
        <f t="shared" si="141"/>
        <v>745</v>
      </c>
      <c r="I2911" s="38">
        <v>382</v>
      </c>
      <c r="J2911" s="38">
        <v>363</v>
      </c>
      <c r="K2911" s="38">
        <v>177</v>
      </c>
      <c r="L2911" s="50">
        <f t="shared" si="142"/>
        <v>23.758389261744966</v>
      </c>
      <c r="M2911" s="38">
        <v>0</v>
      </c>
      <c r="N2911" s="50">
        <f t="shared" si="143"/>
        <v>0</v>
      </c>
      <c r="O2911" s="38">
        <v>0</v>
      </c>
      <c r="P2911" s="38">
        <v>72</v>
      </c>
      <c r="Q2911" s="96" t="s">
        <v>43</v>
      </c>
      <c r="R2911" s="185">
        <v>44559</v>
      </c>
      <c r="T2911" s="11">
        <v>11.52</v>
      </c>
      <c r="AB2911" s="85"/>
    </row>
    <row r="2912" spans="1:28" x14ac:dyDescent="0.25">
      <c r="A2912" s="38" t="s">
        <v>36</v>
      </c>
      <c r="B2912" s="38" t="s">
        <v>6185</v>
      </c>
      <c r="C2912" s="38" t="s">
        <v>6231</v>
      </c>
      <c r="D2912" s="38" t="s">
        <v>6232</v>
      </c>
      <c r="E2912" s="38" t="s">
        <v>6233</v>
      </c>
      <c r="F2912" s="38">
        <v>2729.02</v>
      </c>
      <c r="G2912" s="38">
        <v>481</v>
      </c>
      <c r="H2912" s="38">
        <f t="shared" si="141"/>
        <v>2543</v>
      </c>
      <c r="I2912" s="38">
        <v>1322</v>
      </c>
      <c r="J2912" s="38">
        <v>1221</v>
      </c>
      <c r="K2912" s="38">
        <v>298</v>
      </c>
      <c r="L2912" s="50">
        <f t="shared" si="142"/>
        <v>11.718442784113252</v>
      </c>
      <c r="M2912" s="38">
        <v>105</v>
      </c>
      <c r="N2912" s="50">
        <f t="shared" si="143"/>
        <v>4.1289815178922531</v>
      </c>
      <c r="O2912" s="38">
        <v>10.75</v>
      </c>
      <c r="P2912" s="38">
        <v>2.13</v>
      </c>
      <c r="Q2912" s="96" t="s">
        <v>43</v>
      </c>
      <c r="R2912" s="185">
        <v>44560</v>
      </c>
      <c r="T2912" s="11">
        <v>2</v>
      </c>
      <c r="AB2912" s="85"/>
    </row>
    <row r="2913" spans="1:28" x14ac:dyDescent="0.25">
      <c r="A2913" s="38" t="s">
        <v>36</v>
      </c>
      <c r="B2913" s="38" t="s">
        <v>6185</v>
      </c>
      <c r="C2913" s="38" t="s">
        <v>6231</v>
      </c>
      <c r="D2913" s="38" t="s">
        <v>6232</v>
      </c>
      <c r="E2913" s="38" t="s">
        <v>6233</v>
      </c>
      <c r="F2913" s="38">
        <v>2729.02</v>
      </c>
      <c r="G2913" s="38">
        <v>481</v>
      </c>
      <c r="H2913" s="38">
        <f t="shared" si="141"/>
        <v>2543</v>
      </c>
      <c r="I2913" s="38">
        <v>1322</v>
      </c>
      <c r="J2913" s="38">
        <v>1221</v>
      </c>
      <c r="K2913" s="38">
        <v>298</v>
      </c>
      <c r="L2913" s="50">
        <f t="shared" si="142"/>
        <v>11.718442784113252</v>
      </c>
      <c r="M2913" s="38">
        <v>105</v>
      </c>
      <c r="N2913" s="50">
        <f t="shared" si="143"/>
        <v>4.1289815178922531</v>
      </c>
      <c r="O2913" s="38">
        <v>10.75</v>
      </c>
      <c r="P2913" s="38">
        <v>2.13</v>
      </c>
      <c r="Q2913" s="7" t="s">
        <v>43</v>
      </c>
      <c r="R2913" s="95"/>
      <c r="T2913" s="11">
        <v>2</v>
      </c>
      <c r="AB2913" s="85">
        <v>2</v>
      </c>
    </row>
    <row r="2914" spans="1:28" x14ac:dyDescent="0.25">
      <c r="A2914" s="38" t="s">
        <v>36</v>
      </c>
      <c r="B2914" s="38" t="s">
        <v>6185</v>
      </c>
      <c r="C2914" s="38" t="s">
        <v>6231</v>
      </c>
      <c r="D2914" s="38" t="s">
        <v>6234</v>
      </c>
      <c r="E2914" s="38" t="s">
        <v>6235</v>
      </c>
      <c r="F2914" s="38">
        <v>1832.28</v>
      </c>
      <c r="G2914" s="38">
        <v>252</v>
      </c>
      <c r="H2914" s="38">
        <f t="shared" si="141"/>
        <v>1531</v>
      </c>
      <c r="I2914" s="38">
        <v>799</v>
      </c>
      <c r="J2914" s="38">
        <v>732</v>
      </c>
      <c r="K2914" s="38">
        <v>336</v>
      </c>
      <c r="L2914" s="50">
        <f t="shared" si="142"/>
        <v>21.946440235140429</v>
      </c>
      <c r="M2914" s="38">
        <v>25</v>
      </c>
      <c r="N2914" s="50">
        <f t="shared" si="143"/>
        <v>1.6329196603527107</v>
      </c>
      <c r="O2914" s="38">
        <v>0</v>
      </c>
      <c r="P2914" s="38">
        <v>0</v>
      </c>
      <c r="Q2914" s="61" t="s">
        <v>43</v>
      </c>
      <c r="R2914" s="7">
        <v>44560</v>
      </c>
      <c r="T2914" s="11">
        <v>0</v>
      </c>
      <c r="AB2914" s="20"/>
    </row>
    <row r="2915" spans="1:28" x14ac:dyDescent="0.25">
      <c r="A2915" s="38" t="s">
        <v>36</v>
      </c>
      <c r="B2915" s="38" t="s">
        <v>6185</v>
      </c>
      <c r="C2915" s="38" t="s">
        <v>6236</v>
      </c>
      <c r="D2915" s="38" t="s">
        <v>6237</v>
      </c>
      <c r="E2915" s="38" t="s">
        <v>6238</v>
      </c>
      <c r="F2915" s="38">
        <v>1548.09</v>
      </c>
      <c r="G2915" s="38">
        <v>316</v>
      </c>
      <c r="H2915" s="38">
        <f t="shared" si="141"/>
        <v>2086</v>
      </c>
      <c r="I2915" s="38">
        <v>1071</v>
      </c>
      <c r="J2915" s="38">
        <v>1015</v>
      </c>
      <c r="K2915" s="38">
        <v>240</v>
      </c>
      <c r="L2915" s="50">
        <f t="shared" si="142"/>
        <v>11.505273250239693</v>
      </c>
      <c r="M2915" s="38">
        <v>94</v>
      </c>
      <c r="N2915" s="50">
        <f t="shared" si="143"/>
        <v>4.5062320230105462</v>
      </c>
      <c r="O2915" s="38">
        <v>0</v>
      </c>
      <c r="P2915" s="38">
        <v>0</v>
      </c>
      <c r="Q2915" s="36" t="s">
        <v>43</v>
      </c>
      <c r="R2915" s="14">
        <v>44540</v>
      </c>
      <c r="T2915" s="11">
        <v>0</v>
      </c>
      <c r="AB2915" s="85"/>
    </row>
    <row r="2916" spans="1:28" x14ac:dyDescent="0.25">
      <c r="A2916" s="38" t="s">
        <v>36</v>
      </c>
      <c r="B2916" s="38" t="s">
        <v>6185</v>
      </c>
      <c r="C2916" s="38" t="s">
        <v>6239</v>
      </c>
      <c r="D2916" s="38" t="s">
        <v>6240</v>
      </c>
      <c r="E2916" s="38" t="s">
        <v>6241</v>
      </c>
      <c r="F2916" s="38">
        <v>776.44</v>
      </c>
      <c r="G2916" s="38">
        <v>132</v>
      </c>
      <c r="H2916" s="38">
        <f t="shared" si="141"/>
        <v>896</v>
      </c>
      <c r="I2916" s="38">
        <v>485</v>
      </c>
      <c r="J2916" s="38">
        <v>411</v>
      </c>
      <c r="K2916" s="38">
        <v>356</v>
      </c>
      <c r="L2916" s="50">
        <f t="shared" si="142"/>
        <v>39.732142857142854</v>
      </c>
      <c r="M2916" s="38">
        <v>0</v>
      </c>
      <c r="N2916" s="50">
        <f t="shared" si="143"/>
        <v>0</v>
      </c>
      <c r="O2916" s="38">
        <v>0</v>
      </c>
      <c r="P2916" s="38">
        <v>5.04</v>
      </c>
      <c r="Q2916" s="96" t="s">
        <v>43</v>
      </c>
      <c r="R2916" s="185">
        <v>44547</v>
      </c>
      <c r="T2916" s="11">
        <v>5</v>
      </c>
      <c r="AB2916" s="85"/>
    </row>
    <row r="2917" spans="1:28" x14ac:dyDescent="0.25">
      <c r="A2917" s="38" t="s">
        <v>36</v>
      </c>
      <c r="B2917" s="38" t="s">
        <v>6185</v>
      </c>
      <c r="C2917" s="38" t="s">
        <v>6239</v>
      </c>
      <c r="D2917" s="38" t="s">
        <v>6242</v>
      </c>
      <c r="E2917" s="38" t="s">
        <v>6243</v>
      </c>
      <c r="F2917" s="38">
        <v>935.15</v>
      </c>
      <c r="G2917" s="38">
        <v>141</v>
      </c>
      <c r="H2917" s="38">
        <f t="shared" si="141"/>
        <v>714</v>
      </c>
      <c r="I2917" s="38">
        <v>389</v>
      </c>
      <c r="J2917" s="38">
        <v>325</v>
      </c>
      <c r="K2917" s="38">
        <v>110</v>
      </c>
      <c r="L2917" s="50">
        <f t="shared" si="142"/>
        <v>15.406162464985995</v>
      </c>
      <c r="M2917" s="38">
        <v>67</v>
      </c>
      <c r="N2917" s="50">
        <f t="shared" si="143"/>
        <v>9.3837535014005606</v>
      </c>
      <c r="O2917" s="38">
        <v>0</v>
      </c>
      <c r="P2917" s="38">
        <v>190.04</v>
      </c>
      <c r="Q2917" s="96" t="s">
        <v>43</v>
      </c>
      <c r="R2917" s="185">
        <v>44547</v>
      </c>
      <c r="T2917" s="11">
        <v>190</v>
      </c>
      <c r="AB2917" s="85"/>
    </row>
    <row r="2918" spans="1:28" x14ac:dyDescent="0.25">
      <c r="A2918" s="38" t="s">
        <v>36</v>
      </c>
      <c r="B2918" s="38" t="s">
        <v>6185</v>
      </c>
      <c r="C2918" s="38" t="s">
        <v>6239</v>
      </c>
      <c r="D2918" s="38" t="s">
        <v>6242</v>
      </c>
      <c r="E2918" s="38" t="s">
        <v>6243</v>
      </c>
      <c r="F2918" s="38">
        <v>935.15</v>
      </c>
      <c r="G2918" s="38">
        <v>141</v>
      </c>
      <c r="H2918" s="38">
        <f t="shared" si="141"/>
        <v>714</v>
      </c>
      <c r="I2918" s="38">
        <v>389</v>
      </c>
      <c r="J2918" s="38">
        <v>325</v>
      </c>
      <c r="K2918" s="38">
        <v>110</v>
      </c>
      <c r="L2918" s="50">
        <f t="shared" si="142"/>
        <v>15.406162464985995</v>
      </c>
      <c r="M2918" s="38">
        <v>67</v>
      </c>
      <c r="N2918" s="50">
        <f t="shared" si="143"/>
        <v>9.3837535014005606</v>
      </c>
      <c r="O2918" s="38">
        <v>0</v>
      </c>
      <c r="P2918" s="38">
        <v>190.04</v>
      </c>
      <c r="Q2918" s="7" t="s">
        <v>43</v>
      </c>
      <c r="R2918" s="95"/>
      <c r="T2918" s="11">
        <v>190</v>
      </c>
      <c r="AB2918" s="85">
        <v>85</v>
      </c>
    </row>
    <row r="2919" spans="1:28" x14ac:dyDescent="0.25">
      <c r="A2919" s="38" t="s">
        <v>36</v>
      </c>
      <c r="B2919" s="38" t="s">
        <v>6185</v>
      </c>
      <c r="C2919" s="38" t="s">
        <v>6239</v>
      </c>
      <c r="D2919" s="38" t="s">
        <v>6244</v>
      </c>
      <c r="E2919" s="38" t="s">
        <v>6245</v>
      </c>
      <c r="F2919" s="38">
        <v>813.42</v>
      </c>
      <c r="G2919" s="38">
        <v>133</v>
      </c>
      <c r="H2919" s="38">
        <f t="shared" si="141"/>
        <v>726</v>
      </c>
      <c r="I2919" s="38">
        <v>396</v>
      </c>
      <c r="J2919" s="38">
        <v>330</v>
      </c>
      <c r="K2919" s="38">
        <v>247</v>
      </c>
      <c r="L2919" s="50">
        <f t="shared" si="142"/>
        <v>34.022038567493112</v>
      </c>
      <c r="M2919" s="38">
        <v>0</v>
      </c>
      <c r="N2919" s="50">
        <f t="shared" si="143"/>
        <v>0</v>
      </c>
      <c r="O2919" s="38">
        <v>2</v>
      </c>
      <c r="P2919" s="38">
        <v>0</v>
      </c>
      <c r="Q2919" s="36" t="s">
        <v>43</v>
      </c>
      <c r="R2919" s="14">
        <v>44547</v>
      </c>
      <c r="T2919" s="11">
        <v>0</v>
      </c>
      <c r="AB2919" s="85"/>
    </row>
    <row r="2920" spans="1:28" x14ac:dyDescent="0.25">
      <c r="A2920" s="38" t="s">
        <v>36</v>
      </c>
      <c r="B2920" s="33" t="s">
        <v>6185</v>
      </c>
      <c r="C2920" s="33" t="s">
        <v>6246</v>
      </c>
      <c r="D2920" s="33" t="s">
        <v>6247</v>
      </c>
      <c r="E2920" s="33" t="s">
        <v>6248</v>
      </c>
      <c r="F2920" s="33">
        <v>1029.98</v>
      </c>
      <c r="G2920" s="33">
        <v>289</v>
      </c>
      <c r="H2920" s="38">
        <f t="shared" si="141"/>
        <v>1727</v>
      </c>
      <c r="I2920" s="33">
        <v>904</v>
      </c>
      <c r="J2920" s="33">
        <v>823</v>
      </c>
      <c r="K2920" s="33">
        <v>112</v>
      </c>
      <c r="L2920" s="50">
        <f t="shared" si="142"/>
        <v>6.4852345107122176</v>
      </c>
      <c r="M2920" s="33">
        <v>56</v>
      </c>
      <c r="N2920" s="50">
        <f t="shared" si="143"/>
        <v>3.2426172553561088</v>
      </c>
      <c r="O2920" s="33">
        <v>0</v>
      </c>
      <c r="P2920" s="33">
        <v>55.16</v>
      </c>
      <c r="Q2920" s="98" t="s">
        <v>43</v>
      </c>
      <c r="R2920" s="17">
        <v>44568</v>
      </c>
      <c r="T2920" s="11">
        <v>55</v>
      </c>
      <c r="AB2920" s="20"/>
    </row>
    <row r="2921" spans="1:28" x14ac:dyDescent="0.25">
      <c r="A2921" s="38" t="s">
        <v>36</v>
      </c>
      <c r="B2921" s="76" t="s">
        <v>6185</v>
      </c>
      <c r="C2921" s="76" t="s">
        <v>6246</v>
      </c>
      <c r="D2921" s="76" t="s">
        <v>6247</v>
      </c>
      <c r="E2921" s="76" t="s">
        <v>6248</v>
      </c>
      <c r="F2921" s="76">
        <v>1029.98</v>
      </c>
      <c r="G2921" s="76">
        <v>289</v>
      </c>
      <c r="H2921" s="38">
        <f t="shared" si="141"/>
        <v>1727</v>
      </c>
      <c r="I2921" s="76">
        <v>904</v>
      </c>
      <c r="J2921" s="76">
        <v>823</v>
      </c>
      <c r="K2921" s="76">
        <v>112</v>
      </c>
      <c r="L2921" s="50">
        <f t="shared" si="142"/>
        <v>6.4852345107122176</v>
      </c>
      <c r="M2921" s="76">
        <v>56</v>
      </c>
      <c r="N2921" s="50">
        <f t="shared" si="143"/>
        <v>3.2426172553561088</v>
      </c>
      <c r="O2921" s="76">
        <v>0</v>
      </c>
      <c r="P2921" s="76">
        <v>55.16</v>
      </c>
      <c r="Q2921" s="7" t="s">
        <v>43</v>
      </c>
      <c r="R2921" s="24">
        <v>44568</v>
      </c>
      <c r="T2921" s="11">
        <v>55</v>
      </c>
      <c r="AB2921" s="215"/>
    </row>
    <row r="2922" spans="1:28" x14ac:dyDescent="0.25">
      <c r="A2922" s="38" t="s">
        <v>36</v>
      </c>
      <c r="B2922" s="33" t="s">
        <v>6185</v>
      </c>
      <c r="C2922" s="33" t="s">
        <v>6246</v>
      </c>
      <c r="D2922" s="33" t="s">
        <v>6249</v>
      </c>
      <c r="E2922" s="33" t="s">
        <v>6250</v>
      </c>
      <c r="F2922" s="33">
        <v>1108.1300000000001</v>
      </c>
      <c r="G2922" s="33">
        <v>181</v>
      </c>
      <c r="H2922" s="38">
        <f t="shared" si="141"/>
        <v>876</v>
      </c>
      <c r="I2922" s="33">
        <v>466</v>
      </c>
      <c r="J2922" s="33">
        <v>410</v>
      </c>
      <c r="K2922" s="33">
        <v>105</v>
      </c>
      <c r="L2922" s="50">
        <f t="shared" si="142"/>
        <v>11.986301369863012</v>
      </c>
      <c r="M2922" s="33">
        <v>127</v>
      </c>
      <c r="N2922" s="50">
        <f t="shared" si="143"/>
        <v>14.49771689497717</v>
      </c>
      <c r="O2922" s="33">
        <v>0</v>
      </c>
      <c r="P2922" s="33">
        <v>0</v>
      </c>
      <c r="Q2922" s="61" t="s">
        <v>43</v>
      </c>
      <c r="R2922" s="7">
        <v>44568</v>
      </c>
      <c r="T2922" s="11">
        <v>0</v>
      </c>
      <c r="AB2922" s="20"/>
    </row>
    <row r="2923" spans="1:28" x14ac:dyDescent="0.25">
      <c r="A2923" s="38" t="s">
        <v>36</v>
      </c>
      <c r="B2923" s="33" t="s">
        <v>6185</v>
      </c>
      <c r="C2923" s="33" t="s">
        <v>6246</v>
      </c>
      <c r="D2923" s="33" t="s">
        <v>6251</v>
      </c>
      <c r="E2923" s="33" t="s">
        <v>6252</v>
      </c>
      <c r="F2923" s="33">
        <v>968.34</v>
      </c>
      <c r="G2923" s="33">
        <v>127</v>
      </c>
      <c r="H2923" s="38">
        <f t="shared" si="141"/>
        <v>720</v>
      </c>
      <c r="I2923" s="33">
        <v>367</v>
      </c>
      <c r="J2923" s="33">
        <v>353</v>
      </c>
      <c r="K2923" s="33">
        <v>17</v>
      </c>
      <c r="L2923" s="50">
        <f t="shared" si="142"/>
        <v>2.3611111111111112</v>
      </c>
      <c r="M2923" s="33">
        <v>0</v>
      </c>
      <c r="N2923" s="50">
        <f t="shared" si="143"/>
        <v>0</v>
      </c>
      <c r="O2923" s="33">
        <v>0</v>
      </c>
      <c r="P2923" s="33">
        <v>3.45</v>
      </c>
      <c r="Q2923" s="98" t="s">
        <v>43</v>
      </c>
      <c r="R2923" s="17">
        <v>44568</v>
      </c>
      <c r="T2923" s="11">
        <v>3</v>
      </c>
      <c r="AB2923" s="20"/>
    </row>
    <row r="2924" spans="1:28" x14ac:dyDescent="0.25">
      <c r="A2924" s="38" t="s">
        <v>36</v>
      </c>
      <c r="B2924" s="33" t="s">
        <v>6185</v>
      </c>
      <c r="C2924" s="33" t="s">
        <v>6246</v>
      </c>
      <c r="D2924" s="33" t="s">
        <v>850</v>
      </c>
      <c r="E2924" s="33" t="s">
        <v>6253</v>
      </c>
      <c r="F2924" s="33">
        <v>1374.74</v>
      </c>
      <c r="G2924" s="33">
        <v>245</v>
      </c>
      <c r="H2924" s="38">
        <f t="shared" si="141"/>
        <v>1533</v>
      </c>
      <c r="I2924" s="33">
        <v>814</v>
      </c>
      <c r="J2924" s="33">
        <v>719</v>
      </c>
      <c r="K2924" s="33">
        <v>262</v>
      </c>
      <c r="L2924" s="50">
        <f t="shared" si="142"/>
        <v>17.090671885192432</v>
      </c>
      <c r="M2924" s="33">
        <v>0</v>
      </c>
      <c r="N2924" s="50">
        <f t="shared" si="143"/>
        <v>0</v>
      </c>
      <c r="O2924" s="33">
        <v>0</v>
      </c>
      <c r="P2924" s="33">
        <v>0</v>
      </c>
      <c r="Q2924" s="61" t="s">
        <v>43</v>
      </c>
      <c r="R2924" s="7">
        <v>44568</v>
      </c>
      <c r="T2924" s="11">
        <v>0</v>
      </c>
      <c r="AB2924" s="20"/>
    </row>
    <row r="2925" spans="1:28" x14ac:dyDescent="0.25">
      <c r="A2925" s="38" t="s">
        <v>36</v>
      </c>
      <c r="B2925" s="38" t="s">
        <v>6185</v>
      </c>
      <c r="C2925" s="38" t="s">
        <v>6254</v>
      </c>
      <c r="D2925" s="38" t="s">
        <v>6255</v>
      </c>
      <c r="E2925" s="38" t="s">
        <v>6256</v>
      </c>
      <c r="F2925" s="38">
        <v>2038.93</v>
      </c>
      <c r="G2925" s="38">
        <v>315</v>
      </c>
      <c r="H2925" s="38">
        <f t="shared" si="141"/>
        <v>1908</v>
      </c>
      <c r="I2925" s="38">
        <v>983</v>
      </c>
      <c r="J2925" s="38">
        <v>925</v>
      </c>
      <c r="K2925" s="38">
        <v>474</v>
      </c>
      <c r="L2925" s="50">
        <f t="shared" si="142"/>
        <v>24.842767295597483</v>
      </c>
      <c r="M2925" s="38">
        <v>0</v>
      </c>
      <c r="N2925" s="50">
        <f t="shared" si="143"/>
        <v>0</v>
      </c>
      <c r="O2925" s="38">
        <v>0</v>
      </c>
      <c r="P2925" s="38">
        <v>0.95</v>
      </c>
      <c r="Q2925" s="96" t="s">
        <v>43</v>
      </c>
      <c r="R2925" s="185">
        <v>44558</v>
      </c>
      <c r="T2925" s="11">
        <v>1</v>
      </c>
      <c r="AB2925" s="85"/>
    </row>
    <row r="2926" spans="1:28" x14ac:dyDescent="0.25">
      <c r="A2926" s="38" t="s">
        <v>36</v>
      </c>
      <c r="B2926" s="38" t="s">
        <v>6185</v>
      </c>
      <c r="C2926" s="38" t="s">
        <v>6254</v>
      </c>
      <c r="D2926" s="38" t="s">
        <v>6257</v>
      </c>
      <c r="E2926" s="38" t="s">
        <v>6258</v>
      </c>
      <c r="F2926" s="38">
        <v>946.33</v>
      </c>
      <c r="G2926" s="38">
        <v>230</v>
      </c>
      <c r="H2926" s="38">
        <f t="shared" si="141"/>
        <v>1380</v>
      </c>
      <c r="I2926" s="38">
        <v>750</v>
      </c>
      <c r="J2926" s="38">
        <v>630</v>
      </c>
      <c r="K2926" s="38">
        <v>238</v>
      </c>
      <c r="L2926" s="50">
        <f t="shared" si="142"/>
        <v>17.246376811594203</v>
      </c>
      <c r="M2926" s="38">
        <v>150</v>
      </c>
      <c r="N2926" s="50">
        <f t="shared" si="143"/>
        <v>10.869565217391305</v>
      </c>
      <c r="O2926" s="38">
        <v>0</v>
      </c>
      <c r="P2926" s="38">
        <v>18.14</v>
      </c>
      <c r="Q2926" s="96" t="s">
        <v>43</v>
      </c>
      <c r="R2926" s="185">
        <v>44558</v>
      </c>
      <c r="T2926" s="11">
        <v>18</v>
      </c>
      <c r="AB2926" s="85"/>
    </row>
    <row r="2927" spans="1:28" x14ac:dyDescent="0.25">
      <c r="A2927" s="38" t="s">
        <v>36</v>
      </c>
      <c r="B2927" s="38" t="s">
        <v>6185</v>
      </c>
      <c r="C2927" s="38" t="s">
        <v>6259</v>
      </c>
      <c r="D2927" s="38" t="s">
        <v>6260</v>
      </c>
      <c r="E2927" s="38" t="s">
        <v>6261</v>
      </c>
      <c r="F2927" s="38">
        <v>1215</v>
      </c>
      <c r="G2927" s="38">
        <v>149</v>
      </c>
      <c r="H2927" s="38">
        <f t="shared" si="141"/>
        <v>800</v>
      </c>
      <c r="I2927" s="38">
        <v>415</v>
      </c>
      <c r="J2927" s="38">
        <v>385</v>
      </c>
      <c r="K2927" s="38">
        <v>11</v>
      </c>
      <c r="L2927" s="50">
        <f t="shared" si="142"/>
        <v>1.375</v>
      </c>
      <c r="M2927" s="38">
        <v>57</v>
      </c>
      <c r="N2927" s="50">
        <f t="shared" si="143"/>
        <v>7.1249999999999991</v>
      </c>
      <c r="O2927" s="38">
        <v>0</v>
      </c>
      <c r="P2927" s="38">
        <v>0</v>
      </c>
      <c r="Q2927" s="36" t="s">
        <v>43</v>
      </c>
      <c r="R2927" s="14">
        <v>44560</v>
      </c>
      <c r="T2927" s="11">
        <v>0</v>
      </c>
      <c r="AB2927" s="85"/>
    </row>
    <row r="2928" spans="1:28" x14ac:dyDescent="0.25">
      <c r="A2928" s="38" t="s">
        <v>36</v>
      </c>
      <c r="B2928" s="38" t="s">
        <v>6185</v>
      </c>
      <c r="C2928" s="38" t="s">
        <v>6259</v>
      </c>
      <c r="D2928" s="38" t="s">
        <v>6262</v>
      </c>
      <c r="E2928" s="38" t="s">
        <v>6263</v>
      </c>
      <c r="F2928" s="38">
        <v>870</v>
      </c>
      <c r="G2928" s="38">
        <v>75</v>
      </c>
      <c r="H2928" s="38">
        <f t="shared" si="141"/>
        <v>440</v>
      </c>
      <c r="I2928" s="38">
        <v>228</v>
      </c>
      <c r="J2928" s="38">
        <v>212</v>
      </c>
      <c r="K2928" s="38">
        <v>0</v>
      </c>
      <c r="L2928" s="50">
        <f t="shared" si="142"/>
        <v>0</v>
      </c>
      <c r="M2928" s="38">
        <v>0</v>
      </c>
      <c r="N2928" s="50">
        <f t="shared" si="143"/>
        <v>0</v>
      </c>
      <c r="O2928" s="38">
        <v>21</v>
      </c>
      <c r="P2928" s="38">
        <v>0</v>
      </c>
      <c r="Q2928" s="36" t="s">
        <v>43</v>
      </c>
      <c r="R2928" s="14">
        <v>44560</v>
      </c>
      <c r="T2928" s="11">
        <v>0</v>
      </c>
      <c r="AB2928" s="85"/>
    </row>
    <row r="2929" spans="1:28" x14ac:dyDescent="0.25">
      <c r="A2929" s="38" t="s">
        <v>36</v>
      </c>
      <c r="B2929" s="37" t="s">
        <v>6185</v>
      </c>
      <c r="C2929" s="37" t="s">
        <v>6259</v>
      </c>
      <c r="D2929" s="37" t="s">
        <v>6264</v>
      </c>
      <c r="E2929" s="37" t="s">
        <v>6265</v>
      </c>
      <c r="F2929" s="37">
        <v>818</v>
      </c>
      <c r="G2929" s="37">
        <v>91</v>
      </c>
      <c r="H2929" s="38">
        <f t="shared" si="141"/>
        <v>530</v>
      </c>
      <c r="I2929" s="37">
        <v>283</v>
      </c>
      <c r="J2929" s="37">
        <v>247</v>
      </c>
      <c r="K2929" s="37">
        <v>0</v>
      </c>
      <c r="L2929" s="50">
        <f t="shared" si="142"/>
        <v>0</v>
      </c>
      <c r="M2929" s="37">
        <v>196</v>
      </c>
      <c r="N2929" s="50">
        <f t="shared" si="143"/>
        <v>36.981132075471699</v>
      </c>
      <c r="O2929" s="37">
        <v>51</v>
      </c>
      <c r="P2929" s="37">
        <v>64</v>
      </c>
      <c r="Q2929" s="125" t="s">
        <v>43</v>
      </c>
      <c r="R2929" s="230">
        <v>44560</v>
      </c>
      <c r="T2929" s="11">
        <v>164</v>
      </c>
      <c r="AB2929" s="92"/>
    </row>
    <row r="2930" spans="1:28" x14ac:dyDescent="0.25">
      <c r="A2930" s="38" t="s">
        <v>36</v>
      </c>
      <c r="B2930" s="38" t="s">
        <v>6185</v>
      </c>
      <c r="C2930" s="38" t="s">
        <v>6259</v>
      </c>
      <c r="D2930" s="38" t="s">
        <v>6266</v>
      </c>
      <c r="E2930" s="38" t="s">
        <v>6267</v>
      </c>
      <c r="F2930" s="38">
        <v>476</v>
      </c>
      <c r="G2930" s="38">
        <v>37</v>
      </c>
      <c r="H2930" s="38">
        <f t="shared" si="141"/>
        <v>280</v>
      </c>
      <c r="I2930" s="38">
        <v>139</v>
      </c>
      <c r="J2930" s="38">
        <v>141</v>
      </c>
      <c r="K2930" s="38">
        <v>0</v>
      </c>
      <c r="L2930" s="50">
        <f t="shared" si="142"/>
        <v>0</v>
      </c>
      <c r="M2930" s="38">
        <v>0</v>
      </c>
      <c r="N2930" s="50">
        <f t="shared" si="143"/>
        <v>0</v>
      </c>
      <c r="O2930" s="38">
        <v>0</v>
      </c>
      <c r="P2930" s="38">
        <v>0</v>
      </c>
      <c r="Q2930" s="36" t="s">
        <v>43</v>
      </c>
      <c r="R2930" s="14">
        <v>44560</v>
      </c>
      <c r="T2930" s="11">
        <v>0</v>
      </c>
      <c r="AB2930" s="85"/>
    </row>
    <row r="2931" spans="1:28" x14ac:dyDescent="0.25">
      <c r="A2931" s="38" t="s">
        <v>36</v>
      </c>
      <c r="B2931" s="38" t="s">
        <v>6185</v>
      </c>
      <c r="C2931" s="38" t="s">
        <v>6259</v>
      </c>
      <c r="D2931" s="38" t="s">
        <v>6268</v>
      </c>
      <c r="E2931" s="38" t="s">
        <v>6269</v>
      </c>
      <c r="F2931" s="38">
        <v>412</v>
      </c>
      <c r="G2931" s="38">
        <v>76</v>
      </c>
      <c r="H2931" s="38">
        <f t="shared" si="141"/>
        <v>475</v>
      </c>
      <c r="I2931" s="38">
        <v>234</v>
      </c>
      <c r="J2931" s="38">
        <v>241</v>
      </c>
      <c r="K2931" s="38">
        <v>67</v>
      </c>
      <c r="L2931" s="50">
        <f t="shared" si="142"/>
        <v>14.105263157894738</v>
      </c>
      <c r="M2931" s="38">
        <v>0</v>
      </c>
      <c r="N2931" s="50">
        <f t="shared" si="143"/>
        <v>0</v>
      </c>
      <c r="O2931" s="38">
        <v>0</v>
      </c>
      <c r="P2931" s="38">
        <v>0</v>
      </c>
    </row>
    <row r="2932" spans="1:28" x14ac:dyDescent="0.25">
      <c r="A2932" s="38" t="s">
        <v>36</v>
      </c>
      <c r="B2932" s="38" t="s">
        <v>6185</v>
      </c>
      <c r="C2932" s="38" t="s">
        <v>6259</v>
      </c>
      <c r="D2932" s="38" t="s">
        <v>6270</v>
      </c>
      <c r="E2932" s="38" t="s">
        <v>6271</v>
      </c>
      <c r="F2932" s="38">
        <v>332</v>
      </c>
      <c r="G2932" s="38">
        <v>21</v>
      </c>
      <c r="H2932" s="38">
        <f t="shared" si="141"/>
        <v>130</v>
      </c>
      <c r="I2932" s="38">
        <v>72</v>
      </c>
      <c r="J2932" s="38">
        <v>58</v>
      </c>
      <c r="K2932" s="38">
        <v>0</v>
      </c>
      <c r="L2932" s="50">
        <f t="shared" si="142"/>
        <v>0</v>
      </c>
      <c r="M2932" s="38">
        <v>0</v>
      </c>
      <c r="N2932" s="50">
        <f t="shared" si="143"/>
        <v>0</v>
      </c>
      <c r="O2932" s="38">
        <v>0</v>
      </c>
      <c r="P2932" s="38">
        <v>0</v>
      </c>
      <c r="Q2932" s="36" t="s">
        <v>43</v>
      </c>
      <c r="R2932" s="14">
        <v>44560</v>
      </c>
      <c r="T2932" s="11">
        <v>0</v>
      </c>
      <c r="AB2932" s="85"/>
    </row>
    <row r="2933" spans="1:28" x14ac:dyDescent="0.25">
      <c r="A2933" s="38" t="s">
        <v>36</v>
      </c>
      <c r="B2933" s="38" t="s">
        <v>6185</v>
      </c>
      <c r="C2933" s="38" t="s">
        <v>6272</v>
      </c>
      <c r="D2933" s="38" t="s">
        <v>6273</v>
      </c>
      <c r="E2933" s="38" t="s">
        <v>6274</v>
      </c>
      <c r="F2933" s="38">
        <v>685</v>
      </c>
      <c r="G2933" s="38">
        <v>133</v>
      </c>
      <c r="H2933" s="38">
        <f t="shared" si="141"/>
        <v>641</v>
      </c>
      <c r="I2933" s="38">
        <v>336</v>
      </c>
      <c r="J2933" s="38">
        <v>305</v>
      </c>
      <c r="K2933" s="38">
        <v>221</v>
      </c>
      <c r="L2933" s="50">
        <f t="shared" si="142"/>
        <v>34.477379095163805</v>
      </c>
      <c r="M2933" s="38">
        <v>11</v>
      </c>
      <c r="N2933" s="50">
        <f t="shared" si="143"/>
        <v>1.7160686427457099</v>
      </c>
      <c r="O2933" s="38">
        <v>0</v>
      </c>
      <c r="P2933" s="38">
        <v>55</v>
      </c>
      <c r="Q2933" s="125" t="s">
        <v>43</v>
      </c>
      <c r="R2933" s="230">
        <v>44554</v>
      </c>
      <c r="T2933" s="11">
        <v>55</v>
      </c>
      <c r="AB2933" s="92"/>
    </row>
    <row r="2934" spans="1:28" x14ac:dyDescent="0.25">
      <c r="A2934" s="38" t="s">
        <v>36</v>
      </c>
      <c r="B2934" s="38" t="s">
        <v>6185</v>
      </c>
      <c r="C2934" s="38" t="s">
        <v>6272</v>
      </c>
      <c r="D2934" s="38" t="s">
        <v>6275</v>
      </c>
      <c r="E2934" s="38" t="s">
        <v>6276</v>
      </c>
      <c r="F2934" s="38">
        <v>947</v>
      </c>
      <c r="G2934" s="38">
        <v>95</v>
      </c>
      <c r="H2934" s="38">
        <f t="shared" si="141"/>
        <v>407</v>
      </c>
      <c r="I2934" s="38">
        <v>218</v>
      </c>
      <c r="J2934" s="38">
        <v>189</v>
      </c>
      <c r="K2934" s="38">
        <v>80</v>
      </c>
      <c r="L2934" s="50">
        <f t="shared" si="142"/>
        <v>19.656019656019655</v>
      </c>
      <c r="M2934" s="38">
        <v>0</v>
      </c>
      <c r="N2934" s="50">
        <f t="shared" si="143"/>
        <v>0</v>
      </c>
      <c r="O2934" s="38">
        <v>0</v>
      </c>
      <c r="P2934" s="38">
        <v>197</v>
      </c>
      <c r="Q2934" s="96" t="s">
        <v>43</v>
      </c>
      <c r="R2934" s="185">
        <v>44554</v>
      </c>
      <c r="T2934" s="11">
        <v>197</v>
      </c>
      <c r="AB2934" s="85"/>
    </row>
    <row r="2935" spans="1:28" x14ac:dyDescent="0.25">
      <c r="A2935" s="38" t="s">
        <v>36</v>
      </c>
      <c r="B2935" s="38" t="s">
        <v>6185</v>
      </c>
      <c r="C2935" s="38" t="s">
        <v>6272</v>
      </c>
      <c r="D2935" s="38" t="s">
        <v>6277</v>
      </c>
      <c r="E2935" s="38" t="s">
        <v>6278</v>
      </c>
      <c r="F2935" s="38">
        <v>999</v>
      </c>
      <c r="G2935" s="38">
        <v>68</v>
      </c>
      <c r="H2935" s="38">
        <f t="shared" si="141"/>
        <v>381</v>
      </c>
      <c r="I2935" s="38">
        <v>210</v>
      </c>
      <c r="J2935" s="38">
        <v>171</v>
      </c>
      <c r="K2935" s="38">
        <v>0</v>
      </c>
      <c r="L2935" s="50">
        <f t="shared" si="142"/>
        <v>0</v>
      </c>
      <c r="M2935" s="38">
        <v>145</v>
      </c>
      <c r="N2935" s="50">
        <f t="shared" si="143"/>
        <v>38.057742782152232</v>
      </c>
      <c r="O2935" s="38">
        <v>0</v>
      </c>
      <c r="P2935" s="38">
        <v>0</v>
      </c>
      <c r="Q2935" s="36" t="s">
        <v>43</v>
      </c>
      <c r="R2935" s="14">
        <v>44554</v>
      </c>
      <c r="T2935" s="11">
        <v>0</v>
      </c>
      <c r="AB2935" s="85"/>
    </row>
    <row r="2936" spans="1:28" x14ac:dyDescent="0.25">
      <c r="A2936" s="38" t="s">
        <v>36</v>
      </c>
      <c r="B2936" s="38" t="s">
        <v>6185</v>
      </c>
      <c r="C2936" s="38" t="s">
        <v>6272</v>
      </c>
      <c r="D2936" s="38" t="s">
        <v>6279</v>
      </c>
      <c r="E2936" s="38" t="s">
        <v>6280</v>
      </c>
      <c r="F2936" s="38">
        <v>1477</v>
      </c>
      <c r="G2936" s="38">
        <v>185</v>
      </c>
      <c r="H2936" s="38">
        <f t="shared" si="141"/>
        <v>1141</v>
      </c>
      <c r="I2936" s="38">
        <v>580</v>
      </c>
      <c r="J2936" s="38">
        <v>561</v>
      </c>
      <c r="K2936" s="38">
        <v>4</v>
      </c>
      <c r="L2936" s="50">
        <f t="shared" si="142"/>
        <v>0.35056967572304998</v>
      </c>
      <c r="M2936" s="38">
        <v>0</v>
      </c>
      <c r="N2936" s="50">
        <f t="shared" si="143"/>
        <v>0</v>
      </c>
      <c r="O2936" s="38">
        <v>0</v>
      </c>
      <c r="P2936" s="38">
        <v>0</v>
      </c>
      <c r="Q2936" s="90" t="s">
        <v>43</v>
      </c>
      <c r="R2936" s="91">
        <v>44554</v>
      </c>
      <c r="T2936" s="11">
        <v>0</v>
      </c>
      <c r="AB2936" s="92"/>
    </row>
    <row r="2937" spans="1:28" x14ac:dyDescent="0.25">
      <c r="A2937" s="38" t="s">
        <v>36</v>
      </c>
      <c r="B2937" s="38" t="s">
        <v>6185</v>
      </c>
      <c r="C2937" s="38" t="s">
        <v>6272</v>
      </c>
      <c r="D2937" s="38" t="s">
        <v>6281</v>
      </c>
      <c r="E2937" s="38" t="s">
        <v>6282</v>
      </c>
      <c r="F2937" s="38">
        <v>722</v>
      </c>
      <c r="G2937" s="38">
        <v>67</v>
      </c>
      <c r="H2937" s="38">
        <f t="shared" si="141"/>
        <v>343</v>
      </c>
      <c r="I2937" s="38">
        <v>178</v>
      </c>
      <c r="J2937" s="38">
        <v>165</v>
      </c>
      <c r="K2937" s="38">
        <v>8</v>
      </c>
      <c r="L2937" s="50">
        <f t="shared" si="142"/>
        <v>2.3323615160349855</v>
      </c>
      <c r="M2937" s="38">
        <v>0</v>
      </c>
      <c r="N2937" s="50">
        <f t="shared" si="143"/>
        <v>0</v>
      </c>
      <c r="O2937" s="38">
        <v>0</v>
      </c>
      <c r="P2937" s="38">
        <v>0</v>
      </c>
      <c r="Q2937" s="36" t="s">
        <v>43</v>
      </c>
      <c r="R2937" s="14">
        <v>44554</v>
      </c>
      <c r="T2937" s="11">
        <v>0</v>
      </c>
      <c r="AB2937" s="85"/>
    </row>
    <row r="2938" spans="1:28" x14ac:dyDescent="0.25">
      <c r="A2938" s="38" t="s">
        <v>36</v>
      </c>
      <c r="B2938" s="38" t="s">
        <v>6185</v>
      </c>
      <c r="C2938" s="38" t="s">
        <v>6283</v>
      </c>
      <c r="D2938" s="38" t="s">
        <v>6284</v>
      </c>
      <c r="E2938" s="38" t="s">
        <v>6285</v>
      </c>
      <c r="F2938" s="38">
        <v>2195</v>
      </c>
      <c r="G2938" s="38">
        <v>447</v>
      </c>
      <c r="H2938" s="38">
        <f t="shared" si="141"/>
        <v>2664</v>
      </c>
      <c r="I2938" s="38">
        <v>1383</v>
      </c>
      <c r="J2938" s="38">
        <v>1281</v>
      </c>
      <c r="K2938" s="38">
        <v>76</v>
      </c>
      <c r="L2938" s="50">
        <f t="shared" si="142"/>
        <v>2.8528528528528527</v>
      </c>
      <c r="M2938" s="38">
        <v>0</v>
      </c>
      <c r="N2938" s="50">
        <f t="shared" si="143"/>
        <v>0</v>
      </c>
      <c r="O2938" s="38">
        <v>0</v>
      </c>
      <c r="P2938" s="38">
        <v>16</v>
      </c>
      <c r="Q2938" s="96" t="s">
        <v>43</v>
      </c>
      <c r="R2938" s="185">
        <v>44557</v>
      </c>
      <c r="T2938" s="11">
        <v>27.84</v>
      </c>
      <c r="AB2938" s="85"/>
    </row>
    <row r="2939" spans="1:28" x14ac:dyDescent="0.25">
      <c r="A2939" s="38" t="s">
        <v>36</v>
      </c>
      <c r="B2939" s="38" t="s">
        <v>6185</v>
      </c>
      <c r="C2939" s="38" t="s">
        <v>6286</v>
      </c>
      <c r="D2939" s="38" t="s">
        <v>6287</v>
      </c>
      <c r="E2939" s="38" t="s">
        <v>6288</v>
      </c>
      <c r="F2939" s="38">
        <v>1016.14</v>
      </c>
      <c r="G2939" s="38">
        <v>284</v>
      </c>
      <c r="H2939" s="38">
        <f t="shared" si="141"/>
        <v>1494</v>
      </c>
      <c r="I2939" s="38">
        <v>768</v>
      </c>
      <c r="J2939" s="38">
        <v>726</v>
      </c>
      <c r="K2939" s="38">
        <v>283</v>
      </c>
      <c r="L2939" s="50">
        <f t="shared" si="142"/>
        <v>18.942436412315931</v>
      </c>
      <c r="M2939" s="38">
        <v>500</v>
      </c>
      <c r="N2939" s="50">
        <f t="shared" si="143"/>
        <v>33.467202141900934</v>
      </c>
      <c r="O2939" s="38">
        <v>0</v>
      </c>
      <c r="P2939" s="38">
        <v>14.11</v>
      </c>
      <c r="Q2939" s="125" t="s">
        <v>43</v>
      </c>
      <c r="R2939" s="230">
        <v>44503</v>
      </c>
      <c r="T2939" s="11">
        <v>14</v>
      </c>
      <c r="AB2939" s="92">
        <v>10</v>
      </c>
    </row>
    <row r="2940" spans="1:28" x14ac:dyDescent="0.25">
      <c r="A2940" s="38" t="s">
        <v>36</v>
      </c>
      <c r="B2940" s="38" t="s">
        <v>6185</v>
      </c>
      <c r="C2940" s="38" t="s">
        <v>6286</v>
      </c>
      <c r="D2940" s="38" t="s">
        <v>6289</v>
      </c>
      <c r="E2940" s="38" t="s">
        <v>6290</v>
      </c>
      <c r="F2940" s="38">
        <v>649.58000000000004</v>
      </c>
      <c r="G2940" s="38">
        <v>164</v>
      </c>
      <c r="H2940" s="38">
        <f t="shared" si="141"/>
        <v>790</v>
      </c>
      <c r="I2940" s="38">
        <v>416</v>
      </c>
      <c r="J2940" s="38">
        <v>374</v>
      </c>
      <c r="K2940" s="38">
        <v>226</v>
      </c>
      <c r="L2940" s="50">
        <f t="shared" si="142"/>
        <v>28.607594936708864</v>
      </c>
      <c r="M2940" s="38">
        <v>57</v>
      </c>
      <c r="N2940" s="50">
        <f t="shared" si="143"/>
        <v>7.2151898734177209</v>
      </c>
      <c r="O2940" s="38">
        <v>0</v>
      </c>
      <c r="P2940" s="38">
        <v>0</v>
      </c>
      <c r="Q2940" s="36" t="s">
        <v>43</v>
      </c>
      <c r="R2940" s="14">
        <v>44503</v>
      </c>
      <c r="T2940" s="11">
        <v>0</v>
      </c>
      <c r="AB2940" s="20"/>
    </row>
    <row r="2941" spans="1:28" x14ac:dyDescent="0.25">
      <c r="A2941" s="38" t="s">
        <v>36</v>
      </c>
      <c r="B2941" s="38" t="s">
        <v>6185</v>
      </c>
      <c r="C2941" s="38" t="s">
        <v>6286</v>
      </c>
      <c r="D2941" s="38" t="s">
        <v>6291</v>
      </c>
      <c r="E2941" s="38" t="s">
        <v>6292</v>
      </c>
      <c r="F2941" s="38">
        <v>828.52</v>
      </c>
      <c r="G2941" s="38">
        <v>116</v>
      </c>
      <c r="H2941" s="38">
        <f t="shared" si="141"/>
        <v>696</v>
      </c>
      <c r="I2941" s="38">
        <v>360</v>
      </c>
      <c r="J2941" s="38">
        <v>336</v>
      </c>
      <c r="K2941" s="38">
        <v>0</v>
      </c>
      <c r="L2941" s="50">
        <f t="shared" si="142"/>
        <v>0</v>
      </c>
      <c r="M2941" s="38">
        <v>0</v>
      </c>
      <c r="N2941" s="50">
        <f t="shared" si="143"/>
        <v>0</v>
      </c>
      <c r="O2941" s="38">
        <v>0</v>
      </c>
      <c r="P2941" s="38">
        <v>79.400000000000006</v>
      </c>
      <c r="Q2941" s="96" t="s">
        <v>43</v>
      </c>
      <c r="R2941" s="185">
        <v>44503</v>
      </c>
      <c r="T2941" s="11">
        <v>79</v>
      </c>
      <c r="AB2941" s="85"/>
    </row>
    <row r="2942" spans="1:28" x14ac:dyDescent="0.25">
      <c r="A2942" s="38" t="s">
        <v>36</v>
      </c>
      <c r="B2942" s="38" t="s">
        <v>6185</v>
      </c>
      <c r="C2942" s="38" t="s">
        <v>6286</v>
      </c>
      <c r="D2942" s="38" t="s">
        <v>6293</v>
      </c>
      <c r="E2942" s="38" t="s">
        <v>6294</v>
      </c>
      <c r="F2942" s="38">
        <v>1145.47</v>
      </c>
      <c r="G2942" s="38">
        <v>209</v>
      </c>
      <c r="H2942" s="38">
        <f t="shared" si="141"/>
        <v>1179</v>
      </c>
      <c r="I2942" s="38">
        <v>603</v>
      </c>
      <c r="J2942" s="38">
        <v>576</v>
      </c>
      <c r="K2942" s="38">
        <v>324</v>
      </c>
      <c r="L2942" s="50">
        <f t="shared" si="142"/>
        <v>27.480916030534353</v>
      </c>
      <c r="M2942" s="38">
        <v>57</v>
      </c>
      <c r="N2942" s="50">
        <f t="shared" si="143"/>
        <v>4.8346055979643765</v>
      </c>
      <c r="O2942" s="38">
        <v>0</v>
      </c>
      <c r="P2942" s="38">
        <v>0</v>
      </c>
      <c r="Q2942" s="36" t="s">
        <v>43</v>
      </c>
      <c r="R2942" s="14">
        <v>44503</v>
      </c>
      <c r="T2942" s="11">
        <v>0</v>
      </c>
      <c r="AB2942" s="85"/>
    </row>
    <row r="2943" spans="1:28" x14ac:dyDescent="0.25">
      <c r="A2943" s="38" t="s">
        <v>36</v>
      </c>
      <c r="B2943" s="38" t="s">
        <v>6185</v>
      </c>
      <c r="C2943" s="38" t="s">
        <v>6295</v>
      </c>
      <c r="D2943" s="38" t="s">
        <v>6295</v>
      </c>
      <c r="E2943" s="38" t="s">
        <v>6296</v>
      </c>
      <c r="F2943" s="38">
        <v>965.89</v>
      </c>
      <c r="G2943" s="38">
        <v>226</v>
      </c>
      <c r="H2943" s="38">
        <f t="shared" si="141"/>
        <v>1274</v>
      </c>
      <c r="I2943" s="38">
        <v>677</v>
      </c>
      <c r="J2943" s="38">
        <v>597</v>
      </c>
      <c r="K2943" s="38">
        <v>116</v>
      </c>
      <c r="L2943" s="50">
        <f t="shared" si="142"/>
        <v>9.1051805337519625</v>
      </c>
      <c r="M2943" s="38">
        <v>0</v>
      </c>
      <c r="N2943" s="50">
        <f t="shared" si="143"/>
        <v>0</v>
      </c>
      <c r="O2943" s="38">
        <v>0</v>
      </c>
      <c r="P2943" s="38">
        <v>0</v>
      </c>
      <c r="Q2943" s="36" t="s">
        <v>43</v>
      </c>
      <c r="R2943" s="14">
        <v>44530</v>
      </c>
      <c r="T2943" s="11">
        <v>0</v>
      </c>
      <c r="AB2943" s="85"/>
    </row>
    <row r="2944" spans="1:28" x14ac:dyDescent="0.25">
      <c r="A2944" s="38" t="s">
        <v>36</v>
      </c>
      <c r="B2944" s="38" t="s">
        <v>6185</v>
      </c>
      <c r="C2944" s="38" t="s">
        <v>6295</v>
      </c>
      <c r="D2944" s="15" t="s">
        <v>6297</v>
      </c>
      <c r="E2944" s="38"/>
      <c r="F2944" s="38"/>
      <c r="G2944" s="38"/>
      <c r="H2944" s="38">
        <f t="shared" si="141"/>
        <v>0</v>
      </c>
      <c r="I2944" s="38"/>
      <c r="J2944" s="38"/>
      <c r="K2944" s="38"/>
      <c r="L2944" s="50"/>
      <c r="M2944" s="38"/>
      <c r="N2944" s="50"/>
      <c r="O2944" s="38"/>
      <c r="P2944" s="38"/>
      <c r="Q2944" s="36" t="s">
        <v>43</v>
      </c>
      <c r="R2944" s="14">
        <v>44530</v>
      </c>
      <c r="T2944" s="11">
        <v>0</v>
      </c>
      <c r="AB2944" s="85"/>
    </row>
    <row r="2945" spans="1:28" x14ac:dyDescent="0.25">
      <c r="A2945" s="38" t="s">
        <v>36</v>
      </c>
      <c r="B2945" s="38" t="s">
        <v>6185</v>
      </c>
      <c r="C2945" s="38" t="s">
        <v>6295</v>
      </c>
      <c r="D2945" s="38" t="s">
        <v>6298</v>
      </c>
      <c r="E2945" s="38" t="s">
        <v>6299</v>
      </c>
      <c r="F2945" s="38">
        <v>499.12</v>
      </c>
      <c r="G2945" s="38">
        <v>122</v>
      </c>
      <c r="H2945" s="38">
        <f t="shared" si="141"/>
        <v>630</v>
      </c>
      <c r="I2945" s="38">
        <v>321</v>
      </c>
      <c r="J2945" s="38">
        <v>309</v>
      </c>
      <c r="K2945" s="38">
        <v>8</v>
      </c>
      <c r="L2945" s="50">
        <f t="shared" si="142"/>
        <v>1.2698412698412698</v>
      </c>
      <c r="M2945" s="38">
        <v>0</v>
      </c>
      <c r="N2945" s="50">
        <f t="shared" si="143"/>
        <v>0</v>
      </c>
      <c r="O2945" s="38">
        <v>0</v>
      </c>
      <c r="P2945" s="38">
        <v>1</v>
      </c>
      <c r="Q2945" s="96" t="s">
        <v>43</v>
      </c>
      <c r="R2945" s="185">
        <v>44530</v>
      </c>
      <c r="T2945" s="11">
        <v>1</v>
      </c>
      <c r="AB2945" s="85"/>
    </row>
    <row r="2946" spans="1:28" x14ac:dyDescent="0.25">
      <c r="A2946" s="38" t="s">
        <v>36</v>
      </c>
      <c r="B2946" s="38" t="s">
        <v>6185</v>
      </c>
      <c r="C2946" s="38" t="s">
        <v>6300</v>
      </c>
      <c r="D2946" s="38" t="s">
        <v>6300</v>
      </c>
      <c r="E2946" s="38" t="s">
        <v>6301</v>
      </c>
      <c r="F2946" s="38">
        <v>926.84</v>
      </c>
      <c r="G2946" s="38">
        <v>120</v>
      </c>
      <c r="H2946" s="38">
        <f t="shared" si="141"/>
        <v>734</v>
      </c>
      <c r="I2946" s="38">
        <v>400</v>
      </c>
      <c r="J2946" s="38">
        <v>334</v>
      </c>
      <c r="K2946" s="38">
        <v>10</v>
      </c>
      <c r="L2946" s="50">
        <f t="shared" si="142"/>
        <v>1.3623978201634876</v>
      </c>
      <c r="M2946" s="38">
        <v>18</v>
      </c>
      <c r="N2946" s="50">
        <f t="shared" si="143"/>
        <v>2.4523160762942782</v>
      </c>
      <c r="O2946" s="38">
        <v>0</v>
      </c>
      <c r="P2946" s="38">
        <v>9.7100000000000009</v>
      </c>
      <c r="Q2946" s="96" t="s">
        <v>43</v>
      </c>
      <c r="R2946" s="185">
        <v>44565</v>
      </c>
      <c r="T2946" s="11">
        <v>10</v>
      </c>
      <c r="AB2946" s="85"/>
    </row>
    <row r="2947" spans="1:28" x14ac:dyDescent="0.25">
      <c r="A2947" s="38" t="s">
        <v>36</v>
      </c>
      <c r="B2947" s="38" t="s">
        <v>6185</v>
      </c>
      <c r="C2947" s="38" t="s">
        <v>6300</v>
      </c>
      <c r="D2947" s="38" t="s">
        <v>6302</v>
      </c>
      <c r="E2947" s="38" t="s">
        <v>6303</v>
      </c>
      <c r="F2947" s="38">
        <v>1026.8900000000001</v>
      </c>
      <c r="G2947" s="38">
        <v>222</v>
      </c>
      <c r="H2947" s="38">
        <f t="shared" si="141"/>
        <v>1105</v>
      </c>
      <c r="I2947" s="38">
        <v>594</v>
      </c>
      <c r="J2947" s="38">
        <v>511</v>
      </c>
      <c r="K2947" s="38">
        <v>121</v>
      </c>
      <c r="L2947" s="50">
        <f t="shared" si="142"/>
        <v>10.950226244343892</v>
      </c>
      <c r="M2947" s="38">
        <v>0</v>
      </c>
      <c r="N2947" s="50">
        <f t="shared" si="143"/>
        <v>0</v>
      </c>
      <c r="O2947" s="38">
        <v>0</v>
      </c>
      <c r="P2947" s="38">
        <v>0</v>
      </c>
      <c r="Q2947" s="90" t="s">
        <v>43</v>
      </c>
      <c r="R2947" s="91">
        <v>44565</v>
      </c>
      <c r="T2947" s="11">
        <v>0</v>
      </c>
      <c r="AB2947" s="92"/>
    </row>
    <row r="2948" spans="1:28" x14ac:dyDescent="0.25">
      <c r="A2948" s="38" t="s">
        <v>36</v>
      </c>
      <c r="B2948" s="38" t="s">
        <v>6185</v>
      </c>
      <c r="C2948" s="38" t="s">
        <v>6304</v>
      </c>
      <c r="D2948" s="38" t="s">
        <v>6305</v>
      </c>
      <c r="E2948" s="38" t="s">
        <v>6306</v>
      </c>
      <c r="F2948" s="38">
        <v>403</v>
      </c>
      <c r="G2948" s="38">
        <v>52</v>
      </c>
      <c r="H2948" s="38">
        <f t="shared" si="141"/>
        <v>340</v>
      </c>
      <c r="I2948" s="38">
        <v>174</v>
      </c>
      <c r="J2948" s="38">
        <v>166</v>
      </c>
      <c r="K2948" s="38">
        <v>25</v>
      </c>
      <c r="L2948" s="50">
        <f t="shared" si="142"/>
        <v>7.3529411764705888</v>
      </c>
      <c r="M2948" s="38">
        <v>0</v>
      </c>
      <c r="N2948" s="50">
        <f t="shared" si="143"/>
        <v>0</v>
      </c>
      <c r="O2948" s="38">
        <v>0</v>
      </c>
      <c r="P2948" s="38">
        <v>12</v>
      </c>
      <c r="Q2948" s="96" t="s">
        <v>43</v>
      </c>
      <c r="R2948" s="185">
        <v>44537</v>
      </c>
      <c r="T2948" s="11">
        <v>12</v>
      </c>
      <c r="AB2948" s="85"/>
    </row>
    <row r="2949" spans="1:28" x14ac:dyDescent="0.25">
      <c r="A2949" s="38" t="s">
        <v>36</v>
      </c>
      <c r="B2949" s="38" t="s">
        <v>6185</v>
      </c>
      <c r="C2949" s="38" t="s">
        <v>6304</v>
      </c>
      <c r="D2949" s="38" t="s">
        <v>6307</v>
      </c>
      <c r="E2949" s="38" t="s">
        <v>6308</v>
      </c>
      <c r="F2949" s="38">
        <v>1866</v>
      </c>
      <c r="G2949" s="38">
        <v>230</v>
      </c>
      <c r="H2949" s="38">
        <f t="shared" ref="H2949:H2978" si="144">I2949+J2949</f>
        <v>1380</v>
      </c>
      <c r="I2949" s="38">
        <v>729</v>
      </c>
      <c r="J2949" s="38">
        <v>651</v>
      </c>
      <c r="K2949" s="38">
        <v>68</v>
      </c>
      <c r="L2949" s="50">
        <f t="shared" si="142"/>
        <v>4.9275362318840585</v>
      </c>
      <c r="M2949" s="38">
        <v>0</v>
      </c>
      <c r="N2949" s="50">
        <f t="shared" si="143"/>
        <v>0</v>
      </c>
      <c r="O2949" s="38">
        <v>0</v>
      </c>
      <c r="P2949" s="38">
        <v>2</v>
      </c>
      <c r="Q2949" s="96" t="s">
        <v>43</v>
      </c>
      <c r="R2949" s="185">
        <v>44537</v>
      </c>
      <c r="T2949" s="11">
        <v>2</v>
      </c>
      <c r="AB2949" s="85"/>
    </row>
    <row r="2950" spans="1:28" x14ac:dyDescent="0.25">
      <c r="A2950" s="38" t="s">
        <v>36</v>
      </c>
      <c r="B2950" s="38" t="s">
        <v>6185</v>
      </c>
      <c r="C2950" s="38" t="s">
        <v>6304</v>
      </c>
      <c r="D2950" s="38" t="s">
        <v>6309</v>
      </c>
      <c r="E2950" s="38" t="s">
        <v>6310</v>
      </c>
      <c r="F2950" s="38">
        <v>1765</v>
      </c>
      <c r="G2950" s="38">
        <v>196</v>
      </c>
      <c r="H2950" s="38">
        <f t="shared" si="144"/>
        <v>1045</v>
      </c>
      <c r="I2950" s="38">
        <v>527</v>
      </c>
      <c r="J2950" s="38">
        <v>518</v>
      </c>
      <c r="K2950" s="38">
        <v>0</v>
      </c>
      <c r="L2950" s="50">
        <f t="shared" ref="L2950:L2978" si="145">K2950/H2950*100</f>
        <v>0</v>
      </c>
      <c r="M2950" s="38">
        <v>0</v>
      </c>
      <c r="N2950" s="50">
        <f t="shared" si="143"/>
        <v>0</v>
      </c>
      <c r="O2950" s="38">
        <v>0</v>
      </c>
      <c r="P2950" s="38">
        <v>23</v>
      </c>
      <c r="Q2950" s="96" t="s">
        <v>43</v>
      </c>
      <c r="R2950" s="185">
        <v>44537</v>
      </c>
      <c r="T2950" s="11">
        <v>23</v>
      </c>
      <c r="AB2950" s="85"/>
    </row>
    <row r="2951" spans="1:28" x14ac:dyDescent="0.25">
      <c r="A2951" s="38" t="s">
        <v>36</v>
      </c>
      <c r="B2951" s="38" t="s">
        <v>6185</v>
      </c>
      <c r="C2951" s="38" t="s">
        <v>6311</v>
      </c>
      <c r="D2951" s="38" t="s">
        <v>6311</v>
      </c>
      <c r="E2951" s="38" t="s">
        <v>6312</v>
      </c>
      <c r="F2951" s="38">
        <v>2890.03</v>
      </c>
      <c r="G2951" s="38">
        <v>388</v>
      </c>
      <c r="H2951" s="38">
        <f t="shared" si="144"/>
        <v>2262</v>
      </c>
      <c r="I2951" s="38">
        <v>1205</v>
      </c>
      <c r="J2951" s="38">
        <v>1057</v>
      </c>
      <c r="K2951" s="38">
        <v>686</v>
      </c>
      <c r="L2951" s="50">
        <f t="shared" si="145"/>
        <v>30.327144120247567</v>
      </c>
      <c r="M2951" s="38">
        <v>214</v>
      </c>
      <c r="N2951" s="50">
        <f t="shared" si="143"/>
        <v>9.4606542882404963</v>
      </c>
      <c r="O2951" s="38">
        <v>0</v>
      </c>
      <c r="P2951" s="38">
        <v>0</v>
      </c>
      <c r="Q2951" s="96" t="s">
        <v>43</v>
      </c>
      <c r="R2951" s="185">
        <v>44560</v>
      </c>
      <c r="T2951" s="11">
        <v>1.5</v>
      </c>
      <c r="AB2951" s="85"/>
    </row>
    <row r="2952" spans="1:28" x14ac:dyDescent="0.25">
      <c r="A2952" s="38" t="s">
        <v>36</v>
      </c>
      <c r="B2952" s="38" t="s">
        <v>6185</v>
      </c>
      <c r="C2952" s="38" t="s">
        <v>6311</v>
      </c>
      <c r="D2952" s="38" t="s">
        <v>6313</v>
      </c>
      <c r="E2952" s="38" t="s">
        <v>6314</v>
      </c>
      <c r="F2952" s="38">
        <v>756</v>
      </c>
      <c r="G2952" s="38">
        <v>138</v>
      </c>
      <c r="H2952" s="38">
        <f t="shared" si="144"/>
        <v>792</v>
      </c>
      <c r="I2952" s="38">
        <v>436</v>
      </c>
      <c r="J2952" s="38">
        <v>356</v>
      </c>
      <c r="K2952" s="38">
        <v>8</v>
      </c>
      <c r="L2952" s="50">
        <f t="shared" si="145"/>
        <v>1.0101010101010102</v>
      </c>
      <c r="M2952" s="38">
        <v>0</v>
      </c>
      <c r="N2952" s="50">
        <f t="shared" si="143"/>
        <v>0</v>
      </c>
      <c r="O2952" s="38">
        <v>0</v>
      </c>
      <c r="P2952" s="38">
        <v>0</v>
      </c>
      <c r="Q2952" s="96" t="s">
        <v>43</v>
      </c>
      <c r="R2952" s="185">
        <v>44560</v>
      </c>
      <c r="T2952" s="11">
        <v>30.33</v>
      </c>
      <c r="AB2952" s="85"/>
    </row>
    <row r="2953" spans="1:28" x14ac:dyDescent="0.25">
      <c r="A2953" s="38" t="s">
        <v>36</v>
      </c>
      <c r="B2953" s="38" t="s">
        <v>6185</v>
      </c>
      <c r="C2953" s="38" t="s">
        <v>6311</v>
      </c>
      <c r="D2953" s="38" t="s">
        <v>6315</v>
      </c>
      <c r="E2953" s="38" t="s">
        <v>6316</v>
      </c>
      <c r="F2953" s="38">
        <v>1882.06</v>
      </c>
      <c r="G2953" s="38">
        <v>264</v>
      </c>
      <c r="H2953" s="38">
        <f t="shared" si="144"/>
        <v>1525</v>
      </c>
      <c r="I2953" s="38">
        <v>797</v>
      </c>
      <c r="J2953" s="38">
        <v>728</v>
      </c>
      <c r="K2953" s="38">
        <v>158</v>
      </c>
      <c r="L2953" s="50">
        <f t="shared" si="145"/>
        <v>10.360655737704919</v>
      </c>
      <c r="M2953" s="38">
        <v>0</v>
      </c>
      <c r="N2953" s="50">
        <f t="shared" si="143"/>
        <v>0</v>
      </c>
      <c r="O2953" s="38">
        <v>0</v>
      </c>
      <c r="P2953" s="38">
        <v>0</v>
      </c>
      <c r="Q2953" s="36" t="s">
        <v>43</v>
      </c>
      <c r="R2953" s="14">
        <v>44560</v>
      </c>
      <c r="T2953" s="11">
        <v>0</v>
      </c>
      <c r="AB2953" s="85"/>
    </row>
    <row r="2954" spans="1:28" x14ac:dyDescent="0.25">
      <c r="A2954" s="38" t="s">
        <v>36</v>
      </c>
      <c r="B2954" s="38" t="s">
        <v>6185</v>
      </c>
      <c r="C2954" s="38" t="s">
        <v>6317</v>
      </c>
      <c r="D2954" s="38" t="s">
        <v>6318</v>
      </c>
      <c r="E2954" s="38" t="s">
        <v>6319</v>
      </c>
      <c r="F2954" s="38">
        <v>643.79999999999995</v>
      </c>
      <c r="G2954" s="38">
        <v>122</v>
      </c>
      <c r="H2954" s="38">
        <f t="shared" si="144"/>
        <v>664</v>
      </c>
      <c r="I2954" s="38">
        <v>335</v>
      </c>
      <c r="J2954" s="38">
        <v>329</v>
      </c>
      <c r="K2954" s="38">
        <v>0</v>
      </c>
      <c r="L2954" s="50">
        <f t="shared" si="145"/>
        <v>0</v>
      </c>
      <c r="M2954" s="38">
        <v>14</v>
      </c>
      <c r="N2954" s="50">
        <f t="shared" si="143"/>
        <v>2.1084337349397591</v>
      </c>
      <c r="O2954" s="38">
        <v>0</v>
      </c>
      <c r="P2954" s="38">
        <v>9.36</v>
      </c>
      <c r="Q2954" s="96" t="s">
        <v>43</v>
      </c>
      <c r="R2954" s="185">
        <v>44531</v>
      </c>
      <c r="T2954" s="11">
        <v>9</v>
      </c>
      <c r="AB2954" s="85"/>
    </row>
    <row r="2955" spans="1:28" x14ac:dyDescent="0.25">
      <c r="A2955" s="38" t="s">
        <v>36</v>
      </c>
      <c r="B2955" s="38" t="s">
        <v>6185</v>
      </c>
      <c r="C2955" s="38" t="s">
        <v>6317</v>
      </c>
      <c r="D2955" s="38" t="s">
        <v>6320</v>
      </c>
      <c r="E2955" s="38" t="s">
        <v>6321</v>
      </c>
      <c r="F2955" s="38">
        <v>804.98</v>
      </c>
      <c r="G2955" s="38">
        <v>155</v>
      </c>
      <c r="H2955" s="38">
        <f t="shared" si="144"/>
        <v>893</v>
      </c>
      <c r="I2955" s="38">
        <v>446</v>
      </c>
      <c r="J2955" s="38">
        <v>447</v>
      </c>
      <c r="K2955" s="38">
        <v>0</v>
      </c>
      <c r="L2955" s="50">
        <f t="shared" si="145"/>
        <v>0</v>
      </c>
      <c r="M2955" s="38">
        <v>0</v>
      </c>
      <c r="N2955" s="50">
        <f t="shared" si="143"/>
        <v>0</v>
      </c>
      <c r="O2955" s="38">
        <v>0</v>
      </c>
      <c r="P2955" s="38">
        <v>52.55</v>
      </c>
      <c r="Q2955" s="96" t="s">
        <v>43</v>
      </c>
      <c r="R2955" s="185">
        <v>44531</v>
      </c>
      <c r="T2955" s="11">
        <v>53</v>
      </c>
      <c r="AB2955" s="85"/>
    </row>
    <row r="2956" spans="1:28" x14ac:dyDescent="0.25">
      <c r="A2956" s="38" t="s">
        <v>36</v>
      </c>
      <c r="B2956" s="38" t="s">
        <v>6185</v>
      </c>
      <c r="C2956" s="38" t="s">
        <v>6317</v>
      </c>
      <c r="D2956" s="38" t="s">
        <v>6322</v>
      </c>
      <c r="E2956" s="38" t="s">
        <v>6323</v>
      </c>
      <c r="F2956" s="38">
        <v>1343.93</v>
      </c>
      <c r="G2956" s="38">
        <v>170</v>
      </c>
      <c r="H2956" s="38">
        <f t="shared" si="144"/>
        <v>976</v>
      </c>
      <c r="I2956" s="38">
        <v>505</v>
      </c>
      <c r="J2956" s="38">
        <v>471</v>
      </c>
      <c r="K2956" s="38">
        <v>4</v>
      </c>
      <c r="L2956" s="50">
        <f t="shared" si="145"/>
        <v>0.4098360655737705</v>
      </c>
      <c r="M2956" s="38">
        <v>0</v>
      </c>
      <c r="N2956" s="50">
        <f t="shared" si="143"/>
        <v>0</v>
      </c>
      <c r="O2956" s="38">
        <v>0</v>
      </c>
      <c r="P2956" s="38">
        <v>162.51</v>
      </c>
      <c r="Q2956" s="96" t="s">
        <v>43</v>
      </c>
      <c r="R2956" s="185">
        <v>44531</v>
      </c>
      <c r="T2956" s="11">
        <v>163</v>
      </c>
      <c r="AB2956" s="85"/>
    </row>
    <row r="2957" spans="1:28" x14ac:dyDescent="0.25">
      <c r="A2957" s="38" t="s">
        <v>36</v>
      </c>
      <c r="B2957" s="38" t="s">
        <v>6185</v>
      </c>
      <c r="C2957" s="38" t="s">
        <v>6324</v>
      </c>
      <c r="D2957" s="38" t="s">
        <v>6325</v>
      </c>
      <c r="E2957" s="38" t="s">
        <v>6326</v>
      </c>
      <c r="F2957" s="38">
        <v>1018.95</v>
      </c>
      <c r="G2957" s="38">
        <v>196</v>
      </c>
      <c r="H2957" s="38">
        <f t="shared" si="144"/>
        <v>1173</v>
      </c>
      <c r="I2957" s="38">
        <v>577</v>
      </c>
      <c r="J2957" s="38">
        <v>596</v>
      </c>
      <c r="K2957" s="38">
        <v>200</v>
      </c>
      <c r="L2957" s="50">
        <f t="shared" si="145"/>
        <v>17.050298380221655</v>
      </c>
      <c r="M2957" s="38">
        <v>396</v>
      </c>
      <c r="N2957" s="50">
        <f t="shared" si="143"/>
        <v>33.759590792838871</v>
      </c>
      <c r="O2957" s="38">
        <v>0</v>
      </c>
      <c r="P2957" s="38">
        <v>155.07</v>
      </c>
      <c r="Q2957" s="72" t="s">
        <v>43</v>
      </c>
      <c r="R2957" s="167">
        <v>44552</v>
      </c>
      <c r="T2957" s="11">
        <v>155</v>
      </c>
      <c r="AB2957" s="168"/>
    </row>
    <row r="2958" spans="1:28" x14ac:dyDescent="0.25">
      <c r="A2958" s="38" t="s">
        <v>36</v>
      </c>
      <c r="B2958" s="38" t="s">
        <v>6185</v>
      </c>
      <c r="C2958" s="38" t="s">
        <v>6324</v>
      </c>
      <c r="D2958" s="38" t="s">
        <v>1156</v>
      </c>
      <c r="E2958" s="38" t="s">
        <v>6327</v>
      </c>
      <c r="F2958" s="38">
        <v>853.69</v>
      </c>
      <c r="G2958" s="38">
        <v>140</v>
      </c>
      <c r="H2958" s="38">
        <f t="shared" si="144"/>
        <v>895</v>
      </c>
      <c r="I2958" s="38">
        <v>486</v>
      </c>
      <c r="J2958" s="38">
        <v>409</v>
      </c>
      <c r="K2958" s="38">
        <v>26</v>
      </c>
      <c r="L2958" s="50">
        <f t="shared" si="145"/>
        <v>2.9050279329608939</v>
      </c>
      <c r="M2958" s="38">
        <v>0</v>
      </c>
      <c r="N2958" s="50">
        <f t="shared" si="143"/>
        <v>0</v>
      </c>
      <c r="O2958" s="38">
        <v>0</v>
      </c>
      <c r="P2958" s="38">
        <v>35.799999999999997</v>
      </c>
      <c r="Q2958" s="96" t="s">
        <v>43</v>
      </c>
      <c r="R2958" s="185">
        <v>44552</v>
      </c>
      <c r="T2958" s="11">
        <v>36</v>
      </c>
      <c r="AB2958" s="85"/>
    </row>
    <row r="2959" spans="1:28" x14ac:dyDescent="0.25">
      <c r="A2959" s="38" t="s">
        <v>36</v>
      </c>
      <c r="B2959" s="38" t="s">
        <v>6185</v>
      </c>
      <c r="C2959" s="38" t="s">
        <v>6324</v>
      </c>
      <c r="D2959" s="38" t="s">
        <v>6328</v>
      </c>
      <c r="E2959" s="38" t="s">
        <v>6329</v>
      </c>
      <c r="F2959" s="38">
        <v>765.43</v>
      </c>
      <c r="G2959" s="38">
        <v>122</v>
      </c>
      <c r="H2959" s="38">
        <f t="shared" si="144"/>
        <v>727</v>
      </c>
      <c r="I2959" s="38">
        <v>376</v>
      </c>
      <c r="J2959" s="38">
        <v>351</v>
      </c>
      <c r="K2959" s="38">
        <v>0</v>
      </c>
      <c r="L2959" s="50">
        <f t="shared" si="145"/>
        <v>0</v>
      </c>
      <c r="M2959" s="38">
        <v>0</v>
      </c>
      <c r="N2959" s="50">
        <f t="shared" si="143"/>
        <v>0</v>
      </c>
      <c r="O2959" s="38">
        <v>0</v>
      </c>
      <c r="P2959" s="38">
        <v>0</v>
      </c>
      <c r="Q2959" s="90" t="s">
        <v>43</v>
      </c>
      <c r="R2959" s="91">
        <v>44552</v>
      </c>
      <c r="T2959" s="11">
        <v>0</v>
      </c>
      <c r="AB2959" s="92"/>
    </row>
    <row r="2960" spans="1:28" x14ac:dyDescent="0.25">
      <c r="A2960" s="38" t="s">
        <v>36</v>
      </c>
      <c r="B2960" s="38" t="s">
        <v>6185</v>
      </c>
      <c r="C2960" s="38" t="s">
        <v>6330</v>
      </c>
      <c r="D2960" s="38" t="s">
        <v>59</v>
      </c>
      <c r="E2960" s="38" t="s">
        <v>6331</v>
      </c>
      <c r="F2960" s="38">
        <v>1637.56</v>
      </c>
      <c r="G2960" s="38">
        <v>273</v>
      </c>
      <c r="H2960" s="38">
        <f t="shared" si="144"/>
        <v>1744</v>
      </c>
      <c r="I2960" s="38">
        <v>925</v>
      </c>
      <c r="J2960" s="38">
        <v>819</v>
      </c>
      <c r="K2960" s="38">
        <v>9</v>
      </c>
      <c r="L2960" s="50">
        <f t="shared" si="145"/>
        <v>0.5160550458715597</v>
      </c>
      <c r="M2960" s="38">
        <v>0</v>
      </c>
      <c r="N2960" s="50">
        <f t="shared" si="143"/>
        <v>0</v>
      </c>
      <c r="O2960" s="38">
        <v>0</v>
      </c>
      <c r="P2960" s="38">
        <v>0</v>
      </c>
      <c r="Q2960" s="36" t="s">
        <v>43</v>
      </c>
      <c r="R2960" s="14">
        <v>44567</v>
      </c>
      <c r="T2960" s="11">
        <v>0</v>
      </c>
      <c r="AB2960" s="85"/>
    </row>
    <row r="2961" spans="1:28" x14ac:dyDescent="0.25">
      <c r="A2961" s="38" t="s">
        <v>36</v>
      </c>
      <c r="B2961" s="38" t="s">
        <v>6185</v>
      </c>
      <c r="C2961" s="38" t="s">
        <v>6330</v>
      </c>
      <c r="D2961" s="38" t="s">
        <v>6332</v>
      </c>
      <c r="E2961" s="38" t="s">
        <v>6333</v>
      </c>
      <c r="F2961" s="38">
        <v>1208.45</v>
      </c>
      <c r="G2961" s="38">
        <v>194</v>
      </c>
      <c r="H2961" s="38">
        <f t="shared" si="144"/>
        <v>1231</v>
      </c>
      <c r="I2961" s="38">
        <v>660</v>
      </c>
      <c r="J2961" s="38">
        <v>571</v>
      </c>
      <c r="K2961" s="38">
        <v>38</v>
      </c>
      <c r="L2961" s="50">
        <f t="shared" si="145"/>
        <v>3.0869212022745738</v>
      </c>
      <c r="M2961" s="38">
        <v>247</v>
      </c>
      <c r="N2961" s="50">
        <f t="shared" si="143"/>
        <v>20.064987814784725</v>
      </c>
      <c r="O2961" s="38">
        <v>0</v>
      </c>
      <c r="P2961" s="38">
        <v>0</v>
      </c>
      <c r="Q2961" s="36" t="s">
        <v>43</v>
      </c>
      <c r="R2961" s="14">
        <v>44567</v>
      </c>
      <c r="T2961" s="11">
        <v>0</v>
      </c>
      <c r="AB2961" s="85"/>
    </row>
    <row r="2962" spans="1:28" x14ac:dyDescent="0.25">
      <c r="A2962" s="38" t="s">
        <v>36</v>
      </c>
      <c r="B2962" s="38" t="s">
        <v>6185</v>
      </c>
      <c r="C2962" s="38" t="s">
        <v>6334</v>
      </c>
      <c r="D2962" s="38" t="s">
        <v>6335</v>
      </c>
      <c r="E2962" s="38" t="s">
        <v>6336</v>
      </c>
      <c r="F2962" s="38">
        <v>1001</v>
      </c>
      <c r="G2962" s="38">
        <v>86</v>
      </c>
      <c r="H2962" s="38">
        <f t="shared" si="144"/>
        <v>547</v>
      </c>
      <c r="I2962" s="38">
        <v>285</v>
      </c>
      <c r="J2962" s="38">
        <v>262</v>
      </c>
      <c r="K2962" s="38">
        <v>179</v>
      </c>
      <c r="L2962" s="50">
        <f t="shared" si="145"/>
        <v>32.723948811700183</v>
      </c>
      <c r="M2962" s="38">
        <v>0</v>
      </c>
      <c r="N2962" s="50">
        <f t="shared" si="143"/>
        <v>0</v>
      </c>
      <c r="O2962" s="38">
        <v>20</v>
      </c>
      <c r="P2962" s="38">
        <v>24</v>
      </c>
      <c r="Q2962" s="98" t="s">
        <v>43</v>
      </c>
      <c r="R2962" s="17">
        <v>44544</v>
      </c>
      <c r="T2962" s="11">
        <v>24</v>
      </c>
      <c r="AB2962" s="20"/>
    </row>
    <row r="2963" spans="1:28" x14ac:dyDescent="0.25">
      <c r="A2963" s="38" t="s">
        <v>36</v>
      </c>
      <c r="B2963" s="38" t="s">
        <v>6185</v>
      </c>
      <c r="C2963" s="38" t="s">
        <v>6334</v>
      </c>
      <c r="D2963" s="38" t="s">
        <v>6337</v>
      </c>
      <c r="E2963" s="38" t="s">
        <v>6338</v>
      </c>
      <c r="F2963" s="38">
        <v>2201</v>
      </c>
      <c r="G2963" s="38">
        <v>152</v>
      </c>
      <c r="H2963" s="38">
        <f t="shared" si="144"/>
        <v>941</v>
      </c>
      <c r="I2963" s="38">
        <v>485</v>
      </c>
      <c r="J2963" s="38">
        <v>456</v>
      </c>
      <c r="K2963" s="38">
        <v>64</v>
      </c>
      <c r="L2963" s="50">
        <f t="shared" si="145"/>
        <v>6.8012752391073326</v>
      </c>
      <c r="M2963" s="38">
        <v>0</v>
      </c>
      <c r="N2963" s="50">
        <f t="shared" si="143"/>
        <v>0</v>
      </c>
      <c r="O2963" s="38">
        <v>145</v>
      </c>
      <c r="P2963" s="38">
        <v>90</v>
      </c>
      <c r="Q2963" s="98" t="s">
        <v>43</v>
      </c>
      <c r="R2963" s="17">
        <v>44544</v>
      </c>
      <c r="T2963" s="11">
        <v>90</v>
      </c>
      <c r="AB2963" s="20"/>
    </row>
    <row r="2964" spans="1:28" x14ac:dyDescent="0.25">
      <c r="A2964" s="38" t="s">
        <v>36</v>
      </c>
      <c r="B2964" s="38" t="s">
        <v>6185</v>
      </c>
      <c r="C2964" s="38" t="s">
        <v>6334</v>
      </c>
      <c r="D2964" s="38" t="s">
        <v>6339</v>
      </c>
      <c r="E2964" s="38" t="s">
        <v>6340</v>
      </c>
      <c r="F2964" s="38">
        <v>804.9</v>
      </c>
      <c r="G2964" s="38">
        <v>141</v>
      </c>
      <c r="H2964" s="38">
        <f t="shared" si="144"/>
        <v>741</v>
      </c>
      <c r="I2964" s="38">
        <v>370</v>
      </c>
      <c r="J2964" s="38">
        <v>371</v>
      </c>
      <c r="K2964" s="38">
        <v>32</v>
      </c>
      <c r="L2964" s="50">
        <f t="shared" si="145"/>
        <v>4.3184885290148447</v>
      </c>
      <c r="M2964" s="38">
        <v>0</v>
      </c>
      <c r="N2964" s="50">
        <f t="shared" si="143"/>
        <v>0</v>
      </c>
      <c r="O2964" s="38">
        <v>0</v>
      </c>
      <c r="P2964" s="38">
        <v>28.9</v>
      </c>
      <c r="Q2964" s="98" t="s">
        <v>43</v>
      </c>
      <c r="R2964" s="17">
        <v>44544</v>
      </c>
      <c r="T2964" s="11">
        <v>29</v>
      </c>
      <c r="AB2964" s="20"/>
    </row>
    <row r="2965" spans="1:28" x14ac:dyDescent="0.25">
      <c r="A2965" s="38" t="s">
        <v>36</v>
      </c>
      <c r="B2965" s="38" t="s">
        <v>6185</v>
      </c>
      <c r="C2965" s="38" t="s">
        <v>6334</v>
      </c>
      <c r="D2965" s="38" t="s">
        <v>1041</v>
      </c>
      <c r="E2965" s="38" t="s">
        <v>6341</v>
      </c>
      <c r="F2965" s="38">
        <v>408.58</v>
      </c>
      <c r="G2965" s="38">
        <v>44</v>
      </c>
      <c r="H2965" s="38">
        <f t="shared" si="144"/>
        <v>221</v>
      </c>
      <c r="I2965" s="38">
        <v>104</v>
      </c>
      <c r="J2965" s="38">
        <v>117</v>
      </c>
      <c r="K2965" s="38">
        <v>0</v>
      </c>
      <c r="L2965" s="50">
        <f t="shared" si="145"/>
        <v>0</v>
      </c>
      <c r="M2965" s="38">
        <v>0</v>
      </c>
      <c r="N2965" s="50">
        <f t="shared" si="143"/>
        <v>0</v>
      </c>
      <c r="O2965" s="38">
        <v>0</v>
      </c>
      <c r="P2965" s="38">
        <v>14.59</v>
      </c>
      <c r="Q2965" s="98" t="s">
        <v>43</v>
      </c>
      <c r="R2965" s="17">
        <v>44544</v>
      </c>
      <c r="T2965" s="11">
        <v>15</v>
      </c>
      <c r="AB2965" s="20"/>
    </row>
    <row r="2966" spans="1:28" x14ac:dyDescent="0.25">
      <c r="A2966" s="38" t="s">
        <v>36</v>
      </c>
      <c r="B2966" s="38" t="s">
        <v>6185</v>
      </c>
      <c r="C2966" s="38" t="s">
        <v>6334</v>
      </c>
      <c r="D2966" s="38" t="s">
        <v>6342</v>
      </c>
      <c r="E2966" s="38" t="s">
        <v>6343</v>
      </c>
      <c r="F2966" s="38">
        <v>247</v>
      </c>
      <c r="G2966" s="38">
        <v>13</v>
      </c>
      <c r="H2966" s="38">
        <f t="shared" si="144"/>
        <v>92</v>
      </c>
      <c r="I2966" s="38">
        <v>42</v>
      </c>
      <c r="J2966" s="38">
        <v>50</v>
      </c>
      <c r="K2966" s="38">
        <v>0</v>
      </c>
      <c r="L2966" s="50">
        <f t="shared" si="145"/>
        <v>0</v>
      </c>
      <c r="M2966" s="38">
        <v>0</v>
      </c>
      <c r="N2966" s="50">
        <f t="shared" si="143"/>
        <v>0</v>
      </c>
      <c r="O2966" s="38">
        <v>11</v>
      </c>
      <c r="P2966" s="38">
        <v>4</v>
      </c>
    </row>
    <row r="2967" spans="1:28" x14ac:dyDescent="0.25">
      <c r="A2967" s="38" t="s">
        <v>36</v>
      </c>
      <c r="B2967" s="38" t="s">
        <v>6185</v>
      </c>
      <c r="C2967" s="38" t="s">
        <v>6334</v>
      </c>
      <c r="D2967" s="38" t="s">
        <v>6344</v>
      </c>
      <c r="E2967" s="38" t="s">
        <v>6345</v>
      </c>
      <c r="F2967" s="38">
        <v>840</v>
      </c>
      <c r="G2967" s="38">
        <v>85</v>
      </c>
      <c r="H2967" s="38">
        <f t="shared" si="144"/>
        <v>587</v>
      </c>
      <c r="I2967" s="38">
        <v>303</v>
      </c>
      <c r="J2967" s="38">
        <v>284</v>
      </c>
      <c r="K2967" s="38">
        <v>29</v>
      </c>
      <c r="L2967" s="50">
        <f t="shared" si="145"/>
        <v>4.9403747870528107</v>
      </c>
      <c r="M2967" s="38">
        <v>0</v>
      </c>
      <c r="N2967" s="50">
        <f t="shared" si="143"/>
        <v>0</v>
      </c>
      <c r="O2967" s="38">
        <v>4</v>
      </c>
      <c r="P2967" s="38">
        <v>0</v>
      </c>
      <c r="Q2967" s="61" t="s">
        <v>43</v>
      </c>
      <c r="R2967" s="7">
        <v>44544</v>
      </c>
      <c r="T2967" s="11">
        <v>0</v>
      </c>
      <c r="AB2967" s="20"/>
    </row>
    <row r="2968" spans="1:28" x14ac:dyDescent="0.25">
      <c r="A2968" s="38" t="s">
        <v>36</v>
      </c>
      <c r="B2968" s="38" t="s">
        <v>6185</v>
      </c>
      <c r="C2968" s="38" t="s">
        <v>6346</v>
      </c>
      <c r="D2968" s="38" t="s">
        <v>6347</v>
      </c>
      <c r="E2968" s="38" t="s">
        <v>6348</v>
      </c>
      <c r="F2968" s="38">
        <v>2101.1</v>
      </c>
      <c r="G2968" s="38">
        <v>892</v>
      </c>
      <c r="H2968" s="38">
        <f t="shared" si="144"/>
        <v>4815</v>
      </c>
      <c r="I2968" s="38">
        <v>2563</v>
      </c>
      <c r="J2968" s="38">
        <v>2252</v>
      </c>
      <c r="K2968" s="38">
        <v>1385</v>
      </c>
      <c r="L2968" s="50">
        <f t="shared" si="145"/>
        <v>28.764278296988579</v>
      </c>
      <c r="M2968" s="38">
        <v>318</v>
      </c>
      <c r="N2968" s="50">
        <f t="shared" si="143"/>
        <v>6.6043613707165107</v>
      </c>
      <c r="O2968" s="38">
        <v>0.8</v>
      </c>
      <c r="P2968" s="38">
        <v>49.01</v>
      </c>
      <c r="Q2968" s="35" t="s">
        <v>43</v>
      </c>
      <c r="R2968" s="100">
        <v>44532</v>
      </c>
      <c r="T2968" s="11">
        <v>6</v>
      </c>
      <c r="AB2968" s="87"/>
    </row>
    <row r="2969" spans="1:28" x14ac:dyDescent="0.25">
      <c r="A2969" s="38" t="s">
        <v>36</v>
      </c>
      <c r="B2969" s="38" t="s">
        <v>6185</v>
      </c>
      <c r="C2969" s="38" t="s">
        <v>6346</v>
      </c>
      <c r="D2969" s="38" t="s">
        <v>6349</v>
      </c>
      <c r="E2969" s="38" t="s">
        <v>6350</v>
      </c>
      <c r="F2969" s="38">
        <v>792.03</v>
      </c>
      <c r="G2969" s="38">
        <v>90</v>
      </c>
      <c r="H2969" s="38">
        <f t="shared" si="144"/>
        <v>547</v>
      </c>
      <c r="I2969" s="38">
        <v>270</v>
      </c>
      <c r="J2969" s="38">
        <v>277</v>
      </c>
      <c r="K2969" s="38">
        <v>337</v>
      </c>
      <c r="L2969" s="50">
        <f t="shared" si="145"/>
        <v>61.608775137111515</v>
      </c>
      <c r="M2969" s="38">
        <v>9</v>
      </c>
      <c r="N2969" s="50">
        <f t="shared" si="143"/>
        <v>1.6453382084095063</v>
      </c>
      <c r="O2969" s="38">
        <v>0</v>
      </c>
      <c r="P2969" s="38">
        <v>0</v>
      </c>
    </row>
    <row r="2970" spans="1:28" x14ac:dyDescent="0.25">
      <c r="A2970" s="38" t="s">
        <v>36</v>
      </c>
      <c r="B2970" s="38" t="s">
        <v>6185</v>
      </c>
      <c r="C2970" s="38" t="s">
        <v>6351</v>
      </c>
      <c r="D2970" s="38" t="s">
        <v>6352</v>
      </c>
      <c r="E2970" s="38" t="s">
        <v>6353</v>
      </c>
      <c r="F2970" s="38">
        <v>1274.19</v>
      </c>
      <c r="G2970" s="38">
        <v>1070</v>
      </c>
      <c r="H2970" s="38">
        <f t="shared" si="144"/>
        <v>5713</v>
      </c>
      <c r="I2970" s="38">
        <v>2971</v>
      </c>
      <c r="J2970" s="38">
        <v>2742</v>
      </c>
      <c r="K2970" s="38">
        <v>704</v>
      </c>
      <c r="L2970" s="50">
        <f t="shared" si="145"/>
        <v>12.322772623840365</v>
      </c>
      <c r="M2970" s="38">
        <v>807</v>
      </c>
      <c r="N2970" s="50">
        <f t="shared" si="143"/>
        <v>14.125678277612463</v>
      </c>
      <c r="O2970" s="38">
        <v>161.15</v>
      </c>
      <c r="P2970" s="38">
        <v>200.89</v>
      </c>
      <c r="Q2970" s="96" t="s">
        <v>43</v>
      </c>
      <c r="R2970" s="185">
        <v>44539</v>
      </c>
      <c r="T2970" s="11">
        <v>32.159999999999997</v>
      </c>
      <c r="AB2970" s="85"/>
    </row>
    <row r="2971" spans="1:28" x14ac:dyDescent="0.25">
      <c r="A2971" s="38" t="s">
        <v>36</v>
      </c>
      <c r="B2971" s="38" t="s">
        <v>6185</v>
      </c>
      <c r="C2971" s="38" t="s">
        <v>6351</v>
      </c>
      <c r="D2971" s="38" t="s">
        <v>6354</v>
      </c>
      <c r="E2971" s="38" t="s">
        <v>6355</v>
      </c>
      <c r="F2971" s="38">
        <v>1246.1099999999999</v>
      </c>
      <c r="G2971" s="38">
        <v>90</v>
      </c>
      <c r="H2971" s="38">
        <f t="shared" si="144"/>
        <v>547</v>
      </c>
      <c r="I2971" s="38">
        <v>277</v>
      </c>
      <c r="J2971" s="38">
        <v>270</v>
      </c>
      <c r="K2971" s="38">
        <v>113</v>
      </c>
      <c r="L2971" s="50">
        <f t="shared" si="145"/>
        <v>20.658135283363801</v>
      </c>
      <c r="M2971" s="38">
        <v>31</v>
      </c>
      <c r="N2971" s="50">
        <f t="shared" si="143"/>
        <v>5.6672760511883</v>
      </c>
      <c r="O2971" s="38">
        <v>329.12</v>
      </c>
      <c r="P2971" s="38">
        <v>14.94</v>
      </c>
      <c r="Q2971" s="96" t="s">
        <v>43</v>
      </c>
      <c r="R2971" s="185">
        <v>44539</v>
      </c>
      <c r="T2971" s="11">
        <v>2.4</v>
      </c>
      <c r="AB2971" s="85"/>
    </row>
    <row r="2972" spans="1:28" x14ac:dyDescent="0.25">
      <c r="A2972" s="38" t="s">
        <v>36</v>
      </c>
      <c r="B2972" s="38" t="s">
        <v>6185</v>
      </c>
      <c r="C2972" s="38" t="s">
        <v>6356</v>
      </c>
      <c r="D2972" s="38" t="s">
        <v>6357</v>
      </c>
      <c r="E2972" s="38" t="s">
        <v>6358</v>
      </c>
      <c r="F2972" s="38">
        <v>945</v>
      </c>
      <c r="G2972" s="38">
        <v>171</v>
      </c>
      <c r="H2972" s="38">
        <f t="shared" si="144"/>
        <v>1117</v>
      </c>
      <c r="I2972" s="38">
        <v>568</v>
      </c>
      <c r="J2972" s="38">
        <v>549</v>
      </c>
      <c r="K2972" s="38">
        <v>460</v>
      </c>
      <c r="L2972" s="50">
        <f t="shared" si="145"/>
        <v>41.18173679498657</v>
      </c>
      <c r="M2972" s="38">
        <v>0</v>
      </c>
      <c r="N2972" s="50">
        <f t="shared" si="143"/>
        <v>0</v>
      </c>
      <c r="O2972" s="38">
        <v>0</v>
      </c>
      <c r="P2972" s="38">
        <v>15</v>
      </c>
    </row>
    <row r="2973" spans="1:28" x14ac:dyDescent="0.25">
      <c r="A2973" s="38" t="s">
        <v>36</v>
      </c>
      <c r="B2973" s="38" t="s">
        <v>6185</v>
      </c>
      <c r="C2973" s="38" t="s">
        <v>6356</v>
      </c>
      <c r="D2973" s="38" t="s">
        <v>6359</v>
      </c>
      <c r="E2973" s="38" t="s">
        <v>6360</v>
      </c>
      <c r="F2973" s="38">
        <v>265</v>
      </c>
      <c r="G2973" s="38">
        <v>58</v>
      </c>
      <c r="H2973" s="38">
        <f t="shared" si="144"/>
        <v>324</v>
      </c>
      <c r="I2973" s="38">
        <v>163</v>
      </c>
      <c r="J2973" s="38">
        <v>161</v>
      </c>
      <c r="K2973" s="38">
        <v>0</v>
      </c>
      <c r="L2973" s="50">
        <f t="shared" si="145"/>
        <v>0</v>
      </c>
      <c r="M2973" s="38">
        <v>0</v>
      </c>
      <c r="N2973" s="50">
        <f t="shared" si="143"/>
        <v>0</v>
      </c>
      <c r="O2973" s="38">
        <v>0</v>
      </c>
      <c r="P2973" s="38">
        <v>0</v>
      </c>
    </row>
    <row r="2974" spans="1:28" x14ac:dyDescent="0.25">
      <c r="A2974" s="38" t="s">
        <v>36</v>
      </c>
      <c r="B2974" s="38" t="s">
        <v>6185</v>
      </c>
      <c r="C2974" s="38" t="s">
        <v>6356</v>
      </c>
      <c r="D2974" s="38" t="s">
        <v>6361</v>
      </c>
      <c r="E2974" s="38" t="s">
        <v>6362</v>
      </c>
      <c r="F2974" s="38">
        <v>468</v>
      </c>
      <c r="G2974" s="38">
        <v>112</v>
      </c>
      <c r="H2974" s="38">
        <f t="shared" si="144"/>
        <v>699</v>
      </c>
      <c r="I2974" s="38">
        <v>349</v>
      </c>
      <c r="J2974" s="38">
        <v>350</v>
      </c>
      <c r="K2974" s="38"/>
      <c r="L2974" s="50">
        <f t="shared" si="145"/>
        <v>0</v>
      </c>
      <c r="M2974" s="38">
        <v>26</v>
      </c>
      <c r="N2974" s="50">
        <f t="shared" ref="N2974:N2978" si="146">M2974/H2974*100</f>
        <v>3.7195994277539342</v>
      </c>
      <c r="O2974" s="38">
        <v>0</v>
      </c>
      <c r="P2974" s="38">
        <v>0</v>
      </c>
    </row>
    <row r="2975" spans="1:28" x14ac:dyDescent="0.25">
      <c r="A2975" s="38" t="s">
        <v>36</v>
      </c>
      <c r="B2975" s="38" t="s">
        <v>6185</v>
      </c>
      <c r="C2975" s="38" t="s">
        <v>6356</v>
      </c>
      <c r="D2975" s="38" t="s">
        <v>6363</v>
      </c>
      <c r="E2975" s="38" t="s">
        <v>6364</v>
      </c>
      <c r="F2975" s="38">
        <v>481</v>
      </c>
      <c r="G2975" s="38">
        <v>72</v>
      </c>
      <c r="H2975" s="38">
        <f t="shared" si="144"/>
        <v>490</v>
      </c>
      <c r="I2975" s="38">
        <v>257</v>
      </c>
      <c r="J2975" s="38">
        <v>233</v>
      </c>
      <c r="K2975" s="38">
        <v>172</v>
      </c>
      <c r="L2975" s="50">
        <f t="shared" si="145"/>
        <v>35.102040816326529</v>
      </c>
      <c r="M2975" s="38">
        <v>0</v>
      </c>
      <c r="N2975" s="50">
        <f t="shared" si="146"/>
        <v>0</v>
      </c>
      <c r="O2975" s="38">
        <v>0</v>
      </c>
      <c r="P2975" s="38">
        <v>0</v>
      </c>
    </row>
    <row r="2976" spans="1:28" x14ac:dyDescent="0.25">
      <c r="A2976" s="38" t="s">
        <v>36</v>
      </c>
      <c r="B2976" s="38" t="s">
        <v>6185</v>
      </c>
      <c r="C2976" s="38" t="s">
        <v>6356</v>
      </c>
      <c r="D2976" s="38" t="s">
        <v>6365</v>
      </c>
      <c r="E2976" s="38" t="s">
        <v>6366</v>
      </c>
      <c r="F2976" s="38">
        <v>613</v>
      </c>
      <c r="G2976" s="38">
        <v>82</v>
      </c>
      <c r="H2976" s="38">
        <f t="shared" si="144"/>
        <v>517</v>
      </c>
      <c r="I2976" s="38">
        <v>269</v>
      </c>
      <c r="J2976" s="38">
        <v>248</v>
      </c>
      <c r="K2976" s="38">
        <v>3</v>
      </c>
      <c r="L2976" s="50">
        <f t="shared" si="145"/>
        <v>0.58027079303675055</v>
      </c>
      <c r="M2976" s="38">
        <v>0</v>
      </c>
      <c r="N2976" s="50">
        <f t="shared" si="146"/>
        <v>0</v>
      </c>
      <c r="O2976" s="38">
        <v>0</v>
      </c>
      <c r="P2976" s="38">
        <v>0</v>
      </c>
    </row>
    <row r="2977" spans="1:16" x14ac:dyDescent="0.25">
      <c r="A2977" s="38" t="s">
        <v>36</v>
      </c>
      <c r="B2977" s="38" t="s">
        <v>6185</v>
      </c>
      <c r="C2977" s="38" t="s">
        <v>6367</v>
      </c>
      <c r="D2977" s="38" t="s">
        <v>6368</v>
      </c>
      <c r="E2977" s="38" t="s">
        <v>6369</v>
      </c>
      <c r="F2977" s="38">
        <v>2190</v>
      </c>
      <c r="G2977" s="38">
        <v>236</v>
      </c>
      <c r="H2977" s="38">
        <f t="shared" si="144"/>
        <v>1429</v>
      </c>
      <c r="I2977" s="38">
        <v>711</v>
      </c>
      <c r="J2977" s="38">
        <v>718</v>
      </c>
      <c r="K2977" s="38">
        <v>0</v>
      </c>
      <c r="L2977" s="50">
        <f t="shared" si="145"/>
        <v>0</v>
      </c>
      <c r="M2977" s="38">
        <v>0</v>
      </c>
      <c r="N2977" s="50">
        <f t="shared" si="146"/>
        <v>0</v>
      </c>
      <c r="O2977" s="38">
        <v>0</v>
      </c>
      <c r="P2977" s="38">
        <v>35</v>
      </c>
    </row>
    <row r="2978" spans="1:16" x14ac:dyDescent="0.25">
      <c r="A2978" s="38" t="s">
        <v>36</v>
      </c>
      <c r="B2978" s="38" t="s">
        <v>6185</v>
      </c>
      <c r="C2978" s="38" t="s">
        <v>6367</v>
      </c>
      <c r="D2978" s="38" t="s">
        <v>6370</v>
      </c>
      <c r="E2978" s="38" t="s">
        <v>6371</v>
      </c>
      <c r="F2978" s="38">
        <v>2916</v>
      </c>
      <c r="G2978" s="38">
        <v>287</v>
      </c>
      <c r="H2978" s="38">
        <f t="shared" si="144"/>
        <v>1523</v>
      </c>
      <c r="I2978" s="38">
        <v>808</v>
      </c>
      <c r="J2978" s="38">
        <v>715</v>
      </c>
      <c r="K2978" s="38">
        <v>0</v>
      </c>
      <c r="L2978" s="50">
        <f t="shared" si="145"/>
        <v>0</v>
      </c>
      <c r="M2978" s="38">
        <v>32</v>
      </c>
      <c r="N2978" s="50">
        <f t="shared" si="146"/>
        <v>2.1011162179908074</v>
      </c>
      <c r="O2978" s="38">
        <v>0</v>
      </c>
      <c r="P2978" s="38">
        <v>10</v>
      </c>
    </row>
    <row r="2979" spans="1:16" x14ac:dyDescent="0.25">
      <c r="A2979" s="38"/>
      <c r="L2979" s="50"/>
    </row>
    <row r="2980" spans="1:16" x14ac:dyDescent="0.25">
      <c r="A2980" s="38"/>
      <c r="L2980" s="50"/>
    </row>
    <row r="2981" spans="1:16" x14ac:dyDescent="0.25">
      <c r="A2981" s="38"/>
      <c r="L2981" s="50"/>
    </row>
    <row r="2982" spans="1:16" x14ac:dyDescent="0.25">
      <c r="A2982" s="38"/>
      <c r="L2982" s="50"/>
    </row>
    <row r="2983" spans="1:16" x14ac:dyDescent="0.25">
      <c r="A2983" s="38"/>
      <c r="L2983" s="50"/>
    </row>
    <row r="2984" spans="1:16" x14ac:dyDescent="0.25">
      <c r="L2984" s="50"/>
    </row>
    <row r="2985" spans="1:16" x14ac:dyDescent="0.25">
      <c r="L2985" s="50"/>
    </row>
    <row r="2986" spans="1:16" x14ac:dyDescent="0.25">
      <c r="L2986" s="50"/>
    </row>
    <row r="2987" spans="1:16" x14ac:dyDescent="0.25">
      <c r="L2987" s="50"/>
    </row>
    <row r="2988" spans="1:16" x14ac:dyDescent="0.25">
      <c r="L2988" s="50"/>
    </row>
    <row r="2989" spans="1:16" x14ac:dyDescent="0.25">
      <c r="L2989" s="50"/>
    </row>
    <row r="2990" spans="1:16" x14ac:dyDescent="0.25">
      <c r="L2990" s="50"/>
    </row>
    <row r="2991" spans="1:16" x14ac:dyDescent="0.25">
      <c r="L2991" s="50"/>
    </row>
    <row r="2992" spans="1:16" x14ac:dyDescent="0.25">
      <c r="L2992" s="50"/>
    </row>
    <row r="2993" spans="12:12" x14ac:dyDescent="0.25">
      <c r="L2993" s="50"/>
    </row>
    <row r="2994" spans="12:12" x14ac:dyDescent="0.25">
      <c r="L2994" s="50"/>
    </row>
    <row r="2995" spans="12:12" x14ac:dyDescent="0.25">
      <c r="L2995" s="50"/>
    </row>
    <row r="2996" spans="12:12" x14ac:dyDescent="0.25">
      <c r="L2996" s="50"/>
    </row>
    <row r="2997" spans="12:12" x14ac:dyDescent="0.25">
      <c r="L2997" s="50"/>
    </row>
    <row r="2998" spans="12:12" x14ac:dyDescent="0.25">
      <c r="L2998" s="50"/>
    </row>
    <row r="2999" spans="12:12" x14ac:dyDescent="0.25">
      <c r="L2999" s="50"/>
    </row>
    <row r="3000" spans="12:12" x14ac:dyDescent="0.25">
      <c r="L3000" s="50"/>
    </row>
    <row r="3001" spans="12:12" x14ac:dyDescent="0.25">
      <c r="L3001" s="50"/>
    </row>
    <row r="3002" spans="12:12" x14ac:dyDescent="0.25">
      <c r="L3002" s="50"/>
    </row>
    <row r="3003" spans="12:12" x14ac:dyDescent="0.25">
      <c r="L3003" s="50"/>
    </row>
    <row r="3004" spans="12:12" x14ac:dyDescent="0.25">
      <c r="L3004" s="50"/>
    </row>
    <row r="3005" spans="12:12" x14ac:dyDescent="0.25">
      <c r="L3005" s="50"/>
    </row>
    <row r="3006" spans="12:12" x14ac:dyDescent="0.25">
      <c r="L3006" s="50"/>
    </row>
    <row r="3007" spans="12:12" x14ac:dyDescent="0.25">
      <c r="L3007" s="50"/>
    </row>
    <row r="3008" spans="12:12" x14ac:dyDescent="0.25">
      <c r="L3008" s="50"/>
    </row>
    <row r="3009" spans="12:12" x14ac:dyDescent="0.25">
      <c r="L3009" s="50"/>
    </row>
    <row r="3010" spans="12:12" x14ac:dyDescent="0.25">
      <c r="L3010" s="50"/>
    </row>
    <row r="3011" spans="12:12" x14ac:dyDescent="0.25">
      <c r="L3011" s="50"/>
    </row>
    <row r="3012" spans="12:12" x14ac:dyDescent="0.25">
      <c r="L3012" s="50"/>
    </row>
    <row r="3013" spans="12:12" x14ac:dyDescent="0.25">
      <c r="L3013" s="50"/>
    </row>
    <row r="3014" spans="12:12" x14ac:dyDescent="0.25">
      <c r="L3014" s="50"/>
    </row>
    <row r="3015" spans="12:12" x14ac:dyDescent="0.25">
      <c r="L3015" s="50"/>
    </row>
    <row r="3016" spans="12:12" x14ac:dyDescent="0.25">
      <c r="L3016" s="50"/>
    </row>
    <row r="3017" spans="12:12" x14ac:dyDescent="0.25">
      <c r="L3017" s="50"/>
    </row>
    <row r="3018" spans="12:12" x14ac:dyDescent="0.25">
      <c r="L3018" s="50"/>
    </row>
    <row r="3019" spans="12:12" x14ac:dyDescent="0.25">
      <c r="L3019" s="50"/>
    </row>
    <row r="3020" spans="12:12" x14ac:dyDescent="0.25">
      <c r="L3020" s="50"/>
    </row>
    <row r="3021" spans="12:12" x14ac:dyDescent="0.25">
      <c r="L3021" s="50"/>
    </row>
    <row r="3022" spans="12:12" x14ac:dyDescent="0.25">
      <c r="L3022" s="50"/>
    </row>
    <row r="3023" spans="12:12" x14ac:dyDescent="0.25">
      <c r="L3023" s="50"/>
    </row>
    <row r="3024" spans="12:12" x14ac:dyDescent="0.25">
      <c r="L3024" s="50"/>
    </row>
    <row r="3025" spans="12:12" x14ac:dyDescent="0.25">
      <c r="L3025" s="50"/>
    </row>
    <row r="3026" spans="12:12" x14ac:dyDescent="0.25">
      <c r="L3026" s="50"/>
    </row>
    <row r="3027" spans="12:12" x14ac:dyDescent="0.25">
      <c r="L3027" s="50"/>
    </row>
    <row r="3028" spans="12:12" x14ac:dyDescent="0.25">
      <c r="L3028" s="50"/>
    </row>
    <row r="3029" spans="12:12" x14ac:dyDescent="0.25">
      <c r="L3029" s="50"/>
    </row>
    <row r="3030" spans="12:12" x14ac:dyDescent="0.25">
      <c r="L3030" s="50"/>
    </row>
    <row r="3031" spans="12:12" x14ac:dyDescent="0.25">
      <c r="L3031" s="50"/>
    </row>
    <row r="3032" spans="12:12" x14ac:dyDescent="0.25">
      <c r="L3032" s="50"/>
    </row>
    <row r="3033" spans="12:12" x14ac:dyDescent="0.25">
      <c r="L3033" s="50"/>
    </row>
    <row r="3034" spans="12:12" x14ac:dyDescent="0.25">
      <c r="L3034" s="50"/>
    </row>
    <row r="3035" spans="12:12" x14ac:dyDescent="0.25">
      <c r="L3035" s="50"/>
    </row>
    <row r="3036" spans="12:12" x14ac:dyDescent="0.25">
      <c r="L3036" s="50"/>
    </row>
    <row r="3037" spans="12:12" x14ac:dyDescent="0.25">
      <c r="L3037" s="50"/>
    </row>
    <row r="3038" spans="12:12" x14ac:dyDescent="0.25">
      <c r="L3038" s="50"/>
    </row>
    <row r="3039" spans="12:12" x14ac:dyDescent="0.25">
      <c r="L3039" s="50"/>
    </row>
    <row r="3040" spans="12:12" x14ac:dyDescent="0.25">
      <c r="L3040" s="50"/>
    </row>
    <row r="3041" spans="12:12" x14ac:dyDescent="0.25">
      <c r="L3041" s="50"/>
    </row>
    <row r="3042" spans="12:12" x14ac:dyDescent="0.25">
      <c r="L3042" s="50"/>
    </row>
    <row r="3043" spans="12:12" x14ac:dyDescent="0.25">
      <c r="L3043" s="50"/>
    </row>
    <row r="3044" spans="12:12" x14ac:dyDescent="0.25">
      <c r="L3044" s="50"/>
    </row>
    <row r="3045" spans="12:12" x14ac:dyDescent="0.25">
      <c r="L3045" s="50"/>
    </row>
    <row r="3046" spans="12:12" x14ac:dyDescent="0.25">
      <c r="L3046" s="50"/>
    </row>
    <row r="3047" spans="12:12" x14ac:dyDescent="0.25">
      <c r="L3047" s="50"/>
    </row>
    <row r="3048" spans="12:12" x14ac:dyDescent="0.25">
      <c r="L3048" s="50"/>
    </row>
    <row r="3049" spans="12:12" x14ac:dyDescent="0.25">
      <c r="L3049" s="50"/>
    </row>
    <row r="3050" spans="12:12" x14ac:dyDescent="0.25">
      <c r="L3050" s="50"/>
    </row>
    <row r="3051" spans="12:12" x14ac:dyDescent="0.25">
      <c r="L3051" s="50"/>
    </row>
    <row r="3052" spans="12:12" x14ac:dyDescent="0.25">
      <c r="L3052" s="50"/>
    </row>
    <row r="3053" spans="12:12" x14ac:dyDescent="0.25">
      <c r="L3053" s="50"/>
    </row>
    <row r="3054" spans="12:12" x14ac:dyDescent="0.25">
      <c r="L3054" s="50"/>
    </row>
    <row r="3055" spans="12:12" x14ac:dyDescent="0.25">
      <c r="L3055" s="50"/>
    </row>
    <row r="3056" spans="12:12" x14ac:dyDescent="0.25">
      <c r="L3056" s="50"/>
    </row>
    <row r="3057" spans="12:12" x14ac:dyDescent="0.25">
      <c r="L3057" s="50"/>
    </row>
    <row r="3058" spans="12:12" x14ac:dyDescent="0.25">
      <c r="L3058" s="50"/>
    </row>
    <row r="3059" spans="12:12" x14ac:dyDescent="0.25">
      <c r="L3059" s="50"/>
    </row>
    <row r="3060" spans="12:12" x14ac:dyDescent="0.25">
      <c r="L3060" s="50"/>
    </row>
    <row r="3061" spans="12:12" x14ac:dyDescent="0.25">
      <c r="L3061" s="50"/>
    </row>
    <row r="3062" spans="12:12" x14ac:dyDescent="0.25">
      <c r="L3062" s="50"/>
    </row>
    <row r="3063" spans="12:12" x14ac:dyDescent="0.25">
      <c r="L3063" s="50"/>
    </row>
    <row r="3064" spans="12:12" x14ac:dyDescent="0.25">
      <c r="L3064" s="50"/>
    </row>
    <row r="3065" spans="12:12" x14ac:dyDescent="0.25">
      <c r="L3065" s="50"/>
    </row>
    <row r="3066" spans="12:12" x14ac:dyDescent="0.25">
      <c r="L3066" s="50"/>
    </row>
    <row r="3067" spans="12:12" x14ac:dyDescent="0.25">
      <c r="L3067" s="50"/>
    </row>
    <row r="3068" spans="12:12" x14ac:dyDescent="0.25">
      <c r="L3068" s="50"/>
    </row>
    <row r="3069" spans="12:12" x14ac:dyDescent="0.25">
      <c r="L3069" s="50"/>
    </row>
    <row r="3070" spans="12:12" x14ac:dyDescent="0.25">
      <c r="L3070" s="50"/>
    </row>
    <row r="3071" spans="12:12" x14ac:dyDescent="0.25">
      <c r="L3071" s="50"/>
    </row>
    <row r="3072" spans="12:12" x14ac:dyDescent="0.25">
      <c r="L3072" s="50"/>
    </row>
    <row r="3073" spans="12:12" x14ac:dyDescent="0.25">
      <c r="L3073" s="50"/>
    </row>
    <row r="3074" spans="12:12" x14ac:dyDescent="0.25">
      <c r="L3074" s="50"/>
    </row>
    <row r="3075" spans="12:12" x14ac:dyDescent="0.25">
      <c r="L3075" s="50"/>
    </row>
    <row r="3076" spans="12:12" x14ac:dyDescent="0.25">
      <c r="L3076" s="50"/>
    </row>
    <row r="3077" spans="12:12" x14ac:dyDescent="0.25">
      <c r="L3077" s="50"/>
    </row>
    <row r="3078" spans="12:12" x14ac:dyDescent="0.25">
      <c r="L3078" s="50"/>
    </row>
    <row r="3079" spans="12:12" x14ac:dyDescent="0.25">
      <c r="L3079" s="50"/>
    </row>
    <row r="3080" spans="12:12" x14ac:dyDescent="0.25">
      <c r="L3080" s="50"/>
    </row>
    <row r="3081" spans="12:12" x14ac:dyDescent="0.25">
      <c r="L3081" s="50"/>
    </row>
    <row r="3082" spans="12:12" x14ac:dyDescent="0.25">
      <c r="L3082" s="50"/>
    </row>
    <row r="3083" spans="12:12" x14ac:dyDescent="0.25">
      <c r="L3083" s="50"/>
    </row>
    <row r="3084" spans="12:12" x14ac:dyDescent="0.25">
      <c r="L3084" s="50"/>
    </row>
    <row r="3085" spans="12:12" x14ac:dyDescent="0.25">
      <c r="L3085" s="50"/>
    </row>
    <row r="3086" spans="12:12" x14ac:dyDescent="0.25">
      <c r="L3086" s="50"/>
    </row>
    <row r="3087" spans="12:12" x14ac:dyDescent="0.25">
      <c r="L3087" s="50"/>
    </row>
    <row r="3088" spans="12:12" x14ac:dyDescent="0.25">
      <c r="L3088" s="50"/>
    </row>
    <row r="3089" spans="12:12" x14ac:dyDescent="0.25">
      <c r="L3089" s="50"/>
    </row>
    <row r="3090" spans="12:12" x14ac:dyDescent="0.25">
      <c r="L3090" s="50"/>
    </row>
    <row r="3091" spans="12:12" x14ac:dyDescent="0.25">
      <c r="L3091" s="50"/>
    </row>
    <row r="3092" spans="12:12" x14ac:dyDescent="0.25">
      <c r="L3092" s="50"/>
    </row>
    <row r="3093" spans="12:12" x14ac:dyDescent="0.25">
      <c r="L3093" s="50"/>
    </row>
    <row r="3094" spans="12:12" x14ac:dyDescent="0.25">
      <c r="L3094" s="50"/>
    </row>
    <row r="3095" spans="12:12" x14ac:dyDescent="0.25">
      <c r="L3095" s="50"/>
    </row>
    <row r="3096" spans="12:12" x14ac:dyDescent="0.25">
      <c r="L3096" s="50"/>
    </row>
    <row r="3097" spans="12:12" x14ac:dyDescent="0.25">
      <c r="L3097" s="50"/>
    </row>
    <row r="3098" spans="12:12" x14ac:dyDescent="0.25">
      <c r="L3098" s="50"/>
    </row>
    <row r="3099" spans="12:12" x14ac:dyDescent="0.25">
      <c r="L3099" s="50"/>
    </row>
    <row r="3100" spans="12:12" x14ac:dyDescent="0.25">
      <c r="L3100" s="50"/>
    </row>
    <row r="3101" spans="12:12" x14ac:dyDescent="0.25">
      <c r="L3101" s="50"/>
    </row>
    <row r="3102" spans="12:12" x14ac:dyDescent="0.25">
      <c r="L3102" s="50"/>
    </row>
    <row r="3103" spans="12:12" x14ac:dyDescent="0.25">
      <c r="L3103" s="50"/>
    </row>
    <row r="3104" spans="12:12" x14ac:dyDescent="0.25">
      <c r="L3104" s="50"/>
    </row>
    <row r="3105" spans="12:12" x14ac:dyDescent="0.25">
      <c r="L3105" s="50"/>
    </row>
    <row r="3106" spans="12:12" x14ac:dyDescent="0.25">
      <c r="L3106" s="50"/>
    </row>
    <row r="3107" spans="12:12" x14ac:dyDescent="0.25">
      <c r="L3107" s="50"/>
    </row>
    <row r="3108" spans="12:12" x14ac:dyDescent="0.25">
      <c r="L3108" s="50"/>
    </row>
    <row r="3109" spans="12:12" x14ac:dyDescent="0.25">
      <c r="L3109" s="50"/>
    </row>
    <row r="3110" spans="12:12" x14ac:dyDescent="0.25">
      <c r="L3110" s="50"/>
    </row>
    <row r="3111" spans="12:12" x14ac:dyDescent="0.25">
      <c r="L3111" s="50"/>
    </row>
    <row r="3112" spans="12:12" x14ac:dyDescent="0.25">
      <c r="L3112" s="50"/>
    </row>
    <row r="3113" spans="12:12" x14ac:dyDescent="0.25">
      <c r="L3113" s="50"/>
    </row>
    <row r="3114" spans="12:12" x14ac:dyDescent="0.25">
      <c r="L3114" s="50"/>
    </row>
    <row r="3115" spans="12:12" x14ac:dyDescent="0.25">
      <c r="L3115" s="50"/>
    </row>
    <row r="3116" spans="12:12" x14ac:dyDescent="0.25">
      <c r="L3116" s="50"/>
    </row>
    <row r="3117" spans="12:12" x14ac:dyDescent="0.25">
      <c r="L3117" s="50"/>
    </row>
    <row r="3118" spans="12:12" x14ac:dyDescent="0.25">
      <c r="L3118" s="50"/>
    </row>
    <row r="3119" spans="12:12" x14ac:dyDescent="0.25">
      <c r="L3119" s="50"/>
    </row>
    <row r="3120" spans="12:12" x14ac:dyDescent="0.25">
      <c r="L3120" s="50"/>
    </row>
    <row r="3121" spans="12:12" x14ac:dyDescent="0.25">
      <c r="L3121" s="50"/>
    </row>
    <row r="3122" spans="12:12" x14ac:dyDescent="0.25">
      <c r="L3122" s="50"/>
    </row>
    <row r="3123" spans="12:12" x14ac:dyDescent="0.25">
      <c r="L3123" s="50"/>
    </row>
    <row r="3124" spans="12:12" x14ac:dyDescent="0.25">
      <c r="L3124" s="50"/>
    </row>
    <row r="3125" spans="12:12" x14ac:dyDescent="0.25">
      <c r="L3125" s="50"/>
    </row>
    <row r="3126" spans="12:12" x14ac:dyDescent="0.25">
      <c r="L3126" s="50"/>
    </row>
    <row r="3127" spans="12:12" x14ac:dyDescent="0.25">
      <c r="L3127" s="50"/>
    </row>
    <row r="3128" spans="12:12" x14ac:dyDescent="0.25">
      <c r="L3128" s="50"/>
    </row>
    <row r="3129" spans="12:12" x14ac:dyDescent="0.25">
      <c r="L3129" s="50"/>
    </row>
    <row r="3130" spans="12:12" x14ac:dyDescent="0.25">
      <c r="L3130" s="50"/>
    </row>
    <row r="3131" spans="12:12" x14ac:dyDescent="0.25">
      <c r="L3131" s="50"/>
    </row>
    <row r="3132" spans="12:12" x14ac:dyDescent="0.25">
      <c r="L3132" s="50"/>
    </row>
    <row r="3133" spans="12:12" x14ac:dyDescent="0.25">
      <c r="L3133" s="50"/>
    </row>
    <row r="3134" spans="12:12" x14ac:dyDescent="0.25">
      <c r="L3134" s="50"/>
    </row>
    <row r="3135" spans="12:12" x14ac:dyDescent="0.25">
      <c r="L3135" s="50"/>
    </row>
    <row r="3136" spans="12:12" x14ac:dyDescent="0.25">
      <c r="L3136" s="50"/>
    </row>
    <row r="3137" spans="12:12" x14ac:dyDescent="0.25">
      <c r="L3137" s="50"/>
    </row>
    <row r="3138" spans="12:12" x14ac:dyDescent="0.25">
      <c r="L3138" s="50"/>
    </row>
    <row r="3139" spans="12:12" x14ac:dyDescent="0.25">
      <c r="L3139" s="50"/>
    </row>
    <row r="3140" spans="12:12" x14ac:dyDescent="0.25">
      <c r="L3140" s="50"/>
    </row>
    <row r="3141" spans="12:12" x14ac:dyDescent="0.25">
      <c r="L3141" s="50"/>
    </row>
    <row r="3142" spans="12:12" x14ac:dyDescent="0.25">
      <c r="L3142" s="50"/>
    </row>
    <row r="3143" spans="12:12" x14ac:dyDescent="0.25">
      <c r="L3143" s="50"/>
    </row>
    <row r="3144" spans="12:12" x14ac:dyDescent="0.25">
      <c r="L3144" s="50"/>
    </row>
    <row r="3145" spans="12:12" x14ac:dyDescent="0.25">
      <c r="L3145" s="50"/>
    </row>
    <row r="3146" spans="12:12" x14ac:dyDescent="0.25">
      <c r="L3146" s="50"/>
    </row>
    <row r="3147" spans="12:12" x14ac:dyDescent="0.25">
      <c r="L3147" s="50"/>
    </row>
    <row r="3148" spans="12:12" x14ac:dyDescent="0.25">
      <c r="L3148" s="50"/>
    </row>
    <row r="3149" spans="12:12" x14ac:dyDescent="0.25">
      <c r="L3149" s="50"/>
    </row>
    <row r="3150" spans="12:12" x14ac:dyDescent="0.25">
      <c r="L3150" s="50"/>
    </row>
    <row r="3151" spans="12:12" x14ac:dyDescent="0.25">
      <c r="L3151" s="50"/>
    </row>
    <row r="3152" spans="12:12" x14ac:dyDescent="0.25">
      <c r="L3152" s="50"/>
    </row>
    <row r="3153" spans="12:12" x14ac:dyDescent="0.25">
      <c r="L3153" s="50"/>
    </row>
    <row r="3154" spans="12:12" x14ac:dyDescent="0.25">
      <c r="L3154" s="50"/>
    </row>
    <row r="3155" spans="12:12" x14ac:dyDescent="0.25">
      <c r="L3155" s="50"/>
    </row>
    <row r="3156" spans="12:12" x14ac:dyDescent="0.25">
      <c r="L3156" s="50"/>
    </row>
    <row r="3157" spans="12:12" x14ac:dyDescent="0.25">
      <c r="L3157" s="50"/>
    </row>
    <row r="3158" spans="12:12" x14ac:dyDescent="0.25">
      <c r="L3158" s="50"/>
    </row>
    <row r="3159" spans="12:12" x14ac:dyDescent="0.25">
      <c r="L3159" s="50"/>
    </row>
    <row r="3160" spans="12:12" x14ac:dyDescent="0.25">
      <c r="L3160" s="50"/>
    </row>
    <row r="3161" spans="12:12" x14ac:dyDescent="0.25">
      <c r="L3161" s="50"/>
    </row>
    <row r="3162" spans="12:12" x14ac:dyDescent="0.25">
      <c r="L3162" s="50"/>
    </row>
    <row r="3163" spans="12:12" x14ac:dyDescent="0.25">
      <c r="L3163" s="50"/>
    </row>
    <row r="3164" spans="12:12" x14ac:dyDescent="0.25">
      <c r="L3164" s="50"/>
    </row>
    <row r="3165" spans="12:12" x14ac:dyDescent="0.25">
      <c r="L3165" s="50"/>
    </row>
    <row r="3166" spans="12:12" x14ac:dyDescent="0.25">
      <c r="L3166" s="50"/>
    </row>
    <row r="3167" spans="12:12" x14ac:dyDescent="0.25">
      <c r="L3167" s="50"/>
    </row>
    <row r="3168" spans="12:12" x14ac:dyDescent="0.25">
      <c r="L3168" s="50"/>
    </row>
    <row r="3169" spans="12:12" x14ac:dyDescent="0.25">
      <c r="L3169" s="50"/>
    </row>
    <row r="3170" spans="12:12" x14ac:dyDescent="0.25">
      <c r="L3170" s="50"/>
    </row>
    <row r="3171" spans="12:12" x14ac:dyDescent="0.25">
      <c r="L3171" s="50"/>
    </row>
    <row r="3172" spans="12:12" x14ac:dyDescent="0.25">
      <c r="L3172" s="50"/>
    </row>
    <row r="3173" spans="12:12" x14ac:dyDescent="0.25">
      <c r="L3173" s="50"/>
    </row>
    <row r="3174" spans="12:12" x14ac:dyDescent="0.25">
      <c r="L3174" s="50"/>
    </row>
    <row r="3175" spans="12:12" x14ac:dyDescent="0.25">
      <c r="L3175" s="50"/>
    </row>
    <row r="3176" spans="12:12" x14ac:dyDescent="0.25">
      <c r="L3176" s="50"/>
    </row>
    <row r="3177" spans="12:12" x14ac:dyDescent="0.25">
      <c r="L3177" s="50"/>
    </row>
    <row r="3178" spans="12:12" x14ac:dyDescent="0.25">
      <c r="L3178" s="50"/>
    </row>
    <row r="3179" spans="12:12" x14ac:dyDescent="0.25">
      <c r="L3179" s="50"/>
    </row>
    <row r="3180" spans="12:12" x14ac:dyDescent="0.25">
      <c r="L3180" s="50"/>
    </row>
    <row r="3181" spans="12:12" x14ac:dyDescent="0.25">
      <c r="L3181" s="50"/>
    </row>
    <row r="3182" spans="12:12" x14ac:dyDescent="0.25">
      <c r="L3182" s="50"/>
    </row>
    <row r="3183" spans="12:12" x14ac:dyDescent="0.25">
      <c r="L3183" s="50"/>
    </row>
    <row r="3184" spans="12:12" x14ac:dyDescent="0.25">
      <c r="L3184" s="50"/>
    </row>
    <row r="3185" spans="12:12" x14ac:dyDescent="0.25">
      <c r="L3185" s="50"/>
    </row>
    <row r="3186" spans="12:12" x14ac:dyDescent="0.25">
      <c r="L3186" s="50"/>
    </row>
    <row r="3187" spans="12:12" x14ac:dyDescent="0.25">
      <c r="L3187" s="50"/>
    </row>
    <row r="3188" spans="12:12" x14ac:dyDescent="0.25">
      <c r="L3188" s="50"/>
    </row>
    <row r="3189" spans="12:12" x14ac:dyDescent="0.25">
      <c r="L3189" s="50"/>
    </row>
    <row r="3190" spans="12:12" x14ac:dyDescent="0.25">
      <c r="L3190" s="50"/>
    </row>
    <row r="3191" spans="12:12" x14ac:dyDescent="0.25">
      <c r="L3191" s="50"/>
    </row>
    <row r="3192" spans="12:12" x14ac:dyDescent="0.25">
      <c r="L3192" s="50"/>
    </row>
    <row r="3193" spans="12:12" x14ac:dyDescent="0.25">
      <c r="L3193" s="50"/>
    </row>
    <row r="3194" spans="12:12" x14ac:dyDescent="0.25">
      <c r="L3194" s="50"/>
    </row>
    <row r="3195" spans="12:12" x14ac:dyDescent="0.25">
      <c r="L3195" s="50"/>
    </row>
    <row r="3196" spans="12:12" x14ac:dyDescent="0.25">
      <c r="L3196" s="50"/>
    </row>
    <row r="3197" spans="12:12" x14ac:dyDescent="0.25">
      <c r="L3197" s="50"/>
    </row>
    <row r="3198" spans="12:12" x14ac:dyDescent="0.25">
      <c r="L3198" s="50"/>
    </row>
    <row r="3199" spans="12:12" x14ac:dyDescent="0.25">
      <c r="L3199" s="50"/>
    </row>
    <row r="3200" spans="12:12" x14ac:dyDescent="0.25">
      <c r="L3200" s="50"/>
    </row>
    <row r="3201" spans="12:12" x14ac:dyDescent="0.25">
      <c r="L3201" s="50"/>
    </row>
    <row r="3202" spans="12:12" x14ac:dyDescent="0.25">
      <c r="L3202" s="50"/>
    </row>
    <row r="3203" spans="12:12" x14ac:dyDescent="0.25">
      <c r="L3203" s="50"/>
    </row>
    <row r="3204" spans="12:12" x14ac:dyDescent="0.25">
      <c r="L3204" s="50"/>
    </row>
    <row r="3205" spans="12:12" x14ac:dyDescent="0.25">
      <c r="L3205" s="50"/>
    </row>
    <row r="3206" spans="12:12" x14ac:dyDescent="0.25">
      <c r="L3206" s="50"/>
    </row>
    <row r="3207" spans="12:12" x14ac:dyDescent="0.25">
      <c r="L3207" s="50"/>
    </row>
    <row r="3208" spans="12:12" x14ac:dyDescent="0.25">
      <c r="L3208" s="50"/>
    </row>
    <row r="3209" spans="12:12" x14ac:dyDescent="0.25">
      <c r="L3209" s="50"/>
    </row>
    <row r="3210" spans="12:12" x14ac:dyDescent="0.25">
      <c r="L3210" s="50"/>
    </row>
    <row r="3211" spans="12:12" x14ac:dyDescent="0.25">
      <c r="L3211" s="50"/>
    </row>
    <row r="3212" spans="12:12" x14ac:dyDescent="0.25">
      <c r="L3212" s="50"/>
    </row>
    <row r="3213" spans="12:12" x14ac:dyDescent="0.25">
      <c r="L3213" s="50"/>
    </row>
    <row r="3214" spans="12:12" x14ac:dyDescent="0.25">
      <c r="L3214" s="50"/>
    </row>
    <row r="3215" spans="12:12" x14ac:dyDescent="0.25">
      <c r="L3215" s="50"/>
    </row>
    <row r="3216" spans="12:12" x14ac:dyDescent="0.25">
      <c r="L3216" s="50"/>
    </row>
    <row r="3217" spans="12:12" x14ac:dyDescent="0.25">
      <c r="L3217" s="50"/>
    </row>
    <row r="3218" spans="12:12" x14ac:dyDescent="0.25">
      <c r="L3218" s="50"/>
    </row>
    <row r="3219" spans="12:12" x14ac:dyDescent="0.25">
      <c r="L3219" s="50"/>
    </row>
    <row r="3220" spans="12:12" x14ac:dyDescent="0.25">
      <c r="L3220" s="50"/>
    </row>
    <row r="3221" spans="12:12" x14ac:dyDescent="0.25">
      <c r="L3221" s="50"/>
    </row>
    <row r="3222" spans="12:12" x14ac:dyDescent="0.25">
      <c r="L3222" s="50"/>
    </row>
    <row r="3223" spans="12:12" x14ac:dyDescent="0.25">
      <c r="L3223" s="50"/>
    </row>
    <row r="3224" spans="12:12" x14ac:dyDescent="0.25">
      <c r="L3224" s="50"/>
    </row>
    <row r="3225" spans="12:12" x14ac:dyDescent="0.25">
      <c r="L3225" s="50"/>
    </row>
    <row r="3226" spans="12:12" x14ac:dyDescent="0.25">
      <c r="L3226" s="50"/>
    </row>
    <row r="3227" spans="12:12" x14ac:dyDescent="0.25">
      <c r="L3227" s="50"/>
    </row>
    <row r="3228" spans="12:12" x14ac:dyDescent="0.25">
      <c r="L3228" s="50"/>
    </row>
    <row r="3229" spans="12:12" x14ac:dyDescent="0.25">
      <c r="L3229" s="50"/>
    </row>
    <row r="3230" spans="12:12" x14ac:dyDescent="0.25">
      <c r="L3230" s="50"/>
    </row>
    <row r="3231" spans="12:12" x14ac:dyDescent="0.25">
      <c r="L3231" s="50"/>
    </row>
    <row r="3232" spans="12:12" x14ac:dyDescent="0.25">
      <c r="L3232" s="50"/>
    </row>
    <row r="3233" spans="12:12" x14ac:dyDescent="0.25">
      <c r="L3233" s="50"/>
    </row>
    <row r="3234" spans="12:12" x14ac:dyDescent="0.25">
      <c r="L3234" s="50"/>
    </row>
    <row r="3235" spans="12:12" x14ac:dyDescent="0.25">
      <c r="L3235" s="50"/>
    </row>
    <row r="3236" spans="12:12" x14ac:dyDescent="0.25">
      <c r="L3236" s="50"/>
    </row>
    <row r="3237" spans="12:12" x14ac:dyDescent="0.25">
      <c r="L3237" s="50"/>
    </row>
    <row r="3238" spans="12:12" x14ac:dyDescent="0.25">
      <c r="L3238" s="50"/>
    </row>
    <row r="3239" spans="12:12" x14ac:dyDescent="0.25">
      <c r="L3239" s="50"/>
    </row>
    <row r="3240" spans="12:12" x14ac:dyDescent="0.25">
      <c r="L3240" s="50"/>
    </row>
    <row r="3241" spans="12:12" x14ac:dyDescent="0.25">
      <c r="L3241" s="50"/>
    </row>
    <row r="3242" spans="12:12" x14ac:dyDescent="0.25">
      <c r="L3242" s="50"/>
    </row>
    <row r="3243" spans="12:12" x14ac:dyDescent="0.25">
      <c r="L3243" s="50"/>
    </row>
    <row r="3244" spans="12:12" x14ac:dyDescent="0.25">
      <c r="L3244" s="50"/>
    </row>
    <row r="3245" spans="12:12" x14ac:dyDescent="0.25">
      <c r="L3245" s="50"/>
    </row>
    <row r="3246" spans="12:12" x14ac:dyDescent="0.25">
      <c r="L3246" s="50"/>
    </row>
    <row r="3247" spans="12:12" x14ac:dyDescent="0.25">
      <c r="L3247" s="50"/>
    </row>
    <row r="3248" spans="12:12" x14ac:dyDescent="0.25">
      <c r="L3248" s="50"/>
    </row>
    <row r="3249" spans="12:12" x14ac:dyDescent="0.25">
      <c r="L3249" s="50"/>
    </row>
    <row r="3250" spans="12:12" x14ac:dyDescent="0.25">
      <c r="L3250" s="50"/>
    </row>
    <row r="3251" spans="12:12" x14ac:dyDescent="0.25">
      <c r="L3251" s="50"/>
    </row>
    <row r="3252" spans="12:12" x14ac:dyDescent="0.25">
      <c r="L3252" s="50"/>
    </row>
    <row r="3253" spans="12:12" x14ac:dyDescent="0.25">
      <c r="L3253" s="50"/>
    </row>
    <row r="3254" spans="12:12" x14ac:dyDescent="0.25">
      <c r="L3254" s="50"/>
    </row>
    <row r="3255" spans="12:12" x14ac:dyDescent="0.25">
      <c r="L3255" s="50"/>
    </row>
    <row r="3256" spans="12:12" x14ac:dyDescent="0.25">
      <c r="L3256" s="50"/>
    </row>
    <row r="3257" spans="12:12" x14ac:dyDescent="0.25">
      <c r="L3257" s="50"/>
    </row>
    <row r="3258" spans="12:12" x14ac:dyDescent="0.25">
      <c r="L3258" s="50"/>
    </row>
    <row r="3259" spans="12:12" x14ac:dyDescent="0.25">
      <c r="L3259" s="50"/>
    </row>
    <row r="3260" spans="12:12" x14ac:dyDescent="0.25">
      <c r="L3260" s="50"/>
    </row>
    <row r="3261" spans="12:12" x14ac:dyDescent="0.25">
      <c r="L3261" s="50"/>
    </row>
    <row r="3262" spans="12:12" x14ac:dyDescent="0.25">
      <c r="L3262" s="50"/>
    </row>
    <row r="3263" spans="12:12" x14ac:dyDescent="0.25">
      <c r="L3263" s="50"/>
    </row>
    <row r="3264" spans="12:12" x14ac:dyDescent="0.25">
      <c r="L3264" s="50"/>
    </row>
    <row r="3265" spans="12:12" x14ac:dyDescent="0.25">
      <c r="L3265" s="50"/>
    </row>
    <row r="3266" spans="12:12" x14ac:dyDescent="0.25">
      <c r="L3266" s="50"/>
    </row>
    <row r="3267" spans="12:12" x14ac:dyDescent="0.25">
      <c r="L3267" s="50"/>
    </row>
    <row r="3268" spans="12:12" x14ac:dyDescent="0.25">
      <c r="L3268" s="50"/>
    </row>
    <row r="3269" spans="12:12" x14ac:dyDescent="0.25">
      <c r="L3269" s="50"/>
    </row>
    <row r="3270" spans="12:12" x14ac:dyDescent="0.25">
      <c r="L3270" s="50"/>
    </row>
    <row r="3271" spans="12:12" x14ac:dyDescent="0.25">
      <c r="L3271" s="50"/>
    </row>
    <row r="3272" spans="12:12" x14ac:dyDescent="0.25">
      <c r="L3272" s="50"/>
    </row>
    <row r="3273" spans="12:12" x14ac:dyDescent="0.25">
      <c r="L3273" s="50"/>
    </row>
    <row r="3274" spans="12:12" x14ac:dyDescent="0.25">
      <c r="L3274" s="50"/>
    </row>
    <row r="3275" spans="12:12" x14ac:dyDescent="0.25">
      <c r="L3275" s="50"/>
    </row>
    <row r="3276" spans="12:12" x14ac:dyDescent="0.25">
      <c r="L3276" s="50"/>
    </row>
    <row r="3277" spans="12:12" x14ac:dyDescent="0.25">
      <c r="L3277" s="50"/>
    </row>
    <row r="3278" spans="12:12" x14ac:dyDescent="0.25">
      <c r="L3278" s="50"/>
    </row>
    <row r="3279" spans="12:12" x14ac:dyDescent="0.25">
      <c r="L3279" s="50"/>
    </row>
    <row r="3280" spans="12:12" x14ac:dyDescent="0.25">
      <c r="L3280" s="50"/>
    </row>
    <row r="3281" spans="12:12" x14ac:dyDescent="0.25">
      <c r="L3281" s="50"/>
    </row>
    <row r="3282" spans="12:12" x14ac:dyDescent="0.25">
      <c r="L3282" s="50"/>
    </row>
    <row r="3283" spans="12:12" x14ac:dyDescent="0.25">
      <c r="L3283" s="50"/>
    </row>
    <row r="3284" spans="12:12" x14ac:dyDescent="0.25">
      <c r="L3284" s="50"/>
    </row>
    <row r="3285" spans="12:12" x14ac:dyDescent="0.25">
      <c r="L3285" s="50"/>
    </row>
    <row r="3286" spans="12:12" x14ac:dyDescent="0.25">
      <c r="L3286" s="50"/>
    </row>
    <row r="3287" spans="12:12" x14ac:dyDescent="0.25">
      <c r="L3287" s="50"/>
    </row>
    <row r="3288" spans="12:12" x14ac:dyDescent="0.25">
      <c r="L3288" s="50"/>
    </row>
    <row r="3289" spans="12:12" x14ac:dyDescent="0.25">
      <c r="L3289" s="50"/>
    </row>
    <row r="3290" spans="12:12" x14ac:dyDescent="0.25">
      <c r="L3290" s="50"/>
    </row>
    <row r="3291" spans="12:12" x14ac:dyDescent="0.25">
      <c r="L3291" s="50"/>
    </row>
    <row r="3292" spans="12:12" x14ac:dyDescent="0.25">
      <c r="L3292" s="50"/>
    </row>
    <row r="3293" spans="12:12" x14ac:dyDescent="0.25">
      <c r="L3293" s="50"/>
    </row>
    <row r="3294" spans="12:12" x14ac:dyDescent="0.25">
      <c r="L3294" s="50"/>
    </row>
    <row r="3295" spans="12:12" x14ac:dyDescent="0.25">
      <c r="L3295" s="50"/>
    </row>
    <row r="3296" spans="12:12" x14ac:dyDescent="0.25">
      <c r="L3296" s="50"/>
    </row>
    <row r="3297" spans="12:12" x14ac:dyDescent="0.25">
      <c r="L3297" s="50"/>
    </row>
    <row r="3298" spans="12:12" x14ac:dyDescent="0.25">
      <c r="L3298" s="50"/>
    </row>
    <row r="3299" spans="12:12" x14ac:dyDescent="0.25">
      <c r="L3299" s="50"/>
    </row>
    <row r="3300" spans="12:12" x14ac:dyDescent="0.25">
      <c r="L3300" s="50"/>
    </row>
    <row r="3301" spans="12:12" x14ac:dyDescent="0.25">
      <c r="L3301" s="50"/>
    </row>
    <row r="3302" spans="12:12" x14ac:dyDescent="0.25">
      <c r="L3302" s="50"/>
    </row>
    <row r="3303" spans="12:12" x14ac:dyDescent="0.25">
      <c r="L3303" s="50"/>
    </row>
    <row r="3304" spans="12:12" x14ac:dyDescent="0.25">
      <c r="L3304" s="50"/>
    </row>
    <row r="3305" spans="12:12" x14ac:dyDescent="0.25">
      <c r="L3305" s="50"/>
    </row>
    <row r="3306" spans="12:12" x14ac:dyDescent="0.25">
      <c r="L3306" s="50"/>
    </row>
    <row r="3307" spans="12:12" x14ac:dyDescent="0.25">
      <c r="L3307" s="50"/>
    </row>
    <row r="3308" spans="12:12" x14ac:dyDescent="0.25">
      <c r="L3308" s="50"/>
    </row>
    <row r="3309" spans="12:12" x14ac:dyDescent="0.25">
      <c r="L3309" s="50"/>
    </row>
    <row r="3310" spans="12:12" x14ac:dyDescent="0.25">
      <c r="L3310" s="50"/>
    </row>
    <row r="3311" spans="12:12" x14ac:dyDescent="0.25">
      <c r="L3311" s="50"/>
    </row>
    <row r="3312" spans="12:12" x14ac:dyDescent="0.25">
      <c r="L3312" s="50"/>
    </row>
    <row r="3313" spans="12:12" x14ac:dyDescent="0.25">
      <c r="L3313" s="50"/>
    </row>
    <row r="3314" spans="12:12" x14ac:dyDescent="0.25">
      <c r="L3314" s="50"/>
    </row>
    <row r="3315" spans="12:12" x14ac:dyDescent="0.25">
      <c r="L3315" s="50"/>
    </row>
    <row r="3316" spans="12:12" x14ac:dyDescent="0.25">
      <c r="L3316" s="50"/>
    </row>
    <row r="3317" spans="12:12" x14ac:dyDescent="0.25">
      <c r="L3317" s="50"/>
    </row>
    <row r="3318" spans="12:12" x14ac:dyDescent="0.25">
      <c r="L3318" s="50"/>
    </row>
    <row r="3319" spans="12:12" x14ac:dyDescent="0.25">
      <c r="L3319" s="50"/>
    </row>
    <row r="3320" spans="12:12" x14ac:dyDescent="0.25">
      <c r="L3320" s="50"/>
    </row>
    <row r="3321" spans="12:12" x14ac:dyDescent="0.25">
      <c r="L3321" s="50"/>
    </row>
    <row r="3322" spans="12:12" x14ac:dyDescent="0.25">
      <c r="L3322" s="50"/>
    </row>
    <row r="3323" spans="12:12" x14ac:dyDescent="0.25">
      <c r="L3323" s="50"/>
    </row>
    <row r="3324" spans="12:12" x14ac:dyDescent="0.25">
      <c r="L3324" s="50"/>
    </row>
    <row r="3325" spans="12:12" x14ac:dyDescent="0.25">
      <c r="L3325" s="50"/>
    </row>
    <row r="3326" spans="12:12" x14ac:dyDescent="0.25">
      <c r="L3326" s="50"/>
    </row>
    <row r="3327" spans="12:12" x14ac:dyDescent="0.25">
      <c r="L3327" s="50"/>
    </row>
    <row r="3328" spans="12:12" x14ac:dyDescent="0.25">
      <c r="L3328" s="50"/>
    </row>
    <row r="3329" spans="12:12" x14ac:dyDescent="0.25">
      <c r="L3329" s="50"/>
    </row>
    <row r="3330" spans="12:12" x14ac:dyDescent="0.25">
      <c r="L3330" s="50"/>
    </row>
    <row r="3331" spans="12:12" x14ac:dyDescent="0.25">
      <c r="L3331" s="50"/>
    </row>
    <row r="3332" spans="12:12" x14ac:dyDescent="0.25">
      <c r="L3332" s="50"/>
    </row>
    <row r="3333" spans="12:12" x14ac:dyDescent="0.25">
      <c r="L3333" s="50"/>
    </row>
    <row r="3334" spans="12:12" x14ac:dyDescent="0.25">
      <c r="L3334" s="50"/>
    </row>
    <row r="3335" spans="12:12" x14ac:dyDescent="0.25">
      <c r="L3335" s="50"/>
    </row>
    <row r="3336" spans="12:12" x14ac:dyDescent="0.25">
      <c r="L3336" s="50"/>
    </row>
    <row r="3337" spans="12:12" x14ac:dyDescent="0.25">
      <c r="L3337" s="50"/>
    </row>
    <row r="3338" spans="12:12" x14ac:dyDescent="0.25">
      <c r="L3338" s="50"/>
    </row>
    <row r="3339" spans="12:12" x14ac:dyDescent="0.25">
      <c r="L3339" s="50"/>
    </row>
    <row r="3340" spans="12:12" x14ac:dyDescent="0.25">
      <c r="L3340" s="50"/>
    </row>
    <row r="3341" spans="12:12" x14ac:dyDescent="0.25">
      <c r="L3341" s="50"/>
    </row>
    <row r="3342" spans="12:12" x14ac:dyDescent="0.25">
      <c r="L3342" s="50"/>
    </row>
    <row r="3343" spans="12:12" x14ac:dyDescent="0.25">
      <c r="L3343" s="50"/>
    </row>
    <row r="3344" spans="12:12" x14ac:dyDescent="0.25">
      <c r="L3344" s="50"/>
    </row>
    <row r="3345" spans="12:12" x14ac:dyDescent="0.25">
      <c r="L3345" s="50"/>
    </row>
    <row r="3346" spans="12:12" x14ac:dyDescent="0.25">
      <c r="L3346" s="50"/>
    </row>
    <row r="3347" spans="12:12" x14ac:dyDescent="0.25">
      <c r="L3347" s="50"/>
    </row>
    <row r="3348" spans="12:12" x14ac:dyDescent="0.25">
      <c r="L3348" s="50"/>
    </row>
    <row r="3349" spans="12:12" x14ac:dyDescent="0.25">
      <c r="L3349" s="50"/>
    </row>
    <row r="3350" spans="12:12" x14ac:dyDescent="0.25">
      <c r="L3350" s="50"/>
    </row>
    <row r="3351" spans="12:12" x14ac:dyDescent="0.25">
      <c r="L3351" s="50"/>
    </row>
    <row r="3352" spans="12:12" x14ac:dyDescent="0.25">
      <c r="L3352" s="50"/>
    </row>
    <row r="3353" spans="12:12" x14ac:dyDescent="0.25">
      <c r="L3353" s="50"/>
    </row>
    <row r="3354" spans="12:12" x14ac:dyDescent="0.25">
      <c r="L3354" s="50"/>
    </row>
    <row r="3355" spans="12:12" x14ac:dyDescent="0.25">
      <c r="L3355" s="50"/>
    </row>
    <row r="3356" spans="12:12" x14ac:dyDescent="0.25">
      <c r="L3356" s="50"/>
    </row>
    <row r="3357" spans="12:12" x14ac:dyDescent="0.25">
      <c r="L3357" s="50"/>
    </row>
    <row r="3358" spans="12:12" x14ac:dyDescent="0.25">
      <c r="L3358" s="50"/>
    </row>
    <row r="3359" spans="12:12" x14ac:dyDescent="0.25">
      <c r="L3359" s="50"/>
    </row>
    <row r="3360" spans="12:12" x14ac:dyDescent="0.25">
      <c r="L3360" s="50"/>
    </row>
    <row r="3361" spans="12:12" x14ac:dyDescent="0.25">
      <c r="L3361" s="50"/>
    </row>
    <row r="3362" spans="12:12" x14ac:dyDescent="0.25">
      <c r="L3362" s="50"/>
    </row>
    <row r="3363" spans="12:12" x14ac:dyDescent="0.25">
      <c r="L3363" s="50"/>
    </row>
    <row r="3364" spans="12:12" x14ac:dyDescent="0.25">
      <c r="L3364" s="50"/>
    </row>
    <row r="3365" spans="12:12" x14ac:dyDescent="0.25">
      <c r="L3365" s="50"/>
    </row>
    <row r="3366" spans="12:12" x14ac:dyDescent="0.25">
      <c r="L3366" s="50"/>
    </row>
    <row r="3367" spans="12:12" x14ac:dyDescent="0.25">
      <c r="L3367" s="50"/>
    </row>
    <row r="3368" spans="12:12" x14ac:dyDescent="0.25">
      <c r="L3368" s="50"/>
    </row>
    <row r="3369" spans="12:12" x14ac:dyDescent="0.25">
      <c r="L3369" s="50"/>
    </row>
    <row r="3370" spans="12:12" x14ac:dyDescent="0.25">
      <c r="L3370" s="50"/>
    </row>
    <row r="3371" spans="12:12" x14ac:dyDescent="0.25">
      <c r="L3371" s="50"/>
    </row>
    <row r="3372" spans="12:12" x14ac:dyDescent="0.25">
      <c r="L3372" s="50"/>
    </row>
    <row r="3373" spans="12:12" x14ac:dyDescent="0.25">
      <c r="L3373" s="50"/>
    </row>
    <row r="3374" spans="12:12" x14ac:dyDescent="0.25">
      <c r="L3374" s="50"/>
    </row>
    <row r="3375" spans="12:12" x14ac:dyDescent="0.25">
      <c r="L3375" s="50"/>
    </row>
    <row r="3376" spans="12:12" x14ac:dyDescent="0.25">
      <c r="L3376" s="50"/>
    </row>
    <row r="3377" spans="12:12" x14ac:dyDescent="0.25">
      <c r="L3377" s="50"/>
    </row>
    <row r="3378" spans="12:12" x14ac:dyDescent="0.25">
      <c r="L3378" s="50"/>
    </row>
    <row r="3379" spans="12:12" x14ac:dyDescent="0.25">
      <c r="L3379" s="50"/>
    </row>
    <row r="3380" spans="12:12" x14ac:dyDescent="0.25">
      <c r="L3380" s="50"/>
    </row>
    <row r="3381" spans="12:12" x14ac:dyDescent="0.25">
      <c r="L3381" s="50"/>
    </row>
    <row r="3382" spans="12:12" x14ac:dyDescent="0.25">
      <c r="L3382" s="50"/>
    </row>
    <row r="3383" spans="12:12" x14ac:dyDescent="0.25">
      <c r="L3383" s="50"/>
    </row>
    <row r="3384" spans="12:12" x14ac:dyDescent="0.25">
      <c r="L3384" s="50"/>
    </row>
    <row r="3385" spans="12:12" x14ac:dyDescent="0.25">
      <c r="L3385" s="50"/>
    </row>
    <row r="3386" spans="12:12" x14ac:dyDescent="0.25">
      <c r="L3386" s="50"/>
    </row>
    <row r="3387" spans="12:12" x14ac:dyDescent="0.25">
      <c r="L3387" s="50"/>
    </row>
    <row r="3388" spans="12:12" x14ac:dyDescent="0.25">
      <c r="L3388" s="50"/>
    </row>
    <row r="3389" spans="12:12" x14ac:dyDescent="0.25">
      <c r="L3389" s="50"/>
    </row>
    <row r="3390" spans="12:12" x14ac:dyDescent="0.25">
      <c r="L3390" s="50"/>
    </row>
    <row r="3391" spans="12:12" x14ac:dyDescent="0.25">
      <c r="L3391" s="50"/>
    </row>
    <row r="3392" spans="12:12" x14ac:dyDescent="0.25">
      <c r="L3392" s="50"/>
    </row>
    <row r="3393" spans="12:12" x14ac:dyDescent="0.25">
      <c r="L3393" s="50"/>
    </row>
    <row r="3394" spans="12:12" x14ac:dyDescent="0.25">
      <c r="L3394" s="50"/>
    </row>
    <row r="3395" spans="12:12" x14ac:dyDescent="0.25">
      <c r="L3395" s="50"/>
    </row>
    <row r="3396" spans="12:12" x14ac:dyDescent="0.25">
      <c r="L3396" s="50"/>
    </row>
    <row r="3397" spans="12:12" x14ac:dyDescent="0.25">
      <c r="L3397" s="50"/>
    </row>
    <row r="3398" spans="12:12" x14ac:dyDescent="0.25">
      <c r="L3398" s="50"/>
    </row>
    <row r="3399" spans="12:12" x14ac:dyDescent="0.25">
      <c r="L3399" s="50"/>
    </row>
    <row r="3400" spans="12:12" x14ac:dyDescent="0.25">
      <c r="L3400" s="50"/>
    </row>
    <row r="3401" spans="12:12" x14ac:dyDescent="0.25">
      <c r="L3401" s="50"/>
    </row>
    <row r="3402" spans="12:12" x14ac:dyDescent="0.25">
      <c r="L3402" s="50"/>
    </row>
    <row r="3403" spans="12:12" x14ac:dyDescent="0.25">
      <c r="L3403" s="50"/>
    </row>
    <row r="3404" spans="12:12" x14ac:dyDescent="0.25">
      <c r="L3404" s="50"/>
    </row>
    <row r="3405" spans="12:12" x14ac:dyDescent="0.25">
      <c r="L3405" s="50"/>
    </row>
    <row r="3406" spans="12:12" x14ac:dyDescent="0.25">
      <c r="L3406" s="50"/>
    </row>
    <row r="3407" spans="12:12" x14ac:dyDescent="0.25">
      <c r="L3407" s="50"/>
    </row>
    <row r="3408" spans="12:12" x14ac:dyDescent="0.25">
      <c r="L3408" s="50"/>
    </row>
    <row r="3409" spans="12:12" x14ac:dyDescent="0.25">
      <c r="L3409" s="50"/>
    </row>
    <row r="3410" spans="12:12" x14ac:dyDescent="0.25">
      <c r="L3410" s="50"/>
    </row>
    <row r="3411" spans="12:12" x14ac:dyDescent="0.25">
      <c r="L3411" s="50"/>
    </row>
    <row r="3412" spans="12:12" x14ac:dyDescent="0.25">
      <c r="L3412" s="50"/>
    </row>
    <row r="3413" spans="12:12" x14ac:dyDescent="0.25">
      <c r="L3413" s="50"/>
    </row>
    <row r="3414" spans="12:12" x14ac:dyDescent="0.25">
      <c r="L3414" s="50"/>
    </row>
    <row r="3415" spans="12:12" x14ac:dyDescent="0.25">
      <c r="L3415" s="50"/>
    </row>
    <row r="3416" spans="12:12" x14ac:dyDescent="0.25">
      <c r="L3416" s="50"/>
    </row>
    <row r="3417" spans="12:12" x14ac:dyDescent="0.25">
      <c r="L3417" s="50"/>
    </row>
    <row r="3418" spans="12:12" x14ac:dyDescent="0.25">
      <c r="L3418" s="50"/>
    </row>
    <row r="3419" spans="12:12" x14ac:dyDescent="0.25">
      <c r="L3419" s="50"/>
    </row>
    <row r="3420" spans="12:12" x14ac:dyDescent="0.25">
      <c r="L3420" s="50"/>
    </row>
    <row r="3421" spans="12:12" x14ac:dyDescent="0.25">
      <c r="L3421" s="50"/>
    </row>
    <row r="3422" spans="12:12" x14ac:dyDescent="0.25">
      <c r="L3422" s="50"/>
    </row>
    <row r="3423" spans="12:12" x14ac:dyDescent="0.25">
      <c r="L3423" s="50"/>
    </row>
    <row r="3424" spans="12:12" x14ac:dyDescent="0.25">
      <c r="L3424" s="50"/>
    </row>
    <row r="3425" spans="12:12" x14ac:dyDescent="0.25">
      <c r="L3425" s="50"/>
    </row>
    <row r="3426" spans="12:12" x14ac:dyDescent="0.25">
      <c r="L3426" s="50"/>
    </row>
    <row r="3427" spans="12:12" x14ac:dyDescent="0.25">
      <c r="L3427" s="50"/>
    </row>
    <row r="3428" spans="12:12" x14ac:dyDescent="0.25">
      <c r="L3428" s="50"/>
    </row>
    <row r="3429" spans="12:12" x14ac:dyDescent="0.25">
      <c r="L3429" s="50"/>
    </row>
    <row r="3430" spans="12:12" x14ac:dyDescent="0.25">
      <c r="L3430" s="50"/>
    </row>
    <row r="3431" spans="12:12" x14ac:dyDescent="0.25">
      <c r="L3431" s="50"/>
    </row>
    <row r="3432" spans="12:12" x14ac:dyDescent="0.25">
      <c r="L3432" s="50"/>
    </row>
    <row r="3433" spans="12:12" x14ac:dyDescent="0.25">
      <c r="L3433" s="50"/>
    </row>
    <row r="3434" spans="12:12" x14ac:dyDescent="0.25">
      <c r="L3434" s="50"/>
    </row>
    <row r="3435" spans="12:12" x14ac:dyDescent="0.25">
      <c r="L3435" s="50"/>
    </row>
    <row r="3436" spans="12:12" x14ac:dyDescent="0.25">
      <c r="L3436" s="50"/>
    </row>
    <row r="3437" spans="12:12" x14ac:dyDescent="0.25">
      <c r="L3437" s="50"/>
    </row>
    <row r="3438" spans="12:12" x14ac:dyDescent="0.25">
      <c r="L3438" s="50"/>
    </row>
    <row r="3439" spans="12:12" x14ac:dyDescent="0.25">
      <c r="L3439" s="50"/>
    </row>
    <row r="3440" spans="12:12" x14ac:dyDescent="0.25">
      <c r="L3440" s="50"/>
    </row>
    <row r="3441" spans="12:12" x14ac:dyDescent="0.25">
      <c r="L3441" s="50"/>
    </row>
    <row r="3442" spans="12:12" x14ac:dyDescent="0.25">
      <c r="L3442" s="50"/>
    </row>
    <row r="3443" spans="12:12" x14ac:dyDescent="0.25">
      <c r="L3443" s="50"/>
    </row>
    <row r="3444" spans="12:12" x14ac:dyDescent="0.25">
      <c r="L3444" s="50"/>
    </row>
    <row r="3445" spans="12:12" x14ac:dyDescent="0.25">
      <c r="L3445" s="50"/>
    </row>
    <row r="3446" spans="12:12" x14ac:dyDescent="0.25">
      <c r="L3446" s="50"/>
    </row>
    <row r="3447" spans="12:12" x14ac:dyDescent="0.25">
      <c r="L3447" s="50"/>
    </row>
    <row r="3448" spans="12:12" x14ac:dyDescent="0.25">
      <c r="L3448" s="50"/>
    </row>
    <row r="3449" spans="12:12" x14ac:dyDescent="0.25">
      <c r="L3449" s="50"/>
    </row>
    <row r="3450" spans="12:12" x14ac:dyDescent="0.25">
      <c r="L3450" s="50"/>
    </row>
    <row r="3451" spans="12:12" x14ac:dyDescent="0.25">
      <c r="L3451" s="50"/>
    </row>
    <row r="3452" spans="12:12" x14ac:dyDescent="0.25">
      <c r="L3452" s="50"/>
    </row>
    <row r="3453" spans="12:12" x14ac:dyDescent="0.25">
      <c r="L3453" s="50"/>
    </row>
    <row r="3454" spans="12:12" x14ac:dyDescent="0.25">
      <c r="L3454" s="50"/>
    </row>
    <row r="3455" spans="12:12" x14ac:dyDescent="0.25">
      <c r="L3455" s="50"/>
    </row>
    <row r="3456" spans="12:12" x14ac:dyDescent="0.25">
      <c r="L3456" s="50"/>
    </row>
    <row r="3457" spans="12:12" x14ac:dyDescent="0.25">
      <c r="L3457" s="50"/>
    </row>
    <row r="3458" spans="12:12" x14ac:dyDescent="0.25">
      <c r="L3458" s="50"/>
    </row>
    <row r="3459" spans="12:12" x14ac:dyDescent="0.25">
      <c r="L3459" s="50"/>
    </row>
    <row r="3460" spans="12:12" x14ac:dyDescent="0.25">
      <c r="L3460" s="50"/>
    </row>
    <row r="3461" spans="12:12" x14ac:dyDescent="0.25">
      <c r="L3461" s="50"/>
    </row>
    <row r="3462" spans="12:12" x14ac:dyDescent="0.25">
      <c r="L3462" s="50"/>
    </row>
    <row r="3463" spans="12:12" x14ac:dyDescent="0.25">
      <c r="L3463" s="50"/>
    </row>
    <row r="3464" spans="12:12" x14ac:dyDescent="0.25">
      <c r="L3464" s="50"/>
    </row>
    <row r="3465" spans="12:12" x14ac:dyDescent="0.25">
      <c r="L3465" s="50"/>
    </row>
    <row r="3466" spans="12:12" x14ac:dyDescent="0.25">
      <c r="L3466" s="50"/>
    </row>
    <row r="3467" spans="12:12" x14ac:dyDescent="0.25">
      <c r="L3467" s="50"/>
    </row>
    <row r="3468" spans="12:12" x14ac:dyDescent="0.25">
      <c r="L3468" s="50"/>
    </row>
    <row r="3469" spans="12:12" x14ac:dyDescent="0.25">
      <c r="L3469" s="50"/>
    </row>
    <row r="3470" spans="12:12" x14ac:dyDescent="0.25">
      <c r="L3470" s="50"/>
    </row>
    <row r="3471" spans="12:12" x14ac:dyDescent="0.25">
      <c r="L3471" s="50"/>
    </row>
    <row r="3472" spans="12:12" x14ac:dyDescent="0.25">
      <c r="L3472" s="50"/>
    </row>
    <row r="3473" spans="12:12" x14ac:dyDescent="0.25">
      <c r="L3473" s="50"/>
    </row>
    <row r="3474" spans="12:12" x14ac:dyDescent="0.25">
      <c r="L3474" s="50"/>
    </row>
    <row r="3475" spans="12:12" x14ac:dyDescent="0.25">
      <c r="L3475" s="50"/>
    </row>
    <row r="3476" spans="12:12" x14ac:dyDescent="0.25">
      <c r="L3476" s="50"/>
    </row>
    <row r="3477" spans="12:12" x14ac:dyDescent="0.25">
      <c r="L3477" s="50"/>
    </row>
    <row r="3478" spans="12:12" x14ac:dyDescent="0.25">
      <c r="L3478" s="50"/>
    </row>
    <row r="3479" spans="12:12" x14ac:dyDescent="0.25">
      <c r="L3479" s="50"/>
    </row>
    <row r="3480" spans="12:12" x14ac:dyDescent="0.25">
      <c r="L3480" s="50"/>
    </row>
    <row r="3481" spans="12:12" x14ac:dyDescent="0.25">
      <c r="L3481" s="50"/>
    </row>
    <row r="3482" spans="12:12" x14ac:dyDescent="0.25">
      <c r="L3482" s="50"/>
    </row>
    <row r="3483" spans="12:12" x14ac:dyDescent="0.25">
      <c r="L3483" s="50"/>
    </row>
    <row r="3484" spans="12:12" x14ac:dyDescent="0.25">
      <c r="L3484" s="50"/>
    </row>
    <row r="3485" spans="12:12" x14ac:dyDescent="0.25">
      <c r="L3485" s="50"/>
    </row>
    <row r="3486" spans="12:12" x14ac:dyDescent="0.25">
      <c r="L3486" s="50"/>
    </row>
    <row r="3487" spans="12:12" x14ac:dyDescent="0.25">
      <c r="L3487" s="50"/>
    </row>
    <row r="3488" spans="12:12" x14ac:dyDescent="0.25">
      <c r="L3488" s="50"/>
    </row>
    <row r="3489" spans="12:12" x14ac:dyDescent="0.25">
      <c r="L3489" s="50"/>
    </row>
    <row r="3490" spans="12:12" x14ac:dyDescent="0.25">
      <c r="L3490" s="50"/>
    </row>
    <row r="3491" spans="12:12" x14ac:dyDescent="0.25">
      <c r="L3491" s="50"/>
    </row>
    <row r="3492" spans="12:12" x14ac:dyDescent="0.25">
      <c r="L3492" s="50"/>
    </row>
    <row r="3493" spans="12:12" x14ac:dyDescent="0.25">
      <c r="L3493" s="50"/>
    </row>
    <row r="3494" spans="12:12" x14ac:dyDescent="0.25">
      <c r="L3494" s="50"/>
    </row>
    <row r="3495" spans="12:12" x14ac:dyDescent="0.25">
      <c r="L3495" s="50"/>
    </row>
    <row r="3496" spans="12:12" x14ac:dyDescent="0.25">
      <c r="L3496" s="50"/>
    </row>
    <row r="3497" spans="12:12" x14ac:dyDescent="0.25">
      <c r="L3497" s="50"/>
    </row>
    <row r="3498" spans="12:12" x14ac:dyDescent="0.25">
      <c r="L3498" s="50"/>
    </row>
    <row r="3499" spans="12:12" x14ac:dyDescent="0.25">
      <c r="L3499" s="50"/>
    </row>
    <row r="3500" spans="12:12" x14ac:dyDescent="0.25">
      <c r="L3500" s="50"/>
    </row>
    <row r="3501" spans="12:12" x14ac:dyDescent="0.25">
      <c r="L3501" s="50"/>
    </row>
    <row r="3502" spans="12:12" x14ac:dyDescent="0.25">
      <c r="L3502" s="50"/>
    </row>
    <row r="3503" spans="12:12" x14ac:dyDescent="0.25">
      <c r="L3503" s="50"/>
    </row>
    <row r="3504" spans="12:12" x14ac:dyDescent="0.25">
      <c r="L3504" s="50"/>
    </row>
    <row r="3505" spans="12:12" x14ac:dyDescent="0.25">
      <c r="L3505" s="50"/>
    </row>
    <row r="3506" spans="12:12" x14ac:dyDescent="0.25">
      <c r="L3506" s="50"/>
    </row>
    <row r="3507" spans="12:12" x14ac:dyDescent="0.25">
      <c r="L3507" s="50"/>
    </row>
    <row r="3508" spans="12:12" x14ac:dyDescent="0.25">
      <c r="L3508" s="50"/>
    </row>
    <row r="3509" spans="12:12" x14ac:dyDescent="0.25">
      <c r="L3509" s="50"/>
    </row>
    <row r="3510" spans="12:12" x14ac:dyDescent="0.25">
      <c r="L3510" s="50"/>
    </row>
    <row r="3511" spans="12:12" x14ac:dyDescent="0.25">
      <c r="L3511" s="50"/>
    </row>
    <row r="3512" spans="12:12" x14ac:dyDescent="0.25">
      <c r="L3512" s="50"/>
    </row>
    <row r="3513" spans="12:12" x14ac:dyDescent="0.25">
      <c r="L3513" s="50"/>
    </row>
    <row r="3514" spans="12:12" x14ac:dyDescent="0.25">
      <c r="L3514" s="50"/>
    </row>
    <row r="3515" spans="12:12" x14ac:dyDescent="0.25">
      <c r="L3515" s="50"/>
    </row>
    <row r="3516" spans="12:12" x14ac:dyDescent="0.25">
      <c r="L3516" s="50"/>
    </row>
    <row r="3517" spans="12:12" x14ac:dyDescent="0.25">
      <c r="L3517" s="50"/>
    </row>
    <row r="3518" spans="12:12" x14ac:dyDescent="0.25">
      <c r="L3518" s="50"/>
    </row>
    <row r="3519" spans="12:12" x14ac:dyDescent="0.25">
      <c r="L3519" s="50"/>
    </row>
    <row r="3520" spans="12:12" x14ac:dyDescent="0.25">
      <c r="L3520" s="50"/>
    </row>
    <row r="3521" spans="12:12" x14ac:dyDescent="0.25">
      <c r="L3521" s="50"/>
    </row>
    <row r="3522" spans="12:12" x14ac:dyDescent="0.25">
      <c r="L3522" s="50"/>
    </row>
    <row r="3523" spans="12:12" x14ac:dyDescent="0.25">
      <c r="L3523" s="50"/>
    </row>
    <row r="3524" spans="12:12" x14ac:dyDescent="0.25">
      <c r="L3524" s="50"/>
    </row>
    <row r="3525" spans="12:12" x14ac:dyDescent="0.25">
      <c r="L3525" s="50"/>
    </row>
    <row r="3526" spans="12:12" x14ac:dyDescent="0.25">
      <c r="L3526" s="50"/>
    </row>
    <row r="3527" spans="12:12" x14ac:dyDescent="0.25">
      <c r="L3527" s="50"/>
    </row>
    <row r="3528" spans="12:12" x14ac:dyDescent="0.25">
      <c r="L3528" s="50"/>
    </row>
    <row r="3529" spans="12:12" x14ac:dyDescent="0.25">
      <c r="L3529" s="50"/>
    </row>
    <row r="3530" spans="12:12" x14ac:dyDescent="0.25">
      <c r="L3530" s="50"/>
    </row>
    <row r="3531" spans="12:12" x14ac:dyDescent="0.25">
      <c r="L3531" s="50"/>
    </row>
    <row r="3532" spans="12:12" x14ac:dyDescent="0.25">
      <c r="L3532" s="50"/>
    </row>
    <row r="3533" spans="12:12" x14ac:dyDescent="0.25">
      <c r="L3533" s="50"/>
    </row>
    <row r="3534" spans="12:12" x14ac:dyDescent="0.25">
      <c r="L3534" s="50"/>
    </row>
    <row r="3535" spans="12:12" x14ac:dyDescent="0.25">
      <c r="L3535" s="50"/>
    </row>
    <row r="3536" spans="12:12" x14ac:dyDescent="0.25">
      <c r="L3536" s="50"/>
    </row>
    <row r="3537" spans="12:12" x14ac:dyDescent="0.25">
      <c r="L3537" s="50"/>
    </row>
    <row r="3538" spans="12:12" x14ac:dyDescent="0.25">
      <c r="L3538" s="50"/>
    </row>
    <row r="3539" spans="12:12" x14ac:dyDescent="0.25">
      <c r="L3539" s="50"/>
    </row>
    <row r="3540" spans="12:12" x14ac:dyDescent="0.25">
      <c r="L3540" s="50"/>
    </row>
    <row r="3541" spans="12:12" x14ac:dyDescent="0.25">
      <c r="L3541" s="50"/>
    </row>
    <row r="3542" spans="12:12" x14ac:dyDescent="0.25">
      <c r="L3542" s="50"/>
    </row>
    <row r="3543" spans="12:12" x14ac:dyDescent="0.25">
      <c r="L3543" s="50"/>
    </row>
    <row r="3544" spans="12:12" x14ac:dyDescent="0.25">
      <c r="L3544" s="50"/>
    </row>
    <row r="3545" spans="12:12" x14ac:dyDescent="0.25">
      <c r="L3545" s="50"/>
    </row>
    <row r="3546" spans="12:12" x14ac:dyDescent="0.25">
      <c r="L3546" s="50"/>
    </row>
    <row r="3547" spans="12:12" x14ac:dyDescent="0.25">
      <c r="L3547" s="50"/>
    </row>
    <row r="3548" spans="12:12" x14ac:dyDescent="0.25">
      <c r="L3548" s="50"/>
    </row>
    <row r="3549" spans="12:12" x14ac:dyDescent="0.25">
      <c r="L3549" s="50"/>
    </row>
    <row r="3550" spans="12:12" x14ac:dyDescent="0.25">
      <c r="L3550" s="50"/>
    </row>
    <row r="3551" spans="12:12" x14ac:dyDescent="0.25">
      <c r="L3551" s="50"/>
    </row>
    <row r="3552" spans="12:12" x14ac:dyDescent="0.25">
      <c r="L3552" s="50"/>
    </row>
    <row r="3553" spans="12:12" x14ac:dyDescent="0.25">
      <c r="L3553" s="50"/>
    </row>
    <row r="3554" spans="12:12" x14ac:dyDescent="0.25">
      <c r="L3554" s="50"/>
    </row>
    <row r="3555" spans="12:12" x14ac:dyDescent="0.25">
      <c r="L3555" s="50"/>
    </row>
    <row r="3556" spans="12:12" x14ac:dyDescent="0.25">
      <c r="L3556" s="50"/>
    </row>
    <row r="3557" spans="12:12" x14ac:dyDescent="0.25">
      <c r="L3557" s="50"/>
    </row>
    <row r="3558" spans="12:12" x14ac:dyDescent="0.25">
      <c r="L3558" s="50"/>
    </row>
    <row r="3559" spans="12:12" x14ac:dyDescent="0.25">
      <c r="L3559" s="50"/>
    </row>
    <row r="3560" spans="12:12" x14ac:dyDescent="0.25">
      <c r="L3560" s="50"/>
    </row>
    <row r="3561" spans="12:12" x14ac:dyDescent="0.25">
      <c r="L3561" s="50"/>
    </row>
    <row r="3562" spans="12:12" x14ac:dyDescent="0.25">
      <c r="L3562" s="50"/>
    </row>
    <row r="3563" spans="12:12" x14ac:dyDescent="0.25">
      <c r="L3563" s="50"/>
    </row>
    <row r="3564" spans="12:12" x14ac:dyDescent="0.25">
      <c r="L3564" s="50"/>
    </row>
    <row r="3565" spans="12:12" x14ac:dyDescent="0.25">
      <c r="L3565" s="50"/>
    </row>
    <row r="3566" spans="12:12" x14ac:dyDescent="0.25">
      <c r="L3566" s="50"/>
    </row>
    <row r="3567" spans="12:12" x14ac:dyDescent="0.25">
      <c r="L3567" s="50"/>
    </row>
    <row r="3568" spans="12:12" x14ac:dyDescent="0.25">
      <c r="L3568" s="50"/>
    </row>
    <row r="3569" spans="12:12" x14ac:dyDescent="0.25">
      <c r="L3569" s="50"/>
    </row>
    <row r="3570" spans="12:12" x14ac:dyDescent="0.25">
      <c r="L3570" s="50"/>
    </row>
    <row r="3571" spans="12:12" x14ac:dyDescent="0.25">
      <c r="L3571" s="50"/>
    </row>
    <row r="3572" spans="12:12" x14ac:dyDescent="0.25">
      <c r="L3572" s="50"/>
    </row>
    <row r="3573" spans="12:12" x14ac:dyDescent="0.25">
      <c r="L3573" s="50"/>
    </row>
    <row r="3574" spans="12:12" x14ac:dyDescent="0.25">
      <c r="L3574" s="50"/>
    </row>
    <row r="3575" spans="12:12" x14ac:dyDescent="0.25">
      <c r="L3575" s="50"/>
    </row>
    <row r="3576" spans="12:12" x14ac:dyDescent="0.25">
      <c r="L3576" s="50"/>
    </row>
    <row r="3577" spans="12:12" x14ac:dyDescent="0.25">
      <c r="L3577" s="50"/>
    </row>
    <row r="3578" spans="12:12" x14ac:dyDescent="0.25">
      <c r="L3578" s="50"/>
    </row>
    <row r="3579" spans="12:12" x14ac:dyDescent="0.25">
      <c r="L3579" s="50"/>
    </row>
    <row r="3580" spans="12:12" x14ac:dyDescent="0.25">
      <c r="L3580" s="50"/>
    </row>
    <row r="3581" spans="12:12" x14ac:dyDescent="0.25">
      <c r="L3581" s="50"/>
    </row>
    <row r="3582" spans="12:12" x14ac:dyDescent="0.25">
      <c r="L3582" s="50"/>
    </row>
    <row r="3583" spans="12:12" x14ac:dyDescent="0.25">
      <c r="L3583" s="50"/>
    </row>
    <row r="3584" spans="12:12" x14ac:dyDescent="0.25">
      <c r="L3584" s="50"/>
    </row>
    <row r="3585" spans="12:12" x14ac:dyDescent="0.25">
      <c r="L3585" s="50"/>
    </row>
    <row r="3586" spans="12:12" x14ac:dyDescent="0.25">
      <c r="L3586" s="50"/>
    </row>
    <row r="3587" spans="12:12" x14ac:dyDescent="0.25">
      <c r="L3587" s="50"/>
    </row>
    <row r="3588" spans="12:12" x14ac:dyDescent="0.25">
      <c r="L3588" s="50"/>
    </row>
    <row r="3589" spans="12:12" x14ac:dyDescent="0.25">
      <c r="L3589" s="50"/>
    </row>
    <row r="3590" spans="12:12" x14ac:dyDescent="0.25">
      <c r="L3590" s="50"/>
    </row>
    <row r="3591" spans="12:12" x14ac:dyDescent="0.25">
      <c r="L3591" s="50"/>
    </row>
    <row r="3592" spans="12:12" x14ac:dyDescent="0.25">
      <c r="L3592" s="50"/>
    </row>
    <row r="3593" spans="12:12" x14ac:dyDescent="0.25">
      <c r="L3593" s="50"/>
    </row>
    <row r="3594" spans="12:12" x14ac:dyDescent="0.25">
      <c r="L3594" s="50"/>
    </row>
    <row r="3595" spans="12:12" x14ac:dyDescent="0.25">
      <c r="L3595" s="50"/>
    </row>
    <row r="3596" spans="12:12" x14ac:dyDescent="0.25">
      <c r="L3596" s="50"/>
    </row>
    <row r="3597" spans="12:12" x14ac:dyDescent="0.25">
      <c r="L3597" s="50"/>
    </row>
    <row r="3598" spans="12:12" x14ac:dyDescent="0.25">
      <c r="L3598" s="50"/>
    </row>
    <row r="3599" spans="12:12" x14ac:dyDescent="0.25">
      <c r="L3599" s="50"/>
    </row>
    <row r="3600" spans="12:12" x14ac:dyDescent="0.25">
      <c r="L3600" s="50"/>
    </row>
    <row r="3601" spans="12:12" x14ac:dyDescent="0.25">
      <c r="L3601" s="50"/>
    </row>
    <row r="3602" spans="12:12" x14ac:dyDescent="0.25">
      <c r="L3602" s="50"/>
    </row>
    <row r="3603" spans="12:12" x14ac:dyDescent="0.25">
      <c r="L3603" s="50"/>
    </row>
    <row r="3604" spans="12:12" x14ac:dyDescent="0.25">
      <c r="L3604" s="50"/>
    </row>
    <row r="3605" spans="12:12" x14ac:dyDescent="0.25">
      <c r="L3605" s="50"/>
    </row>
    <row r="3606" spans="12:12" x14ac:dyDescent="0.25">
      <c r="L3606" s="50"/>
    </row>
    <row r="3607" spans="12:12" x14ac:dyDescent="0.25">
      <c r="L3607" s="50"/>
    </row>
    <row r="3608" spans="12:12" x14ac:dyDescent="0.25">
      <c r="L3608" s="50"/>
    </row>
    <row r="3609" spans="12:12" x14ac:dyDescent="0.25">
      <c r="L3609" s="50"/>
    </row>
    <row r="3610" spans="12:12" x14ac:dyDescent="0.25">
      <c r="L3610" s="50"/>
    </row>
    <row r="3611" spans="12:12" x14ac:dyDescent="0.25">
      <c r="L3611" s="50"/>
    </row>
    <row r="3612" spans="12:12" x14ac:dyDescent="0.25">
      <c r="L3612" s="50"/>
    </row>
    <row r="3613" spans="12:12" x14ac:dyDescent="0.25">
      <c r="L3613" s="50"/>
    </row>
    <row r="3614" spans="12:12" x14ac:dyDescent="0.25">
      <c r="L3614" s="50"/>
    </row>
    <row r="3615" spans="12:12" x14ac:dyDescent="0.25">
      <c r="L3615" s="50"/>
    </row>
    <row r="3616" spans="12:12" x14ac:dyDescent="0.25">
      <c r="L3616" s="50"/>
    </row>
    <row r="3617" spans="12:12" x14ac:dyDescent="0.25">
      <c r="L3617" s="50"/>
    </row>
    <row r="3618" spans="12:12" x14ac:dyDescent="0.25">
      <c r="L3618" s="50"/>
    </row>
    <row r="3619" spans="12:12" x14ac:dyDescent="0.25">
      <c r="L3619" s="50"/>
    </row>
    <row r="3620" spans="12:12" x14ac:dyDescent="0.25">
      <c r="L3620" s="50"/>
    </row>
    <row r="3621" spans="12:12" x14ac:dyDescent="0.25">
      <c r="L3621" s="50"/>
    </row>
    <row r="3622" spans="12:12" x14ac:dyDescent="0.25">
      <c r="L3622" s="50"/>
    </row>
    <row r="3623" spans="12:12" x14ac:dyDescent="0.25">
      <c r="L3623" s="50"/>
    </row>
    <row r="3624" spans="12:12" x14ac:dyDescent="0.25">
      <c r="L3624" s="50"/>
    </row>
    <row r="3625" spans="12:12" x14ac:dyDescent="0.25">
      <c r="L3625" s="50"/>
    </row>
    <row r="3626" spans="12:12" x14ac:dyDescent="0.25">
      <c r="L3626" s="50"/>
    </row>
    <row r="3627" spans="12:12" x14ac:dyDescent="0.25">
      <c r="L3627" s="50"/>
    </row>
    <row r="3628" spans="12:12" x14ac:dyDescent="0.25">
      <c r="L3628" s="50"/>
    </row>
    <row r="3629" spans="12:12" x14ac:dyDescent="0.25">
      <c r="L3629" s="50"/>
    </row>
    <row r="3630" spans="12:12" x14ac:dyDescent="0.25">
      <c r="L3630" s="50"/>
    </row>
    <row r="3631" spans="12:12" x14ac:dyDescent="0.25">
      <c r="L3631" s="50"/>
    </row>
    <row r="3632" spans="12:12" x14ac:dyDescent="0.25">
      <c r="L3632" s="50"/>
    </row>
    <row r="3633" spans="12:12" x14ac:dyDescent="0.25">
      <c r="L3633" s="50"/>
    </row>
    <row r="3634" spans="12:12" x14ac:dyDescent="0.25">
      <c r="L3634" s="50"/>
    </row>
    <row r="3635" spans="12:12" x14ac:dyDescent="0.25">
      <c r="L3635" s="50"/>
    </row>
    <row r="3636" spans="12:12" x14ac:dyDescent="0.25">
      <c r="L3636" s="50"/>
    </row>
    <row r="3637" spans="12:12" x14ac:dyDescent="0.25">
      <c r="L3637" s="50"/>
    </row>
    <row r="3638" spans="12:12" x14ac:dyDescent="0.25">
      <c r="L3638" s="50"/>
    </row>
    <row r="3639" spans="12:12" x14ac:dyDescent="0.25">
      <c r="L3639" s="50"/>
    </row>
    <row r="3640" spans="12:12" x14ac:dyDescent="0.25">
      <c r="L3640" s="50"/>
    </row>
    <row r="3641" spans="12:12" x14ac:dyDescent="0.25">
      <c r="L3641" s="50"/>
    </row>
    <row r="3642" spans="12:12" x14ac:dyDescent="0.25">
      <c r="L3642" s="50"/>
    </row>
    <row r="3643" spans="12:12" x14ac:dyDescent="0.25">
      <c r="L3643" s="50"/>
    </row>
    <row r="3644" spans="12:12" x14ac:dyDescent="0.25">
      <c r="L3644" s="50"/>
    </row>
    <row r="3645" spans="12:12" x14ac:dyDescent="0.25">
      <c r="L3645" s="50"/>
    </row>
    <row r="3646" spans="12:12" x14ac:dyDescent="0.25">
      <c r="L3646" s="50"/>
    </row>
    <row r="3647" spans="12:12" x14ac:dyDescent="0.25">
      <c r="L3647" s="50"/>
    </row>
    <row r="3648" spans="12:12" x14ac:dyDescent="0.25">
      <c r="L3648" s="50"/>
    </row>
    <row r="3649" spans="12:12" x14ac:dyDescent="0.25">
      <c r="L3649" s="50"/>
    </row>
    <row r="3650" spans="12:12" x14ac:dyDescent="0.25">
      <c r="L3650" s="50"/>
    </row>
    <row r="3651" spans="12:12" x14ac:dyDescent="0.25">
      <c r="L3651" s="50"/>
    </row>
    <row r="3652" spans="12:12" x14ac:dyDescent="0.25">
      <c r="L3652" s="50"/>
    </row>
    <row r="3653" spans="12:12" x14ac:dyDescent="0.25">
      <c r="L3653" s="50"/>
    </row>
    <row r="3654" spans="12:12" x14ac:dyDescent="0.25">
      <c r="L3654" s="50"/>
    </row>
    <row r="3655" spans="12:12" x14ac:dyDescent="0.25">
      <c r="L3655" s="50"/>
    </row>
    <row r="3656" spans="12:12" x14ac:dyDescent="0.25">
      <c r="L3656" s="50"/>
    </row>
    <row r="3657" spans="12:12" x14ac:dyDescent="0.25">
      <c r="L3657" s="50"/>
    </row>
    <row r="3658" spans="12:12" x14ac:dyDescent="0.25">
      <c r="L3658" s="50"/>
    </row>
    <row r="3659" spans="12:12" x14ac:dyDescent="0.25">
      <c r="L3659" s="50"/>
    </row>
    <row r="3660" spans="12:12" x14ac:dyDescent="0.25">
      <c r="L3660" s="50"/>
    </row>
    <row r="3661" spans="12:12" x14ac:dyDescent="0.25">
      <c r="L3661" s="50"/>
    </row>
    <row r="3662" spans="12:12" x14ac:dyDescent="0.25">
      <c r="L3662" s="50"/>
    </row>
    <row r="3663" spans="12:12" x14ac:dyDescent="0.25">
      <c r="L3663" s="50"/>
    </row>
    <row r="3664" spans="12:12" x14ac:dyDescent="0.25">
      <c r="L3664" s="50"/>
    </row>
    <row r="3665" spans="12:12" x14ac:dyDescent="0.25">
      <c r="L3665" s="50"/>
    </row>
    <row r="3666" spans="12:12" x14ac:dyDescent="0.25">
      <c r="L3666" s="50"/>
    </row>
    <row r="3667" spans="12:12" x14ac:dyDescent="0.25">
      <c r="L3667" s="50"/>
    </row>
    <row r="3668" spans="12:12" x14ac:dyDescent="0.25">
      <c r="L3668" s="50"/>
    </row>
    <row r="3669" spans="12:12" x14ac:dyDescent="0.25">
      <c r="L3669" s="50"/>
    </row>
    <row r="3670" spans="12:12" x14ac:dyDescent="0.25">
      <c r="L3670" s="50"/>
    </row>
    <row r="3671" spans="12:12" x14ac:dyDescent="0.25">
      <c r="L3671" s="50"/>
    </row>
    <row r="3672" spans="12:12" x14ac:dyDescent="0.25">
      <c r="L3672" s="50"/>
    </row>
    <row r="3673" spans="12:12" x14ac:dyDescent="0.25">
      <c r="L3673" s="50"/>
    </row>
    <row r="3674" spans="12:12" x14ac:dyDescent="0.25">
      <c r="L3674" s="50"/>
    </row>
    <row r="3675" spans="12:12" x14ac:dyDescent="0.25">
      <c r="L3675" s="50"/>
    </row>
    <row r="3676" spans="12:12" x14ac:dyDescent="0.25">
      <c r="L3676" s="50"/>
    </row>
    <row r="3677" spans="12:12" x14ac:dyDescent="0.25">
      <c r="L3677" s="50"/>
    </row>
    <row r="3678" spans="12:12" x14ac:dyDescent="0.25">
      <c r="L3678" s="50"/>
    </row>
    <row r="3679" spans="12:12" x14ac:dyDescent="0.25">
      <c r="L3679" s="50"/>
    </row>
    <row r="3680" spans="12:12" x14ac:dyDescent="0.25">
      <c r="L3680" s="50"/>
    </row>
    <row r="3681" spans="12:12" x14ac:dyDescent="0.25">
      <c r="L3681" s="50"/>
    </row>
    <row r="3682" spans="12:12" x14ac:dyDescent="0.25">
      <c r="L3682" s="50"/>
    </row>
    <row r="3683" spans="12:12" x14ac:dyDescent="0.25">
      <c r="L3683" s="50"/>
    </row>
    <row r="3684" spans="12:12" x14ac:dyDescent="0.25">
      <c r="L3684" s="50"/>
    </row>
    <row r="3685" spans="12:12" x14ac:dyDescent="0.25">
      <c r="L3685" s="50"/>
    </row>
    <row r="3686" spans="12:12" x14ac:dyDescent="0.25">
      <c r="L3686" s="50"/>
    </row>
    <row r="3687" spans="12:12" x14ac:dyDescent="0.25">
      <c r="L3687" s="50"/>
    </row>
    <row r="3688" spans="12:12" x14ac:dyDescent="0.25">
      <c r="L3688" s="50"/>
    </row>
    <row r="3689" spans="12:12" x14ac:dyDescent="0.25">
      <c r="L3689" s="50"/>
    </row>
    <row r="3690" spans="12:12" x14ac:dyDescent="0.25">
      <c r="L3690" s="50"/>
    </row>
    <row r="3691" spans="12:12" x14ac:dyDescent="0.25">
      <c r="L3691" s="50"/>
    </row>
    <row r="3692" spans="12:12" x14ac:dyDescent="0.25">
      <c r="L3692" s="50"/>
    </row>
    <row r="3693" spans="12:12" x14ac:dyDescent="0.25">
      <c r="L3693" s="50"/>
    </row>
    <row r="3694" spans="12:12" x14ac:dyDescent="0.25">
      <c r="L3694" s="50"/>
    </row>
    <row r="3695" spans="12:12" x14ac:dyDescent="0.25">
      <c r="L3695" s="50"/>
    </row>
    <row r="3696" spans="12:12" x14ac:dyDescent="0.25">
      <c r="L3696" s="50"/>
    </row>
    <row r="3697" spans="12:12" x14ac:dyDescent="0.25">
      <c r="L3697" s="50"/>
    </row>
    <row r="3698" spans="12:12" x14ac:dyDescent="0.25">
      <c r="L3698" s="50"/>
    </row>
    <row r="3699" spans="12:12" x14ac:dyDescent="0.25">
      <c r="L3699" s="50"/>
    </row>
    <row r="3700" spans="12:12" x14ac:dyDescent="0.25">
      <c r="L3700" s="50"/>
    </row>
    <row r="3701" spans="12:12" x14ac:dyDescent="0.25">
      <c r="L3701" s="50"/>
    </row>
    <row r="3702" spans="12:12" x14ac:dyDescent="0.25">
      <c r="L3702" s="50"/>
    </row>
    <row r="3703" spans="12:12" x14ac:dyDescent="0.25">
      <c r="L3703" s="50"/>
    </row>
    <row r="3704" spans="12:12" x14ac:dyDescent="0.25">
      <c r="L3704" s="50"/>
    </row>
    <row r="3705" spans="12:12" x14ac:dyDescent="0.25">
      <c r="L3705" s="50"/>
    </row>
    <row r="3706" spans="12:12" x14ac:dyDescent="0.25">
      <c r="L3706" s="50"/>
    </row>
    <row r="3707" spans="12:12" x14ac:dyDescent="0.25">
      <c r="L3707" s="50"/>
    </row>
    <row r="3708" spans="12:12" x14ac:dyDescent="0.25">
      <c r="L3708" s="50"/>
    </row>
    <row r="3709" spans="12:12" x14ac:dyDescent="0.25">
      <c r="L3709" s="50"/>
    </row>
    <row r="3710" spans="12:12" x14ac:dyDescent="0.25">
      <c r="L3710" s="50"/>
    </row>
    <row r="3711" spans="12:12" x14ac:dyDescent="0.25">
      <c r="L3711" s="50"/>
    </row>
    <row r="3712" spans="12:12" x14ac:dyDescent="0.25">
      <c r="L3712" s="50"/>
    </row>
    <row r="3713" spans="12:12" x14ac:dyDescent="0.25">
      <c r="L3713" s="50"/>
    </row>
    <row r="3714" spans="12:12" x14ac:dyDescent="0.25">
      <c r="L3714" s="50"/>
    </row>
    <row r="3715" spans="12:12" x14ac:dyDescent="0.25">
      <c r="L3715" s="50"/>
    </row>
    <row r="3716" spans="12:12" x14ac:dyDescent="0.25">
      <c r="L3716" s="50"/>
    </row>
    <row r="3717" spans="12:12" x14ac:dyDescent="0.25">
      <c r="L3717" s="50"/>
    </row>
    <row r="3718" spans="12:12" x14ac:dyDescent="0.25">
      <c r="L3718" s="50"/>
    </row>
    <row r="3719" spans="12:12" x14ac:dyDescent="0.25">
      <c r="L3719" s="50"/>
    </row>
    <row r="3720" spans="12:12" x14ac:dyDescent="0.25">
      <c r="L3720" s="50"/>
    </row>
    <row r="3721" spans="12:12" x14ac:dyDescent="0.25">
      <c r="L3721" s="50"/>
    </row>
    <row r="3722" spans="12:12" x14ac:dyDescent="0.25">
      <c r="L3722" s="50"/>
    </row>
    <row r="3723" spans="12:12" x14ac:dyDescent="0.25">
      <c r="L3723" s="50"/>
    </row>
    <row r="3724" spans="12:12" x14ac:dyDescent="0.25">
      <c r="L3724" s="50"/>
    </row>
    <row r="3725" spans="12:12" x14ac:dyDescent="0.25">
      <c r="L3725" s="50"/>
    </row>
    <row r="3726" spans="12:12" x14ac:dyDescent="0.25">
      <c r="L3726" s="50"/>
    </row>
    <row r="3727" spans="12:12" x14ac:dyDescent="0.25">
      <c r="L3727" s="50"/>
    </row>
    <row r="3728" spans="12:12" x14ac:dyDescent="0.25">
      <c r="L3728" s="50"/>
    </row>
    <row r="3729" spans="12:12" x14ac:dyDescent="0.25">
      <c r="L3729" s="50"/>
    </row>
    <row r="3730" spans="12:12" x14ac:dyDescent="0.25">
      <c r="L3730" s="50"/>
    </row>
    <row r="3731" spans="12:12" x14ac:dyDescent="0.25">
      <c r="L3731" s="50"/>
    </row>
    <row r="3732" spans="12:12" x14ac:dyDescent="0.25">
      <c r="L3732" s="50"/>
    </row>
    <row r="3733" spans="12:12" x14ac:dyDescent="0.25">
      <c r="L3733" s="50"/>
    </row>
    <row r="3734" spans="12:12" x14ac:dyDescent="0.25">
      <c r="L3734" s="50"/>
    </row>
    <row r="3735" spans="12:12" x14ac:dyDescent="0.25">
      <c r="L3735" s="50"/>
    </row>
    <row r="3736" spans="12:12" x14ac:dyDescent="0.25">
      <c r="L3736" s="50"/>
    </row>
    <row r="3737" spans="12:12" x14ac:dyDescent="0.25">
      <c r="L3737" s="50"/>
    </row>
    <row r="3738" spans="12:12" x14ac:dyDescent="0.25">
      <c r="L3738" s="50"/>
    </row>
    <row r="3739" spans="12:12" x14ac:dyDescent="0.25">
      <c r="L3739" s="50"/>
    </row>
    <row r="3740" spans="12:12" x14ac:dyDescent="0.25">
      <c r="L3740" s="50"/>
    </row>
    <row r="3741" spans="12:12" x14ac:dyDescent="0.25">
      <c r="L3741" s="50"/>
    </row>
    <row r="3742" spans="12:12" x14ac:dyDescent="0.25">
      <c r="L3742" s="50"/>
    </row>
    <row r="3743" spans="12:12" x14ac:dyDescent="0.25">
      <c r="L3743" s="50"/>
    </row>
    <row r="3744" spans="12:12" x14ac:dyDescent="0.25">
      <c r="L3744" s="50"/>
    </row>
    <row r="3745" spans="12:12" x14ac:dyDescent="0.25">
      <c r="L3745" s="50"/>
    </row>
    <row r="3746" spans="12:12" x14ac:dyDescent="0.25">
      <c r="L3746" s="50"/>
    </row>
    <row r="3747" spans="12:12" x14ac:dyDescent="0.25">
      <c r="L3747" s="50"/>
    </row>
    <row r="3748" spans="12:12" x14ac:dyDescent="0.25">
      <c r="L3748" s="50"/>
    </row>
    <row r="3749" spans="12:12" x14ac:dyDescent="0.25">
      <c r="L3749" s="50"/>
    </row>
    <row r="3750" spans="12:12" x14ac:dyDescent="0.25">
      <c r="L3750" s="50"/>
    </row>
    <row r="3751" spans="12:12" x14ac:dyDescent="0.25">
      <c r="L3751" s="50"/>
    </row>
    <row r="3752" spans="12:12" x14ac:dyDescent="0.25">
      <c r="L3752" s="50"/>
    </row>
    <row r="3753" spans="12:12" x14ac:dyDescent="0.25">
      <c r="L3753" s="50"/>
    </row>
    <row r="3754" spans="12:12" x14ac:dyDescent="0.25">
      <c r="L3754" s="50"/>
    </row>
    <row r="3755" spans="12:12" x14ac:dyDescent="0.25">
      <c r="L3755" s="50"/>
    </row>
    <row r="3756" spans="12:12" x14ac:dyDescent="0.25">
      <c r="L3756" s="50"/>
    </row>
    <row r="3757" spans="12:12" x14ac:dyDescent="0.25">
      <c r="L3757" s="50"/>
    </row>
    <row r="3758" spans="12:12" x14ac:dyDescent="0.25">
      <c r="L3758" s="50"/>
    </row>
    <row r="3759" spans="12:12" x14ac:dyDescent="0.25">
      <c r="L3759" s="50"/>
    </row>
    <row r="3760" spans="12:12" x14ac:dyDescent="0.25">
      <c r="L3760" s="50"/>
    </row>
    <row r="3761" spans="12:12" x14ac:dyDescent="0.25">
      <c r="L3761" s="50"/>
    </row>
    <row r="3762" spans="12:12" x14ac:dyDescent="0.25">
      <c r="L3762" s="50"/>
    </row>
    <row r="3763" spans="12:12" x14ac:dyDescent="0.25">
      <c r="L3763" s="50"/>
    </row>
    <row r="3764" spans="12:12" x14ac:dyDescent="0.25">
      <c r="L3764" s="50"/>
    </row>
    <row r="3765" spans="12:12" x14ac:dyDescent="0.25">
      <c r="L3765" s="50"/>
    </row>
    <row r="3766" spans="12:12" x14ac:dyDescent="0.25">
      <c r="L3766" s="50"/>
    </row>
    <row r="3767" spans="12:12" x14ac:dyDescent="0.25">
      <c r="L3767" s="50"/>
    </row>
    <row r="3768" spans="12:12" x14ac:dyDescent="0.25">
      <c r="L3768" s="50"/>
    </row>
    <row r="3769" spans="12:12" x14ac:dyDescent="0.25">
      <c r="L3769" s="50"/>
    </row>
    <row r="3770" spans="12:12" x14ac:dyDescent="0.25">
      <c r="L3770" s="50"/>
    </row>
    <row r="3771" spans="12:12" x14ac:dyDescent="0.25">
      <c r="L3771" s="50"/>
    </row>
    <row r="3772" spans="12:12" x14ac:dyDescent="0.25">
      <c r="L3772" s="50"/>
    </row>
    <row r="3773" spans="12:12" x14ac:dyDescent="0.25">
      <c r="L3773" s="50"/>
    </row>
    <row r="3774" spans="12:12" x14ac:dyDescent="0.25">
      <c r="L3774" s="50"/>
    </row>
    <row r="3775" spans="12:12" x14ac:dyDescent="0.25">
      <c r="L3775" s="50"/>
    </row>
    <row r="3776" spans="12:12" x14ac:dyDescent="0.25">
      <c r="L3776" s="50"/>
    </row>
    <row r="3777" spans="12:12" x14ac:dyDescent="0.25">
      <c r="L3777" s="50"/>
    </row>
    <row r="3778" spans="12:12" x14ac:dyDescent="0.25">
      <c r="L3778" s="50"/>
    </row>
    <row r="3779" spans="12:12" x14ac:dyDescent="0.25">
      <c r="L3779" s="50"/>
    </row>
    <row r="3780" spans="12:12" x14ac:dyDescent="0.25">
      <c r="L3780" s="50"/>
    </row>
    <row r="3781" spans="12:12" x14ac:dyDescent="0.25">
      <c r="L3781" s="50"/>
    </row>
    <row r="3782" spans="12:12" x14ac:dyDescent="0.25">
      <c r="L3782" s="50"/>
    </row>
    <row r="3783" spans="12:12" x14ac:dyDescent="0.25">
      <c r="L3783" s="50"/>
    </row>
    <row r="3784" spans="12:12" x14ac:dyDescent="0.25">
      <c r="L3784" s="50"/>
    </row>
    <row r="3785" spans="12:12" x14ac:dyDescent="0.25">
      <c r="L3785" s="50"/>
    </row>
    <row r="3786" spans="12:12" x14ac:dyDescent="0.25">
      <c r="L3786" s="50"/>
    </row>
    <row r="3787" spans="12:12" x14ac:dyDescent="0.25">
      <c r="L3787" s="50"/>
    </row>
    <row r="3788" spans="12:12" x14ac:dyDescent="0.25">
      <c r="L3788" s="50"/>
    </row>
    <row r="3789" spans="12:12" x14ac:dyDescent="0.25">
      <c r="L3789" s="50"/>
    </row>
    <row r="3790" spans="12:12" x14ac:dyDescent="0.25">
      <c r="L3790" s="50"/>
    </row>
    <row r="3791" spans="12:12" x14ac:dyDescent="0.25">
      <c r="L3791" s="50"/>
    </row>
    <row r="3792" spans="12:12" x14ac:dyDescent="0.25">
      <c r="L3792" s="50"/>
    </row>
    <row r="3793" spans="12:12" x14ac:dyDescent="0.25">
      <c r="L3793" s="50"/>
    </row>
    <row r="3794" spans="12:12" x14ac:dyDescent="0.25">
      <c r="L3794" s="50"/>
    </row>
    <row r="3795" spans="12:12" x14ac:dyDescent="0.25">
      <c r="L3795" s="50"/>
    </row>
    <row r="3796" spans="12:12" x14ac:dyDescent="0.25">
      <c r="L3796" s="50"/>
    </row>
    <row r="3797" spans="12:12" x14ac:dyDescent="0.25">
      <c r="L3797" s="50"/>
    </row>
    <row r="3798" spans="12:12" x14ac:dyDescent="0.25">
      <c r="L3798" s="50"/>
    </row>
    <row r="3799" spans="12:12" x14ac:dyDescent="0.25">
      <c r="L3799" s="50"/>
    </row>
    <row r="3800" spans="12:12" x14ac:dyDescent="0.25">
      <c r="L3800" s="50"/>
    </row>
    <row r="3801" spans="12:12" x14ac:dyDescent="0.25">
      <c r="L3801" s="50"/>
    </row>
    <row r="3802" spans="12:12" x14ac:dyDescent="0.25">
      <c r="L3802" s="50"/>
    </row>
    <row r="3803" spans="12:12" x14ac:dyDescent="0.25">
      <c r="L3803" s="50"/>
    </row>
    <row r="3804" spans="12:12" x14ac:dyDescent="0.25">
      <c r="L3804" s="50"/>
    </row>
    <row r="3805" spans="12:12" x14ac:dyDescent="0.25">
      <c r="L3805" s="50"/>
    </row>
    <row r="3806" spans="12:12" x14ac:dyDescent="0.25">
      <c r="L3806" s="50"/>
    </row>
    <row r="3807" spans="12:12" x14ac:dyDescent="0.25">
      <c r="L3807" s="50"/>
    </row>
    <row r="3808" spans="12:12" x14ac:dyDescent="0.25">
      <c r="L3808" s="50"/>
    </row>
    <row r="3809" spans="12:12" x14ac:dyDescent="0.25">
      <c r="L3809" s="50"/>
    </row>
    <row r="3810" spans="12:12" x14ac:dyDescent="0.25">
      <c r="L3810" s="50"/>
    </row>
    <row r="3811" spans="12:12" x14ac:dyDescent="0.25">
      <c r="L3811" s="50"/>
    </row>
    <row r="3812" spans="12:12" x14ac:dyDescent="0.25">
      <c r="L3812" s="50"/>
    </row>
    <row r="3813" spans="12:12" x14ac:dyDescent="0.25">
      <c r="L3813" s="50"/>
    </row>
    <row r="3814" spans="12:12" x14ac:dyDescent="0.25">
      <c r="L3814" s="50"/>
    </row>
    <row r="3815" spans="12:12" x14ac:dyDescent="0.25">
      <c r="L3815" s="50"/>
    </row>
    <row r="3816" spans="12:12" x14ac:dyDescent="0.25">
      <c r="L3816" s="50"/>
    </row>
    <row r="3817" spans="12:12" x14ac:dyDescent="0.25">
      <c r="L3817" s="50"/>
    </row>
    <row r="3818" spans="12:12" x14ac:dyDescent="0.25">
      <c r="L3818" s="50"/>
    </row>
    <row r="3819" spans="12:12" x14ac:dyDescent="0.25">
      <c r="L3819" s="50"/>
    </row>
    <row r="3820" spans="12:12" x14ac:dyDescent="0.25">
      <c r="L3820" s="50"/>
    </row>
    <row r="3821" spans="12:12" x14ac:dyDescent="0.25">
      <c r="L3821" s="50"/>
    </row>
    <row r="3822" spans="12:12" x14ac:dyDescent="0.25">
      <c r="L3822" s="50"/>
    </row>
    <row r="3823" spans="12:12" x14ac:dyDescent="0.25">
      <c r="L3823" s="50"/>
    </row>
    <row r="3824" spans="12:12" x14ac:dyDescent="0.25">
      <c r="L3824" s="50"/>
    </row>
    <row r="3825" spans="12:12" x14ac:dyDescent="0.25">
      <c r="L3825" s="50"/>
    </row>
    <row r="3826" spans="12:12" x14ac:dyDescent="0.25">
      <c r="L3826" s="50"/>
    </row>
    <row r="3827" spans="12:12" x14ac:dyDescent="0.25">
      <c r="L3827" s="50"/>
    </row>
    <row r="3828" spans="12:12" x14ac:dyDescent="0.25">
      <c r="L3828" s="50"/>
    </row>
    <row r="3829" spans="12:12" x14ac:dyDescent="0.25">
      <c r="L3829" s="50"/>
    </row>
    <row r="3830" spans="12:12" x14ac:dyDescent="0.25">
      <c r="L3830" s="50"/>
    </row>
    <row r="3831" spans="12:12" x14ac:dyDescent="0.25">
      <c r="L3831" s="50"/>
    </row>
    <row r="3832" spans="12:12" x14ac:dyDescent="0.25">
      <c r="L3832" s="50"/>
    </row>
    <row r="3833" spans="12:12" x14ac:dyDescent="0.25">
      <c r="L3833" s="50"/>
    </row>
    <row r="3834" spans="12:12" x14ac:dyDescent="0.25">
      <c r="L3834" s="50"/>
    </row>
    <row r="3835" spans="12:12" x14ac:dyDescent="0.25">
      <c r="L3835" s="50"/>
    </row>
    <row r="3836" spans="12:12" x14ac:dyDescent="0.25">
      <c r="L3836" s="50"/>
    </row>
    <row r="3837" spans="12:12" x14ac:dyDescent="0.25">
      <c r="L3837" s="50"/>
    </row>
    <row r="3838" spans="12:12" x14ac:dyDescent="0.25">
      <c r="L3838" s="50"/>
    </row>
    <row r="3839" spans="12:12" x14ac:dyDescent="0.25">
      <c r="L3839" s="50"/>
    </row>
    <row r="3840" spans="12:12" x14ac:dyDescent="0.25">
      <c r="L3840" s="50"/>
    </row>
    <row r="3841" spans="12:12" x14ac:dyDescent="0.25">
      <c r="L3841" s="50"/>
    </row>
    <row r="3842" spans="12:12" x14ac:dyDescent="0.25">
      <c r="L3842" s="50"/>
    </row>
    <row r="3843" spans="12:12" x14ac:dyDescent="0.25">
      <c r="L3843" s="50"/>
    </row>
    <row r="3844" spans="12:12" x14ac:dyDescent="0.25">
      <c r="L3844" s="50"/>
    </row>
    <row r="3845" spans="12:12" x14ac:dyDescent="0.25">
      <c r="L3845" s="50"/>
    </row>
    <row r="3846" spans="12:12" x14ac:dyDescent="0.25">
      <c r="L3846" s="50"/>
    </row>
    <row r="3847" spans="12:12" x14ac:dyDescent="0.25">
      <c r="L3847" s="50"/>
    </row>
    <row r="3848" spans="12:12" x14ac:dyDescent="0.25">
      <c r="L3848" s="50"/>
    </row>
    <row r="3849" spans="12:12" x14ac:dyDescent="0.25">
      <c r="L3849" s="50"/>
    </row>
    <row r="3850" spans="12:12" x14ac:dyDescent="0.25">
      <c r="L3850" s="50"/>
    </row>
    <row r="3851" spans="12:12" x14ac:dyDescent="0.25">
      <c r="L3851" s="50"/>
    </row>
    <row r="3852" spans="12:12" x14ac:dyDescent="0.25">
      <c r="L3852" s="50"/>
    </row>
    <row r="3853" spans="12:12" x14ac:dyDescent="0.25">
      <c r="L3853" s="50"/>
    </row>
    <row r="3854" spans="12:12" x14ac:dyDescent="0.25">
      <c r="L3854" s="50"/>
    </row>
    <row r="3855" spans="12:12" x14ac:dyDescent="0.25">
      <c r="L3855" s="50"/>
    </row>
    <row r="3856" spans="12:12" x14ac:dyDescent="0.25">
      <c r="L3856" s="50"/>
    </row>
    <row r="3857" spans="12:12" x14ac:dyDescent="0.25">
      <c r="L3857" s="50"/>
    </row>
    <row r="3858" spans="12:12" x14ac:dyDescent="0.25">
      <c r="L3858" s="50"/>
    </row>
    <row r="3859" spans="12:12" x14ac:dyDescent="0.25">
      <c r="L3859" s="50"/>
    </row>
    <row r="3860" spans="12:12" x14ac:dyDescent="0.25">
      <c r="L3860" s="50"/>
    </row>
    <row r="3861" spans="12:12" x14ac:dyDescent="0.25">
      <c r="L3861" s="50"/>
    </row>
    <row r="3862" spans="12:12" x14ac:dyDescent="0.25">
      <c r="L3862" s="50"/>
    </row>
    <row r="3863" spans="12:12" x14ac:dyDescent="0.25">
      <c r="L3863" s="50"/>
    </row>
    <row r="3864" spans="12:12" x14ac:dyDescent="0.25">
      <c r="L3864" s="50"/>
    </row>
    <row r="3865" spans="12:12" x14ac:dyDescent="0.25">
      <c r="L3865" s="50"/>
    </row>
    <row r="3866" spans="12:12" x14ac:dyDescent="0.25">
      <c r="L3866" s="50"/>
    </row>
    <row r="3867" spans="12:12" x14ac:dyDescent="0.25">
      <c r="L3867" s="50"/>
    </row>
    <row r="3868" spans="12:12" x14ac:dyDescent="0.25">
      <c r="L3868" s="50"/>
    </row>
    <row r="3869" spans="12:12" x14ac:dyDescent="0.25">
      <c r="L3869" s="50"/>
    </row>
    <row r="3870" spans="12:12" x14ac:dyDescent="0.25">
      <c r="L3870" s="50"/>
    </row>
    <row r="3871" spans="12:12" x14ac:dyDescent="0.25">
      <c r="L3871" s="50"/>
    </row>
    <row r="3872" spans="12:12" x14ac:dyDescent="0.25">
      <c r="L3872" s="50"/>
    </row>
    <row r="3873" spans="12:12" x14ac:dyDescent="0.25">
      <c r="L3873" s="50"/>
    </row>
    <row r="3874" spans="12:12" x14ac:dyDescent="0.25">
      <c r="L3874" s="50"/>
    </row>
    <row r="3875" spans="12:12" x14ac:dyDescent="0.25">
      <c r="L3875" s="50"/>
    </row>
    <row r="3876" spans="12:12" x14ac:dyDescent="0.25">
      <c r="L3876" s="50"/>
    </row>
    <row r="3877" spans="12:12" x14ac:dyDescent="0.25">
      <c r="L3877" s="50"/>
    </row>
    <row r="3878" spans="12:12" x14ac:dyDescent="0.25">
      <c r="L3878" s="50"/>
    </row>
    <row r="3879" spans="12:12" x14ac:dyDescent="0.25">
      <c r="L3879" s="50"/>
    </row>
    <row r="3880" spans="12:12" x14ac:dyDescent="0.25">
      <c r="L3880" s="50"/>
    </row>
    <row r="3881" spans="12:12" x14ac:dyDescent="0.25">
      <c r="L3881" s="50"/>
    </row>
    <row r="3882" spans="12:12" x14ac:dyDescent="0.25">
      <c r="L3882" s="50"/>
    </row>
    <row r="3883" spans="12:12" x14ac:dyDescent="0.25">
      <c r="L3883" s="50"/>
    </row>
    <row r="3884" spans="12:12" x14ac:dyDescent="0.25">
      <c r="L3884" s="50"/>
    </row>
    <row r="3885" spans="12:12" x14ac:dyDescent="0.25">
      <c r="L3885" s="50"/>
    </row>
    <row r="3886" spans="12:12" x14ac:dyDescent="0.25">
      <c r="L3886" s="50"/>
    </row>
    <row r="3887" spans="12:12" x14ac:dyDescent="0.25">
      <c r="L3887" s="50"/>
    </row>
    <row r="3888" spans="12:12" x14ac:dyDescent="0.25">
      <c r="L3888" s="50"/>
    </row>
    <row r="3889" spans="12:12" x14ac:dyDescent="0.25">
      <c r="L3889" s="50"/>
    </row>
    <row r="3890" spans="12:12" x14ac:dyDescent="0.25">
      <c r="L3890" s="50"/>
    </row>
    <row r="3891" spans="12:12" x14ac:dyDescent="0.25">
      <c r="L3891" s="50"/>
    </row>
    <row r="3892" spans="12:12" x14ac:dyDescent="0.25">
      <c r="L3892" s="50"/>
    </row>
    <row r="3893" spans="12:12" x14ac:dyDescent="0.25">
      <c r="L3893" s="50"/>
    </row>
    <row r="3894" spans="12:12" x14ac:dyDescent="0.25">
      <c r="L3894" s="50"/>
    </row>
    <row r="3895" spans="12:12" x14ac:dyDescent="0.25">
      <c r="L3895" s="50"/>
    </row>
    <row r="3896" spans="12:12" x14ac:dyDescent="0.25">
      <c r="L3896" s="50"/>
    </row>
    <row r="3897" spans="12:12" x14ac:dyDescent="0.25">
      <c r="L3897" s="50"/>
    </row>
    <row r="3898" spans="12:12" x14ac:dyDescent="0.25">
      <c r="L3898" s="50"/>
    </row>
    <row r="3899" spans="12:12" x14ac:dyDescent="0.25">
      <c r="L3899" s="50"/>
    </row>
    <row r="3900" spans="12:12" x14ac:dyDescent="0.25">
      <c r="L3900" s="50"/>
    </row>
    <row r="3901" spans="12:12" x14ac:dyDescent="0.25">
      <c r="L3901" s="50"/>
    </row>
    <row r="3902" spans="12:12" x14ac:dyDescent="0.25">
      <c r="L3902" s="50"/>
    </row>
    <row r="3903" spans="12:12" x14ac:dyDescent="0.25">
      <c r="L3903" s="50"/>
    </row>
    <row r="3904" spans="12:12" x14ac:dyDescent="0.25">
      <c r="L3904" s="50"/>
    </row>
    <row r="3905" spans="12:12" x14ac:dyDescent="0.25">
      <c r="L3905" s="50"/>
    </row>
    <row r="3906" spans="12:12" x14ac:dyDescent="0.25">
      <c r="L3906" s="50"/>
    </row>
    <row r="3907" spans="12:12" x14ac:dyDescent="0.25">
      <c r="L3907" s="50"/>
    </row>
    <row r="3908" spans="12:12" x14ac:dyDescent="0.25">
      <c r="L3908" s="50"/>
    </row>
    <row r="3909" spans="12:12" x14ac:dyDescent="0.25">
      <c r="L3909" s="50"/>
    </row>
    <row r="3910" spans="12:12" x14ac:dyDescent="0.25">
      <c r="L3910" s="50"/>
    </row>
    <row r="3911" spans="12:12" x14ac:dyDescent="0.25">
      <c r="L3911" s="50"/>
    </row>
    <row r="3912" spans="12:12" x14ac:dyDescent="0.25">
      <c r="L3912" s="50"/>
    </row>
    <row r="3913" spans="12:12" x14ac:dyDescent="0.25">
      <c r="L3913" s="50"/>
    </row>
    <row r="3914" spans="12:12" x14ac:dyDescent="0.25">
      <c r="L3914" s="50"/>
    </row>
    <row r="3915" spans="12:12" x14ac:dyDescent="0.25">
      <c r="L3915" s="50"/>
    </row>
    <row r="3916" spans="12:12" x14ac:dyDescent="0.25">
      <c r="L3916" s="50"/>
    </row>
    <row r="3917" spans="12:12" x14ac:dyDescent="0.25">
      <c r="L3917" s="50"/>
    </row>
    <row r="3918" spans="12:12" x14ac:dyDescent="0.25">
      <c r="L3918" s="50"/>
    </row>
    <row r="3919" spans="12:12" x14ac:dyDescent="0.25">
      <c r="L3919" s="50"/>
    </row>
    <row r="3920" spans="12:12" x14ac:dyDescent="0.25">
      <c r="L3920" s="50"/>
    </row>
    <row r="3921" spans="12:12" x14ac:dyDescent="0.25">
      <c r="L3921" s="50"/>
    </row>
    <row r="3922" spans="12:12" x14ac:dyDescent="0.25">
      <c r="L3922" s="50"/>
    </row>
    <row r="3923" spans="12:12" x14ac:dyDescent="0.25">
      <c r="L3923" s="50"/>
    </row>
    <row r="3924" spans="12:12" x14ac:dyDescent="0.25">
      <c r="L3924" s="50"/>
    </row>
    <row r="3925" spans="12:12" x14ac:dyDescent="0.25">
      <c r="L3925" s="50"/>
    </row>
    <row r="3926" spans="12:12" x14ac:dyDescent="0.25">
      <c r="L3926" s="50"/>
    </row>
    <row r="3927" spans="12:12" x14ac:dyDescent="0.25">
      <c r="L3927" s="50"/>
    </row>
    <row r="3928" spans="12:12" x14ac:dyDescent="0.25">
      <c r="L3928" s="50"/>
    </row>
    <row r="3929" spans="12:12" x14ac:dyDescent="0.25">
      <c r="L3929" s="50"/>
    </row>
    <row r="3930" spans="12:12" x14ac:dyDescent="0.25">
      <c r="L3930" s="50"/>
    </row>
    <row r="3931" spans="12:12" x14ac:dyDescent="0.25">
      <c r="L3931" s="50"/>
    </row>
    <row r="3932" spans="12:12" x14ac:dyDescent="0.25">
      <c r="L3932" s="50"/>
    </row>
    <row r="3933" spans="12:12" x14ac:dyDescent="0.25">
      <c r="L3933" s="50"/>
    </row>
    <row r="3934" spans="12:12" x14ac:dyDescent="0.25">
      <c r="L3934" s="50"/>
    </row>
    <row r="3935" spans="12:12" x14ac:dyDescent="0.25">
      <c r="L3935" s="50"/>
    </row>
    <row r="3936" spans="12:12" x14ac:dyDescent="0.25">
      <c r="L3936" s="50"/>
    </row>
    <row r="3937" spans="12:12" x14ac:dyDescent="0.25">
      <c r="L3937" s="50"/>
    </row>
    <row r="3938" spans="12:12" x14ac:dyDescent="0.25">
      <c r="L3938" s="50"/>
    </row>
    <row r="3939" spans="12:12" x14ac:dyDescent="0.25">
      <c r="L3939" s="50"/>
    </row>
    <row r="3940" spans="12:12" x14ac:dyDescent="0.25">
      <c r="L3940" s="50"/>
    </row>
    <row r="3941" spans="12:12" x14ac:dyDescent="0.25">
      <c r="L3941" s="50"/>
    </row>
    <row r="3942" spans="12:12" x14ac:dyDescent="0.25">
      <c r="L3942" s="50"/>
    </row>
    <row r="3943" spans="12:12" x14ac:dyDescent="0.25">
      <c r="L3943" s="50"/>
    </row>
    <row r="3944" spans="12:12" x14ac:dyDescent="0.25">
      <c r="L3944" s="50"/>
    </row>
    <row r="3945" spans="12:12" x14ac:dyDescent="0.25">
      <c r="L3945" s="50"/>
    </row>
    <row r="3946" spans="12:12" x14ac:dyDescent="0.25">
      <c r="L3946" s="50"/>
    </row>
    <row r="3947" spans="12:12" x14ac:dyDescent="0.25">
      <c r="L3947" s="50"/>
    </row>
    <row r="3948" spans="12:12" x14ac:dyDescent="0.25">
      <c r="L3948" s="50"/>
    </row>
    <row r="3949" spans="12:12" x14ac:dyDescent="0.25">
      <c r="L3949" s="50"/>
    </row>
    <row r="3950" spans="12:12" x14ac:dyDescent="0.25">
      <c r="L3950" s="50"/>
    </row>
    <row r="3951" spans="12:12" x14ac:dyDescent="0.25">
      <c r="L3951" s="50"/>
    </row>
    <row r="3952" spans="12:12" x14ac:dyDescent="0.25">
      <c r="L3952" s="50"/>
    </row>
    <row r="3953" spans="12:12" x14ac:dyDescent="0.25">
      <c r="L3953" s="50"/>
    </row>
    <row r="3954" spans="12:12" x14ac:dyDescent="0.25">
      <c r="L3954" s="50"/>
    </row>
    <row r="3955" spans="12:12" x14ac:dyDescent="0.25">
      <c r="L3955" s="50"/>
    </row>
    <row r="3956" spans="12:12" x14ac:dyDescent="0.25">
      <c r="L3956" s="50"/>
    </row>
    <row r="3957" spans="12:12" x14ac:dyDescent="0.25">
      <c r="L3957" s="50"/>
    </row>
    <row r="3958" spans="12:12" x14ac:dyDescent="0.25">
      <c r="L3958" s="50"/>
    </row>
    <row r="3959" spans="12:12" x14ac:dyDescent="0.25">
      <c r="L3959" s="50"/>
    </row>
    <row r="3960" spans="12:12" x14ac:dyDescent="0.25">
      <c r="L3960" s="50"/>
    </row>
    <row r="3961" spans="12:12" x14ac:dyDescent="0.25">
      <c r="L3961" s="50"/>
    </row>
    <row r="3962" spans="12:12" x14ac:dyDescent="0.25">
      <c r="L3962" s="50"/>
    </row>
    <row r="3963" spans="12:12" x14ac:dyDescent="0.25">
      <c r="L3963" s="50"/>
    </row>
    <row r="3964" spans="12:12" x14ac:dyDescent="0.25">
      <c r="L3964" s="50"/>
    </row>
    <row r="3965" spans="12:12" x14ac:dyDescent="0.25">
      <c r="L3965" s="50"/>
    </row>
    <row r="3966" spans="12:12" x14ac:dyDescent="0.25">
      <c r="L3966" s="50"/>
    </row>
    <row r="3967" spans="12:12" x14ac:dyDescent="0.25">
      <c r="L3967" s="50"/>
    </row>
    <row r="3968" spans="12:12" x14ac:dyDescent="0.25">
      <c r="L3968" s="50"/>
    </row>
    <row r="3969" spans="12:12" x14ac:dyDescent="0.25">
      <c r="L3969" s="50"/>
    </row>
    <row r="3970" spans="12:12" x14ac:dyDescent="0.25">
      <c r="L3970" s="50"/>
    </row>
    <row r="3971" spans="12:12" x14ac:dyDescent="0.25">
      <c r="L3971" s="50"/>
    </row>
    <row r="3972" spans="12:12" x14ac:dyDescent="0.25">
      <c r="L3972" s="50"/>
    </row>
    <row r="3973" spans="12:12" x14ac:dyDescent="0.25">
      <c r="L3973" s="50"/>
    </row>
    <row r="3974" spans="12:12" x14ac:dyDescent="0.25">
      <c r="L3974" s="50"/>
    </row>
    <row r="3975" spans="12:12" x14ac:dyDescent="0.25">
      <c r="L3975" s="50"/>
    </row>
    <row r="3976" spans="12:12" x14ac:dyDescent="0.25">
      <c r="L3976" s="50"/>
    </row>
    <row r="3977" spans="12:12" x14ac:dyDescent="0.25">
      <c r="L3977" s="50"/>
    </row>
    <row r="3978" spans="12:12" x14ac:dyDescent="0.25">
      <c r="L3978" s="50"/>
    </row>
    <row r="3979" spans="12:12" x14ac:dyDescent="0.25">
      <c r="L3979" s="50"/>
    </row>
    <row r="3980" spans="12:12" x14ac:dyDescent="0.25">
      <c r="L3980" s="50"/>
    </row>
    <row r="3981" spans="12:12" x14ac:dyDescent="0.25">
      <c r="L3981" s="50"/>
    </row>
    <row r="3982" spans="12:12" x14ac:dyDescent="0.25">
      <c r="L3982" s="50"/>
    </row>
    <row r="3983" spans="12:12" x14ac:dyDescent="0.25">
      <c r="L3983" s="50"/>
    </row>
    <row r="3984" spans="12:12" x14ac:dyDescent="0.25">
      <c r="L3984" s="50"/>
    </row>
    <row r="3985" spans="12:12" x14ac:dyDescent="0.25">
      <c r="L3985" s="50"/>
    </row>
    <row r="3986" spans="12:12" x14ac:dyDescent="0.25">
      <c r="L3986" s="50"/>
    </row>
    <row r="3987" spans="12:12" x14ac:dyDescent="0.25">
      <c r="L3987" s="50"/>
    </row>
    <row r="3988" spans="12:12" x14ac:dyDescent="0.25">
      <c r="L3988" s="50"/>
    </row>
    <row r="3989" spans="12:12" x14ac:dyDescent="0.25">
      <c r="L3989" s="50"/>
    </row>
    <row r="3990" spans="12:12" x14ac:dyDescent="0.25">
      <c r="L3990" s="50"/>
    </row>
    <row r="3991" spans="12:12" x14ac:dyDescent="0.25">
      <c r="L3991" s="50"/>
    </row>
    <row r="3992" spans="12:12" x14ac:dyDescent="0.25">
      <c r="L3992" s="50"/>
    </row>
    <row r="3993" spans="12:12" x14ac:dyDescent="0.25">
      <c r="L3993" s="50"/>
    </row>
    <row r="3994" spans="12:12" x14ac:dyDescent="0.25">
      <c r="L3994" s="50"/>
    </row>
    <row r="3995" spans="12:12" x14ac:dyDescent="0.25">
      <c r="L3995" s="50"/>
    </row>
    <row r="3996" spans="12:12" x14ac:dyDescent="0.25">
      <c r="L3996" s="50"/>
    </row>
    <row r="3997" spans="12:12" x14ac:dyDescent="0.25">
      <c r="L3997" s="50"/>
    </row>
    <row r="3998" spans="12:12" x14ac:dyDescent="0.25">
      <c r="L3998" s="50"/>
    </row>
    <row r="3999" spans="12:12" x14ac:dyDescent="0.25">
      <c r="L3999" s="50"/>
    </row>
    <row r="4000" spans="12:12" x14ac:dyDescent="0.25">
      <c r="L4000" s="50"/>
    </row>
    <row r="4001" spans="12:12" x14ac:dyDescent="0.25">
      <c r="L4001" s="50"/>
    </row>
    <row r="4002" spans="12:12" x14ac:dyDescent="0.25">
      <c r="L4002" s="50"/>
    </row>
    <row r="4003" spans="12:12" x14ac:dyDescent="0.25">
      <c r="L4003" s="50"/>
    </row>
    <row r="4004" spans="12:12" x14ac:dyDescent="0.25">
      <c r="L4004" s="50"/>
    </row>
    <row r="4005" spans="12:12" x14ac:dyDescent="0.25">
      <c r="L4005" s="50"/>
    </row>
    <row r="4006" spans="12:12" x14ac:dyDescent="0.25">
      <c r="L4006" s="50"/>
    </row>
    <row r="4007" spans="12:12" x14ac:dyDescent="0.25">
      <c r="L4007" s="50"/>
    </row>
    <row r="4008" spans="12:12" x14ac:dyDescent="0.25">
      <c r="L4008" s="50"/>
    </row>
    <row r="4009" spans="12:12" x14ac:dyDescent="0.25">
      <c r="L4009" s="50"/>
    </row>
    <row r="4010" spans="12:12" x14ac:dyDescent="0.25">
      <c r="L4010" s="50"/>
    </row>
    <row r="4011" spans="12:12" x14ac:dyDescent="0.25">
      <c r="L4011" s="50"/>
    </row>
    <row r="4012" spans="12:12" x14ac:dyDescent="0.25">
      <c r="L4012" s="50"/>
    </row>
    <row r="4013" spans="12:12" x14ac:dyDescent="0.25">
      <c r="L4013" s="50"/>
    </row>
    <row r="4014" spans="12:12" x14ac:dyDescent="0.25">
      <c r="L4014" s="50"/>
    </row>
    <row r="4015" spans="12:12" x14ac:dyDescent="0.25">
      <c r="L4015" s="50"/>
    </row>
    <row r="4016" spans="12:12" x14ac:dyDescent="0.25">
      <c r="L4016" s="50"/>
    </row>
    <row r="4017" spans="12:12" x14ac:dyDescent="0.25">
      <c r="L4017" s="50"/>
    </row>
    <row r="4018" spans="12:12" x14ac:dyDescent="0.25">
      <c r="L4018" s="50"/>
    </row>
    <row r="4019" spans="12:12" x14ac:dyDescent="0.25">
      <c r="L4019" s="50"/>
    </row>
    <row r="4020" spans="12:12" x14ac:dyDescent="0.25">
      <c r="L4020" s="50"/>
    </row>
    <row r="4021" spans="12:12" x14ac:dyDescent="0.25">
      <c r="L4021" s="50"/>
    </row>
    <row r="4022" spans="12:12" x14ac:dyDescent="0.25">
      <c r="L4022" s="50"/>
    </row>
    <row r="4023" spans="12:12" x14ac:dyDescent="0.25">
      <c r="L4023" s="50"/>
    </row>
    <row r="4024" spans="12:12" x14ac:dyDescent="0.25">
      <c r="L4024" s="50"/>
    </row>
    <row r="4025" spans="12:12" x14ac:dyDescent="0.25">
      <c r="L4025" s="50"/>
    </row>
    <row r="4026" spans="12:12" x14ac:dyDescent="0.25">
      <c r="L4026" s="50"/>
    </row>
    <row r="4027" spans="12:12" x14ac:dyDescent="0.25">
      <c r="L4027" s="50"/>
    </row>
    <row r="4028" spans="12:12" x14ac:dyDescent="0.25">
      <c r="L4028" s="50"/>
    </row>
    <row r="4029" spans="12:12" x14ac:dyDescent="0.25">
      <c r="L4029" s="50"/>
    </row>
    <row r="4030" spans="12:12" x14ac:dyDescent="0.25">
      <c r="L4030" s="50"/>
    </row>
    <row r="4031" spans="12:12" x14ac:dyDescent="0.25">
      <c r="L4031" s="50"/>
    </row>
    <row r="4032" spans="12:12" x14ac:dyDescent="0.25">
      <c r="L4032" s="50"/>
    </row>
    <row r="4033" spans="12:12" x14ac:dyDescent="0.25">
      <c r="L4033" s="50"/>
    </row>
    <row r="4034" spans="12:12" x14ac:dyDescent="0.25">
      <c r="L4034" s="50"/>
    </row>
    <row r="4035" spans="12:12" x14ac:dyDescent="0.25">
      <c r="L4035" s="50"/>
    </row>
    <row r="4036" spans="12:12" x14ac:dyDescent="0.25">
      <c r="L4036" s="50"/>
    </row>
    <row r="4037" spans="12:12" x14ac:dyDescent="0.25">
      <c r="L4037" s="50"/>
    </row>
    <row r="4038" spans="12:12" x14ac:dyDescent="0.25">
      <c r="L4038" s="50"/>
    </row>
    <row r="4039" spans="12:12" x14ac:dyDescent="0.25">
      <c r="L4039" s="50"/>
    </row>
    <row r="4040" spans="12:12" x14ac:dyDescent="0.25">
      <c r="L4040" s="50"/>
    </row>
    <row r="4041" spans="12:12" x14ac:dyDescent="0.25">
      <c r="L4041" s="50"/>
    </row>
    <row r="4042" spans="12:12" x14ac:dyDescent="0.25">
      <c r="L4042" s="50"/>
    </row>
    <row r="4043" spans="12:12" x14ac:dyDescent="0.25">
      <c r="L4043" s="50"/>
    </row>
    <row r="4044" spans="12:12" x14ac:dyDescent="0.25">
      <c r="L4044" s="50"/>
    </row>
    <row r="4045" spans="12:12" x14ac:dyDescent="0.25">
      <c r="L4045" s="50"/>
    </row>
    <row r="4046" spans="12:12" x14ac:dyDescent="0.25">
      <c r="L4046" s="50"/>
    </row>
    <row r="4047" spans="12:12" x14ac:dyDescent="0.25">
      <c r="L4047" s="50"/>
    </row>
    <row r="4048" spans="12:12" x14ac:dyDescent="0.25">
      <c r="L4048" s="50"/>
    </row>
    <row r="4049" spans="12:12" x14ac:dyDescent="0.25">
      <c r="L4049" s="50"/>
    </row>
    <row r="4050" spans="12:12" x14ac:dyDescent="0.25">
      <c r="L4050" s="50"/>
    </row>
    <row r="4051" spans="12:12" x14ac:dyDescent="0.25">
      <c r="L4051" s="50"/>
    </row>
    <row r="4052" spans="12:12" x14ac:dyDescent="0.25">
      <c r="L4052" s="50"/>
    </row>
    <row r="4053" spans="12:12" x14ac:dyDescent="0.25">
      <c r="L4053" s="50"/>
    </row>
    <row r="4054" spans="12:12" x14ac:dyDescent="0.25">
      <c r="L4054" s="50"/>
    </row>
    <row r="4055" spans="12:12" x14ac:dyDescent="0.25">
      <c r="L4055" s="50"/>
    </row>
    <row r="4056" spans="12:12" x14ac:dyDescent="0.25">
      <c r="L4056" s="50"/>
    </row>
    <row r="4057" spans="12:12" x14ac:dyDescent="0.25">
      <c r="L4057" s="50"/>
    </row>
    <row r="4058" spans="12:12" x14ac:dyDescent="0.25">
      <c r="L4058" s="50"/>
    </row>
    <row r="4059" spans="12:12" x14ac:dyDescent="0.25">
      <c r="L4059" s="50"/>
    </row>
    <row r="4060" spans="12:12" x14ac:dyDescent="0.25">
      <c r="L4060" s="50"/>
    </row>
    <row r="4061" spans="12:12" x14ac:dyDescent="0.25">
      <c r="L4061" s="50"/>
    </row>
    <row r="4062" spans="12:12" x14ac:dyDescent="0.25">
      <c r="L4062" s="50"/>
    </row>
    <row r="4063" spans="12:12" x14ac:dyDescent="0.25">
      <c r="L4063" s="50"/>
    </row>
    <row r="4064" spans="12:12" x14ac:dyDescent="0.25">
      <c r="L4064" s="50"/>
    </row>
    <row r="4065" spans="12:12" x14ac:dyDescent="0.25">
      <c r="L4065" s="50"/>
    </row>
    <row r="4066" spans="12:12" x14ac:dyDescent="0.25">
      <c r="L4066" s="50"/>
    </row>
    <row r="4067" spans="12:12" x14ac:dyDescent="0.25">
      <c r="L4067" s="50"/>
    </row>
    <row r="4068" spans="12:12" x14ac:dyDescent="0.25">
      <c r="L4068" s="50"/>
    </row>
    <row r="4069" spans="12:12" x14ac:dyDescent="0.25">
      <c r="L4069" s="50"/>
    </row>
    <row r="4070" spans="12:12" x14ac:dyDescent="0.25">
      <c r="L4070" s="50"/>
    </row>
    <row r="4071" spans="12:12" x14ac:dyDescent="0.25">
      <c r="L4071" s="50"/>
    </row>
    <row r="4072" spans="12:12" x14ac:dyDescent="0.25">
      <c r="L4072" s="50"/>
    </row>
    <row r="4073" spans="12:12" x14ac:dyDescent="0.25">
      <c r="L4073" s="50"/>
    </row>
    <row r="4074" spans="12:12" x14ac:dyDescent="0.25">
      <c r="L4074" s="50"/>
    </row>
    <row r="4075" spans="12:12" x14ac:dyDescent="0.25">
      <c r="L4075" s="50"/>
    </row>
    <row r="4076" spans="12:12" x14ac:dyDescent="0.25">
      <c r="L4076" s="50"/>
    </row>
    <row r="4077" spans="12:12" x14ac:dyDescent="0.25">
      <c r="L4077" s="50"/>
    </row>
    <row r="4078" spans="12:12" x14ac:dyDescent="0.25">
      <c r="L4078" s="50"/>
    </row>
    <row r="4079" spans="12:12" x14ac:dyDescent="0.25">
      <c r="L4079" s="50"/>
    </row>
    <row r="4080" spans="12:12" x14ac:dyDescent="0.25">
      <c r="L4080" s="50"/>
    </row>
    <row r="4081" spans="12:12" x14ac:dyDescent="0.25">
      <c r="L4081" s="50"/>
    </row>
    <row r="4082" spans="12:12" x14ac:dyDescent="0.25">
      <c r="L4082" s="50"/>
    </row>
    <row r="4083" spans="12:12" x14ac:dyDescent="0.25">
      <c r="L4083" s="50"/>
    </row>
    <row r="4084" spans="12:12" x14ac:dyDescent="0.25">
      <c r="L4084" s="50"/>
    </row>
    <row r="4085" spans="12:12" x14ac:dyDescent="0.25">
      <c r="L4085" s="50"/>
    </row>
    <row r="4086" spans="12:12" x14ac:dyDescent="0.25">
      <c r="L4086" s="50"/>
    </row>
    <row r="4087" spans="12:12" x14ac:dyDescent="0.25">
      <c r="L4087" s="50"/>
    </row>
    <row r="4088" spans="12:12" x14ac:dyDescent="0.25">
      <c r="L4088" s="50"/>
    </row>
    <row r="4089" spans="12:12" x14ac:dyDescent="0.25">
      <c r="L4089" s="50"/>
    </row>
    <row r="4090" spans="12:12" x14ac:dyDescent="0.25">
      <c r="L4090" s="50"/>
    </row>
    <row r="4091" spans="12:12" x14ac:dyDescent="0.25">
      <c r="L4091" s="50"/>
    </row>
    <row r="4092" spans="12:12" x14ac:dyDescent="0.25">
      <c r="L4092" s="50"/>
    </row>
    <row r="4093" spans="12:12" x14ac:dyDescent="0.25">
      <c r="L4093" s="50"/>
    </row>
    <row r="4094" spans="12:12" x14ac:dyDescent="0.25">
      <c r="L4094" s="50"/>
    </row>
    <row r="4095" spans="12:12" x14ac:dyDescent="0.25">
      <c r="L4095" s="50"/>
    </row>
    <row r="4096" spans="12:12" x14ac:dyDescent="0.25">
      <c r="L4096" s="50"/>
    </row>
    <row r="4097" spans="12:12" x14ac:dyDescent="0.25">
      <c r="L4097" s="50"/>
    </row>
    <row r="4098" spans="12:12" x14ac:dyDescent="0.25">
      <c r="L4098" s="50"/>
    </row>
    <row r="4099" spans="12:12" x14ac:dyDescent="0.25">
      <c r="L4099" s="50"/>
    </row>
    <row r="4100" spans="12:12" x14ac:dyDescent="0.25">
      <c r="L4100" s="50"/>
    </row>
    <row r="4101" spans="12:12" x14ac:dyDescent="0.25">
      <c r="L4101" s="50"/>
    </row>
    <row r="4102" spans="12:12" x14ac:dyDescent="0.25">
      <c r="L4102" s="50"/>
    </row>
    <row r="4103" spans="12:12" x14ac:dyDescent="0.25">
      <c r="L4103" s="50"/>
    </row>
    <row r="4104" spans="12:12" x14ac:dyDescent="0.25">
      <c r="L4104" s="50"/>
    </row>
    <row r="4105" spans="12:12" x14ac:dyDescent="0.25">
      <c r="L4105" s="50"/>
    </row>
    <row r="4106" spans="12:12" x14ac:dyDescent="0.25">
      <c r="L4106" s="50"/>
    </row>
    <row r="4107" spans="12:12" x14ac:dyDescent="0.25">
      <c r="L4107" s="50"/>
    </row>
    <row r="4108" spans="12:12" x14ac:dyDescent="0.25">
      <c r="L4108" s="50"/>
    </row>
    <row r="4109" spans="12:12" x14ac:dyDescent="0.25">
      <c r="L4109" s="50"/>
    </row>
    <row r="4110" spans="12:12" x14ac:dyDescent="0.25">
      <c r="L4110" s="50"/>
    </row>
    <row r="4111" spans="12:12" x14ac:dyDescent="0.25">
      <c r="L4111" s="50"/>
    </row>
    <row r="4112" spans="12:12" x14ac:dyDescent="0.25">
      <c r="L4112" s="50"/>
    </row>
    <row r="4113" spans="12:12" x14ac:dyDescent="0.25">
      <c r="L4113" s="50"/>
    </row>
    <row r="4114" spans="12:12" x14ac:dyDescent="0.25">
      <c r="L4114" s="50"/>
    </row>
    <row r="4115" spans="12:12" x14ac:dyDescent="0.25">
      <c r="L4115" s="50"/>
    </row>
    <row r="4116" spans="12:12" x14ac:dyDescent="0.25">
      <c r="L4116" s="50"/>
    </row>
    <row r="4117" spans="12:12" x14ac:dyDescent="0.25">
      <c r="L4117" s="50"/>
    </row>
    <row r="4118" spans="12:12" x14ac:dyDescent="0.25">
      <c r="L4118" s="50"/>
    </row>
    <row r="4119" spans="12:12" x14ac:dyDescent="0.25">
      <c r="L4119" s="50"/>
    </row>
    <row r="4120" spans="12:12" x14ac:dyDescent="0.25">
      <c r="L4120" s="50"/>
    </row>
    <row r="4121" spans="12:12" x14ac:dyDescent="0.25">
      <c r="L4121" s="50"/>
    </row>
    <row r="4122" spans="12:12" x14ac:dyDescent="0.25">
      <c r="L4122" s="50"/>
    </row>
    <row r="4123" spans="12:12" x14ac:dyDescent="0.25">
      <c r="L4123" s="50"/>
    </row>
    <row r="4124" spans="12:12" x14ac:dyDescent="0.25">
      <c r="L4124" s="50"/>
    </row>
    <row r="4125" spans="12:12" x14ac:dyDescent="0.25">
      <c r="L4125" s="50"/>
    </row>
    <row r="4126" spans="12:12" x14ac:dyDescent="0.25">
      <c r="L4126" s="50"/>
    </row>
    <row r="4127" spans="12:12" x14ac:dyDescent="0.25">
      <c r="L4127" s="50"/>
    </row>
    <row r="4128" spans="12:12" x14ac:dyDescent="0.25">
      <c r="L4128" s="50"/>
    </row>
    <row r="4129" spans="12:12" x14ac:dyDescent="0.25">
      <c r="L4129" s="50"/>
    </row>
    <row r="4130" spans="12:12" x14ac:dyDescent="0.25">
      <c r="L4130" s="50"/>
    </row>
    <row r="4131" spans="12:12" x14ac:dyDescent="0.25">
      <c r="L4131" s="50"/>
    </row>
    <row r="4132" spans="12:12" x14ac:dyDescent="0.25">
      <c r="L4132" s="50"/>
    </row>
    <row r="4133" spans="12:12" x14ac:dyDescent="0.25">
      <c r="L4133" s="50"/>
    </row>
    <row r="4134" spans="12:12" x14ac:dyDescent="0.25">
      <c r="L4134" s="50"/>
    </row>
    <row r="4135" spans="12:12" x14ac:dyDescent="0.25">
      <c r="L4135" s="50"/>
    </row>
    <row r="4136" spans="12:12" x14ac:dyDescent="0.25">
      <c r="L4136" s="50"/>
    </row>
    <row r="4137" spans="12:12" x14ac:dyDescent="0.25">
      <c r="L4137" s="50"/>
    </row>
    <row r="4138" spans="12:12" x14ac:dyDescent="0.25">
      <c r="L4138" s="50"/>
    </row>
    <row r="4139" spans="12:12" x14ac:dyDescent="0.25">
      <c r="L4139" s="50"/>
    </row>
    <row r="4140" spans="12:12" x14ac:dyDescent="0.25">
      <c r="L4140" s="50"/>
    </row>
    <row r="4141" spans="12:12" x14ac:dyDescent="0.25">
      <c r="L4141" s="50"/>
    </row>
    <row r="4142" spans="12:12" x14ac:dyDescent="0.25">
      <c r="L4142" s="50"/>
    </row>
    <row r="4143" spans="12:12" x14ac:dyDescent="0.25">
      <c r="L4143" s="50"/>
    </row>
    <row r="4144" spans="12:12" x14ac:dyDescent="0.25">
      <c r="L4144" s="50"/>
    </row>
    <row r="4145" spans="12:12" x14ac:dyDescent="0.25">
      <c r="L4145" s="50"/>
    </row>
    <row r="4146" spans="12:12" x14ac:dyDescent="0.25">
      <c r="L4146" s="50"/>
    </row>
    <row r="4147" spans="12:12" x14ac:dyDescent="0.25">
      <c r="L4147" s="50"/>
    </row>
    <row r="4148" spans="12:12" x14ac:dyDescent="0.25">
      <c r="L4148" s="50"/>
    </row>
    <row r="4149" spans="12:12" x14ac:dyDescent="0.25">
      <c r="L4149" s="50"/>
    </row>
    <row r="4150" spans="12:12" x14ac:dyDescent="0.25">
      <c r="L4150" s="50"/>
    </row>
    <row r="4151" spans="12:12" x14ac:dyDescent="0.25">
      <c r="L4151" s="50"/>
    </row>
    <row r="4152" spans="12:12" x14ac:dyDescent="0.25">
      <c r="L4152" s="50"/>
    </row>
    <row r="4153" spans="12:12" x14ac:dyDescent="0.25">
      <c r="L4153" s="50"/>
    </row>
    <row r="4154" spans="12:12" x14ac:dyDescent="0.25">
      <c r="L4154" s="50"/>
    </row>
    <row r="4155" spans="12:12" x14ac:dyDescent="0.25">
      <c r="L4155" s="50"/>
    </row>
    <row r="4156" spans="12:12" x14ac:dyDescent="0.25">
      <c r="L4156" s="50"/>
    </row>
    <row r="4157" spans="12:12" x14ac:dyDescent="0.25">
      <c r="L4157" s="50"/>
    </row>
    <row r="4158" spans="12:12" x14ac:dyDescent="0.25">
      <c r="L4158" s="50"/>
    </row>
    <row r="4159" spans="12:12" x14ac:dyDescent="0.25">
      <c r="L4159" s="50"/>
    </row>
    <row r="4160" spans="12:12" x14ac:dyDescent="0.25">
      <c r="L4160" s="50"/>
    </row>
    <row r="4161" spans="12:12" x14ac:dyDescent="0.25">
      <c r="L4161" s="50"/>
    </row>
    <row r="4162" spans="12:12" x14ac:dyDescent="0.25">
      <c r="L4162" s="50"/>
    </row>
    <row r="4163" spans="12:12" x14ac:dyDescent="0.25">
      <c r="L4163" s="50"/>
    </row>
    <row r="4164" spans="12:12" x14ac:dyDescent="0.25">
      <c r="L4164" s="50"/>
    </row>
    <row r="4165" spans="12:12" x14ac:dyDescent="0.25">
      <c r="L4165" s="50"/>
    </row>
    <row r="4166" spans="12:12" x14ac:dyDescent="0.25">
      <c r="L4166" s="50"/>
    </row>
    <row r="4167" spans="12:12" x14ac:dyDescent="0.25">
      <c r="L4167" s="50"/>
    </row>
    <row r="4168" spans="12:12" x14ac:dyDescent="0.25">
      <c r="L4168" s="50"/>
    </row>
    <row r="4169" spans="12:12" x14ac:dyDescent="0.25">
      <c r="L4169" s="50"/>
    </row>
    <row r="4170" spans="12:12" x14ac:dyDescent="0.25">
      <c r="L4170" s="50"/>
    </row>
    <row r="4171" spans="12:12" x14ac:dyDescent="0.25">
      <c r="L4171" s="50"/>
    </row>
    <row r="4172" spans="12:12" x14ac:dyDescent="0.25">
      <c r="L4172" s="50"/>
    </row>
    <row r="4173" spans="12:12" x14ac:dyDescent="0.25">
      <c r="L4173" s="50"/>
    </row>
    <row r="4174" spans="12:12" x14ac:dyDescent="0.25">
      <c r="L4174" s="50"/>
    </row>
    <row r="4175" spans="12:12" x14ac:dyDescent="0.25">
      <c r="L4175" s="50"/>
    </row>
    <row r="4176" spans="12:12" x14ac:dyDescent="0.25">
      <c r="L4176" s="50"/>
    </row>
    <row r="4177" spans="12:12" x14ac:dyDescent="0.25">
      <c r="L4177" s="50"/>
    </row>
    <row r="4178" spans="12:12" x14ac:dyDescent="0.25">
      <c r="L4178" s="50"/>
    </row>
    <row r="4179" spans="12:12" x14ac:dyDescent="0.25">
      <c r="L4179" s="50"/>
    </row>
    <row r="4180" spans="12:12" x14ac:dyDescent="0.25">
      <c r="L4180" s="50"/>
    </row>
    <row r="4181" spans="12:12" x14ac:dyDescent="0.25">
      <c r="L4181" s="50"/>
    </row>
    <row r="4182" spans="12:12" x14ac:dyDescent="0.25">
      <c r="L4182" s="50"/>
    </row>
    <row r="4183" spans="12:12" x14ac:dyDescent="0.25">
      <c r="L4183" s="50"/>
    </row>
    <row r="4184" spans="12:12" x14ac:dyDescent="0.25">
      <c r="L4184" s="50"/>
    </row>
    <row r="4185" spans="12:12" x14ac:dyDescent="0.25">
      <c r="L4185" s="50"/>
    </row>
    <row r="4186" spans="12:12" x14ac:dyDescent="0.25">
      <c r="L4186" s="50"/>
    </row>
    <row r="4187" spans="12:12" x14ac:dyDescent="0.25">
      <c r="L4187" s="50"/>
    </row>
    <row r="4188" spans="12:12" x14ac:dyDescent="0.25">
      <c r="L4188" s="50"/>
    </row>
    <row r="4189" spans="12:12" x14ac:dyDescent="0.25">
      <c r="L4189" s="50"/>
    </row>
    <row r="4190" spans="12:12" x14ac:dyDescent="0.25">
      <c r="L4190" s="50"/>
    </row>
    <row r="4191" spans="12:12" x14ac:dyDescent="0.25">
      <c r="L4191" s="50"/>
    </row>
    <row r="4192" spans="12:12" x14ac:dyDescent="0.25">
      <c r="L4192" s="50"/>
    </row>
    <row r="4193" spans="12:12" x14ac:dyDescent="0.25">
      <c r="L4193" s="50"/>
    </row>
    <row r="4194" spans="12:12" x14ac:dyDescent="0.25">
      <c r="L4194" s="50"/>
    </row>
    <row r="4195" spans="12:12" x14ac:dyDescent="0.25">
      <c r="L4195" s="50"/>
    </row>
    <row r="4196" spans="12:12" x14ac:dyDescent="0.25">
      <c r="L4196" s="50"/>
    </row>
    <row r="4197" spans="12:12" x14ac:dyDescent="0.25">
      <c r="L4197" s="50"/>
    </row>
    <row r="4198" spans="12:12" x14ac:dyDescent="0.25">
      <c r="L4198" s="50"/>
    </row>
    <row r="4199" spans="12:12" x14ac:dyDescent="0.25">
      <c r="L4199" s="50"/>
    </row>
    <row r="4200" spans="12:12" x14ac:dyDescent="0.25">
      <c r="L4200" s="50"/>
    </row>
    <row r="4201" spans="12:12" x14ac:dyDescent="0.25">
      <c r="L4201" s="50"/>
    </row>
    <row r="4202" spans="12:12" x14ac:dyDescent="0.25">
      <c r="L4202" s="50"/>
    </row>
    <row r="4203" spans="12:12" x14ac:dyDescent="0.25">
      <c r="L4203" s="50"/>
    </row>
    <row r="4204" spans="12:12" x14ac:dyDescent="0.25">
      <c r="L4204" s="50"/>
    </row>
    <row r="4205" spans="12:12" x14ac:dyDescent="0.25">
      <c r="L4205" s="50"/>
    </row>
    <row r="4206" spans="12:12" x14ac:dyDescent="0.25">
      <c r="L4206" s="50"/>
    </row>
    <row r="4207" spans="12:12" x14ac:dyDescent="0.25">
      <c r="L4207" s="50"/>
    </row>
    <row r="4208" spans="12:12" x14ac:dyDescent="0.25">
      <c r="L4208" s="50"/>
    </row>
    <row r="4209" spans="12:12" x14ac:dyDescent="0.25">
      <c r="L4209" s="50"/>
    </row>
    <row r="4210" spans="12:12" x14ac:dyDescent="0.25">
      <c r="L4210" s="50"/>
    </row>
    <row r="4211" spans="12:12" x14ac:dyDescent="0.25">
      <c r="L4211" s="50"/>
    </row>
    <row r="4212" spans="12:12" x14ac:dyDescent="0.25">
      <c r="L4212" s="50"/>
    </row>
    <row r="4213" spans="12:12" x14ac:dyDescent="0.25">
      <c r="L4213" s="50"/>
    </row>
    <row r="4214" spans="12:12" x14ac:dyDescent="0.25">
      <c r="L4214" s="50"/>
    </row>
    <row r="4215" spans="12:12" x14ac:dyDescent="0.25">
      <c r="L4215" s="50"/>
    </row>
    <row r="4216" spans="12:12" x14ac:dyDescent="0.25">
      <c r="L4216" s="50"/>
    </row>
    <row r="4217" spans="12:12" x14ac:dyDescent="0.25">
      <c r="L4217" s="50"/>
    </row>
    <row r="4218" spans="12:12" x14ac:dyDescent="0.25">
      <c r="L4218" s="50"/>
    </row>
    <row r="4219" spans="12:12" x14ac:dyDescent="0.25">
      <c r="L4219" s="50"/>
    </row>
    <row r="4220" spans="12:12" x14ac:dyDescent="0.25">
      <c r="L4220" s="50"/>
    </row>
    <row r="4221" spans="12:12" x14ac:dyDescent="0.25">
      <c r="L4221" s="50"/>
    </row>
    <row r="4222" spans="12:12" x14ac:dyDescent="0.25">
      <c r="L4222" s="50"/>
    </row>
    <row r="4223" spans="12:12" x14ac:dyDescent="0.25">
      <c r="L4223" s="50"/>
    </row>
    <row r="4224" spans="12:12" x14ac:dyDescent="0.25">
      <c r="L4224" s="50"/>
    </row>
    <row r="4225" spans="12:12" x14ac:dyDescent="0.25">
      <c r="L4225" s="50"/>
    </row>
    <row r="4226" spans="12:12" x14ac:dyDescent="0.25">
      <c r="L4226" s="50"/>
    </row>
    <row r="4227" spans="12:12" x14ac:dyDescent="0.25">
      <c r="L4227" s="50"/>
    </row>
    <row r="4228" spans="12:12" x14ac:dyDescent="0.25">
      <c r="L4228" s="50"/>
    </row>
    <row r="4229" spans="12:12" x14ac:dyDescent="0.25">
      <c r="L4229" s="50"/>
    </row>
    <row r="4230" spans="12:12" x14ac:dyDescent="0.25">
      <c r="L4230" s="50"/>
    </row>
    <row r="4231" spans="12:12" x14ac:dyDescent="0.25">
      <c r="L4231" s="50"/>
    </row>
    <row r="4232" spans="12:12" x14ac:dyDescent="0.25">
      <c r="L4232" s="50"/>
    </row>
    <row r="4233" spans="12:12" x14ac:dyDescent="0.25">
      <c r="L4233" s="50"/>
    </row>
    <row r="4234" spans="12:12" x14ac:dyDescent="0.25">
      <c r="L4234" s="50"/>
    </row>
    <row r="4235" spans="12:12" x14ac:dyDescent="0.25">
      <c r="L4235" s="50"/>
    </row>
    <row r="4236" spans="12:12" x14ac:dyDescent="0.25">
      <c r="L4236" s="50"/>
    </row>
    <row r="4237" spans="12:12" x14ac:dyDescent="0.25">
      <c r="L4237" s="50"/>
    </row>
    <row r="4238" spans="12:12" x14ac:dyDescent="0.25">
      <c r="L4238" s="50"/>
    </row>
    <row r="4239" spans="12:12" x14ac:dyDescent="0.25">
      <c r="L4239" s="50"/>
    </row>
    <row r="4240" spans="12:12" x14ac:dyDescent="0.25">
      <c r="L4240" s="50"/>
    </row>
    <row r="4241" spans="12:12" x14ac:dyDescent="0.25">
      <c r="L4241" s="50"/>
    </row>
    <row r="4242" spans="12:12" x14ac:dyDescent="0.25">
      <c r="L4242" s="50"/>
    </row>
    <row r="4243" spans="12:12" x14ac:dyDescent="0.25">
      <c r="L4243" s="50"/>
    </row>
    <row r="4244" spans="12:12" x14ac:dyDescent="0.25">
      <c r="L4244" s="50"/>
    </row>
    <row r="4245" spans="12:12" x14ac:dyDescent="0.25">
      <c r="L4245" s="50"/>
    </row>
    <row r="4246" spans="12:12" x14ac:dyDescent="0.25">
      <c r="L4246" s="50"/>
    </row>
    <row r="4247" spans="12:12" x14ac:dyDescent="0.25">
      <c r="L4247" s="50"/>
    </row>
    <row r="4248" spans="12:12" x14ac:dyDescent="0.25">
      <c r="L4248" s="50"/>
    </row>
    <row r="4249" spans="12:12" x14ac:dyDescent="0.25">
      <c r="L4249" s="50"/>
    </row>
    <row r="4250" spans="12:12" x14ac:dyDescent="0.25">
      <c r="L4250" s="50"/>
    </row>
    <row r="4251" spans="12:12" x14ac:dyDescent="0.25">
      <c r="L4251" s="50"/>
    </row>
    <row r="4252" spans="12:12" x14ac:dyDescent="0.25">
      <c r="L4252" s="50"/>
    </row>
    <row r="4253" spans="12:12" x14ac:dyDescent="0.25">
      <c r="L4253" s="50"/>
    </row>
    <row r="4254" spans="12:12" x14ac:dyDescent="0.25">
      <c r="L4254" s="50"/>
    </row>
    <row r="4255" spans="12:12" x14ac:dyDescent="0.25">
      <c r="L4255" s="50"/>
    </row>
    <row r="4256" spans="12:12" x14ac:dyDescent="0.25">
      <c r="L4256" s="50"/>
    </row>
    <row r="4257" spans="12:12" x14ac:dyDescent="0.25">
      <c r="L4257" s="50"/>
    </row>
    <row r="4258" spans="12:12" x14ac:dyDescent="0.25">
      <c r="L4258" s="50"/>
    </row>
    <row r="4259" spans="12:12" x14ac:dyDescent="0.25">
      <c r="L4259" s="50"/>
    </row>
    <row r="4260" spans="12:12" x14ac:dyDescent="0.25">
      <c r="L4260" s="50"/>
    </row>
    <row r="4261" spans="12:12" x14ac:dyDescent="0.25">
      <c r="L4261" s="50"/>
    </row>
    <row r="4262" spans="12:12" x14ac:dyDescent="0.25">
      <c r="L4262" s="50"/>
    </row>
    <row r="4263" spans="12:12" x14ac:dyDescent="0.25">
      <c r="L4263" s="50"/>
    </row>
    <row r="4264" spans="12:12" x14ac:dyDescent="0.25">
      <c r="L4264" s="50"/>
    </row>
    <row r="4265" spans="12:12" x14ac:dyDescent="0.25">
      <c r="L4265" s="50"/>
    </row>
    <row r="4266" spans="12:12" x14ac:dyDescent="0.25">
      <c r="L4266" s="50"/>
    </row>
    <row r="4267" spans="12:12" x14ac:dyDescent="0.25">
      <c r="L4267" s="50"/>
    </row>
    <row r="4268" spans="12:12" x14ac:dyDescent="0.25">
      <c r="L4268" s="50"/>
    </row>
    <row r="4269" spans="12:12" x14ac:dyDescent="0.25">
      <c r="L4269" s="50"/>
    </row>
    <row r="4270" spans="12:12" x14ac:dyDescent="0.25">
      <c r="L4270" s="50"/>
    </row>
    <row r="4271" spans="12:12" x14ac:dyDescent="0.25">
      <c r="L4271" s="50"/>
    </row>
    <row r="4272" spans="12:12" x14ac:dyDescent="0.25">
      <c r="L4272" s="50"/>
    </row>
    <row r="4273" spans="12:12" x14ac:dyDescent="0.25">
      <c r="L4273" s="50"/>
    </row>
    <row r="4274" spans="12:12" x14ac:dyDescent="0.25">
      <c r="L4274" s="50"/>
    </row>
    <row r="4275" spans="12:12" x14ac:dyDescent="0.25">
      <c r="L4275" s="50"/>
    </row>
    <row r="4276" spans="12:12" x14ac:dyDescent="0.25">
      <c r="L4276" s="50"/>
    </row>
    <row r="4277" spans="12:12" x14ac:dyDescent="0.25">
      <c r="L4277" s="50"/>
    </row>
    <row r="4278" spans="12:12" x14ac:dyDescent="0.25">
      <c r="L4278" s="50"/>
    </row>
    <row r="4279" spans="12:12" x14ac:dyDescent="0.25">
      <c r="L4279" s="50"/>
    </row>
    <row r="4280" spans="12:12" x14ac:dyDescent="0.25">
      <c r="L4280" s="50"/>
    </row>
    <row r="4281" spans="12:12" x14ac:dyDescent="0.25">
      <c r="L4281" s="50"/>
    </row>
    <row r="4282" spans="12:12" x14ac:dyDescent="0.25">
      <c r="L4282" s="50"/>
    </row>
    <row r="4283" spans="12:12" x14ac:dyDescent="0.25">
      <c r="L4283" s="50"/>
    </row>
    <row r="4284" spans="12:12" x14ac:dyDescent="0.25">
      <c r="L4284" s="50"/>
    </row>
    <row r="4285" spans="12:12" x14ac:dyDescent="0.25">
      <c r="L4285" s="50"/>
    </row>
    <row r="4286" spans="12:12" x14ac:dyDescent="0.25">
      <c r="L4286" s="50"/>
    </row>
    <row r="4287" spans="12:12" x14ac:dyDescent="0.25">
      <c r="L4287" s="50"/>
    </row>
    <row r="4288" spans="12:12" x14ac:dyDescent="0.25">
      <c r="L4288" s="50"/>
    </row>
    <row r="4289" spans="12:12" x14ac:dyDescent="0.25">
      <c r="L4289" s="50"/>
    </row>
    <row r="4290" spans="12:12" x14ac:dyDescent="0.25">
      <c r="L4290" s="50"/>
    </row>
    <row r="4291" spans="12:12" x14ac:dyDescent="0.25">
      <c r="L4291" s="50"/>
    </row>
    <row r="4292" spans="12:12" x14ac:dyDescent="0.25">
      <c r="L4292" s="50"/>
    </row>
    <row r="4293" spans="12:12" x14ac:dyDescent="0.25">
      <c r="L4293" s="50"/>
    </row>
    <row r="4294" spans="12:12" x14ac:dyDescent="0.25">
      <c r="L4294" s="50"/>
    </row>
    <row r="4295" spans="12:12" x14ac:dyDescent="0.25">
      <c r="L4295" s="50"/>
    </row>
    <row r="4296" spans="12:12" x14ac:dyDescent="0.25">
      <c r="L4296" s="50"/>
    </row>
    <row r="4297" spans="12:12" x14ac:dyDescent="0.25">
      <c r="L4297" s="50"/>
    </row>
    <row r="4298" spans="12:12" x14ac:dyDescent="0.25">
      <c r="L4298" s="50"/>
    </row>
    <row r="4299" spans="12:12" x14ac:dyDescent="0.25">
      <c r="L4299" s="50"/>
    </row>
    <row r="4300" spans="12:12" x14ac:dyDescent="0.25">
      <c r="L4300" s="50"/>
    </row>
    <row r="4301" spans="12:12" x14ac:dyDescent="0.25">
      <c r="L4301" s="50"/>
    </row>
    <row r="4302" spans="12:12" x14ac:dyDescent="0.25">
      <c r="L4302" s="50"/>
    </row>
    <row r="4303" spans="12:12" x14ac:dyDescent="0.25">
      <c r="L4303" s="50"/>
    </row>
    <row r="4304" spans="12:12" x14ac:dyDescent="0.25">
      <c r="L4304" s="50"/>
    </row>
    <row r="4305" spans="12:12" x14ac:dyDescent="0.25">
      <c r="L4305" s="50"/>
    </row>
    <row r="4306" spans="12:12" x14ac:dyDescent="0.25">
      <c r="L4306" s="50"/>
    </row>
    <row r="4307" spans="12:12" x14ac:dyDescent="0.25">
      <c r="L4307" s="50"/>
    </row>
    <row r="4308" spans="12:12" x14ac:dyDescent="0.25">
      <c r="L4308" s="50"/>
    </row>
    <row r="4309" spans="12:12" x14ac:dyDescent="0.25">
      <c r="L4309" s="50"/>
    </row>
    <row r="4310" spans="12:12" x14ac:dyDescent="0.25">
      <c r="L4310" s="50"/>
    </row>
    <row r="4311" spans="12:12" x14ac:dyDescent="0.25">
      <c r="L4311" s="50"/>
    </row>
    <row r="4312" spans="12:12" x14ac:dyDescent="0.25">
      <c r="L4312" s="50"/>
    </row>
    <row r="4313" spans="12:12" x14ac:dyDescent="0.25">
      <c r="L4313" s="50"/>
    </row>
    <row r="4314" spans="12:12" x14ac:dyDescent="0.25">
      <c r="L4314" s="50"/>
    </row>
    <row r="4315" spans="12:12" x14ac:dyDescent="0.25">
      <c r="L4315" s="50"/>
    </row>
    <row r="4316" spans="12:12" x14ac:dyDescent="0.25">
      <c r="L4316" s="50"/>
    </row>
    <row r="4317" spans="12:12" x14ac:dyDescent="0.25">
      <c r="L4317" s="50"/>
    </row>
    <row r="4318" spans="12:12" x14ac:dyDescent="0.25">
      <c r="L4318" s="50"/>
    </row>
    <row r="4319" spans="12:12" x14ac:dyDescent="0.25">
      <c r="L4319" s="50"/>
    </row>
    <row r="4320" spans="12:12" x14ac:dyDescent="0.25">
      <c r="L4320" s="50"/>
    </row>
    <row r="4321" spans="12:12" x14ac:dyDescent="0.25">
      <c r="L4321" s="50"/>
    </row>
    <row r="4322" spans="12:12" x14ac:dyDescent="0.25">
      <c r="L4322" s="50"/>
    </row>
    <row r="4323" spans="12:12" x14ac:dyDescent="0.25">
      <c r="L4323" s="50"/>
    </row>
    <row r="4324" spans="12:12" x14ac:dyDescent="0.25">
      <c r="L4324" s="50"/>
    </row>
    <row r="4325" spans="12:12" x14ac:dyDescent="0.25">
      <c r="L4325" s="50"/>
    </row>
    <row r="4326" spans="12:12" x14ac:dyDescent="0.25">
      <c r="L4326" s="50"/>
    </row>
    <row r="4327" spans="12:12" x14ac:dyDescent="0.25">
      <c r="L4327" s="50"/>
    </row>
    <row r="4328" spans="12:12" x14ac:dyDescent="0.25">
      <c r="L4328" s="50"/>
    </row>
    <row r="4329" spans="12:12" x14ac:dyDescent="0.25">
      <c r="L4329" s="50"/>
    </row>
    <row r="4330" spans="12:12" x14ac:dyDescent="0.25">
      <c r="L4330" s="50"/>
    </row>
    <row r="4331" spans="12:12" x14ac:dyDescent="0.25">
      <c r="L4331" s="50"/>
    </row>
    <row r="4332" spans="12:12" x14ac:dyDescent="0.25">
      <c r="L4332" s="50"/>
    </row>
    <row r="4333" spans="12:12" x14ac:dyDescent="0.25">
      <c r="L4333" s="50"/>
    </row>
    <row r="4334" spans="12:12" x14ac:dyDescent="0.25">
      <c r="L4334" s="50"/>
    </row>
    <row r="4335" spans="12:12" x14ac:dyDescent="0.25">
      <c r="L4335" s="50"/>
    </row>
    <row r="4336" spans="12:12" x14ac:dyDescent="0.25">
      <c r="L4336" s="50"/>
    </row>
    <row r="4337" spans="12:12" x14ac:dyDescent="0.25">
      <c r="L4337" s="50"/>
    </row>
    <row r="4338" spans="12:12" x14ac:dyDescent="0.25">
      <c r="L4338" s="50"/>
    </row>
    <row r="4339" spans="12:12" x14ac:dyDescent="0.25">
      <c r="L4339" s="50"/>
    </row>
    <row r="4340" spans="12:12" x14ac:dyDescent="0.25">
      <c r="L4340" s="50"/>
    </row>
    <row r="4341" spans="12:12" x14ac:dyDescent="0.25">
      <c r="L4341" s="50"/>
    </row>
    <row r="4342" spans="12:12" x14ac:dyDescent="0.25">
      <c r="L4342" s="50"/>
    </row>
    <row r="4343" spans="12:12" x14ac:dyDescent="0.25">
      <c r="L4343" s="50"/>
    </row>
    <row r="4344" spans="12:12" x14ac:dyDescent="0.25">
      <c r="L4344" s="50"/>
    </row>
    <row r="4345" spans="12:12" x14ac:dyDescent="0.25">
      <c r="L4345" s="50"/>
    </row>
    <row r="4346" spans="12:12" x14ac:dyDescent="0.25">
      <c r="L4346" s="50"/>
    </row>
    <row r="4347" spans="12:12" x14ac:dyDescent="0.25">
      <c r="L4347" s="50"/>
    </row>
    <row r="4348" spans="12:12" x14ac:dyDescent="0.25">
      <c r="L4348" s="50"/>
    </row>
    <row r="4349" spans="12:12" x14ac:dyDescent="0.25">
      <c r="L4349" s="50"/>
    </row>
    <row r="4350" spans="12:12" x14ac:dyDescent="0.25">
      <c r="L4350" s="50"/>
    </row>
    <row r="4351" spans="12:12" x14ac:dyDescent="0.25">
      <c r="L4351" s="50"/>
    </row>
    <row r="4352" spans="12:12" x14ac:dyDescent="0.25">
      <c r="L4352" s="50"/>
    </row>
    <row r="4353" spans="12:12" x14ac:dyDescent="0.25">
      <c r="L4353" s="50"/>
    </row>
    <row r="4354" spans="12:12" x14ac:dyDescent="0.25">
      <c r="L4354" s="50"/>
    </row>
    <row r="4355" spans="12:12" x14ac:dyDescent="0.25">
      <c r="L4355" s="50"/>
    </row>
    <row r="4356" spans="12:12" x14ac:dyDescent="0.25">
      <c r="L4356" s="50"/>
    </row>
    <row r="4357" spans="12:12" x14ac:dyDescent="0.25">
      <c r="L4357" s="50"/>
    </row>
    <row r="4358" spans="12:12" x14ac:dyDescent="0.25">
      <c r="L4358" s="50"/>
    </row>
    <row r="4359" spans="12:12" x14ac:dyDescent="0.25">
      <c r="L4359" s="50"/>
    </row>
    <row r="4360" spans="12:12" x14ac:dyDescent="0.25">
      <c r="L4360" s="50"/>
    </row>
    <row r="4361" spans="12:12" x14ac:dyDescent="0.25">
      <c r="L4361" s="50"/>
    </row>
    <row r="4362" spans="12:12" x14ac:dyDescent="0.25">
      <c r="L4362" s="50"/>
    </row>
    <row r="4363" spans="12:12" x14ac:dyDescent="0.25">
      <c r="L4363" s="50"/>
    </row>
    <row r="4364" spans="12:12" x14ac:dyDescent="0.25">
      <c r="L4364" s="50"/>
    </row>
    <row r="4365" spans="12:12" x14ac:dyDescent="0.25">
      <c r="L4365" s="50"/>
    </row>
    <row r="4366" spans="12:12" x14ac:dyDescent="0.25">
      <c r="L4366" s="50"/>
    </row>
    <row r="4367" spans="12:12" x14ac:dyDescent="0.25">
      <c r="L4367" s="50"/>
    </row>
    <row r="4368" spans="12:12" x14ac:dyDescent="0.25">
      <c r="L4368" s="50"/>
    </row>
    <row r="4369" spans="12:12" x14ac:dyDescent="0.25">
      <c r="L4369" s="50"/>
    </row>
    <row r="4370" spans="12:12" x14ac:dyDescent="0.25">
      <c r="L4370" s="50"/>
    </row>
    <row r="4371" spans="12:12" x14ac:dyDescent="0.25">
      <c r="L4371" s="50"/>
    </row>
    <row r="4372" spans="12:12" x14ac:dyDescent="0.25">
      <c r="L4372" s="50"/>
    </row>
    <row r="4373" spans="12:12" x14ac:dyDescent="0.25">
      <c r="L4373" s="50"/>
    </row>
    <row r="4374" spans="12:12" x14ac:dyDescent="0.25">
      <c r="L4374" s="50"/>
    </row>
    <row r="4375" spans="12:12" x14ac:dyDescent="0.25">
      <c r="L4375" s="50"/>
    </row>
    <row r="4376" spans="12:12" x14ac:dyDescent="0.25">
      <c r="L4376" s="50"/>
    </row>
    <row r="4377" spans="12:12" x14ac:dyDescent="0.25">
      <c r="L4377" s="50"/>
    </row>
    <row r="4378" spans="12:12" x14ac:dyDescent="0.25">
      <c r="L4378" s="50"/>
    </row>
    <row r="4379" spans="12:12" x14ac:dyDescent="0.25">
      <c r="L4379" s="50"/>
    </row>
    <row r="4380" spans="12:12" x14ac:dyDescent="0.25">
      <c r="L4380" s="50"/>
    </row>
    <row r="4381" spans="12:12" x14ac:dyDescent="0.25">
      <c r="L4381" s="50"/>
    </row>
    <row r="4382" spans="12:12" x14ac:dyDescent="0.25">
      <c r="L4382" s="50"/>
    </row>
    <row r="4383" spans="12:12" x14ac:dyDescent="0.25">
      <c r="L4383" s="50"/>
    </row>
    <row r="4384" spans="12:12" x14ac:dyDescent="0.25">
      <c r="L4384" s="50"/>
    </row>
    <row r="4385" spans="12:12" x14ac:dyDescent="0.25">
      <c r="L4385" s="50"/>
    </row>
    <row r="4386" spans="12:12" x14ac:dyDescent="0.25">
      <c r="L4386" s="50"/>
    </row>
    <row r="4387" spans="12:12" x14ac:dyDescent="0.25">
      <c r="L4387" s="50"/>
    </row>
    <row r="4388" spans="12:12" x14ac:dyDescent="0.25">
      <c r="L4388" s="50"/>
    </row>
    <row r="4389" spans="12:12" x14ac:dyDescent="0.25">
      <c r="L4389" s="50"/>
    </row>
    <row r="4390" spans="12:12" x14ac:dyDescent="0.25">
      <c r="L4390" s="50"/>
    </row>
    <row r="4391" spans="12:12" x14ac:dyDescent="0.25">
      <c r="L4391" s="50"/>
    </row>
    <row r="4392" spans="12:12" x14ac:dyDescent="0.25">
      <c r="L4392" s="50"/>
    </row>
    <row r="4393" spans="12:12" x14ac:dyDescent="0.25">
      <c r="L4393" s="50"/>
    </row>
    <row r="4394" spans="12:12" x14ac:dyDescent="0.25">
      <c r="L4394" s="50"/>
    </row>
    <row r="4395" spans="12:12" x14ac:dyDescent="0.25">
      <c r="L4395" s="50"/>
    </row>
    <row r="4396" spans="12:12" x14ac:dyDescent="0.25">
      <c r="L4396" s="50"/>
    </row>
    <row r="4397" spans="12:12" x14ac:dyDescent="0.25">
      <c r="L4397" s="50"/>
    </row>
    <row r="4398" spans="12:12" x14ac:dyDescent="0.25">
      <c r="L4398" s="50"/>
    </row>
    <row r="4399" spans="12:12" x14ac:dyDescent="0.25">
      <c r="L4399" s="50"/>
    </row>
    <row r="4400" spans="12:12" x14ac:dyDescent="0.25">
      <c r="L4400" s="50"/>
    </row>
    <row r="4401" spans="12:12" x14ac:dyDescent="0.25">
      <c r="L4401" s="50"/>
    </row>
    <row r="4402" spans="12:12" x14ac:dyDescent="0.25">
      <c r="L4402" s="50"/>
    </row>
    <row r="4403" spans="12:12" x14ac:dyDescent="0.25">
      <c r="L4403" s="50"/>
    </row>
    <row r="4404" spans="12:12" x14ac:dyDescent="0.25">
      <c r="L4404" s="50"/>
    </row>
    <row r="4405" spans="12:12" x14ac:dyDescent="0.25">
      <c r="L4405" s="50"/>
    </row>
    <row r="4406" spans="12:12" x14ac:dyDescent="0.25">
      <c r="L4406" s="50"/>
    </row>
    <row r="4407" spans="12:12" x14ac:dyDescent="0.25">
      <c r="L4407" s="50"/>
    </row>
    <row r="4408" spans="12:12" x14ac:dyDescent="0.25">
      <c r="L4408" s="50"/>
    </row>
    <row r="4409" spans="12:12" x14ac:dyDescent="0.25">
      <c r="L4409" s="50"/>
    </row>
    <row r="4410" spans="12:12" x14ac:dyDescent="0.25">
      <c r="L4410" s="50"/>
    </row>
    <row r="4411" spans="12:12" x14ac:dyDescent="0.25">
      <c r="L4411" s="50"/>
    </row>
    <row r="4412" spans="12:12" x14ac:dyDescent="0.25">
      <c r="L4412" s="50"/>
    </row>
    <row r="4413" spans="12:12" x14ac:dyDescent="0.25">
      <c r="L4413" s="50"/>
    </row>
    <row r="4414" spans="12:12" x14ac:dyDescent="0.25">
      <c r="L4414" s="50"/>
    </row>
    <row r="4415" spans="12:12" x14ac:dyDescent="0.25">
      <c r="L4415" s="50"/>
    </row>
    <row r="4416" spans="12:12" x14ac:dyDescent="0.25">
      <c r="L4416" s="50"/>
    </row>
    <row r="4417" spans="12:12" x14ac:dyDescent="0.25">
      <c r="L4417" s="50"/>
    </row>
    <row r="4418" spans="12:12" x14ac:dyDescent="0.25">
      <c r="L4418" s="50"/>
    </row>
    <row r="4419" spans="12:12" x14ac:dyDescent="0.25">
      <c r="L4419" s="50"/>
    </row>
    <row r="4420" spans="12:12" x14ac:dyDescent="0.25">
      <c r="L4420" s="50"/>
    </row>
    <row r="4421" spans="12:12" x14ac:dyDescent="0.25">
      <c r="L4421" s="50"/>
    </row>
    <row r="4422" spans="12:12" x14ac:dyDescent="0.25">
      <c r="L4422" s="50"/>
    </row>
    <row r="4423" spans="12:12" x14ac:dyDescent="0.25">
      <c r="L4423" s="50"/>
    </row>
    <row r="4424" spans="12:12" x14ac:dyDescent="0.25">
      <c r="L4424" s="50"/>
    </row>
    <row r="4425" spans="12:12" x14ac:dyDescent="0.25">
      <c r="L4425" s="50"/>
    </row>
    <row r="4426" spans="12:12" x14ac:dyDescent="0.25">
      <c r="L4426" s="50"/>
    </row>
    <row r="4427" spans="12:12" x14ac:dyDescent="0.25">
      <c r="L4427" s="50"/>
    </row>
    <row r="4428" spans="12:12" x14ac:dyDescent="0.25">
      <c r="L4428" s="50"/>
    </row>
    <row r="4429" spans="12:12" x14ac:dyDescent="0.25">
      <c r="L4429" s="50"/>
    </row>
    <row r="4430" spans="12:12" x14ac:dyDescent="0.25">
      <c r="L4430" s="50"/>
    </row>
    <row r="4431" spans="12:12" x14ac:dyDescent="0.25">
      <c r="L4431" s="50"/>
    </row>
    <row r="4432" spans="12:12" x14ac:dyDescent="0.25">
      <c r="L4432" s="50"/>
    </row>
    <row r="4433" spans="12:12" x14ac:dyDescent="0.25">
      <c r="L4433" s="50"/>
    </row>
    <row r="4434" spans="12:12" x14ac:dyDescent="0.25">
      <c r="L4434" s="50"/>
    </row>
    <row r="4435" spans="12:12" x14ac:dyDescent="0.25">
      <c r="L4435" s="50"/>
    </row>
    <row r="4436" spans="12:12" x14ac:dyDescent="0.25">
      <c r="L4436" s="50"/>
    </row>
    <row r="4437" spans="12:12" x14ac:dyDescent="0.25">
      <c r="L4437" s="50"/>
    </row>
    <row r="4438" spans="12:12" x14ac:dyDescent="0.25">
      <c r="L4438" s="50"/>
    </row>
    <row r="4439" spans="12:12" x14ac:dyDescent="0.25">
      <c r="L4439" s="50"/>
    </row>
    <row r="4440" spans="12:12" x14ac:dyDescent="0.25">
      <c r="L4440" s="50"/>
    </row>
    <row r="4441" spans="12:12" x14ac:dyDescent="0.25">
      <c r="L4441" s="50"/>
    </row>
    <row r="4442" spans="12:12" x14ac:dyDescent="0.25">
      <c r="L4442" s="50"/>
    </row>
    <row r="4443" spans="12:12" x14ac:dyDescent="0.25">
      <c r="L4443" s="50"/>
    </row>
    <row r="4444" spans="12:12" x14ac:dyDescent="0.25">
      <c r="L4444" s="50"/>
    </row>
    <row r="4445" spans="12:12" x14ac:dyDescent="0.25">
      <c r="L4445" s="50"/>
    </row>
    <row r="4446" spans="12:12" x14ac:dyDescent="0.25">
      <c r="L4446" s="50"/>
    </row>
    <row r="4447" spans="12:12" x14ac:dyDescent="0.25">
      <c r="L4447" s="50"/>
    </row>
    <row r="4448" spans="12:12" x14ac:dyDescent="0.25">
      <c r="L4448" s="50"/>
    </row>
    <row r="4449" spans="12:12" x14ac:dyDescent="0.25">
      <c r="L4449" s="50"/>
    </row>
    <row r="4450" spans="12:12" x14ac:dyDescent="0.25">
      <c r="L4450" s="50"/>
    </row>
    <row r="4451" spans="12:12" x14ac:dyDescent="0.25">
      <c r="L4451" s="50"/>
    </row>
    <row r="4452" spans="12:12" x14ac:dyDescent="0.25">
      <c r="L4452" s="50"/>
    </row>
    <row r="4453" spans="12:12" x14ac:dyDescent="0.25">
      <c r="L4453" s="50"/>
    </row>
    <row r="4454" spans="12:12" x14ac:dyDescent="0.25">
      <c r="L4454" s="50"/>
    </row>
    <row r="4455" spans="12:12" x14ac:dyDescent="0.25">
      <c r="L4455" s="50"/>
    </row>
    <row r="4456" spans="12:12" x14ac:dyDescent="0.25">
      <c r="L4456" s="50"/>
    </row>
    <row r="4457" spans="12:12" x14ac:dyDescent="0.25">
      <c r="L4457" s="50"/>
    </row>
    <row r="4458" spans="12:12" x14ac:dyDescent="0.25">
      <c r="L4458" s="50"/>
    </row>
    <row r="4459" spans="12:12" x14ac:dyDescent="0.25">
      <c r="L4459" s="50"/>
    </row>
    <row r="4460" spans="12:12" x14ac:dyDescent="0.25">
      <c r="L4460" s="50"/>
    </row>
    <row r="4461" spans="12:12" x14ac:dyDescent="0.25">
      <c r="L4461" s="50"/>
    </row>
    <row r="4462" spans="12:12" x14ac:dyDescent="0.25">
      <c r="L4462" s="50"/>
    </row>
    <row r="4463" spans="12:12" x14ac:dyDescent="0.25">
      <c r="L4463" s="50"/>
    </row>
    <row r="4464" spans="12:12" x14ac:dyDescent="0.25">
      <c r="L4464" s="50"/>
    </row>
    <row r="4465" spans="12:12" x14ac:dyDescent="0.25">
      <c r="L4465" s="50"/>
    </row>
    <row r="4466" spans="12:12" x14ac:dyDescent="0.25">
      <c r="L4466" s="50"/>
    </row>
    <row r="4467" spans="12:12" x14ac:dyDescent="0.25">
      <c r="L4467" s="50"/>
    </row>
    <row r="4468" spans="12:12" x14ac:dyDescent="0.25">
      <c r="L4468" s="50"/>
    </row>
    <row r="4469" spans="12:12" x14ac:dyDescent="0.25">
      <c r="L4469" s="50"/>
    </row>
    <row r="4470" spans="12:12" x14ac:dyDescent="0.25">
      <c r="L4470" s="50"/>
    </row>
    <row r="4471" spans="12:12" x14ac:dyDescent="0.25">
      <c r="L4471" s="50"/>
    </row>
    <row r="4472" spans="12:12" x14ac:dyDescent="0.25">
      <c r="L4472" s="50"/>
    </row>
    <row r="4473" spans="12:12" x14ac:dyDescent="0.25">
      <c r="L4473" s="50"/>
    </row>
    <row r="4474" spans="12:12" x14ac:dyDescent="0.25">
      <c r="L4474" s="50"/>
    </row>
    <row r="4475" spans="12:12" x14ac:dyDescent="0.25">
      <c r="L4475" s="50"/>
    </row>
    <row r="4476" spans="12:12" x14ac:dyDescent="0.25">
      <c r="L4476" s="50"/>
    </row>
    <row r="4477" spans="12:12" x14ac:dyDescent="0.25">
      <c r="L4477" s="50"/>
    </row>
    <row r="4478" spans="12:12" x14ac:dyDescent="0.25">
      <c r="L4478" s="50"/>
    </row>
    <row r="4479" spans="12:12" x14ac:dyDescent="0.25">
      <c r="L4479" s="50"/>
    </row>
    <row r="4480" spans="12:12" x14ac:dyDescent="0.25">
      <c r="L4480" s="50"/>
    </row>
    <row r="4481" spans="12:12" x14ac:dyDescent="0.25">
      <c r="L4481" s="50"/>
    </row>
    <row r="4482" spans="12:12" x14ac:dyDescent="0.25">
      <c r="L4482" s="50"/>
    </row>
    <row r="4483" spans="12:12" x14ac:dyDescent="0.25">
      <c r="L4483" s="50"/>
    </row>
    <row r="4484" spans="12:12" x14ac:dyDescent="0.25">
      <c r="L4484" s="50"/>
    </row>
    <row r="4485" spans="12:12" x14ac:dyDescent="0.25">
      <c r="L4485" s="50"/>
    </row>
    <row r="4486" spans="12:12" x14ac:dyDescent="0.25">
      <c r="L4486" s="50"/>
    </row>
    <row r="4487" spans="12:12" x14ac:dyDescent="0.25">
      <c r="L4487" s="50"/>
    </row>
    <row r="4488" spans="12:12" x14ac:dyDescent="0.25">
      <c r="L4488" s="50"/>
    </row>
    <row r="4489" spans="12:12" x14ac:dyDescent="0.25">
      <c r="L4489" s="50"/>
    </row>
    <row r="4490" spans="12:12" x14ac:dyDescent="0.25">
      <c r="L4490" s="50"/>
    </row>
    <row r="4491" spans="12:12" x14ac:dyDescent="0.25">
      <c r="L4491" s="50"/>
    </row>
    <row r="4492" spans="12:12" x14ac:dyDescent="0.25">
      <c r="L4492" s="50"/>
    </row>
    <row r="4493" spans="12:12" x14ac:dyDescent="0.25">
      <c r="L4493" s="50"/>
    </row>
    <row r="4494" spans="12:12" x14ac:dyDescent="0.25">
      <c r="L4494" s="50"/>
    </row>
    <row r="4495" spans="12:12" x14ac:dyDescent="0.25">
      <c r="L4495" s="50"/>
    </row>
    <row r="4496" spans="12:12" x14ac:dyDescent="0.25">
      <c r="L4496" s="50"/>
    </row>
    <row r="4497" spans="12:12" x14ac:dyDescent="0.25">
      <c r="L4497" s="50"/>
    </row>
    <row r="4498" spans="12:12" x14ac:dyDescent="0.25">
      <c r="L4498" s="50"/>
    </row>
    <row r="4499" spans="12:12" x14ac:dyDescent="0.25">
      <c r="L4499" s="50"/>
    </row>
    <row r="4500" spans="12:12" x14ac:dyDescent="0.25">
      <c r="L4500" s="50"/>
    </row>
    <row r="4501" spans="12:12" x14ac:dyDescent="0.25">
      <c r="L4501" s="50"/>
    </row>
    <row r="4502" spans="12:12" x14ac:dyDescent="0.25">
      <c r="L4502" s="50"/>
    </row>
    <row r="4503" spans="12:12" x14ac:dyDescent="0.25">
      <c r="L4503" s="50"/>
    </row>
    <row r="4504" spans="12:12" x14ac:dyDescent="0.25">
      <c r="L4504" s="50"/>
    </row>
    <row r="4505" spans="12:12" x14ac:dyDescent="0.25">
      <c r="L4505" s="50"/>
    </row>
    <row r="4506" spans="12:12" x14ac:dyDescent="0.25">
      <c r="L4506" s="50"/>
    </row>
    <row r="4507" spans="12:12" x14ac:dyDescent="0.25">
      <c r="L4507" s="50"/>
    </row>
    <row r="4508" spans="12:12" x14ac:dyDescent="0.25">
      <c r="L4508" s="50"/>
    </row>
    <row r="4509" spans="12:12" x14ac:dyDescent="0.25">
      <c r="L4509" s="50"/>
    </row>
    <row r="4510" spans="12:12" x14ac:dyDescent="0.25">
      <c r="L4510" s="50"/>
    </row>
    <row r="4511" spans="12:12" x14ac:dyDescent="0.25">
      <c r="L4511" s="50"/>
    </row>
    <row r="4512" spans="12:12" x14ac:dyDescent="0.25">
      <c r="L4512" s="50"/>
    </row>
    <row r="4513" spans="12:12" x14ac:dyDescent="0.25">
      <c r="L4513" s="50"/>
    </row>
    <row r="4514" spans="12:12" x14ac:dyDescent="0.25">
      <c r="L4514" s="50"/>
    </row>
    <row r="4515" spans="12:12" x14ac:dyDescent="0.25">
      <c r="L4515" s="50"/>
    </row>
    <row r="4516" spans="12:12" x14ac:dyDescent="0.25">
      <c r="L4516" s="50"/>
    </row>
    <row r="4517" spans="12:12" x14ac:dyDescent="0.25">
      <c r="L4517" s="50"/>
    </row>
    <row r="4518" spans="12:12" x14ac:dyDescent="0.25">
      <c r="L4518" s="50"/>
    </row>
    <row r="4519" spans="12:12" x14ac:dyDescent="0.25">
      <c r="L4519" s="50"/>
    </row>
    <row r="4520" spans="12:12" x14ac:dyDescent="0.25">
      <c r="L4520" s="50"/>
    </row>
    <row r="4521" spans="12:12" x14ac:dyDescent="0.25">
      <c r="L4521" s="50"/>
    </row>
    <row r="4522" spans="12:12" x14ac:dyDescent="0.25">
      <c r="L4522" s="50"/>
    </row>
    <row r="4523" spans="12:12" x14ac:dyDescent="0.25">
      <c r="L4523" s="50"/>
    </row>
    <row r="4524" spans="12:12" x14ac:dyDescent="0.25">
      <c r="L4524" s="50"/>
    </row>
    <row r="4525" spans="12:12" x14ac:dyDescent="0.25">
      <c r="L4525" s="50"/>
    </row>
    <row r="4526" spans="12:12" x14ac:dyDescent="0.25">
      <c r="L4526" s="50"/>
    </row>
    <row r="4527" spans="12:12" x14ac:dyDescent="0.25">
      <c r="L4527" s="50"/>
    </row>
    <row r="4528" spans="12:12" x14ac:dyDescent="0.25">
      <c r="L4528" s="50"/>
    </row>
    <row r="4529" spans="12:12" x14ac:dyDescent="0.25">
      <c r="L4529" s="50"/>
    </row>
    <row r="4530" spans="12:12" x14ac:dyDescent="0.25">
      <c r="L4530" s="50"/>
    </row>
    <row r="4531" spans="12:12" x14ac:dyDescent="0.25">
      <c r="L4531" s="50"/>
    </row>
    <row r="4532" spans="12:12" x14ac:dyDescent="0.25">
      <c r="L4532" s="50"/>
    </row>
    <row r="4533" spans="12:12" x14ac:dyDescent="0.25">
      <c r="L4533" s="50"/>
    </row>
    <row r="4534" spans="12:12" x14ac:dyDescent="0.25">
      <c r="L4534" s="50"/>
    </row>
    <row r="4535" spans="12:12" x14ac:dyDescent="0.25">
      <c r="L4535" s="50"/>
    </row>
    <row r="4536" spans="12:12" x14ac:dyDescent="0.25">
      <c r="L4536" s="50"/>
    </row>
    <row r="4537" spans="12:12" x14ac:dyDescent="0.25">
      <c r="L4537" s="50"/>
    </row>
    <row r="4538" spans="12:12" x14ac:dyDescent="0.25">
      <c r="L4538" s="50"/>
    </row>
    <row r="4539" spans="12:12" x14ac:dyDescent="0.25">
      <c r="L4539" s="50"/>
    </row>
    <row r="4540" spans="12:12" x14ac:dyDescent="0.25">
      <c r="L4540" s="50"/>
    </row>
    <row r="4541" spans="12:12" x14ac:dyDescent="0.25">
      <c r="L4541" s="50"/>
    </row>
    <row r="4542" spans="12:12" x14ac:dyDescent="0.25">
      <c r="L4542" s="50"/>
    </row>
    <row r="4543" spans="12:12" x14ac:dyDescent="0.25">
      <c r="L4543" s="50"/>
    </row>
    <row r="4544" spans="12:12" x14ac:dyDescent="0.25">
      <c r="L4544" s="50"/>
    </row>
    <row r="4545" spans="12:12" x14ac:dyDescent="0.25">
      <c r="L4545" s="50"/>
    </row>
    <row r="4546" spans="12:12" x14ac:dyDescent="0.25">
      <c r="L4546" s="50"/>
    </row>
    <row r="4547" spans="12:12" x14ac:dyDescent="0.25">
      <c r="L4547" s="50"/>
    </row>
    <row r="4548" spans="12:12" x14ac:dyDescent="0.25">
      <c r="L4548" s="50"/>
    </row>
    <row r="4549" spans="12:12" x14ac:dyDescent="0.25">
      <c r="L4549" s="50"/>
    </row>
    <row r="4550" spans="12:12" x14ac:dyDescent="0.25">
      <c r="L4550" s="50"/>
    </row>
    <row r="4551" spans="12:12" x14ac:dyDescent="0.25">
      <c r="L4551" s="50"/>
    </row>
    <row r="4552" spans="12:12" x14ac:dyDescent="0.25">
      <c r="L4552" s="50"/>
    </row>
    <row r="4553" spans="12:12" x14ac:dyDescent="0.25">
      <c r="L4553" s="50"/>
    </row>
    <row r="4554" spans="12:12" x14ac:dyDescent="0.25">
      <c r="L4554" s="50"/>
    </row>
    <row r="4555" spans="12:12" x14ac:dyDescent="0.25">
      <c r="L4555" s="50"/>
    </row>
    <row r="4556" spans="12:12" x14ac:dyDescent="0.25">
      <c r="L4556" s="50"/>
    </row>
    <row r="4557" spans="12:12" x14ac:dyDescent="0.25">
      <c r="L4557" s="50"/>
    </row>
    <row r="4558" spans="12:12" x14ac:dyDescent="0.25">
      <c r="L4558" s="50"/>
    </row>
    <row r="4559" spans="12:12" x14ac:dyDescent="0.25">
      <c r="L4559" s="50"/>
    </row>
    <row r="4560" spans="12:12" x14ac:dyDescent="0.25">
      <c r="L4560" s="50"/>
    </row>
    <row r="4561" spans="12:12" x14ac:dyDescent="0.25">
      <c r="L4561" s="50"/>
    </row>
    <row r="4562" spans="12:12" x14ac:dyDescent="0.25">
      <c r="L4562" s="50"/>
    </row>
    <row r="4563" spans="12:12" x14ac:dyDescent="0.25">
      <c r="L4563" s="50"/>
    </row>
    <row r="4564" spans="12:12" x14ac:dyDescent="0.25">
      <c r="L4564" s="50"/>
    </row>
    <row r="4565" spans="12:12" x14ac:dyDescent="0.25">
      <c r="L4565" s="50"/>
    </row>
    <row r="4566" spans="12:12" x14ac:dyDescent="0.25">
      <c r="L4566" s="50"/>
    </row>
    <row r="4567" spans="12:12" x14ac:dyDescent="0.25">
      <c r="L4567" s="50"/>
    </row>
    <row r="4568" spans="12:12" x14ac:dyDescent="0.25">
      <c r="L4568" s="50"/>
    </row>
    <row r="4569" spans="12:12" x14ac:dyDescent="0.25">
      <c r="L4569" s="50"/>
    </row>
    <row r="4570" spans="12:12" x14ac:dyDescent="0.25">
      <c r="L4570" s="50"/>
    </row>
    <row r="4571" spans="12:12" x14ac:dyDescent="0.25">
      <c r="L4571" s="50"/>
    </row>
    <row r="4572" spans="12:12" x14ac:dyDescent="0.25">
      <c r="L4572" s="50"/>
    </row>
    <row r="4573" spans="12:12" x14ac:dyDescent="0.25">
      <c r="L4573" s="50"/>
    </row>
    <row r="4574" spans="12:12" x14ac:dyDescent="0.25">
      <c r="L4574" s="50"/>
    </row>
    <row r="4575" spans="12:12" x14ac:dyDescent="0.25">
      <c r="L4575" s="50"/>
    </row>
    <row r="4576" spans="12:12" x14ac:dyDescent="0.25">
      <c r="L4576" s="50"/>
    </row>
    <row r="4577" spans="12:12" x14ac:dyDescent="0.25">
      <c r="L4577" s="50"/>
    </row>
    <row r="4578" spans="12:12" x14ac:dyDescent="0.25">
      <c r="L4578" s="50"/>
    </row>
    <row r="4579" spans="12:12" x14ac:dyDescent="0.25">
      <c r="L4579" s="50"/>
    </row>
    <row r="4580" spans="12:12" x14ac:dyDescent="0.25">
      <c r="L4580" s="50"/>
    </row>
    <row r="4581" spans="12:12" x14ac:dyDescent="0.25">
      <c r="L4581" s="50"/>
    </row>
    <row r="4582" spans="12:12" x14ac:dyDescent="0.25">
      <c r="L4582" s="50"/>
    </row>
    <row r="4583" spans="12:12" x14ac:dyDescent="0.25">
      <c r="L4583" s="50"/>
    </row>
    <row r="4584" spans="12:12" x14ac:dyDescent="0.25">
      <c r="L4584" s="50"/>
    </row>
    <row r="4585" spans="12:12" x14ac:dyDescent="0.25">
      <c r="L4585" s="50"/>
    </row>
    <row r="4586" spans="12:12" x14ac:dyDescent="0.25">
      <c r="L4586" s="50"/>
    </row>
    <row r="4587" spans="12:12" x14ac:dyDescent="0.25">
      <c r="L4587" s="50"/>
    </row>
    <row r="4588" spans="12:12" x14ac:dyDescent="0.25">
      <c r="L4588" s="50"/>
    </row>
    <row r="4589" spans="12:12" x14ac:dyDescent="0.25">
      <c r="L4589" s="50"/>
    </row>
    <row r="4590" spans="12:12" x14ac:dyDescent="0.25">
      <c r="L4590" s="50"/>
    </row>
    <row r="4591" spans="12:12" x14ac:dyDescent="0.25">
      <c r="L4591" s="50"/>
    </row>
    <row r="4592" spans="12:12" x14ac:dyDescent="0.25">
      <c r="L4592" s="50"/>
    </row>
    <row r="4593" spans="12:12" x14ac:dyDescent="0.25">
      <c r="L4593" s="50"/>
    </row>
    <row r="4594" spans="12:12" x14ac:dyDescent="0.25">
      <c r="L4594" s="50"/>
    </row>
    <row r="4595" spans="12:12" x14ac:dyDescent="0.25">
      <c r="L4595" s="50"/>
    </row>
    <row r="4596" spans="12:12" x14ac:dyDescent="0.25">
      <c r="L4596" s="50"/>
    </row>
    <row r="4597" spans="12:12" x14ac:dyDescent="0.25">
      <c r="L4597" s="50"/>
    </row>
    <row r="4598" spans="12:12" x14ac:dyDescent="0.25">
      <c r="L4598" s="50"/>
    </row>
    <row r="4599" spans="12:12" x14ac:dyDescent="0.25">
      <c r="L4599" s="50"/>
    </row>
    <row r="4600" spans="12:12" x14ac:dyDescent="0.25">
      <c r="L4600" s="50"/>
    </row>
    <row r="4601" spans="12:12" x14ac:dyDescent="0.25">
      <c r="L4601" s="50"/>
    </row>
    <row r="4602" spans="12:12" x14ac:dyDescent="0.25">
      <c r="L4602" s="50"/>
    </row>
    <row r="4603" spans="12:12" x14ac:dyDescent="0.25">
      <c r="L4603" s="50"/>
    </row>
    <row r="4604" spans="12:12" x14ac:dyDescent="0.25">
      <c r="L4604" s="50"/>
    </row>
    <row r="4605" spans="12:12" x14ac:dyDescent="0.25">
      <c r="L4605" s="50"/>
    </row>
    <row r="4606" spans="12:12" x14ac:dyDescent="0.25">
      <c r="L4606" s="50"/>
    </row>
    <row r="4607" spans="12:12" x14ac:dyDescent="0.25">
      <c r="L4607" s="50"/>
    </row>
    <row r="4608" spans="12:12" x14ac:dyDescent="0.25">
      <c r="L4608" s="50"/>
    </row>
    <row r="4609" spans="12:12" x14ac:dyDescent="0.25">
      <c r="L4609" s="50"/>
    </row>
    <row r="4610" spans="12:12" x14ac:dyDescent="0.25">
      <c r="L4610" s="50"/>
    </row>
    <row r="4611" spans="12:12" x14ac:dyDescent="0.25">
      <c r="L4611" s="50"/>
    </row>
    <row r="4612" spans="12:12" x14ac:dyDescent="0.25">
      <c r="L4612" s="50"/>
    </row>
    <row r="4613" spans="12:12" x14ac:dyDescent="0.25">
      <c r="L4613" s="50"/>
    </row>
    <row r="4614" spans="12:12" x14ac:dyDescent="0.25">
      <c r="L4614" s="50"/>
    </row>
    <row r="4615" spans="12:12" x14ac:dyDescent="0.25">
      <c r="L4615" s="50"/>
    </row>
    <row r="4616" spans="12:12" x14ac:dyDescent="0.25">
      <c r="L4616" s="50"/>
    </row>
    <row r="4617" spans="12:12" x14ac:dyDescent="0.25">
      <c r="L4617" s="50"/>
    </row>
    <row r="4618" spans="12:12" x14ac:dyDescent="0.25">
      <c r="L4618" s="50"/>
    </row>
    <row r="4619" spans="12:12" x14ac:dyDescent="0.25">
      <c r="L4619" s="50"/>
    </row>
    <row r="4620" spans="12:12" x14ac:dyDescent="0.25">
      <c r="L4620" s="50"/>
    </row>
    <row r="4621" spans="12:12" x14ac:dyDescent="0.25">
      <c r="L4621" s="50"/>
    </row>
    <row r="4622" spans="12:12" x14ac:dyDescent="0.25">
      <c r="L4622" s="50"/>
    </row>
    <row r="4623" spans="12:12" x14ac:dyDescent="0.25">
      <c r="L4623" s="50"/>
    </row>
    <row r="4624" spans="12:12" x14ac:dyDescent="0.25">
      <c r="L4624" s="50"/>
    </row>
    <row r="4625" spans="12:12" x14ac:dyDescent="0.25">
      <c r="L4625" s="50"/>
    </row>
    <row r="4626" spans="12:12" x14ac:dyDescent="0.25">
      <c r="L4626" s="50"/>
    </row>
    <row r="4627" spans="12:12" x14ac:dyDescent="0.25">
      <c r="L4627" s="50"/>
    </row>
    <row r="4628" spans="12:12" x14ac:dyDescent="0.25">
      <c r="L4628" s="50"/>
    </row>
    <row r="4629" spans="12:12" x14ac:dyDescent="0.25">
      <c r="L4629" s="50"/>
    </row>
    <row r="4630" spans="12:12" x14ac:dyDescent="0.25">
      <c r="L4630" s="50"/>
    </row>
    <row r="4631" spans="12:12" x14ac:dyDescent="0.25">
      <c r="L4631" s="50"/>
    </row>
    <row r="4632" spans="12:12" x14ac:dyDescent="0.25">
      <c r="L4632" s="50"/>
    </row>
    <row r="4633" spans="12:12" x14ac:dyDescent="0.25">
      <c r="L4633" s="50"/>
    </row>
    <row r="4634" spans="12:12" x14ac:dyDescent="0.25">
      <c r="L4634" s="50"/>
    </row>
    <row r="4635" spans="12:12" x14ac:dyDescent="0.25">
      <c r="L4635" s="50"/>
    </row>
    <row r="4636" spans="12:12" x14ac:dyDescent="0.25">
      <c r="L4636" s="50"/>
    </row>
    <row r="4637" spans="12:12" x14ac:dyDescent="0.25">
      <c r="L4637" s="50"/>
    </row>
    <row r="4638" spans="12:12" x14ac:dyDescent="0.25">
      <c r="L4638" s="50"/>
    </row>
    <row r="4639" spans="12:12" x14ac:dyDescent="0.25">
      <c r="L4639" s="50"/>
    </row>
    <row r="4640" spans="12:12" x14ac:dyDescent="0.25">
      <c r="L4640" s="50"/>
    </row>
    <row r="4641" spans="12:12" x14ac:dyDescent="0.25">
      <c r="L4641" s="50"/>
    </row>
    <row r="4642" spans="12:12" x14ac:dyDescent="0.25">
      <c r="L4642" s="50"/>
    </row>
    <row r="4643" spans="12:12" x14ac:dyDescent="0.25">
      <c r="L4643" s="50"/>
    </row>
    <row r="4644" spans="12:12" x14ac:dyDescent="0.25">
      <c r="L4644" s="50"/>
    </row>
    <row r="4645" spans="12:12" x14ac:dyDescent="0.25">
      <c r="L4645" s="50"/>
    </row>
    <row r="4646" spans="12:12" x14ac:dyDescent="0.25">
      <c r="L4646" s="50"/>
    </row>
    <row r="4647" spans="12:12" x14ac:dyDescent="0.25">
      <c r="L4647" s="50"/>
    </row>
    <row r="4648" spans="12:12" x14ac:dyDescent="0.25">
      <c r="L4648" s="50"/>
    </row>
    <row r="4649" spans="12:12" x14ac:dyDescent="0.25">
      <c r="L4649" s="50"/>
    </row>
    <row r="4650" spans="12:12" x14ac:dyDescent="0.25">
      <c r="L4650" s="50"/>
    </row>
    <row r="4651" spans="12:12" x14ac:dyDescent="0.25">
      <c r="L4651" s="50"/>
    </row>
    <row r="4652" spans="12:12" x14ac:dyDescent="0.25">
      <c r="L4652" s="50"/>
    </row>
    <row r="4653" spans="12:12" x14ac:dyDescent="0.25">
      <c r="L4653" s="50"/>
    </row>
    <row r="4654" spans="12:12" x14ac:dyDescent="0.25">
      <c r="L4654" s="50"/>
    </row>
    <row r="4655" spans="12:12" x14ac:dyDescent="0.25">
      <c r="L4655" s="50"/>
    </row>
    <row r="4656" spans="12:12" x14ac:dyDescent="0.25">
      <c r="L4656" s="50"/>
    </row>
    <row r="4657" spans="12:12" x14ac:dyDescent="0.25">
      <c r="L4657" s="50"/>
    </row>
    <row r="4658" spans="12:12" x14ac:dyDescent="0.25">
      <c r="L4658" s="50"/>
    </row>
    <row r="4659" spans="12:12" x14ac:dyDescent="0.25">
      <c r="L4659" s="50"/>
    </row>
    <row r="4660" spans="12:12" x14ac:dyDescent="0.25">
      <c r="L4660" s="50"/>
    </row>
    <row r="4661" spans="12:12" x14ac:dyDescent="0.25">
      <c r="L4661" s="50"/>
    </row>
    <row r="4662" spans="12:12" x14ac:dyDescent="0.25">
      <c r="L4662" s="50"/>
    </row>
    <row r="4663" spans="12:12" x14ac:dyDescent="0.25">
      <c r="L4663" s="50"/>
    </row>
    <row r="4664" spans="12:12" x14ac:dyDescent="0.25">
      <c r="L4664" s="50"/>
    </row>
    <row r="4665" spans="12:12" x14ac:dyDescent="0.25">
      <c r="L4665" s="50"/>
    </row>
    <row r="4666" spans="12:12" x14ac:dyDescent="0.25">
      <c r="L4666" s="50"/>
    </row>
    <row r="4667" spans="12:12" x14ac:dyDescent="0.25">
      <c r="L4667" s="50"/>
    </row>
    <row r="4668" spans="12:12" x14ac:dyDescent="0.25">
      <c r="L4668" s="50"/>
    </row>
    <row r="4669" spans="12:12" x14ac:dyDescent="0.25">
      <c r="L4669" s="50"/>
    </row>
    <row r="4670" spans="12:12" x14ac:dyDescent="0.25">
      <c r="L4670" s="50"/>
    </row>
    <row r="4671" spans="12:12" x14ac:dyDescent="0.25">
      <c r="L4671" s="50"/>
    </row>
    <row r="4672" spans="12:12" x14ac:dyDescent="0.25">
      <c r="L4672" s="50"/>
    </row>
    <row r="4673" spans="12:12" x14ac:dyDescent="0.25">
      <c r="L4673" s="50"/>
    </row>
    <row r="4674" spans="12:12" x14ac:dyDescent="0.25">
      <c r="L4674" s="50"/>
    </row>
    <row r="4675" spans="12:12" x14ac:dyDescent="0.25">
      <c r="L4675" s="50"/>
    </row>
    <row r="4676" spans="12:12" x14ac:dyDescent="0.25">
      <c r="L4676" s="50"/>
    </row>
    <row r="4677" spans="12:12" x14ac:dyDescent="0.25">
      <c r="L4677" s="50"/>
    </row>
    <row r="4678" spans="12:12" x14ac:dyDescent="0.25">
      <c r="L4678" s="50"/>
    </row>
    <row r="4679" spans="12:12" x14ac:dyDescent="0.25">
      <c r="L4679" s="50"/>
    </row>
    <row r="4680" spans="12:12" x14ac:dyDescent="0.25">
      <c r="L4680" s="50"/>
    </row>
    <row r="4681" spans="12:12" x14ac:dyDescent="0.25">
      <c r="L4681" s="50"/>
    </row>
    <row r="4682" spans="12:12" x14ac:dyDescent="0.25">
      <c r="L4682" s="50"/>
    </row>
    <row r="4683" spans="12:12" x14ac:dyDescent="0.25">
      <c r="L4683" s="50"/>
    </row>
    <row r="4684" spans="12:12" x14ac:dyDescent="0.25">
      <c r="L4684" s="50"/>
    </row>
    <row r="4685" spans="12:12" x14ac:dyDescent="0.25">
      <c r="L4685" s="50"/>
    </row>
    <row r="4686" spans="12:12" x14ac:dyDescent="0.25">
      <c r="L4686" s="50"/>
    </row>
    <row r="4687" spans="12:12" x14ac:dyDescent="0.25">
      <c r="L4687" s="50"/>
    </row>
    <row r="4688" spans="12:12" x14ac:dyDescent="0.25">
      <c r="L4688" s="50"/>
    </row>
    <row r="4689" spans="12:12" x14ac:dyDescent="0.25">
      <c r="L4689" s="50"/>
    </row>
    <row r="4690" spans="12:12" x14ac:dyDescent="0.25">
      <c r="L4690" s="50"/>
    </row>
    <row r="4691" spans="12:12" x14ac:dyDescent="0.25">
      <c r="L4691" s="50"/>
    </row>
    <row r="4692" spans="12:12" x14ac:dyDescent="0.25">
      <c r="L4692" s="50"/>
    </row>
    <row r="4693" spans="12:12" x14ac:dyDescent="0.25">
      <c r="L4693" s="50"/>
    </row>
    <row r="4694" spans="12:12" x14ac:dyDescent="0.25">
      <c r="L4694" s="50"/>
    </row>
    <row r="4695" spans="12:12" x14ac:dyDescent="0.25">
      <c r="L4695" s="50"/>
    </row>
    <row r="4696" spans="12:12" x14ac:dyDescent="0.25">
      <c r="L4696" s="50"/>
    </row>
    <row r="4697" spans="12:12" x14ac:dyDescent="0.25">
      <c r="L4697" s="50"/>
    </row>
    <row r="4698" spans="12:12" x14ac:dyDescent="0.25">
      <c r="L4698" s="50"/>
    </row>
    <row r="4699" spans="12:12" x14ac:dyDescent="0.25">
      <c r="L4699" s="50"/>
    </row>
    <row r="4700" spans="12:12" x14ac:dyDescent="0.25">
      <c r="L4700" s="50"/>
    </row>
    <row r="4701" spans="12:12" x14ac:dyDescent="0.25">
      <c r="L4701" s="50"/>
    </row>
    <row r="4702" spans="12:12" x14ac:dyDescent="0.25">
      <c r="L4702" s="50"/>
    </row>
    <row r="4703" spans="12:12" x14ac:dyDescent="0.25">
      <c r="L4703" s="50"/>
    </row>
    <row r="4704" spans="12:12" x14ac:dyDescent="0.25">
      <c r="L4704" s="50"/>
    </row>
    <row r="4705" spans="12:12" x14ac:dyDescent="0.25">
      <c r="L4705" s="50"/>
    </row>
    <row r="4706" spans="12:12" x14ac:dyDescent="0.25">
      <c r="L4706" s="50"/>
    </row>
    <row r="4707" spans="12:12" x14ac:dyDescent="0.25">
      <c r="L4707" s="50"/>
    </row>
    <row r="4708" spans="12:12" x14ac:dyDescent="0.25">
      <c r="L4708" s="50"/>
    </row>
    <row r="4709" spans="12:12" x14ac:dyDescent="0.25">
      <c r="L4709" s="50"/>
    </row>
    <row r="4710" spans="12:12" x14ac:dyDescent="0.25">
      <c r="L4710" s="50"/>
    </row>
    <row r="4711" spans="12:12" x14ac:dyDescent="0.25">
      <c r="L4711" s="50"/>
    </row>
    <row r="4712" spans="12:12" x14ac:dyDescent="0.25">
      <c r="L4712" s="50"/>
    </row>
    <row r="4713" spans="12:12" x14ac:dyDescent="0.25">
      <c r="L4713" s="50"/>
    </row>
    <row r="4714" spans="12:12" x14ac:dyDescent="0.25">
      <c r="L4714" s="50"/>
    </row>
    <row r="4715" spans="12:12" x14ac:dyDescent="0.25">
      <c r="L4715" s="50"/>
    </row>
    <row r="4716" spans="12:12" x14ac:dyDescent="0.25">
      <c r="L4716" s="50"/>
    </row>
    <row r="4717" spans="12:12" x14ac:dyDescent="0.25">
      <c r="L4717" s="50"/>
    </row>
    <row r="4718" spans="12:12" x14ac:dyDescent="0.25">
      <c r="L4718" s="50"/>
    </row>
    <row r="4719" spans="12:12" x14ac:dyDescent="0.25">
      <c r="L4719" s="50"/>
    </row>
    <row r="4720" spans="12:12" x14ac:dyDescent="0.25">
      <c r="L4720" s="50"/>
    </row>
    <row r="4721" spans="12:12" x14ac:dyDescent="0.25">
      <c r="L4721" s="50"/>
    </row>
    <row r="4722" spans="12:12" x14ac:dyDescent="0.25">
      <c r="L4722" s="50"/>
    </row>
    <row r="4723" spans="12:12" x14ac:dyDescent="0.25">
      <c r="L4723" s="50"/>
    </row>
    <row r="4724" spans="12:12" x14ac:dyDescent="0.25">
      <c r="L4724" s="50"/>
    </row>
    <row r="4725" spans="12:12" x14ac:dyDescent="0.25">
      <c r="L4725" s="50"/>
    </row>
    <row r="4726" spans="12:12" x14ac:dyDescent="0.25">
      <c r="L4726" s="50"/>
    </row>
    <row r="4727" spans="12:12" x14ac:dyDescent="0.25">
      <c r="L4727" s="50"/>
    </row>
    <row r="4728" spans="12:12" x14ac:dyDescent="0.25">
      <c r="L4728" s="50"/>
    </row>
    <row r="4729" spans="12:12" x14ac:dyDescent="0.25">
      <c r="L4729" s="50"/>
    </row>
    <row r="4730" spans="12:12" x14ac:dyDescent="0.25">
      <c r="L4730" s="50"/>
    </row>
    <row r="4731" spans="12:12" x14ac:dyDescent="0.25">
      <c r="L4731" s="50"/>
    </row>
    <row r="4732" spans="12:12" x14ac:dyDescent="0.25">
      <c r="L4732" s="50"/>
    </row>
    <row r="4733" spans="12:12" x14ac:dyDescent="0.25">
      <c r="L4733" s="50"/>
    </row>
    <row r="4734" spans="12:12" x14ac:dyDescent="0.25">
      <c r="L4734" s="50"/>
    </row>
    <row r="4735" spans="12:12" x14ac:dyDescent="0.25">
      <c r="L4735" s="50"/>
    </row>
    <row r="4736" spans="12:12" x14ac:dyDescent="0.25">
      <c r="L4736" s="50"/>
    </row>
    <row r="4737" spans="12:12" x14ac:dyDescent="0.25">
      <c r="L4737" s="50"/>
    </row>
    <row r="4738" spans="12:12" x14ac:dyDescent="0.25">
      <c r="L4738" s="50"/>
    </row>
    <row r="4739" spans="12:12" x14ac:dyDescent="0.25">
      <c r="L4739" s="50"/>
    </row>
    <row r="4740" spans="12:12" x14ac:dyDescent="0.25">
      <c r="L4740" s="50"/>
    </row>
    <row r="4741" spans="12:12" x14ac:dyDescent="0.25">
      <c r="L4741" s="50"/>
    </row>
    <row r="4742" spans="12:12" x14ac:dyDescent="0.25">
      <c r="L4742" s="50"/>
    </row>
    <row r="4743" spans="12:12" x14ac:dyDescent="0.25">
      <c r="L4743" s="50"/>
    </row>
    <row r="4744" spans="12:12" x14ac:dyDescent="0.25">
      <c r="L4744" s="50"/>
    </row>
    <row r="4745" spans="12:12" x14ac:dyDescent="0.25">
      <c r="L4745" s="50"/>
    </row>
    <row r="4746" spans="12:12" x14ac:dyDescent="0.25">
      <c r="L4746" s="50"/>
    </row>
    <row r="4747" spans="12:12" x14ac:dyDescent="0.25">
      <c r="L4747" s="50"/>
    </row>
    <row r="4748" spans="12:12" x14ac:dyDescent="0.25">
      <c r="L4748" s="50"/>
    </row>
    <row r="4749" spans="12:12" x14ac:dyDescent="0.25">
      <c r="L4749" s="50"/>
    </row>
    <row r="4750" spans="12:12" x14ac:dyDescent="0.25">
      <c r="L4750" s="50"/>
    </row>
    <row r="4751" spans="12:12" x14ac:dyDescent="0.25">
      <c r="L4751" s="50"/>
    </row>
    <row r="4752" spans="12:12" x14ac:dyDescent="0.25">
      <c r="L4752" s="50"/>
    </row>
    <row r="4753" spans="12:12" x14ac:dyDescent="0.25">
      <c r="L4753" s="50"/>
    </row>
    <row r="4754" spans="12:12" x14ac:dyDescent="0.25">
      <c r="L4754" s="50"/>
    </row>
    <row r="4755" spans="12:12" x14ac:dyDescent="0.25">
      <c r="L4755" s="50"/>
    </row>
    <row r="4756" spans="12:12" x14ac:dyDescent="0.25">
      <c r="L4756" s="50"/>
    </row>
    <row r="4757" spans="12:12" x14ac:dyDescent="0.25">
      <c r="L4757" s="50"/>
    </row>
    <row r="4758" spans="12:12" x14ac:dyDescent="0.25">
      <c r="L4758" s="50"/>
    </row>
    <row r="4759" spans="12:12" x14ac:dyDescent="0.25">
      <c r="L4759" s="50"/>
    </row>
    <row r="4760" spans="12:12" x14ac:dyDescent="0.25">
      <c r="L4760" s="50"/>
    </row>
    <row r="4761" spans="12:12" x14ac:dyDescent="0.25">
      <c r="L4761" s="50"/>
    </row>
    <row r="4762" spans="12:12" x14ac:dyDescent="0.25">
      <c r="L4762" s="50"/>
    </row>
    <row r="4763" spans="12:12" x14ac:dyDescent="0.25">
      <c r="L4763" s="50"/>
    </row>
    <row r="4764" spans="12:12" x14ac:dyDescent="0.25">
      <c r="L4764" s="50"/>
    </row>
    <row r="4765" spans="12:12" x14ac:dyDescent="0.25">
      <c r="L4765" s="50"/>
    </row>
    <row r="4766" spans="12:12" x14ac:dyDescent="0.25">
      <c r="L4766" s="50"/>
    </row>
    <row r="4767" spans="12:12" x14ac:dyDescent="0.25">
      <c r="L4767" s="50"/>
    </row>
    <row r="4768" spans="12:12" x14ac:dyDescent="0.25">
      <c r="L4768" s="50"/>
    </row>
    <row r="4769" spans="12:12" x14ac:dyDescent="0.25">
      <c r="L4769" s="50"/>
    </row>
    <row r="4770" spans="12:12" x14ac:dyDescent="0.25">
      <c r="L4770" s="50"/>
    </row>
    <row r="4771" spans="12:12" x14ac:dyDescent="0.25">
      <c r="L4771" s="50"/>
    </row>
    <row r="4772" spans="12:12" x14ac:dyDescent="0.25">
      <c r="L4772" s="50"/>
    </row>
    <row r="4773" spans="12:12" x14ac:dyDescent="0.25">
      <c r="L4773" s="50"/>
    </row>
    <row r="4774" spans="12:12" x14ac:dyDescent="0.25">
      <c r="L4774" s="50"/>
    </row>
    <row r="4775" spans="12:12" x14ac:dyDescent="0.25">
      <c r="L4775" s="50"/>
    </row>
    <row r="4776" spans="12:12" x14ac:dyDescent="0.25">
      <c r="L4776" s="50"/>
    </row>
    <row r="4777" spans="12:12" x14ac:dyDescent="0.25">
      <c r="L4777" s="50"/>
    </row>
    <row r="4778" spans="12:12" x14ac:dyDescent="0.25">
      <c r="L4778" s="50"/>
    </row>
    <row r="4779" spans="12:12" x14ac:dyDescent="0.25">
      <c r="L4779" s="50"/>
    </row>
    <row r="4780" spans="12:12" x14ac:dyDescent="0.25">
      <c r="L4780" s="50"/>
    </row>
    <row r="4781" spans="12:12" x14ac:dyDescent="0.25">
      <c r="L4781" s="50"/>
    </row>
    <row r="4782" spans="12:12" x14ac:dyDescent="0.25">
      <c r="L4782" s="50"/>
    </row>
    <row r="4783" spans="12:12" x14ac:dyDescent="0.25">
      <c r="L4783" s="50"/>
    </row>
    <row r="4784" spans="12:12" x14ac:dyDescent="0.25">
      <c r="L4784" s="50"/>
    </row>
    <row r="4785" spans="12:12" x14ac:dyDescent="0.25">
      <c r="L4785" s="50"/>
    </row>
    <row r="4786" spans="12:12" x14ac:dyDescent="0.25">
      <c r="L4786" s="50"/>
    </row>
    <row r="4787" spans="12:12" x14ac:dyDescent="0.25">
      <c r="L4787" s="50"/>
    </row>
    <row r="4788" spans="12:12" x14ac:dyDescent="0.25">
      <c r="L4788" s="50"/>
    </row>
    <row r="4789" spans="12:12" x14ac:dyDescent="0.25">
      <c r="L4789" s="50"/>
    </row>
    <row r="4790" spans="12:12" x14ac:dyDescent="0.25">
      <c r="L4790" s="50"/>
    </row>
    <row r="4791" spans="12:12" x14ac:dyDescent="0.25">
      <c r="L4791" s="50"/>
    </row>
    <row r="4792" spans="12:12" x14ac:dyDescent="0.25">
      <c r="L4792" s="50"/>
    </row>
    <row r="4793" spans="12:12" x14ac:dyDescent="0.25">
      <c r="L4793" s="50"/>
    </row>
    <row r="4794" spans="12:12" x14ac:dyDescent="0.25">
      <c r="L4794" s="50"/>
    </row>
    <row r="4795" spans="12:12" x14ac:dyDescent="0.25">
      <c r="L4795" s="50"/>
    </row>
    <row r="4796" spans="12:12" x14ac:dyDescent="0.25">
      <c r="L4796" s="50"/>
    </row>
    <row r="4797" spans="12:12" x14ac:dyDescent="0.25">
      <c r="L4797" s="50"/>
    </row>
    <row r="4798" spans="12:12" x14ac:dyDescent="0.25">
      <c r="L4798" s="50"/>
    </row>
    <row r="4799" spans="12:12" x14ac:dyDescent="0.25">
      <c r="L4799" s="50"/>
    </row>
    <row r="4800" spans="12:12" x14ac:dyDescent="0.25">
      <c r="L4800" s="50"/>
    </row>
    <row r="4801" spans="12:12" x14ac:dyDescent="0.25">
      <c r="L4801" s="50"/>
    </row>
    <row r="4802" spans="12:12" x14ac:dyDescent="0.25">
      <c r="L4802" s="50"/>
    </row>
    <row r="4803" spans="12:12" x14ac:dyDescent="0.25">
      <c r="L4803" s="50"/>
    </row>
    <row r="4804" spans="12:12" x14ac:dyDescent="0.25">
      <c r="L4804" s="50"/>
    </row>
    <row r="4805" spans="12:12" x14ac:dyDescent="0.25">
      <c r="L4805" s="50"/>
    </row>
    <row r="4806" spans="12:12" x14ac:dyDescent="0.25">
      <c r="L4806" s="50"/>
    </row>
    <row r="4807" spans="12:12" x14ac:dyDescent="0.25">
      <c r="L4807" s="50"/>
    </row>
    <row r="4808" spans="12:12" x14ac:dyDescent="0.25">
      <c r="L4808" s="50"/>
    </row>
    <row r="4809" spans="12:12" x14ac:dyDescent="0.25">
      <c r="L4809" s="50"/>
    </row>
    <row r="4810" spans="12:12" x14ac:dyDescent="0.25">
      <c r="L4810" s="50"/>
    </row>
    <row r="4811" spans="12:12" x14ac:dyDescent="0.25">
      <c r="L4811" s="50"/>
    </row>
    <row r="4812" spans="12:12" x14ac:dyDescent="0.25">
      <c r="L4812" s="50"/>
    </row>
    <row r="4813" spans="12:12" x14ac:dyDescent="0.25">
      <c r="L4813" s="50"/>
    </row>
    <row r="4814" spans="12:12" x14ac:dyDescent="0.25">
      <c r="L4814" s="50"/>
    </row>
    <row r="4815" spans="12:12" x14ac:dyDescent="0.25">
      <c r="L4815" s="50"/>
    </row>
    <row r="4816" spans="12:12" x14ac:dyDescent="0.25">
      <c r="L4816" s="50"/>
    </row>
    <row r="4817" spans="12:12" x14ac:dyDescent="0.25">
      <c r="L4817" s="50"/>
    </row>
    <row r="4818" spans="12:12" x14ac:dyDescent="0.25">
      <c r="L4818" s="50"/>
    </row>
    <row r="4819" spans="12:12" x14ac:dyDescent="0.25">
      <c r="L4819" s="50"/>
    </row>
    <row r="4820" spans="12:12" x14ac:dyDescent="0.25">
      <c r="L4820" s="50"/>
    </row>
    <row r="4821" spans="12:12" x14ac:dyDescent="0.25">
      <c r="L4821" s="50"/>
    </row>
    <row r="4822" spans="12:12" x14ac:dyDescent="0.25">
      <c r="L4822" s="50"/>
    </row>
    <row r="4823" spans="12:12" x14ac:dyDescent="0.25">
      <c r="L4823" s="50"/>
    </row>
    <row r="4824" spans="12:12" x14ac:dyDescent="0.25">
      <c r="L4824" s="50"/>
    </row>
    <row r="4825" spans="12:12" x14ac:dyDescent="0.25">
      <c r="L4825" s="50"/>
    </row>
    <row r="4826" spans="12:12" x14ac:dyDescent="0.25">
      <c r="L4826" s="50"/>
    </row>
    <row r="4827" spans="12:12" x14ac:dyDescent="0.25">
      <c r="L4827" s="50"/>
    </row>
    <row r="4828" spans="12:12" x14ac:dyDescent="0.25">
      <c r="L4828" s="50"/>
    </row>
    <row r="4829" spans="12:12" x14ac:dyDescent="0.25">
      <c r="L4829" s="50"/>
    </row>
    <row r="4830" spans="12:12" x14ac:dyDescent="0.25">
      <c r="L4830" s="50"/>
    </row>
    <row r="4831" spans="12:12" x14ac:dyDescent="0.25">
      <c r="L4831" s="50"/>
    </row>
    <row r="4832" spans="12:12" x14ac:dyDescent="0.25">
      <c r="L4832" s="50"/>
    </row>
    <row r="4833" spans="12:12" x14ac:dyDescent="0.25">
      <c r="L4833" s="50"/>
    </row>
    <row r="4834" spans="12:12" x14ac:dyDescent="0.25">
      <c r="L4834" s="50"/>
    </row>
    <row r="4835" spans="12:12" x14ac:dyDescent="0.25">
      <c r="L4835" s="50"/>
    </row>
    <row r="4836" spans="12:12" x14ac:dyDescent="0.25">
      <c r="L4836" s="50"/>
    </row>
    <row r="4837" spans="12:12" x14ac:dyDescent="0.25">
      <c r="L4837" s="50"/>
    </row>
    <row r="4838" spans="12:12" x14ac:dyDescent="0.25">
      <c r="L4838" s="50"/>
    </row>
    <row r="4839" spans="12:12" x14ac:dyDescent="0.25">
      <c r="L4839" s="50"/>
    </row>
    <row r="4840" spans="12:12" x14ac:dyDescent="0.25">
      <c r="L4840" s="50"/>
    </row>
    <row r="4841" spans="12:12" x14ac:dyDescent="0.25">
      <c r="L4841" s="50"/>
    </row>
    <row r="4842" spans="12:12" x14ac:dyDescent="0.25">
      <c r="L4842" s="50"/>
    </row>
    <row r="4843" spans="12:12" x14ac:dyDescent="0.25">
      <c r="L4843" s="50"/>
    </row>
    <row r="4844" spans="12:12" x14ac:dyDescent="0.25">
      <c r="L4844" s="50"/>
    </row>
    <row r="4845" spans="12:12" x14ac:dyDescent="0.25">
      <c r="L4845" s="50"/>
    </row>
    <row r="4846" spans="12:12" x14ac:dyDescent="0.25">
      <c r="L4846" s="50"/>
    </row>
    <row r="4847" spans="12:12" x14ac:dyDescent="0.25">
      <c r="L4847" s="50"/>
    </row>
    <row r="4848" spans="12:12" x14ac:dyDescent="0.25">
      <c r="L4848" s="50"/>
    </row>
    <row r="4849" spans="12:12" x14ac:dyDescent="0.25">
      <c r="L4849" s="50"/>
    </row>
    <row r="4850" spans="12:12" x14ac:dyDescent="0.25">
      <c r="L4850" s="50"/>
    </row>
    <row r="4851" spans="12:12" x14ac:dyDescent="0.25">
      <c r="L4851" s="50"/>
    </row>
    <row r="4852" spans="12:12" x14ac:dyDescent="0.25">
      <c r="L4852" s="50"/>
    </row>
    <row r="4853" spans="12:12" x14ac:dyDescent="0.25">
      <c r="L4853" s="50"/>
    </row>
    <row r="4854" spans="12:12" x14ac:dyDescent="0.25">
      <c r="L4854" s="50"/>
    </row>
    <row r="4855" spans="12:12" x14ac:dyDescent="0.25">
      <c r="L4855" s="50"/>
    </row>
    <row r="4856" spans="12:12" x14ac:dyDescent="0.25">
      <c r="L4856" s="50"/>
    </row>
    <row r="4857" spans="12:12" x14ac:dyDescent="0.25">
      <c r="L4857" s="50"/>
    </row>
    <row r="4858" spans="12:12" x14ac:dyDescent="0.25">
      <c r="L4858" s="50"/>
    </row>
    <row r="4859" spans="12:12" x14ac:dyDescent="0.25">
      <c r="L4859" s="50"/>
    </row>
    <row r="4860" spans="12:12" x14ac:dyDescent="0.25">
      <c r="L4860" s="50"/>
    </row>
    <row r="4861" spans="12:12" x14ac:dyDescent="0.25">
      <c r="L4861" s="50"/>
    </row>
    <row r="4862" spans="12:12" x14ac:dyDescent="0.25">
      <c r="L4862" s="50"/>
    </row>
    <row r="4863" spans="12:12" x14ac:dyDescent="0.25">
      <c r="L4863" s="50"/>
    </row>
    <row r="4864" spans="12:12" x14ac:dyDescent="0.25">
      <c r="L4864" s="50"/>
    </row>
    <row r="4865" spans="12:12" x14ac:dyDescent="0.25">
      <c r="L4865" s="50"/>
    </row>
    <row r="4866" spans="12:12" x14ac:dyDescent="0.25">
      <c r="L4866" s="50"/>
    </row>
    <row r="4867" spans="12:12" x14ac:dyDescent="0.25">
      <c r="L4867" s="50"/>
    </row>
    <row r="4868" spans="12:12" x14ac:dyDescent="0.25">
      <c r="L4868" s="50"/>
    </row>
    <row r="4869" spans="12:12" x14ac:dyDescent="0.25">
      <c r="L4869" s="50"/>
    </row>
    <row r="4870" spans="12:12" x14ac:dyDescent="0.25">
      <c r="L4870" s="50"/>
    </row>
    <row r="4871" spans="12:12" x14ac:dyDescent="0.25">
      <c r="L4871" s="50"/>
    </row>
    <row r="4872" spans="12:12" x14ac:dyDescent="0.25">
      <c r="L4872" s="50"/>
    </row>
    <row r="4873" spans="12:12" x14ac:dyDescent="0.25">
      <c r="L4873" s="50"/>
    </row>
    <row r="4874" spans="12:12" x14ac:dyDescent="0.25">
      <c r="L4874" s="50"/>
    </row>
    <row r="4875" spans="12:12" x14ac:dyDescent="0.25">
      <c r="L4875" s="50"/>
    </row>
    <row r="4876" spans="12:12" x14ac:dyDescent="0.25">
      <c r="L4876" s="50"/>
    </row>
    <row r="4877" spans="12:12" x14ac:dyDescent="0.25">
      <c r="L4877" s="50"/>
    </row>
    <row r="4878" spans="12:12" x14ac:dyDescent="0.25">
      <c r="L4878" s="50"/>
    </row>
    <row r="4879" spans="12:12" x14ac:dyDescent="0.25">
      <c r="L4879" s="50"/>
    </row>
    <row r="4880" spans="12:12" x14ac:dyDescent="0.25">
      <c r="L4880" s="50"/>
    </row>
    <row r="4881" spans="12:12" x14ac:dyDescent="0.25">
      <c r="L4881" s="50"/>
    </row>
    <row r="4882" spans="12:12" x14ac:dyDescent="0.25">
      <c r="L4882" s="50"/>
    </row>
    <row r="4883" spans="12:12" x14ac:dyDescent="0.25">
      <c r="L4883" s="50"/>
    </row>
    <row r="4884" spans="12:12" x14ac:dyDescent="0.25">
      <c r="L4884" s="50"/>
    </row>
    <row r="4885" spans="12:12" x14ac:dyDescent="0.25">
      <c r="L4885" s="50"/>
    </row>
    <row r="4886" spans="12:12" x14ac:dyDescent="0.25">
      <c r="L4886" s="50"/>
    </row>
    <row r="4887" spans="12:12" x14ac:dyDescent="0.25">
      <c r="L4887" s="50"/>
    </row>
    <row r="4888" spans="12:12" x14ac:dyDescent="0.25">
      <c r="L4888" s="50"/>
    </row>
    <row r="4889" spans="12:12" x14ac:dyDescent="0.25">
      <c r="L4889" s="50"/>
    </row>
    <row r="4890" spans="12:12" x14ac:dyDescent="0.25">
      <c r="L4890" s="50"/>
    </row>
    <row r="4891" spans="12:12" x14ac:dyDescent="0.25">
      <c r="L4891" s="50"/>
    </row>
    <row r="4892" spans="12:12" x14ac:dyDescent="0.25">
      <c r="L4892" s="50"/>
    </row>
    <row r="4893" spans="12:12" x14ac:dyDescent="0.25">
      <c r="L4893" s="50"/>
    </row>
    <row r="4894" spans="12:12" x14ac:dyDescent="0.25">
      <c r="L4894" s="50"/>
    </row>
    <row r="4895" spans="12:12" x14ac:dyDescent="0.25">
      <c r="L4895" s="50"/>
    </row>
    <row r="4896" spans="12:12" x14ac:dyDescent="0.25">
      <c r="L4896" s="50"/>
    </row>
    <row r="4897" spans="12:12" x14ac:dyDescent="0.25">
      <c r="L4897" s="50"/>
    </row>
    <row r="4898" spans="12:12" x14ac:dyDescent="0.25">
      <c r="L4898" s="50"/>
    </row>
    <row r="4899" spans="12:12" x14ac:dyDescent="0.25">
      <c r="L4899" s="50"/>
    </row>
    <row r="4900" spans="12:12" x14ac:dyDescent="0.25">
      <c r="L4900" s="50"/>
    </row>
    <row r="4901" spans="12:12" x14ac:dyDescent="0.25">
      <c r="L4901" s="50"/>
    </row>
    <row r="4902" spans="12:12" x14ac:dyDescent="0.25">
      <c r="L4902" s="50"/>
    </row>
    <row r="4903" spans="12:12" x14ac:dyDescent="0.25">
      <c r="L4903" s="50"/>
    </row>
    <row r="4904" spans="12:12" x14ac:dyDescent="0.25">
      <c r="L4904" s="50"/>
    </row>
    <row r="4905" spans="12:12" x14ac:dyDescent="0.25">
      <c r="L4905" s="50"/>
    </row>
    <row r="4906" spans="12:12" x14ac:dyDescent="0.25">
      <c r="L4906" s="50"/>
    </row>
    <row r="4907" spans="12:12" x14ac:dyDescent="0.25">
      <c r="L4907" s="50"/>
    </row>
    <row r="4908" spans="12:12" x14ac:dyDescent="0.25">
      <c r="L4908" s="50"/>
    </row>
    <row r="4909" spans="12:12" x14ac:dyDescent="0.25">
      <c r="L4909" s="50"/>
    </row>
    <row r="4910" spans="12:12" x14ac:dyDescent="0.25">
      <c r="L4910" s="50"/>
    </row>
    <row r="4911" spans="12:12" x14ac:dyDescent="0.25">
      <c r="L4911" s="50"/>
    </row>
    <row r="4912" spans="12:12" x14ac:dyDescent="0.25">
      <c r="L4912" s="50"/>
    </row>
    <row r="4913" spans="12:12" x14ac:dyDescent="0.25">
      <c r="L4913" s="50"/>
    </row>
    <row r="4914" spans="12:12" x14ac:dyDescent="0.25">
      <c r="L4914" s="50"/>
    </row>
    <row r="4915" spans="12:12" x14ac:dyDescent="0.25">
      <c r="L4915" s="50"/>
    </row>
    <row r="4916" spans="12:12" x14ac:dyDescent="0.25">
      <c r="L4916" s="50"/>
    </row>
    <row r="4917" spans="12:12" x14ac:dyDescent="0.25">
      <c r="L4917" s="50"/>
    </row>
    <row r="4918" spans="12:12" x14ac:dyDescent="0.25">
      <c r="L4918" s="50"/>
    </row>
    <row r="4919" spans="12:12" x14ac:dyDescent="0.25">
      <c r="L4919" s="50"/>
    </row>
    <row r="4920" spans="12:12" x14ac:dyDescent="0.25">
      <c r="L4920" s="50"/>
    </row>
    <row r="4921" spans="12:12" x14ac:dyDescent="0.25">
      <c r="L4921" s="50"/>
    </row>
    <row r="4922" spans="12:12" x14ac:dyDescent="0.25">
      <c r="L4922" s="50"/>
    </row>
    <row r="4923" spans="12:12" x14ac:dyDescent="0.25">
      <c r="L4923" s="50"/>
    </row>
    <row r="4924" spans="12:12" x14ac:dyDescent="0.25">
      <c r="L4924" s="50"/>
    </row>
    <row r="4925" spans="12:12" x14ac:dyDescent="0.25">
      <c r="L4925" s="50"/>
    </row>
    <row r="4926" spans="12:12" x14ac:dyDescent="0.25">
      <c r="L4926" s="50"/>
    </row>
    <row r="4927" spans="12:12" x14ac:dyDescent="0.25">
      <c r="L4927" s="50"/>
    </row>
    <row r="4928" spans="12:12" x14ac:dyDescent="0.25">
      <c r="L4928" s="50"/>
    </row>
    <row r="4929" spans="12:12" x14ac:dyDescent="0.25">
      <c r="L4929" s="50"/>
    </row>
    <row r="4930" spans="12:12" x14ac:dyDescent="0.25">
      <c r="L4930" s="50"/>
    </row>
    <row r="4931" spans="12:12" x14ac:dyDescent="0.25">
      <c r="L4931" s="50"/>
    </row>
    <row r="4932" spans="12:12" x14ac:dyDescent="0.25">
      <c r="L4932" s="50"/>
    </row>
    <row r="4933" spans="12:12" x14ac:dyDescent="0.25">
      <c r="L4933" s="50"/>
    </row>
    <row r="4934" spans="12:12" x14ac:dyDescent="0.25">
      <c r="L4934" s="50"/>
    </row>
    <row r="4935" spans="12:12" x14ac:dyDescent="0.25">
      <c r="L4935" s="50"/>
    </row>
    <row r="4936" spans="12:12" x14ac:dyDescent="0.25">
      <c r="L4936" s="50"/>
    </row>
    <row r="4937" spans="12:12" x14ac:dyDescent="0.25">
      <c r="L4937" s="50"/>
    </row>
    <row r="4938" spans="12:12" x14ac:dyDescent="0.25">
      <c r="L4938" s="50"/>
    </row>
    <row r="4939" spans="12:12" x14ac:dyDescent="0.25">
      <c r="L4939" s="50"/>
    </row>
    <row r="4940" spans="12:12" x14ac:dyDescent="0.25">
      <c r="L4940" s="50"/>
    </row>
    <row r="4941" spans="12:12" x14ac:dyDescent="0.25">
      <c r="L4941" s="50"/>
    </row>
    <row r="4942" spans="12:12" x14ac:dyDescent="0.25">
      <c r="L4942" s="50"/>
    </row>
    <row r="4943" spans="12:12" x14ac:dyDescent="0.25">
      <c r="L4943" s="50"/>
    </row>
    <row r="4944" spans="12:12" x14ac:dyDescent="0.25">
      <c r="L4944" s="50"/>
    </row>
    <row r="4945" spans="12:12" x14ac:dyDescent="0.25">
      <c r="L4945" s="50"/>
    </row>
    <row r="4946" spans="12:12" x14ac:dyDescent="0.25">
      <c r="L4946" s="50"/>
    </row>
    <row r="4947" spans="12:12" x14ac:dyDescent="0.25">
      <c r="L4947" s="50"/>
    </row>
    <row r="4948" spans="12:12" x14ac:dyDescent="0.25">
      <c r="L4948" s="50"/>
    </row>
    <row r="4949" spans="12:12" x14ac:dyDescent="0.25">
      <c r="L4949" s="50"/>
    </row>
    <row r="4950" spans="12:12" x14ac:dyDescent="0.25">
      <c r="L4950" s="50"/>
    </row>
    <row r="4951" spans="12:12" x14ac:dyDescent="0.25">
      <c r="L4951" s="50"/>
    </row>
    <row r="4952" spans="12:12" x14ac:dyDescent="0.25">
      <c r="L4952" s="50"/>
    </row>
    <row r="4953" spans="12:12" x14ac:dyDescent="0.25">
      <c r="L4953" s="50"/>
    </row>
    <row r="4954" spans="12:12" x14ac:dyDescent="0.25">
      <c r="L4954" s="50"/>
    </row>
    <row r="4955" spans="12:12" x14ac:dyDescent="0.25">
      <c r="L4955" s="50"/>
    </row>
    <row r="4956" spans="12:12" x14ac:dyDescent="0.25">
      <c r="L4956" s="50"/>
    </row>
    <row r="4957" spans="12:12" x14ac:dyDescent="0.25">
      <c r="L4957" s="50"/>
    </row>
    <row r="4958" spans="12:12" x14ac:dyDescent="0.25">
      <c r="L4958" s="50"/>
    </row>
    <row r="4959" spans="12:12" x14ac:dyDescent="0.25">
      <c r="L4959" s="50"/>
    </row>
    <row r="4960" spans="12:12" x14ac:dyDescent="0.25">
      <c r="L4960" s="50"/>
    </row>
    <row r="4961" spans="12:12" x14ac:dyDescent="0.25">
      <c r="L4961" s="50"/>
    </row>
    <row r="4962" spans="12:12" x14ac:dyDescent="0.25">
      <c r="L4962" s="50"/>
    </row>
    <row r="4963" spans="12:12" x14ac:dyDescent="0.25">
      <c r="L4963" s="50"/>
    </row>
    <row r="4964" spans="12:12" x14ac:dyDescent="0.25">
      <c r="L4964" s="50"/>
    </row>
    <row r="4965" spans="12:12" x14ac:dyDescent="0.25">
      <c r="L4965" s="50"/>
    </row>
    <row r="4966" spans="12:12" x14ac:dyDescent="0.25">
      <c r="L4966" s="50"/>
    </row>
    <row r="4967" spans="12:12" x14ac:dyDescent="0.25">
      <c r="L4967" s="50"/>
    </row>
    <row r="4968" spans="12:12" x14ac:dyDescent="0.25">
      <c r="L4968" s="50"/>
    </row>
    <row r="4969" spans="12:12" x14ac:dyDescent="0.25">
      <c r="L4969" s="50"/>
    </row>
    <row r="4970" spans="12:12" x14ac:dyDescent="0.25">
      <c r="L4970" s="50"/>
    </row>
    <row r="4971" spans="12:12" x14ac:dyDescent="0.25">
      <c r="L4971" s="50"/>
    </row>
    <row r="4972" spans="12:12" x14ac:dyDescent="0.25">
      <c r="L4972" s="50"/>
    </row>
    <row r="4973" spans="12:12" x14ac:dyDescent="0.25">
      <c r="L4973" s="50"/>
    </row>
    <row r="4974" spans="12:12" x14ac:dyDescent="0.25">
      <c r="L4974" s="50"/>
    </row>
    <row r="4975" spans="12:12" x14ac:dyDescent="0.25">
      <c r="L4975" s="50"/>
    </row>
    <row r="4976" spans="12:12" x14ac:dyDescent="0.25">
      <c r="L4976" s="50"/>
    </row>
    <row r="4977" spans="12:12" x14ac:dyDescent="0.25">
      <c r="L4977" s="50"/>
    </row>
    <row r="4978" spans="12:12" x14ac:dyDescent="0.25">
      <c r="L4978" s="50"/>
    </row>
    <row r="4979" spans="12:12" x14ac:dyDescent="0.25">
      <c r="L4979" s="50"/>
    </row>
    <row r="4980" spans="12:12" x14ac:dyDescent="0.25">
      <c r="L4980" s="50"/>
    </row>
    <row r="4981" spans="12:12" x14ac:dyDescent="0.25">
      <c r="L4981" s="50"/>
    </row>
    <row r="4982" spans="12:12" x14ac:dyDescent="0.25">
      <c r="L4982" s="50"/>
    </row>
    <row r="4983" spans="12:12" x14ac:dyDescent="0.25">
      <c r="L4983" s="50"/>
    </row>
    <row r="4984" spans="12:12" x14ac:dyDescent="0.25">
      <c r="L4984" s="50"/>
    </row>
    <row r="4985" spans="12:12" x14ac:dyDescent="0.25">
      <c r="L4985" s="50"/>
    </row>
    <row r="4986" spans="12:12" x14ac:dyDescent="0.25">
      <c r="L4986" s="50"/>
    </row>
    <row r="4987" spans="12:12" x14ac:dyDescent="0.25">
      <c r="L4987" s="50"/>
    </row>
    <row r="4988" spans="12:12" x14ac:dyDescent="0.25">
      <c r="L4988" s="50"/>
    </row>
    <row r="4989" spans="12:12" x14ac:dyDescent="0.25">
      <c r="L4989" s="50"/>
    </row>
    <row r="4990" spans="12:12" x14ac:dyDescent="0.25">
      <c r="L4990" s="50"/>
    </row>
    <row r="4991" spans="12:12" x14ac:dyDescent="0.25">
      <c r="L4991" s="50"/>
    </row>
    <row r="4992" spans="12:12" x14ac:dyDescent="0.25">
      <c r="L4992" s="50"/>
    </row>
    <row r="4993" spans="12:12" x14ac:dyDescent="0.25">
      <c r="L4993" s="50"/>
    </row>
    <row r="4994" spans="12:12" x14ac:dyDescent="0.25">
      <c r="L4994" s="50"/>
    </row>
    <row r="4995" spans="12:12" x14ac:dyDescent="0.25">
      <c r="L4995" s="50"/>
    </row>
    <row r="4996" spans="12:12" x14ac:dyDescent="0.25">
      <c r="L4996" s="50"/>
    </row>
    <row r="4997" spans="12:12" x14ac:dyDescent="0.25">
      <c r="L4997" s="50"/>
    </row>
    <row r="4998" spans="12:12" x14ac:dyDescent="0.25">
      <c r="L4998" s="50"/>
    </row>
    <row r="4999" spans="12:12" x14ac:dyDescent="0.25">
      <c r="L4999" s="50"/>
    </row>
    <row r="5000" spans="12:12" x14ac:dyDescent="0.25">
      <c r="L5000" s="50"/>
    </row>
    <row r="5001" spans="12:12" x14ac:dyDescent="0.25">
      <c r="L5001" s="50"/>
    </row>
    <row r="5002" spans="12:12" x14ac:dyDescent="0.25">
      <c r="L5002" s="50"/>
    </row>
    <row r="5003" spans="12:12" x14ac:dyDescent="0.25">
      <c r="L5003" s="50"/>
    </row>
    <row r="5004" spans="12:12" x14ac:dyDescent="0.25">
      <c r="L5004" s="50"/>
    </row>
    <row r="5005" spans="12:12" x14ac:dyDescent="0.25">
      <c r="L5005" s="50"/>
    </row>
    <row r="5006" spans="12:12" x14ac:dyDescent="0.25">
      <c r="L5006" s="50"/>
    </row>
    <row r="5007" spans="12:12" x14ac:dyDescent="0.25">
      <c r="L5007" s="50"/>
    </row>
    <row r="5008" spans="12:12" x14ac:dyDescent="0.25">
      <c r="L5008" s="50"/>
    </row>
    <row r="5009" spans="12:12" x14ac:dyDescent="0.25">
      <c r="L5009" s="50"/>
    </row>
    <row r="5010" spans="12:12" x14ac:dyDescent="0.25">
      <c r="L5010" s="50"/>
    </row>
    <row r="5011" spans="12:12" x14ac:dyDescent="0.25">
      <c r="L5011" s="50"/>
    </row>
    <row r="5012" spans="12:12" x14ac:dyDescent="0.25">
      <c r="L5012" s="50"/>
    </row>
    <row r="5013" spans="12:12" x14ac:dyDescent="0.25">
      <c r="L5013" s="50"/>
    </row>
    <row r="5014" spans="12:12" x14ac:dyDescent="0.25">
      <c r="L5014" s="50"/>
    </row>
    <row r="5015" spans="12:12" x14ac:dyDescent="0.25">
      <c r="L5015" s="50"/>
    </row>
    <row r="5016" spans="12:12" x14ac:dyDescent="0.25">
      <c r="L5016" s="50"/>
    </row>
    <row r="5017" spans="12:12" x14ac:dyDescent="0.25">
      <c r="L5017" s="50"/>
    </row>
    <row r="5018" spans="12:12" x14ac:dyDescent="0.25">
      <c r="L5018" s="50"/>
    </row>
    <row r="5019" spans="12:12" x14ac:dyDescent="0.25">
      <c r="L5019" s="50"/>
    </row>
    <row r="5020" spans="12:12" x14ac:dyDescent="0.25">
      <c r="L5020" s="50"/>
    </row>
    <row r="5021" spans="12:12" x14ac:dyDescent="0.25">
      <c r="L5021" s="50"/>
    </row>
    <row r="5022" spans="12:12" x14ac:dyDescent="0.25">
      <c r="L5022" s="50"/>
    </row>
    <row r="5023" spans="12:12" x14ac:dyDescent="0.25">
      <c r="L5023" s="50"/>
    </row>
    <row r="5024" spans="12:12" x14ac:dyDescent="0.25">
      <c r="L5024" s="50"/>
    </row>
    <row r="5025" spans="12:12" x14ac:dyDescent="0.25">
      <c r="L5025" s="50"/>
    </row>
    <row r="5026" spans="12:12" x14ac:dyDescent="0.25">
      <c r="L5026" s="50"/>
    </row>
    <row r="5027" spans="12:12" x14ac:dyDescent="0.25">
      <c r="L5027" s="50"/>
    </row>
    <row r="5028" spans="12:12" x14ac:dyDescent="0.25">
      <c r="L5028" s="50"/>
    </row>
    <row r="5029" spans="12:12" x14ac:dyDescent="0.25">
      <c r="L5029" s="50"/>
    </row>
    <row r="5030" spans="12:12" x14ac:dyDescent="0.25">
      <c r="L5030" s="50"/>
    </row>
    <row r="5031" spans="12:12" x14ac:dyDescent="0.25">
      <c r="L5031" s="50"/>
    </row>
    <row r="5032" spans="12:12" x14ac:dyDescent="0.25">
      <c r="L5032" s="50"/>
    </row>
    <row r="5033" spans="12:12" x14ac:dyDescent="0.25">
      <c r="L5033" s="50"/>
    </row>
    <row r="5034" spans="12:12" x14ac:dyDescent="0.25">
      <c r="L5034" s="50"/>
    </row>
    <row r="5035" spans="12:12" x14ac:dyDescent="0.25">
      <c r="L5035" s="50"/>
    </row>
    <row r="5036" spans="12:12" x14ac:dyDescent="0.25">
      <c r="L5036" s="50"/>
    </row>
    <row r="5037" spans="12:12" x14ac:dyDescent="0.25">
      <c r="L5037" s="50"/>
    </row>
    <row r="5038" spans="12:12" x14ac:dyDescent="0.25">
      <c r="L5038" s="50"/>
    </row>
    <row r="5039" spans="12:12" x14ac:dyDescent="0.25">
      <c r="L5039" s="50"/>
    </row>
    <row r="5040" spans="12:12" x14ac:dyDescent="0.25">
      <c r="L5040" s="50"/>
    </row>
    <row r="5041" spans="12:12" x14ac:dyDescent="0.25">
      <c r="L5041" s="50"/>
    </row>
    <row r="5042" spans="12:12" x14ac:dyDescent="0.25">
      <c r="L5042" s="50"/>
    </row>
    <row r="5043" spans="12:12" x14ac:dyDescent="0.25">
      <c r="L5043" s="50"/>
    </row>
    <row r="5044" spans="12:12" x14ac:dyDescent="0.25">
      <c r="L5044" s="50"/>
    </row>
    <row r="5045" spans="12:12" x14ac:dyDescent="0.25">
      <c r="L5045" s="50"/>
    </row>
    <row r="5046" spans="12:12" x14ac:dyDescent="0.25">
      <c r="L5046" s="50"/>
    </row>
    <row r="5047" spans="12:12" x14ac:dyDescent="0.25">
      <c r="L5047" s="50"/>
    </row>
    <row r="5048" spans="12:12" x14ac:dyDescent="0.25">
      <c r="L5048" s="50"/>
    </row>
    <row r="5049" spans="12:12" x14ac:dyDescent="0.25">
      <c r="L5049" s="50"/>
    </row>
    <row r="5050" spans="12:12" x14ac:dyDescent="0.25">
      <c r="L5050" s="50"/>
    </row>
    <row r="5051" spans="12:12" x14ac:dyDescent="0.25">
      <c r="L5051" s="50"/>
    </row>
    <row r="5052" spans="12:12" x14ac:dyDescent="0.25">
      <c r="L5052" s="50"/>
    </row>
    <row r="5053" spans="12:12" x14ac:dyDescent="0.25">
      <c r="L5053" s="50"/>
    </row>
    <row r="5054" spans="12:12" x14ac:dyDescent="0.25">
      <c r="L5054" s="50"/>
    </row>
    <row r="5055" spans="12:12" x14ac:dyDescent="0.25">
      <c r="L5055" s="50"/>
    </row>
    <row r="5056" spans="12:12" x14ac:dyDescent="0.25">
      <c r="L5056" s="50"/>
    </row>
    <row r="5057" spans="12:12" x14ac:dyDescent="0.25">
      <c r="L5057" s="50"/>
    </row>
    <row r="5058" spans="12:12" x14ac:dyDescent="0.25">
      <c r="L5058" s="50"/>
    </row>
    <row r="5059" spans="12:12" x14ac:dyDescent="0.25">
      <c r="L5059" s="50"/>
    </row>
    <row r="5060" spans="12:12" x14ac:dyDescent="0.25">
      <c r="L5060" s="50"/>
    </row>
    <row r="5061" spans="12:12" x14ac:dyDescent="0.25">
      <c r="L5061" s="50"/>
    </row>
    <row r="5062" spans="12:12" x14ac:dyDescent="0.25">
      <c r="L5062" s="50"/>
    </row>
    <row r="5063" spans="12:12" x14ac:dyDescent="0.25">
      <c r="L5063" s="50"/>
    </row>
    <row r="5064" spans="12:12" x14ac:dyDescent="0.25">
      <c r="L5064" s="50"/>
    </row>
    <row r="5065" spans="12:12" x14ac:dyDescent="0.25">
      <c r="L5065" s="50"/>
    </row>
    <row r="5066" spans="12:12" x14ac:dyDescent="0.25">
      <c r="L5066" s="50"/>
    </row>
    <row r="5067" spans="12:12" x14ac:dyDescent="0.25">
      <c r="L5067" s="50"/>
    </row>
    <row r="5068" spans="12:12" x14ac:dyDescent="0.25">
      <c r="L5068" s="50"/>
    </row>
    <row r="5069" spans="12:12" x14ac:dyDescent="0.25">
      <c r="L5069" s="50"/>
    </row>
    <row r="5070" spans="12:12" x14ac:dyDescent="0.25">
      <c r="L5070" s="50"/>
    </row>
    <row r="5071" spans="12:12" x14ac:dyDescent="0.25">
      <c r="L5071" s="50"/>
    </row>
    <row r="5072" spans="12:12" x14ac:dyDescent="0.25">
      <c r="L5072" s="50"/>
    </row>
    <row r="5073" spans="12:12" x14ac:dyDescent="0.25">
      <c r="L5073" s="50"/>
    </row>
    <row r="5074" spans="12:12" x14ac:dyDescent="0.25">
      <c r="L5074" s="50"/>
    </row>
    <row r="5075" spans="12:12" x14ac:dyDescent="0.25">
      <c r="L5075" s="50"/>
    </row>
    <row r="5076" spans="12:12" x14ac:dyDescent="0.25">
      <c r="L5076" s="50"/>
    </row>
    <row r="5077" spans="12:12" x14ac:dyDescent="0.25">
      <c r="L5077" s="50"/>
    </row>
    <row r="5078" spans="12:12" x14ac:dyDescent="0.25">
      <c r="L5078" s="50"/>
    </row>
    <row r="5079" spans="12:12" x14ac:dyDescent="0.25">
      <c r="L5079" s="50"/>
    </row>
    <row r="5080" spans="12:12" x14ac:dyDescent="0.25">
      <c r="L5080" s="50"/>
    </row>
    <row r="5081" spans="12:12" x14ac:dyDescent="0.25">
      <c r="L5081" s="50"/>
    </row>
    <row r="5082" spans="12:12" x14ac:dyDescent="0.25">
      <c r="L5082" s="50"/>
    </row>
    <row r="5083" spans="12:12" x14ac:dyDescent="0.25">
      <c r="L5083" s="50"/>
    </row>
    <row r="5084" spans="12:12" x14ac:dyDescent="0.25">
      <c r="L5084" s="50"/>
    </row>
    <row r="5085" spans="12:12" x14ac:dyDescent="0.25">
      <c r="L5085" s="50"/>
    </row>
    <row r="5086" spans="12:12" x14ac:dyDescent="0.25">
      <c r="L5086" s="50"/>
    </row>
    <row r="5087" spans="12:12" x14ac:dyDescent="0.25">
      <c r="L5087" s="50"/>
    </row>
    <row r="5088" spans="12:12" x14ac:dyDescent="0.25">
      <c r="L5088" s="50"/>
    </row>
    <row r="5089" spans="12:12" x14ac:dyDescent="0.25">
      <c r="L5089" s="50"/>
    </row>
    <row r="5090" spans="12:12" x14ac:dyDescent="0.25">
      <c r="L5090" s="50"/>
    </row>
    <row r="5091" spans="12:12" x14ac:dyDescent="0.25">
      <c r="L5091" s="50"/>
    </row>
    <row r="5092" spans="12:12" x14ac:dyDescent="0.25">
      <c r="L5092" s="50"/>
    </row>
    <row r="5093" spans="12:12" x14ac:dyDescent="0.25">
      <c r="L5093" s="50"/>
    </row>
    <row r="5094" spans="12:12" x14ac:dyDescent="0.25">
      <c r="L5094" s="50"/>
    </row>
    <row r="5095" spans="12:12" x14ac:dyDescent="0.25">
      <c r="L5095" s="50"/>
    </row>
    <row r="5096" spans="12:12" x14ac:dyDescent="0.25">
      <c r="L5096" s="50"/>
    </row>
    <row r="5097" spans="12:12" x14ac:dyDescent="0.25">
      <c r="L5097" s="50"/>
    </row>
    <row r="5098" spans="12:12" x14ac:dyDescent="0.25">
      <c r="L5098" s="50"/>
    </row>
    <row r="5099" spans="12:12" x14ac:dyDescent="0.25">
      <c r="L5099" s="50"/>
    </row>
    <row r="5100" spans="12:12" x14ac:dyDescent="0.25">
      <c r="L5100" s="50"/>
    </row>
    <row r="5101" spans="12:12" x14ac:dyDescent="0.25">
      <c r="L5101" s="50"/>
    </row>
    <row r="5102" spans="12:12" x14ac:dyDescent="0.25">
      <c r="L5102" s="50"/>
    </row>
    <row r="5103" spans="12:12" x14ac:dyDescent="0.25">
      <c r="L5103" s="50"/>
    </row>
    <row r="5104" spans="12:12" x14ac:dyDescent="0.25">
      <c r="L5104" s="50"/>
    </row>
    <row r="5105" spans="12:12" x14ac:dyDescent="0.25">
      <c r="L5105" s="50"/>
    </row>
    <row r="5106" spans="12:12" x14ac:dyDescent="0.25">
      <c r="L5106" s="50"/>
    </row>
    <row r="5107" spans="12:12" x14ac:dyDescent="0.25">
      <c r="L5107" s="50"/>
    </row>
    <row r="5108" spans="12:12" x14ac:dyDescent="0.25">
      <c r="L5108" s="50"/>
    </row>
    <row r="5109" spans="12:12" x14ac:dyDescent="0.25">
      <c r="L5109" s="50"/>
    </row>
    <row r="5110" spans="12:12" x14ac:dyDescent="0.25">
      <c r="L5110" s="50"/>
    </row>
    <row r="5111" spans="12:12" x14ac:dyDescent="0.25">
      <c r="L5111" s="50"/>
    </row>
    <row r="5112" spans="12:12" x14ac:dyDescent="0.25">
      <c r="L5112" s="50"/>
    </row>
    <row r="5113" spans="12:12" x14ac:dyDescent="0.25">
      <c r="L5113" s="50"/>
    </row>
    <row r="5114" spans="12:12" x14ac:dyDescent="0.25">
      <c r="L5114" s="50"/>
    </row>
    <row r="5115" spans="12:12" x14ac:dyDescent="0.25">
      <c r="L5115" s="50"/>
    </row>
    <row r="5116" spans="12:12" x14ac:dyDescent="0.25">
      <c r="L5116" s="50"/>
    </row>
    <row r="5117" spans="12:12" x14ac:dyDescent="0.25">
      <c r="L5117" s="50"/>
    </row>
    <row r="5118" spans="12:12" x14ac:dyDescent="0.25">
      <c r="L5118" s="50"/>
    </row>
    <row r="5119" spans="12:12" x14ac:dyDescent="0.25">
      <c r="L5119" s="50"/>
    </row>
    <row r="5120" spans="12:12" x14ac:dyDescent="0.25">
      <c r="L5120" s="50"/>
    </row>
    <row r="5121" spans="12:12" x14ac:dyDescent="0.25">
      <c r="L5121" s="50"/>
    </row>
    <row r="5122" spans="12:12" x14ac:dyDescent="0.25">
      <c r="L5122" s="50"/>
    </row>
    <row r="5123" spans="12:12" x14ac:dyDescent="0.25">
      <c r="L5123" s="50"/>
    </row>
    <row r="5124" spans="12:12" x14ac:dyDescent="0.25">
      <c r="L5124" s="50"/>
    </row>
    <row r="5125" spans="12:12" x14ac:dyDescent="0.25">
      <c r="L5125" s="50"/>
    </row>
    <row r="5126" spans="12:12" x14ac:dyDescent="0.25">
      <c r="L5126" s="50"/>
    </row>
    <row r="5127" spans="12:12" x14ac:dyDescent="0.25">
      <c r="L5127" s="50"/>
    </row>
    <row r="5128" spans="12:12" x14ac:dyDescent="0.25">
      <c r="L5128" s="50"/>
    </row>
    <row r="5129" spans="12:12" x14ac:dyDescent="0.25">
      <c r="L5129" s="50"/>
    </row>
    <row r="5130" spans="12:12" x14ac:dyDescent="0.25">
      <c r="L5130" s="50"/>
    </row>
    <row r="5131" spans="12:12" x14ac:dyDescent="0.25">
      <c r="L5131" s="50"/>
    </row>
    <row r="5132" spans="12:12" x14ac:dyDescent="0.25">
      <c r="L5132" s="50"/>
    </row>
    <row r="5133" spans="12:12" x14ac:dyDescent="0.25">
      <c r="L5133" s="50"/>
    </row>
    <row r="5134" spans="12:12" x14ac:dyDescent="0.25">
      <c r="L5134" s="50"/>
    </row>
    <row r="5135" spans="12:12" x14ac:dyDescent="0.25">
      <c r="L5135" s="50"/>
    </row>
    <row r="5136" spans="12:12" x14ac:dyDescent="0.25">
      <c r="L5136" s="50"/>
    </row>
    <row r="5137" spans="12:12" x14ac:dyDescent="0.25">
      <c r="L5137" s="50"/>
    </row>
    <row r="5138" spans="12:12" x14ac:dyDescent="0.25">
      <c r="L5138" s="50"/>
    </row>
    <row r="5139" spans="12:12" x14ac:dyDescent="0.25">
      <c r="L5139" s="50"/>
    </row>
    <row r="5140" spans="12:12" x14ac:dyDescent="0.25">
      <c r="L5140" s="50"/>
    </row>
    <row r="5141" spans="12:12" x14ac:dyDescent="0.25">
      <c r="L5141" s="50"/>
    </row>
    <row r="5142" spans="12:12" x14ac:dyDescent="0.25">
      <c r="L5142" s="50"/>
    </row>
    <row r="5143" spans="12:12" x14ac:dyDescent="0.25">
      <c r="L5143" s="50"/>
    </row>
    <row r="5144" spans="12:12" x14ac:dyDescent="0.25">
      <c r="L5144" s="50"/>
    </row>
    <row r="5145" spans="12:12" x14ac:dyDescent="0.25">
      <c r="L5145" s="50"/>
    </row>
    <row r="5146" spans="12:12" x14ac:dyDescent="0.25">
      <c r="L5146" s="50"/>
    </row>
    <row r="5147" spans="12:12" x14ac:dyDescent="0.25">
      <c r="L5147" s="50"/>
    </row>
    <row r="5148" spans="12:12" x14ac:dyDescent="0.25">
      <c r="L5148" s="50"/>
    </row>
    <row r="5149" spans="12:12" x14ac:dyDescent="0.25">
      <c r="L5149" s="50"/>
    </row>
    <row r="5150" spans="12:12" x14ac:dyDescent="0.25">
      <c r="L5150" s="50"/>
    </row>
    <row r="5151" spans="12:12" x14ac:dyDescent="0.25">
      <c r="L5151" s="50"/>
    </row>
    <row r="5152" spans="12:12" x14ac:dyDescent="0.25">
      <c r="L5152" s="50"/>
    </row>
    <row r="5153" spans="12:12" x14ac:dyDescent="0.25">
      <c r="L5153" s="50"/>
    </row>
    <row r="5154" spans="12:12" x14ac:dyDescent="0.25">
      <c r="L5154" s="50"/>
    </row>
    <row r="5155" spans="12:12" x14ac:dyDescent="0.25">
      <c r="L5155" s="50"/>
    </row>
    <row r="5156" spans="12:12" x14ac:dyDescent="0.25">
      <c r="L5156" s="50"/>
    </row>
    <row r="5157" spans="12:12" x14ac:dyDescent="0.25">
      <c r="L5157" s="50"/>
    </row>
    <row r="5158" spans="12:12" x14ac:dyDescent="0.25">
      <c r="L5158" s="50"/>
    </row>
    <row r="5159" spans="12:12" x14ac:dyDescent="0.25">
      <c r="L5159" s="50"/>
    </row>
    <row r="5160" spans="12:12" x14ac:dyDescent="0.25">
      <c r="L5160" s="50"/>
    </row>
    <row r="5161" spans="12:12" x14ac:dyDescent="0.25">
      <c r="L5161" s="50"/>
    </row>
    <row r="5162" spans="12:12" x14ac:dyDescent="0.25">
      <c r="L5162" s="50"/>
    </row>
    <row r="5163" spans="12:12" x14ac:dyDescent="0.25">
      <c r="L5163" s="50"/>
    </row>
    <row r="5164" spans="12:12" x14ac:dyDescent="0.25">
      <c r="L5164" s="50"/>
    </row>
    <row r="5165" spans="12:12" x14ac:dyDescent="0.25">
      <c r="L5165" s="50"/>
    </row>
    <row r="5166" spans="12:12" x14ac:dyDescent="0.25">
      <c r="L5166" s="50"/>
    </row>
    <row r="5167" spans="12:12" x14ac:dyDescent="0.25">
      <c r="L5167" s="50"/>
    </row>
    <row r="5168" spans="12:12" x14ac:dyDescent="0.25">
      <c r="L5168" s="50"/>
    </row>
    <row r="5169" spans="12:12" x14ac:dyDescent="0.25">
      <c r="L5169" s="50"/>
    </row>
    <row r="5170" spans="12:12" x14ac:dyDescent="0.25">
      <c r="L5170" s="50"/>
    </row>
    <row r="5171" spans="12:12" x14ac:dyDescent="0.25">
      <c r="L5171" s="50"/>
    </row>
    <row r="5172" spans="12:12" x14ac:dyDescent="0.25">
      <c r="L5172" s="50"/>
    </row>
    <row r="5173" spans="12:12" x14ac:dyDescent="0.25">
      <c r="L5173" s="50"/>
    </row>
    <row r="5174" spans="12:12" x14ac:dyDescent="0.25">
      <c r="L5174" s="50"/>
    </row>
    <row r="5175" spans="12:12" x14ac:dyDescent="0.25">
      <c r="L5175" s="50"/>
    </row>
    <row r="5176" spans="12:12" x14ac:dyDescent="0.25">
      <c r="L5176" s="50"/>
    </row>
    <row r="5177" spans="12:12" x14ac:dyDescent="0.25">
      <c r="L5177" s="50"/>
    </row>
    <row r="5178" spans="12:12" x14ac:dyDescent="0.25">
      <c r="L5178" s="50"/>
    </row>
    <row r="5179" spans="12:12" x14ac:dyDescent="0.25">
      <c r="L5179" s="50"/>
    </row>
    <row r="5180" spans="12:12" x14ac:dyDescent="0.25">
      <c r="L5180" s="50"/>
    </row>
    <row r="5181" spans="12:12" x14ac:dyDescent="0.25">
      <c r="L5181" s="50"/>
    </row>
    <row r="5182" spans="12:12" x14ac:dyDescent="0.25">
      <c r="L5182" s="50"/>
    </row>
    <row r="5183" spans="12:12" x14ac:dyDescent="0.25">
      <c r="L5183" s="50"/>
    </row>
    <row r="5184" spans="12:12" x14ac:dyDescent="0.25">
      <c r="L5184" s="50"/>
    </row>
    <row r="5185" spans="12:12" x14ac:dyDescent="0.25">
      <c r="L5185" s="50"/>
    </row>
    <row r="5186" spans="12:12" x14ac:dyDescent="0.25">
      <c r="L5186" s="50"/>
    </row>
    <row r="5187" spans="12:12" x14ac:dyDescent="0.25">
      <c r="L5187" s="50"/>
    </row>
    <row r="5188" spans="12:12" x14ac:dyDescent="0.25">
      <c r="L5188" s="50"/>
    </row>
    <row r="5189" spans="12:12" x14ac:dyDescent="0.25">
      <c r="L5189" s="50"/>
    </row>
    <row r="5190" spans="12:12" x14ac:dyDescent="0.25">
      <c r="L5190" s="50"/>
    </row>
    <row r="5191" spans="12:12" x14ac:dyDescent="0.25">
      <c r="L5191" s="50"/>
    </row>
    <row r="5192" spans="12:12" x14ac:dyDescent="0.25">
      <c r="L5192" s="50"/>
    </row>
    <row r="5193" spans="12:12" x14ac:dyDescent="0.25">
      <c r="L5193" s="50"/>
    </row>
    <row r="5194" spans="12:12" x14ac:dyDescent="0.25">
      <c r="L5194" s="50"/>
    </row>
    <row r="5195" spans="12:12" x14ac:dyDescent="0.25">
      <c r="L5195" s="50"/>
    </row>
    <row r="5196" spans="12:12" x14ac:dyDescent="0.25">
      <c r="L5196" s="50"/>
    </row>
    <row r="5197" spans="12:12" x14ac:dyDescent="0.25">
      <c r="L5197" s="50"/>
    </row>
    <row r="5198" spans="12:12" x14ac:dyDescent="0.25">
      <c r="L5198" s="50"/>
    </row>
    <row r="5199" spans="12:12" x14ac:dyDescent="0.25">
      <c r="L5199" s="50"/>
    </row>
    <row r="5200" spans="12:12" x14ac:dyDescent="0.25">
      <c r="L5200" s="50"/>
    </row>
    <row r="5201" spans="12:12" x14ac:dyDescent="0.25">
      <c r="L5201" s="50"/>
    </row>
    <row r="5202" spans="12:12" x14ac:dyDescent="0.25">
      <c r="L5202" s="50"/>
    </row>
    <row r="5203" spans="12:12" x14ac:dyDescent="0.25">
      <c r="L5203" s="50"/>
    </row>
    <row r="5204" spans="12:12" x14ac:dyDescent="0.25">
      <c r="L5204" s="50"/>
    </row>
    <row r="5205" spans="12:12" x14ac:dyDescent="0.25">
      <c r="L5205" s="50"/>
    </row>
    <row r="5206" spans="12:12" x14ac:dyDescent="0.25">
      <c r="L5206" s="50"/>
    </row>
    <row r="5207" spans="12:12" x14ac:dyDescent="0.25">
      <c r="L5207" s="50"/>
    </row>
    <row r="5208" spans="12:12" x14ac:dyDescent="0.25">
      <c r="L5208" s="50"/>
    </row>
    <row r="5209" spans="12:12" x14ac:dyDescent="0.25">
      <c r="L5209" s="50"/>
    </row>
    <row r="5210" spans="12:12" x14ac:dyDescent="0.25">
      <c r="L5210" s="50"/>
    </row>
    <row r="5211" spans="12:12" x14ac:dyDescent="0.25">
      <c r="L5211" s="50"/>
    </row>
    <row r="5212" spans="12:12" x14ac:dyDescent="0.25">
      <c r="L5212" s="50"/>
    </row>
    <row r="5213" spans="12:12" x14ac:dyDescent="0.25">
      <c r="L5213" s="50"/>
    </row>
    <row r="5214" spans="12:12" x14ac:dyDescent="0.25">
      <c r="L5214" s="50"/>
    </row>
    <row r="5215" spans="12:12" x14ac:dyDescent="0.25">
      <c r="L5215" s="50"/>
    </row>
    <row r="5216" spans="12:12" x14ac:dyDescent="0.25">
      <c r="L5216" s="50"/>
    </row>
  </sheetData>
  <autoFilter ref="A2:AE5216">
    <filterColumn colId="10" showButton="0"/>
    <filterColumn colId="12" showButton="0"/>
    <filterColumn colId="29" showButton="0"/>
  </autoFilter>
  <mergeCells count="8">
    <mergeCell ref="AD2:AE2"/>
    <mergeCell ref="K2:L2"/>
    <mergeCell ref="M2:N2"/>
    <mergeCell ref="B2:B3"/>
    <mergeCell ref="C2:C3"/>
    <mergeCell ref="D2:D3"/>
    <mergeCell ref="E2:E3"/>
    <mergeCell ref="A2:A3"/>
  </mergeCells>
  <conditionalFormatting sqref="D779">
    <cfRule type="duplicateValues" dxfId="928" priority="2456"/>
  </conditionalFormatting>
  <conditionalFormatting sqref="D809">
    <cfRule type="duplicateValues" dxfId="927" priority="2448"/>
  </conditionalFormatting>
  <conditionalFormatting sqref="D864">
    <cfRule type="duplicateValues" dxfId="926" priority="2424"/>
  </conditionalFormatting>
  <conditionalFormatting sqref="D877:D878">
    <cfRule type="duplicateValues" dxfId="925" priority="2412"/>
  </conditionalFormatting>
  <conditionalFormatting sqref="C876:C878">
    <cfRule type="duplicateValues" dxfId="924" priority="2411"/>
  </conditionalFormatting>
  <conditionalFormatting sqref="C876">
    <cfRule type="duplicateValues" dxfId="923" priority="2410"/>
  </conditionalFormatting>
  <conditionalFormatting sqref="D880:D884">
    <cfRule type="duplicateValues" dxfId="922" priority="2407"/>
  </conditionalFormatting>
  <conditionalFormatting sqref="D881:D884">
    <cfRule type="duplicateValues" dxfId="921" priority="2406"/>
  </conditionalFormatting>
  <conditionalFormatting sqref="C880:C884">
    <cfRule type="duplicateValues" dxfId="920" priority="2405"/>
  </conditionalFormatting>
  <conditionalFormatting sqref="D985">
    <cfRule type="duplicateValues" dxfId="919" priority="2374"/>
  </conditionalFormatting>
  <conditionalFormatting sqref="D1003">
    <cfRule type="duplicateValues" dxfId="918" priority="2356"/>
  </conditionalFormatting>
  <conditionalFormatting sqref="D1054">
    <cfRule type="duplicateValues" dxfId="917" priority="2308"/>
  </conditionalFormatting>
  <conditionalFormatting sqref="D1055">
    <cfRule type="duplicateValues" dxfId="916" priority="2307"/>
  </conditionalFormatting>
  <conditionalFormatting sqref="D1172">
    <cfRule type="duplicateValues" dxfId="915" priority="2231"/>
  </conditionalFormatting>
  <conditionalFormatting sqref="D1211:D1212">
    <cfRule type="duplicateValues" dxfId="914" priority="2216"/>
  </conditionalFormatting>
  <conditionalFormatting sqref="D1211">
    <cfRule type="duplicateValues" dxfId="913" priority="2215"/>
  </conditionalFormatting>
  <conditionalFormatting sqref="D1212">
    <cfRule type="duplicateValues" dxfId="912" priority="2214"/>
  </conditionalFormatting>
  <conditionalFormatting sqref="D1315">
    <cfRule type="duplicateValues" dxfId="911" priority="2179"/>
  </conditionalFormatting>
  <conditionalFormatting sqref="C1440">
    <cfRule type="duplicateValues" dxfId="910" priority="2106"/>
  </conditionalFormatting>
  <conditionalFormatting sqref="D1440">
    <cfRule type="duplicateValues" dxfId="909" priority="2105"/>
  </conditionalFormatting>
  <conditionalFormatting sqref="D1457:D1459">
    <cfRule type="duplicateValues" dxfId="908" priority="2092"/>
  </conditionalFormatting>
  <conditionalFormatting sqref="D1591">
    <cfRule type="duplicateValues" dxfId="907" priority="1901"/>
  </conditionalFormatting>
  <conditionalFormatting sqref="S1928">
    <cfRule type="duplicateValues" dxfId="906" priority="1723"/>
  </conditionalFormatting>
  <conditionalFormatting sqref="S1929">
    <cfRule type="duplicateValues" dxfId="905" priority="1720"/>
  </conditionalFormatting>
  <conditionalFormatting sqref="S1930">
    <cfRule type="duplicateValues" dxfId="904" priority="1714"/>
  </conditionalFormatting>
  <conditionalFormatting sqref="S1931">
    <cfRule type="duplicateValues" dxfId="903" priority="1718"/>
  </conditionalFormatting>
  <conditionalFormatting sqref="S1932">
    <cfRule type="duplicateValues" dxfId="902" priority="1716"/>
  </conditionalFormatting>
  <conditionalFormatting sqref="S1933:S1934">
    <cfRule type="duplicateValues" dxfId="901" priority="1711"/>
  </conditionalFormatting>
  <conditionalFormatting sqref="S1935">
    <cfRule type="duplicateValues" dxfId="900" priority="1703"/>
  </conditionalFormatting>
  <conditionalFormatting sqref="S1936">
    <cfRule type="duplicateValues" dxfId="899" priority="1699"/>
  </conditionalFormatting>
  <conditionalFormatting sqref="S1937">
    <cfRule type="duplicateValues" dxfId="898" priority="1701"/>
  </conditionalFormatting>
  <conditionalFormatting sqref="S1938">
    <cfRule type="duplicateValues" dxfId="897" priority="1706"/>
  </conditionalFormatting>
  <conditionalFormatting sqref="S1939">
    <cfRule type="duplicateValues" dxfId="896" priority="1708"/>
  </conditionalFormatting>
  <conditionalFormatting sqref="S1940">
    <cfRule type="duplicateValues" dxfId="895" priority="1697"/>
  </conditionalFormatting>
  <conditionalFormatting sqref="S1941">
    <cfRule type="duplicateValues" dxfId="894" priority="1695"/>
  </conditionalFormatting>
  <conditionalFormatting sqref="S1942">
    <cfRule type="duplicateValues" dxfId="893" priority="1693"/>
  </conditionalFormatting>
  <conditionalFormatting sqref="S1943">
    <cfRule type="duplicateValues" dxfId="892" priority="1688"/>
  </conditionalFormatting>
  <conditionalFormatting sqref="S1944">
    <cfRule type="duplicateValues" dxfId="891" priority="1690"/>
  </conditionalFormatting>
  <conditionalFormatting sqref="S1945">
    <cfRule type="duplicateValues" dxfId="890" priority="1686"/>
  </conditionalFormatting>
  <conditionalFormatting sqref="S1946:S1947">
    <cfRule type="duplicateValues" dxfId="889" priority="1677"/>
  </conditionalFormatting>
  <conditionalFormatting sqref="S1948:S1949">
    <cfRule type="duplicateValues" dxfId="888" priority="1674"/>
  </conditionalFormatting>
  <conditionalFormatting sqref="S1950:S1951">
    <cfRule type="duplicateValues" dxfId="887" priority="1683"/>
  </conditionalFormatting>
  <conditionalFormatting sqref="S1952">
    <cfRule type="duplicateValues" dxfId="886" priority="1679"/>
  </conditionalFormatting>
  <conditionalFormatting sqref="S1953">
    <cfRule type="duplicateValues" dxfId="885" priority="1670"/>
  </conditionalFormatting>
  <conditionalFormatting sqref="S1954">
    <cfRule type="duplicateValues" dxfId="884" priority="1668"/>
  </conditionalFormatting>
  <conditionalFormatting sqref="S1955">
    <cfRule type="duplicateValues" dxfId="883" priority="1665"/>
  </conditionalFormatting>
  <conditionalFormatting sqref="S1956">
    <cfRule type="duplicateValues" dxfId="882" priority="1663"/>
  </conditionalFormatting>
  <conditionalFormatting sqref="S1957">
    <cfRule type="duplicateValues" dxfId="881" priority="1660"/>
  </conditionalFormatting>
  <conditionalFormatting sqref="S1968">
    <cfRule type="duplicateValues" dxfId="880" priority="1657"/>
  </conditionalFormatting>
  <conditionalFormatting sqref="S1969">
    <cfRule type="duplicateValues" dxfId="879" priority="1655"/>
  </conditionalFormatting>
  <conditionalFormatting sqref="S1970">
    <cfRule type="duplicateValues" dxfId="878" priority="1652"/>
  </conditionalFormatting>
  <conditionalFormatting sqref="S1971">
    <cfRule type="duplicateValues" dxfId="877" priority="1647"/>
  </conditionalFormatting>
  <conditionalFormatting sqref="S1972">
    <cfRule type="duplicateValues" dxfId="876" priority="1650"/>
  </conditionalFormatting>
  <conditionalFormatting sqref="S1973:S1974">
    <cfRule type="duplicateValues" dxfId="875" priority="1644"/>
  </conditionalFormatting>
  <conditionalFormatting sqref="S1979">
    <cfRule type="duplicateValues" dxfId="874" priority="1642"/>
  </conditionalFormatting>
  <conditionalFormatting sqref="S1980">
    <cfRule type="duplicateValues" dxfId="873" priority="1640"/>
  </conditionalFormatting>
  <conditionalFormatting sqref="S1981">
    <cfRule type="duplicateValues" dxfId="872" priority="1638"/>
  </conditionalFormatting>
  <conditionalFormatting sqref="S1982:S1983">
    <cfRule type="duplicateValues" dxfId="871" priority="1635"/>
  </conditionalFormatting>
  <conditionalFormatting sqref="S1984:S1985">
    <cfRule type="duplicateValues" dxfId="870" priority="1631"/>
  </conditionalFormatting>
  <conditionalFormatting sqref="S1986:S1987">
    <cfRule type="duplicateValues" dxfId="869" priority="1628"/>
  </conditionalFormatting>
  <conditionalFormatting sqref="S1988:S1990">
    <cfRule type="duplicateValues" dxfId="868" priority="1625"/>
  </conditionalFormatting>
  <conditionalFormatting sqref="S1991:S1992">
    <cfRule type="duplicateValues" dxfId="867" priority="1621"/>
  </conditionalFormatting>
  <conditionalFormatting sqref="S1993">
    <cfRule type="duplicateValues" dxfId="866" priority="1618"/>
  </conditionalFormatting>
  <conditionalFormatting sqref="S1994">
    <cfRule type="duplicateValues" dxfId="865" priority="1616"/>
  </conditionalFormatting>
  <conditionalFormatting sqref="S1995:S1996">
    <cfRule type="duplicateValues" dxfId="864" priority="1613"/>
  </conditionalFormatting>
  <conditionalFormatting sqref="S1997">
    <cfRule type="duplicateValues" dxfId="863" priority="1608"/>
  </conditionalFormatting>
  <conditionalFormatting sqref="S1998 S2000">
    <cfRule type="duplicateValues" dxfId="862" priority="1605"/>
  </conditionalFormatting>
  <conditionalFormatting sqref="S1999">
    <cfRule type="duplicateValues" dxfId="861" priority="1600"/>
  </conditionalFormatting>
  <conditionalFormatting sqref="S2007">
    <cfRule type="duplicateValues" dxfId="860" priority="1596"/>
  </conditionalFormatting>
  <conditionalFormatting sqref="S2008:S2009">
    <cfRule type="duplicateValues" dxfId="859" priority="1598"/>
  </conditionalFormatting>
  <conditionalFormatting sqref="S2010">
    <cfRule type="duplicateValues" dxfId="858" priority="1593"/>
  </conditionalFormatting>
  <conditionalFormatting sqref="S2011:S2012">
    <cfRule type="duplicateValues" dxfId="857" priority="1590"/>
  </conditionalFormatting>
  <conditionalFormatting sqref="S2016">
    <cfRule type="duplicateValues" dxfId="856" priority="1584"/>
  </conditionalFormatting>
  <conditionalFormatting sqref="S2017">
    <cfRule type="duplicateValues" dxfId="855" priority="1587"/>
  </conditionalFormatting>
  <conditionalFormatting sqref="S2018">
    <cfRule type="duplicateValues" dxfId="854" priority="1581"/>
  </conditionalFormatting>
  <conditionalFormatting sqref="S2019">
    <cfRule type="duplicateValues" dxfId="853" priority="1578"/>
  </conditionalFormatting>
  <conditionalFormatting sqref="S2020:S2021">
    <cfRule type="duplicateValues" dxfId="852" priority="1575"/>
  </conditionalFormatting>
  <conditionalFormatting sqref="S2022">
    <cfRule type="duplicateValues" dxfId="851" priority="1573"/>
  </conditionalFormatting>
  <conditionalFormatting sqref="S2023">
    <cfRule type="duplicateValues" dxfId="850" priority="1570"/>
  </conditionalFormatting>
  <conditionalFormatting sqref="S2024">
    <cfRule type="duplicateValues" dxfId="849" priority="1566"/>
  </conditionalFormatting>
  <conditionalFormatting sqref="S2025:S2026">
    <cfRule type="duplicateValues" dxfId="848" priority="1563"/>
  </conditionalFormatting>
  <conditionalFormatting sqref="D1928:D1945 D1952:D1994 D1997 D2000:D2019 D2022:D2028">
    <cfRule type="duplicateValues" dxfId="847" priority="1561"/>
    <cfRule type="duplicateValues" dxfId="846" priority="1562"/>
  </conditionalFormatting>
  <conditionalFormatting sqref="S2029">
    <cfRule type="duplicateValues" dxfId="845" priority="1558"/>
  </conditionalFormatting>
  <conditionalFormatting sqref="S2032">
    <cfRule type="duplicateValues" dxfId="844" priority="1555"/>
  </conditionalFormatting>
  <conditionalFormatting sqref="S2030">
    <cfRule type="duplicateValues" dxfId="843" priority="1552"/>
  </conditionalFormatting>
  <conditionalFormatting sqref="S2031">
    <cfRule type="duplicateValues" dxfId="842" priority="1550"/>
  </conditionalFormatting>
  <conditionalFormatting sqref="S2033">
    <cfRule type="duplicateValues" dxfId="841" priority="1547"/>
  </conditionalFormatting>
  <conditionalFormatting sqref="S2047">
    <cfRule type="duplicateValues" dxfId="840" priority="1545"/>
  </conditionalFormatting>
  <conditionalFormatting sqref="S2048">
    <cfRule type="duplicateValues" dxfId="839" priority="1542"/>
  </conditionalFormatting>
  <conditionalFormatting sqref="S2046">
    <cfRule type="duplicateValues" dxfId="838" priority="1540"/>
  </conditionalFormatting>
  <conditionalFormatting sqref="S2045">
    <cfRule type="duplicateValues" dxfId="837" priority="1537"/>
  </conditionalFormatting>
  <conditionalFormatting sqref="S2044">
    <cfRule type="duplicateValues" dxfId="836" priority="1534"/>
  </conditionalFormatting>
  <conditionalFormatting sqref="S2043">
    <cfRule type="duplicateValues" dxfId="835" priority="1531"/>
  </conditionalFormatting>
  <conditionalFormatting sqref="S2052">
    <cfRule type="duplicateValues" dxfId="834" priority="1528"/>
  </conditionalFormatting>
  <conditionalFormatting sqref="S2055">
    <cfRule type="duplicateValues" dxfId="833" priority="1525"/>
  </conditionalFormatting>
  <conditionalFormatting sqref="S2056">
    <cfRule type="duplicateValues" dxfId="832" priority="1523"/>
  </conditionalFormatting>
  <conditionalFormatting sqref="S2057">
    <cfRule type="duplicateValues" dxfId="831" priority="1521"/>
  </conditionalFormatting>
  <conditionalFormatting sqref="S2059">
    <cfRule type="duplicateValues" dxfId="830" priority="1518"/>
  </conditionalFormatting>
  <conditionalFormatting sqref="S2060">
    <cfRule type="duplicateValues" dxfId="829" priority="1515"/>
  </conditionalFormatting>
  <conditionalFormatting sqref="S2058">
    <cfRule type="duplicateValues" dxfId="828" priority="1512"/>
  </conditionalFormatting>
  <conditionalFormatting sqref="S2063:S2064">
    <cfRule type="duplicateValues" dxfId="827" priority="1509"/>
  </conditionalFormatting>
  <conditionalFormatting sqref="S2065">
    <cfRule type="duplicateValues" dxfId="826" priority="1506"/>
  </conditionalFormatting>
  <conditionalFormatting sqref="S2068">
    <cfRule type="duplicateValues" dxfId="825" priority="1503"/>
  </conditionalFormatting>
  <conditionalFormatting sqref="S2069">
    <cfRule type="duplicateValues" dxfId="824" priority="1500"/>
  </conditionalFormatting>
  <conditionalFormatting sqref="S2070">
    <cfRule type="duplicateValues" dxfId="823" priority="1497"/>
  </conditionalFormatting>
  <conditionalFormatting sqref="S2071">
    <cfRule type="duplicateValues" dxfId="822" priority="1495"/>
  </conditionalFormatting>
  <conditionalFormatting sqref="S2072">
    <cfRule type="duplicateValues" dxfId="821" priority="1492"/>
  </conditionalFormatting>
  <conditionalFormatting sqref="S2073">
    <cfRule type="duplicateValues" dxfId="820" priority="1489"/>
  </conditionalFormatting>
  <conditionalFormatting sqref="S2076">
    <cfRule type="duplicateValues" dxfId="819" priority="1486"/>
  </conditionalFormatting>
  <conditionalFormatting sqref="S2078:S2079">
    <cfRule type="duplicateValues" dxfId="818" priority="1483"/>
  </conditionalFormatting>
  <conditionalFormatting sqref="S2080">
    <cfRule type="duplicateValues" dxfId="817" priority="1479"/>
  </conditionalFormatting>
  <conditionalFormatting sqref="S2081">
    <cfRule type="duplicateValues" dxfId="816" priority="1476"/>
  </conditionalFormatting>
  <conditionalFormatting sqref="S2082">
    <cfRule type="duplicateValues" dxfId="815" priority="1473"/>
  </conditionalFormatting>
  <conditionalFormatting sqref="S2383:S2384">
    <cfRule type="duplicateValues" dxfId="814" priority="1146"/>
  </conditionalFormatting>
  <conditionalFormatting sqref="S2385:S2386">
    <cfRule type="duplicateValues" dxfId="813" priority="1148"/>
  </conditionalFormatting>
  <conditionalFormatting sqref="S2387">
    <cfRule type="duplicateValues" dxfId="812" priority="1143"/>
  </conditionalFormatting>
  <conditionalFormatting sqref="S2388:S2389">
    <cfRule type="duplicateValues" dxfId="811" priority="1144"/>
  </conditionalFormatting>
  <conditionalFormatting sqref="S2390">
    <cfRule type="duplicateValues" dxfId="810" priority="1137"/>
  </conditionalFormatting>
  <conditionalFormatting sqref="S2391">
    <cfRule type="duplicateValues" dxfId="809" priority="1140"/>
  </conditionalFormatting>
  <conditionalFormatting sqref="S2392:S2393">
    <cfRule type="duplicateValues" dxfId="808" priority="1134"/>
  </conditionalFormatting>
  <conditionalFormatting sqref="D2300 D2314:D2315 D2369 D2303:D2306">
    <cfRule type="duplicateValues" dxfId="807" priority="1133"/>
  </conditionalFormatting>
  <conditionalFormatting sqref="AC34">
    <cfRule type="duplicateValues" dxfId="806" priority="807"/>
  </conditionalFormatting>
  <conditionalFormatting sqref="AC37">
    <cfRule type="duplicateValues" dxfId="805" priority="806"/>
  </conditionalFormatting>
  <conditionalFormatting sqref="AC39:AC40">
    <cfRule type="duplicateValues" dxfId="804" priority="805"/>
  </conditionalFormatting>
  <conditionalFormatting sqref="AC51">
    <cfRule type="duplicateValues" dxfId="803" priority="804"/>
  </conditionalFormatting>
  <conditionalFormatting sqref="AC59">
    <cfRule type="duplicateValues" dxfId="802" priority="803"/>
  </conditionalFormatting>
  <conditionalFormatting sqref="AC77">
    <cfRule type="duplicateValues" dxfId="801" priority="802"/>
  </conditionalFormatting>
  <conditionalFormatting sqref="AC89">
    <cfRule type="duplicateValues" dxfId="800" priority="801"/>
  </conditionalFormatting>
  <conditionalFormatting sqref="AC91">
    <cfRule type="duplicateValues" dxfId="799" priority="800"/>
  </conditionalFormatting>
  <conditionalFormatting sqref="AC94">
    <cfRule type="duplicateValues" dxfId="798" priority="799"/>
  </conditionalFormatting>
  <conditionalFormatting sqref="AC155">
    <cfRule type="duplicateValues" dxfId="797" priority="798"/>
  </conditionalFormatting>
  <conditionalFormatting sqref="AC164:AC170">
    <cfRule type="duplicateValues" dxfId="796" priority="797"/>
  </conditionalFormatting>
  <conditionalFormatting sqref="AC223:AC226">
    <cfRule type="duplicateValues" dxfId="795" priority="796"/>
  </conditionalFormatting>
  <conditionalFormatting sqref="AC232:AC233">
    <cfRule type="duplicateValues" dxfId="794" priority="795"/>
  </conditionalFormatting>
  <conditionalFormatting sqref="AC235:AC236">
    <cfRule type="duplicateValues" dxfId="793" priority="794"/>
  </conditionalFormatting>
  <conditionalFormatting sqref="AC234">
    <cfRule type="duplicateValues" dxfId="792" priority="793"/>
  </conditionalFormatting>
  <conditionalFormatting sqref="AC246">
    <cfRule type="duplicateValues" dxfId="791" priority="792"/>
  </conditionalFormatting>
  <conditionalFormatting sqref="AC263">
    <cfRule type="duplicateValues" dxfId="790" priority="791"/>
  </conditionalFormatting>
  <conditionalFormatting sqref="AC265">
    <cfRule type="duplicateValues" dxfId="789" priority="790"/>
  </conditionalFormatting>
  <conditionalFormatting sqref="AC267">
    <cfRule type="duplicateValues" dxfId="788" priority="789"/>
  </conditionalFormatting>
  <conditionalFormatting sqref="AC278 AC276">
    <cfRule type="duplicateValues" dxfId="787" priority="788"/>
  </conditionalFormatting>
  <conditionalFormatting sqref="AC285">
    <cfRule type="duplicateValues" dxfId="786" priority="787"/>
  </conditionalFormatting>
  <conditionalFormatting sqref="AC288:AC289">
    <cfRule type="duplicateValues" dxfId="785" priority="786"/>
  </conditionalFormatting>
  <conditionalFormatting sqref="AC290:AC292">
    <cfRule type="duplicateValues" dxfId="784" priority="785"/>
  </conditionalFormatting>
  <conditionalFormatting sqref="AC302:AC307">
    <cfRule type="duplicateValues" dxfId="783" priority="783"/>
  </conditionalFormatting>
  <conditionalFormatting sqref="AC308:AC310">
    <cfRule type="duplicateValues" dxfId="782" priority="782"/>
  </conditionalFormatting>
  <conditionalFormatting sqref="AC311:AC313">
    <cfRule type="duplicateValues" dxfId="781" priority="781"/>
  </conditionalFormatting>
  <conditionalFormatting sqref="AC314:AC320">
    <cfRule type="duplicateValues" dxfId="780" priority="780"/>
  </conditionalFormatting>
  <conditionalFormatting sqref="AC351">
    <cfRule type="duplicateValues" dxfId="779" priority="779"/>
  </conditionalFormatting>
  <conditionalFormatting sqref="AC381:AC386">
    <cfRule type="duplicateValues" dxfId="778" priority="778"/>
  </conditionalFormatting>
  <conditionalFormatting sqref="AC391:AC396">
    <cfRule type="duplicateValues" dxfId="777" priority="777"/>
  </conditionalFormatting>
  <conditionalFormatting sqref="AC397:AC400">
    <cfRule type="duplicateValues" dxfId="776" priority="776"/>
  </conditionalFormatting>
  <conditionalFormatting sqref="AC412">
    <cfRule type="duplicateValues" dxfId="775" priority="775"/>
  </conditionalFormatting>
  <conditionalFormatting sqref="AC413">
    <cfRule type="duplicateValues" dxfId="774" priority="774"/>
  </conditionalFormatting>
  <conditionalFormatting sqref="AC440:AC445">
    <cfRule type="duplicateValues" dxfId="773" priority="773"/>
  </conditionalFormatting>
  <conditionalFormatting sqref="AC471:AC477">
    <cfRule type="duplicateValues" dxfId="772" priority="772"/>
  </conditionalFormatting>
  <conditionalFormatting sqref="AC478:AC480">
    <cfRule type="duplicateValues" dxfId="771" priority="771"/>
  </conditionalFormatting>
  <conditionalFormatting sqref="AC466:AC470">
    <cfRule type="duplicateValues" dxfId="770" priority="784"/>
  </conditionalFormatting>
  <conditionalFormatting sqref="AC481:AC595">
    <cfRule type="duplicateValues" dxfId="769" priority="707"/>
  </conditionalFormatting>
  <conditionalFormatting sqref="AC481">
    <cfRule type="duplicateValues" dxfId="768" priority="768"/>
  </conditionalFormatting>
  <conditionalFormatting sqref="AC482:AC484">
    <cfRule type="duplicateValues" dxfId="767" priority="767"/>
  </conditionalFormatting>
  <conditionalFormatting sqref="AC485:AC486">
    <cfRule type="duplicateValues" dxfId="766" priority="766"/>
  </conditionalFormatting>
  <conditionalFormatting sqref="AC487">
    <cfRule type="duplicateValues" dxfId="765" priority="765"/>
  </conditionalFormatting>
  <conditionalFormatting sqref="AC490:AC492">
    <cfRule type="duplicateValues" dxfId="764" priority="764"/>
  </conditionalFormatting>
  <conditionalFormatting sqref="AC494">
    <cfRule type="duplicateValues" dxfId="763" priority="762"/>
  </conditionalFormatting>
  <conditionalFormatting sqref="AC495">
    <cfRule type="duplicateValues" dxfId="762" priority="763"/>
  </conditionalFormatting>
  <conditionalFormatting sqref="AC497">
    <cfRule type="duplicateValues" dxfId="761" priority="761"/>
  </conditionalFormatting>
  <conditionalFormatting sqref="AC498:AC499">
    <cfRule type="duplicateValues" dxfId="760" priority="770"/>
  </conditionalFormatting>
  <conditionalFormatting sqref="AC500">
    <cfRule type="duplicateValues" dxfId="759" priority="709"/>
  </conditionalFormatting>
  <conditionalFormatting sqref="AC501:AC504">
    <cfRule type="duplicateValues" dxfId="758" priority="760"/>
  </conditionalFormatting>
  <conditionalFormatting sqref="AC505">
    <cfRule type="duplicateValues" dxfId="757" priority="759"/>
  </conditionalFormatting>
  <conditionalFormatting sqref="AC506:AC507">
    <cfRule type="duplicateValues" dxfId="756" priority="758"/>
  </conditionalFormatting>
  <conditionalFormatting sqref="AC508">
    <cfRule type="duplicateValues" dxfId="755" priority="757"/>
  </conditionalFormatting>
  <conditionalFormatting sqref="AC509">
    <cfRule type="duplicateValues" dxfId="754" priority="756"/>
  </conditionalFormatting>
  <conditionalFormatting sqref="AC512:AC513">
    <cfRule type="duplicateValues" dxfId="753" priority="754"/>
  </conditionalFormatting>
  <conditionalFormatting sqref="AC514">
    <cfRule type="duplicateValues" dxfId="752" priority="753"/>
  </conditionalFormatting>
  <conditionalFormatting sqref="AC515">
    <cfRule type="duplicateValues" dxfId="751" priority="755"/>
  </conditionalFormatting>
  <conditionalFormatting sqref="AC521">
    <cfRule type="duplicateValues" dxfId="750" priority="751"/>
  </conditionalFormatting>
  <conditionalFormatting sqref="AC522">
    <cfRule type="duplicateValues" dxfId="749" priority="750"/>
  </conditionalFormatting>
  <conditionalFormatting sqref="AC523:AC524">
    <cfRule type="duplicateValues" dxfId="748" priority="749"/>
  </conditionalFormatting>
  <conditionalFormatting sqref="AC525">
    <cfRule type="duplicateValues" dxfId="747" priority="752"/>
  </conditionalFormatting>
  <conditionalFormatting sqref="AC527">
    <cfRule type="duplicateValues" dxfId="746" priority="748"/>
  </conditionalFormatting>
  <conditionalFormatting sqref="AC531">
    <cfRule type="duplicateValues" dxfId="745" priority="747"/>
  </conditionalFormatting>
  <conditionalFormatting sqref="AC532">
    <cfRule type="duplicateValues" dxfId="744" priority="708"/>
  </conditionalFormatting>
  <conditionalFormatting sqref="AC534">
    <cfRule type="duplicateValues" dxfId="743" priority="769"/>
  </conditionalFormatting>
  <conditionalFormatting sqref="AC536">
    <cfRule type="duplicateValues" dxfId="742" priority="746"/>
  </conditionalFormatting>
  <conditionalFormatting sqref="AC537">
    <cfRule type="duplicateValues" dxfId="741" priority="745"/>
  </conditionalFormatting>
  <conditionalFormatting sqref="AC538:AC539">
    <cfRule type="duplicateValues" dxfId="740" priority="744"/>
  </conditionalFormatting>
  <conditionalFormatting sqref="AC540:AC542">
    <cfRule type="duplicateValues" dxfId="739" priority="743"/>
  </conditionalFormatting>
  <conditionalFormatting sqref="AC544 AC547">
    <cfRule type="duplicateValues" dxfId="738" priority="742"/>
  </conditionalFormatting>
  <conditionalFormatting sqref="AC545">
    <cfRule type="duplicateValues" dxfId="737" priority="741"/>
  </conditionalFormatting>
  <conditionalFormatting sqref="AC548">
    <cfRule type="duplicateValues" dxfId="736" priority="740"/>
  </conditionalFormatting>
  <conditionalFormatting sqref="AC549">
    <cfRule type="duplicateValues" dxfId="735" priority="739"/>
  </conditionalFormatting>
  <conditionalFormatting sqref="AC550">
    <cfRule type="duplicateValues" dxfId="734" priority="737"/>
  </conditionalFormatting>
  <conditionalFormatting sqref="AC551">
    <cfRule type="duplicateValues" dxfId="733" priority="738"/>
  </conditionalFormatting>
  <conditionalFormatting sqref="AC552">
    <cfRule type="duplicateValues" dxfId="732" priority="736"/>
  </conditionalFormatting>
  <conditionalFormatting sqref="AC554">
    <cfRule type="duplicateValues" dxfId="731" priority="735"/>
  </conditionalFormatting>
  <conditionalFormatting sqref="AC557">
    <cfRule type="duplicateValues" dxfId="730" priority="733"/>
  </conditionalFormatting>
  <conditionalFormatting sqref="AC558">
    <cfRule type="duplicateValues" dxfId="729" priority="732"/>
  </conditionalFormatting>
  <conditionalFormatting sqref="AC559">
    <cfRule type="duplicateValues" dxfId="728" priority="734"/>
  </conditionalFormatting>
  <conditionalFormatting sqref="AC560">
    <cfRule type="duplicateValues" dxfId="727" priority="731"/>
  </conditionalFormatting>
  <conditionalFormatting sqref="AC561">
    <cfRule type="duplicateValues" dxfId="726" priority="730"/>
  </conditionalFormatting>
  <conditionalFormatting sqref="AC566">
    <cfRule type="duplicateValues" dxfId="725" priority="729"/>
  </conditionalFormatting>
  <conditionalFormatting sqref="AC567">
    <cfRule type="duplicateValues" dxfId="724" priority="727"/>
  </conditionalFormatting>
  <conditionalFormatting sqref="AC568">
    <cfRule type="duplicateValues" dxfId="723" priority="726"/>
  </conditionalFormatting>
  <conditionalFormatting sqref="AC569">
    <cfRule type="duplicateValues" dxfId="722" priority="728"/>
  </conditionalFormatting>
  <conditionalFormatting sqref="AC571">
    <cfRule type="duplicateValues" dxfId="721" priority="725"/>
  </conditionalFormatting>
  <conditionalFormatting sqref="AC573:AC574">
    <cfRule type="duplicateValues" dxfId="720" priority="724"/>
  </conditionalFormatting>
  <conditionalFormatting sqref="AC575">
    <cfRule type="duplicateValues" dxfId="719" priority="723"/>
  </conditionalFormatting>
  <conditionalFormatting sqref="AC576">
    <cfRule type="duplicateValues" dxfId="718" priority="722"/>
  </conditionalFormatting>
  <conditionalFormatting sqref="AC577">
    <cfRule type="duplicateValues" dxfId="717" priority="721"/>
  </conditionalFormatting>
  <conditionalFormatting sqref="AC578">
    <cfRule type="duplicateValues" dxfId="716" priority="720"/>
  </conditionalFormatting>
  <conditionalFormatting sqref="AC580">
    <cfRule type="duplicateValues" dxfId="715" priority="718"/>
  </conditionalFormatting>
  <conditionalFormatting sqref="AC581">
    <cfRule type="duplicateValues" dxfId="714" priority="719"/>
  </conditionalFormatting>
  <conditionalFormatting sqref="AC583">
    <cfRule type="duplicateValues" dxfId="713" priority="716"/>
  </conditionalFormatting>
  <conditionalFormatting sqref="AC584">
    <cfRule type="duplicateValues" dxfId="712" priority="717"/>
  </conditionalFormatting>
  <conditionalFormatting sqref="AC586">
    <cfRule type="duplicateValues" dxfId="711" priority="715"/>
  </conditionalFormatting>
  <conditionalFormatting sqref="AC587">
    <cfRule type="duplicateValues" dxfId="710" priority="712"/>
  </conditionalFormatting>
  <conditionalFormatting sqref="AC589">
    <cfRule type="duplicateValues" dxfId="709" priority="714"/>
  </conditionalFormatting>
  <conditionalFormatting sqref="AC591">
    <cfRule type="duplicateValues" dxfId="708" priority="713"/>
  </conditionalFormatting>
  <conditionalFormatting sqref="AC592:AC593">
    <cfRule type="duplicateValues" dxfId="707" priority="711"/>
  </conditionalFormatting>
  <conditionalFormatting sqref="AC594">
    <cfRule type="duplicateValues" dxfId="706" priority="710"/>
  </conditionalFormatting>
  <conditionalFormatting sqref="AC616">
    <cfRule type="duplicateValues" dxfId="705" priority="706"/>
  </conditionalFormatting>
  <conditionalFormatting sqref="AC620">
    <cfRule type="duplicateValues" dxfId="704" priority="705"/>
  </conditionalFormatting>
  <conditionalFormatting sqref="AC618">
    <cfRule type="duplicateValues" dxfId="703" priority="704"/>
  </conditionalFormatting>
  <conditionalFormatting sqref="AC621:AC622">
    <cfRule type="duplicateValues" dxfId="702" priority="703"/>
  </conditionalFormatting>
  <conditionalFormatting sqref="AC625">
    <cfRule type="duplicateValues" dxfId="701" priority="702"/>
  </conditionalFormatting>
  <conditionalFormatting sqref="AC624">
    <cfRule type="duplicateValues" dxfId="700" priority="701"/>
  </conditionalFormatting>
  <conditionalFormatting sqref="AC623">
    <cfRule type="duplicateValues" dxfId="699" priority="700"/>
  </conditionalFormatting>
  <conditionalFormatting sqref="AC627">
    <cfRule type="duplicateValues" dxfId="698" priority="699"/>
  </conditionalFormatting>
  <conditionalFormatting sqref="AC634">
    <cfRule type="duplicateValues" dxfId="697" priority="698"/>
  </conditionalFormatting>
  <conditionalFormatting sqref="AC638">
    <cfRule type="duplicateValues" dxfId="696" priority="697"/>
  </conditionalFormatting>
  <conditionalFormatting sqref="AC653">
    <cfRule type="duplicateValues" dxfId="695" priority="696"/>
  </conditionalFormatting>
  <conditionalFormatting sqref="AC659">
    <cfRule type="duplicateValues" dxfId="694" priority="695"/>
  </conditionalFormatting>
  <conditionalFormatting sqref="AC661:AC664">
    <cfRule type="duplicateValues" dxfId="693" priority="694"/>
  </conditionalFormatting>
  <conditionalFormatting sqref="AC668:AC669">
    <cfRule type="duplicateValues" dxfId="692" priority="693"/>
  </conditionalFormatting>
  <conditionalFormatting sqref="AC673">
    <cfRule type="duplicateValues" dxfId="691" priority="692"/>
  </conditionalFormatting>
  <conditionalFormatting sqref="AC671">
    <cfRule type="duplicateValues" dxfId="690" priority="691"/>
  </conditionalFormatting>
  <conditionalFormatting sqref="AC670">
    <cfRule type="duplicateValues" dxfId="689" priority="690"/>
  </conditionalFormatting>
  <conditionalFormatting sqref="AC672">
    <cfRule type="duplicateValues" dxfId="688" priority="689"/>
  </conditionalFormatting>
  <conditionalFormatting sqref="AC676">
    <cfRule type="duplicateValues" dxfId="687" priority="688"/>
  </conditionalFormatting>
  <conditionalFormatting sqref="AC681">
    <cfRule type="duplicateValues" dxfId="686" priority="687"/>
  </conditionalFormatting>
  <conditionalFormatting sqref="AC683">
    <cfRule type="duplicateValues" dxfId="685" priority="686"/>
  </conditionalFormatting>
  <conditionalFormatting sqref="AC682">
    <cfRule type="duplicateValues" dxfId="684" priority="685"/>
  </conditionalFormatting>
  <conditionalFormatting sqref="AC684">
    <cfRule type="duplicateValues" dxfId="683" priority="684"/>
  </conditionalFormatting>
  <conditionalFormatting sqref="AC685">
    <cfRule type="duplicateValues" dxfId="682" priority="683"/>
  </conditionalFormatting>
  <conditionalFormatting sqref="AC696">
    <cfRule type="duplicateValues" dxfId="681" priority="682"/>
  </conditionalFormatting>
  <conditionalFormatting sqref="AC695">
    <cfRule type="duplicateValues" dxfId="680" priority="681"/>
  </conditionalFormatting>
  <conditionalFormatting sqref="AC698:AC699">
    <cfRule type="duplicateValues" dxfId="679" priority="680"/>
  </conditionalFormatting>
  <conditionalFormatting sqref="AC703">
    <cfRule type="duplicateValues" dxfId="678" priority="679"/>
  </conditionalFormatting>
  <conditionalFormatting sqref="AC705">
    <cfRule type="duplicateValues" dxfId="677" priority="678"/>
  </conditionalFormatting>
  <conditionalFormatting sqref="AC708">
    <cfRule type="duplicateValues" dxfId="676" priority="677"/>
  </conditionalFormatting>
  <conditionalFormatting sqref="AC709">
    <cfRule type="duplicateValues" dxfId="675" priority="676"/>
  </conditionalFormatting>
  <conditionalFormatting sqref="AC716:AC717">
    <cfRule type="duplicateValues" dxfId="674" priority="675"/>
  </conditionalFormatting>
  <conditionalFormatting sqref="AC720">
    <cfRule type="duplicateValues" dxfId="673" priority="674"/>
  </conditionalFormatting>
  <conditionalFormatting sqref="AC721">
    <cfRule type="duplicateValues" dxfId="672" priority="673"/>
  </conditionalFormatting>
  <conditionalFormatting sqref="AC725">
    <cfRule type="duplicateValues" dxfId="671" priority="672"/>
  </conditionalFormatting>
  <conditionalFormatting sqref="AC742">
    <cfRule type="duplicateValues" dxfId="670" priority="671"/>
  </conditionalFormatting>
  <conditionalFormatting sqref="AC743">
    <cfRule type="duplicateValues" dxfId="669" priority="670"/>
  </conditionalFormatting>
  <conditionalFormatting sqref="AC741 AC738">
    <cfRule type="duplicateValues" dxfId="668" priority="669"/>
  </conditionalFormatting>
  <conditionalFormatting sqref="AC747">
    <cfRule type="duplicateValues" dxfId="667" priority="668"/>
  </conditionalFormatting>
  <conditionalFormatting sqref="AC753">
    <cfRule type="duplicateValues" dxfId="666" priority="667"/>
  </conditionalFormatting>
  <conditionalFormatting sqref="AC767">
    <cfRule type="duplicateValues" dxfId="665" priority="666"/>
  </conditionalFormatting>
  <conditionalFormatting sqref="AC760 AC764:AC766">
    <cfRule type="duplicateValues" dxfId="664" priority="665"/>
  </conditionalFormatting>
  <conditionalFormatting sqref="AC776:AC777">
    <cfRule type="duplicateValues" dxfId="663" priority="664"/>
  </conditionalFormatting>
  <conditionalFormatting sqref="AC778:AC779">
    <cfRule type="duplicateValues" dxfId="662" priority="663"/>
  </conditionalFormatting>
  <conditionalFormatting sqref="AC780">
    <cfRule type="duplicateValues" dxfId="661" priority="662"/>
  </conditionalFormatting>
  <conditionalFormatting sqref="AC782">
    <cfRule type="duplicateValues" dxfId="660" priority="661"/>
  </conditionalFormatting>
  <conditionalFormatting sqref="AC806">
    <cfRule type="duplicateValues" dxfId="659" priority="660"/>
  </conditionalFormatting>
  <conditionalFormatting sqref="AC808:AC809">
    <cfRule type="duplicateValues" dxfId="658" priority="659"/>
  </conditionalFormatting>
  <conditionalFormatting sqref="AC814">
    <cfRule type="duplicateValues" dxfId="657" priority="658"/>
  </conditionalFormatting>
  <conditionalFormatting sqref="AC816">
    <cfRule type="duplicateValues" dxfId="656" priority="657"/>
  </conditionalFormatting>
  <conditionalFormatting sqref="AC812">
    <cfRule type="duplicateValues" dxfId="655" priority="656"/>
  </conditionalFormatting>
  <conditionalFormatting sqref="AC834">
    <cfRule type="duplicateValues" dxfId="654" priority="655"/>
  </conditionalFormatting>
  <conditionalFormatting sqref="AC865">
    <cfRule type="duplicateValues" dxfId="653" priority="654"/>
  </conditionalFormatting>
  <conditionalFormatting sqref="AC864">
    <cfRule type="duplicateValues" dxfId="652" priority="653"/>
  </conditionalFormatting>
  <conditionalFormatting sqref="AC872:AC873">
    <cfRule type="duplicateValues" dxfId="651" priority="652"/>
  </conditionalFormatting>
  <conditionalFormatting sqref="AC874">
    <cfRule type="duplicateValues" dxfId="650" priority="651"/>
  </conditionalFormatting>
  <conditionalFormatting sqref="AC879:AC884">
    <cfRule type="duplicateValues" dxfId="649" priority="650"/>
  </conditionalFormatting>
  <conditionalFormatting sqref="AC877:AC878">
    <cfRule type="duplicateValues" dxfId="648" priority="649"/>
  </conditionalFormatting>
  <conditionalFormatting sqref="AC881:AC884">
    <cfRule type="duplicateValues" dxfId="647" priority="648"/>
  </conditionalFormatting>
  <conditionalFormatting sqref="AC929">
    <cfRule type="duplicateValues" dxfId="646" priority="647"/>
  </conditionalFormatting>
  <conditionalFormatting sqref="AC964">
    <cfRule type="duplicateValues" dxfId="645" priority="646"/>
  </conditionalFormatting>
  <conditionalFormatting sqref="AC967">
    <cfRule type="duplicateValues" dxfId="644" priority="645"/>
  </conditionalFormatting>
  <conditionalFormatting sqref="AC973">
    <cfRule type="duplicateValues" dxfId="643" priority="644"/>
  </conditionalFormatting>
  <conditionalFormatting sqref="AC979:AC982">
    <cfRule type="duplicateValues" dxfId="642" priority="641"/>
  </conditionalFormatting>
  <conditionalFormatting sqref="AC981:AC982">
    <cfRule type="duplicateValues" dxfId="641" priority="640"/>
  </conditionalFormatting>
  <conditionalFormatting sqref="AC976">
    <cfRule type="duplicateValues" dxfId="640" priority="639"/>
  </conditionalFormatting>
  <conditionalFormatting sqref="AC977:AC978">
    <cfRule type="duplicateValues" dxfId="639" priority="638"/>
  </conditionalFormatting>
  <conditionalFormatting sqref="AC983">
    <cfRule type="duplicateValues" dxfId="638" priority="637"/>
  </conditionalFormatting>
  <conditionalFormatting sqref="AC985">
    <cfRule type="duplicateValues" dxfId="637" priority="636"/>
  </conditionalFormatting>
  <conditionalFormatting sqref="AC986">
    <cfRule type="duplicateValues" dxfId="636" priority="635"/>
  </conditionalFormatting>
  <conditionalFormatting sqref="AC988">
    <cfRule type="duplicateValues" dxfId="635" priority="634"/>
  </conditionalFormatting>
  <conditionalFormatting sqref="AC990">
    <cfRule type="duplicateValues" dxfId="634" priority="633"/>
  </conditionalFormatting>
  <conditionalFormatting sqref="AC998">
    <cfRule type="duplicateValues" dxfId="633" priority="632"/>
  </conditionalFormatting>
  <conditionalFormatting sqref="AC1001">
    <cfRule type="duplicateValues" dxfId="632" priority="631"/>
  </conditionalFormatting>
  <conditionalFormatting sqref="AC1000">
    <cfRule type="duplicateValues" dxfId="631" priority="630"/>
  </conditionalFormatting>
  <conditionalFormatting sqref="AC999">
    <cfRule type="duplicateValues" dxfId="630" priority="629"/>
  </conditionalFormatting>
  <conditionalFormatting sqref="AC1003">
    <cfRule type="duplicateValues" dxfId="629" priority="628"/>
  </conditionalFormatting>
  <conditionalFormatting sqref="AC1011">
    <cfRule type="duplicateValues" dxfId="628" priority="627"/>
  </conditionalFormatting>
  <conditionalFormatting sqref="AC1007">
    <cfRule type="duplicateValues" dxfId="627" priority="626"/>
  </conditionalFormatting>
  <conditionalFormatting sqref="AC1010">
    <cfRule type="duplicateValues" dxfId="626" priority="625"/>
  </conditionalFormatting>
  <conditionalFormatting sqref="AC1005">
    <cfRule type="duplicateValues" dxfId="625" priority="624"/>
  </conditionalFormatting>
  <conditionalFormatting sqref="AC1012:AC1016">
    <cfRule type="duplicateValues" dxfId="624" priority="642"/>
  </conditionalFormatting>
  <conditionalFormatting sqref="AC1013:AC1014">
    <cfRule type="duplicateValues" dxfId="623" priority="623"/>
  </conditionalFormatting>
  <conditionalFormatting sqref="AC1015:AC1022">
    <cfRule type="duplicateValues" dxfId="622" priority="622"/>
  </conditionalFormatting>
  <conditionalFormatting sqref="AC1020:AC1021">
    <cfRule type="duplicateValues" dxfId="621" priority="621"/>
  </conditionalFormatting>
  <conditionalFormatting sqref="AC1022">
    <cfRule type="duplicateValues" dxfId="620" priority="620"/>
  </conditionalFormatting>
  <conditionalFormatting sqref="AC1028">
    <cfRule type="duplicateValues" dxfId="619" priority="619"/>
  </conditionalFormatting>
  <conditionalFormatting sqref="AC1029">
    <cfRule type="duplicateValues" dxfId="618" priority="618"/>
  </conditionalFormatting>
  <conditionalFormatting sqref="AC1033">
    <cfRule type="duplicateValues" dxfId="617" priority="617"/>
  </conditionalFormatting>
  <conditionalFormatting sqref="AC1040">
    <cfRule type="duplicateValues" dxfId="616" priority="616"/>
  </conditionalFormatting>
  <conditionalFormatting sqref="AC1038">
    <cfRule type="duplicateValues" dxfId="615" priority="615"/>
  </conditionalFormatting>
  <conditionalFormatting sqref="AC1041">
    <cfRule type="duplicateValues" dxfId="614" priority="614"/>
  </conditionalFormatting>
  <conditionalFormatting sqref="AC1042:AC1043">
    <cfRule type="duplicateValues" dxfId="613" priority="613"/>
  </conditionalFormatting>
  <conditionalFormatting sqref="AC1043">
    <cfRule type="duplicateValues" dxfId="612" priority="612"/>
  </conditionalFormatting>
  <conditionalFormatting sqref="AC1065:AC1068">
    <cfRule type="duplicateValues" dxfId="611" priority="611"/>
  </conditionalFormatting>
  <conditionalFormatting sqref="AC1056">
    <cfRule type="duplicateValues" dxfId="610" priority="610"/>
  </conditionalFormatting>
  <conditionalFormatting sqref="AC1053:AC1055">
    <cfRule type="duplicateValues" dxfId="609" priority="609"/>
  </conditionalFormatting>
  <conditionalFormatting sqref="AC1061">
    <cfRule type="duplicateValues" dxfId="608" priority="608"/>
  </conditionalFormatting>
  <conditionalFormatting sqref="AC1064">
    <cfRule type="duplicateValues" dxfId="607" priority="607"/>
  </conditionalFormatting>
  <conditionalFormatting sqref="AC1066:AC1067">
    <cfRule type="duplicateValues" dxfId="606" priority="606"/>
  </conditionalFormatting>
  <conditionalFormatting sqref="AC1068">
    <cfRule type="duplicateValues" dxfId="605" priority="605"/>
  </conditionalFormatting>
  <conditionalFormatting sqref="AC1070">
    <cfRule type="duplicateValues" dxfId="604" priority="604"/>
  </conditionalFormatting>
  <conditionalFormatting sqref="AC1073">
    <cfRule type="duplicateValues" dxfId="603" priority="603"/>
  </conditionalFormatting>
  <conditionalFormatting sqref="AC1074">
    <cfRule type="duplicateValues" dxfId="602" priority="602"/>
  </conditionalFormatting>
  <conditionalFormatting sqref="AC1072">
    <cfRule type="duplicateValues" dxfId="601" priority="601"/>
  </conditionalFormatting>
  <conditionalFormatting sqref="AC1069">
    <cfRule type="duplicateValues" dxfId="600" priority="600"/>
  </conditionalFormatting>
  <conditionalFormatting sqref="AC1092">
    <cfRule type="duplicateValues" dxfId="599" priority="599"/>
  </conditionalFormatting>
  <conditionalFormatting sqref="AC1091">
    <cfRule type="duplicateValues" dxfId="598" priority="598"/>
  </conditionalFormatting>
  <conditionalFormatting sqref="AC1093:AC1100">
    <cfRule type="duplicateValues" dxfId="597" priority="597"/>
  </conditionalFormatting>
  <conditionalFormatting sqref="AC1090">
    <cfRule type="duplicateValues" dxfId="596" priority="596"/>
  </conditionalFormatting>
  <conditionalFormatting sqref="AC1088">
    <cfRule type="duplicateValues" dxfId="595" priority="595"/>
  </conditionalFormatting>
  <conditionalFormatting sqref="AC1082:AC1084 AC1087">
    <cfRule type="duplicateValues" dxfId="594" priority="643"/>
  </conditionalFormatting>
  <conditionalFormatting sqref="AC1084:AC1085">
    <cfRule type="duplicateValues" dxfId="593" priority="594"/>
  </conditionalFormatting>
  <conditionalFormatting sqref="AC1094">
    <cfRule type="duplicateValues" dxfId="592" priority="593"/>
  </conditionalFormatting>
  <conditionalFormatting sqref="AC1096:AC1098">
    <cfRule type="duplicateValues" dxfId="591" priority="592"/>
  </conditionalFormatting>
  <conditionalFormatting sqref="AC1099">
    <cfRule type="duplicateValues" dxfId="590" priority="591"/>
  </conditionalFormatting>
  <conditionalFormatting sqref="AC1100">
    <cfRule type="duplicateValues" dxfId="589" priority="590"/>
  </conditionalFormatting>
  <conditionalFormatting sqref="AC1105">
    <cfRule type="duplicateValues" dxfId="588" priority="589"/>
  </conditionalFormatting>
  <conditionalFormatting sqref="AC1109">
    <cfRule type="duplicateValues" dxfId="587" priority="588"/>
  </conditionalFormatting>
  <conditionalFormatting sqref="AC1131">
    <cfRule type="duplicateValues" dxfId="586" priority="587"/>
  </conditionalFormatting>
  <conditionalFormatting sqref="AC1140:AC1141">
    <cfRule type="duplicateValues" dxfId="585" priority="586"/>
  </conditionalFormatting>
  <conditionalFormatting sqref="AC1143">
    <cfRule type="duplicateValues" dxfId="584" priority="585"/>
  </conditionalFormatting>
  <conditionalFormatting sqref="AC1152">
    <cfRule type="duplicateValues" dxfId="583" priority="584"/>
  </conditionalFormatting>
  <conditionalFormatting sqref="AC1153">
    <cfRule type="duplicateValues" dxfId="582" priority="583"/>
  </conditionalFormatting>
  <conditionalFormatting sqref="AC1147:AC1148">
    <cfRule type="duplicateValues" dxfId="581" priority="582"/>
  </conditionalFormatting>
  <conditionalFormatting sqref="AC1154:AC1155">
    <cfRule type="duplicateValues" dxfId="580" priority="581"/>
  </conditionalFormatting>
  <conditionalFormatting sqref="AC1160:AC1161">
    <cfRule type="duplicateValues" dxfId="579" priority="580"/>
  </conditionalFormatting>
  <conditionalFormatting sqref="AC1157">
    <cfRule type="duplicateValues" dxfId="578" priority="579"/>
  </conditionalFormatting>
  <conditionalFormatting sqref="AC1159">
    <cfRule type="duplicateValues" dxfId="577" priority="578"/>
  </conditionalFormatting>
  <conditionalFormatting sqref="AC1158">
    <cfRule type="duplicateValues" dxfId="576" priority="577"/>
  </conditionalFormatting>
  <conditionalFormatting sqref="AC1162">
    <cfRule type="duplicateValues" dxfId="575" priority="576"/>
  </conditionalFormatting>
  <conditionalFormatting sqref="AC1168:AC1169">
    <cfRule type="duplicateValues" dxfId="574" priority="575"/>
  </conditionalFormatting>
  <conditionalFormatting sqref="AC1044">
    <cfRule type="duplicateValues" dxfId="573" priority="574"/>
  </conditionalFormatting>
  <conditionalFormatting sqref="AC1170:AC1176">
    <cfRule type="duplicateValues" dxfId="572" priority="573"/>
  </conditionalFormatting>
  <conditionalFormatting sqref="AC1209:AC1212">
    <cfRule type="duplicateValues" dxfId="571" priority="572"/>
  </conditionalFormatting>
  <conditionalFormatting sqref="AC1211">
    <cfRule type="duplicateValues" dxfId="570" priority="571"/>
  </conditionalFormatting>
  <conditionalFormatting sqref="AC1212:AC1213">
    <cfRule type="duplicateValues" dxfId="569" priority="570"/>
  </conditionalFormatting>
  <conditionalFormatting sqref="AC1228:AC1235">
    <cfRule type="duplicateValues" dxfId="568" priority="569"/>
  </conditionalFormatting>
  <conditionalFormatting sqref="AC1242">
    <cfRule type="duplicateValues" dxfId="567" priority="568"/>
  </conditionalFormatting>
  <conditionalFormatting sqref="AC1240">
    <cfRule type="duplicateValues" dxfId="566" priority="567"/>
  </conditionalFormatting>
  <conditionalFormatting sqref="AC1245">
    <cfRule type="duplicateValues" dxfId="565" priority="566"/>
  </conditionalFormatting>
  <conditionalFormatting sqref="AC1282:AC1289">
    <cfRule type="duplicateValues" dxfId="564" priority="565"/>
  </conditionalFormatting>
  <conditionalFormatting sqref="AC1313:AC1316">
    <cfRule type="duplicateValues" dxfId="563" priority="564"/>
  </conditionalFormatting>
  <conditionalFormatting sqref="AC1382:AC1383">
    <cfRule type="duplicateValues" dxfId="562" priority="563"/>
  </conditionalFormatting>
  <conditionalFormatting sqref="AC1386:AC1387">
    <cfRule type="duplicateValues" dxfId="561" priority="562"/>
  </conditionalFormatting>
  <conditionalFormatting sqref="AC1384">
    <cfRule type="duplicateValues" dxfId="560" priority="561"/>
  </conditionalFormatting>
  <conditionalFormatting sqref="AC1400:AC1402">
    <cfRule type="duplicateValues" dxfId="559" priority="560"/>
  </conditionalFormatting>
  <conditionalFormatting sqref="AC1403:AC1404">
    <cfRule type="duplicateValues" dxfId="558" priority="559"/>
  </conditionalFormatting>
  <conditionalFormatting sqref="AC1401:AC1402">
    <cfRule type="duplicateValues" dxfId="557" priority="558"/>
  </conditionalFormatting>
  <conditionalFormatting sqref="AC1402">
    <cfRule type="duplicateValues" dxfId="556" priority="557"/>
  </conditionalFormatting>
  <conditionalFormatting sqref="AC1405">
    <cfRule type="duplicateValues" dxfId="555" priority="556"/>
  </conditionalFormatting>
  <conditionalFormatting sqref="AC1408:AC1409">
    <cfRule type="duplicateValues" dxfId="554" priority="555"/>
  </conditionalFormatting>
  <conditionalFormatting sqref="AC1407">
    <cfRule type="duplicateValues" dxfId="553" priority="554"/>
  </conditionalFormatting>
  <conditionalFormatting sqref="AC1411">
    <cfRule type="duplicateValues" dxfId="552" priority="553"/>
  </conditionalFormatting>
  <conditionalFormatting sqref="AC1412">
    <cfRule type="duplicateValues" dxfId="551" priority="552"/>
  </conditionalFormatting>
  <conditionalFormatting sqref="AC1426:AC1427">
    <cfRule type="duplicateValues" dxfId="550" priority="551"/>
  </conditionalFormatting>
  <conditionalFormatting sqref="AC1416:AC1425">
    <cfRule type="duplicateValues" dxfId="549" priority="550"/>
  </conditionalFormatting>
  <conditionalFormatting sqref="AC1417">
    <cfRule type="duplicateValues" dxfId="548" priority="549"/>
  </conditionalFormatting>
  <conditionalFormatting sqref="AC1418">
    <cfRule type="duplicateValues" dxfId="547" priority="548"/>
  </conditionalFormatting>
  <conditionalFormatting sqref="AC1423">
    <cfRule type="duplicateValues" dxfId="546" priority="547"/>
  </conditionalFormatting>
  <conditionalFormatting sqref="AC1425">
    <cfRule type="duplicateValues" dxfId="545" priority="546"/>
  </conditionalFormatting>
  <conditionalFormatting sqref="AC1422">
    <cfRule type="duplicateValues" dxfId="544" priority="545"/>
  </conditionalFormatting>
  <conditionalFormatting sqref="AC1424">
    <cfRule type="duplicateValues" dxfId="543" priority="544"/>
  </conditionalFormatting>
  <conditionalFormatting sqref="AC1419:AC1421">
    <cfRule type="duplicateValues" dxfId="542" priority="543"/>
  </conditionalFormatting>
  <conditionalFormatting sqref="AC1428:AC1429">
    <cfRule type="duplicateValues" dxfId="541" priority="542"/>
  </conditionalFormatting>
  <conditionalFormatting sqref="AC1430:AC1433">
    <cfRule type="duplicateValues" dxfId="540" priority="541"/>
  </conditionalFormatting>
  <conditionalFormatting sqref="AC1434:AC1436">
    <cfRule type="duplicateValues" dxfId="539" priority="540"/>
  </conditionalFormatting>
  <conditionalFormatting sqref="AC1438">
    <cfRule type="duplicateValues" dxfId="538" priority="539"/>
  </conditionalFormatting>
  <conditionalFormatting sqref="AC1439:AC1442">
    <cfRule type="duplicateValues" dxfId="537" priority="538"/>
  </conditionalFormatting>
  <conditionalFormatting sqref="AC1451">
    <cfRule type="duplicateValues" dxfId="536" priority="537"/>
  </conditionalFormatting>
  <conditionalFormatting sqref="AC1453">
    <cfRule type="duplicateValues" dxfId="535" priority="536"/>
  </conditionalFormatting>
  <conditionalFormatting sqref="AC1456">
    <cfRule type="duplicateValues" dxfId="534" priority="535"/>
  </conditionalFormatting>
  <conditionalFormatting sqref="AC1454">
    <cfRule type="duplicateValues" dxfId="533" priority="534"/>
  </conditionalFormatting>
  <conditionalFormatting sqref="AC1455">
    <cfRule type="duplicateValues" dxfId="532" priority="533"/>
  </conditionalFormatting>
  <conditionalFormatting sqref="AC1457:AC1459">
    <cfRule type="duplicateValues" dxfId="531" priority="532"/>
  </conditionalFormatting>
  <conditionalFormatting sqref="AC1460:AC1461">
    <cfRule type="duplicateValues" dxfId="530" priority="531"/>
  </conditionalFormatting>
  <conditionalFormatting sqref="AC1464">
    <cfRule type="duplicateValues" dxfId="529" priority="530"/>
  </conditionalFormatting>
  <conditionalFormatting sqref="AC1465">
    <cfRule type="duplicateValues" dxfId="528" priority="529"/>
  </conditionalFormatting>
  <conditionalFormatting sqref="AC1466:AC1467">
    <cfRule type="duplicateValues" dxfId="527" priority="528"/>
  </conditionalFormatting>
  <conditionalFormatting sqref="AC1468">
    <cfRule type="duplicateValues" dxfId="526" priority="527"/>
  </conditionalFormatting>
  <conditionalFormatting sqref="AC1469:AC1471">
    <cfRule type="duplicateValues" dxfId="525" priority="526"/>
  </conditionalFormatting>
  <conditionalFormatting sqref="AC1472">
    <cfRule type="duplicateValues" dxfId="524" priority="525"/>
  </conditionalFormatting>
  <conditionalFormatting sqref="AC1474:AC1475">
    <cfRule type="duplicateValues" dxfId="523" priority="524"/>
  </conditionalFormatting>
  <conditionalFormatting sqref="AC1475">
    <cfRule type="duplicateValues" dxfId="522" priority="523"/>
  </conditionalFormatting>
  <conditionalFormatting sqref="AC1489:AC1491">
    <cfRule type="duplicateValues" dxfId="521" priority="522"/>
  </conditionalFormatting>
  <conditionalFormatting sqref="AC1484">
    <cfRule type="duplicateValues" dxfId="520" priority="521"/>
  </conditionalFormatting>
  <conditionalFormatting sqref="AC1482:AC1483">
    <cfRule type="duplicateValues" dxfId="519" priority="520"/>
  </conditionalFormatting>
  <conditionalFormatting sqref="AC1481">
    <cfRule type="duplicateValues" dxfId="518" priority="519"/>
  </conditionalFormatting>
  <conditionalFormatting sqref="AC1503:AC1504">
    <cfRule type="duplicateValues" dxfId="517" priority="518"/>
  </conditionalFormatting>
  <conditionalFormatting sqref="AC1492:AC1502">
    <cfRule type="duplicateValues" dxfId="516" priority="517"/>
  </conditionalFormatting>
  <conditionalFormatting sqref="AC1505">
    <cfRule type="duplicateValues" dxfId="515" priority="516"/>
  </conditionalFormatting>
  <conditionalFormatting sqref="AC1493:AC1500">
    <cfRule type="duplicateValues" dxfId="514" priority="515"/>
  </conditionalFormatting>
  <conditionalFormatting sqref="AC1501">
    <cfRule type="duplicateValues" dxfId="513" priority="514"/>
  </conditionalFormatting>
  <conditionalFormatting sqref="AC1502">
    <cfRule type="duplicateValues" dxfId="512" priority="513"/>
  </conditionalFormatting>
  <conditionalFormatting sqref="AC1419">
    <cfRule type="duplicateValues" dxfId="511" priority="512"/>
  </conditionalFormatting>
  <conditionalFormatting sqref="AC1427">
    <cfRule type="duplicateValues" dxfId="510" priority="511"/>
  </conditionalFormatting>
  <conditionalFormatting sqref="AC1416">
    <cfRule type="duplicateValues" dxfId="509" priority="510"/>
  </conditionalFormatting>
  <conditionalFormatting sqref="AC1417">
    <cfRule type="duplicateValues" dxfId="508" priority="509"/>
  </conditionalFormatting>
  <conditionalFormatting sqref="AC1420">
    <cfRule type="duplicateValues" dxfId="507" priority="508"/>
  </conditionalFormatting>
  <conditionalFormatting sqref="AC1421:AC1423">
    <cfRule type="duplicateValues" dxfId="506" priority="507"/>
  </conditionalFormatting>
  <conditionalFormatting sqref="AC1425">
    <cfRule type="duplicateValues" dxfId="505" priority="506"/>
  </conditionalFormatting>
  <conditionalFormatting sqref="AC1418">
    <cfRule type="duplicateValues" dxfId="504" priority="505"/>
  </conditionalFormatting>
  <conditionalFormatting sqref="AC1424">
    <cfRule type="duplicateValues" dxfId="503" priority="504"/>
  </conditionalFormatting>
  <conditionalFormatting sqref="AC1426">
    <cfRule type="duplicateValues" dxfId="502" priority="503"/>
  </conditionalFormatting>
  <conditionalFormatting sqref="AC1507">
    <cfRule type="duplicateValues" dxfId="501" priority="501"/>
  </conditionalFormatting>
  <conditionalFormatting sqref="AC1509">
    <cfRule type="duplicateValues" dxfId="500" priority="500"/>
  </conditionalFormatting>
  <conditionalFormatting sqref="AC1508">
    <cfRule type="duplicateValues" dxfId="499" priority="499"/>
  </conditionalFormatting>
  <conditionalFormatting sqref="AC1510">
    <cfRule type="duplicateValues" dxfId="498" priority="498"/>
  </conditionalFormatting>
  <conditionalFormatting sqref="AC1512">
    <cfRule type="duplicateValues" dxfId="497" priority="497"/>
  </conditionalFormatting>
  <conditionalFormatting sqref="AC1511">
    <cfRule type="duplicateValues" dxfId="496" priority="496"/>
  </conditionalFormatting>
  <conditionalFormatting sqref="AC1513">
    <cfRule type="duplicateValues" dxfId="495" priority="495"/>
  </conditionalFormatting>
  <conditionalFormatting sqref="AC1514:AC1515">
    <cfRule type="duplicateValues" dxfId="494" priority="494"/>
  </conditionalFormatting>
  <conditionalFormatting sqref="AC1516">
    <cfRule type="duplicateValues" dxfId="493" priority="493"/>
  </conditionalFormatting>
  <conditionalFormatting sqref="AC1517">
    <cfRule type="duplicateValues" dxfId="492" priority="492"/>
  </conditionalFormatting>
  <conditionalFormatting sqref="AC1519">
    <cfRule type="duplicateValues" dxfId="491" priority="491"/>
  </conditionalFormatting>
  <conditionalFormatting sqref="AC1523">
    <cfRule type="duplicateValues" dxfId="490" priority="490"/>
  </conditionalFormatting>
  <conditionalFormatting sqref="AC1521">
    <cfRule type="duplicateValues" dxfId="489" priority="489"/>
  </conditionalFormatting>
  <conditionalFormatting sqref="AC1522">
    <cfRule type="duplicateValues" dxfId="488" priority="488"/>
  </conditionalFormatting>
  <conditionalFormatting sqref="AC1524">
    <cfRule type="duplicateValues" dxfId="487" priority="487"/>
  </conditionalFormatting>
  <conditionalFormatting sqref="AC1525">
    <cfRule type="duplicateValues" dxfId="486" priority="486"/>
  </conditionalFormatting>
  <conditionalFormatting sqref="AC1526:AC1527">
    <cfRule type="duplicateValues" dxfId="485" priority="485"/>
  </conditionalFormatting>
  <conditionalFormatting sqref="AC1531">
    <cfRule type="duplicateValues" dxfId="484" priority="484"/>
  </conditionalFormatting>
  <conditionalFormatting sqref="AC1532">
    <cfRule type="duplicateValues" dxfId="483" priority="483"/>
  </conditionalFormatting>
  <conditionalFormatting sqref="AC1533">
    <cfRule type="duplicateValues" dxfId="482" priority="482"/>
  </conditionalFormatting>
  <conditionalFormatting sqref="AC1538">
    <cfRule type="duplicateValues" dxfId="481" priority="481"/>
  </conditionalFormatting>
  <conditionalFormatting sqref="AC1539">
    <cfRule type="duplicateValues" dxfId="480" priority="480"/>
  </conditionalFormatting>
  <conditionalFormatting sqref="AC1540">
    <cfRule type="duplicateValues" dxfId="479" priority="479"/>
  </conditionalFormatting>
  <conditionalFormatting sqref="AC1541">
    <cfRule type="duplicateValues" dxfId="478" priority="478"/>
  </conditionalFormatting>
  <conditionalFormatting sqref="AC1542">
    <cfRule type="duplicateValues" dxfId="477" priority="477"/>
  </conditionalFormatting>
  <conditionalFormatting sqref="AC1534">
    <cfRule type="duplicateValues" dxfId="476" priority="476"/>
  </conditionalFormatting>
  <conditionalFormatting sqref="AC1536:AC1537">
    <cfRule type="duplicateValues" dxfId="475" priority="475"/>
  </conditionalFormatting>
  <conditionalFormatting sqref="AC1535">
    <cfRule type="duplicateValues" dxfId="474" priority="474"/>
  </conditionalFormatting>
  <conditionalFormatting sqref="AC1605">
    <cfRule type="duplicateValues" dxfId="473" priority="473"/>
  </conditionalFormatting>
  <conditionalFormatting sqref="AC1606">
    <cfRule type="duplicateValues" dxfId="472" priority="472"/>
  </conditionalFormatting>
  <conditionalFormatting sqref="AC1607">
    <cfRule type="duplicateValues" dxfId="471" priority="471"/>
  </conditionalFormatting>
  <conditionalFormatting sqref="AC1543">
    <cfRule type="duplicateValues" dxfId="470" priority="470"/>
  </conditionalFormatting>
  <conditionalFormatting sqref="AC1546">
    <cfRule type="duplicateValues" dxfId="469" priority="469"/>
  </conditionalFormatting>
  <conditionalFormatting sqref="AC1545">
    <cfRule type="duplicateValues" dxfId="468" priority="468"/>
  </conditionalFormatting>
  <conditionalFormatting sqref="AC1544">
    <cfRule type="duplicateValues" dxfId="467" priority="467"/>
  </conditionalFormatting>
  <conditionalFormatting sqref="AC1548:AC1549">
    <cfRule type="duplicateValues" dxfId="466" priority="466"/>
  </conditionalFormatting>
  <conditionalFormatting sqref="AC1555">
    <cfRule type="duplicateValues" dxfId="465" priority="465"/>
  </conditionalFormatting>
  <conditionalFormatting sqref="AC1552">
    <cfRule type="duplicateValues" dxfId="464" priority="464"/>
  </conditionalFormatting>
  <conditionalFormatting sqref="AC1551">
    <cfRule type="duplicateValues" dxfId="463" priority="463"/>
  </conditionalFormatting>
  <conditionalFormatting sqref="AC1550">
    <cfRule type="duplicateValues" dxfId="462" priority="462"/>
  </conditionalFormatting>
  <conditionalFormatting sqref="AC1556">
    <cfRule type="duplicateValues" dxfId="461" priority="461"/>
  </conditionalFormatting>
  <conditionalFormatting sqref="AC1553:AC1554">
    <cfRule type="duplicateValues" dxfId="460" priority="460"/>
  </conditionalFormatting>
  <conditionalFormatting sqref="AC1558:AC1559">
    <cfRule type="duplicateValues" dxfId="459" priority="459"/>
  </conditionalFormatting>
  <conditionalFormatting sqref="AC1557">
    <cfRule type="duplicateValues" dxfId="458" priority="458"/>
  </conditionalFormatting>
  <conditionalFormatting sqref="AC1563">
    <cfRule type="duplicateValues" dxfId="457" priority="457"/>
  </conditionalFormatting>
  <conditionalFormatting sqref="AC1564:AC1568">
    <cfRule type="duplicateValues" dxfId="456" priority="456"/>
  </conditionalFormatting>
  <conditionalFormatting sqref="AC1569">
    <cfRule type="duplicateValues" dxfId="455" priority="455"/>
  </conditionalFormatting>
  <conditionalFormatting sqref="AC1570">
    <cfRule type="duplicateValues" dxfId="454" priority="454"/>
  </conditionalFormatting>
  <conditionalFormatting sqref="AC1572">
    <cfRule type="duplicateValues" dxfId="453" priority="453"/>
  </conditionalFormatting>
  <conditionalFormatting sqref="AC1573">
    <cfRule type="duplicateValues" dxfId="452" priority="452"/>
  </conditionalFormatting>
  <conditionalFormatting sqref="AC1574:AC1575">
    <cfRule type="duplicateValues" dxfId="451" priority="451"/>
  </conditionalFormatting>
  <conditionalFormatting sqref="AC1576:AC1578">
    <cfRule type="duplicateValues" dxfId="450" priority="450"/>
  </conditionalFormatting>
  <conditionalFormatting sqref="AC1580">
    <cfRule type="duplicateValues" dxfId="449" priority="449"/>
  </conditionalFormatting>
  <conditionalFormatting sqref="AC1581:AC1582">
    <cfRule type="duplicateValues" dxfId="448" priority="448"/>
  </conditionalFormatting>
  <conditionalFormatting sqref="AC1560:AC1562">
    <cfRule type="duplicateValues" dxfId="447" priority="447"/>
  </conditionalFormatting>
  <conditionalFormatting sqref="AC1589">
    <cfRule type="duplicateValues" dxfId="446" priority="446"/>
  </conditionalFormatting>
  <conditionalFormatting sqref="AC1583">
    <cfRule type="duplicateValues" dxfId="445" priority="445"/>
  </conditionalFormatting>
  <conditionalFormatting sqref="AC1584">
    <cfRule type="duplicateValues" dxfId="444" priority="444"/>
  </conditionalFormatting>
  <conditionalFormatting sqref="AC1585">
    <cfRule type="duplicateValues" dxfId="443" priority="443"/>
  </conditionalFormatting>
  <conditionalFormatting sqref="AC1586">
    <cfRule type="duplicateValues" dxfId="442" priority="442"/>
  </conditionalFormatting>
  <conditionalFormatting sqref="AC1587">
    <cfRule type="duplicateValues" dxfId="441" priority="441"/>
  </conditionalFormatting>
  <conditionalFormatting sqref="AC1588">
    <cfRule type="duplicateValues" dxfId="440" priority="440"/>
  </conditionalFormatting>
  <conditionalFormatting sqref="AC1590">
    <cfRule type="duplicateValues" dxfId="439" priority="439"/>
  </conditionalFormatting>
  <conditionalFormatting sqref="AC1592">
    <cfRule type="duplicateValues" dxfId="438" priority="438"/>
  </conditionalFormatting>
  <conditionalFormatting sqref="AC1593">
    <cfRule type="duplicateValues" dxfId="437" priority="437"/>
  </conditionalFormatting>
  <conditionalFormatting sqref="AC1591">
    <cfRule type="duplicateValues" dxfId="436" priority="436"/>
  </conditionalFormatting>
  <conditionalFormatting sqref="AC1598">
    <cfRule type="duplicateValues" dxfId="435" priority="435"/>
  </conditionalFormatting>
  <conditionalFormatting sqref="AC1595">
    <cfRule type="duplicateValues" dxfId="434" priority="434"/>
  </conditionalFormatting>
  <conditionalFormatting sqref="AC1599">
    <cfRule type="duplicateValues" dxfId="433" priority="433"/>
  </conditionalFormatting>
  <conditionalFormatting sqref="AC1597">
    <cfRule type="duplicateValues" dxfId="432" priority="432"/>
  </conditionalFormatting>
  <conditionalFormatting sqref="AC1596">
    <cfRule type="duplicateValues" dxfId="431" priority="431"/>
  </conditionalFormatting>
  <conditionalFormatting sqref="AC1600">
    <cfRule type="duplicateValues" dxfId="430" priority="430"/>
  </conditionalFormatting>
  <conditionalFormatting sqref="AC1601:AC1603">
    <cfRule type="duplicateValues" dxfId="429" priority="429"/>
  </conditionalFormatting>
  <conditionalFormatting sqref="AC1608">
    <cfRule type="duplicateValues" dxfId="428" priority="428"/>
  </conditionalFormatting>
  <conditionalFormatting sqref="AC1609">
    <cfRule type="duplicateValues" dxfId="427" priority="427"/>
  </conditionalFormatting>
  <conditionalFormatting sqref="AC1610">
    <cfRule type="duplicateValues" dxfId="426" priority="426"/>
  </conditionalFormatting>
  <conditionalFormatting sqref="AC1611">
    <cfRule type="duplicateValues" dxfId="425" priority="425"/>
  </conditionalFormatting>
  <conditionalFormatting sqref="AC1612">
    <cfRule type="duplicateValues" dxfId="424" priority="424"/>
  </conditionalFormatting>
  <conditionalFormatting sqref="AC1613">
    <cfRule type="duplicateValues" dxfId="423" priority="423"/>
  </conditionalFormatting>
  <conditionalFormatting sqref="AC1614">
    <cfRule type="duplicateValues" dxfId="422" priority="422"/>
  </conditionalFormatting>
  <conditionalFormatting sqref="AC1618">
    <cfRule type="duplicateValues" dxfId="421" priority="421"/>
  </conditionalFormatting>
  <conditionalFormatting sqref="AC1615">
    <cfRule type="duplicateValues" dxfId="420" priority="420"/>
  </conditionalFormatting>
  <conditionalFormatting sqref="AC1616">
    <cfRule type="duplicateValues" dxfId="419" priority="419"/>
  </conditionalFormatting>
  <conditionalFormatting sqref="AC1617">
    <cfRule type="duplicateValues" dxfId="418" priority="418"/>
  </conditionalFormatting>
  <conditionalFormatting sqref="AC1619">
    <cfRule type="duplicateValues" dxfId="417" priority="417"/>
  </conditionalFormatting>
  <conditionalFormatting sqref="AC1620">
    <cfRule type="duplicateValues" dxfId="416" priority="416"/>
  </conditionalFormatting>
  <conditionalFormatting sqref="AC1621">
    <cfRule type="duplicateValues" dxfId="415" priority="415"/>
  </conditionalFormatting>
  <conditionalFormatting sqref="AC1623">
    <cfRule type="duplicateValues" dxfId="414" priority="414"/>
  </conditionalFormatting>
  <conditionalFormatting sqref="AC1624">
    <cfRule type="duplicateValues" dxfId="413" priority="413"/>
  </conditionalFormatting>
  <conditionalFormatting sqref="AC1626">
    <cfRule type="duplicateValues" dxfId="412" priority="412"/>
  </conditionalFormatting>
  <conditionalFormatting sqref="AC1628">
    <cfRule type="duplicateValues" dxfId="411" priority="411"/>
  </conditionalFormatting>
  <conditionalFormatting sqref="AC1629:AC1631">
    <cfRule type="duplicateValues" dxfId="410" priority="410"/>
  </conditionalFormatting>
  <conditionalFormatting sqref="AC1632">
    <cfRule type="duplicateValues" dxfId="409" priority="409"/>
  </conditionalFormatting>
  <conditionalFormatting sqref="AC1633">
    <cfRule type="duplicateValues" dxfId="408" priority="408"/>
  </conditionalFormatting>
  <conditionalFormatting sqref="AC1634">
    <cfRule type="duplicateValues" dxfId="407" priority="407"/>
  </conditionalFormatting>
  <conditionalFormatting sqref="AC1635">
    <cfRule type="duplicateValues" dxfId="406" priority="406"/>
  </conditionalFormatting>
  <conditionalFormatting sqref="AC1636">
    <cfRule type="duplicateValues" dxfId="405" priority="405"/>
  </conditionalFormatting>
  <conditionalFormatting sqref="AC1637">
    <cfRule type="duplicateValues" dxfId="404" priority="404"/>
  </conditionalFormatting>
  <conditionalFormatting sqref="AC1639">
    <cfRule type="duplicateValues" dxfId="403" priority="403"/>
  </conditionalFormatting>
  <conditionalFormatting sqref="AC1640">
    <cfRule type="duplicateValues" dxfId="402" priority="402"/>
  </conditionalFormatting>
  <conditionalFormatting sqref="AC1641">
    <cfRule type="duplicateValues" dxfId="401" priority="401"/>
  </conditionalFormatting>
  <conditionalFormatting sqref="AC1642:AC1643">
    <cfRule type="duplicateValues" dxfId="400" priority="400"/>
  </conditionalFormatting>
  <conditionalFormatting sqref="AC1644:AC1645">
    <cfRule type="duplicateValues" dxfId="399" priority="399"/>
  </conditionalFormatting>
  <conditionalFormatting sqref="AC1646:AC1647">
    <cfRule type="duplicateValues" dxfId="398" priority="398"/>
  </conditionalFormatting>
  <conditionalFormatting sqref="AC1648">
    <cfRule type="duplicateValues" dxfId="397" priority="397"/>
  </conditionalFormatting>
  <conditionalFormatting sqref="AC1649:AC1650">
    <cfRule type="duplicateValues" dxfId="396" priority="396"/>
  </conditionalFormatting>
  <conditionalFormatting sqref="AC1547">
    <cfRule type="duplicateValues" dxfId="395" priority="502"/>
  </conditionalFormatting>
  <conditionalFormatting sqref="AC1773">
    <cfRule type="duplicateValues" dxfId="394" priority="395"/>
  </conditionalFormatting>
  <conditionalFormatting sqref="AC1829">
    <cfRule type="duplicateValues" dxfId="393" priority="394"/>
  </conditionalFormatting>
  <conditionalFormatting sqref="AC1826">
    <cfRule type="duplicateValues" dxfId="392" priority="393"/>
  </conditionalFormatting>
  <conditionalFormatting sqref="AC1827">
    <cfRule type="duplicateValues" dxfId="391" priority="392"/>
  </conditionalFormatting>
  <conditionalFormatting sqref="AC1833">
    <cfRule type="duplicateValues" dxfId="390" priority="391"/>
  </conditionalFormatting>
  <conditionalFormatting sqref="AC1847">
    <cfRule type="duplicateValues" dxfId="389" priority="390"/>
  </conditionalFormatting>
  <conditionalFormatting sqref="AC1851">
    <cfRule type="duplicateValues" dxfId="388" priority="389"/>
  </conditionalFormatting>
  <conditionalFormatting sqref="AC1859">
    <cfRule type="duplicateValues" dxfId="387" priority="388"/>
  </conditionalFormatting>
  <conditionalFormatting sqref="AC1863">
    <cfRule type="duplicateValues" dxfId="386" priority="387"/>
  </conditionalFormatting>
  <conditionalFormatting sqref="AC1864:AC1866">
    <cfRule type="duplicateValues" dxfId="385" priority="386"/>
  </conditionalFormatting>
  <conditionalFormatting sqref="AC1870">
    <cfRule type="duplicateValues" dxfId="384" priority="385"/>
  </conditionalFormatting>
  <conditionalFormatting sqref="AC1874:AC1875">
    <cfRule type="duplicateValues" dxfId="383" priority="384"/>
  </conditionalFormatting>
  <conditionalFormatting sqref="AC1879">
    <cfRule type="duplicateValues" dxfId="382" priority="383"/>
  </conditionalFormatting>
  <conditionalFormatting sqref="AC1883">
    <cfRule type="duplicateValues" dxfId="381" priority="382"/>
  </conditionalFormatting>
  <conditionalFormatting sqref="AC1890">
    <cfRule type="duplicateValues" dxfId="380" priority="381"/>
  </conditionalFormatting>
  <conditionalFormatting sqref="AC1891">
    <cfRule type="duplicateValues" dxfId="379" priority="380"/>
  </conditionalFormatting>
  <conditionalFormatting sqref="AC1896">
    <cfRule type="duplicateValues" dxfId="378" priority="379"/>
  </conditionalFormatting>
  <conditionalFormatting sqref="AC1906:AC1907">
    <cfRule type="duplicateValues" dxfId="377" priority="378"/>
  </conditionalFormatting>
  <conditionalFormatting sqref="AC1910">
    <cfRule type="duplicateValues" dxfId="376" priority="377"/>
  </conditionalFormatting>
  <conditionalFormatting sqref="AC1912">
    <cfRule type="duplicateValues" dxfId="375" priority="376"/>
  </conditionalFormatting>
  <conditionalFormatting sqref="AC1913">
    <cfRule type="duplicateValues" dxfId="374" priority="375"/>
  </conditionalFormatting>
  <conditionalFormatting sqref="AC1915">
    <cfRule type="duplicateValues" dxfId="373" priority="374"/>
  </conditionalFormatting>
  <conditionalFormatting sqref="AC1918:AC1919">
    <cfRule type="duplicateValues" dxfId="372" priority="373"/>
  </conditionalFormatting>
  <conditionalFormatting sqref="AC1926">
    <cfRule type="duplicateValues" dxfId="371" priority="372"/>
  </conditionalFormatting>
  <conditionalFormatting sqref="AC1922">
    <cfRule type="duplicateValues" dxfId="370" priority="371"/>
  </conditionalFormatting>
  <conditionalFormatting sqref="AC1919">
    <cfRule type="duplicateValues" dxfId="369" priority="370"/>
  </conditionalFormatting>
  <conditionalFormatting sqref="AC1841">
    <cfRule type="duplicateValues" dxfId="368" priority="369"/>
  </conditionalFormatting>
  <conditionalFormatting sqref="AC1928">
    <cfRule type="duplicateValues" dxfId="367" priority="368"/>
  </conditionalFormatting>
  <conditionalFormatting sqref="AC1929">
    <cfRule type="duplicateValues" dxfId="366" priority="367"/>
  </conditionalFormatting>
  <conditionalFormatting sqref="AC1933">
    <cfRule type="duplicateValues" dxfId="365" priority="366"/>
  </conditionalFormatting>
  <conditionalFormatting sqref="AC1934">
    <cfRule type="duplicateValues" dxfId="364" priority="365"/>
  </conditionalFormatting>
  <conditionalFormatting sqref="AC1935">
    <cfRule type="duplicateValues" dxfId="363" priority="364"/>
  </conditionalFormatting>
  <conditionalFormatting sqref="AC1944">
    <cfRule type="duplicateValues" dxfId="362" priority="363"/>
  </conditionalFormatting>
  <conditionalFormatting sqref="AC1947">
    <cfRule type="duplicateValues" dxfId="361" priority="359"/>
  </conditionalFormatting>
  <conditionalFormatting sqref="AC1949">
    <cfRule type="duplicateValues" dxfId="360" priority="358"/>
  </conditionalFormatting>
  <conditionalFormatting sqref="AC1950">
    <cfRule type="duplicateValues" dxfId="359" priority="362"/>
  </conditionalFormatting>
  <conditionalFormatting sqref="AC1951">
    <cfRule type="duplicateValues" dxfId="358" priority="361"/>
  </conditionalFormatting>
  <conditionalFormatting sqref="AC1952">
    <cfRule type="duplicateValues" dxfId="357" priority="360"/>
  </conditionalFormatting>
  <conditionalFormatting sqref="AC1953">
    <cfRule type="duplicateValues" dxfId="356" priority="357"/>
  </conditionalFormatting>
  <conditionalFormatting sqref="AC1955">
    <cfRule type="duplicateValues" dxfId="355" priority="356"/>
  </conditionalFormatting>
  <conditionalFormatting sqref="AC1957">
    <cfRule type="duplicateValues" dxfId="354" priority="355"/>
  </conditionalFormatting>
  <conditionalFormatting sqref="AC1968">
    <cfRule type="duplicateValues" dxfId="353" priority="354"/>
  </conditionalFormatting>
  <conditionalFormatting sqref="AC1970">
    <cfRule type="duplicateValues" dxfId="352" priority="353"/>
  </conditionalFormatting>
  <conditionalFormatting sqref="AC1971">
    <cfRule type="duplicateValues" dxfId="351" priority="352"/>
  </conditionalFormatting>
  <conditionalFormatting sqref="AC1973">
    <cfRule type="duplicateValues" dxfId="350" priority="351"/>
  </conditionalFormatting>
  <conditionalFormatting sqref="AC1982">
    <cfRule type="duplicateValues" dxfId="349" priority="350"/>
  </conditionalFormatting>
  <conditionalFormatting sqref="AC1983">
    <cfRule type="duplicateValues" dxfId="348" priority="349"/>
  </conditionalFormatting>
  <conditionalFormatting sqref="AC1984">
    <cfRule type="duplicateValues" dxfId="347" priority="348"/>
  </conditionalFormatting>
  <conditionalFormatting sqref="AC1986">
    <cfRule type="duplicateValues" dxfId="346" priority="347"/>
  </conditionalFormatting>
  <conditionalFormatting sqref="AC1987">
    <cfRule type="duplicateValues" dxfId="345" priority="346"/>
  </conditionalFormatting>
  <conditionalFormatting sqref="AC1990">
    <cfRule type="duplicateValues" dxfId="344" priority="345"/>
  </conditionalFormatting>
  <conditionalFormatting sqref="AC1991">
    <cfRule type="duplicateValues" dxfId="343" priority="344"/>
  </conditionalFormatting>
  <conditionalFormatting sqref="AC1993">
    <cfRule type="duplicateValues" dxfId="342" priority="343"/>
  </conditionalFormatting>
  <conditionalFormatting sqref="AC1995">
    <cfRule type="duplicateValues" dxfId="341" priority="342"/>
  </conditionalFormatting>
  <conditionalFormatting sqref="AC1996">
    <cfRule type="duplicateValues" dxfId="340" priority="341"/>
  </conditionalFormatting>
  <conditionalFormatting sqref="AC1998">
    <cfRule type="duplicateValues" dxfId="339" priority="340"/>
  </conditionalFormatting>
  <conditionalFormatting sqref="AC1999">
    <cfRule type="duplicateValues" dxfId="338" priority="338"/>
  </conditionalFormatting>
  <conditionalFormatting sqref="AC2000">
    <cfRule type="duplicateValues" dxfId="337" priority="339"/>
  </conditionalFormatting>
  <conditionalFormatting sqref="AC2010">
    <cfRule type="duplicateValues" dxfId="336" priority="337"/>
  </conditionalFormatting>
  <conditionalFormatting sqref="AC2011:AC2012">
    <cfRule type="duplicateValues" dxfId="335" priority="336"/>
  </conditionalFormatting>
  <conditionalFormatting sqref="AC2016">
    <cfRule type="duplicateValues" dxfId="334" priority="334"/>
  </conditionalFormatting>
  <conditionalFormatting sqref="AC2017">
    <cfRule type="duplicateValues" dxfId="333" priority="335"/>
  </conditionalFormatting>
  <conditionalFormatting sqref="AC2018">
    <cfRule type="duplicateValues" dxfId="332" priority="333"/>
  </conditionalFormatting>
  <conditionalFormatting sqref="AC2019">
    <cfRule type="duplicateValues" dxfId="331" priority="332"/>
  </conditionalFormatting>
  <conditionalFormatting sqref="AC2020:AC2021">
    <cfRule type="duplicateValues" dxfId="330" priority="331"/>
  </conditionalFormatting>
  <conditionalFormatting sqref="AC2023">
    <cfRule type="duplicateValues" dxfId="329" priority="330"/>
  </conditionalFormatting>
  <conditionalFormatting sqref="AC2024">
    <cfRule type="duplicateValues" dxfId="328" priority="329"/>
  </conditionalFormatting>
  <conditionalFormatting sqref="AC2025">
    <cfRule type="duplicateValues" dxfId="327" priority="328"/>
  </conditionalFormatting>
  <conditionalFormatting sqref="AC2029">
    <cfRule type="duplicateValues" dxfId="326" priority="327"/>
  </conditionalFormatting>
  <conditionalFormatting sqref="AC2032">
    <cfRule type="duplicateValues" dxfId="325" priority="326"/>
  </conditionalFormatting>
  <conditionalFormatting sqref="AC2030">
    <cfRule type="duplicateValues" dxfId="324" priority="325"/>
  </conditionalFormatting>
  <conditionalFormatting sqref="AC2033">
    <cfRule type="duplicateValues" dxfId="323" priority="324"/>
  </conditionalFormatting>
  <conditionalFormatting sqref="AC2048">
    <cfRule type="duplicateValues" dxfId="322" priority="323"/>
  </conditionalFormatting>
  <conditionalFormatting sqref="AC2045">
    <cfRule type="duplicateValues" dxfId="321" priority="322"/>
  </conditionalFormatting>
  <conditionalFormatting sqref="AC2044">
    <cfRule type="duplicateValues" dxfId="320" priority="321"/>
  </conditionalFormatting>
  <conditionalFormatting sqref="AC2043">
    <cfRule type="duplicateValues" dxfId="319" priority="320"/>
  </conditionalFormatting>
  <conditionalFormatting sqref="AC2052">
    <cfRule type="duplicateValues" dxfId="318" priority="319"/>
  </conditionalFormatting>
  <conditionalFormatting sqref="AC2055">
    <cfRule type="duplicateValues" dxfId="317" priority="318"/>
  </conditionalFormatting>
  <conditionalFormatting sqref="AC2059">
    <cfRule type="duplicateValues" dxfId="316" priority="317"/>
  </conditionalFormatting>
  <conditionalFormatting sqref="AC2060">
    <cfRule type="duplicateValues" dxfId="315" priority="316"/>
  </conditionalFormatting>
  <conditionalFormatting sqref="AC2058">
    <cfRule type="duplicateValues" dxfId="314" priority="315"/>
  </conditionalFormatting>
  <conditionalFormatting sqref="AC2063:AC2064">
    <cfRule type="duplicateValues" dxfId="313" priority="314"/>
  </conditionalFormatting>
  <conditionalFormatting sqref="AC2065">
    <cfRule type="duplicateValues" dxfId="312" priority="313"/>
  </conditionalFormatting>
  <conditionalFormatting sqref="AC2068">
    <cfRule type="duplicateValues" dxfId="311" priority="312"/>
  </conditionalFormatting>
  <conditionalFormatting sqref="AC2069">
    <cfRule type="duplicateValues" dxfId="310" priority="311"/>
  </conditionalFormatting>
  <conditionalFormatting sqref="AC2070">
    <cfRule type="duplicateValues" dxfId="309" priority="310"/>
  </conditionalFormatting>
  <conditionalFormatting sqref="AC2072">
    <cfRule type="duplicateValues" dxfId="308" priority="309"/>
  </conditionalFormatting>
  <conditionalFormatting sqref="AC2073">
    <cfRule type="duplicateValues" dxfId="307" priority="308"/>
  </conditionalFormatting>
  <conditionalFormatting sqref="AC2076">
    <cfRule type="duplicateValues" dxfId="306" priority="307"/>
  </conditionalFormatting>
  <conditionalFormatting sqref="AC2078">
    <cfRule type="duplicateValues" dxfId="305" priority="306"/>
  </conditionalFormatting>
  <conditionalFormatting sqref="AC2079">
    <cfRule type="duplicateValues" dxfId="304" priority="305"/>
  </conditionalFormatting>
  <conditionalFormatting sqref="AC2080">
    <cfRule type="duplicateValues" dxfId="303" priority="304"/>
  </conditionalFormatting>
  <conditionalFormatting sqref="AC2081">
    <cfRule type="duplicateValues" dxfId="302" priority="303"/>
  </conditionalFormatting>
  <conditionalFormatting sqref="AC2082">
    <cfRule type="duplicateValues" dxfId="301" priority="302"/>
  </conditionalFormatting>
  <conditionalFormatting sqref="AC2096">
    <cfRule type="duplicateValues" dxfId="300" priority="301"/>
  </conditionalFormatting>
  <conditionalFormatting sqref="AC2107">
    <cfRule type="duplicateValues" dxfId="299" priority="300"/>
  </conditionalFormatting>
  <conditionalFormatting sqref="AC2109">
    <cfRule type="duplicateValues" dxfId="298" priority="299"/>
  </conditionalFormatting>
  <conditionalFormatting sqref="AC2114:AC2115">
    <cfRule type="duplicateValues" dxfId="297" priority="298"/>
  </conditionalFormatting>
  <conditionalFormatting sqref="AC2123:AC2124">
    <cfRule type="duplicateValues" dxfId="296" priority="297"/>
  </conditionalFormatting>
  <conditionalFormatting sqref="AC2125">
    <cfRule type="duplicateValues" dxfId="295" priority="296"/>
  </conditionalFormatting>
  <conditionalFormatting sqref="AC2126">
    <cfRule type="duplicateValues" dxfId="294" priority="295"/>
  </conditionalFormatting>
  <conditionalFormatting sqref="AC2129">
    <cfRule type="duplicateValues" dxfId="293" priority="294"/>
  </conditionalFormatting>
  <conditionalFormatting sqref="AC2136">
    <cfRule type="duplicateValues" dxfId="292" priority="293"/>
  </conditionalFormatting>
  <conditionalFormatting sqref="AC2135">
    <cfRule type="duplicateValues" dxfId="291" priority="292"/>
  </conditionalFormatting>
  <conditionalFormatting sqref="AC2132">
    <cfRule type="duplicateValues" dxfId="290" priority="291"/>
  </conditionalFormatting>
  <conditionalFormatting sqref="AC2133:AC2134">
    <cfRule type="duplicateValues" dxfId="289" priority="290"/>
  </conditionalFormatting>
  <conditionalFormatting sqref="AC2148">
    <cfRule type="duplicateValues" dxfId="288" priority="289"/>
  </conditionalFormatting>
  <conditionalFormatting sqref="AC2151">
    <cfRule type="duplicateValues" dxfId="287" priority="288"/>
  </conditionalFormatting>
  <conditionalFormatting sqref="AC2154">
    <cfRule type="duplicateValues" dxfId="286" priority="287"/>
  </conditionalFormatting>
  <conditionalFormatting sqref="AC2157">
    <cfRule type="duplicateValues" dxfId="285" priority="286"/>
  </conditionalFormatting>
  <conditionalFormatting sqref="AC2156">
    <cfRule type="duplicateValues" dxfId="284" priority="285"/>
  </conditionalFormatting>
  <conditionalFormatting sqref="AC2166">
    <cfRule type="duplicateValues" dxfId="283" priority="284"/>
  </conditionalFormatting>
  <conditionalFormatting sqref="AC2163">
    <cfRule type="duplicateValues" dxfId="282" priority="283"/>
  </conditionalFormatting>
  <conditionalFormatting sqref="AC2164">
    <cfRule type="duplicateValues" dxfId="281" priority="282"/>
  </conditionalFormatting>
  <conditionalFormatting sqref="AC2174">
    <cfRule type="duplicateValues" dxfId="280" priority="281"/>
  </conditionalFormatting>
  <conditionalFormatting sqref="AC2175">
    <cfRule type="duplicateValues" dxfId="279" priority="280"/>
  </conditionalFormatting>
  <conditionalFormatting sqref="AC2179">
    <cfRule type="duplicateValues" dxfId="278" priority="279"/>
  </conditionalFormatting>
  <conditionalFormatting sqref="AC2181">
    <cfRule type="duplicateValues" dxfId="277" priority="278"/>
  </conditionalFormatting>
  <conditionalFormatting sqref="AC2180">
    <cfRule type="duplicateValues" dxfId="276" priority="277"/>
  </conditionalFormatting>
  <conditionalFormatting sqref="AC2182">
    <cfRule type="duplicateValues" dxfId="275" priority="276"/>
  </conditionalFormatting>
  <conditionalFormatting sqref="AC2204">
    <cfRule type="duplicateValues" dxfId="274" priority="275"/>
  </conditionalFormatting>
  <conditionalFormatting sqref="AC2207">
    <cfRule type="duplicateValues" dxfId="273" priority="274"/>
  </conditionalFormatting>
  <conditionalFormatting sqref="AC2208">
    <cfRule type="duplicateValues" dxfId="272" priority="273"/>
  </conditionalFormatting>
  <conditionalFormatting sqref="AC2210">
    <cfRule type="duplicateValues" dxfId="271" priority="272"/>
  </conditionalFormatting>
  <conditionalFormatting sqref="AC2212:AC2213">
    <cfRule type="duplicateValues" dxfId="270" priority="271"/>
  </conditionalFormatting>
  <conditionalFormatting sqref="AC2211">
    <cfRule type="duplicateValues" dxfId="269" priority="270"/>
  </conditionalFormatting>
  <conditionalFormatting sqref="AC2214">
    <cfRule type="duplicateValues" dxfId="268" priority="269"/>
  </conditionalFormatting>
  <conditionalFormatting sqref="AC2232">
    <cfRule type="duplicateValues" dxfId="267" priority="268"/>
  </conditionalFormatting>
  <conditionalFormatting sqref="AC2248">
    <cfRule type="duplicateValues" dxfId="266" priority="267"/>
  </conditionalFormatting>
  <conditionalFormatting sqref="AC2250">
    <cfRule type="duplicateValues" dxfId="265" priority="266"/>
  </conditionalFormatting>
  <conditionalFormatting sqref="AC2249">
    <cfRule type="duplicateValues" dxfId="264" priority="265"/>
  </conditionalFormatting>
  <conditionalFormatting sqref="AC2253">
    <cfRule type="duplicateValues" dxfId="263" priority="264"/>
  </conditionalFormatting>
  <conditionalFormatting sqref="AC2255">
    <cfRule type="duplicateValues" dxfId="262" priority="263"/>
  </conditionalFormatting>
  <conditionalFormatting sqref="AC2254">
    <cfRule type="duplicateValues" dxfId="261" priority="262"/>
  </conditionalFormatting>
  <conditionalFormatting sqref="AC2267">
    <cfRule type="duplicateValues" dxfId="260" priority="261"/>
  </conditionalFormatting>
  <conditionalFormatting sqref="AC2272">
    <cfRule type="duplicateValues" dxfId="259" priority="260"/>
  </conditionalFormatting>
  <conditionalFormatting sqref="AC2276">
    <cfRule type="duplicateValues" dxfId="258" priority="259"/>
  </conditionalFormatting>
  <conditionalFormatting sqref="AC2279">
    <cfRule type="duplicateValues" dxfId="257" priority="258"/>
  </conditionalFormatting>
  <conditionalFormatting sqref="AC2280">
    <cfRule type="duplicateValues" dxfId="256" priority="257"/>
  </conditionalFormatting>
  <conditionalFormatting sqref="AC2277">
    <cfRule type="duplicateValues" dxfId="255" priority="256"/>
  </conditionalFormatting>
  <conditionalFormatting sqref="AC2286">
    <cfRule type="duplicateValues" dxfId="254" priority="255"/>
  </conditionalFormatting>
  <conditionalFormatting sqref="AC2289">
    <cfRule type="duplicateValues" dxfId="253" priority="254"/>
  </conditionalFormatting>
  <conditionalFormatting sqref="AC2296">
    <cfRule type="duplicateValues" dxfId="252" priority="253"/>
  </conditionalFormatting>
  <conditionalFormatting sqref="AC2304:AC2306">
    <cfRule type="duplicateValues" dxfId="251" priority="252"/>
  </conditionalFormatting>
  <conditionalFormatting sqref="AC2308">
    <cfRule type="duplicateValues" dxfId="250" priority="251"/>
  </conditionalFormatting>
  <conditionalFormatting sqref="AC2316">
    <cfRule type="duplicateValues" dxfId="249" priority="250"/>
  </conditionalFormatting>
  <conditionalFormatting sqref="AC2317">
    <cfRule type="duplicateValues" dxfId="248" priority="247"/>
  </conditionalFormatting>
  <conditionalFormatting sqref="AC2318">
    <cfRule type="duplicateValues" dxfId="247" priority="249"/>
  </conditionalFormatting>
  <conditionalFormatting sqref="AC2319">
    <cfRule type="duplicateValues" dxfId="246" priority="246"/>
  </conditionalFormatting>
  <conditionalFormatting sqref="AC2320">
    <cfRule type="duplicateValues" dxfId="245" priority="245"/>
  </conditionalFormatting>
  <conditionalFormatting sqref="AC2321">
    <cfRule type="duplicateValues" dxfId="244" priority="248"/>
  </conditionalFormatting>
  <conditionalFormatting sqref="AC2323">
    <cfRule type="duplicateValues" dxfId="243" priority="242"/>
  </conditionalFormatting>
  <conditionalFormatting sqref="AC2326">
    <cfRule type="duplicateValues" dxfId="242" priority="244"/>
  </conditionalFormatting>
  <conditionalFormatting sqref="AC2327">
    <cfRule type="duplicateValues" dxfId="241" priority="243"/>
  </conditionalFormatting>
  <conditionalFormatting sqref="AC2328">
    <cfRule type="duplicateValues" dxfId="240" priority="241"/>
  </conditionalFormatting>
  <conditionalFormatting sqref="AC2339">
    <cfRule type="duplicateValues" dxfId="239" priority="240"/>
  </conditionalFormatting>
  <conditionalFormatting sqref="AC2340">
    <cfRule type="duplicateValues" dxfId="238" priority="239"/>
  </conditionalFormatting>
  <conditionalFormatting sqref="AC2341">
    <cfRule type="duplicateValues" dxfId="237" priority="238"/>
  </conditionalFormatting>
  <conditionalFormatting sqref="AC2342">
    <cfRule type="duplicateValues" dxfId="236" priority="233"/>
  </conditionalFormatting>
  <conditionalFormatting sqref="AC2343">
    <cfRule type="duplicateValues" dxfId="235" priority="232"/>
  </conditionalFormatting>
  <conditionalFormatting sqref="AC2344">
    <cfRule type="duplicateValues" dxfId="234" priority="235"/>
  </conditionalFormatting>
  <conditionalFormatting sqref="AC2345">
    <cfRule type="duplicateValues" dxfId="233" priority="234"/>
  </conditionalFormatting>
  <conditionalFormatting sqref="AC2346">
    <cfRule type="duplicateValues" dxfId="232" priority="237"/>
  </conditionalFormatting>
  <conditionalFormatting sqref="AC2347">
    <cfRule type="duplicateValues" dxfId="231" priority="236"/>
  </conditionalFormatting>
  <conditionalFormatting sqref="AC2348">
    <cfRule type="duplicateValues" dxfId="230" priority="226"/>
  </conditionalFormatting>
  <conditionalFormatting sqref="AC2349">
    <cfRule type="duplicateValues" dxfId="229" priority="225"/>
  </conditionalFormatting>
  <conditionalFormatting sqref="AC2350">
    <cfRule type="duplicateValues" dxfId="228" priority="231"/>
  </conditionalFormatting>
  <conditionalFormatting sqref="AC2351">
    <cfRule type="duplicateValues" dxfId="227" priority="230"/>
  </conditionalFormatting>
  <conditionalFormatting sqref="AC2352">
    <cfRule type="duplicateValues" dxfId="226" priority="229"/>
  </conditionalFormatting>
  <conditionalFormatting sqref="AC2353">
    <cfRule type="duplicateValues" dxfId="225" priority="228"/>
  </conditionalFormatting>
  <conditionalFormatting sqref="AC2354">
    <cfRule type="duplicateValues" dxfId="224" priority="227"/>
  </conditionalFormatting>
  <conditionalFormatting sqref="AC2355">
    <cfRule type="duplicateValues" dxfId="223" priority="224"/>
  </conditionalFormatting>
  <conditionalFormatting sqref="AC2356">
    <cfRule type="duplicateValues" dxfId="222" priority="223"/>
  </conditionalFormatting>
  <conditionalFormatting sqref="AC2357">
    <cfRule type="duplicateValues" dxfId="221" priority="222"/>
  </conditionalFormatting>
  <conditionalFormatting sqref="AC2358">
    <cfRule type="duplicateValues" dxfId="220" priority="221"/>
  </conditionalFormatting>
  <conditionalFormatting sqref="AC2361">
    <cfRule type="duplicateValues" dxfId="219" priority="218"/>
  </conditionalFormatting>
  <conditionalFormatting sqref="AC2362">
    <cfRule type="duplicateValues" dxfId="218" priority="217"/>
  </conditionalFormatting>
  <conditionalFormatting sqref="AC2363">
    <cfRule type="duplicateValues" dxfId="217" priority="220"/>
  </conditionalFormatting>
  <conditionalFormatting sqref="AC2364">
    <cfRule type="duplicateValues" dxfId="216" priority="219"/>
  </conditionalFormatting>
  <conditionalFormatting sqref="AC2370">
    <cfRule type="duplicateValues" dxfId="215" priority="216"/>
  </conditionalFormatting>
  <conditionalFormatting sqref="AC2371">
    <cfRule type="duplicateValues" dxfId="214" priority="215"/>
  </conditionalFormatting>
  <conditionalFormatting sqref="AC2372">
    <cfRule type="duplicateValues" dxfId="213" priority="214"/>
  </conditionalFormatting>
  <conditionalFormatting sqref="AC2373">
    <cfRule type="duplicateValues" dxfId="212" priority="213"/>
  </conditionalFormatting>
  <conditionalFormatting sqref="AC2375">
    <cfRule type="duplicateValues" dxfId="211" priority="212"/>
  </conditionalFormatting>
  <conditionalFormatting sqref="AC2376">
    <cfRule type="duplicateValues" dxfId="210" priority="211"/>
  </conditionalFormatting>
  <conditionalFormatting sqref="AC2377">
    <cfRule type="duplicateValues" dxfId="209" priority="209"/>
  </conditionalFormatting>
  <conditionalFormatting sqref="AC2378">
    <cfRule type="duplicateValues" dxfId="208" priority="208"/>
  </conditionalFormatting>
  <conditionalFormatting sqref="AC2379">
    <cfRule type="duplicateValues" dxfId="207" priority="207"/>
  </conditionalFormatting>
  <conditionalFormatting sqref="AC2380">
    <cfRule type="duplicateValues" dxfId="206" priority="210"/>
  </conditionalFormatting>
  <conditionalFormatting sqref="AC2385:AC2386">
    <cfRule type="duplicateValues" dxfId="205" priority="206"/>
  </conditionalFormatting>
  <conditionalFormatting sqref="AC2390">
    <cfRule type="duplicateValues" dxfId="204" priority="204"/>
  </conditionalFormatting>
  <conditionalFormatting sqref="AC2391">
    <cfRule type="duplicateValues" dxfId="203" priority="205"/>
  </conditionalFormatting>
  <conditionalFormatting sqref="AC2392:AC2393">
    <cfRule type="duplicateValues" dxfId="202" priority="203"/>
  </conditionalFormatting>
  <conditionalFormatting sqref="AC2394">
    <cfRule type="duplicateValues" dxfId="201" priority="201"/>
  </conditionalFormatting>
  <conditionalFormatting sqref="AC2397">
    <cfRule type="duplicateValues" dxfId="200" priority="202"/>
  </conditionalFormatting>
  <conditionalFormatting sqref="AC2407">
    <cfRule type="duplicateValues" dxfId="199" priority="200"/>
  </conditionalFormatting>
  <conditionalFormatting sqref="AC2408">
    <cfRule type="duplicateValues" dxfId="198" priority="199"/>
  </conditionalFormatting>
  <conditionalFormatting sqref="AC2415">
    <cfRule type="duplicateValues" dxfId="197" priority="198"/>
  </conditionalFormatting>
  <conditionalFormatting sqref="AC2419">
    <cfRule type="duplicateValues" dxfId="196" priority="197"/>
  </conditionalFormatting>
  <conditionalFormatting sqref="AC2423">
    <cfRule type="duplicateValues" dxfId="195" priority="196"/>
  </conditionalFormatting>
  <conditionalFormatting sqref="AC2424">
    <cfRule type="duplicateValues" dxfId="194" priority="195"/>
  </conditionalFormatting>
  <conditionalFormatting sqref="AC2425">
    <cfRule type="duplicateValues" dxfId="193" priority="194"/>
  </conditionalFormatting>
  <conditionalFormatting sqref="AC2426">
    <cfRule type="duplicateValues" dxfId="192" priority="193"/>
  </conditionalFormatting>
  <conditionalFormatting sqref="AC2432:AC2436">
    <cfRule type="duplicateValues" dxfId="191" priority="192"/>
  </conditionalFormatting>
  <conditionalFormatting sqref="AC2437">
    <cfRule type="duplicateValues" dxfId="190" priority="191"/>
  </conditionalFormatting>
  <conditionalFormatting sqref="AC2438">
    <cfRule type="duplicateValues" dxfId="189" priority="190"/>
  </conditionalFormatting>
  <conditionalFormatting sqref="AC2439:AC2440">
    <cfRule type="duplicateValues" dxfId="188" priority="189"/>
  </conditionalFormatting>
  <conditionalFormatting sqref="AC2445">
    <cfRule type="duplicateValues" dxfId="187" priority="186"/>
  </conditionalFormatting>
  <conditionalFormatting sqref="AC2446">
    <cfRule type="duplicateValues" dxfId="186" priority="185"/>
  </conditionalFormatting>
  <conditionalFormatting sqref="AC2447">
    <cfRule type="duplicateValues" dxfId="185" priority="188"/>
  </conditionalFormatting>
  <conditionalFormatting sqref="AC2448">
    <cfRule type="duplicateValues" dxfId="184" priority="187"/>
  </conditionalFormatting>
  <conditionalFormatting sqref="AC2449">
    <cfRule type="duplicateValues" dxfId="183" priority="184"/>
  </conditionalFormatting>
  <conditionalFormatting sqref="AC2450">
    <cfRule type="duplicateValues" dxfId="182" priority="182"/>
  </conditionalFormatting>
  <conditionalFormatting sqref="AC2451">
    <cfRule type="duplicateValues" dxfId="181" priority="183"/>
  </conditionalFormatting>
  <conditionalFormatting sqref="AC2455">
    <cfRule type="duplicateValues" dxfId="180" priority="181"/>
  </conditionalFormatting>
  <conditionalFormatting sqref="AC2456">
    <cfRule type="duplicateValues" dxfId="179" priority="180"/>
  </conditionalFormatting>
  <conditionalFormatting sqref="AC2459">
    <cfRule type="duplicateValues" dxfId="178" priority="179"/>
  </conditionalFormatting>
  <conditionalFormatting sqref="AC2460">
    <cfRule type="duplicateValues" dxfId="177" priority="178"/>
  </conditionalFormatting>
  <conditionalFormatting sqref="AC2461">
    <cfRule type="duplicateValues" dxfId="176" priority="177"/>
  </conditionalFormatting>
  <conditionalFormatting sqref="AC2462">
    <cfRule type="duplicateValues" dxfId="175" priority="176"/>
  </conditionalFormatting>
  <conditionalFormatting sqref="AC2463">
    <cfRule type="duplicateValues" dxfId="174" priority="175"/>
  </conditionalFormatting>
  <conditionalFormatting sqref="AC2470">
    <cfRule type="duplicateValues" dxfId="173" priority="174"/>
  </conditionalFormatting>
  <conditionalFormatting sqref="AC2473">
    <cfRule type="duplicateValues" dxfId="172" priority="172"/>
  </conditionalFormatting>
  <conditionalFormatting sqref="AC2474">
    <cfRule type="duplicateValues" dxfId="171" priority="173"/>
  </conditionalFormatting>
  <conditionalFormatting sqref="AC2477:AC2479">
    <cfRule type="duplicateValues" dxfId="170" priority="171"/>
  </conditionalFormatting>
  <conditionalFormatting sqref="AC2481">
    <cfRule type="duplicateValues" dxfId="169" priority="170"/>
  </conditionalFormatting>
  <conditionalFormatting sqref="AC2482:AC2483">
    <cfRule type="duplicateValues" dxfId="168" priority="169"/>
  </conditionalFormatting>
  <conditionalFormatting sqref="AC2484">
    <cfRule type="duplicateValues" dxfId="167" priority="168"/>
  </conditionalFormatting>
  <conditionalFormatting sqref="AC2485">
    <cfRule type="duplicateValues" dxfId="166" priority="167"/>
  </conditionalFormatting>
  <conditionalFormatting sqref="AC2486">
    <cfRule type="duplicateValues" dxfId="165" priority="166"/>
  </conditionalFormatting>
  <conditionalFormatting sqref="AC2487">
    <cfRule type="duplicateValues" dxfId="164" priority="165"/>
  </conditionalFormatting>
  <conditionalFormatting sqref="AC2488">
    <cfRule type="duplicateValues" dxfId="163" priority="164"/>
  </conditionalFormatting>
  <conditionalFormatting sqref="AC2491">
    <cfRule type="duplicateValues" dxfId="162" priority="163"/>
  </conditionalFormatting>
  <conditionalFormatting sqref="AC2493">
    <cfRule type="duplicateValues" dxfId="161" priority="161"/>
  </conditionalFormatting>
  <conditionalFormatting sqref="AC2495">
    <cfRule type="duplicateValues" dxfId="160" priority="160"/>
  </conditionalFormatting>
  <conditionalFormatting sqref="AC2512">
    <cfRule type="duplicateValues" dxfId="159" priority="159"/>
  </conditionalFormatting>
  <conditionalFormatting sqref="AC2513">
    <cfRule type="duplicateValues" dxfId="158" priority="158"/>
  </conditionalFormatting>
  <conditionalFormatting sqref="AC2521">
    <cfRule type="duplicateValues" dxfId="157" priority="157"/>
  </conditionalFormatting>
  <conditionalFormatting sqref="AC2523:AC2524">
    <cfRule type="duplicateValues" dxfId="156" priority="156"/>
  </conditionalFormatting>
  <conditionalFormatting sqref="AC2522">
    <cfRule type="duplicateValues" dxfId="155" priority="155"/>
  </conditionalFormatting>
  <conditionalFormatting sqref="AC2525">
    <cfRule type="duplicateValues" dxfId="154" priority="154"/>
  </conditionalFormatting>
  <conditionalFormatting sqref="AC2535">
    <cfRule type="duplicateValues" dxfId="153" priority="153"/>
  </conditionalFormatting>
  <conditionalFormatting sqref="AC2539:AC2540">
    <cfRule type="duplicateValues" dxfId="152" priority="152"/>
  </conditionalFormatting>
  <conditionalFormatting sqref="AC2542 AC2545:AC2547">
    <cfRule type="duplicateValues" dxfId="151" priority="151"/>
  </conditionalFormatting>
  <conditionalFormatting sqref="AC2543">
    <cfRule type="duplicateValues" dxfId="150" priority="150"/>
  </conditionalFormatting>
  <conditionalFormatting sqref="AC2544">
    <cfRule type="duplicateValues" dxfId="149" priority="149"/>
  </conditionalFormatting>
  <conditionalFormatting sqref="AC2566">
    <cfRule type="duplicateValues" dxfId="148" priority="148"/>
  </conditionalFormatting>
  <conditionalFormatting sqref="AC2568">
    <cfRule type="duplicateValues" dxfId="147" priority="147"/>
  </conditionalFormatting>
  <conditionalFormatting sqref="AC2592:AC2593">
    <cfRule type="duplicateValues" dxfId="146" priority="146"/>
  </conditionalFormatting>
  <conditionalFormatting sqref="AC2599:AC2600">
    <cfRule type="duplicateValues" dxfId="145" priority="145"/>
  </conditionalFormatting>
  <conditionalFormatting sqref="AC2630">
    <cfRule type="duplicateValues" dxfId="144" priority="144"/>
  </conditionalFormatting>
  <conditionalFormatting sqref="AC2633:AC2634">
    <cfRule type="duplicateValues" dxfId="143" priority="143"/>
  </conditionalFormatting>
  <conditionalFormatting sqref="AC2643:AC2646">
    <cfRule type="duplicateValues" dxfId="142" priority="142"/>
  </conditionalFormatting>
  <conditionalFormatting sqref="AC2670:AC2672">
    <cfRule type="duplicateValues" dxfId="141" priority="141"/>
  </conditionalFormatting>
  <conditionalFormatting sqref="AC2683">
    <cfRule type="duplicateValues" dxfId="140" priority="140"/>
  </conditionalFormatting>
  <conditionalFormatting sqref="AC2692">
    <cfRule type="duplicateValues" dxfId="139" priority="139"/>
  </conditionalFormatting>
  <conditionalFormatting sqref="AC2684:AC2685">
    <cfRule type="duplicateValues" dxfId="138" priority="138"/>
  </conditionalFormatting>
  <conditionalFormatting sqref="AC2687:AC2689">
    <cfRule type="duplicateValues" dxfId="137" priority="137"/>
  </conditionalFormatting>
  <conditionalFormatting sqref="AC2690:AC2691">
    <cfRule type="duplicateValues" dxfId="136" priority="136"/>
  </conditionalFormatting>
  <conditionalFormatting sqref="AC2686">
    <cfRule type="duplicateValues" dxfId="135" priority="162"/>
  </conditionalFormatting>
  <conditionalFormatting sqref="AC2697:AC2698">
    <cfRule type="duplicateValues" dxfId="134" priority="134"/>
  </conditionalFormatting>
  <conditionalFormatting sqref="AC2701 AC2699">
    <cfRule type="duplicateValues" dxfId="133" priority="133"/>
  </conditionalFormatting>
  <conditionalFormatting sqref="AC2703">
    <cfRule type="duplicateValues" dxfId="132" priority="132"/>
  </conditionalFormatting>
  <conditionalFormatting sqref="AC2704">
    <cfRule type="duplicateValues" dxfId="131" priority="131"/>
  </conditionalFormatting>
  <conditionalFormatting sqref="AC2705:AC2706">
    <cfRule type="duplicateValues" dxfId="130" priority="130"/>
  </conditionalFormatting>
  <conditionalFormatting sqref="AC2710">
    <cfRule type="duplicateValues" dxfId="129" priority="129"/>
  </conditionalFormatting>
  <conditionalFormatting sqref="AC2715:AC2718">
    <cfRule type="duplicateValues" dxfId="128" priority="128"/>
  </conditionalFormatting>
  <conditionalFormatting sqref="AC2721:AC2722">
    <cfRule type="duplicateValues" dxfId="127" priority="127"/>
  </conditionalFormatting>
  <conditionalFormatting sqref="AC2723">
    <cfRule type="duplicateValues" dxfId="126" priority="126"/>
  </conditionalFormatting>
  <conditionalFormatting sqref="AC2725">
    <cfRule type="duplicateValues" dxfId="125" priority="125"/>
  </conditionalFormatting>
  <conditionalFormatting sqref="AC2726">
    <cfRule type="duplicateValues" dxfId="124" priority="124"/>
  </conditionalFormatting>
  <conditionalFormatting sqref="AC2727">
    <cfRule type="duplicateValues" dxfId="123" priority="123"/>
  </conditionalFormatting>
  <conditionalFormatting sqref="AC2728">
    <cfRule type="duplicateValues" dxfId="122" priority="122"/>
  </conditionalFormatting>
  <conditionalFormatting sqref="AC2732">
    <cfRule type="duplicateValues" dxfId="121" priority="121"/>
  </conditionalFormatting>
  <conditionalFormatting sqref="AC2729">
    <cfRule type="duplicateValues" dxfId="120" priority="120"/>
  </conditionalFormatting>
  <conditionalFormatting sqref="AC2730">
    <cfRule type="duplicateValues" dxfId="119" priority="119"/>
  </conditionalFormatting>
  <conditionalFormatting sqref="AC2731">
    <cfRule type="duplicateValues" dxfId="118" priority="118"/>
  </conditionalFormatting>
  <conditionalFormatting sqref="AC2736">
    <cfRule type="duplicateValues" dxfId="117" priority="117"/>
  </conditionalFormatting>
  <conditionalFormatting sqref="AC2734">
    <cfRule type="duplicateValues" dxfId="116" priority="116"/>
  </conditionalFormatting>
  <conditionalFormatting sqref="AC2739">
    <cfRule type="duplicateValues" dxfId="115" priority="115"/>
  </conditionalFormatting>
  <conditionalFormatting sqref="AC2741:AC2742">
    <cfRule type="duplicateValues" dxfId="114" priority="114"/>
  </conditionalFormatting>
  <conditionalFormatting sqref="AC2743:AC2744">
    <cfRule type="duplicateValues" dxfId="113" priority="113"/>
  </conditionalFormatting>
  <conditionalFormatting sqref="AC2746">
    <cfRule type="duplicateValues" dxfId="112" priority="112"/>
  </conditionalFormatting>
  <conditionalFormatting sqref="AC2750:AC2752">
    <cfRule type="duplicateValues" dxfId="111" priority="111"/>
  </conditionalFormatting>
  <conditionalFormatting sqref="AC2754:AC2755">
    <cfRule type="duplicateValues" dxfId="110" priority="110"/>
  </conditionalFormatting>
  <conditionalFormatting sqref="AC2756">
    <cfRule type="duplicateValues" dxfId="109" priority="109"/>
  </conditionalFormatting>
  <conditionalFormatting sqref="AC2763">
    <cfRule type="duplicateValues" dxfId="108" priority="108"/>
  </conditionalFormatting>
  <conditionalFormatting sqref="AC2761">
    <cfRule type="duplicateValues" dxfId="107" priority="107"/>
  </conditionalFormatting>
  <conditionalFormatting sqref="AC2757">
    <cfRule type="duplicateValues" dxfId="106" priority="106"/>
  </conditionalFormatting>
  <conditionalFormatting sqref="AC2758">
    <cfRule type="duplicateValues" dxfId="105" priority="105"/>
  </conditionalFormatting>
  <conditionalFormatting sqref="AC2765">
    <cfRule type="duplicateValues" dxfId="104" priority="104"/>
  </conditionalFormatting>
  <conditionalFormatting sqref="AC2770:AC2772">
    <cfRule type="duplicateValues" dxfId="103" priority="103"/>
  </conditionalFormatting>
  <conditionalFormatting sqref="AC2766:AC2767">
    <cfRule type="duplicateValues" dxfId="102" priority="102"/>
  </conditionalFormatting>
  <conditionalFormatting sqref="AC2773">
    <cfRule type="duplicateValues" dxfId="101" priority="101"/>
  </conditionalFormatting>
  <conditionalFormatting sqref="AC2787">
    <cfRule type="duplicateValues" dxfId="100" priority="100"/>
  </conditionalFormatting>
  <conditionalFormatting sqref="AC2789">
    <cfRule type="duplicateValues" dxfId="99" priority="98"/>
  </conditionalFormatting>
  <conditionalFormatting sqref="AC2777:AC2780 AC2719:AC2720 AC2707:AC2709 AC2693 AC2714 AC2747:AC2749">
    <cfRule type="duplicateValues" dxfId="98" priority="135"/>
  </conditionalFormatting>
  <conditionalFormatting sqref="AD1928:AE1928">
    <cfRule type="duplicateValues" dxfId="97" priority="97"/>
  </conditionalFormatting>
  <conditionalFormatting sqref="AD1929:AE1929">
    <cfRule type="duplicateValues" dxfId="96" priority="96"/>
  </conditionalFormatting>
  <conditionalFormatting sqref="AD1930:AE1930">
    <cfRule type="duplicateValues" dxfId="95" priority="93"/>
  </conditionalFormatting>
  <conditionalFormatting sqref="AD1931:AE1931">
    <cfRule type="duplicateValues" dxfId="94" priority="95"/>
  </conditionalFormatting>
  <conditionalFormatting sqref="AD1932:AE1932">
    <cfRule type="duplicateValues" dxfId="93" priority="94"/>
  </conditionalFormatting>
  <conditionalFormatting sqref="AD1933:AE1934">
    <cfRule type="duplicateValues" dxfId="92" priority="92"/>
  </conditionalFormatting>
  <conditionalFormatting sqref="AD1935:AE1935">
    <cfRule type="duplicateValues" dxfId="91" priority="89"/>
  </conditionalFormatting>
  <conditionalFormatting sqref="AD1936:AE1936">
    <cfRule type="duplicateValues" dxfId="90" priority="87"/>
  </conditionalFormatting>
  <conditionalFormatting sqref="AD1937:AE1937">
    <cfRule type="duplicateValues" dxfId="89" priority="88"/>
  </conditionalFormatting>
  <conditionalFormatting sqref="AD1938:AE1938">
    <cfRule type="duplicateValues" dxfId="88" priority="90"/>
  </conditionalFormatting>
  <conditionalFormatting sqref="AD1939:AE1939">
    <cfRule type="duplicateValues" dxfId="87" priority="91"/>
  </conditionalFormatting>
  <conditionalFormatting sqref="AD1940:AE1940">
    <cfRule type="duplicateValues" dxfId="86" priority="86"/>
  </conditionalFormatting>
  <conditionalFormatting sqref="AD1941:AE1941">
    <cfRule type="duplicateValues" dxfId="85" priority="85"/>
  </conditionalFormatting>
  <conditionalFormatting sqref="AD1942:AE1942">
    <cfRule type="duplicateValues" dxfId="84" priority="84"/>
  </conditionalFormatting>
  <conditionalFormatting sqref="AD1943:AE1943">
    <cfRule type="duplicateValues" dxfId="83" priority="82"/>
  </conditionalFormatting>
  <conditionalFormatting sqref="AD1944:AE1944">
    <cfRule type="duplicateValues" dxfId="82" priority="83"/>
  </conditionalFormatting>
  <conditionalFormatting sqref="AD1945:AE1945">
    <cfRule type="duplicateValues" dxfId="81" priority="81"/>
  </conditionalFormatting>
  <conditionalFormatting sqref="AD1946:AE1947">
    <cfRule type="duplicateValues" dxfId="80" priority="78"/>
  </conditionalFormatting>
  <conditionalFormatting sqref="AD1948:AE1949">
    <cfRule type="duplicateValues" dxfId="79" priority="77"/>
  </conditionalFormatting>
  <conditionalFormatting sqref="AD1950:AE1951">
    <cfRule type="duplicateValues" dxfId="78" priority="80"/>
  </conditionalFormatting>
  <conditionalFormatting sqref="AD1952:AE1952">
    <cfRule type="duplicateValues" dxfId="77" priority="79"/>
  </conditionalFormatting>
  <conditionalFormatting sqref="AD1953:AE1953">
    <cfRule type="duplicateValues" dxfId="76" priority="76"/>
  </conditionalFormatting>
  <conditionalFormatting sqref="AD1954:AE1954">
    <cfRule type="duplicateValues" dxfId="75" priority="75"/>
  </conditionalFormatting>
  <conditionalFormatting sqref="AD1955:AE1955">
    <cfRule type="duplicateValues" dxfId="74" priority="74"/>
  </conditionalFormatting>
  <conditionalFormatting sqref="AD1956:AE1956">
    <cfRule type="duplicateValues" dxfId="73" priority="73"/>
  </conditionalFormatting>
  <conditionalFormatting sqref="AD1957:AE1957">
    <cfRule type="duplicateValues" dxfId="72" priority="72"/>
  </conditionalFormatting>
  <conditionalFormatting sqref="AD1968:AE1968">
    <cfRule type="duplicateValues" dxfId="71" priority="71"/>
  </conditionalFormatting>
  <conditionalFormatting sqref="AD1969:AE1969">
    <cfRule type="duplicateValues" dxfId="70" priority="70"/>
  </conditionalFormatting>
  <conditionalFormatting sqref="AD1970:AE1970">
    <cfRule type="duplicateValues" dxfId="69" priority="69"/>
  </conditionalFormatting>
  <conditionalFormatting sqref="AD1971:AE1971">
    <cfRule type="duplicateValues" dxfId="68" priority="67"/>
  </conditionalFormatting>
  <conditionalFormatting sqref="AD1972:AE1972">
    <cfRule type="duplicateValues" dxfId="67" priority="68"/>
  </conditionalFormatting>
  <conditionalFormatting sqref="AD1973:AE1974">
    <cfRule type="duplicateValues" dxfId="66" priority="66"/>
  </conditionalFormatting>
  <conditionalFormatting sqref="AD1979:AE1979">
    <cfRule type="duplicateValues" dxfId="65" priority="65"/>
  </conditionalFormatting>
  <conditionalFormatting sqref="AD1980:AE1980">
    <cfRule type="duplicateValues" dxfId="64" priority="64"/>
  </conditionalFormatting>
  <conditionalFormatting sqref="AD1981:AE1981">
    <cfRule type="duplicateValues" dxfId="63" priority="63"/>
  </conditionalFormatting>
  <conditionalFormatting sqref="AD1982:AE1983">
    <cfRule type="duplicateValues" dxfId="62" priority="62"/>
  </conditionalFormatting>
  <conditionalFormatting sqref="AD1984:AE1985">
    <cfRule type="duplicateValues" dxfId="61" priority="61"/>
  </conditionalFormatting>
  <conditionalFormatting sqref="AD1986:AE1987">
    <cfRule type="duplicateValues" dxfId="60" priority="60"/>
  </conditionalFormatting>
  <conditionalFormatting sqref="AD1988:AE1990">
    <cfRule type="duplicateValues" dxfId="59" priority="59"/>
  </conditionalFormatting>
  <conditionalFormatting sqref="AD1991:AE1992">
    <cfRule type="duplicateValues" dxfId="58" priority="58"/>
  </conditionalFormatting>
  <conditionalFormatting sqref="AD1993:AE1993">
    <cfRule type="duplicateValues" dxfId="57" priority="57"/>
  </conditionalFormatting>
  <conditionalFormatting sqref="AD1994:AE1994">
    <cfRule type="duplicateValues" dxfId="56" priority="56"/>
  </conditionalFormatting>
  <conditionalFormatting sqref="AD1995:AE1996">
    <cfRule type="duplicateValues" dxfId="55" priority="55"/>
  </conditionalFormatting>
  <conditionalFormatting sqref="AD1997:AE1997">
    <cfRule type="duplicateValues" dxfId="54" priority="54"/>
  </conditionalFormatting>
  <conditionalFormatting sqref="AD1998:AE1998 AD2000:AE2000">
    <cfRule type="duplicateValues" dxfId="53" priority="53"/>
  </conditionalFormatting>
  <conditionalFormatting sqref="AD1999:AE1999">
    <cfRule type="duplicateValues" dxfId="52" priority="52"/>
  </conditionalFormatting>
  <conditionalFormatting sqref="AD2007:AE2007">
    <cfRule type="duplicateValues" dxfId="51" priority="50"/>
  </conditionalFormatting>
  <conditionalFormatting sqref="AD2008:AE2009">
    <cfRule type="duplicateValues" dxfId="50" priority="51"/>
  </conditionalFormatting>
  <conditionalFormatting sqref="AD2010:AE2010">
    <cfRule type="duplicateValues" dxfId="49" priority="49"/>
  </conditionalFormatting>
  <conditionalFormatting sqref="AD2011:AE2012">
    <cfRule type="duplicateValues" dxfId="48" priority="48"/>
  </conditionalFormatting>
  <conditionalFormatting sqref="AD2016:AE2016">
    <cfRule type="duplicateValues" dxfId="47" priority="46"/>
  </conditionalFormatting>
  <conditionalFormatting sqref="AD2017:AE2017">
    <cfRule type="duplicateValues" dxfId="46" priority="47"/>
  </conditionalFormatting>
  <conditionalFormatting sqref="AD2018:AE2018">
    <cfRule type="duplicateValues" dxfId="45" priority="45"/>
  </conditionalFormatting>
  <conditionalFormatting sqref="AD2019:AE2019">
    <cfRule type="duplicateValues" dxfId="44" priority="44"/>
  </conditionalFormatting>
  <conditionalFormatting sqref="AD2020:AE2021">
    <cfRule type="duplicateValues" dxfId="43" priority="43"/>
  </conditionalFormatting>
  <conditionalFormatting sqref="AD2022:AE2022">
    <cfRule type="duplicateValues" dxfId="42" priority="42"/>
  </conditionalFormatting>
  <conditionalFormatting sqref="AD2023:AE2023">
    <cfRule type="duplicateValues" dxfId="41" priority="41"/>
  </conditionalFormatting>
  <conditionalFormatting sqref="AD2024:AE2024">
    <cfRule type="duplicateValues" dxfId="40" priority="40"/>
  </conditionalFormatting>
  <conditionalFormatting sqref="AD2025:AE2026">
    <cfRule type="duplicateValues" dxfId="39" priority="39"/>
  </conditionalFormatting>
  <conditionalFormatting sqref="AD2029:AE2029">
    <cfRule type="duplicateValues" dxfId="38" priority="38"/>
  </conditionalFormatting>
  <conditionalFormatting sqref="AD2032:AE2032">
    <cfRule type="duplicateValues" dxfId="37" priority="37"/>
  </conditionalFormatting>
  <conditionalFormatting sqref="AD2030:AE2030">
    <cfRule type="duplicateValues" dxfId="36" priority="36"/>
  </conditionalFormatting>
  <conditionalFormatting sqref="AD2031:AE2031">
    <cfRule type="duplicateValues" dxfId="35" priority="35"/>
  </conditionalFormatting>
  <conditionalFormatting sqref="AD2033:AE2033">
    <cfRule type="duplicateValues" dxfId="34" priority="34"/>
  </conditionalFormatting>
  <conditionalFormatting sqref="AD2047:AE2047">
    <cfRule type="duplicateValues" dxfId="33" priority="33"/>
  </conditionalFormatting>
  <conditionalFormatting sqref="AD2048:AE2048">
    <cfRule type="duplicateValues" dxfId="32" priority="32"/>
  </conditionalFormatting>
  <conditionalFormatting sqref="AD2046:AE2046">
    <cfRule type="duplicateValues" dxfId="31" priority="31"/>
  </conditionalFormatting>
  <conditionalFormatting sqref="AD2045:AE2045">
    <cfRule type="duplicateValues" dxfId="30" priority="30"/>
  </conditionalFormatting>
  <conditionalFormatting sqref="AD2044:AE2044">
    <cfRule type="duplicateValues" dxfId="29" priority="29"/>
  </conditionalFormatting>
  <conditionalFormatting sqref="AD2043:AE2043">
    <cfRule type="duplicateValues" dxfId="28" priority="28"/>
  </conditionalFormatting>
  <conditionalFormatting sqref="AD2052:AE2052">
    <cfRule type="duplicateValues" dxfId="27" priority="27"/>
  </conditionalFormatting>
  <conditionalFormatting sqref="AD2055:AE2055">
    <cfRule type="duplicateValues" dxfId="26" priority="26"/>
  </conditionalFormatting>
  <conditionalFormatting sqref="AD2056:AE2056">
    <cfRule type="duplicateValues" dxfId="25" priority="25"/>
  </conditionalFormatting>
  <conditionalFormatting sqref="AD2057:AE2057">
    <cfRule type="duplicateValues" dxfId="24" priority="24"/>
  </conditionalFormatting>
  <conditionalFormatting sqref="AD2059:AE2059">
    <cfRule type="duplicateValues" dxfId="23" priority="23"/>
  </conditionalFormatting>
  <conditionalFormatting sqref="AD2060:AE2060">
    <cfRule type="duplicateValues" dxfId="22" priority="22"/>
  </conditionalFormatting>
  <conditionalFormatting sqref="AD2058:AE2058">
    <cfRule type="duplicateValues" dxfId="21" priority="21"/>
  </conditionalFormatting>
  <conditionalFormatting sqref="AD2063:AE2064">
    <cfRule type="duplicateValues" dxfId="20" priority="20"/>
  </conditionalFormatting>
  <conditionalFormatting sqref="AD2065:AE2065">
    <cfRule type="duplicateValues" dxfId="19" priority="19"/>
  </conditionalFormatting>
  <conditionalFormatting sqref="AD2068:AE2068">
    <cfRule type="duplicateValues" dxfId="18" priority="18"/>
  </conditionalFormatting>
  <conditionalFormatting sqref="AD2069:AE2069">
    <cfRule type="duplicateValues" dxfId="17" priority="17"/>
  </conditionalFormatting>
  <conditionalFormatting sqref="AD2070:AE2070">
    <cfRule type="duplicateValues" dxfId="16" priority="16"/>
  </conditionalFormatting>
  <conditionalFormatting sqref="AD2071:AE2071">
    <cfRule type="duplicateValues" dxfId="15" priority="15"/>
  </conditionalFormatting>
  <conditionalFormatting sqref="AD2072:AE2072">
    <cfRule type="duplicateValues" dxfId="14" priority="14"/>
  </conditionalFormatting>
  <conditionalFormatting sqref="AD2073:AE2073">
    <cfRule type="duplicateValues" dxfId="13" priority="13"/>
  </conditionalFormatting>
  <conditionalFormatting sqref="AD2076:AE2076">
    <cfRule type="duplicateValues" dxfId="12" priority="12"/>
  </conditionalFormatting>
  <conditionalFormatting sqref="AD2078:AE2079">
    <cfRule type="duplicateValues" dxfId="11" priority="11"/>
  </conditionalFormatting>
  <conditionalFormatting sqref="AD2080:AE2080">
    <cfRule type="duplicateValues" dxfId="10" priority="10"/>
  </conditionalFormatting>
  <conditionalFormatting sqref="AD2081:AE2081">
    <cfRule type="duplicateValues" dxfId="9" priority="9"/>
  </conditionalFormatting>
  <conditionalFormatting sqref="AD2082:AE2082">
    <cfRule type="duplicateValues" dxfId="8" priority="8"/>
  </conditionalFormatting>
  <conditionalFormatting sqref="AD2383:AE2384">
    <cfRule type="duplicateValues" dxfId="7" priority="6"/>
  </conditionalFormatting>
  <conditionalFormatting sqref="AD2385:AE2386">
    <cfRule type="duplicateValues" dxfId="6" priority="7"/>
  </conditionalFormatting>
  <conditionalFormatting sqref="AD2387:AE2387">
    <cfRule type="duplicateValues" dxfId="5" priority="4"/>
  </conditionalFormatting>
  <conditionalFormatting sqref="AD2388:AE2389">
    <cfRule type="duplicateValues" dxfId="4" priority="5"/>
  </conditionalFormatting>
  <conditionalFormatting sqref="AD2390:AE2390">
    <cfRule type="duplicateValues" dxfId="3" priority="2"/>
  </conditionalFormatting>
  <conditionalFormatting sqref="AD2391:AE2391">
    <cfRule type="duplicateValues" dxfId="2" priority="3"/>
  </conditionalFormatting>
  <conditionalFormatting sqref="AD2392:AE2393">
    <cfRule type="duplicateValues" dxfId="1" priority="1"/>
  </conditionalFormatting>
  <conditionalFormatting sqref="AC2790:AC2791">
    <cfRule type="duplicateValues" dxfId="0" priority="2457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Barmer 21 blocks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2026-10-25T10:38:22Z</dcterms:modified>
</cp:coreProperties>
</file>