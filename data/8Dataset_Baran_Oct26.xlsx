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\FORD Project\Ford Proposal\Ford 2.0\Visit _Meeting FORD Team\Cadence Meeting_9th September 2026\District_Diagnose_and_Plan_(Draft)\Baran\"/>
    </mc:Choice>
  </mc:AlternateContent>
  <bookViews>
    <workbookView xWindow="0" yWindow="0" windowWidth="20490" windowHeight="7755" tabRatio="649" firstSheet="1" activeTab="7"/>
  </bookViews>
  <sheets>
    <sheet name="FF Atru" sheetId="1" r:id="rId1"/>
    <sheet name="FF Anta" sheetId="2" r:id="rId2"/>
    <sheet name="FF Baran" sheetId="3" r:id="rId3"/>
    <sheet name="FF Chabda" sheetId="5" r:id="rId4"/>
    <sheet name="FF Mangrol" sheetId="6" r:id="rId5"/>
    <sheet name="FF Chhipabrod" sheetId="7" r:id="rId6"/>
    <sheet name="FF Kishanganj" sheetId="8" r:id="rId7"/>
    <sheet name="FF Shahbad" sheetId="9" r:id="rId8"/>
  </sheets>
  <definedNames>
    <definedName name="_xlnm._FilterDatabase" localSheetId="3" hidden="1">'FF Chabda'!$A$1:$AF$220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" i="9" l="1"/>
  <c r="M5" i="9"/>
  <c r="M4" i="8"/>
  <c r="M4" i="5"/>
  <c r="O4" i="5"/>
  <c r="M4" i="3"/>
  <c r="O4" i="2"/>
  <c r="M4" i="2"/>
  <c r="O5" i="1"/>
  <c r="O6" i="1"/>
  <c r="O7" i="1"/>
  <c r="O8" i="1"/>
  <c r="O11" i="1"/>
  <c r="O4" i="1"/>
  <c r="M112" i="1"/>
  <c r="M18" i="1"/>
  <c r="M20" i="1"/>
  <c r="M21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41" i="1"/>
  <c r="M42" i="1"/>
  <c r="M43" i="1"/>
  <c r="M44" i="1"/>
  <c r="M46" i="1"/>
  <c r="M48" i="1"/>
  <c r="M49" i="1"/>
  <c r="M50" i="1"/>
  <c r="M51" i="1"/>
  <c r="M52" i="1"/>
  <c r="M53" i="1"/>
  <c r="M54" i="1"/>
  <c r="M55" i="1"/>
  <c r="M56" i="1"/>
  <c r="M57" i="1"/>
  <c r="M58" i="1"/>
  <c r="M59" i="1"/>
  <c r="M62" i="1"/>
  <c r="M63" i="1"/>
  <c r="M64" i="1"/>
  <c r="M65" i="1"/>
  <c r="M66" i="1"/>
  <c r="M67" i="1"/>
  <c r="M70" i="1"/>
  <c r="M71" i="1"/>
  <c r="M72" i="1"/>
  <c r="M73" i="1"/>
  <c r="M74" i="1"/>
  <c r="M75" i="1"/>
  <c r="M77" i="1"/>
  <c r="M79" i="1"/>
  <c r="M80" i="1"/>
  <c r="M82" i="1"/>
  <c r="M84" i="1"/>
  <c r="M85" i="1"/>
  <c r="M86" i="1"/>
  <c r="M87" i="1"/>
  <c r="M88" i="1"/>
  <c r="M89" i="1"/>
  <c r="M90" i="1"/>
  <c r="M91" i="1"/>
  <c r="M92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4" i="1"/>
  <c r="M116" i="1"/>
  <c r="M117" i="1"/>
  <c r="M118" i="1"/>
  <c r="M119" i="1"/>
  <c r="M121" i="1"/>
  <c r="M122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2" i="1"/>
  <c r="M143" i="1"/>
  <c r="M146" i="1"/>
  <c r="M147" i="1"/>
  <c r="M148" i="1"/>
  <c r="M149" i="1"/>
  <c r="M150" i="1"/>
  <c r="M151" i="1"/>
  <c r="M152" i="1"/>
  <c r="M153" i="1"/>
  <c r="M154" i="1"/>
  <c r="M156" i="1"/>
  <c r="M157" i="1"/>
  <c r="M158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5" i="1"/>
  <c r="M15" i="1"/>
  <c r="M14" i="1"/>
  <c r="M11" i="1"/>
  <c r="M5" i="1"/>
  <c r="M6" i="1"/>
  <c r="M7" i="1"/>
  <c r="M8" i="1"/>
  <c r="M4" i="1"/>
  <c r="P92" i="2" l="1"/>
  <c r="Q92" i="2"/>
  <c r="O175" i="1" l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8" i="1"/>
  <c r="O157" i="1"/>
  <c r="O156" i="1"/>
  <c r="O154" i="1"/>
  <c r="O153" i="1"/>
  <c r="O152" i="1"/>
  <c r="O151" i="1"/>
  <c r="O150" i="1"/>
  <c r="O149" i="1"/>
  <c r="O148" i="1"/>
  <c r="O147" i="1"/>
  <c r="O146" i="1"/>
  <c r="O143" i="1"/>
  <c r="O142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2" i="1"/>
  <c r="O121" i="1"/>
  <c r="O119" i="1"/>
  <c r="O118" i="1"/>
  <c r="O117" i="1"/>
  <c r="O116" i="1"/>
  <c r="O114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2" i="1"/>
  <c r="O91" i="1"/>
  <c r="O90" i="1"/>
  <c r="O89" i="1"/>
  <c r="O88" i="1"/>
  <c r="O87" i="1"/>
  <c r="O86" i="1"/>
  <c r="O85" i="1"/>
  <c r="O84" i="1"/>
  <c r="O82" i="1"/>
  <c r="O80" i="1"/>
  <c r="O79" i="1"/>
  <c r="O77" i="1"/>
  <c r="O75" i="1"/>
  <c r="O74" i="1"/>
  <c r="O73" i="1"/>
  <c r="O72" i="1"/>
  <c r="O71" i="1"/>
  <c r="O70" i="1"/>
  <c r="O67" i="1"/>
  <c r="O66" i="1"/>
  <c r="O65" i="1"/>
  <c r="O64" i="1"/>
  <c r="O63" i="1"/>
  <c r="O62" i="1"/>
  <c r="O59" i="1"/>
  <c r="O58" i="1"/>
  <c r="O57" i="1"/>
  <c r="O56" i="1"/>
  <c r="O55" i="1"/>
  <c r="O54" i="1"/>
  <c r="O53" i="1"/>
  <c r="O52" i="1"/>
  <c r="O51" i="1"/>
  <c r="O50" i="1"/>
  <c r="O49" i="1"/>
  <c r="O48" i="1"/>
  <c r="O46" i="1"/>
  <c r="O44" i="1"/>
  <c r="O43" i="1"/>
  <c r="O42" i="1"/>
  <c r="O41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1" i="1"/>
  <c r="O20" i="1"/>
  <c r="O18" i="1"/>
  <c r="O15" i="1"/>
  <c r="O14" i="1"/>
  <c r="O7" i="5" l="1"/>
  <c r="O8" i="5"/>
  <c r="O9" i="5"/>
  <c r="O10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7" i="5"/>
  <c r="O28" i="5"/>
  <c r="O29" i="5"/>
  <c r="O30" i="5"/>
  <c r="O31" i="5"/>
  <c r="O33" i="5"/>
  <c r="O37" i="5"/>
  <c r="O38" i="5"/>
  <c r="O39" i="5"/>
  <c r="O40" i="5"/>
  <c r="O41" i="5"/>
  <c r="O42" i="5"/>
  <c r="O43" i="5"/>
  <c r="O44" i="5"/>
  <c r="O45" i="5"/>
  <c r="O46" i="5"/>
  <c r="O47" i="5"/>
  <c r="O49" i="5"/>
  <c r="O51" i="5"/>
  <c r="O52" i="5"/>
  <c r="O53" i="5"/>
  <c r="O54" i="5"/>
  <c r="O55" i="5"/>
  <c r="O56" i="5"/>
  <c r="O57" i="5"/>
  <c r="O58" i="5"/>
  <c r="O59" i="5"/>
  <c r="O60" i="5"/>
  <c r="O61" i="5"/>
  <c r="O62" i="5"/>
  <c r="O64" i="5"/>
  <c r="O66" i="5"/>
  <c r="O67" i="5"/>
  <c r="O68" i="5"/>
  <c r="O69" i="5"/>
  <c r="O70" i="5"/>
  <c r="O71" i="5"/>
  <c r="O72" i="5"/>
  <c r="O73" i="5"/>
  <c r="O74" i="5"/>
  <c r="O75" i="5"/>
  <c r="O76" i="5"/>
  <c r="O77" i="5"/>
  <c r="O79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O99" i="5"/>
  <c r="O102" i="5"/>
  <c r="O104" i="5"/>
  <c r="O106" i="5"/>
  <c r="O107" i="5"/>
  <c r="O108" i="5"/>
  <c r="O109" i="5"/>
  <c r="O110" i="5"/>
  <c r="O111" i="5"/>
  <c r="O112" i="5"/>
  <c r="O113" i="5"/>
  <c r="O114" i="5"/>
  <c r="O115" i="5"/>
  <c r="O116" i="5"/>
  <c r="O119" i="5"/>
  <c r="O120" i="5"/>
  <c r="O121" i="5"/>
  <c r="O123" i="5"/>
  <c r="O124" i="5"/>
  <c r="O125" i="5"/>
  <c r="O126" i="5"/>
  <c r="O127" i="5"/>
  <c r="O128" i="5"/>
  <c r="O129" i="5"/>
  <c r="O130" i="5"/>
  <c r="O131" i="5"/>
  <c r="O132" i="5"/>
  <c r="O133" i="5"/>
  <c r="O134" i="5"/>
  <c r="O136" i="5"/>
  <c r="O137" i="5"/>
  <c r="O138" i="5"/>
  <c r="O139" i="5"/>
  <c r="O140" i="5"/>
  <c r="O141" i="5"/>
  <c r="O142" i="5"/>
  <c r="O143" i="5"/>
  <c r="O144" i="5"/>
  <c r="O145" i="5"/>
  <c r="O146" i="5"/>
  <c r="O147" i="5"/>
  <c r="O148" i="5"/>
  <c r="O149" i="5"/>
  <c r="O150" i="5"/>
  <c r="O151" i="5"/>
  <c r="O152" i="5"/>
  <c r="O154" i="5"/>
  <c r="O155" i="5"/>
  <c r="O156" i="5"/>
  <c r="O157" i="5"/>
  <c r="O158" i="5"/>
  <c r="O159" i="5"/>
  <c r="O160" i="5"/>
  <c r="O161" i="5"/>
  <c r="O162" i="5"/>
  <c r="O163" i="5"/>
  <c r="O164" i="5"/>
  <c r="O165" i="5"/>
  <c r="O166" i="5"/>
  <c r="O167" i="5"/>
  <c r="O168" i="5"/>
  <c r="O171" i="5"/>
  <c r="O172" i="5"/>
  <c r="O173" i="5"/>
  <c r="O174" i="5"/>
  <c r="O175" i="5"/>
  <c r="O176" i="5"/>
  <c r="O177" i="5"/>
  <c r="O178" i="5"/>
  <c r="O179" i="5"/>
  <c r="O180" i="5"/>
  <c r="O181" i="5"/>
  <c r="O182" i="5"/>
  <c r="O184" i="5"/>
  <c r="O185" i="5"/>
  <c r="O186" i="5"/>
  <c r="O187" i="5"/>
  <c r="O188" i="5"/>
  <c r="O189" i="5"/>
  <c r="O190" i="5"/>
  <c r="O191" i="5"/>
  <c r="O192" i="5"/>
  <c r="O193" i="5"/>
  <c r="O194" i="5"/>
  <c r="O195" i="5"/>
  <c r="O196" i="5"/>
  <c r="O197" i="5"/>
  <c r="O198" i="5"/>
  <c r="O199" i="5"/>
  <c r="O200" i="5"/>
  <c r="O201" i="5"/>
  <c r="O202" i="5"/>
  <c r="O203" i="5"/>
  <c r="O204" i="5"/>
  <c r="O205" i="5"/>
  <c r="O207" i="5"/>
  <c r="O209" i="5"/>
  <c r="O210" i="5"/>
  <c r="O212" i="5"/>
  <c r="O213" i="5"/>
  <c r="O214" i="5"/>
  <c r="O215" i="5"/>
  <c r="O216" i="5"/>
  <c r="O217" i="5"/>
  <c r="O218" i="5"/>
  <c r="O219" i="5"/>
  <c r="O220" i="5"/>
  <c r="M7" i="5"/>
  <c r="M8" i="5"/>
  <c r="M9" i="5"/>
  <c r="M10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7" i="5"/>
  <c r="M28" i="5"/>
  <c r="M29" i="5"/>
  <c r="M30" i="5"/>
  <c r="M31" i="5"/>
  <c r="M33" i="5"/>
  <c r="M37" i="5"/>
  <c r="M38" i="5"/>
  <c r="M39" i="5"/>
  <c r="M40" i="5"/>
  <c r="M41" i="5"/>
  <c r="M42" i="5"/>
  <c r="M43" i="5"/>
  <c r="M44" i="5"/>
  <c r="M45" i="5"/>
  <c r="M46" i="5"/>
  <c r="M47" i="5"/>
  <c r="M49" i="5"/>
  <c r="M51" i="5"/>
  <c r="M52" i="5"/>
  <c r="M53" i="5"/>
  <c r="M54" i="5"/>
  <c r="M55" i="5"/>
  <c r="M56" i="5"/>
  <c r="M57" i="5"/>
  <c r="M58" i="5"/>
  <c r="M59" i="5"/>
  <c r="M60" i="5"/>
  <c r="M61" i="5"/>
  <c r="M62" i="5"/>
  <c r="M64" i="5"/>
  <c r="M66" i="5"/>
  <c r="M67" i="5"/>
  <c r="M68" i="5"/>
  <c r="M69" i="5"/>
  <c r="M70" i="5"/>
  <c r="M71" i="5"/>
  <c r="M72" i="5"/>
  <c r="M73" i="5"/>
  <c r="M74" i="5"/>
  <c r="M75" i="5"/>
  <c r="M76" i="5"/>
  <c r="M77" i="5"/>
  <c r="M79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2" i="5"/>
  <c r="M104" i="5"/>
  <c r="M106" i="5"/>
  <c r="M107" i="5"/>
  <c r="M108" i="5"/>
  <c r="M109" i="5"/>
  <c r="M110" i="5"/>
  <c r="M111" i="5"/>
  <c r="M112" i="5"/>
  <c r="M113" i="5"/>
  <c r="M114" i="5"/>
  <c r="M115" i="5"/>
  <c r="M116" i="5"/>
  <c r="M119" i="5"/>
  <c r="M120" i="5"/>
  <c r="M121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152" i="5"/>
  <c r="M154" i="5"/>
  <c r="M155" i="5"/>
  <c r="M156" i="5"/>
  <c r="M157" i="5"/>
  <c r="M158" i="5"/>
  <c r="M159" i="5"/>
  <c r="M160" i="5"/>
  <c r="M161" i="5"/>
  <c r="M162" i="5"/>
  <c r="M163" i="5"/>
  <c r="M164" i="5"/>
  <c r="M165" i="5"/>
  <c r="M166" i="5"/>
  <c r="M167" i="5"/>
  <c r="M168" i="5"/>
  <c r="M171" i="5"/>
  <c r="M172" i="5"/>
  <c r="M173" i="5"/>
  <c r="M174" i="5"/>
  <c r="M175" i="5"/>
  <c r="M176" i="5"/>
  <c r="M177" i="5"/>
  <c r="M178" i="5"/>
  <c r="M179" i="5"/>
  <c r="M180" i="5"/>
  <c r="M181" i="5"/>
  <c r="M182" i="5"/>
  <c r="M184" i="5"/>
  <c r="M185" i="5"/>
  <c r="M186" i="5"/>
  <c r="M187" i="5"/>
  <c r="M188" i="5"/>
  <c r="M189" i="5"/>
  <c r="M190" i="5"/>
  <c r="M191" i="5"/>
  <c r="M192" i="5"/>
  <c r="M193" i="5"/>
  <c r="M194" i="5"/>
  <c r="M195" i="5"/>
  <c r="M196" i="5"/>
  <c r="M197" i="5"/>
  <c r="M198" i="5"/>
  <c r="M199" i="5"/>
  <c r="M200" i="5"/>
  <c r="M201" i="5"/>
  <c r="M202" i="5"/>
  <c r="M203" i="5"/>
  <c r="M204" i="5"/>
  <c r="M205" i="5"/>
  <c r="M207" i="5"/>
  <c r="M209" i="5"/>
  <c r="M210" i="5"/>
  <c r="M212" i="5"/>
  <c r="M213" i="5"/>
  <c r="M214" i="5"/>
  <c r="M215" i="5"/>
  <c r="M216" i="5"/>
  <c r="M217" i="5"/>
  <c r="M218" i="5"/>
  <c r="M219" i="5"/>
  <c r="M220" i="5"/>
  <c r="P279" i="9" l="1"/>
  <c r="N279" i="9"/>
  <c r="L279" i="9"/>
  <c r="K279" i="9"/>
  <c r="J279" i="9"/>
  <c r="I279" i="9"/>
  <c r="H279" i="9"/>
  <c r="G279" i="9"/>
  <c r="O278" i="9"/>
  <c r="M278" i="9"/>
  <c r="O277" i="9"/>
  <c r="M277" i="9"/>
  <c r="O275" i="9"/>
  <c r="M275" i="9"/>
  <c r="O274" i="9"/>
  <c r="M274" i="9"/>
  <c r="O273" i="9"/>
  <c r="M273" i="9"/>
  <c r="O272" i="9"/>
  <c r="M272" i="9"/>
  <c r="O270" i="9"/>
  <c r="M270" i="9"/>
  <c r="O269" i="9"/>
  <c r="M269" i="9"/>
  <c r="O268" i="9"/>
  <c r="M268" i="9"/>
  <c r="O266" i="9"/>
  <c r="M266" i="9"/>
  <c r="O265" i="9"/>
  <c r="M265" i="9"/>
  <c r="O264" i="9"/>
  <c r="M264" i="9"/>
  <c r="O263" i="9"/>
  <c r="M263" i="9"/>
  <c r="O262" i="9"/>
  <c r="M262" i="9"/>
  <c r="O261" i="9"/>
  <c r="M261" i="9"/>
  <c r="O260" i="9"/>
  <c r="M260" i="9"/>
  <c r="O259" i="9"/>
  <c r="M259" i="9"/>
  <c r="O258" i="9"/>
  <c r="M258" i="9"/>
  <c r="O257" i="9"/>
  <c r="M257" i="9"/>
  <c r="O256" i="9"/>
  <c r="M256" i="9"/>
  <c r="O255" i="9"/>
  <c r="M255" i="9"/>
  <c r="O254" i="9"/>
  <c r="M254" i="9"/>
  <c r="O253" i="9"/>
  <c r="M253" i="9"/>
  <c r="O252" i="9"/>
  <c r="M252" i="9"/>
  <c r="O251" i="9"/>
  <c r="M251" i="9"/>
  <c r="O250" i="9"/>
  <c r="M250" i="9"/>
  <c r="O249" i="9"/>
  <c r="M249" i="9"/>
  <c r="O248" i="9"/>
  <c r="M248" i="9"/>
  <c r="O247" i="9"/>
  <c r="M247" i="9"/>
  <c r="O246" i="9"/>
  <c r="M246" i="9"/>
  <c r="O245" i="9"/>
  <c r="M245" i="9"/>
  <c r="O244" i="9"/>
  <c r="M244" i="9"/>
  <c r="O243" i="9"/>
  <c r="M243" i="9"/>
  <c r="O242" i="9"/>
  <c r="M242" i="9"/>
  <c r="O241" i="9"/>
  <c r="M241" i="9"/>
  <c r="O240" i="9"/>
  <c r="M240" i="9"/>
  <c r="O239" i="9"/>
  <c r="M239" i="9"/>
  <c r="O238" i="9"/>
  <c r="M238" i="9"/>
  <c r="O237" i="9"/>
  <c r="M237" i="9"/>
  <c r="O236" i="9"/>
  <c r="M236" i="9"/>
  <c r="O235" i="9"/>
  <c r="M235" i="9"/>
  <c r="O234" i="9"/>
  <c r="M234" i="9"/>
  <c r="O233" i="9"/>
  <c r="M233" i="9"/>
  <c r="O232" i="9"/>
  <c r="M232" i="9"/>
  <c r="O231" i="9"/>
  <c r="M231" i="9"/>
  <c r="O230" i="9"/>
  <c r="M230" i="9"/>
  <c r="O229" i="9"/>
  <c r="M229" i="9"/>
  <c r="O228" i="9"/>
  <c r="M228" i="9"/>
  <c r="O227" i="9"/>
  <c r="M227" i="9"/>
  <c r="O226" i="9"/>
  <c r="M226" i="9"/>
  <c r="O225" i="9"/>
  <c r="M225" i="9"/>
  <c r="O224" i="9"/>
  <c r="M224" i="9"/>
  <c r="O223" i="9"/>
  <c r="M223" i="9"/>
  <c r="O222" i="9"/>
  <c r="M222" i="9"/>
  <c r="O221" i="9"/>
  <c r="M221" i="9"/>
  <c r="O220" i="9"/>
  <c r="M220" i="9"/>
  <c r="O219" i="9"/>
  <c r="M219" i="9"/>
  <c r="O218" i="9"/>
  <c r="M218" i="9"/>
  <c r="O217" i="9"/>
  <c r="M217" i="9"/>
  <c r="O216" i="9"/>
  <c r="M216" i="9"/>
  <c r="O215" i="9"/>
  <c r="M215" i="9"/>
  <c r="O214" i="9"/>
  <c r="M214" i="9"/>
  <c r="O213" i="9"/>
  <c r="M213" i="9"/>
  <c r="O212" i="9"/>
  <c r="M212" i="9"/>
  <c r="O211" i="9"/>
  <c r="M211" i="9"/>
  <c r="O210" i="9"/>
  <c r="M210" i="9"/>
  <c r="O209" i="9"/>
  <c r="M209" i="9"/>
  <c r="O208" i="9"/>
  <c r="M208" i="9"/>
  <c r="O207" i="9"/>
  <c r="M207" i="9"/>
  <c r="O206" i="9"/>
  <c r="M206" i="9"/>
  <c r="O205" i="9"/>
  <c r="M205" i="9"/>
  <c r="O204" i="9"/>
  <c r="M204" i="9"/>
  <c r="O203" i="9"/>
  <c r="M203" i="9"/>
  <c r="O202" i="9"/>
  <c r="M202" i="9"/>
  <c r="O201" i="9"/>
  <c r="M201" i="9"/>
  <c r="O200" i="9"/>
  <c r="M200" i="9"/>
  <c r="O199" i="9"/>
  <c r="M199" i="9"/>
  <c r="O198" i="9"/>
  <c r="M198" i="9"/>
  <c r="O197" i="9"/>
  <c r="M197" i="9"/>
  <c r="O196" i="9"/>
  <c r="M196" i="9"/>
  <c r="O195" i="9"/>
  <c r="M195" i="9"/>
  <c r="O194" i="9"/>
  <c r="M194" i="9"/>
  <c r="O193" i="9"/>
  <c r="M193" i="9"/>
  <c r="O192" i="9"/>
  <c r="M192" i="9"/>
  <c r="O191" i="9"/>
  <c r="M191" i="9"/>
  <c r="O190" i="9"/>
  <c r="M190" i="9"/>
  <c r="O189" i="9"/>
  <c r="M189" i="9"/>
  <c r="O188" i="9"/>
  <c r="M188" i="9"/>
  <c r="O187" i="9"/>
  <c r="M187" i="9"/>
  <c r="O186" i="9"/>
  <c r="M186" i="9"/>
  <c r="O185" i="9"/>
  <c r="M185" i="9"/>
  <c r="O184" i="9"/>
  <c r="M184" i="9"/>
  <c r="O183" i="9"/>
  <c r="M183" i="9"/>
  <c r="O182" i="9"/>
  <c r="M182" i="9"/>
  <c r="O181" i="9"/>
  <c r="M181" i="9"/>
  <c r="O180" i="9"/>
  <c r="M180" i="9"/>
  <c r="O179" i="9"/>
  <c r="M179" i="9"/>
  <c r="O178" i="9"/>
  <c r="M178" i="9"/>
  <c r="O176" i="9"/>
  <c r="M176" i="9"/>
  <c r="O175" i="9"/>
  <c r="M175" i="9"/>
  <c r="O174" i="9"/>
  <c r="M174" i="9"/>
  <c r="O173" i="9"/>
  <c r="M173" i="9"/>
  <c r="O172" i="9"/>
  <c r="M172" i="9"/>
  <c r="O171" i="9"/>
  <c r="M171" i="9"/>
  <c r="O169" i="9"/>
  <c r="M169" i="9"/>
  <c r="O167" i="9"/>
  <c r="M167" i="9"/>
  <c r="O166" i="9"/>
  <c r="M166" i="9"/>
  <c r="O165" i="9"/>
  <c r="M165" i="9"/>
  <c r="O164" i="9"/>
  <c r="M164" i="9"/>
  <c r="O163" i="9"/>
  <c r="M163" i="9"/>
  <c r="O162" i="9"/>
  <c r="M162" i="9"/>
  <c r="O161" i="9"/>
  <c r="M161" i="9"/>
  <c r="O160" i="9"/>
  <c r="M160" i="9"/>
  <c r="O158" i="9"/>
  <c r="M158" i="9"/>
  <c r="O157" i="9"/>
  <c r="M157" i="9"/>
  <c r="O156" i="9"/>
  <c r="M156" i="9"/>
  <c r="O155" i="9"/>
  <c r="M155" i="9"/>
  <c r="O154" i="9"/>
  <c r="M154" i="9"/>
  <c r="O153" i="9"/>
  <c r="M153" i="9"/>
  <c r="O152" i="9"/>
  <c r="M152" i="9"/>
  <c r="O151" i="9"/>
  <c r="M151" i="9"/>
  <c r="O150" i="9"/>
  <c r="M150" i="9"/>
  <c r="O149" i="9"/>
  <c r="M149" i="9"/>
  <c r="O148" i="9"/>
  <c r="M148" i="9"/>
  <c r="O147" i="9"/>
  <c r="M147" i="9"/>
  <c r="O146" i="9"/>
  <c r="M146" i="9"/>
  <c r="O145" i="9"/>
  <c r="M145" i="9"/>
  <c r="O144" i="9"/>
  <c r="M144" i="9"/>
  <c r="O143" i="9"/>
  <c r="M143" i="9"/>
  <c r="O142" i="9"/>
  <c r="M142" i="9"/>
  <c r="O141" i="9"/>
  <c r="M141" i="9"/>
  <c r="O140" i="9"/>
  <c r="M140" i="9"/>
  <c r="O139" i="9"/>
  <c r="M139" i="9"/>
  <c r="O138" i="9"/>
  <c r="M138" i="9"/>
  <c r="O137" i="9"/>
  <c r="M137" i="9"/>
  <c r="O136" i="9"/>
  <c r="M136" i="9"/>
  <c r="O135" i="9"/>
  <c r="M135" i="9"/>
  <c r="O134" i="9"/>
  <c r="M134" i="9"/>
  <c r="O133" i="9"/>
  <c r="M133" i="9"/>
  <c r="O132" i="9"/>
  <c r="M132" i="9"/>
  <c r="O131" i="9"/>
  <c r="M131" i="9"/>
  <c r="O130" i="9"/>
  <c r="M130" i="9"/>
  <c r="O129" i="9"/>
  <c r="M129" i="9"/>
  <c r="O128" i="9"/>
  <c r="M128" i="9"/>
  <c r="O127" i="9"/>
  <c r="M127" i="9"/>
  <c r="O126" i="9"/>
  <c r="M126" i="9"/>
  <c r="O125" i="9"/>
  <c r="M125" i="9"/>
  <c r="O124" i="9"/>
  <c r="M124" i="9"/>
  <c r="O122" i="9"/>
  <c r="M122" i="9"/>
  <c r="O121" i="9"/>
  <c r="M121" i="9"/>
  <c r="O119" i="9"/>
  <c r="M119" i="9"/>
  <c r="O118" i="9"/>
  <c r="M118" i="9"/>
  <c r="O117" i="9"/>
  <c r="M117" i="9"/>
  <c r="O116" i="9"/>
  <c r="M116" i="9"/>
  <c r="O115" i="9"/>
  <c r="M115" i="9"/>
  <c r="O112" i="9"/>
  <c r="M112" i="9"/>
  <c r="O111" i="9"/>
  <c r="M111" i="9"/>
  <c r="O110" i="9"/>
  <c r="M110" i="9"/>
  <c r="O108" i="9"/>
  <c r="M108" i="9"/>
  <c r="O107" i="9"/>
  <c r="M107" i="9"/>
  <c r="O106" i="9"/>
  <c r="M106" i="9"/>
  <c r="O105" i="9"/>
  <c r="M105" i="9"/>
  <c r="O104" i="9"/>
  <c r="M104" i="9"/>
  <c r="O103" i="9"/>
  <c r="M103" i="9"/>
  <c r="O101" i="9"/>
  <c r="M101" i="9"/>
  <c r="O100" i="9"/>
  <c r="M100" i="9"/>
  <c r="O99" i="9"/>
  <c r="M99" i="9"/>
  <c r="O98" i="9"/>
  <c r="M98" i="9"/>
  <c r="O97" i="9"/>
  <c r="M97" i="9"/>
  <c r="O96" i="9"/>
  <c r="M96" i="9"/>
  <c r="O95" i="9"/>
  <c r="M95" i="9"/>
  <c r="O94" i="9"/>
  <c r="M94" i="9"/>
  <c r="O93" i="9"/>
  <c r="M93" i="9"/>
  <c r="O92" i="9"/>
  <c r="M92" i="9"/>
  <c r="O91" i="9"/>
  <c r="M91" i="9"/>
  <c r="O90" i="9"/>
  <c r="M90" i="9"/>
  <c r="O89" i="9"/>
  <c r="M89" i="9"/>
  <c r="O88" i="9"/>
  <c r="M88" i="9"/>
  <c r="O87" i="9"/>
  <c r="M87" i="9"/>
  <c r="O86" i="9"/>
  <c r="M86" i="9"/>
  <c r="O85" i="9"/>
  <c r="M85" i="9"/>
  <c r="O84" i="9"/>
  <c r="M84" i="9"/>
  <c r="O83" i="9"/>
  <c r="M83" i="9"/>
  <c r="O82" i="9"/>
  <c r="M82" i="9"/>
  <c r="O81" i="9"/>
  <c r="M81" i="9"/>
  <c r="O80" i="9"/>
  <c r="M80" i="9"/>
  <c r="O79" i="9"/>
  <c r="M79" i="9"/>
  <c r="O78" i="9"/>
  <c r="M78" i="9"/>
  <c r="O77" i="9"/>
  <c r="M77" i="9"/>
  <c r="O76" i="9"/>
  <c r="M76" i="9"/>
  <c r="O75" i="9"/>
  <c r="M75" i="9"/>
  <c r="O74" i="9"/>
  <c r="M74" i="9"/>
  <c r="O73" i="9"/>
  <c r="M73" i="9"/>
  <c r="O72" i="9"/>
  <c r="M72" i="9"/>
  <c r="O71" i="9"/>
  <c r="M71" i="9"/>
  <c r="O70" i="9"/>
  <c r="M70" i="9"/>
  <c r="O69" i="9"/>
  <c r="M69" i="9"/>
  <c r="O68" i="9"/>
  <c r="M68" i="9"/>
  <c r="O67" i="9"/>
  <c r="M67" i="9"/>
  <c r="O66" i="9"/>
  <c r="M66" i="9"/>
  <c r="O65" i="9"/>
  <c r="M65" i="9"/>
  <c r="O64" i="9"/>
  <c r="M64" i="9"/>
  <c r="O63" i="9"/>
  <c r="M63" i="9"/>
  <c r="O62" i="9"/>
  <c r="M62" i="9"/>
  <c r="O61" i="9"/>
  <c r="M61" i="9"/>
  <c r="O59" i="9"/>
  <c r="M59" i="9"/>
  <c r="O58" i="9"/>
  <c r="M58" i="9"/>
  <c r="O57" i="9"/>
  <c r="M57" i="9"/>
  <c r="O56" i="9"/>
  <c r="M56" i="9"/>
  <c r="O55" i="9"/>
  <c r="M55" i="9"/>
  <c r="O53" i="9"/>
  <c r="M53" i="9"/>
  <c r="O52" i="9"/>
  <c r="M52" i="9"/>
  <c r="O51" i="9"/>
  <c r="M51" i="9"/>
  <c r="O50" i="9"/>
  <c r="M50" i="9"/>
  <c r="O49" i="9"/>
  <c r="M49" i="9"/>
  <c r="O48" i="9"/>
  <c r="M48" i="9"/>
  <c r="O47" i="9"/>
  <c r="M47" i="9"/>
  <c r="O46" i="9"/>
  <c r="M46" i="9"/>
  <c r="O42" i="9"/>
  <c r="M42" i="9"/>
  <c r="O41" i="9"/>
  <c r="M41" i="9"/>
  <c r="O38" i="9"/>
  <c r="M38" i="9"/>
  <c r="O37" i="9"/>
  <c r="M37" i="9"/>
  <c r="O35" i="9"/>
  <c r="M35" i="9"/>
  <c r="O34" i="9"/>
  <c r="M34" i="9"/>
  <c r="O33" i="9"/>
  <c r="M33" i="9"/>
  <c r="O32" i="9"/>
  <c r="M32" i="9"/>
  <c r="O31" i="9"/>
  <c r="M31" i="9"/>
  <c r="O30" i="9"/>
  <c r="M30" i="9"/>
  <c r="O29" i="9"/>
  <c r="M29" i="9"/>
  <c r="O26" i="9"/>
  <c r="M26" i="9"/>
  <c r="O25" i="9"/>
  <c r="M25" i="9"/>
  <c r="O24" i="9"/>
  <c r="M24" i="9"/>
  <c r="O23" i="9"/>
  <c r="M23" i="9"/>
  <c r="O21" i="9"/>
  <c r="M21" i="9"/>
  <c r="O20" i="9"/>
  <c r="M20" i="9"/>
  <c r="O19" i="9"/>
  <c r="M19" i="9"/>
  <c r="O17" i="9"/>
  <c r="M17" i="9"/>
  <c r="O16" i="9"/>
  <c r="M16" i="9"/>
  <c r="O15" i="9"/>
  <c r="M15" i="9"/>
  <c r="O13" i="9"/>
  <c r="M13" i="9"/>
  <c r="O7" i="9"/>
  <c r="M7" i="9"/>
  <c r="Q228" i="8"/>
  <c r="P228" i="8"/>
  <c r="N228" i="8"/>
  <c r="L228" i="8"/>
  <c r="K228" i="8"/>
  <c r="J228" i="8"/>
  <c r="I228" i="8"/>
  <c r="H228" i="8"/>
  <c r="G228" i="8"/>
  <c r="O227" i="8"/>
  <c r="M227" i="8"/>
  <c r="O226" i="8"/>
  <c r="M226" i="8"/>
  <c r="O225" i="8"/>
  <c r="M225" i="8"/>
  <c r="O224" i="8"/>
  <c r="M224" i="8"/>
  <c r="O223" i="8"/>
  <c r="M223" i="8"/>
  <c r="O222" i="8"/>
  <c r="M222" i="8"/>
  <c r="O221" i="8"/>
  <c r="M221" i="8"/>
  <c r="O220" i="8"/>
  <c r="M220" i="8"/>
  <c r="O219" i="8"/>
  <c r="M219" i="8"/>
  <c r="O218" i="8"/>
  <c r="M218" i="8"/>
  <c r="O217" i="8"/>
  <c r="M217" i="8"/>
  <c r="O216" i="8"/>
  <c r="M216" i="8"/>
  <c r="O215" i="8"/>
  <c r="M215" i="8"/>
  <c r="O214" i="8"/>
  <c r="M214" i="8"/>
  <c r="O213" i="8"/>
  <c r="M213" i="8"/>
  <c r="O212" i="8"/>
  <c r="M212" i="8"/>
  <c r="O211" i="8"/>
  <c r="M211" i="8"/>
  <c r="O210" i="8"/>
  <c r="M210" i="8"/>
  <c r="O209" i="8"/>
  <c r="M209" i="8"/>
  <c r="O208" i="8"/>
  <c r="M208" i="8"/>
  <c r="O207" i="8"/>
  <c r="M207" i="8"/>
  <c r="O206" i="8"/>
  <c r="M206" i="8"/>
  <c r="O205" i="8"/>
  <c r="M205" i="8"/>
  <c r="O204" i="8"/>
  <c r="M204" i="8"/>
  <c r="O203" i="8"/>
  <c r="M203" i="8"/>
  <c r="O202" i="8"/>
  <c r="M202" i="8"/>
  <c r="O201" i="8"/>
  <c r="M201" i="8"/>
  <c r="O200" i="8"/>
  <c r="M200" i="8"/>
  <c r="O199" i="8"/>
  <c r="M199" i="8"/>
  <c r="O198" i="8"/>
  <c r="M198" i="8"/>
  <c r="O197" i="8"/>
  <c r="M197" i="8"/>
  <c r="O196" i="8"/>
  <c r="M196" i="8"/>
  <c r="O195" i="8"/>
  <c r="M195" i="8"/>
  <c r="O194" i="8"/>
  <c r="M194" i="8"/>
  <c r="O193" i="8"/>
  <c r="M193" i="8"/>
  <c r="O192" i="8"/>
  <c r="M192" i="8"/>
  <c r="O191" i="8"/>
  <c r="M191" i="8"/>
  <c r="O190" i="8"/>
  <c r="M190" i="8"/>
  <c r="O189" i="8"/>
  <c r="M189" i="8"/>
  <c r="O188" i="8"/>
  <c r="M188" i="8"/>
  <c r="O187" i="8"/>
  <c r="M187" i="8"/>
  <c r="O186" i="8"/>
  <c r="M186" i="8"/>
  <c r="O185" i="8"/>
  <c r="M185" i="8"/>
  <c r="O184" i="8"/>
  <c r="M184" i="8"/>
  <c r="O183" i="8"/>
  <c r="M183" i="8"/>
  <c r="O182" i="8"/>
  <c r="M182" i="8"/>
  <c r="O181" i="8"/>
  <c r="M181" i="8"/>
  <c r="O180" i="8"/>
  <c r="M180" i="8"/>
  <c r="O179" i="8"/>
  <c r="M179" i="8"/>
  <c r="O178" i="8"/>
  <c r="M178" i="8"/>
  <c r="O177" i="8"/>
  <c r="M177" i="8"/>
  <c r="O176" i="8"/>
  <c r="M176" i="8"/>
  <c r="O175" i="8"/>
  <c r="M175" i="8"/>
  <c r="O174" i="8"/>
  <c r="M174" i="8"/>
  <c r="O173" i="8"/>
  <c r="M173" i="8"/>
  <c r="O172" i="8"/>
  <c r="M172" i="8"/>
  <c r="O171" i="8"/>
  <c r="M171" i="8"/>
  <c r="O170" i="8"/>
  <c r="M170" i="8"/>
  <c r="O169" i="8"/>
  <c r="M169" i="8"/>
  <c r="O168" i="8"/>
  <c r="M168" i="8"/>
  <c r="O167" i="8"/>
  <c r="M167" i="8"/>
  <c r="O166" i="8"/>
  <c r="M166" i="8"/>
  <c r="O165" i="8"/>
  <c r="M165" i="8"/>
  <c r="O164" i="8"/>
  <c r="M164" i="8"/>
  <c r="O163" i="8"/>
  <c r="M163" i="8"/>
  <c r="O162" i="8"/>
  <c r="M162" i="8"/>
  <c r="O161" i="8"/>
  <c r="M161" i="8"/>
  <c r="O160" i="8"/>
  <c r="M160" i="8"/>
  <c r="O159" i="8"/>
  <c r="M159" i="8"/>
  <c r="O158" i="8"/>
  <c r="M158" i="8"/>
  <c r="O157" i="8"/>
  <c r="M157" i="8"/>
  <c r="O156" i="8"/>
  <c r="M156" i="8"/>
  <c r="O155" i="8"/>
  <c r="M155" i="8"/>
  <c r="O154" i="8"/>
  <c r="M154" i="8"/>
  <c r="O153" i="8"/>
  <c r="M153" i="8"/>
  <c r="O152" i="8"/>
  <c r="M152" i="8"/>
  <c r="O151" i="8"/>
  <c r="M151" i="8"/>
  <c r="O150" i="8"/>
  <c r="M150" i="8"/>
  <c r="O149" i="8"/>
  <c r="M149" i="8"/>
  <c r="O148" i="8"/>
  <c r="M148" i="8"/>
  <c r="O147" i="8"/>
  <c r="M147" i="8"/>
  <c r="O146" i="8"/>
  <c r="M146" i="8"/>
  <c r="O145" i="8"/>
  <c r="M145" i="8"/>
  <c r="O144" i="8"/>
  <c r="M144" i="8"/>
  <c r="O143" i="8"/>
  <c r="M143" i="8"/>
  <c r="O142" i="8"/>
  <c r="M142" i="8"/>
  <c r="O141" i="8"/>
  <c r="M141" i="8"/>
  <c r="O140" i="8"/>
  <c r="M140" i="8"/>
  <c r="O139" i="8"/>
  <c r="M139" i="8"/>
  <c r="O138" i="8"/>
  <c r="M138" i="8"/>
  <c r="O137" i="8"/>
  <c r="M137" i="8"/>
  <c r="O136" i="8"/>
  <c r="M136" i="8"/>
  <c r="O135" i="8"/>
  <c r="M135" i="8"/>
  <c r="O134" i="8"/>
  <c r="M134" i="8"/>
  <c r="O133" i="8"/>
  <c r="M133" i="8"/>
  <c r="O132" i="8"/>
  <c r="M132" i="8"/>
  <c r="O131" i="8"/>
  <c r="M131" i="8"/>
  <c r="O130" i="8"/>
  <c r="M130" i="8"/>
  <c r="O129" i="8"/>
  <c r="M129" i="8"/>
  <c r="O128" i="8"/>
  <c r="M128" i="8"/>
  <c r="O127" i="8"/>
  <c r="M127" i="8"/>
  <c r="O126" i="8"/>
  <c r="M126" i="8"/>
  <c r="O125" i="8"/>
  <c r="M125" i="8"/>
  <c r="O124" i="8"/>
  <c r="M124" i="8"/>
  <c r="O123" i="8"/>
  <c r="M123" i="8"/>
  <c r="O122" i="8"/>
  <c r="M122" i="8"/>
  <c r="O121" i="8"/>
  <c r="M121" i="8"/>
  <c r="O120" i="8"/>
  <c r="M120" i="8"/>
  <c r="O119" i="8"/>
  <c r="M119" i="8"/>
  <c r="O118" i="8"/>
  <c r="M118" i="8"/>
  <c r="O117" i="8"/>
  <c r="M117" i="8"/>
  <c r="O116" i="8"/>
  <c r="M116" i="8"/>
  <c r="O115" i="8"/>
  <c r="M115" i="8"/>
  <c r="O114" i="8"/>
  <c r="M114" i="8"/>
  <c r="O113" i="8"/>
  <c r="M113" i="8"/>
  <c r="O112" i="8"/>
  <c r="M112" i="8"/>
  <c r="O111" i="8"/>
  <c r="M111" i="8"/>
  <c r="O110" i="8"/>
  <c r="M110" i="8"/>
  <c r="O109" i="8"/>
  <c r="M109" i="8"/>
  <c r="O108" i="8"/>
  <c r="M108" i="8"/>
  <c r="O107" i="8"/>
  <c r="M107" i="8"/>
  <c r="O106" i="8"/>
  <c r="M106" i="8"/>
  <c r="O105" i="8"/>
  <c r="M105" i="8"/>
  <c r="O104" i="8"/>
  <c r="M104" i="8"/>
  <c r="O103" i="8"/>
  <c r="M103" i="8"/>
  <c r="O102" i="8"/>
  <c r="M102" i="8"/>
  <c r="O101" i="8"/>
  <c r="M101" i="8"/>
  <c r="O100" i="8"/>
  <c r="M100" i="8"/>
  <c r="O99" i="8"/>
  <c r="M99" i="8"/>
  <c r="O98" i="8"/>
  <c r="M98" i="8"/>
  <c r="O97" i="8"/>
  <c r="M97" i="8"/>
  <c r="O96" i="8"/>
  <c r="M96" i="8"/>
  <c r="O95" i="8"/>
  <c r="M95" i="8"/>
  <c r="O94" i="8"/>
  <c r="M94" i="8"/>
  <c r="O93" i="8"/>
  <c r="M93" i="8"/>
  <c r="O92" i="8"/>
  <c r="M92" i="8"/>
  <c r="O91" i="8"/>
  <c r="M91" i="8"/>
  <c r="O90" i="8"/>
  <c r="M90" i="8"/>
  <c r="O89" i="8"/>
  <c r="M89" i="8"/>
  <c r="O88" i="8"/>
  <c r="M88" i="8"/>
  <c r="O87" i="8"/>
  <c r="M87" i="8"/>
  <c r="O86" i="8"/>
  <c r="M86" i="8"/>
  <c r="O85" i="8"/>
  <c r="M85" i="8"/>
  <c r="O84" i="8"/>
  <c r="M84" i="8"/>
  <c r="O83" i="8"/>
  <c r="M83" i="8"/>
  <c r="O82" i="8"/>
  <c r="M82" i="8"/>
  <c r="O81" i="8"/>
  <c r="M81" i="8"/>
  <c r="O80" i="8"/>
  <c r="M80" i="8"/>
  <c r="O79" i="8"/>
  <c r="M79" i="8"/>
  <c r="O78" i="8"/>
  <c r="M78" i="8"/>
  <c r="O77" i="8"/>
  <c r="M77" i="8"/>
  <c r="O76" i="8"/>
  <c r="M76" i="8"/>
  <c r="O75" i="8"/>
  <c r="M75" i="8"/>
  <c r="O74" i="8"/>
  <c r="M74" i="8"/>
  <c r="O73" i="8"/>
  <c r="M73" i="8"/>
  <c r="O72" i="8"/>
  <c r="M72" i="8"/>
  <c r="O71" i="8"/>
  <c r="M71" i="8"/>
  <c r="O70" i="8"/>
  <c r="M70" i="8"/>
  <c r="O69" i="8"/>
  <c r="M69" i="8"/>
  <c r="O68" i="8"/>
  <c r="M68" i="8"/>
  <c r="O67" i="8"/>
  <c r="M67" i="8"/>
  <c r="O66" i="8"/>
  <c r="M66" i="8"/>
  <c r="O65" i="8"/>
  <c r="M65" i="8"/>
  <c r="O64" i="8"/>
  <c r="M64" i="8"/>
  <c r="O63" i="8"/>
  <c r="M63" i="8"/>
  <c r="O62" i="8"/>
  <c r="M62" i="8"/>
  <c r="O61" i="8"/>
  <c r="M61" i="8"/>
  <c r="O60" i="8"/>
  <c r="M60" i="8"/>
  <c r="O59" i="8"/>
  <c r="M59" i="8"/>
  <c r="O58" i="8"/>
  <c r="M58" i="8"/>
  <c r="O57" i="8"/>
  <c r="M57" i="8"/>
  <c r="O56" i="8"/>
  <c r="M56" i="8"/>
  <c r="O55" i="8"/>
  <c r="M55" i="8"/>
  <c r="O54" i="8"/>
  <c r="M54" i="8"/>
  <c r="O53" i="8"/>
  <c r="M53" i="8"/>
  <c r="O52" i="8"/>
  <c r="M52" i="8"/>
  <c r="O51" i="8"/>
  <c r="M51" i="8"/>
  <c r="O50" i="8"/>
  <c r="M50" i="8"/>
  <c r="O49" i="8"/>
  <c r="M49" i="8"/>
  <c r="O48" i="8"/>
  <c r="M48" i="8"/>
  <c r="O47" i="8"/>
  <c r="M47" i="8"/>
  <c r="O46" i="8"/>
  <c r="M46" i="8"/>
  <c r="O45" i="8"/>
  <c r="M45" i="8"/>
  <c r="O44" i="8"/>
  <c r="M44" i="8"/>
  <c r="O43" i="8"/>
  <c r="M43" i="8"/>
  <c r="O42" i="8"/>
  <c r="M42" i="8"/>
  <c r="O41" i="8"/>
  <c r="M41" i="8"/>
  <c r="O40" i="8"/>
  <c r="M40" i="8"/>
  <c r="O39" i="8"/>
  <c r="M39" i="8"/>
  <c r="O38" i="8"/>
  <c r="M38" i="8"/>
  <c r="O37" i="8"/>
  <c r="M37" i="8"/>
  <c r="O36" i="8"/>
  <c r="M36" i="8"/>
  <c r="O35" i="8"/>
  <c r="M35" i="8"/>
  <c r="O34" i="8"/>
  <c r="M34" i="8"/>
  <c r="O33" i="8"/>
  <c r="M33" i="8"/>
  <c r="O32" i="8"/>
  <c r="M32" i="8"/>
  <c r="O31" i="8"/>
  <c r="M31" i="8"/>
  <c r="O30" i="8"/>
  <c r="M30" i="8"/>
  <c r="O29" i="8"/>
  <c r="M29" i="8"/>
  <c r="O28" i="8"/>
  <c r="M28" i="8"/>
  <c r="O27" i="8"/>
  <c r="M27" i="8"/>
  <c r="O26" i="8"/>
  <c r="M26" i="8"/>
  <c r="O25" i="8"/>
  <c r="M25" i="8"/>
  <c r="O24" i="8"/>
  <c r="M24" i="8"/>
  <c r="O23" i="8"/>
  <c r="M23" i="8"/>
  <c r="O22" i="8"/>
  <c r="M22" i="8"/>
  <c r="O21" i="8"/>
  <c r="M21" i="8"/>
  <c r="O20" i="8"/>
  <c r="M20" i="8"/>
  <c r="O19" i="8"/>
  <c r="M19" i="8"/>
  <c r="O18" i="8"/>
  <c r="M18" i="8"/>
  <c r="O17" i="8"/>
  <c r="M17" i="8"/>
  <c r="O16" i="8"/>
  <c r="M16" i="8"/>
  <c r="O15" i="8"/>
  <c r="M15" i="8"/>
  <c r="O14" i="8"/>
  <c r="M14" i="8"/>
  <c r="O13" i="8"/>
  <c r="M13" i="8"/>
  <c r="O12" i="8"/>
  <c r="M12" i="8"/>
  <c r="O11" i="8"/>
  <c r="M11" i="8"/>
  <c r="O10" i="8"/>
  <c r="M10" i="8"/>
  <c r="O9" i="8"/>
  <c r="M9" i="8"/>
  <c r="O8" i="8"/>
  <c r="M8" i="8"/>
  <c r="O7" i="8"/>
  <c r="M7" i="8"/>
  <c r="O6" i="8"/>
  <c r="M6" i="8"/>
  <c r="O5" i="8"/>
  <c r="M5" i="8"/>
  <c r="O4" i="8"/>
  <c r="O96" i="6"/>
  <c r="M96" i="6"/>
  <c r="O95" i="6"/>
  <c r="M95" i="6"/>
  <c r="O94" i="6"/>
  <c r="M94" i="6"/>
  <c r="O93" i="6"/>
  <c r="M93" i="6"/>
  <c r="O92" i="6"/>
  <c r="M92" i="6"/>
  <c r="O91" i="6"/>
  <c r="M91" i="6"/>
  <c r="O90" i="6"/>
  <c r="M90" i="6"/>
  <c r="O89" i="6"/>
  <c r="M89" i="6"/>
  <c r="O88" i="6"/>
  <c r="M88" i="6"/>
  <c r="O87" i="6"/>
  <c r="M87" i="6"/>
  <c r="O86" i="6"/>
  <c r="M86" i="6"/>
  <c r="O85" i="6"/>
  <c r="M85" i="6"/>
  <c r="O84" i="6"/>
  <c r="M84" i="6"/>
  <c r="O83" i="6"/>
  <c r="M83" i="6"/>
  <c r="O82" i="6"/>
  <c r="M82" i="6"/>
  <c r="O81" i="6"/>
  <c r="M81" i="6"/>
  <c r="O80" i="6"/>
  <c r="M80" i="6"/>
  <c r="O79" i="6"/>
  <c r="M79" i="6"/>
  <c r="O78" i="6"/>
  <c r="M78" i="6"/>
  <c r="O77" i="6"/>
  <c r="M77" i="6"/>
  <c r="O76" i="6"/>
  <c r="M76" i="6"/>
  <c r="O75" i="6"/>
  <c r="M75" i="6"/>
  <c r="O74" i="6"/>
  <c r="M74" i="6"/>
  <c r="O73" i="6"/>
  <c r="M73" i="6"/>
  <c r="O72" i="6"/>
  <c r="M72" i="6"/>
  <c r="O71" i="6"/>
  <c r="M71" i="6"/>
  <c r="O70" i="6"/>
  <c r="M70" i="6"/>
  <c r="O69" i="6"/>
  <c r="M69" i="6"/>
  <c r="O68" i="6"/>
  <c r="M68" i="6"/>
  <c r="O67" i="6"/>
  <c r="M67" i="6"/>
  <c r="O66" i="6"/>
  <c r="M66" i="6"/>
  <c r="O65" i="6"/>
  <c r="M65" i="6"/>
  <c r="O64" i="6"/>
  <c r="M64" i="6"/>
  <c r="O63" i="6"/>
  <c r="M63" i="6"/>
  <c r="O62" i="6"/>
  <c r="M62" i="6"/>
  <c r="O61" i="6"/>
  <c r="M61" i="6"/>
  <c r="O60" i="6"/>
  <c r="M60" i="6"/>
  <c r="O59" i="6"/>
  <c r="M59" i="6"/>
  <c r="O58" i="6"/>
  <c r="M58" i="6"/>
  <c r="O57" i="6"/>
  <c r="M57" i="6"/>
  <c r="O56" i="6"/>
  <c r="M56" i="6"/>
  <c r="O55" i="6"/>
  <c r="M55" i="6"/>
  <c r="O54" i="6"/>
  <c r="M54" i="6"/>
  <c r="O53" i="6"/>
  <c r="M53" i="6"/>
  <c r="O52" i="6"/>
  <c r="M52" i="6"/>
  <c r="O51" i="6"/>
  <c r="M51" i="6"/>
  <c r="O50" i="6"/>
  <c r="M50" i="6"/>
  <c r="O49" i="6"/>
  <c r="M49" i="6"/>
  <c r="O48" i="6"/>
  <c r="M48" i="6"/>
  <c r="O47" i="6"/>
  <c r="M47" i="6"/>
  <c r="O46" i="6"/>
  <c r="M46" i="6"/>
  <c r="O45" i="6"/>
  <c r="M45" i="6"/>
  <c r="O44" i="6"/>
  <c r="M44" i="6"/>
  <c r="O43" i="6"/>
  <c r="M43" i="6"/>
  <c r="O42" i="6"/>
  <c r="M42" i="6"/>
  <c r="O41" i="6"/>
  <c r="M41" i="6"/>
  <c r="O40" i="6"/>
  <c r="M40" i="6"/>
  <c r="O39" i="6"/>
  <c r="M39" i="6"/>
  <c r="O38" i="6"/>
  <c r="M38" i="6"/>
  <c r="O37" i="6"/>
  <c r="M37" i="6"/>
  <c r="O36" i="6"/>
  <c r="M36" i="6"/>
  <c r="O35" i="6"/>
  <c r="M35" i="6"/>
  <c r="O34" i="6"/>
  <c r="M34" i="6"/>
  <c r="O33" i="6"/>
  <c r="M33" i="6"/>
  <c r="O32" i="6"/>
  <c r="M32" i="6"/>
  <c r="O31" i="6"/>
  <c r="M31" i="6"/>
  <c r="O30" i="6"/>
  <c r="M30" i="6"/>
  <c r="O29" i="6"/>
  <c r="M29" i="6"/>
  <c r="O28" i="6"/>
  <c r="M28" i="6"/>
  <c r="O27" i="6"/>
  <c r="M27" i="6"/>
  <c r="O26" i="6"/>
  <c r="M26" i="6"/>
  <c r="O25" i="6"/>
  <c r="M25" i="6"/>
  <c r="O24" i="6"/>
  <c r="M24" i="6"/>
  <c r="O23" i="6"/>
  <c r="M23" i="6"/>
  <c r="O22" i="6"/>
  <c r="M22" i="6"/>
  <c r="O21" i="6"/>
  <c r="M21" i="6"/>
  <c r="O20" i="6"/>
  <c r="M20" i="6"/>
  <c r="O19" i="6"/>
  <c r="M19" i="6"/>
  <c r="O18" i="6"/>
  <c r="M18" i="6"/>
  <c r="O17" i="6"/>
  <c r="M17" i="6"/>
  <c r="O16" i="6"/>
  <c r="M16" i="6"/>
  <c r="O15" i="6"/>
  <c r="M15" i="6"/>
  <c r="O14" i="6"/>
  <c r="M14" i="6"/>
  <c r="O13" i="6"/>
  <c r="M13" i="6"/>
  <c r="O12" i="6"/>
  <c r="M12" i="6"/>
  <c r="O11" i="6"/>
  <c r="M11" i="6"/>
  <c r="O10" i="6"/>
  <c r="M10" i="6"/>
  <c r="O9" i="6"/>
  <c r="M9" i="6"/>
  <c r="O8" i="6"/>
  <c r="M8" i="6"/>
  <c r="O7" i="6"/>
  <c r="M7" i="6"/>
  <c r="O6" i="6"/>
  <c r="M6" i="6"/>
  <c r="O5" i="6"/>
  <c r="O4" i="6"/>
  <c r="M4" i="6"/>
  <c r="P221" i="7"/>
  <c r="N221" i="7"/>
  <c r="L221" i="7"/>
  <c r="K221" i="7"/>
  <c r="J221" i="7"/>
  <c r="I221" i="7"/>
  <c r="H221" i="7"/>
  <c r="G221" i="7"/>
  <c r="O218" i="7"/>
  <c r="M218" i="7"/>
  <c r="O214" i="7"/>
  <c r="M214" i="7"/>
  <c r="O211" i="7"/>
  <c r="M211" i="7"/>
  <c r="O210" i="7"/>
  <c r="M210" i="7"/>
  <c r="O209" i="7"/>
  <c r="M209" i="7"/>
  <c r="O208" i="7"/>
  <c r="M208" i="7"/>
  <c r="O207" i="7"/>
  <c r="M207" i="7"/>
  <c r="O206" i="7"/>
  <c r="M206" i="7"/>
  <c r="O205" i="7"/>
  <c r="M205" i="7"/>
  <c r="O204" i="7"/>
  <c r="M204" i="7"/>
  <c r="O203" i="7"/>
  <c r="M203" i="7"/>
  <c r="O202" i="7"/>
  <c r="M202" i="7"/>
  <c r="O201" i="7"/>
  <c r="M201" i="7"/>
  <c r="O200" i="7"/>
  <c r="M200" i="7"/>
  <c r="O199" i="7"/>
  <c r="M199" i="7"/>
  <c r="O196" i="7"/>
  <c r="M196" i="7"/>
  <c r="O195" i="7"/>
  <c r="M195" i="7"/>
  <c r="O194" i="7"/>
  <c r="M194" i="7"/>
  <c r="O193" i="7"/>
  <c r="M193" i="7"/>
  <c r="O192" i="7"/>
  <c r="M192" i="7"/>
  <c r="O191" i="7"/>
  <c r="M191" i="7"/>
  <c r="O190" i="7"/>
  <c r="M190" i="7"/>
  <c r="O189" i="7"/>
  <c r="M189" i="7"/>
  <c r="O188" i="7"/>
  <c r="M188" i="7"/>
  <c r="O186" i="7"/>
  <c r="M186" i="7"/>
  <c r="O185" i="7"/>
  <c r="M185" i="7"/>
  <c r="O184" i="7"/>
  <c r="M184" i="7"/>
  <c r="O183" i="7"/>
  <c r="M183" i="7"/>
  <c r="O182" i="7"/>
  <c r="M182" i="7"/>
  <c r="O180" i="7"/>
  <c r="M180" i="7"/>
  <c r="O179" i="7"/>
  <c r="M179" i="7"/>
  <c r="O178" i="7"/>
  <c r="M178" i="7"/>
  <c r="O177" i="7"/>
  <c r="M177" i="7"/>
  <c r="O176" i="7"/>
  <c r="M176" i="7"/>
  <c r="O175" i="7"/>
  <c r="M175" i="7"/>
  <c r="O174" i="7"/>
  <c r="M174" i="7"/>
  <c r="O173" i="7"/>
  <c r="M173" i="7"/>
  <c r="O172" i="7"/>
  <c r="M172" i="7"/>
  <c r="O171" i="7"/>
  <c r="M171" i="7"/>
  <c r="O170" i="7"/>
  <c r="M170" i="7"/>
  <c r="O168" i="7"/>
  <c r="M168" i="7"/>
  <c r="O167" i="7"/>
  <c r="M167" i="7"/>
  <c r="O166" i="7"/>
  <c r="M166" i="7"/>
  <c r="O165" i="7"/>
  <c r="M165" i="7"/>
  <c r="O164" i="7"/>
  <c r="M164" i="7"/>
  <c r="O163" i="7"/>
  <c r="M163" i="7"/>
  <c r="O162" i="7"/>
  <c r="M162" i="7"/>
  <c r="O161" i="7"/>
  <c r="M161" i="7"/>
  <c r="O160" i="7"/>
  <c r="M160" i="7"/>
  <c r="O159" i="7"/>
  <c r="M159" i="7"/>
  <c r="O158" i="7"/>
  <c r="M158" i="7"/>
  <c r="O157" i="7"/>
  <c r="M157" i="7"/>
  <c r="O156" i="7"/>
  <c r="M156" i="7"/>
  <c r="O155" i="7"/>
  <c r="M155" i="7"/>
  <c r="O154" i="7"/>
  <c r="M154" i="7"/>
  <c r="O153" i="7"/>
  <c r="M153" i="7"/>
  <c r="O152" i="7"/>
  <c r="M152" i="7"/>
  <c r="O151" i="7"/>
  <c r="M151" i="7"/>
  <c r="O150" i="7"/>
  <c r="M150" i="7"/>
  <c r="O149" i="7"/>
  <c r="M149" i="7"/>
  <c r="O148" i="7"/>
  <c r="M148" i="7"/>
  <c r="O147" i="7"/>
  <c r="M147" i="7"/>
  <c r="O146" i="7"/>
  <c r="M146" i="7"/>
  <c r="O145" i="7"/>
  <c r="M145" i="7"/>
  <c r="O144" i="7"/>
  <c r="M144" i="7"/>
  <c r="O143" i="7"/>
  <c r="M143" i="7"/>
  <c r="O142" i="7"/>
  <c r="M142" i="7"/>
  <c r="O141" i="7"/>
  <c r="M141" i="7"/>
  <c r="O140" i="7"/>
  <c r="M140" i="7"/>
  <c r="O139" i="7"/>
  <c r="M139" i="7"/>
  <c r="O138" i="7"/>
  <c r="M138" i="7"/>
  <c r="O137" i="7"/>
  <c r="M137" i="7"/>
  <c r="O135" i="7"/>
  <c r="M135" i="7"/>
  <c r="O134" i="7"/>
  <c r="M134" i="7"/>
  <c r="O132" i="7"/>
  <c r="M132" i="7"/>
  <c r="O131" i="7"/>
  <c r="M131" i="7"/>
  <c r="O130" i="7"/>
  <c r="M130" i="7"/>
  <c r="O129" i="7"/>
  <c r="M129" i="7"/>
  <c r="O128" i="7"/>
  <c r="M128" i="7"/>
  <c r="O126" i="7"/>
  <c r="M126" i="7"/>
  <c r="O125" i="7"/>
  <c r="M125" i="7"/>
  <c r="O124" i="7"/>
  <c r="M124" i="7"/>
  <c r="O123" i="7"/>
  <c r="M123" i="7"/>
  <c r="O122" i="7"/>
  <c r="M122" i="7"/>
  <c r="O120" i="7"/>
  <c r="M120" i="7"/>
  <c r="O119" i="7"/>
  <c r="M119" i="7"/>
  <c r="O118" i="7"/>
  <c r="M118" i="7"/>
  <c r="O116" i="7"/>
  <c r="M116" i="7"/>
  <c r="O115" i="7"/>
  <c r="M115" i="7"/>
  <c r="O114" i="7"/>
  <c r="M114" i="7"/>
  <c r="O113" i="7"/>
  <c r="M113" i="7"/>
  <c r="O111" i="7"/>
  <c r="M111" i="7"/>
  <c r="O110" i="7"/>
  <c r="M110" i="7"/>
  <c r="O109" i="7"/>
  <c r="M109" i="7"/>
  <c r="O108" i="7"/>
  <c r="M108" i="7"/>
  <c r="O107" i="7"/>
  <c r="M107" i="7"/>
  <c r="O106" i="7"/>
  <c r="M106" i="7"/>
  <c r="O105" i="7"/>
  <c r="M105" i="7"/>
  <c r="O104" i="7"/>
  <c r="M104" i="7"/>
  <c r="O103" i="7"/>
  <c r="M103" i="7"/>
  <c r="O101" i="7"/>
  <c r="M101" i="7"/>
  <c r="O98" i="7"/>
  <c r="M98" i="7"/>
  <c r="O97" i="7"/>
  <c r="M97" i="7"/>
  <c r="O94" i="7"/>
  <c r="M94" i="7"/>
  <c r="O93" i="7"/>
  <c r="M93" i="7"/>
  <c r="O89" i="7"/>
  <c r="M89" i="7"/>
  <c r="O88" i="7"/>
  <c r="M88" i="7"/>
  <c r="O87" i="7"/>
  <c r="M87" i="7"/>
  <c r="O86" i="7"/>
  <c r="M86" i="7"/>
  <c r="O85" i="7"/>
  <c r="M85" i="7"/>
  <c r="O84" i="7"/>
  <c r="M84" i="7"/>
  <c r="O83" i="7"/>
  <c r="M83" i="7"/>
  <c r="O82" i="7"/>
  <c r="M82" i="7"/>
  <c r="O81" i="7"/>
  <c r="M81" i="7"/>
  <c r="O80" i="7"/>
  <c r="M80" i="7"/>
  <c r="O79" i="7"/>
  <c r="M79" i="7"/>
  <c r="O78" i="7"/>
  <c r="M78" i="7"/>
  <c r="O77" i="7"/>
  <c r="M77" i="7"/>
  <c r="O76" i="7"/>
  <c r="M76" i="7"/>
  <c r="O75" i="7"/>
  <c r="M75" i="7"/>
  <c r="O74" i="7"/>
  <c r="M74" i="7"/>
  <c r="O73" i="7"/>
  <c r="M73" i="7"/>
  <c r="O72" i="7"/>
  <c r="M72" i="7"/>
  <c r="O71" i="7"/>
  <c r="M71" i="7"/>
  <c r="O70" i="7"/>
  <c r="M70" i="7"/>
  <c r="O69" i="7"/>
  <c r="M69" i="7"/>
  <c r="O68" i="7"/>
  <c r="M68" i="7"/>
  <c r="O67" i="7"/>
  <c r="M67" i="7"/>
  <c r="O66" i="7"/>
  <c r="M66" i="7"/>
  <c r="O65" i="7"/>
  <c r="M65" i="7"/>
  <c r="O64" i="7"/>
  <c r="M64" i="7"/>
  <c r="O63" i="7"/>
  <c r="M63" i="7"/>
  <c r="O62" i="7"/>
  <c r="M62" i="7"/>
  <c r="O61" i="7"/>
  <c r="M61" i="7"/>
  <c r="O60" i="7"/>
  <c r="M60" i="7"/>
  <c r="O59" i="7"/>
  <c r="M59" i="7"/>
  <c r="O58" i="7"/>
  <c r="M58" i="7"/>
  <c r="O57" i="7"/>
  <c r="M57" i="7"/>
  <c r="O56" i="7"/>
  <c r="M56" i="7"/>
  <c r="O55" i="7"/>
  <c r="M55" i="7"/>
  <c r="O54" i="7"/>
  <c r="M54" i="7"/>
  <c r="O53" i="7"/>
  <c r="M53" i="7"/>
  <c r="O52" i="7"/>
  <c r="M52" i="7"/>
  <c r="O51" i="7"/>
  <c r="M51" i="7"/>
  <c r="O50" i="7"/>
  <c r="M50" i="7"/>
  <c r="O49" i="7"/>
  <c r="M49" i="7"/>
  <c r="O48" i="7"/>
  <c r="M48" i="7"/>
  <c r="O47" i="7"/>
  <c r="M47" i="7"/>
  <c r="O46" i="7"/>
  <c r="M46" i="7"/>
  <c r="O45" i="7"/>
  <c r="M45" i="7"/>
  <c r="O44" i="7"/>
  <c r="M44" i="7"/>
  <c r="O43" i="7"/>
  <c r="M43" i="7"/>
  <c r="O42" i="7"/>
  <c r="M42" i="7"/>
  <c r="O41" i="7"/>
  <c r="M41" i="7"/>
  <c r="O40" i="7"/>
  <c r="M40" i="7"/>
  <c r="O39" i="7"/>
  <c r="M39" i="7"/>
  <c r="O38" i="7"/>
  <c r="M38" i="7"/>
  <c r="O37" i="7"/>
  <c r="M37" i="7"/>
  <c r="O36" i="7"/>
  <c r="M36" i="7"/>
  <c r="O35" i="7"/>
  <c r="M35" i="7"/>
  <c r="O34" i="7"/>
  <c r="M34" i="7"/>
  <c r="O33" i="7"/>
  <c r="M33" i="7"/>
  <c r="O32" i="7"/>
  <c r="M32" i="7"/>
  <c r="O31" i="7"/>
  <c r="M31" i="7"/>
  <c r="O30" i="7"/>
  <c r="M30" i="7"/>
  <c r="O29" i="7"/>
  <c r="M29" i="7"/>
  <c r="O28" i="7"/>
  <c r="M28" i="7"/>
  <c r="O27" i="7"/>
  <c r="M27" i="7"/>
  <c r="O26" i="7"/>
  <c r="M26" i="7"/>
  <c r="O25" i="7"/>
  <c r="M25" i="7"/>
  <c r="O24" i="7"/>
  <c r="M24" i="7"/>
  <c r="O23" i="7"/>
  <c r="M23" i="7"/>
  <c r="O22" i="7"/>
  <c r="M22" i="7"/>
  <c r="O21" i="7"/>
  <c r="M21" i="7"/>
  <c r="O20" i="7"/>
  <c r="M20" i="7"/>
  <c r="O19" i="7"/>
  <c r="M19" i="7"/>
  <c r="O18" i="7"/>
  <c r="M18" i="7"/>
  <c r="O17" i="7"/>
  <c r="M17" i="7"/>
  <c r="O16" i="7"/>
  <c r="M16" i="7"/>
  <c r="O15" i="7"/>
  <c r="M15" i="7"/>
  <c r="O14" i="7"/>
  <c r="M14" i="7"/>
  <c r="O13" i="7"/>
  <c r="M13" i="7"/>
  <c r="O12" i="7"/>
  <c r="M12" i="7"/>
  <c r="O11" i="7"/>
  <c r="M11" i="7"/>
  <c r="O10" i="7"/>
  <c r="M10" i="7"/>
  <c r="O9" i="7"/>
  <c r="M9" i="7"/>
  <c r="O8" i="7"/>
  <c r="M8" i="7"/>
  <c r="O7" i="7"/>
  <c r="M7" i="7"/>
  <c r="O6" i="7"/>
  <c r="M6" i="7"/>
  <c r="O5" i="7"/>
  <c r="M5" i="7"/>
  <c r="O4" i="7"/>
  <c r="M4" i="7"/>
  <c r="K92" i="2"/>
  <c r="J92" i="2"/>
  <c r="I92" i="2"/>
  <c r="H92" i="2"/>
  <c r="O91" i="2"/>
  <c r="M91" i="2"/>
  <c r="O90" i="2"/>
  <c r="M90" i="2"/>
  <c r="O89" i="2"/>
  <c r="M89" i="2"/>
  <c r="O88" i="2"/>
  <c r="M88" i="2"/>
  <c r="O87" i="2"/>
  <c r="M87" i="2"/>
  <c r="O86" i="2"/>
  <c r="M86" i="2"/>
  <c r="O85" i="2"/>
  <c r="M85" i="2"/>
  <c r="O84" i="2"/>
  <c r="M84" i="2"/>
  <c r="O83" i="2"/>
  <c r="M83" i="2"/>
  <c r="O82" i="2"/>
  <c r="M82" i="2"/>
  <c r="O81" i="2"/>
  <c r="M81" i="2"/>
  <c r="O80" i="2"/>
  <c r="M80" i="2"/>
  <c r="O79" i="2"/>
  <c r="M79" i="2"/>
  <c r="O78" i="2"/>
  <c r="M78" i="2"/>
  <c r="O77" i="2"/>
  <c r="M77" i="2"/>
  <c r="O76" i="2"/>
  <c r="M76" i="2"/>
  <c r="O75" i="2"/>
  <c r="M75" i="2"/>
  <c r="O74" i="2"/>
  <c r="M74" i="2"/>
  <c r="O73" i="2"/>
  <c r="M73" i="2"/>
  <c r="O72" i="2"/>
  <c r="M72" i="2"/>
  <c r="O71" i="2"/>
  <c r="M71" i="2"/>
  <c r="O70" i="2"/>
  <c r="M70" i="2"/>
  <c r="O69" i="2"/>
  <c r="M69" i="2"/>
  <c r="O68" i="2"/>
  <c r="M68" i="2"/>
  <c r="O67" i="2"/>
  <c r="M67" i="2"/>
  <c r="O66" i="2"/>
  <c r="M66" i="2"/>
  <c r="O65" i="2"/>
  <c r="M65" i="2"/>
  <c r="O64" i="2"/>
  <c r="M64" i="2"/>
  <c r="O63" i="2"/>
  <c r="M63" i="2"/>
  <c r="O62" i="2"/>
  <c r="M62" i="2"/>
  <c r="O61" i="2"/>
  <c r="M61" i="2"/>
  <c r="O60" i="2"/>
  <c r="M60" i="2"/>
  <c r="O59" i="2"/>
  <c r="M59" i="2"/>
  <c r="O57" i="2"/>
  <c r="M57" i="2"/>
  <c r="O54" i="2"/>
  <c r="M54" i="2"/>
  <c r="O53" i="2"/>
  <c r="M53" i="2"/>
  <c r="O52" i="2"/>
  <c r="M52" i="2"/>
  <c r="O51" i="2"/>
  <c r="M51" i="2"/>
  <c r="O50" i="2"/>
  <c r="M50" i="2"/>
  <c r="O49" i="2"/>
  <c r="M49" i="2"/>
  <c r="O48" i="2"/>
  <c r="M48" i="2"/>
  <c r="O47" i="2"/>
  <c r="M47" i="2"/>
  <c r="O46" i="2"/>
  <c r="M46" i="2"/>
  <c r="O45" i="2"/>
  <c r="M45" i="2"/>
  <c r="O44" i="2"/>
  <c r="M44" i="2"/>
  <c r="O43" i="2"/>
  <c r="M43" i="2"/>
  <c r="O42" i="2"/>
  <c r="M42" i="2"/>
  <c r="O41" i="2"/>
  <c r="M41" i="2"/>
  <c r="O40" i="2"/>
  <c r="M40" i="2"/>
  <c r="O39" i="2"/>
  <c r="M39" i="2"/>
  <c r="O38" i="2"/>
  <c r="M38" i="2"/>
  <c r="O37" i="2"/>
  <c r="M37" i="2"/>
  <c r="O36" i="2"/>
  <c r="M36" i="2"/>
  <c r="O35" i="2"/>
  <c r="M35" i="2"/>
  <c r="O34" i="2"/>
  <c r="M34" i="2"/>
  <c r="O33" i="2"/>
  <c r="M33" i="2"/>
  <c r="O32" i="2"/>
  <c r="M32" i="2"/>
  <c r="O31" i="2"/>
  <c r="M31" i="2"/>
  <c r="O30" i="2"/>
  <c r="M30" i="2"/>
  <c r="O29" i="2"/>
  <c r="M29" i="2"/>
  <c r="O28" i="2"/>
  <c r="M28" i="2"/>
  <c r="O27" i="2"/>
  <c r="M27" i="2"/>
  <c r="O26" i="2"/>
  <c r="M26" i="2"/>
  <c r="O25" i="2"/>
  <c r="M25" i="2"/>
  <c r="O24" i="2"/>
  <c r="M24" i="2"/>
  <c r="O23" i="2"/>
  <c r="M23" i="2"/>
  <c r="O22" i="2"/>
  <c r="M22" i="2"/>
  <c r="O21" i="2"/>
  <c r="M21" i="2"/>
  <c r="O20" i="2"/>
  <c r="M20" i="2"/>
  <c r="O19" i="2"/>
  <c r="M19" i="2"/>
  <c r="O18" i="2"/>
  <c r="M18" i="2"/>
  <c r="O17" i="2"/>
  <c r="M17" i="2"/>
  <c r="O16" i="2"/>
  <c r="M16" i="2"/>
  <c r="O15" i="2"/>
  <c r="M15" i="2"/>
  <c r="O14" i="2"/>
  <c r="M14" i="2"/>
  <c r="O13" i="2"/>
  <c r="M13" i="2"/>
  <c r="O12" i="2"/>
  <c r="M12" i="2"/>
  <c r="O11" i="2"/>
  <c r="M11" i="2"/>
  <c r="O10" i="2"/>
  <c r="M10" i="2"/>
  <c r="O9" i="2"/>
  <c r="M9" i="2"/>
  <c r="O8" i="2"/>
  <c r="M8" i="2"/>
  <c r="O7" i="2"/>
  <c r="M7" i="2"/>
  <c r="O6" i="2"/>
  <c r="M6" i="2"/>
  <c r="O5" i="2"/>
  <c r="M5" i="2"/>
  <c r="O124" i="3"/>
  <c r="M124" i="3"/>
  <c r="O123" i="3"/>
  <c r="M123" i="3"/>
  <c r="O122" i="3"/>
  <c r="M122" i="3"/>
  <c r="O121" i="3"/>
  <c r="M121" i="3"/>
  <c r="O119" i="3"/>
  <c r="M119" i="3"/>
  <c r="O118" i="3"/>
  <c r="M118" i="3"/>
  <c r="O117" i="3"/>
  <c r="M117" i="3"/>
  <c r="O114" i="3"/>
  <c r="M114" i="3"/>
  <c r="O113" i="3"/>
  <c r="M113" i="3"/>
  <c r="O112" i="3"/>
  <c r="M112" i="3"/>
  <c r="O111" i="3"/>
  <c r="M111" i="3"/>
  <c r="O110" i="3"/>
  <c r="M110" i="3"/>
  <c r="O109" i="3"/>
  <c r="M109" i="3"/>
  <c r="O107" i="3"/>
  <c r="M107" i="3"/>
  <c r="O105" i="3"/>
  <c r="M105" i="3"/>
  <c r="O104" i="3"/>
  <c r="M104" i="3"/>
  <c r="O102" i="3"/>
  <c r="M102" i="3"/>
  <c r="O101" i="3"/>
  <c r="M101" i="3"/>
  <c r="O100" i="3"/>
  <c r="M100" i="3"/>
  <c r="O99" i="3"/>
  <c r="M99" i="3"/>
  <c r="O98" i="3"/>
  <c r="M98" i="3"/>
  <c r="O96" i="3"/>
  <c r="M96" i="3"/>
  <c r="O95" i="3"/>
  <c r="M95" i="3"/>
  <c r="O93" i="3"/>
  <c r="M93" i="3"/>
  <c r="O92" i="3"/>
  <c r="M92" i="3"/>
  <c r="O90" i="3"/>
  <c r="M90" i="3"/>
  <c r="O89" i="3"/>
  <c r="M89" i="3"/>
  <c r="O87" i="3"/>
  <c r="M87" i="3"/>
  <c r="O86" i="3"/>
  <c r="M86" i="3"/>
  <c r="O85" i="3"/>
  <c r="M85" i="3"/>
  <c r="O84" i="3"/>
  <c r="M84" i="3"/>
  <c r="O83" i="3"/>
  <c r="M83" i="3"/>
  <c r="O82" i="3"/>
  <c r="M82" i="3"/>
  <c r="O81" i="3"/>
  <c r="M81" i="3"/>
  <c r="O80" i="3"/>
  <c r="M80" i="3"/>
  <c r="O79" i="3"/>
  <c r="M79" i="3"/>
  <c r="O78" i="3"/>
  <c r="M78" i="3"/>
  <c r="O77" i="3"/>
  <c r="M77" i="3"/>
  <c r="O75" i="3"/>
  <c r="M75" i="3"/>
  <c r="O74" i="3"/>
  <c r="M74" i="3"/>
  <c r="O72" i="3"/>
  <c r="M72" i="3"/>
  <c r="O71" i="3"/>
  <c r="M71" i="3"/>
  <c r="O70" i="3"/>
  <c r="M70" i="3"/>
  <c r="O68" i="3"/>
  <c r="M68" i="3"/>
  <c r="O67" i="3"/>
  <c r="M67" i="3"/>
  <c r="O65" i="3"/>
  <c r="M65" i="3"/>
  <c r="O63" i="3"/>
  <c r="M63" i="3"/>
  <c r="O60" i="3"/>
  <c r="M60" i="3"/>
  <c r="O59" i="3"/>
  <c r="M59" i="3"/>
  <c r="O58" i="3"/>
  <c r="M58" i="3"/>
  <c r="O56" i="3"/>
  <c r="M56" i="3"/>
  <c r="O55" i="3"/>
  <c r="M55" i="3"/>
  <c r="O53" i="3"/>
  <c r="M53" i="3"/>
  <c r="O52" i="3"/>
  <c r="M52" i="3"/>
  <c r="O51" i="3"/>
  <c r="M51" i="3"/>
  <c r="O50" i="3"/>
  <c r="M50" i="3"/>
  <c r="O49" i="3"/>
  <c r="M49" i="3"/>
  <c r="O47" i="3"/>
  <c r="M47" i="3"/>
  <c r="O44" i="3"/>
  <c r="M44" i="3"/>
  <c r="O43" i="3"/>
  <c r="M43" i="3"/>
  <c r="O42" i="3"/>
  <c r="M42" i="3"/>
  <c r="O41" i="3"/>
  <c r="M41" i="3"/>
  <c r="O40" i="3"/>
  <c r="M40" i="3"/>
  <c r="O38" i="3"/>
  <c r="M38" i="3"/>
  <c r="O37" i="3"/>
  <c r="M37" i="3"/>
  <c r="O35" i="3"/>
  <c r="M35" i="3"/>
  <c r="O33" i="3"/>
  <c r="M33" i="3"/>
  <c r="O32" i="3"/>
  <c r="M32" i="3"/>
  <c r="O31" i="3"/>
  <c r="M31" i="3"/>
  <c r="O30" i="3"/>
  <c r="M30" i="3"/>
  <c r="O29" i="3"/>
  <c r="M29" i="3"/>
  <c r="O28" i="3"/>
  <c r="M28" i="3"/>
  <c r="O26" i="3"/>
  <c r="M26" i="3"/>
  <c r="O25" i="3"/>
  <c r="M25" i="3"/>
  <c r="O24" i="3"/>
  <c r="M24" i="3"/>
  <c r="O21" i="3"/>
  <c r="M21" i="3"/>
  <c r="O20" i="3"/>
  <c r="M20" i="3"/>
  <c r="O19" i="3"/>
  <c r="M19" i="3"/>
  <c r="O18" i="3"/>
  <c r="M18" i="3"/>
  <c r="O17" i="3"/>
  <c r="M17" i="3"/>
  <c r="O16" i="3"/>
  <c r="M16" i="3"/>
  <c r="O15" i="3"/>
  <c r="M15" i="3"/>
  <c r="O14" i="3"/>
  <c r="M14" i="3"/>
  <c r="O13" i="3"/>
  <c r="M13" i="3"/>
  <c r="O12" i="3"/>
  <c r="M12" i="3"/>
  <c r="O9" i="3"/>
  <c r="M9" i="3"/>
  <c r="O8" i="3"/>
  <c r="M8" i="3"/>
  <c r="O6" i="3"/>
  <c r="M6" i="3"/>
  <c r="O5" i="3"/>
  <c r="M5" i="3"/>
  <c r="O4" i="3"/>
</calcChain>
</file>

<file path=xl/sharedStrings.xml><?xml version="1.0" encoding="utf-8"?>
<sst xmlns="http://schemas.openxmlformats.org/spreadsheetml/2006/main" count="10836" uniqueCount="2711">
  <si>
    <t>P1/L1</t>
  </si>
  <si>
    <t>P1/L2</t>
  </si>
  <si>
    <t>P2/L2</t>
  </si>
  <si>
    <t>P3/L3</t>
  </si>
  <si>
    <t>S.no.</t>
  </si>
  <si>
    <t>District</t>
  </si>
  <si>
    <t>Block</t>
  </si>
  <si>
    <t>Panchayat</t>
  </si>
  <si>
    <t>Village</t>
  </si>
  <si>
    <t>CODE11</t>
  </si>
  <si>
    <t>Total Geographical Area</t>
  </si>
  <si>
    <t>Total Households</t>
  </si>
  <si>
    <t>Total Population</t>
  </si>
  <si>
    <t>Total male</t>
  </si>
  <si>
    <t>Total Female</t>
  </si>
  <si>
    <t>Total SC Population</t>
  </si>
  <si>
    <t>Total ST Population</t>
  </si>
  <si>
    <t>Permanent Pasture &amp; other Grazing Land Area</t>
  </si>
  <si>
    <t>Potential CFRR Area</t>
  </si>
  <si>
    <t>Resolution for CVS formation/ reorganisation</t>
  </si>
  <si>
    <t>CVS formed/ reorganised</t>
  </si>
  <si>
    <t>Application by CVS for Pastureland recognition (Resolution)</t>
  </si>
  <si>
    <t xml:space="preserve">Recognition of VI &amp; Tenure over Pasture land under 170 (1) (Sahmati Patra) </t>
  </si>
  <si>
    <t>Entry of Pasture land in Panchayat asset register</t>
  </si>
  <si>
    <t>Village specific bylaws for Pasture land</t>
  </si>
  <si>
    <t>Action taken for demarcation of Pasture land</t>
  </si>
  <si>
    <t>Action taken for removal of enchrochment of Pasture land</t>
  </si>
  <si>
    <t>Removal of encrochment from Pasture Land</t>
  </si>
  <si>
    <t xml:space="preserve">Ecorestoration Plan of Pasture land </t>
  </si>
  <si>
    <t xml:space="preserve">Ecorestoration work  integrated VBGMRG /VPGP /GPDP  </t>
  </si>
  <si>
    <t>Work done under VBGRAMG/ other Govt schemes</t>
  </si>
  <si>
    <t xml:space="preserve">Activities narration of work done under VBGRAMG/ Govt schemes </t>
  </si>
  <si>
    <t>GPS Co-ordinates</t>
  </si>
  <si>
    <t>BARAN</t>
  </si>
  <si>
    <t>BADAN</t>
  </si>
  <si>
    <t>Badan</t>
  </si>
  <si>
    <t>0812800672102721</t>
  </si>
  <si>
    <t>Yes</t>
  </si>
  <si>
    <t>02.10.2022</t>
  </si>
  <si>
    <t>Y</t>
  </si>
  <si>
    <t>Bamooliya Jageer</t>
  </si>
  <si>
    <t>0812800672102722</t>
  </si>
  <si>
    <t>BAMLA</t>
  </si>
  <si>
    <t>Bamla</t>
  </si>
  <si>
    <t>0812800672102785</t>
  </si>
  <si>
    <t>20.09.2022</t>
  </si>
  <si>
    <t>Bamli</t>
  </si>
  <si>
    <t>0812800672102786</t>
  </si>
  <si>
    <t>Charagah</t>
  </si>
  <si>
    <t>25.0046505,24.99575503</t>
  </si>
  <si>
    <t>76.47407529,76.46773726</t>
  </si>
  <si>
    <t>P</t>
  </si>
  <si>
    <t>BARANA</t>
  </si>
  <si>
    <t>Barana</t>
  </si>
  <si>
    <t>0812800672102803</t>
  </si>
  <si>
    <t>YEs</t>
  </si>
  <si>
    <t>Gordhanpura</t>
  </si>
  <si>
    <t>0812800672102802</t>
  </si>
  <si>
    <t>Barani</t>
  </si>
  <si>
    <t>0812800672102799</t>
  </si>
  <si>
    <t>BATAWADA</t>
  </si>
  <si>
    <t>Batawada</t>
  </si>
  <si>
    <t>0812800672102747</t>
  </si>
  <si>
    <t>Borina</t>
  </si>
  <si>
    <t>0812800672102764</t>
  </si>
  <si>
    <t>Haripura</t>
  </si>
  <si>
    <t>0812800672102748</t>
  </si>
  <si>
    <t>YES</t>
  </si>
  <si>
    <t>BEGNA</t>
  </si>
  <si>
    <t>Bengana</t>
  </si>
  <si>
    <t>0812800672102765</t>
  </si>
  <si>
    <t>23.05.2022</t>
  </si>
  <si>
    <t>Bengani</t>
  </si>
  <si>
    <t>0812800672102773</t>
  </si>
  <si>
    <t>Shyampura</t>
  </si>
  <si>
    <t>0812800672102766</t>
  </si>
  <si>
    <t>24.05.2022</t>
  </si>
  <si>
    <t>Kheri</t>
  </si>
  <si>
    <t>0812800672102763</t>
  </si>
  <si>
    <t>FATEHPUR</t>
  </si>
  <si>
    <t>Fatehpur</t>
  </si>
  <si>
    <t>0812800672102757</t>
  </si>
  <si>
    <t>Chandpura</t>
  </si>
  <si>
    <t>0812800672102755</t>
  </si>
  <si>
    <t>IKLERA</t>
  </si>
  <si>
    <t>Iklera</t>
  </si>
  <si>
    <t>0812800672102801</t>
  </si>
  <si>
    <t>Daulatpura</t>
  </si>
  <si>
    <t>0812800672102787</t>
  </si>
  <si>
    <t>Mandoli</t>
  </si>
  <si>
    <t>0812800672102788</t>
  </si>
  <si>
    <t>10.02.2022</t>
  </si>
  <si>
    <t>KALMANDA</t>
  </si>
  <si>
    <t>Kalmanda</t>
  </si>
  <si>
    <t>0812800672102769</t>
  </si>
  <si>
    <t>p</t>
  </si>
  <si>
    <t>KARNAHERA</t>
  </si>
  <si>
    <t>Karnahera</t>
  </si>
  <si>
    <t>0812800672102805</t>
  </si>
  <si>
    <t>Bamanhera</t>
  </si>
  <si>
    <t>0812800672102804</t>
  </si>
  <si>
    <t>Kotra</t>
  </si>
  <si>
    <t>0812800672102798</t>
  </si>
  <si>
    <t>Luhariya</t>
  </si>
  <si>
    <t>0812800672102806</t>
  </si>
  <si>
    <t>KHERALI</t>
  </si>
  <si>
    <t>Kherali</t>
  </si>
  <si>
    <t>0812800672102770</t>
  </si>
  <si>
    <t>12.01.2022</t>
  </si>
  <si>
    <t>Toomra</t>
  </si>
  <si>
    <t>0812800672102780</t>
  </si>
  <si>
    <t>02.02.2022</t>
  </si>
  <si>
    <t>Lewa</t>
  </si>
  <si>
    <t>0812800672102771</t>
  </si>
  <si>
    <t>KOTRISUNDA</t>
  </si>
  <si>
    <t>Kotrisunda</t>
  </si>
  <si>
    <t>0812800672102729</t>
  </si>
  <si>
    <t>Majrawata</t>
  </si>
  <si>
    <t>0812800672102733</t>
  </si>
  <si>
    <t>Tejgarh</t>
  </si>
  <si>
    <t>0812800672102732</t>
  </si>
  <si>
    <t>Shahgarh</t>
  </si>
  <si>
    <t>0812800672102730</t>
  </si>
  <si>
    <t>Ulthi</t>
  </si>
  <si>
    <t>0812800672102728</t>
  </si>
  <si>
    <t>KOYLA</t>
  </si>
  <si>
    <t>Koyla</t>
  </si>
  <si>
    <t>0812800672102727</t>
  </si>
  <si>
    <t>Charagah talai work</t>
  </si>
  <si>
    <t>25.21.348</t>
  </si>
  <si>
    <t>LISARIYA</t>
  </si>
  <si>
    <t>Lisadiya</t>
  </si>
  <si>
    <t>0812800672102739</t>
  </si>
  <si>
    <t>18.08.2022</t>
  </si>
  <si>
    <t>Peepalda</t>
  </si>
  <si>
    <t>0812800672102743</t>
  </si>
  <si>
    <t>Samaspur</t>
  </si>
  <si>
    <t>0812800672102741</t>
  </si>
  <si>
    <t>17.02.2022</t>
  </si>
  <si>
    <t>Bhadsui</t>
  </si>
  <si>
    <t>0812800672102738</t>
  </si>
  <si>
    <t>Kherli Bhedolya</t>
  </si>
  <si>
    <t>0812800672102740</t>
  </si>
  <si>
    <t>MANDOLA</t>
  </si>
  <si>
    <t>Mandola</t>
  </si>
  <si>
    <t>0812800672102800</t>
  </si>
  <si>
    <t>MATHANA</t>
  </si>
  <si>
    <t>Mathana</t>
  </si>
  <si>
    <t>0812800672102751</t>
  </si>
  <si>
    <t>Mathani</t>
  </si>
  <si>
    <t>0812800672102750</t>
  </si>
  <si>
    <t>MIYADA</t>
  </si>
  <si>
    <t>Miyara</t>
  </si>
  <si>
    <t>0812800672102725</t>
  </si>
  <si>
    <t>22.08.2022</t>
  </si>
  <si>
    <t>Rebarpura</t>
  </si>
  <si>
    <t>0812800672102726</t>
  </si>
  <si>
    <t>20.12.2022</t>
  </si>
  <si>
    <t>Kheri Jageer</t>
  </si>
  <si>
    <t>0812800672102724</t>
  </si>
  <si>
    <t>NAREDA</t>
  </si>
  <si>
    <t>Nareda</t>
  </si>
  <si>
    <t>0812800672102759</t>
  </si>
  <si>
    <t>29/12/2023</t>
  </si>
  <si>
    <t>Akera</t>
  </si>
  <si>
    <t>0812800672102789</t>
  </si>
  <si>
    <t>Googaliheri</t>
  </si>
  <si>
    <t>0812800672102792</t>
  </si>
  <si>
    <t>Jalera</t>
  </si>
  <si>
    <t>0812800672102791</t>
  </si>
  <si>
    <t>Raptawan</t>
  </si>
  <si>
    <t>0812800672102758</t>
  </si>
  <si>
    <t>Baori Khera</t>
  </si>
  <si>
    <t>0812800672102760</t>
  </si>
  <si>
    <t>Bhatkheri</t>
  </si>
  <si>
    <t>0812800672102790</t>
  </si>
  <si>
    <t>PATHEDA</t>
  </si>
  <si>
    <t>Patheda</t>
  </si>
  <si>
    <t>0812800672102795</t>
  </si>
  <si>
    <t>19.10.2022</t>
  </si>
  <si>
    <t>Kotri</t>
  </si>
  <si>
    <t>0812800672102796</t>
  </si>
  <si>
    <t>Heekad</t>
  </si>
  <si>
    <t>0812800672102797</t>
  </si>
  <si>
    <t>Kedaheri</t>
  </si>
  <si>
    <t>0812800672102794</t>
  </si>
  <si>
    <t>14.03.2022</t>
  </si>
  <si>
    <t>Hanotiya</t>
  </si>
  <si>
    <t>0812800672102793</t>
  </si>
  <si>
    <t>PHOONSRA</t>
  </si>
  <si>
    <t>Phoonsra</t>
  </si>
  <si>
    <t>0812800672102762</t>
  </si>
  <si>
    <t>28.01.2022</t>
  </si>
  <si>
    <t>Ummedganj</t>
  </si>
  <si>
    <t>0812800672102768</t>
  </si>
  <si>
    <t>Thoonsra</t>
  </si>
  <si>
    <t>0812800672102767</t>
  </si>
  <si>
    <t>Mothpur</t>
  </si>
  <si>
    <t>0812800672102761</t>
  </si>
  <si>
    <t>RATAWAD</t>
  </si>
  <si>
    <t>Ratawad</t>
  </si>
  <si>
    <t>0812800672102772</t>
  </si>
  <si>
    <t>Chureliyan</t>
  </si>
  <si>
    <t>0812800672102775</t>
  </si>
  <si>
    <t>Noorpur</t>
  </si>
  <si>
    <t>0812800672102776</t>
  </si>
  <si>
    <t>Jagannathpura</t>
  </si>
  <si>
    <t>0812800672102777</t>
  </si>
  <si>
    <t>Unda</t>
  </si>
  <si>
    <t>0812800672102774</t>
  </si>
  <si>
    <t>13.02.2022</t>
  </si>
  <si>
    <t>Shankarpura</t>
  </si>
  <si>
    <t>0812800672102778</t>
  </si>
  <si>
    <t>SAMBALPUR</t>
  </si>
  <si>
    <t>Sambalpur</t>
  </si>
  <si>
    <t>0812800672102754</t>
  </si>
  <si>
    <t>09.03.2022</t>
  </si>
  <si>
    <t>Gheensari</t>
  </si>
  <si>
    <t>0812800672102756</t>
  </si>
  <si>
    <t>Raroti</t>
  </si>
  <si>
    <t>0812800672102752</t>
  </si>
  <si>
    <t>24.03.2022</t>
  </si>
  <si>
    <t>Kalyanpura Ghata</t>
  </si>
  <si>
    <t>0812800672102753</t>
  </si>
  <si>
    <t>SEEMLI</t>
  </si>
  <si>
    <t>Seemli</t>
  </si>
  <si>
    <t>0812800672102716</t>
  </si>
  <si>
    <t>03.06.2022</t>
  </si>
  <si>
    <t>y</t>
  </si>
  <si>
    <t>Vijaipur</t>
  </si>
  <si>
    <t>0812800672102717</t>
  </si>
  <si>
    <t>Kala Khera</t>
  </si>
  <si>
    <t>0812800672102720</t>
  </si>
  <si>
    <t>Chainpura</t>
  </si>
  <si>
    <t>0812800672102723</t>
  </si>
  <si>
    <t>Sankali</t>
  </si>
  <si>
    <t>0812800672102715</t>
  </si>
  <si>
    <t>SUNDLAK</t>
  </si>
  <si>
    <t>Sundlak</t>
  </si>
  <si>
    <t>0812800672102746</t>
  </si>
  <si>
    <t>23.03.2022</t>
  </si>
  <si>
    <t>Bamooliya</t>
  </si>
  <si>
    <t>0812800672102749</t>
  </si>
  <si>
    <t>Rajpura</t>
  </si>
  <si>
    <t>0812800672102745</t>
  </si>
  <si>
    <t>THAMLI</t>
  </si>
  <si>
    <t>Thamli</t>
  </si>
  <si>
    <t>0812800672102718</t>
  </si>
  <si>
    <t>25.08.2022</t>
  </si>
  <si>
    <t>Boredi</t>
  </si>
  <si>
    <t>0812800672102744</t>
  </si>
  <si>
    <t>13.01.2023</t>
  </si>
  <si>
    <t>Ranihera</t>
  </si>
  <si>
    <t>0812800672102742</t>
  </si>
  <si>
    <t>Akeri</t>
  </si>
  <si>
    <t>0812800672102719</t>
  </si>
  <si>
    <t>TISAYA</t>
  </si>
  <si>
    <t>Tisaya</t>
  </si>
  <si>
    <t>0812800672102737</t>
  </si>
  <si>
    <t>21.11.2022</t>
  </si>
  <si>
    <t>Piliya</t>
  </si>
  <si>
    <t>0812800672102735</t>
  </si>
  <si>
    <t>Kherli Kesho</t>
  </si>
  <si>
    <t>0812800672102734</t>
  </si>
  <si>
    <t>Manpura</t>
  </si>
  <si>
    <t>0812800672102736</t>
  </si>
  <si>
    <t>Reethod</t>
  </si>
  <si>
    <t>0812800672102731</t>
  </si>
  <si>
    <t>TULSAN</t>
  </si>
  <si>
    <t>Tulsan</t>
  </si>
  <si>
    <t>0812800672102779</t>
  </si>
  <si>
    <t>Bhairoonpura (Choki)</t>
  </si>
  <si>
    <t>0812800672102782</t>
  </si>
  <si>
    <t>19.09.2022</t>
  </si>
  <si>
    <t>Borda</t>
  </si>
  <si>
    <t>0812800672102783</t>
  </si>
  <si>
    <t>Deeloda</t>
  </si>
  <si>
    <t>0812800672102784</t>
  </si>
  <si>
    <t>Kotri Tulsan</t>
  </si>
  <si>
    <t>0812800672102781</t>
  </si>
  <si>
    <t>Fainal</t>
  </si>
  <si>
    <t>ANTA</t>
  </si>
  <si>
    <t>AMALSARA</t>
  </si>
  <si>
    <t>Amalsara</t>
  </si>
  <si>
    <t>0812800671102681</t>
  </si>
  <si>
    <t>Charagah Vikas</t>
  </si>
  <si>
    <t>Aama</t>
  </si>
  <si>
    <t>0812800671102680</t>
  </si>
  <si>
    <t>Gulab Pura</t>
  </si>
  <si>
    <t>0812800671102679</t>
  </si>
  <si>
    <t>Gopalpura</t>
  </si>
  <si>
    <t>0812800671102678</t>
  </si>
  <si>
    <t>BALA KHERA</t>
  </si>
  <si>
    <t>Bala Khera</t>
  </si>
  <si>
    <t>0812800671102651</t>
  </si>
  <si>
    <t>Bamuliya Jogiyan</t>
  </si>
  <si>
    <t>0812800671102653</t>
  </si>
  <si>
    <t>Dhatooriya</t>
  </si>
  <si>
    <t>0812800671102652</t>
  </si>
  <si>
    <t>BALDARA</t>
  </si>
  <si>
    <t>Baldara</t>
  </si>
  <si>
    <t>0812800671102642</t>
  </si>
  <si>
    <t>Ganeshpura</t>
  </si>
  <si>
    <t>0812800671102638</t>
  </si>
  <si>
    <t>Sindhpuri</t>
  </si>
  <si>
    <t>0812800671102640</t>
  </si>
  <si>
    <t>Thikhod</t>
  </si>
  <si>
    <t>0812800671102641</t>
  </si>
  <si>
    <t>BAMOOLIYA MATAJI</t>
  </si>
  <si>
    <t>Bamuliya Mataji</t>
  </si>
  <si>
    <t>0812800671102685</t>
  </si>
  <si>
    <t>Dhakar Kheri</t>
  </si>
  <si>
    <t>0812800671102684</t>
  </si>
  <si>
    <t>2.10.2023</t>
  </si>
  <si>
    <t>0812800671102672</t>
  </si>
  <si>
    <t>BAMOOLYA KALAN</t>
  </si>
  <si>
    <t>Bamuliya Kalan</t>
  </si>
  <si>
    <t>0812800671102669</t>
  </si>
  <si>
    <t>Delyaheri</t>
  </si>
  <si>
    <t>0812800671102671</t>
  </si>
  <si>
    <t>Barkhera</t>
  </si>
  <si>
    <t>0812800671102670</t>
  </si>
  <si>
    <t>BARGAON</t>
  </si>
  <si>
    <t>Bargaon</t>
  </si>
  <si>
    <t>0812800671102637</t>
  </si>
  <si>
    <t>20/11/2023</t>
  </si>
  <si>
    <t>Talai</t>
  </si>
  <si>
    <t>BARWA</t>
  </si>
  <si>
    <t>Barwa</t>
  </si>
  <si>
    <t>0812800671102687</t>
  </si>
  <si>
    <t>BHOJIYA KHERI</t>
  </si>
  <si>
    <t>Bhojya Khedi</t>
  </si>
  <si>
    <t>0812800671102647</t>
  </si>
  <si>
    <t>Baran</t>
  </si>
  <si>
    <t>Bhojyakheri</t>
  </si>
  <si>
    <t>Ladwara</t>
  </si>
  <si>
    <t>0812800671102645</t>
  </si>
  <si>
    <t>Raipuriya</t>
  </si>
  <si>
    <t>0812800671102644</t>
  </si>
  <si>
    <t>BIJORA</t>
  </si>
  <si>
    <t>Bijora</t>
  </si>
  <si>
    <t>0812800671102663</t>
  </si>
  <si>
    <t>Batawadi</t>
  </si>
  <si>
    <t>0812800671102688</t>
  </si>
  <si>
    <t>Talai nirman</t>
  </si>
  <si>
    <t>Ras Khera</t>
  </si>
  <si>
    <t>0812800671102664</t>
  </si>
  <si>
    <t>Bundi</t>
  </si>
  <si>
    <t>0812800671102665</t>
  </si>
  <si>
    <t>Tarda</t>
  </si>
  <si>
    <t>0812800671102660</t>
  </si>
  <si>
    <t>CHAHEDIYA</t>
  </si>
  <si>
    <t>Chaheriya</t>
  </si>
  <si>
    <t>0812800671102710</t>
  </si>
  <si>
    <t>Mau Jageer</t>
  </si>
  <si>
    <t>0812800671102707</t>
  </si>
  <si>
    <t>Rajoriya</t>
  </si>
  <si>
    <t>0812800671102708</t>
  </si>
  <si>
    <t>Dhabla @ Kalyanpura</t>
  </si>
  <si>
    <t>0812800671102706</t>
  </si>
  <si>
    <t>Aasannakti</t>
  </si>
  <si>
    <t>0812800671102704</t>
  </si>
  <si>
    <t>JAI NAGAR</t>
  </si>
  <si>
    <t>Jai Nagar</t>
  </si>
  <si>
    <t>0812800671102690</t>
  </si>
  <si>
    <t>27.09.2023</t>
  </si>
  <si>
    <t>Hapaheri</t>
  </si>
  <si>
    <t>0812800671102691</t>
  </si>
  <si>
    <t>Bhonrajeri</t>
  </si>
  <si>
    <t>0812800671102692</t>
  </si>
  <si>
    <t>Govindpura</t>
  </si>
  <si>
    <t>0812800671102689</t>
  </si>
  <si>
    <t>KACHRI</t>
  </si>
  <si>
    <t>Kachri</t>
  </si>
  <si>
    <t>0812800671102667</t>
  </si>
  <si>
    <t>Tam Khera</t>
  </si>
  <si>
    <t>0812800671102668</t>
  </si>
  <si>
    <t>Pachel Khurd</t>
  </si>
  <si>
    <t>0812800671102654</t>
  </si>
  <si>
    <t>KHAJOORNA KALAN</t>
  </si>
  <si>
    <t>Khajoorna Kalan</t>
  </si>
  <si>
    <t>0812800671102695</t>
  </si>
  <si>
    <t>0812800671102693</t>
  </si>
  <si>
    <t>Kewra</t>
  </si>
  <si>
    <t>0812800671102694</t>
  </si>
  <si>
    <t>Lisari</t>
  </si>
  <si>
    <t>0812800671102686</t>
  </si>
  <si>
    <t>MIRZAPUR</t>
  </si>
  <si>
    <t>Mirzapur</t>
  </si>
  <si>
    <t>0812800671102711</t>
  </si>
  <si>
    <t>0812800671102714</t>
  </si>
  <si>
    <t>Dabri Nakkiji</t>
  </si>
  <si>
    <t>0812800671102713</t>
  </si>
  <si>
    <t>Hanuwat Khera</t>
  </si>
  <si>
    <t>0812800671102712</t>
  </si>
  <si>
    <t>NAGADA</t>
  </si>
  <si>
    <t>Nagda</t>
  </si>
  <si>
    <t>0812800671102646</t>
  </si>
  <si>
    <t>Rooppura</t>
  </si>
  <si>
    <t>0812800671102639</t>
  </si>
  <si>
    <t xml:space="preserve">Talai </t>
  </si>
  <si>
    <t>NIYANA</t>
  </si>
  <si>
    <t>Niyana</t>
  </si>
  <si>
    <t>0812800671102698</t>
  </si>
  <si>
    <t>Sanga Heri</t>
  </si>
  <si>
    <t>0812800671102703</t>
  </si>
  <si>
    <t>kaashipura</t>
  </si>
  <si>
    <t>Devnarayanpura</t>
  </si>
  <si>
    <t>Kharkhara</t>
  </si>
  <si>
    <t>0812800671102702</t>
  </si>
  <si>
    <t>Bilendi</t>
  </si>
  <si>
    <t>0812800671102700</t>
  </si>
  <si>
    <t>Mohammadpur</t>
  </si>
  <si>
    <t>0812800671102699</t>
  </si>
  <si>
    <t>0812800671102696</t>
  </si>
  <si>
    <t>Bawri Khera</t>
  </si>
  <si>
    <t>0812800671102697</t>
  </si>
  <si>
    <t>Kethori</t>
  </si>
  <si>
    <t>0812800671102682</t>
  </si>
  <si>
    <t>Takha</t>
  </si>
  <si>
    <t>0812800671102683</t>
  </si>
  <si>
    <t>PACHEL KALAN</t>
  </si>
  <si>
    <t>Pachel Kalan</t>
  </si>
  <si>
    <t>0812800671102656</t>
  </si>
  <si>
    <t>Sarkanya</t>
  </si>
  <si>
    <t>0812800671102636</t>
  </si>
  <si>
    <t>PALAYTHA</t>
  </si>
  <si>
    <t>Palayatha</t>
  </si>
  <si>
    <t>0812800671102676</t>
  </si>
  <si>
    <t>Khan Ki Jhonpariyan</t>
  </si>
  <si>
    <t>0812800671102677</t>
  </si>
  <si>
    <t>PALSAWA</t>
  </si>
  <si>
    <t>Khajoorana Khurd</t>
  </si>
  <si>
    <t>0812800671102662</t>
  </si>
  <si>
    <t>Palsawa</t>
  </si>
  <si>
    <t>0812800671102666</t>
  </si>
  <si>
    <t>Dabri Kakaji</t>
  </si>
  <si>
    <t>0812800671102661</t>
  </si>
  <si>
    <t>Khajurna khurd</t>
  </si>
  <si>
    <t>PATOONDA</t>
  </si>
  <si>
    <t>Patonda</t>
  </si>
  <si>
    <t>0812800671102633</t>
  </si>
  <si>
    <t>20/06/2024</t>
  </si>
  <si>
    <t>Ghorigaon</t>
  </si>
  <si>
    <t>0812800671102635</t>
  </si>
  <si>
    <t>Mandpur</t>
  </si>
  <si>
    <t>0812800671102634</t>
  </si>
  <si>
    <t>RATADIYA</t>
  </si>
  <si>
    <t>Ratariya</t>
  </si>
  <si>
    <t>0812800671102649</t>
  </si>
  <si>
    <t>Bishan Kheri</t>
  </si>
  <si>
    <t>0812800671102648</t>
  </si>
  <si>
    <t>Alipura</t>
  </si>
  <si>
    <t>0812800671102643</t>
  </si>
  <si>
    <t>SORKHAND KALAN</t>
  </si>
  <si>
    <t>Sorkhand Kalan</t>
  </si>
  <si>
    <t>0812800671102658</t>
  </si>
  <si>
    <t>Tardi Khera</t>
  </si>
  <si>
    <t>0812800671102659</t>
  </si>
  <si>
    <t>Sorkhand Khurd</t>
  </si>
  <si>
    <t>0812800671102655</t>
  </si>
  <si>
    <t>Deopura</t>
  </si>
  <si>
    <t>0812800671102657</t>
  </si>
  <si>
    <t>tardikheda</t>
  </si>
  <si>
    <t>Devpura</t>
  </si>
  <si>
    <t>SORSAN</t>
  </si>
  <si>
    <t>Sorsan</t>
  </si>
  <si>
    <t>0812800671102705</t>
  </si>
  <si>
    <t>Deopura Sorsan</t>
  </si>
  <si>
    <t>0812800671102709</t>
  </si>
  <si>
    <t>0812800671102701</t>
  </si>
  <si>
    <t>THEEKARIYA</t>
  </si>
  <si>
    <t>Thikariya</t>
  </si>
  <si>
    <t>0812800671102675</t>
  </si>
  <si>
    <t>Dugari</t>
  </si>
  <si>
    <t>0812800671102674</t>
  </si>
  <si>
    <t>Molki</t>
  </si>
  <si>
    <t>0812800671102673</t>
  </si>
  <si>
    <t>Total</t>
  </si>
  <si>
    <t>CHHIPABAROD</t>
  </si>
  <si>
    <t>AJNAWAR</t>
  </si>
  <si>
    <t>Ajnawar</t>
  </si>
  <si>
    <t>0812800677103628</t>
  </si>
  <si>
    <t>No</t>
  </si>
  <si>
    <t>Charagah vikas</t>
  </si>
  <si>
    <t>Nalkheri</t>
  </si>
  <si>
    <t>0812800677103627</t>
  </si>
  <si>
    <t>Kakarda</t>
  </si>
  <si>
    <t>0812800677103603</t>
  </si>
  <si>
    <t>Bhagwanpura</t>
  </si>
  <si>
    <t>0812800677103608</t>
  </si>
  <si>
    <t>0812800677103607</t>
  </si>
  <si>
    <t>Rajpura Jageer</t>
  </si>
  <si>
    <t>0812800677103604</t>
  </si>
  <si>
    <t>Narayanpura</t>
  </si>
  <si>
    <t>0812800677103605</t>
  </si>
  <si>
    <t>Barawada</t>
  </si>
  <si>
    <t>0812800677103606</t>
  </si>
  <si>
    <t>AMLAWADAALI</t>
  </si>
  <si>
    <t>Amlawadaali</t>
  </si>
  <si>
    <t>0812800677103598</t>
  </si>
  <si>
    <t>Gadari</t>
  </si>
  <si>
    <t>0812800677103637</t>
  </si>
  <si>
    <t>Chainpuriya Jageer</t>
  </si>
  <si>
    <t>0812800677103636</t>
  </si>
  <si>
    <t>Rampuriya</t>
  </si>
  <si>
    <t>0812800677103635</t>
  </si>
  <si>
    <t>Gundalai</t>
  </si>
  <si>
    <t>0812800677103600</t>
  </si>
  <si>
    <t>Peepalya Chauki</t>
  </si>
  <si>
    <t>0812800677103601</t>
  </si>
  <si>
    <t>Neemthoor</t>
  </si>
  <si>
    <t>0812800677103596</t>
  </si>
  <si>
    <t>Kalyanpura</t>
  </si>
  <si>
    <t>0812800677103599</t>
  </si>
  <si>
    <t>Phaliya</t>
  </si>
  <si>
    <t>0812800677103602</t>
  </si>
  <si>
    <t>Ummedpura</t>
  </si>
  <si>
    <t>0812800677103597</t>
  </si>
  <si>
    <t>BAMORI GHATA</t>
  </si>
  <si>
    <t>Bambori Ghata</t>
  </si>
  <si>
    <t>0812800677103616</t>
  </si>
  <si>
    <t>0812800677103620</t>
  </si>
  <si>
    <t>0812800677103615</t>
  </si>
  <si>
    <t>Kohni</t>
  </si>
  <si>
    <t>0812800677103614</t>
  </si>
  <si>
    <t>BANJARI</t>
  </si>
  <si>
    <t>Banjari</t>
  </si>
  <si>
    <t>0812800677103715</t>
  </si>
  <si>
    <t>11.02.2022</t>
  </si>
  <si>
    <t>Dhamaniya</t>
  </si>
  <si>
    <t>0812800677103753</t>
  </si>
  <si>
    <t>Laxmi Pura Khurd</t>
  </si>
  <si>
    <t>0812800677103722</t>
  </si>
  <si>
    <t>Peepalya Akheraj</t>
  </si>
  <si>
    <t>0812800677103721</t>
  </si>
  <si>
    <t>Motipura Kalan</t>
  </si>
  <si>
    <t>0812800677103714</t>
  </si>
  <si>
    <t>Guradi</t>
  </si>
  <si>
    <t>0812800677103716</t>
  </si>
  <si>
    <t>08.02.2022</t>
  </si>
  <si>
    <t>BHAVPURA</t>
  </si>
  <si>
    <t>Bhaopura</t>
  </si>
  <si>
    <t>0812800677103693</t>
  </si>
  <si>
    <t>Bhawanipura Jageer@Kakoni</t>
  </si>
  <si>
    <t>0812800677103736</t>
  </si>
  <si>
    <t>Takooda Jageer</t>
  </si>
  <si>
    <t>0812800677103692</t>
  </si>
  <si>
    <t>Kharan</t>
  </si>
  <si>
    <t>0812800677103690</t>
  </si>
  <si>
    <t>Bamori (Baday)</t>
  </si>
  <si>
    <t>0812800677103691</t>
  </si>
  <si>
    <t>BILENDI</t>
  </si>
  <si>
    <t>0812800677103649</t>
  </si>
  <si>
    <t>Amlawada Kharan</t>
  </si>
  <si>
    <t>0812800677103689</t>
  </si>
  <si>
    <t>0812800677103687</t>
  </si>
  <si>
    <t>Fatehpur Jageer</t>
  </si>
  <si>
    <t>0812800677103686</t>
  </si>
  <si>
    <t>Sukhneri</t>
  </si>
  <si>
    <t>0812800677103688</t>
  </si>
  <si>
    <t>Baday</t>
  </si>
  <si>
    <t>0812800677103685</t>
  </si>
  <si>
    <t>Achalpura</t>
  </si>
  <si>
    <t>0812800677103648</t>
  </si>
  <si>
    <t>Maloni</t>
  </si>
  <si>
    <t>0812800677103647</t>
  </si>
  <si>
    <t>Chhipabarod (CT)</t>
  </si>
  <si>
    <t>0812800677103778</t>
  </si>
  <si>
    <t>DEEGOD JAGEER</t>
  </si>
  <si>
    <t>Deegod Jageer</t>
  </si>
  <si>
    <t>0812800677103745</t>
  </si>
  <si>
    <t>27.03.2022</t>
  </si>
  <si>
    <t>Peepal Kheri</t>
  </si>
  <si>
    <t>0812800677103744</t>
  </si>
  <si>
    <t>Beel Khera</t>
  </si>
  <si>
    <t>0812800677103746</t>
  </si>
  <si>
    <t>0812800677103731</t>
  </si>
  <si>
    <t>Amarpura</t>
  </si>
  <si>
    <t>0812800677103730</t>
  </si>
  <si>
    <t>Asalpur</t>
  </si>
  <si>
    <t>0812800677103729</t>
  </si>
  <si>
    <t>Dehlanpura</t>
  </si>
  <si>
    <t>0812800677103726</t>
  </si>
  <si>
    <t>Dobara</t>
  </si>
  <si>
    <t>0812800677103728</t>
  </si>
  <si>
    <t>Kandari</t>
  </si>
  <si>
    <t>0812800677103725</t>
  </si>
  <si>
    <t>DEORI JODH</t>
  </si>
  <si>
    <t>Deori Jodh</t>
  </si>
  <si>
    <t>0812800677103679</t>
  </si>
  <si>
    <t>Padalya</t>
  </si>
  <si>
    <t>0812800677103684</t>
  </si>
  <si>
    <t>Charagah and plantation</t>
  </si>
  <si>
    <t>Kundi Khera</t>
  </si>
  <si>
    <t>0812800677103681</t>
  </si>
  <si>
    <t>Bardawada</t>
  </si>
  <si>
    <t>0812800677103678</t>
  </si>
  <si>
    <t>Banskhera</t>
  </si>
  <si>
    <t>0812800677103680</t>
  </si>
  <si>
    <t>Bhagwatpura</t>
  </si>
  <si>
    <t>0812800677103654</t>
  </si>
  <si>
    <t>Peepalkheri</t>
  </si>
  <si>
    <t>0812800677103655</t>
  </si>
  <si>
    <t>DHOLAM</t>
  </si>
  <si>
    <t>Dholam</t>
  </si>
  <si>
    <t>0812800677103629</t>
  </si>
  <si>
    <t>22.03.2022</t>
  </si>
  <si>
    <t>Ratanpura</t>
  </si>
  <si>
    <t>0812800677103631</t>
  </si>
  <si>
    <t>Kel Kheri</t>
  </si>
  <si>
    <t>0812800677103630</t>
  </si>
  <si>
    <t>Harnawadi Jageer</t>
  </si>
  <si>
    <t>0812800677103626</t>
  </si>
  <si>
    <t>05.09.2022</t>
  </si>
  <si>
    <t>Bindarada</t>
  </si>
  <si>
    <t>0812800677103634</t>
  </si>
  <si>
    <t>DIGOD KHALSA</t>
  </si>
  <si>
    <t>Digod Khalsa</t>
  </si>
  <si>
    <t>0812800677103674</t>
  </si>
  <si>
    <t>Khajooriya</t>
  </si>
  <si>
    <t>0812800677103701</t>
  </si>
  <si>
    <t>Naya Gaon@Malkhajooriya</t>
  </si>
  <si>
    <t>0812800677103673</t>
  </si>
  <si>
    <t>Balapura</t>
  </si>
  <si>
    <t>0812800677103675</t>
  </si>
  <si>
    <t>Akha Kheri</t>
  </si>
  <si>
    <t>0812800677103661</t>
  </si>
  <si>
    <t>Utawali</t>
  </si>
  <si>
    <t>0812800677103664</t>
  </si>
  <si>
    <t>Parolya</t>
  </si>
  <si>
    <t>0812800677103660</t>
  </si>
  <si>
    <t>GAGCHANA</t>
  </si>
  <si>
    <t>Gagchana</t>
  </si>
  <si>
    <t>0812800677103666</t>
  </si>
  <si>
    <t>16.03.2022</t>
  </si>
  <si>
    <t>Balloo Kheri</t>
  </si>
  <si>
    <t>0812800677103667</t>
  </si>
  <si>
    <t>Udpuriya</t>
  </si>
  <si>
    <t>0812800677103618</t>
  </si>
  <si>
    <t>0812800677103617</t>
  </si>
  <si>
    <t>GORDHANPURA</t>
  </si>
  <si>
    <t>Gordhan Pura</t>
  </si>
  <si>
    <t>0812800677103676</t>
  </si>
  <si>
    <t>20.01.2022</t>
  </si>
  <si>
    <t>Peepal Hera</t>
  </si>
  <si>
    <t>0812800677103699</t>
  </si>
  <si>
    <t>0812800677103677</t>
  </si>
  <si>
    <t>Chargah</t>
  </si>
  <si>
    <t>Toomara</t>
  </si>
  <si>
    <t>0812800677103658</t>
  </si>
  <si>
    <t>HARNAWADA SHAHJI</t>
  </si>
  <si>
    <t>Harnawada Shahji</t>
  </si>
  <si>
    <t>0812800677103747</t>
  </si>
  <si>
    <t>07.01.2023</t>
  </si>
  <si>
    <t>Salarkho</t>
  </si>
  <si>
    <t>JHANJHANI</t>
  </si>
  <si>
    <t>Jhanjhani</t>
  </si>
  <si>
    <t>0812800677103761</t>
  </si>
  <si>
    <t>Tandi</t>
  </si>
  <si>
    <t>0812800677103712</t>
  </si>
  <si>
    <t>Kher Khajuriya</t>
  </si>
  <si>
    <t>0812800677103711</t>
  </si>
  <si>
    <t>Surajpura Malkarni</t>
  </si>
  <si>
    <t>0812800677103713</t>
  </si>
  <si>
    <t>Ram Nagar</t>
  </si>
  <si>
    <t>0812800677103706</t>
  </si>
  <si>
    <t xml:space="preserve">   </t>
  </si>
  <si>
    <t>0812800677103708</t>
  </si>
  <si>
    <t>Karni Jageer</t>
  </si>
  <si>
    <t>0812800677103707</t>
  </si>
  <si>
    <t>Koloo Khera</t>
  </si>
  <si>
    <t>0812800677103705</t>
  </si>
  <si>
    <t>KACHANARIA KALA</t>
  </si>
  <si>
    <t>Kachnariya Kalan</t>
  </si>
  <si>
    <t>0812800677103756</t>
  </si>
  <si>
    <t>Patri</t>
  </si>
  <si>
    <t>0812800677103758</t>
  </si>
  <si>
    <t>Khariya</t>
  </si>
  <si>
    <t>0812800677103754</t>
  </si>
  <si>
    <t>Shripura</t>
  </si>
  <si>
    <t>0812800677103755</t>
  </si>
  <si>
    <t>KALMODIYA</t>
  </si>
  <si>
    <t>Kalmodiya</t>
  </si>
  <si>
    <t>0812800677103734</t>
  </si>
  <si>
    <t>Pathari</t>
  </si>
  <si>
    <t>0812800677103740</t>
  </si>
  <si>
    <t>Hindola</t>
  </si>
  <si>
    <t>0812800677103743</t>
  </si>
  <si>
    <t>Brahma Kheri</t>
  </si>
  <si>
    <t>0812800677103741</t>
  </si>
  <si>
    <t>Halesara</t>
  </si>
  <si>
    <t>0812800677103742</t>
  </si>
  <si>
    <t>Kalatol</t>
  </si>
  <si>
    <t>0812800677103739</t>
  </si>
  <si>
    <t>Lambawar</t>
  </si>
  <si>
    <t>0812800677103738</t>
  </si>
  <si>
    <t>Saikur</t>
  </si>
  <si>
    <t>0812800677103732</t>
  </si>
  <si>
    <t>Babar</t>
  </si>
  <si>
    <t>0812800677103733</t>
  </si>
  <si>
    <t>0812800677103737</t>
  </si>
  <si>
    <t>KALPA JAGEER</t>
  </si>
  <si>
    <t>Kalpa Jageer</t>
  </si>
  <si>
    <t>0812800677103695</t>
  </si>
  <si>
    <t>Patla Pani</t>
  </si>
  <si>
    <t>0812800677103697</t>
  </si>
  <si>
    <t>0812800677103727</t>
  </si>
  <si>
    <t>Naya Pura</t>
  </si>
  <si>
    <t>0812800677103696</t>
  </si>
  <si>
    <t>Kotra Bhagwan</t>
  </si>
  <si>
    <t>0812800677103694</t>
  </si>
  <si>
    <t>Barsat</t>
  </si>
  <si>
    <t>0812800677103698</t>
  </si>
  <si>
    <t>Gangti</t>
  </si>
  <si>
    <t>0812800677103683</t>
  </si>
  <si>
    <t>Bajrangpura</t>
  </si>
  <si>
    <t>0812800677103682</t>
  </si>
  <si>
    <t>19.03.2022</t>
  </si>
  <si>
    <t>KHERLA JAGEER</t>
  </si>
  <si>
    <t>Kherla Jageer</t>
  </si>
  <si>
    <t>0812800677103652</t>
  </si>
  <si>
    <t>Misroli</t>
  </si>
  <si>
    <t>0812800677103651</t>
  </si>
  <si>
    <t>Motipura Khurd</t>
  </si>
  <si>
    <t>0812800677103650</t>
  </si>
  <si>
    <t>Karnal Jageer</t>
  </si>
  <si>
    <t>0812800677103653</t>
  </si>
  <si>
    <t>0812800677103656</t>
  </si>
  <si>
    <t>KUNBHA KHEDHI</t>
  </si>
  <si>
    <t>Kunma Kheri</t>
  </si>
  <si>
    <t>0812800677103751</t>
  </si>
  <si>
    <t>Phooti Barod@Phool Barod</t>
  </si>
  <si>
    <t>0812800677103748</t>
  </si>
  <si>
    <t>Kachnariya Khurd</t>
  </si>
  <si>
    <t>0812800677103749</t>
  </si>
  <si>
    <t>Deori Moond</t>
  </si>
  <si>
    <t>0812800677103759</t>
  </si>
  <si>
    <t>Bhatgaon</t>
  </si>
  <si>
    <t>0812800677103757</t>
  </si>
  <si>
    <t>Deori Bhan</t>
  </si>
  <si>
    <t>0812800677103752</t>
  </si>
  <si>
    <t>Borkheri(Banjari)</t>
  </si>
  <si>
    <t>0812800677103720</t>
  </si>
  <si>
    <t>MANPURA</t>
  </si>
  <si>
    <t>0812800677103760</t>
  </si>
  <si>
    <t>Ramgarh</t>
  </si>
  <si>
    <t>0812800677103769</t>
  </si>
  <si>
    <t>Umariya</t>
  </si>
  <si>
    <t>0812800677103768</t>
  </si>
  <si>
    <t>Amrit Kheri</t>
  </si>
  <si>
    <t>0812800677103767</t>
  </si>
  <si>
    <t>0812800677103766</t>
  </si>
  <si>
    <t>Masalpura</t>
  </si>
  <si>
    <t>0812800677103765</t>
  </si>
  <si>
    <t>Kotra Khanderay</t>
  </si>
  <si>
    <t>0812800677103764</t>
  </si>
  <si>
    <t>Surajpura Khurd</t>
  </si>
  <si>
    <t>0812800677103762</t>
  </si>
  <si>
    <t>0812800677103763</t>
  </si>
  <si>
    <t>Dabari</t>
  </si>
  <si>
    <t>0812800677103710</t>
  </si>
  <si>
    <t>MOKHAMPURA</t>
  </si>
  <si>
    <t>Mokhampura</t>
  </si>
  <si>
    <t>0812800677103645</t>
  </si>
  <si>
    <t>Seejanya</t>
  </si>
  <si>
    <t>0812800677103642</t>
  </si>
  <si>
    <t>Madhopur</t>
  </si>
  <si>
    <t>0812800677103643</t>
  </si>
  <si>
    <t>Panchkui</t>
  </si>
  <si>
    <t>0812800677103641</t>
  </si>
  <si>
    <t>Peepalya Ghata</t>
  </si>
  <si>
    <t>0812800677103646</t>
  </si>
  <si>
    <t>0812800677103644</t>
  </si>
  <si>
    <t>Laxmipura Kalan</t>
  </si>
  <si>
    <t>0812800677103639</t>
  </si>
  <si>
    <t>Kohri</t>
  </si>
  <si>
    <t>0812800677103640</t>
  </si>
  <si>
    <t>Sarang Khera</t>
  </si>
  <si>
    <t>0812800677103638</t>
  </si>
  <si>
    <t>PACHHAR</t>
  </si>
  <si>
    <t>Pachhar</t>
  </si>
  <si>
    <t>0812800677103621</t>
  </si>
  <si>
    <t>Bansapura</t>
  </si>
  <si>
    <t>0812800677103663</t>
  </si>
  <si>
    <t>0812800677103619</t>
  </si>
  <si>
    <t>Govind Pura</t>
  </si>
  <si>
    <t>0812800677103662</t>
  </si>
  <si>
    <t>Harnawada Jageer</t>
  </si>
  <si>
    <t>0812800677103625</t>
  </si>
  <si>
    <t>Gul Kheri</t>
  </si>
  <si>
    <t>0812800677103624</t>
  </si>
  <si>
    <t>19.02.2022</t>
  </si>
  <si>
    <t>PEETHPUR</t>
  </si>
  <si>
    <t>Peethpur</t>
  </si>
  <si>
    <t>0812800677103671</t>
  </si>
  <si>
    <t>Moonda Ghata</t>
  </si>
  <si>
    <t>0812800677103709</t>
  </si>
  <si>
    <t>Sankha Jageer</t>
  </si>
  <si>
    <t>0812800677103670</t>
  </si>
  <si>
    <t>Mohammad Pur</t>
  </si>
  <si>
    <t>0812800677103669</t>
  </si>
  <si>
    <t>Moondki</t>
  </si>
  <si>
    <t>0812800677103668</t>
  </si>
  <si>
    <t>Gujar Kheri</t>
  </si>
  <si>
    <t>0812800677103672</t>
  </si>
  <si>
    <t>Kajlya</t>
  </si>
  <si>
    <t>0812800677103665</t>
  </si>
  <si>
    <t>PHOOL BARODA</t>
  </si>
  <si>
    <t>Phool Baroda</t>
  </si>
  <si>
    <t>0812800677103611</t>
  </si>
  <si>
    <t>13/3/2024</t>
  </si>
  <si>
    <t>Goru Kheri</t>
  </si>
  <si>
    <t>0812800677103613</t>
  </si>
  <si>
    <t>Mawasa</t>
  </si>
  <si>
    <t>0812800677103610</t>
  </si>
  <si>
    <t>Ghaghonia</t>
  </si>
  <si>
    <t>0812800677103612</t>
  </si>
  <si>
    <t>RAI</t>
  </si>
  <si>
    <t>Rain</t>
  </si>
  <si>
    <t>0812800677103632</t>
  </si>
  <si>
    <t>Khankhara</t>
  </si>
  <si>
    <t>0812800677103659</t>
  </si>
  <si>
    <t>Ranwa</t>
  </si>
  <si>
    <t>0812800677103657</t>
  </si>
  <si>
    <t>Jharanya Jageer</t>
  </si>
  <si>
    <t>0812800677103633</t>
  </si>
  <si>
    <t>SARTHAL</t>
  </si>
  <si>
    <t>Sarthal</t>
  </si>
  <si>
    <t>0812800677103735</t>
  </si>
  <si>
    <t>SEHJANPUR</t>
  </si>
  <si>
    <t>Sejanpur</t>
  </si>
  <si>
    <t>0812800677103774</t>
  </si>
  <si>
    <t>Bajajpur</t>
  </si>
  <si>
    <t>0812800677103777</t>
  </si>
  <si>
    <t>Bamankho</t>
  </si>
  <si>
    <t>0812800677103775</t>
  </si>
  <si>
    <t>Gordhanpura @ Surdibah</t>
  </si>
  <si>
    <t>0812800677103776</t>
  </si>
  <si>
    <t>Prahaladpura</t>
  </si>
  <si>
    <t>0812800677103772</t>
  </si>
  <si>
    <t>Bislai</t>
  </si>
  <si>
    <t>0812800677103773</t>
  </si>
  <si>
    <t>Madanpura</t>
  </si>
  <si>
    <t>0812800677103771</t>
  </si>
  <si>
    <t>Rawansya</t>
  </si>
  <si>
    <t>0812800677103770</t>
  </si>
  <si>
    <t>SET KOLU</t>
  </si>
  <si>
    <t>Set Kolu</t>
  </si>
  <si>
    <t>0812800677103718</t>
  </si>
  <si>
    <t>Bor Kheri</t>
  </si>
  <si>
    <t>0812800677103750</t>
  </si>
  <si>
    <t>Prempura</t>
  </si>
  <si>
    <t>0812800677103723</t>
  </si>
  <si>
    <t>Dant Ka Pani</t>
  </si>
  <si>
    <t>0812800677103724</t>
  </si>
  <si>
    <t>Ladpura</t>
  </si>
  <si>
    <t>0812800677103719</t>
  </si>
  <si>
    <t>Chauki</t>
  </si>
  <si>
    <t>0812800677103717</t>
  </si>
  <si>
    <t>Uchakpura</t>
  </si>
  <si>
    <t>0812800677103704</t>
  </si>
  <si>
    <t>Lamba Khera</t>
  </si>
  <si>
    <t>0812800677103702</t>
  </si>
  <si>
    <t>Handi Khoh</t>
  </si>
  <si>
    <t>0812800677103703</t>
  </si>
  <si>
    <t>Sewanya</t>
  </si>
  <si>
    <t>0812800677103700</t>
  </si>
  <si>
    <t>31.03.2022</t>
  </si>
  <si>
    <t>TANCHA</t>
  </si>
  <si>
    <t>Tancha</t>
  </si>
  <si>
    <t>0812800677103623</t>
  </si>
  <si>
    <t>Bheravpura</t>
  </si>
  <si>
    <t>0812800677103622</t>
  </si>
  <si>
    <t>Tanchi</t>
  </si>
  <si>
    <t>0812800677103609</t>
  </si>
  <si>
    <t>MANGROL</t>
  </si>
  <si>
    <t>BAMORI KALAN</t>
  </si>
  <si>
    <t>Bamori Kalan</t>
  </si>
  <si>
    <t>0812800670102567</t>
  </si>
  <si>
    <t>Pali</t>
  </si>
  <si>
    <t>0812800670102568</t>
  </si>
  <si>
    <t>Dhonkal Kheri</t>
  </si>
  <si>
    <t>0812800670102569</t>
  </si>
  <si>
    <t>BHATWARA</t>
  </si>
  <si>
    <t>Bhatwara</t>
  </si>
  <si>
    <t>0812800670102621</t>
  </si>
  <si>
    <t>siandhaniya</t>
  </si>
  <si>
    <t>0812800670102611</t>
  </si>
  <si>
    <t>Jetal Heri</t>
  </si>
  <si>
    <t>0812800670102608</t>
  </si>
  <si>
    <t>BOHAT</t>
  </si>
  <si>
    <t>Bohat</t>
  </si>
  <si>
    <t>0812800670102629</t>
  </si>
  <si>
    <t>0812800670102628</t>
  </si>
  <si>
    <t>CHATRAPURA</t>
  </si>
  <si>
    <t>Chhatrapura</t>
  </si>
  <si>
    <t>0812800670102596</t>
  </si>
  <si>
    <t>Mundala</t>
  </si>
  <si>
    <t>0812800670102616</t>
  </si>
  <si>
    <t>Nawalpura</t>
  </si>
  <si>
    <t>0812800670102597</t>
  </si>
  <si>
    <t>HINGONIYA</t>
  </si>
  <si>
    <t>Hingoniya</t>
  </si>
  <si>
    <t>0812800670102630</t>
  </si>
  <si>
    <t>Harsoli</t>
  </si>
  <si>
    <t>0812800670102631</t>
  </si>
  <si>
    <t>Baldeo Pura</t>
  </si>
  <si>
    <t>0812800670102632</t>
  </si>
  <si>
    <t>0812800670102619</t>
  </si>
  <si>
    <t>Padaliya</t>
  </si>
  <si>
    <t>0812800670102620</t>
  </si>
  <si>
    <t>ISHARPURA</t>
  </si>
  <si>
    <t>Ishwarpura</t>
  </si>
  <si>
    <t>0812800670102607</t>
  </si>
  <si>
    <t>Kareeriya</t>
  </si>
  <si>
    <t>0812800670102627</t>
  </si>
  <si>
    <t>0812800670102626</t>
  </si>
  <si>
    <t>Gudrawani</t>
  </si>
  <si>
    <t>0812800670102625</t>
  </si>
  <si>
    <t>Jharwa</t>
  </si>
  <si>
    <t>0812800670102622</t>
  </si>
  <si>
    <t>Pagara</t>
  </si>
  <si>
    <t>0812800670102624</t>
  </si>
  <si>
    <t>JALODA TEJAJI</t>
  </si>
  <si>
    <t>Jaloda Tejaji</t>
  </si>
  <si>
    <t>0812800670102583</t>
  </si>
  <si>
    <t>Seemalya</t>
  </si>
  <si>
    <t>0812800670102582</t>
  </si>
  <si>
    <t>Kekakheri</t>
  </si>
  <si>
    <t>0812800670102561</t>
  </si>
  <si>
    <t>Bhojyaheri</t>
  </si>
  <si>
    <t>0812800670102581</t>
  </si>
  <si>
    <t>Balwankheri</t>
  </si>
  <si>
    <t>0812800670102562</t>
  </si>
  <si>
    <t>JARELA</t>
  </si>
  <si>
    <t>Jarela</t>
  </si>
  <si>
    <t>0812800670102574</t>
  </si>
  <si>
    <t>Reejhya</t>
  </si>
  <si>
    <t>0812800670102577</t>
  </si>
  <si>
    <t>Gurawadiya</t>
  </si>
  <si>
    <t>0812800670102573</t>
  </si>
  <si>
    <t>Bhaogrh</t>
  </si>
  <si>
    <t>0812800670102571</t>
  </si>
  <si>
    <t>Balunda</t>
  </si>
  <si>
    <t>0812800670102572</t>
  </si>
  <si>
    <t>Kashi Pura</t>
  </si>
  <si>
    <t>0812800670102570</t>
  </si>
  <si>
    <t>KISHANPURA</t>
  </si>
  <si>
    <t>Kishanpura</t>
  </si>
  <si>
    <t>0812800670102610</t>
  </si>
  <si>
    <t>Moondla</t>
  </si>
  <si>
    <t>0812800670102612</t>
  </si>
  <si>
    <t>Indraheri</t>
  </si>
  <si>
    <t>0812800670102609</t>
  </si>
  <si>
    <t>0812800670102601</t>
  </si>
  <si>
    <t>Talai Nirman</t>
  </si>
  <si>
    <t>MAHALPUR</t>
  </si>
  <si>
    <t>Mahalpur</t>
  </si>
  <si>
    <t>0812800670102603</t>
  </si>
  <si>
    <t>Singola</t>
  </si>
  <si>
    <t>0812800670102623</t>
  </si>
  <si>
    <t>Nandgaonri</t>
  </si>
  <si>
    <t>0812800670102606</t>
  </si>
  <si>
    <t>Mundiya</t>
  </si>
  <si>
    <t>0812800670102605</t>
  </si>
  <si>
    <t>Jarawadiya</t>
  </si>
  <si>
    <t>0812800670102604</t>
  </si>
  <si>
    <t>Mordi</t>
  </si>
  <si>
    <t>0812800670102602</t>
  </si>
  <si>
    <t>Rengarh</t>
  </si>
  <si>
    <t>0812800670102578</t>
  </si>
  <si>
    <t>MAHUWA</t>
  </si>
  <si>
    <t>Mahuaa</t>
  </si>
  <si>
    <t>0812800670102614</t>
  </si>
  <si>
    <t>Moondli</t>
  </si>
  <si>
    <t>0812800670102617</t>
  </si>
  <si>
    <t>Sokhanda</t>
  </si>
  <si>
    <t>0812800670102618</t>
  </si>
  <si>
    <t>Rakaspuriya</t>
  </si>
  <si>
    <t>0812800670102613</t>
  </si>
  <si>
    <t>MAL BAMORI</t>
  </si>
  <si>
    <t>Mal Bamori</t>
  </si>
  <si>
    <t>0812800670102563</t>
  </si>
  <si>
    <t>0812800670102565</t>
  </si>
  <si>
    <t>Rampura Bhagtan</t>
  </si>
  <si>
    <t>0812800670102564</t>
  </si>
  <si>
    <t>MAU</t>
  </si>
  <si>
    <t>Mau</t>
  </si>
  <si>
    <t>0812800670102579</t>
  </si>
  <si>
    <t xml:space="preserve">Charagah , Talai </t>
  </si>
  <si>
    <t>Karariya</t>
  </si>
  <si>
    <t>0812800670102580</t>
  </si>
  <si>
    <t>Rawal Jawal</t>
  </si>
  <si>
    <t>0812800670102566</t>
  </si>
  <si>
    <t>Khanpuriya</t>
  </si>
  <si>
    <t>0812800670102576</t>
  </si>
  <si>
    <t>Bhateriya</t>
  </si>
  <si>
    <t>0812800670102575</t>
  </si>
  <si>
    <t>RAITHAL</t>
  </si>
  <si>
    <t>Raithal</t>
  </si>
  <si>
    <t>0812800670102615</t>
  </si>
  <si>
    <t>Talai and planataion</t>
  </si>
  <si>
    <t>SEESWALI</t>
  </si>
  <si>
    <t>Seeswali</t>
  </si>
  <si>
    <t>0812800670102588</t>
  </si>
  <si>
    <t>Plantation</t>
  </si>
  <si>
    <t>SHAHPURA</t>
  </si>
  <si>
    <t>Shahupura</t>
  </si>
  <si>
    <t>0812800670102586</t>
  </si>
  <si>
    <t>Koondla</t>
  </si>
  <si>
    <t>0812800670102599</t>
  </si>
  <si>
    <t>Kushya</t>
  </si>
  <si>
    <t>0812800670102600</t>
  </si>
  <si>
    <t>Pakalkhera</t>
  </si>
  <si>
    <t>0812800670102598</t>
  </si>
  <si>
    <t>Chandraheri</t>
  </si>
  <si>
    <t>0812800670102585</t>
  </si>
  <si>
    <t>Chainpuriya</t>
  </si>
  <si>
    <t>0812800670102584</t>
  </si>
  <si>
    <t>0812800670102587</t>
  </si>
  <si>
    <t>Kanada</t>
  </si>
  <si>
    <t>0812800670102556</t>
  </si>
  <si>
    <t>Dhoomarkheri</t>
  </si>
  <si>
    <t>0812800670102560</t>
  </si>
  <si>
    <t>Shrinal</t>
  </si>
  <si>
    <t>0812800670102559</t>
  </si>
  <si>
    <t>Rampuriya Barod</t>
  </si>
  <si>
    <t>0812800670102558</t>
  </si>
  <si>
    <t>Patpara</t>
  </si>
  <si>
    <t>0812800670102557</t>
  </si>
  <si>
    <t>UDPURIYA</t>
  </si>
  <si>
    <t>0812800670102592</t>
  </si>
  <si>
    <t>Godawari</t>
  </si>
  <si>
    <t>0812800670102593</t>
  </si>
  <si>
    <t>Pipalda</t>
  </si>
  <si>
    <t>0812800670102591</t>
  </si>
  <si>
    <t>Paparli</t>
  </si>
  <si>
    <t>0812800670102594</t>
  </si>
  <si>
    <t>0812800670102595</t>
  </si>
  <si>
    <t>Sonwa</t>
  </si>
  <si>
    <t>0812800670102590</t>
  </si>
  <si>
    <t>Bhateri</t>
  </si>
  <si>
    <t>0812800670102589</t>
  </si>
  <si>
    <t>Rampura @ Phoolpuriya</t>
  </si>
  <si>
    <t>0812800670102555</t>
  </si>
  <si>
    <t>Shivpura</t>
  </si>
  <si>
    <t>0812800670102554</t>
  </si>
  <si>
    <t>KISHANGANJ</t>
  </si>
  <si>
    <t>ASNAWAR</t>
  </si>
  <si>
    <t>Asnawar</t>
  </si>
  <si>
    <t>0812800674102958</t>
  </si>
  <si>
    <t>Charagah vikas kaary</t>
  </si>
  <si>
    <t>Thana</t>
  </si>
  <si>
    <t>0812800674102976</t>
  </si>
  <si>
    <t>0812800674102977</t>
  </si>
  <si>
    <t>Shri Pura</t>
  </si>
  <si>
    <t>0812800674102957</t>
  </si>
  <si>
    <t>Karwala @ Lachhmipura</t>
  </si>
  <si>
    <t>0812800674102959</t>
  </si>
  <si>
    <t>Tagariya Dhani</t>
  </si>
  <si>
    <t>0812800674102956</t>
  </si>
  <si>
    <t>0812800674102955</t>
  </si>
  <si>
    <t>Gorela</t>
  </si>
  <si>
    <t>0812800674102953</t>
  </si>
  <si>
    <t>0812800674102954</t>
  </si>
  <si>
    <t>BADIPURA</t>
  </si>
  <si>
    <t>Badipura</t>
  </si>
  <si>
    <t>0812800674103158</t>
  </si>
  <si>
    <t>Laxmipura @ Patpadi</t>
  </si>
  <si>
    <t>0812800674103156</t>
  </si>
  <si>
    <t>13.06.2023</t>
  </si>
  <si>
    <t>Baldeopura @ Dob</t>
  </si>
  <si>
    <t>0812800674103153</t>
  </si>
  <si>
    <t>Bhainroo Pura</t>
  </si>
  <si>
    <t>0812800674103157</t>
  </si>
  <si>
    <t>Durjanpura</t>
  </si>
  <si>
    <t>0812800674103155</t>
  </si>
  <si>
    <t>Lakrai</t>
  </si>
  <si>
    <t>0812800674103154</t>
  </si>
  <si>
    <t>Geegchi</t>
  </si>
  <si>
    <t>0812800674103151</t>
  </si>
  <si>
    <t>BAJRANG GARH</t>
  </si>
  <si>
    <t>Bajrang Garh</t>
  </si>
  <si>
    <t>0812800674103106</t>
  </si>
  <si>
    <t>Ahmada</t>
  </si>
  <si>
    <t>0812800674103124</t>
  </si>
  <si>
    <t>Ahmadi</t>
  </si>
  <si>
    <t>0812800674103120</t>
  </si>
  <si>
    <t>0812800674103105</t>
  </si>
  <si>
    <t>Ramganj @ Nayagaon</t>
  </si>
  <si>
    <t>0812800674103107</t>
  </si>
  <si>
    <t>Khairpur</t>
  </si>
  <si>
    <t>0812800674103108</t>
  </si>
  <si>
    <t>BAKANPURA</t>
  </si>
  <si>
    <t>Bakanpura</t>
  </si>
  <si>
    <t>0812800674103048</t>
  </si>
  <si>
    <t>26/01/2025</t>
  </si>
  <si>
    <t>Karanpura</t>
  </si>
  <si>
    <t>0812800674103046</t>
  </si>
  <si>
    <t>0812800674103019</t>
  </si>
  <si>
    <t>Jagdevpura</t>
  </si>
  <si>
    <t>0812800674103018</t>
  </si>
  <si>
    <t>BANDAKHURD</t>
  </si>
  <si>
    <t>Banda-Khurd</t>
  </si>
  <si>
    <t>0812800674103159</t>
  </si>
  <si>
    <t>Geegcha</t>
  </si>
  <si>
    <t>0812800674103150</t>
  </si>
  <si>
    <t>Talai Nirmaan kaary</t>
  </si>
  <si>
    <t>Kherli</t>
  </si>
  <si>
    <t>0812800674103161</t>
  </si>
  <si>
    <t>Motipura @ Barooni</t>
  </si>
  <si>
    <t>0812800674103140</t>
  </si>
  <si>
    <t>BAROONI</t>
  </si>
  <si>
    <t>Barooni</t>
  </si>
  <si>
    <t>0812800674103034</t>
  </si>
  <si>
    <t>Shahpura</t>
  </si>
  <si>
    <t>0812800674103146</t>
  </si>
  <si>
    <t>0812800674103043</t>
  </si>
  <si>
    <t>Lalganj</t>
  </si>
  <si>
    <t>0812800674103042</t>
  </si>
  <si>
    <t>Suhawan</t>
  </si>
  <si>
    <t>0812800674103033</t>
  </si>
  <si>
    <t>05.03.2022</t>
  </si>
  <si>
    <t>BASTHOONI</t>
  </si>
  <si>
    <t>Basthooni</t>
  </si>
  <si>
    <t>0812800674103074</t>
  </si>
  <si>
    <t>Hirapur</t>
  </si>
  <si>
    <t>0812800674103067</t>
  </si>
  <si>
    <t>Gadighata</t>
  </si>
  <si>
    <t>0812800674103068</t>
  </si>
  <si>
    <t>BHANWARGARH</t>
  </si>
  <si>
    <t>Bhanwargarh</t>
  </si>
  <si>
    <t>0812800674103085</t>
  </si>
  <si>
    <t>21.04.2023</t>
  </si>
  <si>
    <t>BILASGARH</t>
  </si>
  <si>
    <t>Bilasgarh</t>
  </si>
  <si>
    <t>0812800674103109</t>
  </si>
  <si>
    <t>19.05.2023</t>
  </si>
  <si>
    <t>Seemlya</t>
  </si>
  <si>
    <t>0812800674103090</t>
  </si>
  <si>
    <t>Peenjani</t>
  </si>
  <si>
    <t>0812800674103089</t>
  </si>
  <si>
    <t>0812800674103091</t>
  </si>
  <si>
    <t>Kapri Khera</t>
  </si>
  <si>
    <t>0812800674103086</t>
  </si>
  <si>
    <t>BRIJNAGAR</t>
  </si>
  <si>
    <t>Brijnagar</t>
  </si>
  <si>
    <t>0812800674102989</t>
  </si>
  <si>
    <t>Mahtabpura</t>
  </si>
  <si>
    <t>0812800674102983</t>
  </si>
  <si>
    <t>Lolkya</t>
  </si>
  <si>
    <t>0812800674102984</t>
  </si>
  <si>
    <t>Chak Lokya</t>
  </si>
  <si>
    <t>0812800674102985</t>
  </si>
  <si>
    <t>Boreda</t>
  </si>
  <si>
    <t>0812800674102982</t>
  </si>
  <si>
    <t>Meghpura</t>
  </si>
  <si>
    <t>0812800674102997</t>
  </si>
  <si>
    <t>0812800674102992</t>
  </si>
  <si>
    <t>Maytha</t>
  </si>
  <si>
    <t>0812800674102996</t>
  </si>
  <si>
    <t>CHHATARGANJ</t>
  </si>
  <si>
    <t>Chhatarganj</t>
  </si>
  <si>
    <t>0812800674103135</t>
  </si>
  <si>
    <t>Maloti</t>
  </si>
  <si>
    <t>0812800674103136</t>
  </si>
  <si>
    <t>Naihroopur</t>
  </si>
  <si>
    <t>0812800674103143</t>
  </si>
  <si>
    <t>0812800674103125</t>
  </si>
  <si>
    <t>CHHINOD</t>
  </si>
  <si>
    <t>Chhinod</t>
  </si>
  <si>
    <t>0812800674103039</t>
  </si>
  <si>
    <t>Radhapura</t>
  </si>
  <si>
    <t>0812800674103038</t>
  </si>
  <si>
    <t>Sodana</t>
  </si>
  <si>
    <t>0812800674103062</t>
  </si>
  <si>
    <t>0812800674103040</t>
  </si>
  <si>
    <t>DIGODPAR</t>
  </si>
  <si>
    <t>Digodpar</t>
  </si>
  <si>
    <t>0812800674103037</t>
  </si>
  <si>
    <t>Mahrawta</t>
  </si>
  <si>
    <t>0812800674103064</t>
  </si>
  <si>
    <t>GARDA</t>
  </si>
  <si>
    <t>Garda</t>
  </si>
  <si>
    <t>0812800674103047</t>
  </si>
  <si>
    <t>0812800674103060</t>
  </si>
  <si>
    <t>Mauj</t>
  </si>
  <si>
    <t>0812800674103044</t>
  </si>
  <si>
    <t>Sadaphal</t>
  </si>
  <si>
    <t>0812800674103045</t>
  </si>
  <si>
    <t>GHATTI</t>
  </si>
  <si>
    <t>Ghatti</t>
  </si>
  <si>
    <t>0812800674103117</t>
  </si>
  <si>
    <t>Tala Wara</t>
  </si>
  <si>
    <t>0812800674103114</t>
  </si>
  <si>
    <t>0812800674103116</t>
  </si>
  <si>
    <t>Dhikoniya</t>
  </si>
  <si>
    <t>0812800674103110</t>
  </si>
  <si>
    <t>Gajron</t>
  </si>
  <si>
    <t>0812800674103111</t>
  </si>
  <si>
    <t>Boren</t>
  </si>
  <si>
    <t>0812800674103113</t>
  </si>
  <si>
    <t>0812800674103112</t>
  </si>
  <si>
    <t>JALWARA</t>
  </si>
  <si>
    <t>Jalwara</t>
  </si>
  <si>
    <t>0812800674103126</t>
  </si>
  <si>
    <t>Bamori</t>
  </si>
  <si>
    <t>0812800674103131</t>
  </si>
  <si>
    <t>KAGLABAMORI</t>
  </si>
  <si>
    <t>Kagla Bambori</t>
  </si>
  <si>
    <t>0812800674103030</t>
  </si>
  <si>
    <t>Lakha Kheri @ Rampuriya</t>
  </si>
  <si>
    <t>0812800674103041</t>
  </si>
  <si>
    <t>0812800674103035</t>
  </si>
  <si>
    <t>Barodiya</t>
  </si>
  <si>
    <t>0812800674103036</t>
  </si>
  <si>
    <t>Panchampura (Panchu Ki Tapariya)</t>
  </si>
  <si>
    <t>0812800674103029</t>
  </si>
  <si>
    <t xml:space="preserve">Talai nirman </t>
  </si>
  <si>
    <t>charagah</t>
  </si>
  <si>
    <t>KANKARDA</t>
  </si>
  <si>
    <t>Kankarda</t>
  </si>
  <si>
    <t>0812800674103093</t>
  </si>
  <si>
    <t>Nalda</t>
  </si>
  <si>
    <t>0812800674103094</t>
  </si>
  <si>
    <t>Akodiya</t>
  </si>
  <si>
    <t>0812800674103095</t>
  </si>
  <si>
    <t>Kherli Tatiyan</t>
  </si>
  <si>
    <t>0812800674103092</t>
  </si>
  <si>
    <t>Kamtha</t>
  </si>
  <si>
    <t>0812800674103072</t>
  </si>
  <si>
    <t>Lalapura</t>
  </si>
  <si>
    <t>0812800674103073</t>
  </si>
  <si>
    <t>Amlawada</t>
  </si>
  <si>
    <t>0812800674103071</t>
  </si>
  <si>
    <t>Delod</t>
  </si>
  <si>
    <t>0812800674103070</t>
  </si>
  <si>
    <t>KARWARI KALAN</t>
  </si>
  <si>
    <t>Karwari Kalan</t>
  </si>
  <si>
    <t>0812800674103016</t>
  </si>
  <si>
    <t>0812800674103127</t>
  </si>
  <si>
    <t>Moyda</t>
  </si>
  <si>
    <t>0812800674103020</t>
  </si>
  <si>
    <t>Chindaliya</t>
  </si>
  <si>
    <t>0812800674103022</t>
  </si>
  <si>
    <t>Ramnagar</t>
  </si>
  <si>
    <t>0812800674103017</t>
  </si>
  <si>
    <t>Karwari Khurd</t>
  </si>
  <si>
    <t>0812800674103004</t>
  </si>
  <si>
    <t>KHALDA</t>
  </si>
  <si>
    <t>Khalda</t>
  </si>
  <si>
    <t>0812800674103132</t>
  </si>
  <si>
    <t>Lathkhera</t>
  </si>
  <si>
    <t>0812800674103129</t>
  </si>
  <si>
    <t>0812800674103128</t>
  </si>
  <si>
    <t>Khaldi</t>
  </si>
  <si>
    <t>0812800674103133</t>
  </si>
  <si>
    <t>Kadeeli</t>
  </si>
  <si>
    <t>0812800674103130</t>
  </si>
  <si>
    <t>Ram Vilas</t>
  </si>
  <si>
    <t>0812800674103134</t>
  </si>
  <si>
    <t>0812800674103021</t>
  </si>
  <si>
    <t>KHANDELA</t>
  </si>
  <si>
    <t>Khandela</t>
  </si>
  <si>
    <t>0812800674103013</t>
  </si>
  <si>
    <t>11.04.2023</t>
  </si>
  <si>
    <t>Digoda</t>
  </si>
  <si>
    <t>0812800674103054</t>
  </si>
  <si>
    <t>26/1/2024</t>
  </si>
  <si>
    <t>Amroli</t>
  </si>
  <si>
    <t>0812800674103053</t>
  </si>
  <si>
    <t>Kherla</t>
  </si>
  <si>
    <t>0812800674103051</t>
  </si>
  <si>
    <t>11.05.2023</t>
  </si>
  <si>
    <t>Koti Khera</t>
  </si>
  <si>
    <t>0812800674103050</t>
  </si>
  <si>
    <t>Halawani</t>
  </si>
  <si>
    <t>0812800674103052</t>
  </si>
  <si>
    <t>Semal Khera</t>
  </si>
  <si>
    <t>0812800674103049</t>
  </si>
  <si>
    <t>KHYAWADA</t>
  </si>
  <si>
    <t>Khyawada</t>
  </si>
  <si>
    <t>0812800674103121</t>
  </si>
  <si>
    <t>Peetampura</t>
  </si>
  <si>
    <t>0812800674103123</t>
  </si>
  <si>
    <t>Rampura Sunda</t>
  </si>
  <si>
    <t>0812800674103122</t>
  </si>
  <si>
    <t>Koondi</t>
  </si>
  <si>
    <t>0812800674103100</t>
  </si>
  <si>
    <t>Kishanganj</t>
  </si>
  <si>
    <t>0812800674103069</t>
  </si>
  <si>
    <t>LAXMIPURA KHANKARAA</t>
  </si>
  <si>
    <t>Laxmipura</t>
  </si>
  <si>
    <t>0812800674103056</t>
  </si>
  <si>
    <t>0812800674103058</t>
  </si>
  <si>
    <t>22.12.2022</t>
  </si>
  <si>
    <t>Ranwasi</t>
  </si>
  <si>
    <t>0812800674103084</t>
  </si>
  <si>
    <t>Nayagaon @ Ramnagar</t>
  </si>
  <si>
    <t>0812800674103083</t>
  </si>
  <si>
    <t>Ranwasa</t>
  </si>
  <si>
    <t>0812800674103080</t>
  </si>
  <si>
    <t>Jagdishpura</t>
  </si>
  <si>
    <t>0812800674103082</t>
  </si>
  <si>
    <t>Charpura</t>
  </si>
  <si>
    <t>0812800674103081</t>
  </si>
  <si>
    <t>0812800674103055</t>
  </si>
  <si>
    <t>0812800674103057</t>
  </si>
  <si>
    <t>Jaiswan</t>
  </si>
  <si>
    <t>0812800674103059</t>
  </si>
  <si>
    <t>NAHARGARH</t>
  </si>
  <si>
    <t>Nahargarh</t>
  </si>
  <si>
    <t>0812800674103138</t>
  </si>
  <si>
    <t>talai and charagah nirman</t>
  </si>
  <si>
    <t>0812800674103141</t>
  </si>
  <si>
    <t>Jhiri</t>
  </si>
  <si>
    <t>0812800674103139</t>
  </si>
  <si>
    <t>0812800674103142</t>
  </si>
  <si>
    <t>PACHLAWADA</t>
  </si>
  <si>
    <t>Pachlawada</t>
  </si>
  <si>
    <t>0812800674103163</t>
  </si>
  <si>
    <t>Mamli</t>
  </si>
  <si>
    <t>0812800674103164</t>
  </si>
  <si>
    <t>Biloda</t>
  </si>
  <si>
    <t>0812800674103165</t>
  </si>
  <si>
    <t>0812800674103162</t>
  </si>
  <si>
    <t>Banda Kalan</t>
  </si>
  <si>
    <t>0812800674103160</t>
  </si>
  <si>
    <t>PARANIYA</t>
  </si>
  <si>
    <t>Paraniya</t>
  </si>
  <si>
    <t>0812800674103119</t>
  </si>
  <si>
    <t>0812800674103118</t>
  </si>
  <si>
    <t>Jetpura</t>
  </si>
  <si>
    <t>0812800674103137</t>
  </si>
  <si>
    <t>Ghatta</t>
  </si>
  <si>
    <t>0812800674103115</t>
  </si>
  <si>
    <t>PEEPALDA KALAN</t>
  </si>
  <si>
    <t>Peepalda Kalan</t>
  </si>
  <si>
    <t>0812800674102980</t>
  </si>
  <si>
    <t>Kanwariya</t>
  </si>
  <si>
    <t>0812800674102991</t>
  </si>
  <si>
    <t>Madhopura</t>
  </si>
  <si>
    <t>0812800674102990</t>
  </si>
  <si>
    <t>Peepalda Khurd</t>
  </si>
  <si>
    <t>0812800674102981</t>
  </si>
  <si>
    <t>Kishnaipura</t>
  </si>
  <si>
    <t>0812800674102993</t>
  </si>
  <si>
    <t>Neemoda</t>
  </si>
  <si>
    <t>0812800674102979</t>
  </si>
  <si>
    <t>Arjunpura</t>
  </si>
  <si>
    <t>0812800674102978</t>
  </si>
  <si>
    <t>PHALDI</t>
  </si>
  <si>
    <t>Phaldi</t>
  </si>
  <si>
    <t>0812800674103076</t>
  </si>
  <si>
    <t>Kunda</t>
  </si>
  <si>
    <t>0812800674103077</t>
  </si>
  <si>
    <t>Geedpata</t>
  </si>
  <si>
    <t>0812800674103078</t>
  </si>
  <si>
    <t>Gajra Gajri</t>
  </si>
  <si>
    <t>0812800674103079</t>
  </si>
  <si>
    <t>PINJANA</t>
  </si>
  <si>
    <t>Peenjana</t>
  </si>
  <si>
    <t>0812800674103088</t>
  </si>
  <si>
    <t>Kherli Panch-Bhaiyan</t>
  </si>
  <si>
    <t>0812800674103087</t>
  </si>
  <si>
    <t>Rampuriya Jageer</t>
  </si>
  <si>
    <t>0812800674103075</t>
  </si>
  <si>
    <t>RAMGARH</t>
  </si>
  <si>
    <t>0812800674102975</t>
  </si>
  <si>
    <t>0812800674102995</t>
  </si>
  <si>
    <t>Fatehpura Kachhara</t>
  </si>
  <si>
    <t>0812800674102994</t>
  </si>
  <si>
    <t>Brahmpura</t>
  </si>
  <si>
    <t>0812800674102974</t>
  </si>
  <si>
    <t>Duger</t>
  </si>
  <si>
    <t>0812800674102972</t>
  </si>
  <si>
    <t>0812800674102973</t>
  </si>
  <si>
    <t>Dhani</t>
  </si>
  <si>
    <t>0812800674102971</t>
  </si>
  <si>
    <t>Fatehpura</t>
  </si>
  <si>
    <t>0812800674102970</t>
  </si>
  <si>
    <t>RAMPURIYA TODIYA</t>
  </si>
  <si>
    <t>Rampuriya Todiya</t>
  </si>
  <si>
    <t>0812800674103015</t>
  </si>
  <si>
    <t>25.04.2023</t>
  </si>
  <si>
    <t xml:space="preserve">Talai charagah vikas </t>
  </si>
  <si>
    <t xml:space="preserve">talai Nirmaan </t>
  </si>
  <si>
    <t>0812800674103012</t>
  </si>
  <si>
    <t>Balapura @ Janakpur</t>
  </si>
  <si>
    <t>0812800674103014</t>
  </si>
  <si>
    <t>0812800674103011</t>
  </si>
  <si>
    <t>Kali Mati</t>
  </si>
  <si>
    <t>0812800674103010</t>
  </si>
  <si>
    <t>Chunwaya</t>
  </si>
  <si>
    <t>0812800674103006</t>
  </si>
  <si>
    <t>Nayagaon</t>
  </si>
  <si>
    <t>0812800674103007</t>
  </si>
  <si>
    <t>0812800674103009</t>
  </si>
  <si>
    <t>0812800674102961</t>
  </si>
  <si>
    <t>RANI BAROD</t>
  </si>
  <si>
    <t>Rani Barod</t>
  </si>
  <si>
    <t>0812800674103065</t>
  </si>
  <si>
    <t>0812800674103066</t>
  </si>
  <si>
    <t>Misai</t>
  </si>
  <si>
    <t>0812800674103063</t>
  </si>
  <si>
    <t>RELAWAN</t>
  </si>
  <si>
    <t>Relawan</t>
  </si>
  <si>
    <t>0812800674103023</t>
  </si>
  <si>
    <t>Bapcha</t>
  </si>
  <si>
    <t>0812800674103000</t>
  </si>
  <si>
    <t>Jhagar</t>
  </si>
  <si>
    <t>0812800674103024</t>
  </si>
  <si>
    <t>Amkheri</t>
  </si>
  <si>
    <t>0812800674102999</t>
  </si>
  <si>
    <t>Seemlya Sopan</t>
  </si>
  <si>
    <t>0812800674102998</t>
  </si>
  <si>
    <t>SAKHRAWADA</t>
  </si>
  <si>
    <t>Sakhrawada</t>
  </si>
  <si>
    <t>0812800674103098</t>
  </si>
  <si>
    <t>Bhakhrawada</t>
  </si>
  <si>
    <t>0812800674103099</t>
  </si>
  <si>
    <t>Gobarcha</t>
  </si>
  <si>
    <t>0812800674103101</t>
  </si>
  <si>
    <t>Naldi</t>
  </si>
  <si>
    <t>0812800674103102</t>
  </si>
  <si>
    <t>Bapoti</t>
  </si>
  <si>
    <t>0812800674103103</t>
  </si>
  <si>
    <t>Kheruna</t>
  </si>
  <si>
    <t>0812800674103104</t>
  </si>
  <si>
    <t>Thoogani</t>
  </si>
  <si>
    <t>0812800674103096</t>
  </si>
  <si>
    <t>Bamori Mohan</t>
  </si>
  <si>
    <t>0812800674103097</t>
  </si>
  <si>
    <t>SEWANI</t>
  </si>
  <si>
    <t>Sewani</t>
  </si>
  <si>
    <t>0812800674102986</t>
  </si>
  <si>
    <t>0812800674102987</t>
  </si>
  <si>
    <t>Padampura</t>
  </si>
  <si>
    <t>0812800674103026</t>
  </si>
  <si>
    <t>0812800674103027</t>
  </si>
  <si>
    <t>Swarooppura</t>
  </si>
  <si>
    <t>0812800674103028</t>
  </si>
  <si>
    <t>Bhawanipura</t>
  </si>
  <si>
    <t>0812800674102988</t>
  </si>
  <si>
    <t>SHOBHAGPURA</t>
  </si>
  <si>
    <t>Shobhagpura</t>
  </si>
  <si>
    <t>0812800674103032</t>
  </si>
  <si>
    <t>Dhand Chhatarpura</t>
  </si>
  <si>
    <t>0812800674103031</t>
  </si>
  <si>
    <t>Kanwarpura</t>
  </si>
  <si>
    <t>0812800674103025</t>
  </si>
  <si>
    <t>SIMLOD</t>
  </si>
  <si>
    <t>Simlod</t>
  </si>
  <si>
    <t>0812800674103148</t>
  </si>
  <si>
    <t>0812800674103152</t>
  </si>
  <si>
    <t>0812800674103147</t>
  </si>
  <si>
    <t>Mahodari</t>
  </si>
  <si>
    <t>0812800674103149</t>
  </si>
  <si>
    <t>Sigri</t>
  </si>
  <si>
    <t>0812800674103145</t>
  </si>
  <si>
    <t>Neem Khera</t>
  </si>
  <si>
    <t>0812800674103144</t>
  </si>
  <si>
    <t>0812800674103061</t>
  </si>
  <si>
    <t>SUWANS</t>
  </si>
  <si>
    <t>Suwans</t>
  </si>
  <si>
    <t>0812800674102968</t>
  </si>
  <si>
    <t>0812800674103001</t>
  </si>
  <si>
    <t>Khandela Kheri</t>
  </si>
  <si>
    <t>0812800674103002</t>
  </si>
  <si>
    <t>Gordhanpra @ Banjh Amli</t>
  </si>
  <si>
    <t>0812800674103003</t>
  </si>
  <si>
    <t>Sanwatri</t>
  </si>
  <si>
    <t>0812800674102969</t>
  </si>
  <si>
    <t>0812800674103008</t>
  </si>
  <si>
    <t>Kunji</t>
  </si>
  <si>
    <t>0812800674102964</t>
  </si>
  <si>
    <t>Balon</t>
  </si>
  <si>
    <t>0812800674102963</t>
  </si>
  <si>
    <t>0812800674102966</t>
  </si>
  <si>
    <t>Lahrooni</t>
  </si>
  <si>
    <t>0812800674102967</t>
  </si>
  <si>
    <t>0812800674102965</t>
  </si>
  <si>
    <t>Baman Deh</t>
  </si>
  <si>
    <t>0812800674103005</t>
  </si>
  <si>
    <t>Chandrapura @ Nayagaon</t>
  </si>
  <si>
    <t>0812800674102962</t>
  </si>
  <si>
    <t>Dholpur</t>
  </si>
  <si>
    <t>0812800674102960</t>
  </si>
  <si>
    <t>SHAHBAD</t>
  </si>
  <si>
    <t>AGAR</t>
  </si>
  <si>
    <t>Agar</t>
  </si>
  <si>
    <t>0812800675103398</t>
  </si>
  <si>
    <t>N</t>
  </si>
  <si>
    <t xml:space="preserve">Charagah </t>
  </si>
  <si>
    <t>Mahoori</t>
  </si>
  <si>
    <t>0812800675103395</t>
  </si>
  <si>
    <t>0812800675103401</t>
  </si>
  <si>
    <t>Kot Khanga</t>
  </si>
  <si>
    <t>0812800675103400</t>
  </si>
  <si>
    <t>Banwaripura</t>
  </si>
  <si>
    <t>0812800675103396</t>
  </si>
  <si>
    <t>Tigri</t>
  </si>
  <si>
    <t>0812800675103397</t>
  </si>
  <si>
    <t>Gujarra</t>
  </si>
  <si>
    <t>0812800675103329</t>
  </si>
  <si>
    <t>Rampur Taleti</t>
  </si>
  <si>
    <t>0812800675103330</t>
  </si>
  <si>
    <t>Amrod</t>
  </si>
  <si>
    <t>0812800675103399</t>
  </si>
  <si>
    <t>0812800675103332</t>
  </si>
  <si>
    <t>Kujay</t>
  </si>
  <si>
    <t>0812800675103328</t>
  </si>
  <si>
    <t>Kharka Shyam Shahi</t>
  </si>
  <si>
    <t>0812800675103331</t>
  </si>
  <si>
    <t>Bharoli</t>
  </si>
  <si>
    <t>0812800675103325</t>
  </si>
  <si>
    <t>0812800675103233</t>
  </si>
  <si>
    <t>AJRODA</t>
  </si>
  <si>
    <t>Ajrora</t>
  </si>
  <si>
    <t>0812800675103300</t>
  </si>
  <si>
    <t>Chraagh talai</t>
  </si>
  <si>
    <t>Kedarkui</t>
  </si>
  <si>
    <t>0812800675103301</t>
  </si>
  <si>
    <t>0812800675103202</t>
  </si>
  <si>
    <t>Bahrai</t>
  </si>
  <si>
    <t>0812800675103203</t>
  </si>
  <si>
    <t>BAINTA</t>
  </si>
  <si>
    <t>Bainta</t>
  </si>
  <si>
    <t>0812800675103176</t>
  </si>
  <si>
    <t>Nidh</t>
  </si>
  <si>
    <t>0812800675103180</t>
  </si>
  <si>
    <t>Kirad Pahari</t>
  </si>
  <si>
    <t>0812800675103194</t>
  </si>
  <si>
    <t>21.09.2022</t>
  </si>
  <si>
    <t>Telni</t>
  </si>
  <si>
    <t>0812800675103179</t>
  </si>
  <si>
    <t>Mahu</t>
  </si>
  <si>
    <t>0812800675103177</t>
  </si>
  <si>
    <t>Dhurera</t>
  </si>
  <si>
    <t>0812800675103178</t>
  </si>
  <si>
    <t>BALDA</t>
  </si>
  <si>
    <t>Balda</t>
  </si>
  <si>
    <t>0812800675103363</t>
  </si>
  <si>
    <t>28.10.2022</t>
  </si>
  <si>
    <t>Handiyai</t>
  </si>
  <si>
    <t>0812800675103367</t>
  </si>
  <si>
    <t>Kharda</t>
  </si>
  <si>
    <t>0812800675103364</t>
  </si>
  <si>
    <t>Chandan Hera</t>
  </si>
  <si>
    <t>0812800675103365</t>
  </si>
  <si>
    <t>0812800675103358</t>
  </si>
  <si>
    <t>07.11.2022</t>
  </si>
  <si>
    <t>Harla</t>
  </si>
  <si>
    <t>0812800675103359</t>
  </si>
  <si>
    <t>Parla</t>
  </si>
  <si>
    <t>0812800675103360</t>
  </si>
  <si>
    <t>Penawada</t>
  </si>
  <si>
    <t>0812800675103357</t>
  </si>
  <si>
    <t>BAMAN GAWAN</t>
  </si>
  <si>
    <t>Baman Gawan</t>
  </si>
  <si>
    <t>0812800675103320</t>
  </si>
  <si>
    <t>0812800675103333</t>
  </si>
  <si>
    <t>Chiroli</t>
  </si>
  <si>
    <t>0812800675103334</t>
  </si>
  <si>
    <t>Semli Taleti</t>
  </si>
  <si>
    <t>0812800675103324</t>
  </si>
  <si>
    <t>Kharka Vijaipur</t>
  </si>
  <si>
    <t>0812800675103322</t>
  </si>
  <si>
    <t>Beelampur</t>
  </si>
  <si>
    <t>0812800675103318</t>
  </si>
  <si>
    <t>Tentai</t>
  </si>
  <si>
    <t>0812800675103321</t>
  </si>
  <si>
    <t>Baseli</t>
  </si>
  <si>
    <t>0812800675103323</t>
  </si>
  <si>
    <t>Tilgawan</t>
  </si>
  <si>
    <t>0812800675103281</t>
  </si>
  <si>
    <t>17.11.2022</t>
  </si>
  <si>
    <t>Dabar</t>
  </si>
  <si>
    <t>0812800675103279</t>
  </si>
  <si>
    <t>BEEL KHERAMAL</t>
  </si>
  <si>
    <t>Beel Kheramal</t>
  </si>
  <si>
    <t>0812800675103221</t>
  </si>
  <si>
    <t>Gangan</t>
  </si>
  <si>
    <t>0812800675103220</t>
  </si>
  <si>
    <t>12.11.2022</t>
  </si>
  <si>
    <t>Chhipol</t>
  </si>
  <si>
    <t>0812800675103183</t>
  </si>
  <si>
    <t>0812800675103222</t>
  </si>
  <si>
    <t>Ghoghra</t>
  </si>
  <si>
    <t>0812800675103223</t>
  </si>
  <si>
    <t>Sedon</t>
  </si>
  <si>
    <t>0812800675103247</t>
  </si>
  <si>
    <t>Raipur</t>
  </si>
  <si>
    <t>0812800675103246</t>
  </si>
  <si>
    <t>Sar</t>
  </si>
  <si>
    <t>0812800675103224</t>
  </si>
  <si>
    <t>Goyra</t>
  </si>
  <si>
    <t>0812800675103225</t>
  </si>
  <si>
    <t>Saloda</t>
  </si>
  <si>
    <t>0812800675103226</t>
  </si>
  <si>
    <t>0812800675103227</t>
  </si>
  <si>
    <t>Haudapura</t>
  </si>
  <si>
    <t>0812800675103228</t>
  </si>
  <si>
    <t>BEER KHERA DANG</t>
  </si>
  <si>
    <t>Beer Khera Dang</t>
  </si>
  <si>
    <t>0812800675103238</t>
  </si>
  <si>
    <t>0812800675103327</t>
  </si>
  <si>
    <t>0812800675103229</t>
  </si>
  <si>
    <t>Narora</t>
  </si>
  <si>
    <t>0812800675103237</t>
  </si>
  <si>
    <t>0812800675103230</t>
  </si>
  <si>
    <t>Sangawan</t>
  </si>
  <si>
    <t>0812800675103235</t>
  </si>
  <si>
    <t>Chora Khari</t>
  </si>
  <si>
    <t>0812800675103231</t>
  </si>
  <si>
    <t>0812800675103232</t>
  </si>
  <si>
    <t>12.04.2023</t>
  </si>
  <si>
    <t>Gunjari</t>
  </si>
  <si>
    <t>0812800675103234</t>
  </si>
  <si>
    <t>Bhoyal</t>
  </si>
  <si>
    <t>0812800675103258</t>
  </si>
  <si>
    <t>Handi Khera</t>
  </si>
  <si>
    <t>0812800675103261</t>
  </si>
  <si>
    <t>Boodhi Bhoyal</t>
  </si>
  <si>
    <t>0812800675103259</t>
  </si>
  <si>
    <t>Faredua Taleti</t>
  </si>
  <si>
    <t>0812800675103260</t>
  </si>
  <si>
    <t>Doondabar</t>
  </si>
  <si>
    <t>0812800675103218</t>
  </si>
  <si>
    <t>Pajantori</t>
  </si>
  <si>
    <t>0812800675103257</t>
  </si>
  <si>
    <t>Gurjara</t>
  </si>
  <si>
    <t>0812800675103219</t>
  </si>
  <si>
    <t>BICHI</t>
  </si>
  <si>
    <t>Bichi</t>
  </si>
  <si>
    <t>0812800675103341</t>
  </si>
  <si>
    <t>Bans Khera Googal</t>
  </si>
  <si>
    <t>0812800675103377</t>
  </si>
  <si>
    <t>Rampura Upreti</t>
  </si>
  <si>
    <t>0812800675103376</t>
  </si>
  <si>
    <t>19.08.2022</t>
  </si>
  <si>
    <t>Suhan</t>
  </si>
  <si>
    <t>0812800675103379</t>
  </si>
  <si>
    <t>Ballampur</t>
  </si>
  <si>
    <t>0812800675103380</t>
  </si>
  <si>
    <t>Mohanpur</t>
  </si>
  <si>
    <t>0812800675103378</t>
  </si>
  <si>
    <t>Ghensuwa</t>
  </si>
  <si>
    <t>0812800675103343</t>
  </si>
  <si>
    <t>Majhera</t>
  </si>
  <si>
    <t>0812800675103340</t>
  </si>
  <si>
    <t>Nandiya</t>
  </si>
  <si>
    <t>0812800675103339</t>
  </si>
  <si>
    <t>Amkhoh</t>
  </si>
  <si>
    <t>0812800675103338</t>
  </si>
  <si>
    <t>Balharpur</t>
  </si>
  <si>
    <t>0812800675103315</t>
  </si>
  <si>
    <t>Baint</t>
  </si>
  <si>
    <t>0812800675103314</t>
  </si>
  <si>
    <t>23.08.2022</t>
  </si>
  <si>
    <t>Danta</t>
  </si>
  <si>
    <t>0812800675103355</t>
  </si>
  <si>
    <t>Chhichhroni</t>
  </si>
  <si>
    <t>0812800675103354</t>
  </si>
  <si>
    <t>22.11.2022</t>
  </si>
  <si>
    <t>0812800675103302</t>
  </si>
  <si>
    <t>DEORI</t>
  </si>
  <si>
    <t>Deori</t>
  </si>
  <si>
    <t>0812800675103249</t>
  </si>
  <si>
    <t>Patara</t>
  </si>
  <si>
    <t>0812800675103256</t>
  </si>
  <si>
    <t>Sirsipura</t>
  </si>
  <si>
    <t>0812800675103255</t>
  </si>
  <si>
    <t>Kema</t>
  </si>
  <si>
    <t>0812800675103248</t>
  </si>
  <si>
    <t>Tanda</t>
  </si>
  <si>
    <t>0812800675103245</t>
  </si>
  <si>
    <t>DHIKWANI</t>
  </si>
  <si>
    <t>Dhikwani</t>
  </si>
  <si>
    <t>0812800675103346</t>
  </si>
  <si>
    <t>08.09.2022</t>
  </si>
  <si>
    <t>Ranipura</t>
  </si>
  <si>
    <t>0812800675103345</t>
  </si>
  <si>
    <t>Ratai Kalan</t>
  </si>
  <si>
    <t>0812800675103347</t>
  </si>
  <si>
    <t>Ratai Khurd</t>
  </si>
  <si>
    <t>0812800675103309</t>
  </si>
  <si>
    <t>Ahera</t>
  </si>
  <si>
    <t>0812800675103311</t>
  </si>
  <si>
    <t>Reethipura</t>
  </si>
  <si>
    <t>0812800675103310</t>
  </si>
  <si>
    <t>GADRETA</t>
  </si>
  <si>
    <t>Gadreta</t>
  </si>
  <si>
    <t>0812800675103297</t>
  </si>
  <si>
    <t>07.09.2022</t>
  </si>
  <si>
    <t>Faredua Upreti</t>
  </si>
  <si>
    <t>0812800675103307</t>
  </si>
  <si>
    <t>GANESHPURA</t>
  </si>
  <si>
    <t>0812800675103169</t>
  </si>
  <si>
    <t>Sookha Semli</t>
  </si>
  <si>
    <t>0812800675103201</t>
  </si>
  <si>
    <t>Jakhoni</t>
  </si>
  <si>
    <t>0812800675103200</t>
  </si>
  <si>
    <t>Amrola</t>
  </si>
  <si>
    <t>0812800675103167</t>
  </si>
  <si>
    <t>Khairai</t>
  </si>
  <si>
    <t>0812800675103199</t>
  </si>
  <si>
    <t>Chbragah</t>
  </si>
  <si>
    <t>0812800675103170</t>
  </si>
  <si>
    <t>Khairoona</t>
  </si>
  <si>
    <t>0812800675103168</t>
  </si>
  <si>
    <t>Muhal</t>
  </si>
  <si>
    <t>0812800675103166</t>
  </si>
  <si>
    <t>Kurkuti</t>
  </si>
  <si>
    <t>0812800675103171</t>
  </si>
  <si>
    <t>Semra</t>
  </si>
  <si>
    <t>0812800675103172</t>
  </si>
  <si>
    <t>21.03.2023</t>
  </si>
  <si>
    <t>HATRI</t>
  </si>
  <si>
    <t>Hatri</t>
  </si>
  <si>
    <t>0812800675103373</t>
  </si>
  <si>
    <t>Isatori</t>
  </si>
  <si>
    <t>0812800675103374</t>
  </si>
  <si>
    <t>Gadar</t>
  </si>
  <si>
    <t>0812800675103375</t>
  </si>
  <si>
    <t>KASBA NONERA</t>
  </si>
  <si>
    <t>Kasba Nonera</t>
  </si>
  <si>
    <t>0812800675103287</t>
  </si>
  <si>
    <t>0812800675103342</t>
  </si>
  <si>
    <t>Tiparka</t>
  </si>
  <si>
    <t>0812800675103384</t>
  </si>
  <si>
    <t>Mandi Sahjana</t>
  </si>
  <si>
    <t>0812800675103381</t>
  </si>
  <si>
    <t>Mandi Bhonra</t>
  </si>
  <si>
    <t>0812800675103337</t>
  </si>
  <si>
    <t>Sangeshwar</t>
  </si>
  <si>
    <t>0812800675103316</t>
  </si>
  <si>
    <t>Ganna Kheri</t>
  </si>
  <si>
    <t>0812800675103317</t>
  </si>
  <si>
    <t>Sahjanpur</t>
  </si>
  <si>
    <t>0812800675103288</t>
  </si>
  <si>
    <t>Bans Kheri</t>
  </si>
  <si>
    <t>0812800675103282</t>
  </si>
  <si>
    <t>Ghar Ghusan</t>
  </si>
  <si>
    <t>0812800675103280</t>
  </si>
  <si>
    <t>KASBA THANA</t>
  </si>
  <si>
    <t>Kasba Thana</t>
  </si>
  <si>
    <t>0812800675103276</t>
  </si>
  <si>
    <t>20.10.22</t>
  </si>
  <si>
    <t>plantation</t>
  </si>
  <si>
    <t>talai</t>
  </si>
  <si>
    <t>76.8.48</t>
  </si>
  <si>
    <t>0812800675103326</t>
  </si>
  <si>
    <t>Mando</t>
  </si>
  <si>
    <t>0812800675103277</t>
  </si>
  <si>
    <t>0812800675103278</t>
  </si>
  <si>
    <t>Renwaja</t>
  </si>
  <si>
    <t>0812800675103264</t>
  </si>
  <si>
    <t>Khiriya</t>
  </si>
  <si>
    <t>0812800675103266</t>
  </si>
  <si>
    <t>Chhaila</t>
  </si>
  <si>
    <t>0812800675103262</t>
  </si>
  <si>
    <t>Malwaya</t>
  </si>
  <si>
    <t>0812800675103265</t>
  </si>
  <si>
    <t>Uncha Pathar</t>
  </si>
  <si>
    <t>0812800675103263</t>
  </si>
  <si>
    <t>KELWARA</t>
  </si>
  <si>
    <t>Kelwara</t>
  </si>
  <si>
    <t>0812800675103356</t>
  </si>
  <si>
    <t>11.10.22</t>
  </si>
  <si>
    <t>KHANDA SAHROL</t>
  </si>
  <si>
    <t>Khanda Sahrol</t>
  </si>
  <si>
    <t>0812800675103313</t>
  </si>
  <si>
    <t>Viroli</t>
  </si>
  <si>
    <t>0812800675103344</t>
  </si>
  <si>
    <t>Deori Upreti</t>
  </si>
  <si>
    <t>0812800675103312</t>
  </si>
  <si>
    <t>Mamoni</t>
  </si>
  <si>
    <t>0812800675103292</t>
  </si>
  <si>
    <t>26.08.2022</t>
  </si>
  <si>
    <t>KHATKA</t>
  </si>
  <si>
    <t>Khatka</t>
  </si>
  <si>
    <t>0812800675103206</t>
  </si>
  <si>
    <t>15.09.2022</t>
  </si>
  <si>
    <t>Bhanwatipura</t>
  </si>
  <si>
    <t>0812800675103205</t>
  </si>
  <si>
    <t>Jabra</t>
  </si>
  <si>
    <t>0812800675103207</t>
  </si>
  <si>
    <t>Khadri</t>
  </si>
  <si>
    <t>0812800675103197</t>
  </si>
  <si>
    <t>KUSHYARA</t>
  </si>
  <si>
    <t>Kushyara</t>
  </si>
  <si>
    <t>0812800675103350</t>
  </si>
  <si>
    <t>21.03.2022</t>
  </si>
  <si>
    <t>Naran Khera</t>
  </si>
  <si>
    <t>0812800675103349</t>
  </si>
  <si>
    <t>MAHODRA</t>
  </si>
  <si>
    <t>Mahodra</t>
  </si>
  <si>
    <t>0812800675103372</t>
  </si>
  <si>
    <t>18.09.2022</t>
  </si>
  <si>
    <t>Sirsod Kalan</t>
  </si>
  <si>
    <t>0812800675103369</t>
  </si>
  <si>
    <t>Deori Veeran</t>
  </si>
  <si>
    <t>0812800675103371</t>
  </si>
  <si>
    <t>Sirsod Khurd</t>
  </si>
  <si>
    <t>0812800675103370</t>
  </si>
  <si>
    <t>MAJHARI</t>
  </si>
  <si>
    <t>Majhari</t>
  </si>
  <si>
    <t>0812800675103286</t>
  </si>
  <si>
    <t>Budha Nonera</t>
  </si>
  <si>
    <t>0812800675103283</t>
  </si>
  <si>
    <t>talab</t>
  </si>
  <si>
    <t>Guwari</t>
  </si>
  <si>
    <t>0812800675103284</t>
  </si>
  <si>
    <t>Dhuwan</t>
  </si>
  <si>
    <t>0812800675103285</t>
  </si>
  <si>
    <t>0812800675103216</t>
  </si>
  <si>
    <t>Gatta Khera</t>
  </si>
  <si>
    <t>0812800675103217</t>
  </si>
  <si>
    <t>MOONDIYAR</t>
  </si>
  <si>
    <t>Moondiyar</t>
  </si>
  <si>
    <t>0812800675103291</t>
  </si>
  <si>
    <t>Kaloni</t>
  </si>
  <si>
    <t>0812800675103290</t>
  </si>
  <si>
    <t>Mahuri Khera</t>
  </si>
  <si>
    <t>0812800675103211</t>
  </si>
  <si>
    <t>Shahpur</t>
  </si>
  <si>
    <t>0812800675103212</t>
  </si>
  <si>
    <t>Pindasal</t>
  </si>
  <si>
    <t>0812800675103214</t>
  </si>
  <si>
    <t>NATAI</t>
  </si>
  <si>
    <t>Natai</t>
  </si>
  <si>
    <t>0812800675103306</t>
  </si>
  <si>
    <t>Silora</t>
  </si>
  <si>
    <t>0812800675103303</t>
  </si>
  <si>
    <t>Ghansuri</t>
  </si>
  <si>
    <t>0812800675103305</t>
  </si>
  <si>
    <t>Silori</t>
  </si>
  <si>
    <t>0812800675103304</t>
  </si>
  <si>
    <t>Jagda</t>
  </si>
  <si>
    <t>0812800675103299</t>
  </si>
  <si>
    <t>Nonpura</t>
  </si>
  <si>
    <t>0812800675103204</t>
  </si>
  <si>
    <t>NIWARI</t>
  </si>
  <si>
    <t>Niwari</t>
  </si>
  <si>
    <t>0812800675103294</t>
  </si>
  <si>
    <t>0812800675103295</t>
  </si>
  <si>
    <t>Banskhera Mal</t>
  </si>
  <si>
    <t>0812800675103296</t>
  </si>
  <si>
    <t>Biharipura</t>
  </si>
  <si>
    <t>0812800675103293</t>
  </si>
  <si>
    <t>Nagori</t>
  </si>
  <si>
    <t>0812800675103298</t>
  </si>
  <si>
    <t>Ratatal</t>
  </si>
  <si>
    <t>0812800675103209</t>
  </si>
  <si>
    <t>Kamlawada</t>
  </si>
  <si>
    <t>0812800675103208</t>
  </si>
  <si>
    <t>OGAR</t>
  </si>
  <si>
    <t>Ogar</t>
  </si>
  <si>
    <t>0812800675103271</t>
  </si>
  <si>
    <t>PALLAKERA VIRAN</t>
  </si>
  <si>
    <t>0812800675103270</t>
  </si>
  <si>
    <t>Dhankari</t>
  </si>
  <si>
    <t>0812800675103272</t>
  </si>
  <si>
    <t>Mahua Kheri</t>
  </si>
  <si>
    <t>0812800675103274</t>
  </si>
  <si>
    <t>Tanda Ahiran</t>
  </si>
  <si>
    <t>0812800675103273</t>
  </si>
  <si>
    <t>Kachhiya Thana</t>
  </si>
  <si>
    <t>0812800675103275</t>
  </si>
  <si>
    <t>Bagda</t>
  </si>
  <si>
    <t>0812800675103269</t>
  </si>
  <si>
    <t>Jakha</t>
  </si>
  <si>
    <t>0812800675103268</t>
  </si>
  <si>
    <t>Majhola</t>
  </si>
  <si>
    <t>0812800675103267</t>
  </si>
  <si>
    <t>OONI</t>
  </si>
  <si>
    <t>Pahari Jageer</t>
  </si>
  <si>
    <t>0812800675103352</t>
  </si>
  <si>
    <t>15.12.2022</t>
  </si>
  <si>
    <t>Unee</t>
  </si>
  <si>
    <t>0812800675103353</t>
  </si>
  <si>
    <t>Kaloniya</t>
  </si>
  <si>
    <t>0812800675103351</t>
  </si>
  <si>
    <t>Ongoing</t>
  </si>
  <si>
    <t>PEEPAL KHERI</t>
  </si>
  <si>
    <t>0812800675103366</t>
  </si>
  <si>
    <t>Patha</t>
  </si>
  <si>
    <t>0812800675103368</t>
  </si>
  <si>
    <t>0812800675103362</t>
  </si>
  <si>
    <t>15.11.2022</t>
  </si>
  <si>
    <t>Hatwari</t>
  </si>
  <si>
    <t>0812800675103361</t>
  </si>
  <si>
    <t>RAJPUR</t>
  </si>
  <si>
    <t>Rajpur</t>
  </si>
  <si>
    <t>0812800675103181</t>
  </si>
  <si>
    <t>:P</t>
  </si>
  <si>
    <t>Kripalpur</t>
  </si>
  <si>
    <t>0812800675103210</t>
  </si>
  <si>
    <t>Barara</t>
  </si>
  <si>
    <t>0812800675103196</t>
  </si>
  <si>
    <t>13.10.2022</t>
  </si>
  <si>
    <t>Nachna Khera</t>
  </si>
  <si>
    <t>0812800675103191</t>
  </si>
  <si>
    <t>Aheer Pahari</t>
  </si>
  <si>
    <t>0812800675103192</t>
  </si>
  <si>
    <t>Prot Pahari</t>
  </si>
  <si>
    <t>0812800675103193</t>
  </si>
  <si>
    <t>Hadota</t>
  </si>
  <si>
    <t>0812800675103182</t>
  </si>
  <si>
    <t>SAMRANIYA</t>
  </si>
  <si>
    <t>Samraniya</t>
  </si>
  <si>
    <t>0812800675103308</t>
  </si>
  <si>
    <t>12.09.2022</t>
  </si>
  <si>
    <t>Kundai</t>
  </si>
  <si>
    <t>0812800675103348</t>
  </si>
  <si>
    <t>SANDOKARA</t>
  </si>
  <si>
    <t>Sandokara</t>
  </si>
  <si>
    <t>0812800675103390</t>
  </si>
  <si>
    <t>Anjani</t>
  </si>
  <si>
    <t>0812800675103394</t>
  </si>
  <si>
    <t>Manka Khera</t>
  </si>
  <si>
    <t>0812800675103392</t>
  </si>
  <si>
    <t>Bhanpur</t>
  </si>
  <si>
    <t>0812800675103383</t>
  </si>
  <si>
    <t>Karaliya</t>
  </si>
  <si>
    <t>0812800675103393</t>
  </si>
  <si>
    <t>Kaneriya</t>
  </si>
  <si>
    <t>0812800675103391</t>
  </si>
  <si>
    <t>Boori</t>
  </si>
  <si>
    <t>0812800675103387</t>
  </si>
  <si>
    <t>Pahari Veeran</t>
  </si>
  <si>
    <t>0812800675103386</t>
  </si>
  <si>
    <t>Nukarra</t>
  </si>
  <si>
    <t>0812800675103382</t>
  </si>
  <si>
    <t>Munsredi</t>
  </si>
  <si>
    <t>0812800675103385</t>
  </si>
  <si>
    <t>Tanda Kachhiyan</t>
  </si>
  <si>
    <t>0812800675103389</t>
  </si>
  <si>
    <t>Pureni</t>
  </si>
  <si>
    <t>0812800675103388</t>
  </si>
  <si>
    <t>Vyas Kheri</t>
  </si>
  <si>
    <t>0812800675103335</t>
  </si>
  <si>
    <t>0812800675103336</t>
  </si>
  <si>
    <t>Mandi Barwali</t>
  </si>
  <si>
    <t>0812800675103319</t>
  </si>
  <si>
    <t>SANWARA</t>
  </si>
  <si>
    <t>Sanwara</t>
  </si>
  <si>
    <t>0812800675103252</t>
  </si>
  <si>
    <t>0812800675103254</t>
  </si>
  <si>
    <t>Reejhol</t>
  </si>
  <si>
    <t>0812800675103253</t>
  </si>
  <si>
    <t>Mandi Sambhar Singa</t>
  </si>
  <si>
    <t>0812800675103251</t>
  </si>
  <si>
    <t>Sandri</t>
  </si>
  <si>
    <t>0812800675103250</t>
  </si>
  <si>
    <t>Basal</t>
  </si>
  <si>
    <t>0812800675103244</t>
  </si>
  <si>
    <t>Chooriya</t>
  </si>
  <si>
    <t>0812800675103243</t>
  </si>
  <si>
    <t>0812800675103240</t>
  </si>
  <si>
    <t>03.04.2023</t>
  </si>
  <si>
    <t>Khirkhiri</t>
  </si>
  <si>
    <t>0812800675103242</t>
  </si>
  <si>
    <t>Vajarkha</t>
  </si>
  <si>
    <t>0812800675103241</t>
  </si>
  <si>
    <t>Maheshpur</t>
  </si>
  <si>
    <t>0812800675103239</t>
  </si>
  <si>
    <t>Patan</t>
  </si>
  <si>
    <t>0812800675103236</t>
  </si>
  <si>
    <t>SEMALI PHATAK</t>
  </si>
  <si>
    <t>Semli Phatak</t>
  </si>
  <si>
    <t>0812800675103198</t>
  </si>
  <si>
    <t>23.09.2022</t>
  </si>
  <si>
    <t>0812800675103173</t>
  </si>
  <si>
    <t>Uchawada</t>
  </si>
  <si>
    <t>0812800675103195</t>
  </si>
  <si>
    <t>Kamal Khera</t>
  </si>
  <si>
    <t>0812800675103174</t>
  </si>
  <si>
    <t>0812800675103175</t>
  </si>
  <si>
    <t>Shahbad</t>
  </si>
  <si>
    <t>0812800675103213</t>
  </si>
  <si>
    <t>04.10.2022</t>
  </si>
  <si>
    <t>0812800675103190</t>
  </si>
  <si>
    <t>Birmani</t>
  </si>
  <si>
    <t>0812800675103189</t>
  </si>
  <si>
    <t>Sahrol Taleti</t>
  </si>
  <si>
    <t>0812800675103186</t>
  </si>
  <si>
    <t>03.11.2022</t>
  </si>
  <si>
    <t>SHUBH DHARA</t>
  </si>
  <si>
    <t>0812800675103289</t>
  </si>
  <si>
    <t>Shubh Dhara</t>
  </si>
  <si>
    <t>0812800675103187</t>
  </si>
  <si>
    <t>Mungawali</t>
  </si>
  <si>
    <t>0812800675103215</t>
  </si>
  <si>
    <t>Haryanagar</t>
  </si>
  <si>
    <t>0812800675103185</t>
  </si>
  <si>
    <t>Kushalpura</t>
  </si>
  <si>
    <t>0812800675103188</t>
  </si>
  <si>
    <t>0812800675103184</t>
  </si>
  <si>
    <t>CHHABRA</t>
  </si>
  <si>
    <t>BAPCHA</t>
  </si>
  <si>
    <t>0812800676103500</t>
  </si>
  <si>
    <t>yes</t>
  </si>
  <si>
    <t>27/12/23</t>
  </si>
  <si>
    <t>Peepal Kheri Kulipata</t>
  </si>
  <si>
    <t>0812800676103592</t>
  </si>
  <si>
    <t>Rahron</t>
  </si>
  <si>
    <t>0812800676103543</t>
  </si>
  <si>
    <t xml:space="preserve"> </t>
  </si>
  <si>
    <t>Mawasa Vyas</t>
  </si>
  <si>
    <t>0812800676103497</t>
  </si>
  <si>
    <t>Mohammodpur</t>
  </si>
  <si>
    <t>0812800676103501</t>
  </si>
  <si>
    <t>0812800676103499</t>
  </si>
  <si>
    <t>Sevan Kheri</t>
  </si>
  <si>
    <t>0812800676103489</t>
  </si>
  <si>
    <t>15/2/2024</t>
  </si>
  <si>
    <t>BARAI</t>
  </si>
  <si>
    <t>Barai</t>
  </si>
  <si>
    <t>0812800676103468</t>
  </si>
  <si>
    <t>Khakra</t>
  </si>
  <si>
    <t>0812800676103473</t>
  </si>
  <si>
    <t>Dohni</t>
  </si>
  <si>
    <t>0812800676103469</t>
  </si>
  <si>
    <t>Chawal Kheri</t>
  </si>
  <si>
    <t>0812800676103467</t>
  </si>
  <si>
    <t>Bamora</t>
  </si>
  <si>
    <t>0812800676103466</t>
  </si>
  <si>
    <t>Bindarda</t>
  </si>
  <si>
    <t>0812800676103465</t>
  </si>
  <si>
    <t>Reechhra</t>
  </si>
  <si>
    <t>0812800676103461</t>
  </si>
  <si>
    <t>BHILWARA NEECHA</t>
  </si>
  <si>
    <t>Bhilwara Neecha</t>
  </si>
  <si>
    <t>0812800676103451</t>
  </si>
  <si>
    <t>0812800676103483</t>
  </si>
  <si>
    <t>0812800676103482</t>
  </si>
  <si>
    <t>Kadar Pura</t>
  </si>
  <si>
    <t>0812800676103481</t>
  </si>
  <si>
    <t>Bhilwari</t>
  </si>
  <si>
    <t>0812800676103448</t>
  </si>
  <si>
    <t>BHOOLON</t>
  </si>
  <si>
    <t>Bhoolon</t>
  </si>
  <si>
    <t>0812800676103485</t>
  </si>
  <si>
    <t>0812800676103504</t>
  </si>
  <si>
    <t>Niyamatpur</t>
  </si>
  <si>
    <t>0812800676103503</t>
  </si>
  <si>
    <t>Kamal Pura</t>
  </si>
  <si>
    <t>0812800676103484</t>
  </si>
  <si>
    <t>Manak Chowk</t>
  </si>
  <si>
    <t>0812800676103502</t>
  </si>
  <si>
    <t>Rooparel</t>
  </si>
  <si>
    <t>0812800676103486</t>
  </si>
  <si>
    <t>BHUWA KHERI</t>
  </si>
  <si>
    <t>Bhuwa Kheri</t>
  </si>
  <si>
    <t>0812800676103450</t>
  </si>
  <si>
    <t>Ameerpur Kheri</t>
  </si>
  <si>
    <t>0812800676103452</t>
  </si>
  <si>
    <t>Ibrahimpur Kadeem</t>
  </si>
  <si>
    <t>0812800676103435</t>
  </si>
  <si>
    <t>Kadaiya Chhatri</t>
  </si>
  <si>
    <t>0812800676103453</t>
  </si>
  <si>
    <t>Godiya Charan</t>
  </si>
  <si>
    <t>0812800676103436</t>
  </si>
  <si>
    <t>Gogatori</t>
  </si>
  <si>
    <t>0812800676103433</t>
  </si>
  <si>
    <t>Janchrora</t>
  </si>
  <si>
    <t>0812800676103434</t>
  </si>
  <si>
    <t>Uchawad</t>
  </si>
  <si>
    <t>0812800676103437</t>
  </si>
  <si>
    <t>CHACHORA</t>
  </si>
  <si>
    <t>Chachora</t>
  </si>
  <si>
    <t>0812800676103478</t>
  </si>
  <si>
    <t>Neem Thoor</t>
  </si>
  <si>
    <t>0812800676103475</t>
  </si>
  <si>
    <t>Dehri</t>
  </si>
  <si>
    <t>0812800676103477</t>
  </si>
  <si>
    <t>Shankar Colony</t>
  </si>
  <si>
    <t>0812800676103479</t>
  </si>
  <si>
    <t>0812800676103456</t>
  </si>
  <si>
    <t>0812800676103480</t>
  </si>
  <si>
    <t>Reechhri Jageer</t>
  </si>
  <si>
    <t>0812800676103455</t>
  </si>
  <si>
    <t>DILOD</t>
  </si>
  <si>
    <t>Dilod</t>
  </si>
  <si>
    <t>0812800676103409</t>
  </si>
  <si>
    <t>0812800676103410</t>
  </si>
  <si>
    <t>0812800676103408</t>
  </si>
  <si>
    <t>Sangora</t>
  </si>
  <si>
    <t>0812800676103407</t>
  </si>
  <si>
    <t>Kari Kheri</t>
  </si>
  <si>
    <t>0812800676103405</t>
  </si>
  <si>
    <t>Narsinghpura</t>
  </si>
  <si>
    <t>0812800676103406</t>
  </si>
  <si>
    <t>Soni</t>
  </si>
  <si>
    <t>0812800676103404</t>
  </si>
  <si>
    <t>Alampura</t>
  </si>
  <si>
    <t>0812800676103403</t>
  </si>
  <si>
    <t>21/01/2024</t>
  </si>
  <si>
    <t>Anandpura</t>
  </si>
  <si>
    <t>0812800676103402</t>
  </si>
  <si>
    <t>FALIYA</t>
  </si>
  <si>
    <t>0812800676103581</t>
  </si>
  <si>
    <t>Kulinjara</t>
  </si>
  <si>
    <t>0812800676103587</t>
  </si>
  <si>
    <t>0812800676103584</t>
  </si>
  <si>
    <t>Ibrahimpur Jadeed</t>
  </si>
  <si>
    <t>0812800676103582</t>
  </si>
  <si>
    <t>Khurai</t>
  </si>
  <si>
    <t>0812800676103586</t>
  </si>
  <si>
    <t>Moondiya Khera</t>
  </si>
  <si>
    <t>0812800676103583</t>
  </si>
  <si>
    <t>Khajoori</t>
  </si>
  <si>
    <t>0812800676103540</t>
  </si>
  <si>
    <t>Kadaiya Chor</t>
  </si>
  <si>
    <t>0812800676103541</t>
  </si>
  <si>
    <t>GHATA KHERI</t>
  </si>
  <si>
    <t>Ghata Kheri</t>
  </si>
  <si>
    <t>0812800676103528</t>
  </si>
  <si>
    <t>Mawasa Dola</t>
  </si>
  <si>
    <t>0812800676103531</t>
  </si>
  <si>
    <t>0812800676103524</t>
  </si>
  <si>
    <t>Gobin Pura</t>
  </si>
  <si>
    <t>0812800676103529</t>
  </si>
  <si>
    <t>Semla</t>
  </si>
  <si>
    <t>0812800676103530</t>
  </si>
  <si>
    <t>26/2/2024</t>
  </si>
  <si>
    <t>Kherkhera Meena</t>
  </si>
  <si>
    <t>0812800676103532</t>
  </si>
  <si>
    <t>GODIYA MEHAR</t>
  </si>
  <si>
    <t>Godiya Mehar</t>
  </si>
  <si>
    <t>0812800676103548</t>
  </si>
  <si>
    <t>Batawadapar</t>
  </si>
  <si>
    <t>0812800676103585</t>
  </si>
  <si>
    <t>Theempura@Gafoorpura</t>
  </si>
  <si>
    <t>0812800676103547</t>
  </si>
  <si>
    <t>GOOGOR</t>
  </si>
  <si>
    <t>Googor</t>
  </si>
  <si>
    <t>0812800676103430</t>
  </si>
  <si>
    <t>Mahesh Pura</t>
  </si>
  <si>
    <t>0812800676103457</t>
  </si>
  <si>
    <t>Acholi</t>
  </si>
  <si>
    <t>0812800676103459</t>
  </si>
  <si>
    <t>Khatoli</t>
  </si>
  <si>
    <t>0812800676103458</t>
  </si>
  <si>
    <t>Kishorpura</t>
  </si>
  <si>
    <t>0812800676103431</t>
  </si>
  <si>
    <t>0812800676103432</t>
  </si>
  <si>
    <t>Kakarwa</t>
  </si>
  <si>
    <t>0812800676103454</t>
  </si>
  <si>
    <t>Khokhai</t>
  </si>
  <si>
    <t>0812800676103417</t>
  </si>
  <si>
    <t>0812800676103416</t>
  </si>
  <si>
    <t>HANA HERI</t>
  </si>
  <si>
    <t>Hana Heri</t>
  </si>
  <si>
    <t>0812800676103574</t>
  </si>
  <si>
    <t>Neemkhera</t>
  </si>
  <si>
    <t>0812800676103573</t>
  </si>
  <si>
    <t>Kherkhera Laxman</t>
  </si>
  <si>
    <t>0812800676103572</t>
  </si>
  <si>
    <t>Nawab Pura</t>
  </si>
  <si>
    <t>0812800676103577</t>
  </si>
  <si>
    <t>Chan Pura</t>
  </si>
  <si>
    <t>0812800676103570</t>
  </si>
  <si>
    <t>Dheenga Rari</t>
  </si>
  <si>
    <t>0812800676103578</t>
  </si>
  <si>
    <t>Afzal Pura</t>
  </si>
  <si>
    <t>0812800676103569</t>
  </si>
  <si>
    <t>JEPLA</t>
  </si>
  <si>
    <t>Jepla</t>
  </si>
  <si>
    <t>0812800676103445</t>
  </si>
  <si>
    <t xml:space="preserve">Yes </t>
  </si>
  <si>
    <t>Morkheri</t>
  </si>
  <si>
    <t>0812800676103487</t>
  </si>
  <si>
    <t>Ashapura</t>
  </si>
  <si>
    <t>0812800676103488</t>
  </si>
  <si>
    <t>Gehoon Kheri</t>
  </si>
  <si>
    <t>0812800676103446</t>
  </si>
  <si>
    <t>Subhanpur Kadeem</t>
  </si>
  <si>
    <t>0812800676103447</t>
  </si>
  <si>
    <t>Bhilwara Uncha</t>
  </si>
  <si>
    <t>0812800676103449</t>
  </si>
  <si>
    <t>JHARKHERI</t>
  </si>
  <si>
    <t>Jharkheri</t>
  </si>
  <si>
    <t>0812800676103512</t>
  </si>
  <si>
    <t>Bhanwar</t>
  </si>
  <si>
    <t>0812800676103537</t>
  </si>
  <si>
    <t>Mahuwa Khera</t>
  </si>
  <si>
    <t>0812800676103538</t>
  </si>
  <si>
    <t>Kunda Allapura</t>
  </si>
  <si>
    <t>0812800676103505</t>
  </si>
  <si>
    <t>Khejra</t>
  </si>
  <si>
    <t>0812800676103511</t>
  </si>
  <si>
    <t>0812800676103510</t>
  </si>
  <si>
    <t>0812800676103476</t>
  </si>
  <si>
    <t>Aminpur@Naya Gaon</t>
  </si>
  <si>
    <t>0812800676103508</t>
  </si>
  <si>
    <t>Beedia Radi</t>
  </si>
  <si>
    <t>0812800676103509</t>
  </si>
  <si>
    <t>KADAIYA BAN</t>
  </si>
  <si>
    <t>Kadaiya Ban</t>
  </si>
  <si>
    <t>0812800676103460</t>
  </si>
  <si>
    <t>0812800676103429</t>
  </si>
  <si>
    <t>Solatpura</t>
  </si>
  <si>
    <t>0812800676103428</t>
  </si>
  <si>
    <t>KADAIYA HAT</t>
  </si>
  <si>
    <t>Kadaiya Hat</t>
  </si>
  <si>
    <t>0812800676103549</t>
  </si>
  <si>
    <t>Kotra Meghnath</t>
  </si>
  <si>
    <t>0812800676103580</t>
  </si>
  <si>
    <t>Kher Khera Bhoora</t>
  </si>
  <si>
    <t>0812800676103550</t>
  </si>
  <si>
    <t>Hasya Kheri</t>
  </si>
  <si>
    <t>0812800676103553</t>
  </si>
  <si>
    <t>Ahamadpura</t>
  </si>
  <si>
    <t>0812800676103555</t>
  </si>
  <si>
    <t>Gangna Khera</t>
  </si>
  <si>
    <t>0812800676103551</t>
  </si>
  <si>
    <t>Rasoolpura</t>
  </si>
  <si>
    <t>0812800676103554</t>
  </si>
  <si>
    <t>Mukand Kheri</t>
  </si>
  <si>
    <t>0812800676103552</t>
  </si>
  <si>
    <t>KADAIYA NOHAR</t>
  </si>
  <si>
    <t>Kadaiya Nohar</t>
  </si>
  <si>
    <t>0812800676103471</t>
  </si>
  <si>
    <t>Kherkhera Gusai</t>
  </si>
  <si>
    <t>0812800676103520</t>
  </si>
  <si>
    <t>Baroni</t>
  </si>
  <si>
    <t>0812800676103518</t>
  </si>
  <si>
    <t>Nawab Ganj</t>
  </si>
  <si>
    <t>0812800676103519</t>
  </si>
  <si>
    <t>Batawada Uncha</t>
  </si>
  <si>
    <t>0812800676103516</t>
  </si>
  <si>
    <t>Wazeerpura</t>
  </si>
  <si>
    <t>0812800676103470</t>
  </si>
  <si>
    <t>KHOPAR</t>
  </si>
  <si>
    <t>Khopar</t>
  </si>
  <si>
    <t>0812800676103462</t>
  </si>
  <si>
    <t>0812800676103464</t>
  </si>
  <si>
    <t>0812800676103463</t>
  </si>
  <si>
    <t>Kalya Kheri</t>
  </si>
  <si>
    <t>0812800676103425</t>
  </si>
  <si>
    <t>Kansal</t>
  </si>
  <si>
    <t>0812800676103424</t>
  </si>
  <si>
    <t>Bhavra</t>
  </si>
  <si>
    <t>0812800676103426</t>
  </si>
  <si>
    <t>Peepalya Jageer</t>
  </si>
  <si>
    <t>0812800676103423</t>
  </si>
  <si>
    <t>Reenjhari</t>
  </si>
  <si>
    <t>0812800676103422</t>
  </si>
  <si>
    <t>Kesholi</t>
  </si>
  <si>
    <t>0812800676103427</t>
  </si>
  <si>
    <t>Reenjha</t>
  </si>
  <si>
    <t>0812800676103421</t>
  </si>
  <si>
    <t>Gorakhpura</t>
  </si>
  <si>
    <t>0812800676103420</t>
  </si>
  <si>
    <t>KOTRAPAR</t>
  </si>
  <si>
    <t>Kotrapar</t>
  </si>
  <si>
    <t>0812800676103440</t>
  </si>
  <si>
    <t>Badanwas</t>
  </si>
  <si>
    <t>0812800676103442</t>
  </si>
  <si>
    <t>Bhojpur</t>
  </si>
  <si>
    <t>0812800676103443</t>
  </si>
  <si>
    <t>Khana Kheri</t>
  </si>
  <si>
    <t>0812800676103444</t>
  </si>
  <si>
    <t>Dholara</t>
  </si>
  <si>
    <t>0812800676103441</t>
  </si>
  <si>
    <t>Alla Pura</t>
  </si>
  <si>
    <t>0812800676103439</t>
  </si>
  <si>
    <t>Chhatar Pura</t>
  </si>
  <si>
    <t>0812800676103438</t>
  </si>
  <si>
    <t>MOONDAKYA</t>
  </si>
  <si>
    <t>Moondakya</t>
  </si>
  <si>
    <t>0812800676103523</t>
  </si>
  <si>
    <t>Kharkhera Nathooram</t>
  </si>
  <si>
    <t>0812800676103526</t>
  </si>
  <si>
    <t>Yosuf Pura</t>
  </si>
  <si>
    <t>0812800676103527</t>
  </si>
  <si>
    <t>Ameen Pura</t>
  </si>
  <si>
    <t>0812800676103525</t>
  </si>
  <si>
    <t>Patna</t>
  </si>
  <si>
    <t>0812800676103522</t>
  </si>
  <si>
    <t>Kundi</t>
  </si>
  <si>
    <t>0812800676103521</t>
  </si>
  <si>
    <t>MOONDLA</t>
  </si>
  <si>
    <t>0812800676103413</t>
  </si>
  <si>
    <t>Halgana</t>
  </si>
  <si>
    <t>0812800676103419</t>
  </si>
  <si>
    <t>0812800676103418</t>
  </si>
  <si>
    <t>0812800676103415</t>
  </si>
  <si>
    <t>Umar Thana</t>
  </si>
  <si>
    <t>0812800676103411</t>
  </si>
  <si>
    <t>Shekhapur</t>
  </si>
  <si>
    <t>0812800676103414</t>
  </si>
  <si>
    <t>Kachhawan</t>
  </si>
  <si>
    <t>0812800676103412</t>
  </si>
  <si>
    <t>NIPANIYA</t>
  </si>
  <si>
    <t>Nipaniya</t>
  </si>
  <si>
    <t>0812800676103515</t>
  </si>
  <si>
    <t>Nipani</t>
  </si>
  <si>
    <t>0812800676103517</t>
  </si>
  <si>
    <t>0812800676103472</t>
  </si>
  <si>
    <t>Koloo Kheri</t>
  </si>
  <si>
    <t>0812800676103474</t>
  </si>
  <si>
    <t>PACHPARA</t>
  </si>
  <si>
    <t>Pachpara</t>
  </si>
  <si>
    <t>0812800676103513</t>
  </si>
  <si>
    <t>Noorpura@Nayagaon</t>
  </si>
  <si>
    <t>0812800676103562</t>
  </si>
  <si>
    <t>Dangpura</t>
  </si>
  <si>
    <t>0812800676103564</t>
  </si>
  <si>
    <t>Nanoo Kheri</t>
  </si>
  <si>
    <t>0812800676103535</t>
  </si>
  <si>
    <t>Hafeej Pura</t>
  </si>
  <si>
    <t>0812800676103536</t>
  </si>
  <si>
    <t>Bala Pura</t>
  </si>
  <si>
    <t>0812800676103534</t>
  </si>
  <si>
    <t>Barpara</t>
  </si>
  <si>
    <t>0812800676103514</t>
  </si>
  <si>
    <t>Turki Para</t>
  </si>
  <si>
    <t>0812800676103506</t>
  </si>
  <si>
    <t>Gopal Para</t>
  </si>
  <si>
    <t>0812800676103507</t>
  </si>
  <si>
    <t>PALI</t>
  </si>
  <si>
    <t>0812800676103558</t>
  </si>
  <si>
    <t>Kabar Khoh</t>
  </si>
  <si>
    <t>0812800676103571</t>
  </si>
  <si>
    <t>Bishankhera Chena</t>
  </si>
  <si>
    <t>0812800676103557</t>
  </si>
  <si>
    <t>Madna Kheri</t>
  </si>
  <si>
    <t>0812800676103579</t>
  </si>
  <si>
    <t>Hinglot</t>
  </si>
  <si>
    <t>0812800676103568</t>
  </si>
  <si>
    <t>Lapkana</t>
  </si>
  <si>
    <t>0812800676103560</t>
  </si>
  <si>
    <t>Subhanpura@Haripura</t>
  </si>
  <si>
    <t>0812800676103559</t>
  </si>
  <si>
    <t>Islampura@Patpari</t>
  </si>
  <si>
    <t>0812800676103556</t>
  </si>
  <si>
    <t>Mandoo Kheri</t>
  </si>
  <si>
    <t>0812800676103561</t>
  </si>
  <si>
    <t>Khalakpura</t>
  </si>
  <si>
    <t>0812800676103539</t>
  </si>
  <si>
    <t>SEMLI</t>
  </si>
  <si>
    <t>Semli</t>
  </si>
  <si>
    <t>0812800676103567</t>
  </si>
  <si>
    <t>Ali Nagar @ Totee Bardi</t>
  </si>
  <si>
    <t>0812800676103566</t>
  </si>
  <si>
    <t>Morela</t>
  </si>
  <si>
    <t>0812800676103563</t>
  </si>
  <si>
    <t>Moreli</t>
  </si>
  <si>
    <t>0812800676103565</t>
  </si>
  <si>
    <t>Barwat Kheri</t>
  </si>
  <si>
    <t>0812800676103533</t>
  </si>
  <si>
    <t>TEETAR KHEDHI</t>
  </si>
  <si>
    <t>Teetar Kheri</t>
  </si>
  <si>
    <t>0812800676103496</t>
  </si>
  <si>
    <t>26/12/23</t>
  </si>
  <si>
    <t>Motipura@Shakoorpura</t>
  </si>
  <si>
    <t>0812800676103545</t>
  </si>
  <si>
    <t>Chowki</t>
  </si>
  <si>
    <t>0812800676103546</t>
  </si>
  <si>
    <t>Bhatkhera@Faridpur</t>
  </si>
  <si>
    <t>0812800676103544</t>
  </si>
  <si>
    <t>Akodiya Par</t>
  </si>
  <si>
    <t>0812800676103495</t>
  </si>
  <si>
    <t>Aranyapar</t>
  </si>
  <si>
    <t>0812800676103494</t>
  </si>
  <si>
    <t>Hanwat Kherapar</t>
  </si>
  <si>
    <t>0812800676103498</t>
  </si>
  <si>
    <t>Amanpura</t>
  </si>
  <si>
    <t>0812800676103493</t>
  </si>
  <si>
    <t>Bishan Kherapar</t>
  </si>
  <si>
    <t>0812800676103492</t>
  </si>
  <si>
    <t>Nizam Kheri</t>
  </si>
  <si>
    <t>0812800676103490</t>
  </si>
  <si>
    <t>Karadiyapar</t>
  </si>
  <si>
    <t>0812800676103491</t>
  </si>
  <si>
    <t>TELNI</t>
  </si>
  <si>
    <t>0812800676103591</t>
  </si>
  <si>
    <t>Semal Kheri</t>
  </si>
  <si>
    <t>0812800676103595</t>
  </si>
  <si>
    <t>Jala</t>
  </si>
  <si>
    <t>0812800676103589</t>
  </si>
  <si>
    <t>0812800676103590</t>
  </si>
  <si>
    <t>Peeploo Sarhad</t>
  </si>
  <si>
    <t>0812800676103594</t>
  </si>
  <si>
    <t>Nagdi @ Shahadatpura</t>
  </si>
  <si>
    <t>0812800676103575</t>
  </si>
  <si>
    <t>Faizpura</t>
  </si>
  <si>
    <t>0812800676103593</t>
  </si>
  <si>
    <t>0812800676103588</t>
  </si>
  <si>
    <t>Motipura@Islam Nagar</t>
  </si>
  <si>
    <t>0812800676103576</t>
  </si>
  <si>
    <t>0812800676103542</t>
  </si>
  <si>
    <t>Godiya charan</t>
  </si>
  <si>
    <t>Ha</t>
  </si>
  <si>
    <t>No.</t>
  </si>
  <si>
    <t>%</t>
  </si>
  <si>
    <t>Y/N</t>
  </si>
  <si>
    <t>Month/Year</t>
  </si>
  <si>
    <t>Narration</t>
  </si>
  <si>
    <t>Latitude</t>
  </si>
  <si>
    <t>Longitude</t>
  </si>
  <si>
    <t>ATRU</t>
  </si>
  <si>
    <t>0812800673102851</t>
  </si>
  <si>
    <t>Chainpurya</t>
  </si>
  <si>
    <t>0812800673102849</t>
  </si>
  <si>
    <t>0812800673102850</t>
  </si>
  <si>
    <t>0812800673102848</t>
  </si>
  <si>
    <t>ANTANA</t>
  </si>
  <si>
    <t>Antana</t>
  </si>
  <si>
    <t>0812800673102880</t>
  </si>
  <si>
    <t>0812800673102883</t>
  </si>
  <si>
    <t xml:space="preserve">talai nirman </t>
  </si>
  <si>
    <t>Musenmata</t>
  </si>
  <si>
    <t>0812800673102882</t>
  </si>
  <si>
    <t>ARDAND</t>
  </si>
  <si>
    <t>Ardand</t>
  </si>
  <si>
    <t>0812800673102845</t>
  </si>
  <si>
    <t xml:space="preserve">charagah vikas </t>
  </si>
  <si>
    <t>Piplod</t>
  </si>
  <si>
    <t>0812800673102824</t>
  </si>
  <si>
    <t>ATON</t>
  </si>
  <si>
    <t>Aton</t>
  </si>
  <si>
    <t>0812800673102856</t>
  </si>
  <si>
    <t>talai nirman</t>
  </si>
  <si>
    <t>Kherli Dabka</t>
  </si>
  <si>
    <t>0812800673102858</t>
  </si>
  <si>
    <t>BADORA</t>
  </si>
  <si>
    <t>Badora</t>
  </si>
  <si>
    <t>0812800673102915</t>
  </si>
  <si>
    <t>0812800673102914</t>
  </si>
  <si>
    <t>Barapati</t>
  </si>
  <si>
    <t>0812800673102913</t>
  </si>
  <si>
    <t>BAMORI</t>
  </si>
  <si>
    <t>0812800673102877</t>
  </si>
  <si>
    <t xml:space="preserve">charagah vikas plantation </t>
  </si>
  <si>
    <t>Kherli Naharya</t>
  </si>
  <si>
    <t>0812800673102879</t>
  </si>
  <si>
    <t>Dadwara</t>
  </si>
  <si>
    <t>0812800673102878</t>
  </si>
  <si>
    <t xml:space="preserve">planatation </t>
  </si>
  <si>
    <t>Motuka</t>
  </si>
  <si>
    <t>0812800673102876</t>
  </si>
  <si>
    <t>BARLAN</t>
  </si>
  <si>
    <t>Barlan</t>
  </si>
  <si>
    <t>0812800673102887</t>
  </si>
  <si>
    <t>Amapura</t>
  </si>
  <si>
    <t>0812800673102894</t>
  </si>
  <si>
    <t>Lolaheri</t>
  </si>
  <si>
    <t>0812800673102895</t>
  </si>
  <si>
    <t>Seendhni</t>
  </si>
  <si>
    <t>0812800673102893</t>
  </si>
  <si>
    <t>Phattu Kheri</t>
  </si>
  <si>
    <t>0812800673102886</t>
  </si>
  <si>
    <t>Hani Hera</t>
  </si>
  <si>
    <t>0812800673102896</t>
  </si>
  <si>
    <t>Kherli Bansla</t>
  </si>
  <si>
    <t>0812800673102888</t>
  </si>
  <si>
    <t>BHAINSARA</t>
  </si>
  <si>
    <t>Bhainsara</t>
  </si>
  <si>
    <t>0812800673102857</t>
  </si>
  <si>
    <t>0812800673102839</t>
  </si>
  <si>
    <t>Sindhni</t>
  </si>
  <si>
    <t>Kherli Majar</t>
  </si>
  <si>
    <t>0812800673102840</t>
  </si>
  <si>
    <t>Merma Talab</t>
  </si>
  <si>
    <t>0812800673102843</t>
  </si>
  <si>
    <t>0812800673102842</t>
  </si>
  <si>
    <t>CHARDANA</t>
  </si>
  <si>
    <t>Chardana</t>
  </si>
  <si>
    <t>0812800673102812</t>
  </si>
  <si>
    <t>Motipura</t>
  </si>
  <si>
    <t>0812800673102823</t>
  </si>
  <si>
    <t>Bagli</t>
  </si>
  <si>
    <t>0812800673102826</t>
  </si>
  <si>
    <t>Ardana</t>
  </si>
  <si>
    <t>0812800673102827</t>
  </si>
  <si>
    <t>Amli</t>
  </si>
  <si>
    <t>0812800673102828</t>
  </si>
  <si>
    <t>Arnya</t>
  </si>
  <si>
    <t>0812800673102822</t>
  </si>
  <si>
    <t>Bahadurganj</t>
  </si>
  <si>
    <t>0812800673102813</t>
  </si>
  <si>
    <t>0812800673102821</t>
  </si>
  <si>
    <t>DARA</t>
  </si>
  <si>
    <t>Dara</t>
  </si>
  <si>
    <t>0812800673102891</t>
  </si>
  <si>
    <t>Kherli Gaddiyan</t>
  </si>
  <si>
    <t>0812800673102941</t>
  </si>
  <si>
    <t>0812800673102892</t>
  </si>
  <si>
    <t>Baldeopura</t>
  </si>
  <si>
    <t>0812800673102890</t>
  </si>
  <si>
    <t>0812800673102889</t>
  </si>
  <si>
    <t>DEELOD HATHI</t>
  </si>
  <si>
    <t>Deelod Hathi</t>
  </si>
  <si>
    <t>0812800673102899</t>
  </si>
  <si>
    <t>Kasampura</t>
  </si>
  <si>
    <t>0812800673102935</t>
  </si>
  <si>
    <t>Bhakrawada</t>
  </si>
  <si>
    <t>0812800673102898</t>
  </si>
  <si>
    <t>DHOTI</t>
  </si>
  <si>
    <t>Dhoti</t>
  </si>
  <si>
    <t>0812800673102810</t>
  </si>
  <si>
    <t>Chhajawa</t>
  </si>
  <si>
    <t>0812800673102811</t>
  </si>
  <si>
    <t>0812800673102807</t>
  </si>
  <si>
    <t>0812800673102944</t>
  </si>
  <si>
    <t>0812800673102949</t>
  </si>
  <si>
    <t>Amritkheri</t>
  </si>
  <si>
    <t>0812800673102946</t>
  </si>
  <si>
    <t>Salpura</t>
  </si>
  <si>
    <t>0812800673102945</t>
  </si>
  <si>
    <t>0812800673102943</t>
  </si>
  <si>
    <t>Sodalheri</t>
  </si>
  <si>
    <t>0812800673102940</t>
  </si>
  <si>
    <t>JEEROD</t>
  </si>
  <si>
    <t>Jeerod</t>
  </si>
  <si>
    <t>0812800673102832</t>
  </si>
  <si>
    <t>Bokara</t>
  </si>
  <si>
    <t>0812800673102831</t>
  </si>
  <si>
    <t>Asan</t>
  </si>
  <si>
    <t>0812800673102835</t>
  </si>
  <si>
    <t>Manoharpur</t>
  </si>
  <si>
    <t>0812800673102833</t>
  </si>
  <si>
    <t>Kharkhara Asan</t>
  </si>
  <si>
    <t>0812800673102834</t>
  </si>
  <si>
    <t>KANOTIYA</t>
  </si>
  <si>
    <t>Kanotiya</t>
  </si>
  <si>
    <t>0812800673102911</t>
  </si>
  <si>
    <t>Rughnathpura</t>
  </si>
  <si>
    <t>0812800673102912</t>
  </si>
  <si>
    <t>0812800673102910</t>
  </si>
  <si>
    <t>0812800673102871</t>
  </si>
  <si>
    <t>Jharota</t>
  </si>
  <si>
    <t>0812800673102906</t>
  </si>
  <si>
    <t>Dhumen</t>
  </si>
  <si>
    <t>0812800673102870</t>
  </si>
  <si>
    <t>KATAWAR</t>
  </si>
  <si>
    <t>Katawar</t>
  </si>
  <si>
    <t>0812800673102908</t>
  </si>
  <si>
    <t>Mehla</t>
  </si>
  <si>
    <t>0812800673102916</t>
  </si>
  <si>
    <t>Bhoju Kheri</t>
  </si>
  <si>
    <t>0812800673102909</t>
  </si>
  <si>
    <t>Manyagan</t>
  </si>
  <si>
    <t>0812800673102903</t>
  </si>
  <si>
    <t>18.11.2022</t>
  </si>
  <si>
    <t>0812800673102907</t>
  </si>
  <si>
    <t>Bichhalas</t>
  </si>
  <si>
    <t>0812800673102904</t>
  </si>
  <si>
    <t>18.11.22</t>
  </si>
  <si>
    <t>KAWAI</t>
  </si>
  <si>
    <t>Kawai (CT)</t>
  </si>
  <si>
    <t>0812800673102952</t>
  </si>
  <si>
    <t>Mukandpura</t>
  </si>
  <si>
    <t>0812800673102942</t>
  </si>
  <si>
    <t>KERWALIYA</t>
  </si>
  <si>
    <t>Kerwaliya</t>
  </si>
  <si>
    <t>0812800673102931</t>
  </si>
  <si>
    <t>0812800673102933</t>
  </si>
  <si>
    <t>Sarsodiya</t>
  </si>
  <si>
    <t>0812800673102932</t>
  </si>
  <si>
    <t>0812800673102923</t>
  </si>
  <si>
    <t>KHARKHADA RAMLOTHAN</t>
  </si>
  <si>
    <t>Kharkhada Ramlothan</t>
  </si>
  <si>
    <t>0812800673102901</t>
  </si>
  <si>
    <t>Charan Kheri</t>
  </si>
  <si>
    <t>0812800673102928</t>
  </si>
  <si>
    <t>0812800673102900</t>
  </si>
  <si>
    <t>Banpur</t>
  </si>
  <si>
    <t>0812800673102902</t>
  </si>
  <si>
    <t>KHURI</t>
  </si>
  <si>
    <t>Khuri</t>
  </si>
  <si>
    <t>0812800673102830</t>
  </si>
  <si>
    <t>23/2/2024</t>
  </si>
  <si>
    <t>Diwali</t>
  </si>
  <si>
    <t>0812800673102841</t>
  </si>
  <si>
    <t>Chhela Bel</t>
  </si>
  <si>
    <t>0812800673102844</t>
  </si>
  <si>
    <t>Khareela</t>
  </si>
  <si>
    <t>0812800673102829</t>
  </si>
  <si>
    <t>0812800673102864</t>
  </si>
  <si>
    <t>Karariya Hara</t>
  </si>
  <si>
    <t>0812800673102869</t>
  </si>
  <si>
    <t>Bhonhra</t>
  </si>
  <si>
    <t>0812800673102867</t>
  </si>
  <si>
    <t>Kherli Rawan</t>
  </si>
  <si>
    <t>0812800673102860</t>
  </si>
  <si>
    <t>23/08/2024</t>
  </si>
  <si>
    <t>Amli Jageer</t>
  </si>
  <si>
    <t>0812800673102868</t>
  </si>
  <si>
    <t>Chauthya</t>
  </si>
  <si>
    <t>0812800673102861</t>
  </si>
  <si>
    <t>0812800673102862</t>
  </si>
  <si>
    <t>Bahlawan</t>
  </si>
  <si>
    <t>0812800673102863</t>
  </si>
  <si>
    <t>KUNDI</t>
  </si>
  <si>
    <t>0812800673102937</t>
  </si>
  <si>
    <t>Barawadi</t>
  </si>
  <si>
    <t>0812800673102936</t>
  </si>
  <si>
    <t>KUNJER</t>
  </si>
  <si>
    <t>Kunjer</t>
  </si>
  <si>
    <t>0812800673102838</t>
  </si>
  <si>
    <t>0812800673102836</t>
  </si>
  <si>
    <t>0812800673102837</t>
  </si>
  <si>
    <t>MERMACHAH</t>
  </si>
  <si>
    <t>Mermachah</t>
  </si>
  <si>
    <t>0812800673102846</t>
  </si>
  <si>
    <t>15.02-22</t>
  </si>
  <si>
    <t>Kachari</t>
  </si>
  <si>
    <t>0812800673102855</t>
  </si>
  <si>
    <t>15.02.22</t>
  </si>
  <si>
    <t>Kachara</t>
  </si>
  <si>
    <t>0812800673102854</t>
  </si>
  <si>
    <t>Gandoliya</t>
  </si>
  <si>
    <t>0812800673102853</t>
  </si>
  <si>
    <t>Berakya</t>
  </si>
  <si>
    <t>0812800673102852</t>
  </si>
  <si>
    <t>Patalya</t>
  </si>
  <si>
    <t>0812800673102825</t>
  </si>
  <si>
    <t>0812800673102847</t>
  </si>
  <si>
    <t>MOONDLA BISOTI</t>
  </si>
  <si>
    <t>Moondla Bisoti</t>
  </si>
  <si>
    <t>0812800673102815</t>
  </si>
  <si>
    <t>Degni jageer</t>
  </si>
  <si>
    <t>0812800673102820</t>
  </si>
  <si>
    <t>Harnawada</t>
  </si>
  <si>
    <t>0812800673102814</t>
  </si>
  <si>
    <t>Dabriya</t>
  </si>
  <si>
    <t>0812800673102819</t>
  </si>
  <si>
    <t>Ramniwas</t>
  </si>
  <si>
    <t>0812800673102818</t>
  </si>
  <si>
    <t>Bairpur</t>
  </si>
  <si>
    <t>0812800673102816</t>
  </si>
  <si>
    <t>Rahlai</t>
  </si>
  <si>
    <t>0812800673102817</t>
  </si>
  <si>
    <t>MOTHPUR</t>
  </si>
  <si>
    <t>0812800673102929</t>
  </si>
  <si>
    <t>{P</t>
  </si>
  <si>
    <t>0812800673102930</t>
  </si>
  <si>
    <t>MUSAI GUJRAN</t>
  </si>
  <si>
    <t>Musai Gujran</t>
  </si>
  <si>
    <t>0812800673102947</t>
  </si>
  <si>
    <t>Panduheri</t>
  </si>
  <si>
    <t>0812800673102948</t>
  </si>
  <si>
    <t>Ugrapura</t>
  </si>
  <si>
    <t>0812800673102938</t>
  </si>
  <si>
    <t>0812800673102934</t>
  </si>
  <si>
    <t>Padliya</t>
  </si>
  <si>
    <t>0812800673102939</t>
  </si>
  <si>
    <t>NANAWATA</t>
  </si>
  <si>
    <t>Nanawata</t>
  </si>
  <si>
    <t>0812800673102927</t>
  </si>
  <si>
    <t>0812800673102926</t>
  </si>
  <si>
    <t>0812800673102924</t>
  </si>
  <si>
    <t>Gordi</t>
  </si>
  <si>
    <t>0812800673102925</t>
  </si>
  <si>
    <t>PATNA</t>
  </si>
  <si>
    <t>0812800673102885</t>
  </si>
  <si>
    <t>Teegri</t>
  </si>
  <si>
    <t>0812800673102897</t>
  </si>
  <si>
    <t>0812800673102881</t>
  </si>
  <si>
    <t>REECHHANDA</t>
  </si>
  <si>
    <t>Reechhanda</t>
  </si>
  <si>
    <t>0812800673102866</t>
  </si>
  <si>
    <t>Subhashpura</t>
  </si>
  <si>
    <t>0812800673102884</t>
  </si>
  <si>
    <t>Karadya Gulji</t>
  </si>
  <si>
    <t>0812800673102905</t>
  </si>
  <si>
    <t>Amli Khalsa</t>
  </si>
  <si>
    <t>0812800673102874</t>
  </si>
  <si>
    <t>Kirpuriya</t>
  </si>
  <si>
    <t>0812800673102865</t>
  </si>
  <si>
    <t>Deoli Rawan</t>
  </si>
  <si>
    <t>0812800673102859</t>
  </si>
  <si>
    <t>SAHROD</t>
  </si>
  <si>
    <t>Sahrod</t>
  </si>
  <si>
    <t>0812800673102809</t>
  </si>
  <si>
    <t>0812800673102808</t>
  </si>
  <si>
    <t>SAKATPUR</t>
  </si>
  <si>
    <t>Sakatpur</t>
  </si>
  <si>
    <t>0812800673102873</t>
  </si>
  <si>
    <t>15/08/2024</t>
  </si>
  <si>
    <t>Khanpurya</t>
  </si>
  <si>
    <t>0812800673102875</t>
  </si>
  <si>
    <t>Nohalya</t>
  </si>
  <si>
    <t>0812800673102872</t>
  </si>
  <si>
    <t>SHERGARH</t>
  </si>
  <si>
    <t>Shergarh</t>
  </si>
  <si>
    <t>0812800673102921</t>
  </si>
  <si>
    <t>Kishanpura Masaldaran</t>
  </si>
  <si>
    <t>0812800673102922</t>
  </si>
  <si>
    <t>Barkheri</t>
  </si>
  <si>
    <t>0812800673102920</t>
  </si>
  <si>
    <t>0812800673102919</t>
  </si>
  <si>
    <t>Karjoona</t>
  </si>
  <si>
    <t>0812800673102918</t>
  </si>
  <si>
    <t>Achrawa</t>
  </si>
  <si>
    <t>0812800673102917</t>
  </si>
  <si>
    <t>Atru (CT)</t>
  </si>
  <si>
    <t>0812800673102951</t>
  </si>
  <si>
    <t>Kherliganj (CT)</t>
  </si>
  <si>
    <t>0812800673102950</t>
  </si>
  <si>
    <t>NA</t>
  </si>
  <si>
    <t>To be updated</t>
  </si>
  <si>
    <t>To be Updated</t>
  </si>
  <si>
    <t>T0 be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</si>
</sst>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;[Red]0"/>
    <numFmt numFmtId="165" formatCode="0.00000"/>
    <numFmt numFmtId="166" formatCode="0.0;[Red]0.0"/>
  </numFmts>
  <fonts count="3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</font>
    <font>
      <sz val="12"/>
      <color theme="1"/>
      <name val="Calibri"/>
      <family val="2"/>
      <scheme val="minor"/>
    </font>
    <font>
      <sz val="10"/>
      <name val="Tahoma"/>
      <family val="2"/>
    </font>
    <font>
      <sz val="10"/>
      <color rgb="FFFF0000"/>
      <name val="Tahoma"/>
      <family val="2"/>
    </font>
    <font>
      <sz val="10"/>
      <color theme="1"/>
      <name val="Tahoma"/>
      <family val="2"/>
    </font>
    <font>
      <sz val="10"/>
      <color rgb="FF00B050"/>
      <name val="Tahoma"/>
      <family val="2"/>
    </font>
    <font>
      <sz val="12"/>
      <name val="Tahoma"/>
      <family val="2"/>
    </font>
    <font>
      <b/>
      <sz val="10"/>
      <name val="Tahoma"/>
      <family val="2"/>
    </font>
    <font>
      <sz val="12"/>
      <color rgb="FF212529"/>
      <name val="Segoe UI"/>
      <family val="2"/>
    </font>
    <font>
      <sz val="11"/>
      <color rgb="FF00B050"/>
      <name val="Calibri"/>
      <family val="2"/>
    </font>
    <font>
      <sz val="11"/>
      <color indexed="8"/>
      <name val="Calibri"/>
      <family val="2"/>
      <scheme val="minor"/>
    </font>
    <font>
      <sz val="12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B05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00B050"/>
      <name val="Calibri"/>
      <family val="2"/>
      <scheme val="minor"/>
    </font>
    <font>
      <sz val="11"/>
      <name val="Tamoha"/>
      <family val="2"/>
    </font>
    <font>
      <sz val="11"/>
      <color theme="1"/>
      <name val="Tamoha"/>
    </font>
    <font>
      <sz val="11"/>
      <name val="Tahoma"/>
      <family val="2"/>
    </font>
    <font>
      <sz val="11"/>
      <color theme="1"/>
      <name val="Tahoma"/>
      <family val="2"/>
    </font>
    <font>
      <sz val="10"/>
      <name val="Tamoha"/>
      <family val="2"/>
    </font>
    <font>
      <sz val="11"/>
      <name val="Tamoha"/>
    </font>
    <font>
      <sz val="11"/>
      <color rgb="FFFF0000"/>
      <name val="Tahoma"/>
      <family val="2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F2DBDB"/>
      </patternFill>
    </fill>
    <fill>
      <patternFill patternType="solid">
        <fgColor theme="4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/>
  </cellStyleXfs>
  <cellXfs count="390">
    <xf numFmtId="0" fontId="0" fillId="0" borderId="0" xfId="0"/>
    <xf numFmtId="0" fontId="3" fillId="2" borderId="1" xfId="0" applyNumberFormat="1" applyFont="1" applyFill="1" applyBorder="1" applyAlignment="1">
      <alignment wrapText="1"/>
    </xf>
    <xf numFmtId="0" fontId="3" fillId="2" borderId="1" xfId="0" applyNumberFormat="1" applyFont="1" applyFill="1" applyBorder="1" applyAlignment="1">
      <alignment horizontal="center" wrapText="1"/>
    </xf>
    <xf numFmtId="0" fontId="3" fillId="0" borderId="1" xfId="0" applyNumberFormat="1" applyFont="1" applyBorder="1"/>
    <xf numFmtId="0" fontId="4" fillId="0" borderId="0" xfId="0" applyNumberFormat="1" applyFont="1" applyFill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 wrapText="1"/>
    </xf>
    <xf numFmtId="0" fontId="6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2" borderId="1" xfId="1" applyFont="1" applyFill="1" applyBorder="1" applyAlignment="1">
      <alignment horizontal="right"/>
    </xf>
    <xf numFmtId="1" fontId="0" fillId="0" borderId="1" xfId="0" applyNumberFormat="1" applyBorder="1"/>
    <xf numFmtId="0" fontId="10" fillId="2" borderId="1" xfId="1" applyFont="1" applyFill="1" applyBorder="1" applyAlignment="1">
      <alignment horizontal="right"/>
    </xf>
    <xf numFmtId="0" fontId="0" fillId="0" borderId="1" xfId="0" applyBorder="1"/>
    <xf numFmtId="0" fontId="0" fillId="2" borderId="1" xfId="0" applyFont="1" applyFill="1" applyBorder="1" applyAlignment="1">
      <alignment horizontal="right"/>
    </xf>
    <xf numFmtId="0" fontId="0" fillId="2" borderId="1" xfId="0" applyFill="1" applyBorder="1" applyAlignment="1">
      <alignment horizontal="right"/>
    </xf>
    <xf numFmtId="0" fontId="4" fillId="2" borderId="1" xfId="1" applyFont="1" applyFill="1" applyBorder="1" applyAlignment="1">
      <alignment horizontal="right"/>
    </xf>
    <xf numFmtId="1" fontId="0" fillId="3" borderId="1" xfId="0" applyNumberFormat="1" applyFill="1" applyBorder="1"/>
    <xf numFmtId="0" fontId="4" fillId="2" borderId="1" xfId="1" applyFont="1" applyFill="1" applyBorder="1" applyAlignment="1">
      <alignment horizontal="center"/>
    </xf>
    <xf numFmtId="0" fontId="4" fillId="2" borderId="1" xfId="1" applyFill="1" applyBorder="1" applyAlignment="1">
      <alignment horizontal="right"/>
    </xf>
    <xf numFmtId="0" fontId="4" fillId="0" borderId="1" xfId="1" applyFont="1" applyBorder="1" applyAlignment="1">
      <alignment horizontal="center"/>
    </xf>
    <xf numFmtId="0" fontId="10" fillId="2" borderId="1" xfId="1" applyFont="1" applyFill="1" applyBorder="1" applyAlignment="1">
      <alignment horizontal="right" wrapText="1"/>
    </xf>
    <xf numFmtId="0" fontId="4" fillId="0" borderId="1" xfId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4" fillId="0" borderId="1" xfId="1" applyBorder="1"/>
    <xf numFmtId="1" fontId="0" fillId="2" borderId="1" xfId="0" applyNumberFormat="1" applyFill="1" applyBorder="1"/>
    <xf numFmtId="0" fontId="4" fillId="2" borderId="1" xfId="1" applyFill="1" applyBorder="1" applyAlignment="1">
      <alignment horizontal="center"/>
    </xf>
    <xf numFmtId="0" fontId="9" fillId="0" borderId="1" xfId="0" applyFont="1" applyBorder="1"/>
    <xf numFmtId="0" fontId="9" fillId="0" borderId="0" xfId="0" applyFont="1"/>
    <xf numFmtId="0" fontId="10" fillId="2" borderId="1" xfId="0" applyFont="1" applyFill="1" applyBorder="1" applyAlignment="1">
      <alignment horizontal="right"/>
    </xf>
    <xf numFmtId="0" fontId="14" fillId="2" borderId="1" xfId="1" applyFont="1" applyFill="1" applyBorder="1" applyAlignment="1">
      <alignment horizontal="right"/>
    </xf>
    <xf numFmtId="0" fontId="1" fillId="0" borderId="1" xfId="0" applyFont="1" applyBorder="1"/>
    <xf numFmtId="1" fontId="1" fillId="0" borderId="1" xfId="0" applyNumberFormat="1" applyFont="1" applyBorder="1"/>
    <xf numFmtId="0" fontId="2" fillId="0" borderId="1" xfId="0" applyNumberFormat="1" applyFont="1" applyBorder="1"/>
    <xf numFmtId="0" fontId="2" fillId="0" borderId="1" xfId="0" applyNumberFormat="1" applyFont="1" applyFill="1" applyBorder="1"/>
    <xf numFmtId="14" fontId="14" fillId="2" borderId="1" xfId="1" applyNumberFormat="1" applyFont="1" applyFill="1" applyBorder="1" applyAlignment="1">
      <alignment horizontal="right"/>
    </xf>
    <xf numFmtId="14" fontId="4" fillId="2" borderId="1" xfId="1" applyNumberFormat="1" applyFill="1" applyBorder="1" applyAlignment="1">
      <alignment horizontal="right"/>
    </xf>
    <xf numFmtId="0" fontId="6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4" fillId="0" borderId="1" xfId="0" applyFont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/>
    </xf>
    <xf numFmtId="1" fontId="0" fillId="0" borderId="7" xfId="0" applyNumberFormat="1" applyFill="1" applyBorder="1"/>
    <xf numFmtId="0" fontId="15" fillId="2" borderId="1" xfId="1" applyFont="1" applyFill="1" applyBorder="1" applyAlignment="1">
      <alignment horizontal="right"/>
    </xf>
    <xf numFmtId="0" fontId="0" fillId="0" borderId="0" xfId="0" applyBorder="1"/>
    <xf numFmtId="14" fontId="10" fillId="2" borderId="1" xfId="1" applyNumberFormat="1" applyFont="1" applyFill="1" applyBorder="1" applyAlignment="1">
      <alignment horizontal="right"/>
    </xf>
    <xf numFmtId="0" fontId="11" fillId="2" borderId="1" xfId="0" applyFont="1" applyFill="1" applyBorder="1" applyAlignment="1">
      <alignment horizontal="right"/>
    </xf>
    <xf numFmtId="0" fontId="16" fillId="2" borderId="1" xfId="0" applyFont="1" applyFill="1" applyBorder="1" applyAlignment="1">
      <alignment horizontal="right"/>
    </xf>
    <xf numFmtId="0" fontId="17" fillId="2" borderId="1" xfId="1" applyFont="1" applyFill="1" applyBorder="1" applyAlignment="1">
      <alignment horizontal="right"/>
    </xf>
    <xf numFmtId="0" fontId="13" fillId="2" borderId="1" xfId="1" applyFont="1" applyFill="1" applyBorder="1" applyAlignment="1">
      <alignment horizontal="right" wrapText="1"/>
    </xf>
    <xf numFmtId="0" fontId="18" fillId="0" borderId="1" xfId="0" applyFont="1" applyBorder="1" applyAlignment="1">
      <alignment horizontal="left" vertical="top"/>
    </xf>
    <xf numFmtId="0" fontId="4" fillId="0" borderId="1" xfId="0" applyNumberFormat="1" applyFont="1" applyBorder="1" applyAlignment="1">
      <alignment horizontal="center"/>
    </xf>
    <xf numFmtId="0" fontId="20" fillId="0" borderId="1" xfId="0" applyFont="1" applyBorder="1"/>
    <xf numFmtId="0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0" fillId="0" borderId="0" xfId="0" applyFont="1"/>
    <xf numFmtId="0" fontId="4" fillId="2" borderId="1" xfId="0" applyNumberFormat="1" applyFont="1" applyFill="1" applyBorder="1" applyAlignment="1">
      <alignment horizontal="center" vertical="center"/>
    </xf>
    <xf numFmtId="0" fontId="0" fillId="2" borderId="1" xfId="0" applyNumberFormat="1" applyFont="1" applyFill="1" applyBorder="1" applyAlignment="1">
      <alignment horizontal="center"/>
    </xf>
    <xf numFmtId="1" fontId="0" fillId="0" borderId="1" xfId="0" applyNumberFormat="1" applyFont="1" applyBorder="1"/>
    <xf numFmtId="1" fontId="0" fillId="3" borderId="1" xfId="0" applyNumberFormat="1" applyFont="1" applyFill="1" applyBorder="1"/>
    <xf numFmtId="14" fontId="4" fillId="2" borderId="1" xfId="1" applyNumberFormat="1" applyFont="1" applyFill="1" applyBorder="1" applyAlignment="1">
      <alignment horizontal="right"/>
    </xf>
    <xf numFmtId="0" fontId="4" fillId="0" borderId="1" xfId="1" applyFont="1" applyFill="1" applyBorder="1" applyAlignment="1">
      <alignment horizontal="center"/>
    </xf>
    <xf numFmtId="0" fontId="4" fillId="2" borderId="1" xfId="0" applyNumberFormat="1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1" xfId="0" applyNumberFormat="1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 wrapText="1"/>
    </xf>
    <xf numFmtId="0" fontId="0" fillId="2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right"/>
    </xf>
    <xf numFmtId="14" fontId="19" fillId="2" borderId="1" xfId="1" applyNumberFormat="1" applyFont="1" applyFill="1" applyBorder="1" applyAlignment="1">
      <alignment horizontal="right"/>
    </xf>
    <xf numFmtId="0" fontId="19" fillId="2" borderId="1" xfId="1" applyFont="1" applyFill="1" applyBorder="1" applyAlignment="1">
      <alignment horizontal="right"/>
    </xf>
    <xf numFmtId="0" fontId="22" fillId="2" borderId="1" xfId="1" applyFont="1" applyFill="1" applyBorder="1" applyAlignment="1">
      <alignment horizontal="right"/>
    </xf>
    <xf numFmtId="0" fontId="22" fillId="2" borderId="1" xfId="1" applyFont="1" applyFill="1" applyBorder="1" applyAlignment="1">
      <alignment horizontal="right" wrapText="1"/>
    </xf>
    <xf numFmtId="0" fontId="0" fillId="0" borderId="1" xfId="0" applyFont="1" applyFill="1" applyBorder="1" applyAlignment="1">
      <alignment horizontal="center" vertical="center" wrapText="1"/>
    </xf>
    <xf numFmtId="0" fontId="4" fillId="0" borderId="1" xfId="1" applyFont="1" applyFill="1" applyBorder="1"/>
    <xf numFmtId="0" fontId="4" fillId="0" borderId="1" xfId="1" applyFont="1" applyFill="1" applyBorder="1" applyAlignment="1">
      <alignment horizontal="right"/>
    </xf>
    <xf numFmtId="0" fontId="0" fillId="0" borderId="0" xfId="0" applyFont="1" applyFill="1"/>
    <xf numFmtId="0" fontId="0" fillId="0" borderId="1" xfId="0" applyFont="1" applyFill="1" applyBorder="1"/>
    <xf numFmtId="0" fontId="2" fillId="0" borderId="1" xfId="0" applyFont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24" fillId="0" borderId="1" xfId="0" applyNumberFormat="1" applyFont="1" applyBorder="1"/>
    <xf numFmtId="0" fontId="24" fillId="0" borderId="1" xfId="0" applyNumberFormat="1" applyFont="1" applyFill="1" applyBorder="1"/>
    <xf numFmtId="0" fontId="24" fillId="2" borderId="1" xfId="0" applyNumberFormat="1" applyFont="1" applyFill="1" applyBorder="1" applyAlignment="1">
      <alignment wrapText="1"/>
    </xf>
    <xf numFmtId="0" fontId="24" fillId="2" borderId="1" xfId="0" applyNumberFormat="1" applyFont="1" applyFill="1" applyBorder="1" applyAlignment="1">
      <alignment horizontal="center" wrapText="1"/>
    </xf>
    <xf numFmtId="0" fontId="22" fillId="0" borderId="1" xfId="0" applyNumberFormat="1" applyFont="1" applyFill="1" applyBorder="1" applyAlignment="1">
      <alignment horizontal="center" vertical="center"/>
    </xf>
    <xf numFmtId="0" fontId="22" fillId="0" borderId="1" xfId="0" applyNumberFormat="1" applyFont="1" applyFill="1" applyBorder="1" applyAlignment="1">
      <alignment horizontal="center" vertical="center" wrapText="1"/>
    </xf>
    <xf numFmtId="0" fontId="22" fillId="0" borderId="1" xfId="0" applyNumberFormat="1" applyFont="1" applyFill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20" fillId="2" borderId="1" xfId="0" applyNumberFormat="1" applyFont="1" applyFill="1" applyBorder="1" applyAlignment="1">
      <alignment horizontal="center" vertical="center" wrapText="1"/>
    </xf>
    <xf numFmtId="0" fontId="20" fillId="0" borderId="1" xfId="0" applyNumberFormat="1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20" fillId="0" borderId="1" xfId="0" applyNumberFormat="1" applyFont="1" applyBorder="1" applyAlignment="1">
      <alignment horizontal="center"/>
    </xf>
    <xf numFmtId="1" fontId="20" fillId="0" borderId="1" xfId="0" applyNumberFormat="1" applyFont="1" applyBorder="1" applyAlignment="1">
      <alignment horizontal="center"/>
    </xf>
    <xf numFmtId="1" fontId="20" fillId="0" borderId="1" xfId="0" applyNumberFormat="1" applyFont="1" applyBorder="1"/>
    <xf numFmtId="1" fontId="20" fillId="3" borderId="1" xfId="0" applyNumberFormat="1" applyFont="1" applyFill="1" applyBorder="1"/>
    <xf numFmtId="0" fontId="22" fillId="0" borderId="1" xfId="0" applyNumberFormat="1" applyFont="1" applyBorder="1" applyAlignment="1">
      <alignment horizontal="center" vertical="center"/>
    </xf>
    <xf numFmtId="0" fontId="22" fillId="2" borderId="1" xfId="0" applyNumberFormat="1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1" fontId="20" fillId="2" borderId="1" xfId="0" applyNumberFormat="1" applyFont="1" applyFill="1" applyBorder="1" applyAlignment="1">
      <alignment horizontal="center"/>
    </xf>
    <xf numFmtId="164" fontId="20" fillId="2" borderId="1" xfId="0" applyNumberFormat="1" applyFont="1" applyFill="1" applyBorder="1" applyAlignment="1">
      <alignment horizontal="left" vertical="top"/>
    </xf>
    <xf numFmtId="0" fontId="20" fillId="0" borderId="1" xfId="0" applyNumberFormat="1" applyFont="1" applyBorder="1"/>
    <xf numFmtId="0" fontId="20" fillId="2" borderId="1" xfId="0" applyFont="1" applyFill="1" applyBorder="1" applyAlignment="1">
      <alignment horizontal="right"/>
    </xf>
    <xf numFmtId="164" fontId="20" fillId="0" borderId="1" xfId="0" applyNumberFormat="1" applyFont="1" applyFill="1" applyBorder="1" applyAlignment="1">
      <alignment horizontal="left" vertical="top"/>
    </xf>
    <xf numFmtId="0" fontId="20" fillId="0" borderId="1" xfId="0" applyNumberFormat="1" applyFont="1" applyBorder="1" applyAlignment="1">
      <alignment horizontal="left"/>
    </xf>
    <xf numFmtId="0" fontId="10" fillId="2" borderId="1" xfId="1" applyFont="1" applyFill="1" applyBorder="1" applyAlignment="1">
      <alignment horizontal="right" vertical="center"/>
    </xf>
    <xf numFmtId="14" fontId="20" fillId="0" borderId="1" xfId="0" applyNumberFormat="1" applyFont="1" applyBorder="1" applyAlignment="1">
      <alignment horizontal="left"/>
    </xf>
    <xf numFmtId="14" fontId="20" fillId="2" borderId="1" xfId="0" applyNumberFormat="1" applyFont="1" applyFill="1" applyBorder="1" applyAlignment="1">
      <alignment horizontal="left" vertical="top"/>
    </xf>
    <xf numFmtId="0" fontId="22" fillId="0" borderId="1" xfId="1" applyFont="1" applyBorder="1" applyAlignment="1">
      <alignment horizontal="center"/>
    </xf>
    <xf numFmtId="14" fontId="20" fillId="2" borderId="1" xfId="0" applyNumberFormat="1" applyFont="1" applyFill="1" applyBorder="1" applyAlignment="1">
      <alignment horizontal="left"/>
    </xf>
    <xf numFmtId="0" fontId="22" fillId="0" borderId="1" xfId="1" applyFont="1" applyBorder="1"/>
    <xf numFmtId="14" fontId="20" fillId="0" borderId="1" xfId="0" applyNumberFormat="1" applyFont="1" applyFill="1" applyBorder="1" applyAlignment="1">
      <alignment horizontal="left" vertical="top"/>
    </xf>
    <xf numFmtId="0" fontId="20" fillId="0" borderId="1" xfId="0" applyFont="1" applyBorder="1" applyAlignment="1">
      <alignment horizontal="left"/>
    </xf>
    <xf numFmtId="14" fontId="22" fillId="2" borderId="1" xfId="1" applyNumberFormat="1" applyFont="1" applyFill="1" applyBorder="1" applyAlignment="1">
      <alignment horizontal="right"/>
    </xf>
    <xf numFmtId="14" fontId="20" fillId="2" borderId="1" xfId="0" applyNumberFormat="1" applyFont="1" applyFill="1" applyBorder="1" applyAlignment="1">
      <alignment horizontal="right"/>
    </xf>
    <xf numFmtId="0" fontId="20" fillId="0" borderId="1" xfId="0" applyNumberFormat="1" applyFont="1" applyFill="1" applyBorder="1"/>
    <xf numFmtId="0" fontId="20" fillId="0" borderId="0" xfId="0" applyFont="1"/>
    <xf numFmtId="14" fontId="22" fillId="2" borderId="1" xfId="0" applyNumberFormat="1" applyFont="1" applyFill="1" applyBorder="1" applyAlignment="1">
      <alignment horizontal="right"/>
    </xf>
    <xf numFmtId="0" fontId="23" fillId="2" borderId="1" xfId="1" applyFont="1" applyFill="1" applyBorder="1" applyAlignment="1">
      <alignment horizontal="right"/>
    </xf>
    <xf numFmtId="0" fontId="20" fillId="2" borderId="1" xfId="1" applyFont="1" applyFill="1" applyBorder="1" applyAlignment="1">
      <alignment horizontal="right"/>
    </xf>
    <xf numFmtId="0" fontId="20" fillId="2" borderId="1" xfId="0" applyFont="1" applyFill="1" applyBorder="1" applyAlignment="1">
      <alignment horizontal="right" wrapText="1"/>
    </xf>
    <xf numFmtId="0" fontId="2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1" fontId="0" fillId="0" borderId="1" xfId="0" applyNumberFormat="1" applyBorder="1" applyAlignment="1">
      <alignment vertical="center"/>
    </xf>
    <xf numFmtId="1" fontId="0" fillId="3" borderId="1" xfId="0" applyNumberFormat="1" applyFill="1" applyBorder="1" applyAlignment="1">
      <alignment vertical="center"/>
    </xf>
    <xf numFmtId="1" fontId="0" fillId="2" borderId="1" xfId="0" applyNumberFormat="1" applyFill="1" applyBorder="1" applyAlignment="1">
      <alignment vertical="center"/>
    </xf>
    <xf numFmtId="0" fontId="12" fillId="2" borderId="1" xfId="0" applyFont="1" applyFill="1" applyBorder="1" applyAlignment="1">
      <alignment horizontal="right" vertical="center"/>
    </xf>
    <xf numFmtId="0" fontId="4" fillId="0" borderId="1" xfId="1" applyBorder="1" applyAlignment="1">
      <alignment horizontal="center" vertical="center"/>
    </xf>
    <xf numFmtId="0" fontId="0" fillId="2" borderId="1" xfId="0" applyFill="1" applyBorder="1" applyAlignment="1">
      <alignment horizontal="right" vertical="center"/>
    </xf>
    <xf numFmtId="0" fontId="10" fillId="2" borderId="1" xfId="0" applyFont="1" applyFill="1" applyBorder="1" applyAlignment="1">
      <alignment horizontal="right" vertical="center"/>
    </xf>
    <xf numFmtId="0" fontId="4" fillId="2" borderId="1" xfId="1" applyFill="1" applyBorder="1" applyAlignment="1">
      <alignment horizontal="right" vertical="center"/>
    </xf>
    <xf numFmtId="14" fontId="4" fillId="2" borderId="1" xfId="1" applyNumberFormat="1" applyFill="1" applyBorder="1" applyAlignment="1">
      <alignment horizontal="right" vertical="center"/>
    </xf>
    <xf numFmtId="0" fontId="1" fillId="0" borderId="1" xfId="0" applyFont="1" applyBorder="1" applyAlignment="1">
      <alignment vertical="center"/>
    </xf>
    <xf numFmtId="1" fontId="1" fillId="0" borderId="1" xfId="0" applyNumberFormat="1" applyFont="1" applyBorder="1" applyAlignment="1">
      <alignment vertical="center"/>
    </xf>
    <xf numFmtId="1" fontId="1" fillId="2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horizontal="right" vertical="center"/>
    </xf>
    <xf numFmtId="0" fontId="6" fillId="0" borderId="1" xfId="1" applyFont="1" applyBorder="1" applyAlignment="1">
      <alignment horizontal="center" vertical="center"/>
    </xf>
    <xf numFmtId="0" fontId="2" fillId="0" borderId="1" xfId="0" applyNumberFormat="1" applyFont="1" applyFill="1" applyBorder="1" applyAlignment="1">
      <alignment wrapText="1"/>
    </xf>
    <xf numFmtId="0" fontId="2" fillId="0" borderId="1" xfId="0" applyNumberFormat="1" applyFont="1" applyFill="1" applyBorder="1" applyAlignment="1">
      <alignment horizont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2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1" fontId="0" fillId="0" borderId="1" xfId="0" applyNumberFormat="1" applyFont="1" applyFill="1" applyBorder="1"/>
    <xf numFmtId="0" fontId="4" fillId="0" borderId="1" xfId="0" applyNumberFormat="1" applyFont="1" applyFill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left" vertical="top"/>
    </xf>
    <xf numFmtId="0" fontId="0" fillId="0" borderId="1" xfId="0" applyNumberFormat="1" applyFont="1" applyFill="1" applyBorder="1"/>
    <xf numFmtId="0" fontId="0" fillId="0" borderId="1" xfId="0" applyNumberFormat="1" applyFont="1" applyFill="1" applyBorder="1" applyAlignment="1">
      <alignment horizontal="left"/>
    </xf>
    <xf numFmtId="14" fontId="0" fillId="0" borderId="1" xfId="0" applyNumberFormat="1" applyFont="1" applyFill="1" applyBorder="1" applyAlignment="1">
      <alignment horizontal="left"/>
    </xf>
    <xf numFmtId="0" fontId="4" fillId="0" borderId="1" xfId="1" applyFont="1" applyFill="1" applyBorder="1" applyAlignment="1">
      <alignment horizontal="right" vertical="top"/>
    </xf>
    <xf numFmtId="14" fontId="0" fillId="0" borderId="1" xfId="0" applyNumberFormat="1" applyFont="1" applyFill="1" applyBorder="1" applyAlignment="1">
      <alignment horizontal="left" vertical="top"/>
    </xf>
    <xf numFmtId="0" fontId="4" fillId="0" borderId="1" xfId="0" applyFont="1" applyFill="1" applyBorder="1" applyAlignment="1">
      <alignment horizontal="right"/>
    </xf>
    <xf numFmtId="0" fontId="0" fillId="0" borderId="1" xfId="0" applyFont="1" applyFill="1" applyBorder="1" applyAlignment="1">
      <alignment horizontal="right"/>
    </xf>
    <xf numFmtId="0" fontId="4" fillId="0" borderId="1" xfId="1" applyFont="1" applyFill="1" applyBorder="1" applyAlignment="1">
      <alignment horizontal="right" wrapText="1"/>
    </xf>
    <xf numFmtId="0" fontId="0" fillId="0" borderId="1" xfId="0" applyFont="1" applyFill="1" applyBorder="1" applyAlignment="1">
      <alignment horizontal="left"/>
    </xf>
    <xf numFmtId="14" fontId="0" fillId="0" borderId="1" xfId="0" applyNumberFormat="1" applyFont="1" applyFill="1" applyBorder="1" applyAlignment="1">
      <alignment horizontal="right"/>
    </xf>
    <xf numFmtId="14" fontId="4" fillId="0" borderId="1" xfId="1" applyNumberFormat="1" applyFont="1" applyFill="1" applyBorder="1" applyAlignment="1">
      <alignment horizontal="right"/>
    </xf>
    <xf numFmtId="14" fontId="0" fillId="0" borderId="1" xfId="0" applyNumberFormat="1" applyFont="1" applyFill="1" applyBorder="1"/>
    <xf numFmtId="0" fontId="2" fillId="0" borderId="2" xfId="0" applyNumberFormat="1" applyFont="1" applyFill="1" applyBorder="1"/>
    <xf numFmtId="0" fontId="1" fillId="0" borderId="2" xfId="0" applyFont="1" applyFill="1" applyBorder="1" applyAlignment="1">
      <alignment horizontal="center" vertical="center" wrapText="1"/>
    </xf>
    <xf numFmtId="0" fontId="4" fillId="0" borderId="2" xfId="0" applyNumberFormat="1" applyFont="1" applyFill="1" applyBorder="1" applyAlignment="1">
      <alignment horizontal="center" vertical="center"/>
    </xf>
    <xf numFmtId="0" fontId="4" fillId="0" borderId="2" xfId="1" applyFont="1" applyFill="1" applyBorder="1" applyAlignment="1">
      <alignment horizontal="center"/>
    </xf>
    <xf numFmtId="0" fontId="0" fillId="0" borderId="2" xfId="0" applyNumberFormat="1" applyFont="1" applyFill="1" applyBorder="1"/>
    <xf numFmtId="0" fontId="4" fillId="0" borderId="2" xfId="1" applyFont="1" applyFill="1" applyBorder="1" applyAlignment="1">
      <alignment horizontal="right" vertical="top"/>
    </xf>
    <xf numFmtId="0" fontId="4" fillId="0" borderId="2" xfId="1" applyFont="1" applyFill="1" applyBorder="1"/>
    <xf numFmtId="0" fontId="4" fillId="0" borderId="2" xfId="1" applyFont="1" applyFill="1" applyBorder="1" applyAlignment="1">
      <alignment horizontal="right"/>
    </xf>
    <xf numFmtId="0" fontId="4" fillId="0" borderId="5" xfId="1" applyFont="1" applyFill="1" applyBorder="1" applyAlignment="1">
      <alignment horizontal="center"/>
    </xf>
    <xf numFmtId="0" fontId="0" fillId="0" borderId="2" xfId="0" applyNumberFormat="1" applyFont="1" applyFill="1" applyBorder="1" applyAlignment="1">
      <alignment horizontal="left"/>
    </xf>
    <xf numFmtId="1" fontId="0" fillId="0" borderId="1" xfId="0" applyNumberFormat="1" applyFont="1" applyBorder="1" applyAlignment="1">
      <alignment horizontal="center"/>
    </xf>
    <xf numFmtId="1" fontId="0" fillId="2" borderId="1" xfId="0" applyNumberFormat="1" applyFont="1" applyFill="1" applyBorder="1" applyAlignment="1">
      <alignment horizontal="center"/>
    </xf>
    <xf numFmtId="3" fontId="4" fillId="2" borderId="1" xfId="1" applyNumberFormat="1" applyFont="1" applyFill="1" applyBorder="1" applyAlignment="1">
      <alignment horizontal="center" vertical="top"/>
    </xf>
    <xf numFmtId="0" fontId="4" fillId="2" borderId="1" xfId="1" applyFont="1" applyFill="1" applyBorder="1" applyAlignment="1">
      <alignment horizontal="center" vertical="top"/>
    </xf>
    <xf numFmtId="1" fontId="0" fillId="3" borderId="1" xfId="0" applyNumberFormat="1" applyFont="1" applyFill="1" applyBorder="1" applyAlignment="1">
      <alignment horizontal="center"/>
    </xf>
    <xf numFmtId="0" fontId="4" fillId="0" borderId="1" xfId="1" applyFont="1" applyBorder="1" applyAlignment="1">
      <alignment horizontal="center" vertical="top"/>
    </xf>
    <xf numFmtId="164" fontId="0" fillId="2" borderId="1" xfId="0" applyNumberFormat="1" applyFont="1" applyFill="1" applyBorder="1" applyAlignment="1">
      <alignment horizontal="center" vertical="top"/>
    </xf>
    <xf numFmtId="164" fontId="0" fillId="0" borderId="1" xfId="0" applyNumberFormat="1" applyFont="1" applyBorder="1" applyAlignment="1">
      <alignment horizontal="center" vertical="top"/>
    </xf>
    <xf numFmtId="0" fontId="21" fillId="2" borderId="1" xfId="1" applyFont="1" applyFill="1" applyBorder="1" applyAlignment="1">
      <alignment horizontal="center" wrapText="1"/>
    </xf>
    <xf numFmtId="14" fontId="0" fillId="0" borderId="1" xfId="0" applyNumberFormat="1" applyFont="1" applyBorder="1" applyAlignment="1">
      <alignment horizontal="center"/>
    </xf>
    <xf numFmtId="0" fontId="0" fillId="0" borderId="1" xfId="0" applyFont="1" applyBorder="1" applyAlignment="1">
      <alignment horizontal="center" vertical="top" wrapText="1"/>
    </xf>
    <xf numFmtId="0" fontId="4" fillId="2" borderId="1" xfId="1" applyFont="1" applyFill="1" applyBorder="1" applyAlignment="1">
      <alignment horizontal="center" wrapText="1"/>
    </xf>
    <xf numFmtId="0" fontId="0" fillId="2" borderId="1" xfId="0" applyFont="1" applyFill="1" applyBorder="1" applyAlignment="1">
      <alignment horizontal="center" wrapText="1"/>
    </xf>
    <xf numFmtId="0" fontId="0" fillId="0" borderId="1" xfId="0" applyFont="1" applyBorder="1" applyAlignment="1">
      <alignment horizontal="center" vertical="top"/>
    </xf>
    <xf numFmtId="14" fontId="0" fillId="2" borderId="1" xfId="0" applyNumberFormat="1" applyFont="1" applyFill="1" applyBorder="1" applyAlignment="1">
      <alignment horizontal="center" vertical="top"/>
    </xf>
    <xf numFmtId="0" fontId="0" fillId="2" borderId="1" xfId="0" applyFont="1" applyFill="1" applyBorder="1" applyAlignment="1">
      <alignment horizontal="center" vertical="top" wrapText="1"/>
    </xf>
    <xf numFmtId="14" fontId="0" fillId="2" borderId="1" xfId="0" applyNumberFormat="1" applyFont="1" applyFill="1" applyBorder="1" applyAlignment="1">
      <alignment horizontal="center"/>
    </xf>
    <xf numFmtId="0" fontId="4" fillId="4" borderId="1" xfId="1" applyFont="1" applyFill="1" applyBorder="1" applyAlignment="1">
      <alignment horizontal="center" vertical="top"/>
    </xf>
    <xf numFmtId="165" fontId="4" fillId="4" borderId="1" xfId="1" applyNumberFormat="1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 wrapText="1"/>
    </xf>
    <xf numFmtId="0" fontId="4" fillId="5" borderId="1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vertical="top"/>
    </xf>
    <xf numFmtId="14" fontId="4" fillId="2" borderId="1" xfId="1" applyNumberFormat="1" applyFont="1" applyFill="1" applyBorder="1" applyAlignment="1">
      <alignment horizontal="center"/>
    </xf>
    <xf numFmtId="0" fontId="4" fillId="0" borderId="1" xfId="1" applyFont="1" applyBorder="1" applyAlignment="1">
      <alignment horizontal="center" vertical="top" wrapText="1"/>
    </xf>
    <xf numFmtId="0" fontId="25" fillId="2" borderId="1" xfId="1" applyFont="1" applyFill="1" applyBorder="1" applyAlignment="1">
      <alignment horizontal="center"/>
    </xf>
    <xf numFmtId="14" fontId="0" fillId="0" borderId="1" xfId="0" applyNumberFormat="1" applyFont="1" applyBorder="1" applyAlignment="1">
      <alignment horizontal="center" vertical="top"/>
    </xf>
    <xf numFmtId="0" fontId="25" fillId="2" borderId="1" xfId="1" applyFont="1" applyFill="1" applyBorder="1" applyAlignment="1">
      <alignment horizontal="center" wrapText="1"/>
    </xf>
    <xf numFmtId="0" fontId="19" fillId="0" borderId="4" xfId="0" applyNumberFormat="1" applyFont="1" applyFill="1" applyBorder="1" applyAlignment="1">
      <alignment horizontal="center" vertical="center" wrapText="1"/>
    </xf>
    <xf numFmtId="0" fontId="19" fillId="0" borderId="0" xfId="0" applyNumberFormat="1" applyFont="1" applyFill="1" applyAlignment="1">
      <alignment horizontal="center" vertical="center"/>
    </xf>
    <xf numFmtId="0" fontId="19" fillId="0" borderId="4" xfId="0" applyFont="1" applyFill="1" applyBorder="1" applyAlignment="1">
      <alignment horizontal="center" vertical="center" wrapText="1"/>
    </xf>
    <xf numFmtId="0" fontId="9" fillId="2" borderId="1" xfId="0" applyNumberFormat="1" applyFont="1" applyFill="1" applyBorder="1" applyAlignment="1">
      <alignment horizontal="center" vertical="center" wrapText="1"/>
    </xf>
    <xf numFmtId="0" fontId="9" fillId="0" borderId="1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1" fontId="9" fillId="0" borderId="1" xfId="0" applyNumberFormat="1" applyFont="1" applyBorder="1"/>
    <xf numFmtId="1" fontId="9" fillId="3" borderId="1" xfId="0" applyNumberFormat="1" applyFont="1" applyFill="1" applyBorder="1"/>
    <xf numFmtId="0" fontId="9" fillId="2" borderId="1" xfId="0" applyFont="1" applyFill="1" applyBorder="1" applyAlignment="1">
      <alignment horizontal="right"/>
    </xf>
    <xf numFmtId="0" fontId="19" fillId="0" borderId="1" xfId="1" applyFont="1" applyBorder="1" applyAlignment="1">
      <alignment horizontal="center"/>
    </xf>
    <xf numFmtId="2" fontId="9" fillId="2" borderId="1" xfId="0" applyNumberFormat="1" applyFont="1" applyFill="1" applyBorder="1" applyAlignment="1">
      <alignment horizontal="right"/>
    </xf>
    <xf numFmtId="0" fontId="19" fillId="0" borderId="0" xfId="1" applyFont="1" applyAlignment="1">
      <alignment horizontal="center"/>
    </xf>
    <xf numFmtId="0" fontId="19" fillId="0" borderId="1" xfId="1" applyFont="1" applyBorder="1"/>
    <xf numFmtId="0" fontId="19" fillId="2" borderId="1" xfId="1" applyFont="1" applyFill="1" applyBorder="1" applyAlignment="1">
      <alignment horizontal="right" vertical="top"/>
    </xf>
    <xf numFmtId="0" fontId="9" fillId="2" borderId="1" xfId="1" applyFont="1" applyFill="1" applyBorder="1" applyAlignment="1">
      <alignment horizontal="right"/>
    </xf>
    <xf numFmtId="14" fontId="9" fillId="2" borderId="1" xfId="0" applyNumberFormat="1" applyFont="1" applyFill="1" applyBorder="1" applyAlignment="1">
      <alignment horizontal="right"/>
    </xf>
    <xf numFmtId="0" fontId="19" fillId="2" borderId="1" xfId="0" applyFont="1" applyFill="1" applyBorder="1" applyAlignment="1">
      <alignment horizontal="right"/>
    </xf>
    <xf numFmtId="0" fontId="19" fillId="0" borderId="1" xfId="1" applyFont="1" applyBorder="1" applyAlignment="1">
      <alignment horizontal="right" vertical="top"/>
    </xf>
    <xf numFmtId="0" fontId="26" fillId="7" borderId="1" xfId="1" applyFont="1" applyFill="1" applyBorder="1" applyAlignment="1">
      <alignment horizontal="right" vertical="top"/>
    </xf>
    <xf numFmtId="0" fontId="26" fillId="2" borderId="1" xfId="1" applyFont="1" applyFill="1" applyBorder="1" applyAlignment="1">
      <alignment horizontal="right" vertical="top"/>
    </xf>
    <xf numFmtId="0" fontId="27" fillId="2" borderId="1" xfId="1" applyFont="1" applyFill="1" applyBorder="1" applyAlignment="1">
      <alignment horizontal="right" vertical="top"/>
    </xf>
    <xf numFmtId="0" fontId="19" fillId="2" borderId="1" xfId="1" applyFont="1" applyFill="1" applyBorder="1" applyAlignment="1">
      <alignment horizontal="right" wrapText="1"/>
    </xf>
    <xf numFmtId="0" fontId="9" fillId="8" borderId="1" xfId="1" applyFont="1" applyFill="1" applyBorder="1" applyAlignment="1">
      <alignment horizontal="right" vertical="top"/>
    </xf>
    <xf numFmtId="0" fontId="19" fillId="8" borderId="1" xfId="1" applyFont="1" applyFill="1" applyBorder="1" applyAlignment="1">
      <alignment horizontal="right" vertical="top"/>
    </xf>
    <xf numFmtId="0" fontId="27" fillId="0" borderId="1" xfId="1" applyFont="1" applyBorder="1" applyAlignment="1">
      <alignment horizontal="right" vertical="top"/>
    </xf>
    <xf numFmtId="0" fontId="9" fillId="2" borderId="7" xfId="0" applyFont="1" applyFill="1" applyBorder="1" applyAlignment="1">
      <alignment horizontal="right"/>
    </xf>
    <xf numFmtId="14" fontId="9" fillId="2" borderId="1" xfId="1" applyNumberFormat="1" applyFont="1" applyFill="1" applyBorder="1" applyAlignment="1">
      <alignment horizontal="right"/>
    </xf>
    <xf numFmtId="0" fontId="19" fillId="0" borderId="1" xfId="1" applyFont="1" applyFill="1" applyBorder="1" applyAlignment="1">
      <alignment horizontal="right" vertical="top"/>
    </xf>
    <xf numFmtId="0" fontId="4" fillId="2" borderId="1" xfId="0" applyNumberFormat="1" applyFont="1" applyFill="1" applyBorder="1" applyAlignment="1">
      <alignment horizontal="center" wrapText="1"/>
    </xf>
    <xf numFmtId="0" fontId="19" fillId="0" borderId="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center"/>
    </xf>
    <xf numFmtId="0" fontId="4" fillId="0" borderId="0" xfId="0" applyNumberFormat="1" applyFont="1" applyFill="1" applyAlignment="1">
      <alignment horizontal="center"/>
    </xf>
    <xf numFmtId="0" fontId="4" fillId="0" borderId="1" xfId="0" applyFont="1" applyBorder="1" applyAlignment="1">
      <alignment horizontal="center"/>
    </xf>
    <xf numFmtId="1" fontId="20" fillId="0" borderId="1" xfId="0" applyNumberFormat="1" applyFont="1" applyFill="1" applyBorder="1"/>
    <xf numFmtId="0" fontId="20" fillId="0" borderId="0" xfId="0" applyFont="1" applyFill="1"/>
    <xf numFmtId="0" fontId="0" fillId="0" borderId="0" xfId="0" applyFill="1"/>
    <xf numFmtId="0" fontId="0" fillId="0" borderId="1" xfId="0" applyBorder="1"/>
    <xf numFmtId="0" fontId="4" fillId="0" borderId="0" xfId="1" applyFill="1"/>
    <xf numFmtId="0" fontId="4" fillId="0" borderId="1" xfId="1" applyFill="1" applyBorder="1"/>
    <xf numFmtId="0" fontId="2" fillId="0" borderId="1" xfId="0" applyFont="1" applyBorder="1" applyAlignment="1"/>
    <xf numFmtId="0" fontId="2" fillId="0" borderId="1" xfId="0" applyFont="1" applyFill="1" applyBorder="1" applyAlignment="1"/>
    <xf numFmtId="0" fontId="2" fillId="0" borderId="3" xfId="0" applyFont="1" applyBorder="1" applyAlignment="1"/>
    <xf numFmtId="0" fontId="0" fillId="0" borderId="0" xfId="0" applyFont="1" applyAlignment="1"/>
    <xf numFmtId="0" fontId="19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21" fillId="0" borderId="1" xfId="0" applyFont="1" applyBorder="1" applyAlignment="1">
      <alignment horizontal="center" wrapText="1"/>
    </xf>
    <xf numFmtId="0" fontId="4" fillId="0" borderId="3" xfId="0" applyFont="1" applyBorder="1" applyAlignment="1">
      <alignment horizontal="center"/>
    </xf>
    <xf numFmtId="0" fontId="0" fillId="2" borderId="1" xfId="0" applyNumberFormat="1" applyFont="1" applyFill="1" applyBorder="1" applyAlignment="1">
      <alignment horizontal="center" wrapText="1"/>
    </xf>
    <xf numFmtId="0" fontId="0" fillId="0" borderId="1" xfId="0" applyNumberFormat="1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 wrapText="1"/>
    </xf>
    <xf numFmtId="0" fontId="4" fillId="0" borderId="0" xfId="0" applyFont="1" applyBorder="1" applyAlignment="1">
      <alignment horizontal="center"/>
    </xf>
    <xf numFmtId="0" fontId="0" fillId="0" borderId="1" xfId="0" applyFont="1" applyBorder="1" applyAlignment="1"/>
    <xf numFmtId="1" fontId="0" fillId="0" borderId="1" xfId="0" applyNumberFormat="1" applyFont="1" applyBorder="1" applyAlignment="1"/>
    <xf numFmtId="0" fontId="22" fillId="0" borderId="1" xfId="0" applyFont="1" applyFill="1" applyBorder="1" applyAlignment="1">
      <alignment horizontal="right"/>
    </xf>
    <xf numFmtId="0" fontId="23" fillId="0" borderId="1" xfId="0" applyFont="1" applyFill="1" applyBorder="1" applyAlignment="1">
      <alignment horizontal="right"/>
    </xf>
    <xf numFmtId="0" fontId="20" fillId="0" borderId="1" xfId="0" applyFont="1" applyFill="1" applyBorder="1" applyAlignment="1">
      <alignment horizontal="right"/>
    </xf>
    <xf numFmtId="0" fontId="4" fillId="0" borderId="1" xfId="1" applyFont="1" applyBorder="1" applyAlignment="1"/>
    <xf numFmtId="0" fontId="4" fillId="0" borderId="1" xfId="1" applyFont="1" applyFill="1" applyBorder="1" applyAlignment="1"/>
    <xf numFmtId="0" fontId="0" fillId="0" borderId="7" xfId="0" applyFont="1" applyBorder="1" applyAlignment="1"/>
    <xf numFmtId="0" fontId="0" fillId="0" borderId="0" xfId="0" applyFont="1" applyFill="1" applyAlignment="1"/>
    <xf numFmtId="0" fontId="0" fillId="0" borderId="1" xfId="0" applyFont="1" applyFill="1" applyBorder="1" applyAlignment="1"/>
    <xf numFmtId="1" fontId="0" fillId="6" borderId="1" xfId="0" applyNumberFormat="1" applyFont="1" applyFill="1" applyBorder="1" applyAlignment="1"/>
    <xf numFmtId="1" fontId="0" fillId="0" borderId="1" xfId="0" applyNumberFormat="1" applyFill="1" applyBorder="1"/>
    <xf numFmtId="1" fontId="1" fillId="0" borderId="1" xfId="0" applyNumberFormat="1" applyFont="1" applyFill="1" applyBorder="1"/>
    <xf numFmtId="0" fontId="19" fillId="0" borderId="4" xfId="0" applyFon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64" fontId="9" fillId="2" borderId="1" xfId="0" applyNumberFormat="1" applyFont="1" applyFill="1" applyBorder="1" applyAlignment="1">
      <alignment horizontal="left" vertical="top"/>
    </xf>
    <xf numFmtId="0" fontId="28" fillId="2" borderId="1" xfId="1" applyFont="1" applyFill="1" applyBorder="1" applyAlignment="1">
      <alignment horizontal="center" vertical="top"/>
    </xf>
    <xf numFmtId="0" fontId="9" fillId="2" borderId="1" xfId="0" applyFont="1" applyFill="1" applyBorder="1" applyAlignment="1">
      <alignment horizontal="left" vertical="top" wrapText="1"/>
    </xf>
    <xf numFmtId="3" fontId="28" fillId="2" borderId="1" xfId="1" applyNumberFormat="1" applyFont="1" applyFill="1" applyBorder="1" applyAlignment="1">
      <alignment horizontal="center" vertical="top"/>
    </xf>
    <xf numFmtId="0" fontId="29" fillId="2" borderId="1" xfId="1" applyFont="1" applyFill="1" applyBorder="1" applyAlignment="1">
      <alignment horizontal="center"/>
    </xf>
    <xf numFmtId="164" fontId="9" fillId="0" borderId="1" xfId="0" applyNumberFormat="1" applyFont="1" applyBorder="1" applyAlignment="1">
      <alignment horizontal="left" vertical="top"/>
    </xf>
    <xf numFmtId="0" fontId="9" fillId="0" borderId="1" xfId="0" applyFont="1" applyBorder="1" applyAlignment="1">
      <alignment horizontal="left" vertical="top" wrapText="1"/>
    </xf>
    <xf numFmtId="14" fontId="29" fillId="2" borderId="1" xfId="1" applyNumberFormat="1" applyFont="1" applyFill="1" applyBorder="1" applyAlignment="1">
      <alignment horizontal="center"/>
    </xf>
    <xf numFmtId="0" fontId="9" fillId="0" borderId="1" xfId="0" applyFont="1" applyBorder="1" applyAlignment="1">
      <alignment horizontal="left"/>
    </xf>
    <xf numFmtId="14" fontId="30" fillId="2" borderId="1" xfId="1" applyNumberFormat="1" applyFont="1" applyFill="1" applyBorder="1" applyAlignment="1">
      <alignment horizontal="center" vertical="top"/>
    </xf>
    <xf numFmtId="14" fontId="31" fillId="2" borderId="1" xfId="0" applyNumberFormat="1" applyFont="1" applyFill="1" applyBorder="1" applyAlignment="1">
      <alignment horizontal="center"/>
    </xf>
    <xf numFmtId="0" fontId="30" fillId="2" borderId="1" xfId="1" applyFont="1" applyFill="1" applyBorder="1" applyAlignment="1">
      <alignment horizontal="center" vertical="center"/>
    </xf>
    <xf numFmtId="14" fontId="30" fillId="2" borderId="1" xfId="1" applyNumberFormat="1" applyFont="1" applyFill="1" applyBorder="1" applyAlignment="1">
      <alignment horizontal="center" vertical="center"/>
    </xf>
    <xf numFmtId="14" fontId="28" fillId="2" borderId="1" xfId="1" applyNumberFormat="1" applyFont="1" applyFill="1" applyBorder="1" applyAlignment="1">
      <alignment horizontal="center" vertical="top"/>
    </xf>
    <xf numFmtId="14" fontId="9" fillId="2" borderId="1" xfId="0" applyNumberFormat="1" applyFont="1" applyFill="1" applyBorder="1" applyAlignment="1">
      <alignment horizontal="left" vertical="top"/>
    </xf>
    <xf numFmtId="14" fontId="9" fillId="0" borderId="1" xfId="0" applyNumberFormat="1" applyFont="1" applyBorder="1" applyAlignment="1">
      <alignment horizontal="left"/>
    </xf>
    <xf numFmtId="14" fontId="9" fillId="2" borderId="1" xfId="0" applyNumberFormat="1" applyFont="1" applyFill="1" applyBorder="1" applyAlignment="1">
      <alignment horizontal="left"/>
    </xf>
    <xf numFmtId="0" fontId="9" fillId="2" borderId="1" xfId="0" applyFont="1" applyFill="1" applyBorder="1" applyAlignment="1">
      <alignment horizontal="left"/>
    </xf>
    <xf numFmtId="0" fontId="30" fillId="2" borderId="1" xfId="1" applyFont="1" applyFill="1" applyBorder="1" applyAlignment="1">
      <alignment horizontal="center" vertical="top"/>
    </xf>
    <xf numFmtId="0" fontId="30" fillId="2" borderId="1" xfId="1" applyFont="1" applyFill="1" applyBorder="1" applyAlignment="1">
      <alignment horizontal="center"/>
    </xf>
    <xf numFmtId="14" fontId="33" fillId="2" borderId="1" xfId="1" applyNumberFormat="1" applyFont="1" applyFill="1" applyBorder="1" applyAlignment="1">
      <alignment horizontal="center"/>
    </xf>
    <xf numFmtId="0" fontId="33" fillId="2" borderId="1" xfId="1" applyFont="1" applyFill="1" applyBorder="1" applyAlignment="1">
      <alignment horizontal="center"/>
    </xf>
    <xf numFmtId="14" fontId="31" fillId="2" borderId="1" xfId="1" applyNumberFormat="1" applyFont="1" applyFill="1" applyBorder="1" applyAlignment="1">
      <alignment horizontal="center"/>
    </xf>
    <xf numFmtId="0" fontId="31" fillId="2" borderId="1" xfId="1" applyFont="1" applyFill="1" applyBorder="1" applyAlignment="1">
      <alignment horizontal="center" vertical="top"/>
    </xf>
    <xf numFmtId="0" fontId="31" fillId="2" borderId="1" xfId="1" applyFont="1" applyFill="1" applyBorder="1" applyAlignment="1">
      <alignment horizontal="center"/>
    </xf>
    <xf numFmtId="14" fontId="0" fillId="2" borderId="1" xfId="0" applyNumberFormat="1" applyFill="1" applyBorder="1" applyAlignment="1">
      <alignment horizontal="center"/>
    </xf>
    <xf numFmtId="14" fontId="9" fillId="0" borderId="1" xfId="0" applyNumberFormat="1" applyFont="1" applyBorder="1" applyAlignment="1">
      <alignment horizontal="left" vertical="top"/>
    </xf>
    <xf numFmtId="14" fontId="30" fillId="2" borderId="1" xfId="1" applyNumberFormat="1" applyFont="1" applyFill="1" applyBorder="1" applyAlignment="1">
      <alignment horizontal="center"/>
    </xf>
    <xf numFmtId="14" fontId="4" fillId="2" borderId="1" xfId="1" applyNumberForma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4" fillId="0" borderId="1" xfId="0" applyFont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9" fillId="0" borderId="1" xfId="0" applyFont="1" applyFill="1" applyBorder="1"/>
    <xf numFmtId="0" fontId="9" fillId="0" borderId="1" xfId="0" applyFont="1" applyFill="1" applyBorder="1" applyAlignment="1">
      <alignment horizontal="right"/>
    </xf>
    <xf numFmtId="1" fontId="35" fillId="0" borderId="1" xfId="0" applyNumberFormat="1" applyFont="1" applyBorder="1"/>
    <xf numFmtId="1" fontId="9" fillId="0" borderId="1" xfId="0" applyNumberFormat="1" applyFont="1" applyFill="1" applyBorder="1"/>
    <xf numFmtId="14" fontId="9" fillId="0" borderId="1" xfId="0" applyNumberFormat="1" applyFont="1" applyFill="1" applyBorder="1" applyAlignment="1">
      <alignment horizontal="right"/>
    </xf>
    <xf numFmtId="0" fontId="19" fillId="0" borderId="1" xfId="1" applyFont="1" applyFill="1" applyBorder="1" applyAlignment="1">
      <alignment horizontal="right"/>
    </xf>
    <xf numFmtId="1" fontId="0" fillId="0" borderId="1" xfId="0" applyNumberForma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0" fillId="0" borderId="1" xfId="1" applyFont="1" applyFill="1" applyBorder="1" applyAlignment="1">
      <alignment horizontal="right" vertical="top"/>
    </xf>
    <xf numFmtId="0" fontId="32" fillId="0" borderId="1" xfId="1" applyFont="1" applyFill="1" applyBorder="1" applyAlignment="1">
      <alignment horizontal="right" vertical="top"/>
    </xf>
    <xf numFmtId="0" fontId="10" fillId="0" borderId="1" xfId="1" applyFont="1" applyFill="1" applyBorder="1" applyAlignment="1">
      <alignment horizontal="center" vertical="top"/>
    </xf>
    <xf numFmtId="0" fontId="32" fillId="0" borderId="1" xfId="1" applyFont="1" applyFill="1" applyBorder="1" applyAlignment="1">
      <alignment horizontal="center" vertical="top"/>
    </xf>
    <xf numFmtId="0" fontId="4" fillId="0" borderId="1" xfId="0" applyNumberFormat="1" applyFont="1" applyFill="1" applyBorder="1" applyAlignment="1">
      <alignment horizontal="center" wrapText="1"/>
    </xf>
    <xf numFmtId="0" fontId="28" fillId="0" borderId="1" xfId="1" applyFont="1" applyFill="1" applyBorder="1" applyAlignment="1">
      <alignment horizontal="center" vertical="top"/>
    </xf>
    <xf numFmtId="0" fontId="31" fillId="0" borderId="1" xfId="0" applyFont="1" applyFill="1" applyBorder="1" applyAlignment="1">
      <alignment horizontal="center" vertical="top"/>
    </xf>
    <xf numFmtId="0" fontId="30" fillId="0" borderId="1" xfId="0" applyFont="1" applyFill="1" applyBorder="1" applyAlignment="1">
      <alignment horizontal="center" vertical="top"/>
    </xf>
    <xf numFmtId="0" fontId="30" fillId="0" borderId="1" xfId="1" applyFont="1" applyFill="1" applyBorder="1" applyAlignment="1">
      <alignment horizontal="center" vertical="center"/>
    </xf>
    <xf numFmtId="0" fontId="33" fillId="0" borderId="1" xfId="1" applyFont="1" applyFill="1" applyBorder="1" applyAlignment="1">
      <alignment horizontal="center"/>
    </xf>
    <xf numFmtId="0" fontId="31" fillId="0" borderId="1" xfId="1" applyFont="1" applyFill="1" applyBorder="1" applyAlignment="1">
      <alignment horizontal="center" wrapText="1"/>
    </xf>
    <xf numFmtId="0" fontId="4" fillId="0" borderId="1" xfId="1" applyFill="1" applyBorder="1" applyAlignment="1">
      <alignment horizontal="center"/>
    </xf>
    <xf numFmtId="0" fontId="14" fillId="0" borderId="1" xfId="1" applyFont="1" applyFill="1" applyBorder="1" applyAlignment="1">
      <alignment horizontal="center" vertical="center"/>
    </xf>
    <xf numFmtId="0" fontId="30" fillId="0" borderId="1" xfId="1" applyFont="1" applyFill="1" applyBorder="1" applyAlignment="1">
      <alignment horizontal="center"/>
    </xf>
    <xf numFmtId="0" fontId="30" fillId="0" borderId="1" xfId="1" applyFont="1" applyFill="1" applyBorder="1" applyAlignment="1">
      <alignment horizontal="center" wrapText="1"/>
    </xf>
    <xf numFmtId="0" fontId="8" fillId="0" borderId="1" xfId="1" applyFont="1" applyFill="1" applyBorder="1" applyAlignment="1">
      <alignment horizontal="center"/>
    </xf>
    <xf numFmtId="0" fontId="0" fillId="0" borderId="0" xfId="0" applyFont="1" applyFill="1" applyAlignment="1">
      <alignment horizontal="center"/>
    </xf>
    <xf numFmtId="14" fontId="9" fillId="0" borderId="1" xfId="0" applyNumberFormat="1" applyFont="1" applyFill="1" applyBorder="1" applyAlignment="1">
      <alignment horizontal="left"/>
    </xf>
    <xf numFmtId="0" fontId="0" fillId="0" borderId="1" xfId="0" applyFill="1" applyBorder="1"/>
    <xf numFmtId="0" fontId="9" fillId="0" borderId="1" xfId="0" applyFont="1" applyFill="1" applyBorder="1" applyAlignment="1">
      <alignment horizontal="left"/>
    </xf>
    <xf numFmtId="3" fontId="28" fillId="0" borderId="1" xfId="1" applyNumberFormat="1" applyFont="1" applyFill="1" applyBorder="1" applyAlignment="1">
      <alignment horizontal="center" vertical="top"/>
    </xf>
    <xf numFmtId="0" fontId="30" fillId="0" borderId="1" xfId="1" applyFont="1" applyFill="1" applyBorder="1" applyAlignment="1">
      <alignment horizontal="center" vertical="top"/>
    </xf>
    <xf numFmtId="0" fontId="11" fillId="0" borderId="1" xfId="1" applyFont="1" applyFill="1" applyBorder="1" applyAlignment="1">
      <alignment horizontal="right" vertical="top"/>
    </xf>
    <xf numFmtId="0" fontId="13" fillId="0" borderId="1" xfId="1" applyFont="1" applyFill="1" applyBorder="1" applyAlignment="1">
      <alignment horizontal="right" vertical="top"/>
    </xf>
    <xf numFmtId="0" fontId="12" fillId="0" borderId="1" xfId="1" applyFont="1" applyFill="1" applyBorder="1" applyAlignment="1">
      <alignment horizontal="right" vertical="top"/>
    </xf>
    <xf numFmtId="0" fontId="15" fillId="0" borderId="1" xfId="1" applyFont="1" applyFill="1" applyBorder="1" applyAlignment="1">
      <alignment horizontal="right" vertical="top"/>
    </xf>
    <xf numFmtId="0" fontId="4" fillId="0" borderId="1" xfId="0" applyNumberFormat="1" applyFont="1" applyFill="1" applyBorder="1" applyAlignment="1">
      <alignment horizontal="center"/>
    </xf>
    <xf numFmtId="0" fontId="31" fillId="0" borderId="1" xfId="1" applyFont="1" applyFill="1" applyBorder="1" applyAlignment="1">
      <alignment horizontal="center" vertical="top" wrapText="1"/>
    </xf>
    <xf numFmtId="0" fontId="34" fillId="0" borderId="1" xfId="1" applyFont="1" applyFill="1" applyBorder="1" applyAlignment="1">
      <alignment horizontal="center" wrapText="1"/>
    </xf>
    <xf numFmtId="0" fontId="4" fillId="0" borderId="1" xfId="1" applyFill="1" applyBorder="1" applyAlignment="1">
      <alignment horizontal="center" vertical="top"/>
    </xf>
    <xf numFmtId="0" fontId="8" fillId="0" borderId="1" xfId="1" applyFont="1" applyFill="1" applyBorder="1" applyAlignment="1">
      <alignment horizontal="center" vertical="top"/>
    </xf>
    <xf numFmtId="1" fontId="0" fillId="0" borderId="1" xfId="0" applyNumberFormat="1" applyFont="1" applyFill="1" applyBorder="1" applyAlignment="1">
      <alignment horizontal="center"/>
    </xf>
    <xf numFmtId="166" fontId="4" fillId="0" borderId="1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6" fontId="4" fillId="2" borderId="1" xfId="0" applyNumberFormat="1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/>
    </xf>
    <xf numFmtId="166" fontId="4" fillId="0" borderId="1" xfId="0" applyNumberFormat="1" applyFont="1" applyFill="1" applyBorder="1" applyAlignment="1">
      <alignment horizontal="center" vertical="center"/>
    </xf>
    <xf numFmtId="166" fontId="4" fillId="0" borderId="1" xfId="0" applyNumberFormat="1" applyFont="1" applyFill="1" applyBorder="1" applyAlignment="1">
      <alignment horizontal="center" vertical="center" wrapText="1"/>
    </xf>
    <xf numFmtId="3" fontId="4" fillId="0" borderId="1" xfId="1" applyNumberFormat="1" applyFont="1" applyFill="1" applyBorder="1" applyAlignment="1">
      <alignment horizontal="center" vertical="top"/>
    </xf>
    <xf numFmtId="166" fontId="1" fillId="2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165" fontId="4" fillId="0" borderId="1" xfId="0" applyNumberFormat="1" applyFont="1" applyBorder="1" applyAlignment="1">
      <alignment horizontal="center" vertical="top"/>
    </xf>
    <xf numFmtId="2" fontId="2" fillId="0" borderId="1" xfId="0" applyNumberFormat="1" applyFont="1" applyFill="1" applyBorder="1"/>
    <xf numFmtId="2" fontId="1" fillId="0" borderId="1" xfId="0" applyNumberFormat="1" applyFont="1" applyFill="1" applyBorder="1" applyAlignment="1">
      <alignment horizontal="center" vertical="center" wrapText="1"/>
    </xf>
    <xf numFmtId="2" fontId="4" fillId="0" borderId="1" xfId="0" applyNumberFormat="1" applyFont="1" applyFill="1" applyBorder="1" applyAlignment="1">
      <alignment horizontal="center" vertical="center"/>
    </xf>
    <xf numFmtId="2" fontId="0" fillId="0" borderId="0" xfId="0" applyNumberFormat="1" applyFont="1" applyFill="1"/>
    <xf numFmtId="166" fontId="2" fillId="0" borderId="1" xfId="0" applyNumberFormat="1" applyFont="1" applyFill="1" applyBorder="1"/>
    <xf numFmtId="166" fontId="1" fillId="0" borderId="1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/>
    <xf numFmtId="0" fontId="25" fillId="0" borderId="1" xfId="1" applyFont="1" applyFill="1" applyBorder="1"/>
    <xf numFmtId="0" fontId="19" fillId="0" borderId="2" xfId="0" applyNumberFormat="1" applyFont="1" applyFill="1" applyBorder="1" applyAlignment="1">
      <alignment horizontal="center" vertical="center" wrapText="1"/>
    </xf>
    <xf numFmtId="0" fontId="19" fillId="0" borderId="3" xfId="0" applyNumberFormat="1" applyFont="1" applyFill="1" applyBorder="1" applyAlignment="1">
      <alignment horizontal="center" vertical="center" wrapText="1"/>
    </xf>
    <xf numFmtId="0" fontId="19" fillId="0" borderId="1" xfId="0" applyFont="1" applyFill="1" applyBorder="1" applyAlignment="1">
      <alignment horizontal="center" vertical="center" wrapText="1"/>
    </xf>
    <xf numFmtId="0" fontId="19" fillId="0" borderId="5" xfId="0" applyNumberFormat="1" applyFont="1" applyFill="1" applyBorder="1" applyAlignment="1">
      <alignment horizontal="center" vertical="center" wrapText="1"/>
    </xf>
    <xf numFmtId="0" fontId="19" fillId="0" borderId="6" xfId="0" applyNumberFormat="1" applyFont="1" applyFill="1" applyBorder="1" applyAlignment="1">
      <alignment horizontal="center" vertical="center" wrapText="1"/>
    </xf>
    <xf numFmtId="0" fontId="19" fillId="0" borderId="4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22" fillId="0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0" fontId="19" fillId="0" borderId="1" xfId="0" applyFont="1" applyBorder="1" applyAlignment="1">
      <alignment horizontal="center" wrapText="1"/>
    </xf>
    <xf numFmtId="0" fontId="0" fillId="0" borderId="3" xfId="0" applyFont="1" applyBorder="1" applyAlignment="1"/>
    <xf numFmtId="0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2 2 2" xfId="1"/>
  </cellStyles>
  <dxfs count="4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rgb="FF800080"/>
        <name val="Calibri"/>
        <scheme val="minor"/>
      </font>
      <fill>
        <patternFill patternType="solid">
          <fgColor rgb="FFFF99CC"/>
          <bgColor rgb="FFFF99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78"/>
  <sheetViews>
    <sheetView topLeftCell="F1" zoomScale="90" zoomScaleNormal="90" workbookViewId="0">
      <selection activeCell="U1" sqref="U1"/>
    </sheetView>
  </sheetViews>
  <sheetFormatPr defaultColWidth="8.85546875" defaultRowHeight="15"/>
  <cols>
    <col min="1" max="1" width="9" style="334" bestFit="1" customWidth="1"/>
    <col min="2" max="2" width="8.85546875" style="89"/>
    <col min="3" max="3" width="13.7109375" style="89" customWidth="1"/>
    <col min="4" max="4" width="20.5703125" style="89" customWidth="1"/>
    <col min="5" max="5" width="16" style="89" customWidth="1"/>
    <col min="6" max="6" width="26.7109375" style="89" customWidth="1"/>
    <col min="7" max="12" width="9" style="89" bestFit="1" customWidth="1"/>
    <col min="13" max="13" width="11.28515625" style="89" customWidth="1"/>
    <col min="14" max="14" width="9" style="89" bestFit="1" customWidth="1"/>
    <col min="15" max="15" width="11.5703125" style="89" bestFit="1" customWidth="1"/>
    <col min="16" max="16" width="15.28515625" style="89" customWidth="1"/>
    <col min="17" max="17" width="13.42578125" style="89" customWidth="1"/>
    <col min="18" max="18" width="13.140625" style="89" customWidth="1"/>
    <col min="19" max="19" width="16.7109375" style="89" customWidth="1"/>
    <col min="20" max="20" width="14.28515625" style="89" customWidth="1"/>
    <col min="21" max="21" width="19.85546875" style="334" customWidth="1"/>
    <col min="22" max="22" width="12.28515625" style="334" customWidth="1"/>
    <col min="23" max="24" width="8.85546875" style="89"/>
    <col min="25" max="25" width="15.7109375" style="89" customWidth="1"/>
    <col min="26" max="26" width="15" style="89" customWidth="1"/>
    <col min="27" max="27" width="8.85546875" style="89"/>
    <col min="28" max="28" width="14.28515625" style="89" customWidth="1"/>
    <col min="29" max="29" width="14.28515625" style="334" customWidth="1"/>
    <col min="30" max="30" width="17.140625" style="89" customWidth="1"/>
    <col min="31" max="31" width="26.85546875" style="89" customWidth="1"/>
    <col min="32" max="32" width="22.5703125" style="89" customWidth="1"/>
    <col min="33" max="16384" width="8.85546875" style="89"/>
  </cols>
  <sheetData>
    <row r="1" spans="1:32" ht="24" customHeight="1">
      <c r="A1" s="240"/>
      <c r="B1" s="239"/>
      <c r="C1" s="239"/>
      <c r="D1" s="239"/>
      <c r="E1" s="239"/>
      <c r="F1" s="239"/>
      <c r="G1" s="239"/>
      <c r="H1" s="239"/>
      <c r="I1" s="239"/>
      <c r="J1" s="239"/>
      <c r="K1" s="239"/>
      <c r="L1" s="239"/>
      <c r="M1" s="239"/>
      <c r="N1" s="239"/>
      <c r="O1" s="239"/>
      <c r="P1" s="240"/>
      <c r="Q1" s="240"/>
      <c r="R1" s="237" t="s">
        <v>0</v>
      </c>
      <c r="S1" s="237" t="s">
        <v>0</v>
      </c>
      <c r="T1" s="237" t="s">
        <v>1</v>
      </c>
      <c r="U1" s="322" t="s">
        <v>2</v>
      </c>
      <c r="V1" s="322" t="s">
        <v>2</v>
      </c>
      <c r="W1" s="237" t="s">
        <v>2</v>
      </c>
      <c r="X1" s="237" t="s">
        <v>2</v>
      </c>
      <c r="Y1" s="237" t="s">
        <v>2</v>
      </c>
      <c r="Z1" s="237" t="s">
        <v>2</v>
      </c>
      <c r="AA1" s="53" t="s">
        <v>3</v>
      </c>
      <c r="AB1" s="53" t="s">
        <v>3</v>
      </c>
      <c r="AC1" s="344" t="s">
        <v>3</v>
      </c>
      <c r="AD1" s="53" t="s">
        <v>3</v>
      </c>
      <c r="AE1" s="53" t="s">
        <v>3</v>
      </c>
      <c r="AF1" s="53" t="s">
        <v>3</v>
      </c>
    </row>
    <row r="2" spans="1:32" ht="105">
      <c r="A2" s="4" t="s">
        <v>4</v>
      </c>
      <c r="B2" s="238" t="s">
        <v>5</v>
      </c>
      <c r="C2" s="238" t="s">
        <v>6</v>
      </c>
      <c r="D2" s="238" t="s">
        <v>7</v>
      </c>
      <c r="E2" s="238" t="s">
        <v>8</v>
      </c>
      <c r="F2" s="238" t="s">
        <v>9</v>
      </c>
      <c r="G2" s="238" t="s">
        <v>10</v>
      </c>
      <c r="H2" s="238" t="s">
        <v>11</v>
      </c>
      <c r="I2" s="238" t="s">
        <v>12</v>
      </c>
      <c r="J2" s="238" t="s">
        <v>13</v>
      </c>
      <c r="K2" s="238" t="s">
        <v>14</v>
      </c>
      <c r="L2" s="372" t="s">
        <v>15</v>
      </c>
      <c r="M2" s="373"/>
      <c r="N2" s="372" t="s">
        <v>16</v>
      </c>
      <c r="O2" s="373"/>
      <c r="P2" s="238" t="s">
        <v>17</v>
      </c>
      <c r="Q2" s="238" t="s">
        <v>18</v>
      </c>
      <c r="R2" s="152" t="s">
        <v>19</v>
      </c>
      <c r="S2" s="152" t="s">
        <v>20</v>
      </c>
      <c r="T2" s="152" t="s">
        <v>21</v>
      </c>
      <c r="U2" s="308" t="s">
        <v>22</v>
      </c>
      <c r="V2" s="307" t="s">
        <v>23</v>
      </c>
      <c r="W2" s="153" t="s">
        <v>24</v>
      </c>
      <c r="X2" s="152" t="s">
        <v>25</v>
      </c>
      <c r="Y2" s="152" t="s">
        <v>26</v>
      </c>
      <c r="Z2" s="153" t="s">
        <v>27</v>
      </c>
      <c r="AA2" s="153" t="s">
        <v>28</v>
      </c>
      <c r="AB2" s="153" t="s">
        <v>29</v>
      </c>
      <c r="AC2" s="308" t="s">
        <v>30</v>
      </c>
      <c r="AD2" s="153" t="s">
        <v>31</v>
      </c>
      <c r="AE2" s="374" t="s">
        <v>32</v>
      </c>
      <c r="AF2" s="374"/>
    </row>
    <row r="3" spans="1:32">
      <c r="A3" s="4"/>
      <c r="B3" s="74"/>
      <c r="C3" s="74"/>
      <c r="D3" s="74"/>
      <c r="E3" s="75"/>
      <c r="F3" s="74"/>
      <c r="G3" s="74" t="s">
        <v>2398</v>
      </c>
      <c r="H3" s="74" t="s">
        <v>2399</v>
      </c>
      <c r="I3" s="74" t="s">
        <v>2399</v>
      </c>
      <c r="J3" s="74" t="s">
        <v>2399</v>
      </c>
      <c r="K3" s="74" t="s">
        <v>2399</v>
      </c>
      <c r="L3" s="74" t="s">
        <v>2399</v>
      </c>
      <c r="M3" s="74" t="s">
        <v>2400</v>
      </c>
      <c r="N3" s="74" t="s">
        <v>2399</v>
      </c>
      <c r="O3" s="74" t="s">
        <v>2400</v>
      </c>
      <c r="P3" s="74" t="s">
        <v>2398</v>
      </c>
      <c r="Q3" s="74" t="s">
        <v>2398</v>
      </c>
      <c r="R3" s="74" t="s">
        <v>2401</v>
      </c>
      <c r="S3" s="74" t="s">
        <v>2402</v>
      </c>
      <c r="T3" s="74" t="s">
        <v>2398</v>
      </c>
      <c r="U3" s="81" t="s">
        <v>2398</v>
      </c>
      <c r="V3" s="75" t="s">
        <v>2398</v>
      </c>
      <c r="W3" s="74" t="s">
        <v>2401</v>
      </c>
      <c r="X3" s="67" t="s">
        <v>2401</v>
      </c>
      <c r="Y3" s="67" t="s">
        <v>2401</v>
      </c>
      <c r="Z3" s="67" t="s">
        <v>2398</v>
      </c>
      <c r="AA3" s="67" t="s">
        <v>2401</v>
      </c>
      <c r="AB3" s="67" t="s">
        <v>2401</v>
      </c>
      <c r="AC3" s="81" t="s">
        <v>2398</v>
      </c>
      <c r="AD3" s="74" t="s">
        <v>2403</v>
      </c>
      <c r="AE3" s="67" t="s">
        <v>2404</v>
      </c>
      <c r="AF3" s="67" t="s">
        <v>2405</v>
      </c>
    </row>
    <row r="4" spans="1:32" ht="15.75">
      <c r="A4" s="318">
        <v>1</v>
      </c>
      <c r="B4" s="274" t="s">
        <v>33</v>
      </c>
      <c r="C4" s="316" t="s">
        <v>2406</v>
      </c>
      <c r="D4" s="271" t="s">
        <v>608</v>
      </c>
      <c r="E4" s="10" t="s">
        <v>1293</v>
      </c>
      <c r="F4" s="10" t="s">
        <v>2407</v>
      </c>
      <c r="G4" s="10">
        <v>243</v>
      </c>
      <c r="H4" s="10">
        <v>75</v>
      </c>
      <c r="I4" s="10">
        <v>374</v>
      </c>
      <c r="J4" s="10">
        <v>199</v>
      </c>
      <c r="K4" s="10">
        <v>175</v>
      </c>
      <c r="L4" s="10">
        <v>0</v>
      </c>
      <c r="M4" s="10">
        <f>L4/I4*100</f>
        <v>0</v>
      </c>
      <c r="N4" s="10">
        <v>360</v>
      </c>
      <c r="O4" s="10">
        <f>(N4/I4)*100</f>
        <v>96.256684491978604</v>
      </c>
      <c r="P4" s="10">
        <v>0</v>
      </c>
      <c r="Q4" s="10">
        <v>0</v>
      </c>
      <c r="R4" s="275" t="s">
        <v>1493</v>
      </c>
      <c r="S4" s="275"/>
      <c r="T4" s="276"/>
      <c r="U4" s="323"/>
      <c r="V4" s="336"/>
      <c r="W4" s="245"/>
      <c r="X4" s="245"/>
      <c r="Y4" s="245"/>
      <c r="Z4" s="245"/>
      <c r="AA4" s="245"/>
      <c r="AB4" s="278"/>
      <c r="AC4" s="323">
        <v>2</v>
      </c>
      <c r="AD4" s="279"/>
      <c r="AE4" s="275"/>
      <c r="AF4" s="275"/>
    </row>
    <row r="5" spans="1:32" ht="15.75">
      <c r="A5" s="318">
        <v>2</v>
      </c>
      <c r="B5" s="274" t="s">
        <v>33</v>
      </c>
      <c r="C5" s="316" t="s">
        <v>2406</v>
      </c>
      <c r="D5" s="271" t="s">
        <v>608</v>
      </c>
      <c r="E5" s="10" t="s">
        <v>2408</v>
      </c>
      <c r="F5" s="10" t="s">
        <v>2409</v>
      </c>
      <c r="G5" s="10">
        <v>340</v>
      </c>
      <c r="H5" s="10">
        <v>34</v>
      </c>
      <c r="I5" s="10">
        <v>173</v>
      </c>
      <c r="J5" s="10">
        <v>89</v>
      </c>
      <c r="K5" s="10">
        <v>84</v>
      </c>
      <c r="L5" s="10">
        <v>0</v>
      </c>
      <c r="M5" s="10">
        <f t="shared" ref="M5:M8" si="0">L5/I5*100</f>
        <v>0</v>
      </c>
      <c r="N5" s="10">
        <v>0</v>
      </c>
      <c r="O5" s="10">
        <f t="shared" ref="O5:O11" si="1">(N5/I5)*100</f>
        <v>0</v>
      </c>
      <c r="P5" s="10">
        <v>9</v>
      </c>
      <c r="Q5" s="10">
        <v>282</v>
      </c>
      <c r="R5" s="275" t="s">
        <v>1493</v>
      </c>
      <c r="S5" s="280"/>
      <c r="T5" s="281"/>
      <c r="U5" s="323"/>
      <c r="V5" s="336"/>
      <c r="W5" s="245"/>
      <c r="X5" s="245"/>
      <c r="Y5" s="245"/>
      <c r="Z5" s="245"/>
      <c r="AA5" s="245"/>
      <c r="AB5" s="282"/>
      <c r="AC5" s="323"/>
      <c r="AD5" s="277"/>
      <c r="AE5" s="275"/>
      <c r="AF5" s="275"/>
    </row>
    <row r="6" spans="1:32" ht="15.75">
      <c r="A6" s="318">
        <v>3</v>
      </c>
      <c r="B6" s="274" t="s">
        <v>33</v>
      </c>
      <c r="C6" s="316" t="s">
        <v>2406</v>
      </c>
      <c r="D6" s="271" t="s">
        <v>608</v>
      </c>
      <c r="E6" s="10" t="s">
        <v>608</v>
      </c>
      <c r="F6" s="10" t="s">
        <v>2410</v>
      </c>
      <c r="G6" s="10">
        <v>611</v>
      </c>
      <c r="H6" s="10">
        <v>756</v>
      </c>
      <c r="I6" s="10">
        <v>3917</v>
      </c>
      <c r="J6" s="10">
        <v>2001</v>
      </c>
      <c r="K6" s="10">
        <v>1916</v>
      </c>
      <c r="L6" s="10">
        <v>1367</v>
      </c>
      <c r="M6" s="10">
        <f t="shared" si="0"/>
        <v>34.899157518509064</v>
      </c>
      <c r="N6" s="10">
        <v>303</v>
      </c>
      <c r="O6" s="10">
        <f t="shared" si="1"/>
        <v>7.7355118713301003</v>
      </c>
      <c r="P6" s="10">
        <v>39</v>
      </c>
      <c r="Q6" s="10">
        <v>211</v>
      </c>
      <c r="R6" s="275" t="s">
        <v>39</v>
      </c>
      <c r="S6" s="283">
        <v>46249</v>
      </c>
      <c r="T6" s="284"/>
      <c r="U6" s="323">
        <v>45.05</v>
      </c>
      <c r="V6" s="336"/>
      <c r="W6" s="245"/>
      <c r="X6" s="245"/>
      <c r="Y6" s="245"/>
      <c r="Z6" s="245"/>
      <c r="AA6" s="245"/>
      <c r="AB6" s="284"/>
      <c r="AC6" s="323"/>
      <c r="AD6" s="279"/>
      <c r="AE6" s="275"/>
      <c r="AF6" s="275"/>
    </row>
    <row r="7" spans="1:32" ht="15.75">
      <c r="A7" s="318">
        <v>4</v>
      </c>
      <c r="B7" s="274" t="s">
        <v>33</v>
      </c>
      <c r="C7" s="316" t="s">
        <v>2406</v>
      </c>
      <c r="D7" s="271" t="s">
        <v>608</v>
      </c>
      <c r="E7" s="10" t="s">
        <v>370</v>
      </c>
      <c r="F7" s="10" t="s">
        <v>2411</v>
      </c>
      <c r="G7" s="10">
        <v>525</v>
      </c>
      <c r="H7" s="10">
        <v>143</v>
      </c>
      <c r="I7" s="10">
        <v>819</v>
      </c>
      <c r="J7" s="10">
        <v>404</v>
      </c>
      <c r="K7" s="10">
        <v>415</v>
      </c>
      <c r="L7" s="10">
        <v>9</v>
      </c>
      <c r="M7" s="10">
        <f t="shared" si="0"/>
        <v>1.098901098901099</v>
      </c>
      <c r="N7" s="10">
        <v>285</v>
      </c>
      <c r="O7" s="10">
        <f t="shared" si="1"/>
        <v>34.798534798534796</v>
      </c>
      <c r="P7" s="10">
        <v>32</v>
      </c>
      <c r="Q7" s="10">
        <v>242</v>
      </c>
      <c r="R7" s="275" t="s">
        <v>39</v>
      </c>
      <c r="S7" s="283">
        <v>46249</v>
      </c>
      <c r="T7" s="276"/>
      <c r="U7" s="323">
        <v>60.08</v>
      </c>
      <c r="V7" s="336"/>
      <c r="W7" s="245"/>
      <c r="X7" s="245"/>
      <c r="Y7" s="245"/>
      <c r="Z7" s="245"/>
      <c r="AA7" s="245"/>
      <c r="AB7" s="284"/>
      <c r="AC7" s="329">
        <v>12</v>
      </c>
      <c r="AD7" s="279"/>
      <c r="AE7" s="275"/>
      <c r="AF7" s="275"/>
    </row>
    <row r="8" spans="1:32" ht="15.75">
      <c r="A8" s="318">
        <v>5</v>
      </c>
      <c r="B8" s="274" t="s">
        <v>33</v>
      </c>
      <c r="C8" s="274" t="s">
        <v>2406</v>
      </c>
      <c r="D8" s="10" t="s">
        <v>2412</v>
      </c>
      <c r="E8" s="27" t="s">
        <v>2413</v>
      </c>
      <c r="F8" s="10" t="s">
        <v>2414</v>
      </c>
      <c r="G8" s="10">
        <v>946.2</v>
      </c>
      <c r="H8" s="10">
        <v>365</v>
      </c>
      <c r="I8" s="10">
        <v>1772</v>
      </c>
      <c r="J8" s="10">
        <v>938</v>
      </c>
      <c r="K8" s="10">
        <v>834</v>
      </c>
      <c r="L8" s="10">
        <v>497</v>
      </c>
      <c r="M8" s="10">
        <f t="shared" si="0"/>
        <v>28.047404063205416</v>
      </c>
      <c r="N8" s="10">
        <v>0</v>
      </c>
      <c r="O8" s="10">
        <f t="shared" si="1"/>
        <v>0</v>
      </c>
      <c r="P8" s="10">
        <v>73.12</v>
      </c>
      <c r="Q8" s="10">
        <v>0</v>
      </c>
      <c r="R8" s="275" t="s">
        <v>39</v>
      </c>
      <c r="S8" s="283">
        <v>44627</v>
      </c>
      <c r="T8" s="276"/>
      <c r="U8" s="323"/>
      <c r="V8" s="336"/>
      <c r="W8" s="245"/>
      <c r="X8" s="245"/>
      <c r="Y8" s="245"/>
      <c r="Z8" s="245"/>
      <c r="AA8" s="245"/>
      <c r="AB8" s="284"/>
      <c r="AC8" s="329"/>
      <c r="AD8" s="279"/>
      <c r="AE8" s="275"/>
      <c r="AF8" s="275"/>
    </row>
    <row r="9" spans="1:32" ht="15.75">
      <c r="A9" s="318" t="s">
        <v>51</v>
      </c>
      <c r="B9" s="274" t="s">
        <v>33</v>
      </c>
      <c r="C9" s="274" t="s">
        <v>2406</v>
      </c>
      <c r="D9" s="10" t="s">
        <v>2412</v>
      </c>
      <c r="E9" s="27" t="s">
        <v>2413</v>
      </c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275"/>
      <c r="S9" s="283"/>
      <c r="T9" s="276"/>
      <c r="U9" s="323"/>
      <c r="V9" s="336"/>
      <c r="W9" s="245"/>
      <c r="X9" s="245"/>
      <c r="Y9" s="245"/>
      <c r="Z9" s="245"/>
      <c r="AA9" s="245"/>
      <c r="AB9" s="284" t="s">
        <v>39</v>
      </c>
      <c r="AC9" s="329">
        <v>4</v>
      </c>
      <c r="AD9" s="279" t="s">
        <v>48</v>
      </c>
      <c r="AE9" s="275"/>
      <c r="AF9" s="275"/>
    </row>
    <row r="10" spans="1:32" ht="15.75">
      <c r="A10" s="318" t="s">
        <v>51</v>
      </c>
      <c r="B10" s="274" t="s">
        <v>33</v>
      </c>
      <c r="C10" s="274" t="s">
        <v>2406</v>
      </c>
      <c r="D10" s="10" t="s">
        <v>2412</v>
      </c>
      <c r="E10" s="27" t="s">
        <v>2413</v>
      </c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275"/>
      <c r="S10" s="283"/>
      <c r="T10" s="276"/>
      <c r="U10" s="323"/>
      <c r="V10" s="336"/>
      <c r="W10" s="245"/>
      <c r="X10" s="245"/>
      <c r="Y10" s="245"/>
      <c r="Z10" s="245"/>
      <c r="AA10" s="245"/>
      <c r="AB10" s="284" t="s">
        <v>39</v>
      </c>
      <c r="AC10" s="329">
        <v>13</v>
      </c>
      <c r="AD10" s="279" t="s">
        <v>1751</v>
      </c>
      <c r="AE10" s="275"/>
      <c r="AF10" s="275"/>
    </row>
    <row r="11" spans="1:32" ht="15.75">
      <c r="A11" s="318">
        <v>6</v>
      </c>
      <c r="B11" s="274" t="s">
        <v>33</v>
      </c>
      <c r="C11" s="274" t="s">
        <v>2406</v>
      </c>
      <c r="D11" s="10" t="s">
        <v>2412</v>
      </c>
      <c r="E11" s="10" t="s">
        <v>193</v>
      </c>
      <c r="F11" s="10" t="s">
        <v>2415</v>
      </c>
      <c r="G11" s="10">
        <v>295.07</v>
      </c>
      <c r="H11" s="10">
        <v>150</v>
      </c>
      <c r="I11" s="10">
        <v>761</v>
      </c>
      <c r="J11" s="10">
        <v>409</v>
      </c>
      <c r="K11" s="10">
        <v>352</v>
      </c>
      <c r="L11" s="10">
        <v>22</v>
      </c>
      <c r="M11" s="10">
        <f t="shared" ref="M11" si="2">L11/I11*100</f>
        <v>2.8909329829172141</v>
      </c>
      <c r="N11" s="10">
        <v>600</v>
      </c>
      <c r="O11" s="10">
        <f t="shared" si="1"/>
        <v>78.843626806833115</v>
      </c>
      <c r="P11" s="10">
        <v>81.53</v>
      </c>
      <c r="Q11" s="10">
        <v>0</v>
      </c>
      <c r="R11" s="275" t="s">
        <v>39</v>
      </c>
      <c r="S11" s="283">
        <v>46249</v>
      </c>
      <c r="T11" s="276"/>
      <c r="U11" s="323"/>
      <c r="V11" s="336"/>
      <c r="W11" s="245"/>
      <c r="X11" s="245"/>
      <c r="Y11" s="245"/>
      <c r="Z11" s="245"/>
      <c r="AA11" s="245"/>
      <c r="AB11" s="284"/>
      <c r="AC11" s="329"/>
      <c r="AD11" s="279"/>
      <c r="AE11" s="275"/>
      <c r="AF11" s="275"/>
    </row>
    <row r="12" spans="1:32" ht="15.75">
      <c r="A12" s="318" t="s">
        <v>51</v>
      </c>
      <c r="B12" s="274" t="s">
        <v>33</v>
      </c>
      <c r="C12" s="274" t="s">
        <v>2406</v>
      </c>
      <c r="D12" s="10" t="s">
        <v>2412</v>
      </c>
      <c r="E12" s="10" t="s">
        <v>193</v>
      </c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275"/>
      <c r="S12" s="283"/>
      <c r="T12" s="276"/>
      <c r="U12" s="323"/>
      <c r="V12" s="336"/>
      <c r="W12" s="245"/>
      <c r="X12" s="245"/>
      <c r="Y12" s="245"/>
      <c r="Z12" s="245"/>
      <c r="AA12" s="245"/>
      <c r="AB12" s="284" t="s">
        <v>39</v>
      </c>
      <c r="AC12" s="329">
        <v>9</v>
      </c>
      <c r="AD12" s="279" t="s">
        <v>2416</v>
      </c>
      <c r="AE12" s="275">
        <v>24.800799999999999</v>
      </c>
      <c r="AF12" s="275">
        <v>76.627700000000004</v>
      </c>
    </row>
    <row r="13" spans="1:32" ht="15.75">
      <c r="A13" s="318" t="s">
        <v>51</v>
      </c>
      <c r="B13" s="274" t="s">
        <v>33</v>
      </c>
      <c r="C13" s="274" t="s">
        <v>2406</v>
      </c>
      <c r="D13" s="10" t="s">
        <v>2412</v>
      </c>
      <c r="E13" s="10" t="s">
        <v>193</v>
      </c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275"/>
      <c r="S13" s="283"/>
      <c r="T13" s="276"/>
      <c r="U13" s="323"/>
      <c r="V13" s="336"/>
      <c r="W13" s="245"/>
      <c r="X13" s="245"/>
      <c r="Y13" s="245"/>
      <c r="Z13" s="245"/>
      <c r="AA13" s="245"/>
      <c r="AB13" s="284" t="s">
        <v>39</v>
      </c>
      <c r="AC13" s="329">
        <v>8</v>
      </c>
      <c r="AD13" s="279" t="s">
        <v>484</v>
      </c>
      <c r="AE13" s="275">
        <v>24.794</v>
      </c>
      <c r="AF13" s="275">
        <v>76.632099999999994</v>
      </c>
    </row>
    <row r="14" spans="1:32" ht="15.75">
      <c r="A14" s="318">
        <v>7</v>
      </c>
      <c r="B14" s="274" t="s">
        <v>33</v>
      </c>
      <c r="C14" s="274" t="s">
        <v>2406</v>
      </c>
      <c r="D14" s="10" t="s">
        <v>2412</v>
      </c>
      <c r="E14" s="27" t="s">
        <v>2417</v>
      </c>
      <c r="F14" s="10" t="s">
        <v>2418</v>
      </c>
      <c r="G14" s="10">
        <v>469.08</v>
      </c>
      <c r="H14" s="10">
        <v>191</v>
      </c>
      <c r="I14" s="10">
        <v>892</v>
      </c>
      <c r="J14" s="10">
        <v>462</v>
      </c>
      <c r="K14" s="10">
        <v>430</v>
      </c>
      <c r="L14" s="10">
        <v>187</v>
      </c>
      <c r="M14" s="10">
        <f t="shared" ref="M14:M77" si="3">L14/I14*100</f>
        <v>20.964125560538115</v>
      </c>
      <c r="N14" s="10">
        <v>611</v>
      </c>
      <c r="O14" s="10">
        <f t="shared" ref="O14:O67" si="4">N14/I14*100</f>
        <v>68.497757847533634</v>
      </c>
      <c r="P14" s="10">
        <v>9.42</v>
      </c>
      <c r="Q14" s="10">
        <v>0</v>
      </c>
      <c r="R14" s="275" t="s">
        <v>39</v>
      </c>
      <c r="S14" s="285">
        <v>46249</v>
      </c>
      <c r="T14" s="276"/>
      <c r="U14" s="324"/>
      <c r="V14" s="336"/>
      <c r="W14" s="245"/>
      <c r="X14" s="245"/>
      <c r="Y14" s="245"/>
      <c r="Z14" s="245"/>
      <c r="AA14" s="245"/>
      <c r="AB14" s="284"/>
      <c r="AC14" s="317"/>
      <c r="AD14" s="245"/>
      <c r="AE14" s="275"/>
      <c r="AF14" s="275"/>
    </row>
    <row r="15" spans="1:32" ht="15.75">
      <c r="A15" s="318">
        <v>8</v>
      </c>
      <c r="B15" s="274" t="s">
        <v>33</v>
      </c>
      <c r="C15" s="274" t="s">
        <v>2406</v>
      </c>
      <c r="D15" s="10" t="s">
        <v>2419</v>
      </c>
      <c r="E15" s="16" t="s">
        <v>2420</v>
      </c>
      <c r="F15" s="10" t="s">
        <v>2421</v>
      </c>
      <c r="G15" s="10">
        <v>829.14</v>
      </c>
      <c r="H15" s="10">
        <v>235</v>
      </c>
      <c r="I15" s="10">
        <v>1379</v>
      </c>
      <c r="J15" s="10">
        <v>703</v>
      </c>
      <c r="K15" s="10">
        <v>676</v>
      </c>
      <c r="L15" s="10">
        <v>278</v>
      </c>
      <c r="M15" s="10">
        <f t="shared" si="3"/>
        <v>20.159535895576504</v>
      </c>
      <c r="N15" s="10">
        <v>31</v>
      </c>
      <c r="O15" s="10">
        <f t="shared" si="4"/>
        <v>2.2480058013052937</v>
      </c>
      <c r="P15" s="10">
        <v>79.67</v>
      </c>
      <c r="Q15" s="10">
        <v>0</v>
      </c>
      <c r="R15" s="275" t="s">
        <v>39</v>
      </c>
      <c r="S15" s="283">
        <v>45958</v>
      </c>
      <c r="T15" s="276"/>
      <c r="U15" s="323"/>
      <c r="V15" s="336"/>
      <c r="W15" s="245"/>
      <c r="X15" s="245"/>
      <c r="Y15" s="245"/>
      <c r="Z15" s="245"/>
      <c r="AA15" s="245"/>
      <c r="AB15" s="282"/>
      <c r="AC15" s="329"/>
      <c r="AD15" s="279"/>
      <c r="AE15" s="275"/>
      <c r="AF15" s="275"/>
    </row>
    <row r="16" spans="1:32" ht="15.75">
      <c r="A16" s="318" t="s">
        <v>51</v>
      </c>
      <c r="B16" s="274" t="s">
        <v>33</v>
      </c>
      <c r="C16" s="274" t="s">
        <v>2406</v>
      </c>
      <c r="D16" s="10" t="s">
        <v>2419</v>
      </c>
      <c r="E16" s="16" t="s">
        <v>2420</v>
      </c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275"/>
      <c r="S16" s="283"/>
      <c r="T16" s="276"/>
      <c r="U16" s="323"/>
      <c r="V16" s="336"/>
      <c r="W16" s="245"/>
      <c r="X16" s="245"/>
      <c r="Y16" s="245"/>
      <c r="Z16" s="245"/>
      <c r="AA16" s="245"/>
      <c r="AB16" s="282" t="s">
        <v>39</v>
      </c>
      <c r="AC16" s="329">
        <v>16</v>
      </c>
      <c r="AD16" s="279" t="s">
        <v>1220</v>
      </c>
      <c r="AE16" s="275">
        <v>24.913499999999999</v>
      </c>
      <c r="AF16" s="275">
        <v>76.632199999999997</v>
      </c>
    </row>
    <row r="17" spans="1:32" ht="15.75">
      <c r="A17" s="318" t="s">
        <v>51</v>
      </c>
      <c r="B17" s="274" t="s">
        <v>33</v>
      </c>
      <c r="C17" s="274" t="s">
        <v>2406</v>
      </c>
      <c r="D17" s="10" t="s">
        <v>2419</v>
      </c>
      <c r="E17" s="16" t="s">
        <v>2420</v>
      </c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275"/>
      <c r="S17" s="283"/>
      <c r="T17" s="276"/>
      <c r="U17" s="323"/>
      <c r="V17" s="336"/>
      <c r="W17" s="245"/>
      <c r="X17" s="245"/>
      <c r="Y17" s="245"/>
      <c r="Z17" s="245"/>
      <c r="AA17" s="245"/>
      <c r="AB17" s="282" t="s">
        <v>39</v>
      </c>
      <c r="AC17" s="329">
        <v>13</v>
      </c>
      <c r="AD17" s="279" t="s">
        <v>2422</v>
      </c>
      <c r="AE17" s="275"/>
      <c r="AF17" s="275"/>
    </row>
    <row r="18" spans="1:32" ht="15.75">
      <c r="A18" s="318">
        <v>9</v>
      </c>
      <c r="B18" s="274" t="s">
        <v>33</v>
      </c>
      <c r="C18" s="274" t="s">
        <v>2406</v>
      </c>
      <c r="D18" s="10" t="s">
        <v>2419</v>
      </c>
      <c r="E18" s="10" t="s">
        <v>2423</v>
      </c>
      <c r="F18" s="10" t="s">
        <v>2424</v>
      </c>
      <c r="G18" s="10">
        <v>1021.86</v>
      </c>
      <c r="H18" s="10">
        <v>355</v>
      </c>
      <c r="I18" s="10">
        <v>1638</v>
      </c>
      <c r="J18" s="10">
        <v>859</v>
      </c>
      <c r="K18" s="10">
        <v>779</v>
      </c>
      <c r="L18" s="10">
        <v>219</v>
      </c>
      <c r="M18" s="10">
        <f t="shared" si="3"/>
        <v>13.36996336996337</v>
      </c>
      <c r="N18" s="10">
        <v>531</v>
      </c>
      <c r="O18" s="10">
        <f t="shared" si="4"/>
        <v>32.417582417582416</v>
      </c>
      <c r="P18" s="10">
        <v>102.81</v>
      </c>
      <c r="Q18" s="10">
        <v>0</v>
      </c>
      <c r="R18" s="275" t="s">
        <v>39</v>
      </c>
      <c r="S18" s="283">
        <v>45959</v>
      </c>
      <c r="T18" s="276"/>
      <c r="U18" s="324"/>
      <c r="V18" s="336"/>
      <c r="W18" s="245"/>
      <c r="X18" s="245"/>
      <c r="Y18" s="245"/>
      <c r="Z18" s="245"/>
      <c r="AA18" s="245"/>
      <c r="AB18" s="284"/>
      <c r="AC18" s="329"/>
      <c r="AD18" s="279"/>
      <c r="AE18" s="275"/>
      <c r="AF18" s="275"/>
    </row>
    <row r="19" spans="1:32" ht="15.75">
      <c r="A19" s="318" t="s">
        <v>51</v>
      </c>
      <c r="B19" s="274" t="s">
        <v>33</v>
      </c>
      <c r="C19" s="274" t="s">
        <v>2406</v>
      </c>
      <c r="D19" s="10" t="s">
        <v>2419</v>
      </c>
      <c r="E19" s="10" t="s">
        <v>2423</v>
      </c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275"/>
      <c r="S19" s="283"/>
      <c r="T19" s="276"/>
      <c r="U19" s="324"/>
      <c r="V19" s="336"/>
      <c r="W19" s="245"/>
      <c r="X19" s="245"/>
      <c r="Y19" s="245"/>
      <c r="Z19" s="245"/>
      <c r="AA19" s="245"/>
      <c r="AB19" s="284" t="s">
        <v>39</v>
      </c>
      <c r="AC19" s="329">
        <v>9</v>
      </c>
      <c r="AD19" s="279" t="s">
        <v>1751</v>
      </c>
      <c r="AE19" s="275">
        <v>24.938500000000001</v>
      </c>
      <c r="AF19" s="275">
        <v>76.6297</v>
      </c>
    </row>
    <row r="20" spans="1:32" ht="15.75">
      <c r="A20" s="318">
        <v>10</v>
      </c>
      <c r="B20" s="274" t="s">
        <v>33</v>
      </c>
      <c r="C20" s="274" t="s">
        <v>2406</v>
      </c>
      <c r="D20" s="10" t="s">
        <v>2425</v>
      </c>
      <c r="E20" s="16" t="s">
        <v>2426</v>
      </c>
      <c r="F20" s="10" t="s">
        <v>2427</v>
      </c>
      <c r="G20" s="10">
        <v>2961.63</v>
      </c>
      <c r="H20" s="10">
        <v>967</v>
      </c>
      <c r="I20" s="10">
        <v>5108</v>
      </c>
      <c r="J20" s="10">
        <v>2658</v>
      </c>
      <c r="K20" s="10">
        <v>2450</v>
      </c>
      <c r="L20" s="10">
        <v>866</v>
      </c>
      <c r="M20" s="10">
        <f t="shared" si="3"/>
        <v>16.953797963978072</v>
      </c>
      <c r="N20" s="10">
        <v>288</v>
      </c>
      <c r="O20" s="10">
        <f t="shared" si="4"/>
        <v>5.638214565387627</v>
      </c>
      <c r="P20" s="10">
        <v>0</v>
      </c>
      <c r="Q20" s="10">
        <v>1941</v>
      </c>
      <c r="R20" s="275"/>
      <c r="S20" s="286">
        <v>45446</v>
      </c>
      <c r="T20" s="276"/>
      <c r="U20" s="324">
        <v>103.8</v>
      </c>
      <c r="V20" s="336"/>
      <c r="W20" s="245"/>
      <c r="X20" s="245"/>
      <c r="Y20" s="245"/>
      <c r="Z20" s="245"/>
      <c r="AA20" s="245"/>
      <c r="AB20" s="284" t="s">
        <v>39</v>
      </c>
      <c r="AC20" s="324">
        <v>12</v>
      </c>
      <c r="AD20" s="275" t="s">
        <v>2428</v>
      </c>
      <c r="AE20" s="275">
        <v>24.87</v>
      </c>
      <c r="AF20" s="275">
        <v>76.569999999999993</v>
      </c>
    </row>
    <row r="21" spans="1:32" ht="15.75">
      <c r="A21" s="318">
        <v>11</v>
      </c>
      <c r="B21" s="274" t="s">
        <v>33</v>
      </c>
      <c r="C21" s="274" t="s">
        <v>2406</v>
      </c>
      <c r="D21" s="10" t="s">
        <v>2425</v>
      </c>
      <c r="E21" s="10" t="s">
        <v>2429</v>
      </c>
      <c r="F21" s="10" t="s">
        <v>2430</v>
      </c>
      <c r="G21" s="10">
        <v>543.91999999999996</v>
      </c>
      <c r="H21" s="10">
        <v>130</v>
      </c>
      <c r="I21" s="10">
        <v>603</v>
      </c>
      <c r="J21" s="10">
        <v>321</v>
      </c>
      <c r="K21" s="10">
        <v>282</v>
      </c>
      <c r="L21" s="10">
        <v>3</v>
      </c>
      <c r="M21" s="10">
        <f t="shared" si="3"/>
        <v>0.49751243781094528</v>
      </c>
      <c r="N21" s="10">
        <v>216</v>
      </c>
      <c r="O21" s="10">
        <f t="shared" si="4"/>
        <v>35.820895522388057</v>
      </c>
      <c r="P21" s="10">
        <v>0</v>
      </c>
      <c r="Q21" s="10">
        <v>330</v>
      </c>
      <c r="R21" s="275"/>
      <c r="S21" s="286">
        <v>45446</v>
      </c>
      <c r="T21" s="276"/>
      <c r="U21" s="324"/>
      <c r="V21" s="336"/>
      <c r="W21" s="245"/>
      <c r="X21" s="245"/>
      <c r="Y21" s="245"/>
      <c r="Z21" s="245"/>
      <c r="AA21" s="245"/>
      <c r="AB21" s="284"/>
      <c r="AC21" s="329"/>
      <c r="AD21" s="279"/>
      <c r="AE21" s="275"/>
      <c r="AF21" s="275"/>
    </row>
    <row r="22" spans="1:32" ht="15.75">
      <c r="A22" s="318">
        <v>12</v>
      </c>
      <c r="B22" s="274" t="s">
        <v>33</v>
      </c>
      <c r="C22" s="274" t="s">
        <v>2406</v>
      </c>
      <c r="D22" s="10" t="s">
        <v>2431</v>
      </c>
      <c r="E22" s="16" t="s">
        <v>2432</v>
      </c>
      <c r="F22" s="10" t="s">
        <v>2433</v>
      </c>
      <c r="G22" s="10">
        <v>758.93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/>
      <c r="O22" s="10"/>
      <c r="P22" s="10">
        <v>0</v>
      </c>
      <c r="Q22" s="10">
        <v>664</v>
      </c>
      <c r="R22" s="275"/>
      <c r="S22" s="286"/>
      <c r="T22" s="276"/>
      <c r="U22" s="324"/>
      <c r="V22" s="336"/>
      <c r="W22" s="245"/>
      <c r="X22" s="245"/>
      <c r="Y22" s="245"/>
      <c r="Z22" s="245"/>
      <c r="AA22" s="245"/>
      <c r="AB22" s="284"/>
      <c r="AC22" s="324"/>
      <c r="AD22" s="275"/>
      <c r="AE22" s="275"/>
      <c r="AF22" s="275"/>
    </row>
    <row r="23" spans="1:32" ht="15.75">
      <c r="A23" s="318">
        <v>13</v>
      </c>
      <c r="B23" s="274" t="s">
        <v>33</v>
      </c>
      <c r="C23" s="274" t="s">
        <v>2406</v>
      </c>
      <c r="D23" s="10" t="s">
        <v>2431</v>
      </c>
      <c r="E23" s="10" t="s">
        <v>2432</v>
      </c>
      <c r="F23" s="10" t="s">
        <v>2434</v>
      </c>
      <c r="G23" s="10">
        <v>941</v>
      </c>
      <c r="H23" s="10">
        <v>245</v>
      </c>
      <c r="I23" s="10">
        <v>1291</v>
      </c>
      <c r="J23" s="10">
        <v>666</v>
      </c>
      <c r="K23" s="10">
        <v>625</v>
      </c>
      <c r="L23" s="10">
        <v>161</v>
      </c>
      <c r="M23" s="10">
        <f t="shared" si="3"/>
        <v>12.470952749806353</v>
      </c>
      <c r="N23" s="10">
        <v>236</v>
      </c>
      <c r="O23" s="10">
        <f t="shared" si="4"/>
        <v>18.280402788536019</v>
      </c>
      <c r="P23" s="10">
        <v>0</v>
      </c>
      <c r="Q23" s="10">
        <v>28</v>
      </c>
      <c r="R23" s="275"/>
      <c r="S23" s="275"/>
      <c r="T23" s="284"/>
      <c r="U23" s="325"/>
      <c r="V23" s="336"/>
      <c r="W23" s="245"/>
      <c r="X23" s="245"/>
      <c r="Y23" s="245"/>
      <c r="Z23" s="245"/>
      <c r="AA23" s="245"/>
      <c r="AB23" s="284"/>
      <c r="AC23" s="325"/>
      <c r="AD23" s="279"/>
      <c r="AE23" s="275"/>
      <c r="AF23" s="275"/>
    </row>
    <row r="24" spans="1:32" ht="15.75">
      <c r="A24" s="318">
        <v>14</v>
      </c>
      <c r="B24" s="274" t="s">
        <v>33</v>
      </c>
      <c r="C24" s="274" t="s">
        <v>2406</v>
      </c>
      <c r="D24" s="10" t="s">
        <v>2431</v>
      </c>
      <c r="E24" s="10" t="s">
        <v>2435</v>
      </c>
      <c r="F24" s="10" t="s">
        <v>2436</v>
      </c>
      <c r="G24" s="10">
        <v>399</v>
      </c>
      <c r="H24" s="10">
        <v>110</v>
      </c>
      <c r="I24" s="10">
        <v>571</v>
      </c>
      <c r="J24" s="10">
        <v>293</v>
      </c>
      <c r="K24" s="10">
        <v>278</v>
      </c>
      <c r="L24" s="10">
        <v>86</v>
      </c>
      <c r="M24" s="10">
        <f t="shared" si="3"/>
        <v>15.061295971978982</v>
      </c>
      <c r="N24" s="10">
        <v>281</v>
      </c>
      <c r="O24" s="10">
        <f t="shared" si="4"/>
        <v>49.211908931698773</v>
      </c>
      <c r="P24" s="10">
        <v>30</v>
      </c>
      <c r="Q24" s="10">
        <v>0</v>
      </c>
      <c r="R24" s="287"/>
      <c r="S24" s="288"/>
      <c r="T24" s="276"/>
      <c r="U24" s="326"/>
      <c r="V24" s="336"/>
      <c r="W24" s="245"/>
      <c r="X24" s="245"/>
      <c r="Y24" s="245"/>
      <c r="Z24" s="245"/>
      <c r="AA24" s="245"/>
      <c r="AB24" s="284"/>
      <c r="AC24" s="326"/>
      <c r="AD24" s="279"/>
      <c r="AE24" s="275"/>
      <c r="AF24" s="275"/>
    </row>
    <row r="25" spans="1:32" ht="15.75">
      <c r="A25" s="318">
        <v>17</v>
      </c>
      <c r="B25" s="274" t="s">
        <v>33</v>
      </c>
      <c r="C25" s="274" t="s">
        <v>2406</v>
      </c>
      <c r="D25" s="10" t="s">
        <v>2431</v>
      </c>
      <c r="E25" s="10" t="s">
        <v>337</v>
      </c>
      <c r="F25" s="10"/>
      <c r="G25" s="10">
        <v>325</v>
      </c>
      <c r="H25" s="10">
        <v>106</v>
      </c>
      <c r="I25" s="10">
        <v>535</v>
      </c>
      <c r="J25" s="10">
        <v>270</v>
      </c>
      <c r="K25" s="10">
        <v>265</v>
      </c>
      <c r="L25" s="10">
        <v>10</v>
      </c>
      <c r="M25" s="10">
        <f t="shared" si="3"/>
        <v>1.8691588785046727</v>
      </c>
      <c r="N25" s="10">
        <v>516</v>
      </c>
      <c r="O25" s="10">
        <f t="shared" si="4"/>
        <v>96.44859813084112</v>
      </c>
      <c r="P25" s="10">
        <v>49</v>
      </c>
      <c r="Q25" s="10">
        <v>0</v>
      </c>
      <c r="R25" s="287"/>
      <c r="S25" s="288"/>
      <c r="T25" s="276"/>
      <c r="U25" s="326"/>
      <c r="V25" s="336"/>
      <c r="W25" s="245"/>
      <c r="X25" s="245"/>
      <c r="Y25" s="245"/>
      <c r="Z25" s="245"/>
      <c r="AA25" s="245"/>
      <c r="AB25" s="284"/>
      <c r="AC25" s="326"/>
      <c r="AD25" s="279"/>
      <c r="AE25" s="275"/>
      <c r="AF25" s="275"/>
    </row>
    <row r="26" spans="1:32" ht="15.75">
      <c r="A26" s="318">
        <v>18</v>
      </c>
      <c r="B26" s="274" t="s">
        <v>33</v>
      </c>
      <c r="C26" s="274" t="s">
        <v>2406</v>
      </c>
      <c r="D26" s="10" t="s">
        <v>2437</v>
      </c>
      <c r="E26" s="16" t="s">
        <v>1207</v>
      </c>
      <c r="F26" s="10" t="s">
        <v>2438</v>
      </c>
      <c r="G26" s="10">
        <v>249</v>
      </c>
      <c r="H26" s="10">
        <v>85</v>
      </c>
      <c r="I26" s="10">
        <v>462</v>
      </c>
      <c r="J26" s="10">
        <v>237</v>
      </c>
      <c r="K26" s="10">
        <v>225</v>
      </c>
      <c r="L26" s="10">
        <v>47</v>
      </c>
      <c r="M26" s="10">
        <f t="shared" si="3"/>
        <v>10.173160173160174</v>
      </c>
      <c r="N26" s="10">
        <v>1</v>
      </c>
      <c r="O26" s="10">
        <f t="shared" si="4"/>
        <v>0.21645021645021645</v>
      </c>
      <c r="P26" s="10">
        <v>34</v>
      </c>
      <c r="Q26" s="10">
        <v>0</v>
      </c>
      <c r="R26" s="287" t="s">
        <v>39</v>
      </c>
      <c r="S26" s="288">
        <v>45446</v>
      </c>
      <c r="T26" s="276"/>
      <c r="U26" s="326">
        <v>28.41</v>
      </c>
      <c r="V26" s="336"/>
      <c r="W26" s="245"/>
      <c r="X26" s="245"/>
      <c r="Y26" s="245"/>
      <c r="Z26" s="245"/>
      <c r="AA26" s="245"/>
      <c r="AB26" s="284" t="s">
        <v>39</v>
      </c>
      <c r="AC26" s="326">
        <v>10</v>
      </c>
      <c r="AD26" s="275" t="s">
        <v>2439</v>
      </c>
      <c r="AE26" s="275"/>
      <c r="AF26" s="275"/>
    </row>
    <row r="27" spans="1:32" ht="15.75">
      <c r="A27" s="318">
        <v>19</v>
      </c>
      <c r="B27" s="274" t="s">
        <v>33</v>
      </c>
      <c r="C27" s="274" t="s">
        <v>2406</v>
      </c>
      <c r="D27" s="10" t="s">
        <v>2437</v>
      </c>
      <c r="E27" s="10" t="s">
        <v>2440</v>
      </c>
      <c r="F27" s="10" t="s">
        <v>2441</v>
      </c>
      <c r="G27" s="10">
        <v>683</v>
      </c>
      <c r="H27" s="10">
        <v>171</v>
      </c>
      <c r="I27" s="10">
        <v>838</v>
      </c>
      <c r="J27" s="10">
        <v>440</v>
      </c>
      <c r="K27" s="10">
        <v>398</v>
      </c>
      <c r="L27" s="10">
        <v>182</v>
      </c>
      <c r="M27" s="10">
        <f t="shared" si="3"/>
        <v>21.718377088305491</v>
      </c>
      <c r="N27" s="10">
        <v>446</v>
      </c>
      <c r="O27" s="10">
        <f t="shared" si="4"/>
        <v>53.221957040572789</v>
      </c>
      <c r="P27" s="10">
        <v>42</v>
      </c>
      <c r="Q27" s="10">
        <v>0</v>
      </c>
      <c r="R27" s="287" t="s">
        <v>39</v>
      </c>
      <c r="S27" s="288">
        <v>45446</v>
      </c>
      <c r="T27" s="284"/>
      <c r="U27" s="317">
        <v>38.18</v>
      </c>
      <c r="V27" s="336"/>
      <c r="W27" s="245"/>
      <c r="X27" s="245"/>
      <c r="Y27" s="245"/>
      <c r="Z27" s="245"/>
      <c r="AA27" s="245"/>
      <c r="AB27" s="284" t="s">
        <v>39</v>
      </c>
      <c r="AC27" s="317">
        <v>14</v>
      </c>
      <c r="AD27" s="275" t="s">
        <v>1750</v>
      </c>
      <c r="AE27" s="275"/>
      <c r="AF27" s="275"/>
    </row>
    <row r="28" spans="1:32" ht="15.75">
      <c r="A28" s="318">
        <v>20</v>
      </c>
      <c r="B28" s="274" t="s">
        <v>33</v>
      </c>
      <c r="C28" s="274" t="s">
        <v>2406</v>
      </c>
      <c r="D28" s="10" t="s">
        <v>2437</v>
      </c>
      <c r="E28" s="10" t="s">
        <v>2442</v>
      </c>
      <c r="F28" s="10" t="s">
        <v>2443</v>
      </c>
      <c r="G28" s="10">
        <v>216</v>
      </c>
      <c r="H28" s="10">
        <v>127</v>
      </c>
      <c r="I28" s="10">
        <v>599</v>
      </c>
      <c r="J28" s="10">
        <v>301</v>
      </c>
      <c r="K28" s="10">
        <v>298</v>
      </c>
      <c r="L28" s="10">
        <v>69</v>
      </c>
      <c r="M28" s="10">
        <f t="shared" si="3"/>
        <v>11.519198664440735</v>
      </c>
      <c r="N28" s="10">
        <v>505</v>
      </c>
      <c r="O28" s="10">
        <f t="shared" si="4"/>
        <v>84.307178631051755</v>
      </c>
      <c r="P28" s="10">
        <v>36</v>
      </c>
      <c r="Q28" s="10">
        <v>0</v>
      </c>
      <c r="R28" s="287" t="s">
        <v>39</v>
      </c>
      <c r="S28" s="288">
        <v>45446</v>
      </c>
      <c r="T28" s="284"/>
      <c r="U28" s="317">
        <v>35.89</v>
      </c>
      <c r="V28" s="336"/>
      <c r="W28" s="245"/>
      <c r="X28" s="245"/>
      <c r="Y28" s="245"/>
      <c r="Z28" s="245"/>
      <c r="AA28" s="245"/>
      <c r="AB28" s="284" t="s">
        <v>39</v>
      </c>
      <c r="AC28" s="317">
        <v>17</v>
      </c>
      <c r="AD28" s="275" t="s">
        <v>2444</v>
      </c>
      <c r="AE28" s="275"/>
      <c r="AF28" s="275"/>
    </row>
    <row r="29" spans="1:32" ht="15.75">
      <c r="A29" s="318">
        <v>21</v>
      </c>
      <c r="B29" s="274" t="s">
        <v>33</v>
      </c>
      <c r="C29" s="274" t="s">
        <v>2406</v>
      </c>
      <c r="D29" s="10" t="s">
        <v>2437</v>
      </c>
      <c r="E29" s="10" t="s">
        <v>2445</v>
      </c>
      <c r="F29" s="10" t="s">
        <v>2446</v>
      </c>
      <c r="G29" s="10">
        <v>229</v>
      </c>
      <c r="H29" s="10">
        <v>87</v>
      </c>
      <c r="I29" s="10">
        <v>441</v>
      </c>
      <c r="J29" s="10">
        <v>233</v>
      </c>
      <c r="K29" s="10">
        <v>208</v>
      </c>
      <c r="L29" s="10">
        <v>98</v>
      </c>
      <c r="M29" s="10">
        <f t="shared" si="3"/>
        <v>22.222222222222221</v>
      </c>
      <c r="N29" s="10">
        <v>274</v>
      </c>
      <c r="O29" s="10">
        <f t="shared" si="4"/>
        <v>62.131519274376416</v>
      </c>
      <c r="P29" s="10">
        <v>24</v>
      </c>
      <c r="Q29" s="10">
        <v>0</v>
      </c>
      <c r="R29" s="287" t="s">
        <v>39</v>
      </c>
      <c r="S29" s="288">
        <v>45446</v>
      </c>
      <c r="T29" s="284"/>
      <c r="U29" s="317"/>
      <c r="V29" s="336"/>
      <c r="W29" s="245"/>
      <c r="X29" s="245"/>
      <c r="Y29" s="245"/>
      <c r="Z29" s="245"/>
      <c r="AA29" s="245"/>
      <c r="AB29" s="284" t="s">
        <v>39</v>
      </c>
      <c r="AC29" s="317">
        <v>13</v>
      </c>
      <c r="AD29" s="275" t="s">
        <v>1751</v>
      </c>
      <c r="AE29" s="275"/>
      <c r="AF29" s="275"/>
    </row>
    <row r="30" spans="1:32" ht="15.75">
      <c r="A30" s="318">
        <v>22</v>
      </c>
      <c r="B30" s="274" t="s">
        <v>33</v>
      </c>
      <c r="C30" s="274" t="s">
        <v>2406</v>
      </c>
      <c r="D30" s="10" t="s">
        <v>2447</v>
      </c>
      <c r="E30" s="16" t="s">
        <v>2448</v>
      </c>
      <c r="F30" s="10" t="s">
        <v>2449</v>
      </c>
      <c r="G30" s="10">
        <v>387</v>
      </c>
      <c r="H30" s="10">
        <v>43</v>
      </c>
      <c r="I30" s="10">
        <v>239</v>
      </c>
      <c r="J30" s="10">
        <v>123</v>
      </c>
      <c r="K30" s="10">
        <v>116</v>
      </c>
      <c r="L30" s="10">
        <v>134</v>
      </c>
      <c r="M30" s="10">
        <f t="shared" si="3"/>
        <v>56.06694560669456</v>
      </c>
      <c r="N30" s="10">
        <v>0</v>
      </c>
      <c r="O30" s="10">
        <f t="shared" si="4"/>
        <v>0</v>
      </c>
      <c r="P30" s="10">
        <v>25</v>
      </c>
      <c r="Q30" s="10">
        <v>127</v>
      </c>
      <c r="R30" s="277" t="s">
        <v>39</v>
      </c>
      <c r="S30" s="289">
        <v>44634</v>
      </c>
      <c r="T30" s="284"/>
      <c r="U30" s="320">
        <v>59.33</v>
      </c>
      <c r="V30" s="336"/>
      <c r="W30" s="245"/>
      <c r="X30" s="245"/>
      <c r="Y30" s="245"/>
      <c r="Z30" s="245"/>
      <c r="AA30" s="245"/>
      <c r="AB30" s="284" t="s">
        <v>39</v>
      </c>
      <c r="AC30" s="317">
        <v>7</v>
      </c>
      <c r="AD30" s="275" t="s">
        <v>1751</v>
      </c>
      <c r="AE30" s="275">
        <v>24.8245</v>
      </c>
      <c r="AF30" s="275">
        <v>76.672300000000007</v>
      </c>
    </row>
    <row r="31" spans="1:32" ht="15.75">
      <c r="A31" s="318">
        <v>23</v>
      </c>
      <c r="B31" s="274" t="s">
        <v>33</v>
      </c>
      <c r="C31" s="274" t="s">
        <v>2406</v>
      </c>
      <c r="D31" s="10" t="s">
        <v>2447</v>
      </c>
      <c r="E31" s="10" t="s">
        <v>2450</v>
      </c>
      <c r="F31" s="10" t="s">
        <v>2451</v>
      </c>
      <c r="G31" s="10">
        <v>190</v>
      </c>
      <c r="H31" s="10">
        <v>15</v>
      </c>
      <c r="I31" s="10">
        <v>106</v>
      </c>
      <c r="J31" s="10">
        <v>51</v>
      </c>
      <c r="K31" s="10">
        <v>55</v>
      </c>
      <c r="L31" s="10">
        <v>7</v>
      </c>
      <c r="M31" s="10">
        <f t="shared" si="3"/>
        <v>6.6037735849056602</v>
      </c>
      <c r="N31" s="10">
        <v>0</v>
      </c>
      <c r="O31" s="10">
        <f t="shared" si="4"/>
        <v>0</v>
      </c>
      <c r="P31" s="10">
        <v>3</v>
      </c>
      <c r="Q31" s="10">
        <v>0</v>
      </c>
      <c r="R31" s="277" t="s">
        <v>39</v>
      </c>
      <c r="S31" s="289">
        <v>44634</v>
      </c>
      <c r="T31" s="290"/>
      <c r="U31" s="320">
        <v>34.08</v>
      </c>
      <c r="V31" s="336"/>
      <c r="W31" s="245"/>
      <c r="X31" s="245"/>
      <c r="Y31" s="245"/>
      <c r="Z31" s="245"/>
      <c r="AA31" s="245"/>
      <c r="AB31" s="278"/>
      <c r="AC31" s="323"/>
      <c r="AD31" s="279"/>
      <c r="AE31" s="275"/>
      <c r="AF31" s="275"/>
    </row>
    <row r="32" spans="1:32" ht="15.75">
      <c r="A32" s="318">
        <v>24</v>
      </c>
      <c r="B32" s="274" t="s">
        <v>33</v>
      </c>
      <c r="C32" s="274" t="s">
        <v>2406</v>
      </c>
      <c r="D32" s="10" t="s">
        <v>2447</v>
      </c>
      <c r="E32" s="10" t="s">
        <v>2452</v>
      </c>
      <c r="F32" s="10" t="s">
        <v>2453</v>
      </c>
      <c r="G32" s="10">
        <v>701</v>
      </c>
      <c r="H32" s="10">
        <v>180</v>
      </c>
      <c r="I32" s="10">
        <v>998</v>
      </c>
      <c r="J32" s="10">
        <v>526</v>
      </c>
      <c r="K32" s="10">
        <v>472</v>
      </c>
      <c r="L32" s="10">
        <v>362</v>
      </c>
      <c r="M32" s="10">
        <f t="shared" si="3"/>
        <v>36.272545090180358</v>
      </c>
      <c r="N32" s="10">
        <v>25</v>
      </c>
      <c r="O32" s="10">
        <f t="shared" si="4"/>
        <v>2.5050100200400802</v>
      </c>
      <c r="P32" s="10">
        <v>41</v>
      </c>
      <c r="Q32" s="10">
        <v>0</v>
      </c>
      <c r="R32" s="277" t="s">
        <v>39</v>
      </c>
      <c r="S32" s="289">
        <v>44634</v>
      </c>
      <c r="T32" s="291"/>
      <c r="U32" s="320">
        <v>38.909999999999997</v>
      </c>
      <c r="V32" s="336"/>
      <c r="W32" s="245"/>
      <c r="X32" s="245"/>
      <c r="Y32" s="245"/>
      <c r="Z32" s="245"/>
      <c r="AA32" s="245"/>
      <c r="AB32" s="284" t="s">
        <v>39</v>
      </c>
      <c r="AC32" s="323">
        <v>8</v>
      </c>
      <c r="AD32" s="279" t="s">
        <v>1220</v>
      </c>
      <c r="AE32" s="275">
        <v>24.829000000000001</v>
      </c>
      <c r="AF32" s="275">
        <v>76.656000000000006</v>
      </c>
    </row>
    <row r="33" spans="1:32" ht="15.75">
      <c r="A33" s="318">
        <v>25</v>
      </c>
      <c r="B33" s="274" t="s">
        <v>33</v>
      </c>
      <c r="C33" s="274" t="s">
        <v>2406</v>
      </c>
      <c r="D33" s="10" t="s">
        <v>2447</v>
      </c>
      <c r="E33" s="10" t="s">
        <v>2454</v>
      </c>
      <c r="F33" s="10" t="s">
        <v>2455</v>
      </c>
      <c r="G33" s="10">
        <v>444</v>
      </c>
      <c r="H33" s="10">
        <v>190</v>
      </c>
      <c r="I33" s="10">
        <v>903</v>
      </c>
      <c r="J33" s="10">
        <v>451</v>
      </c>
      <c r="K33" s="10">
        <v>452</v>
      </c>
      <c r="L33" s="10">
        <v>129</v>
      </c>
      <c r="M33" s="10">
        <f t="shared" si="3"/>
        <v>14.285714285714285</v>
      </c>
      <c r="N33" s="10">
        <v>188</v>
      </c>
      <c r="O33" s="10">
        <f t="shared" si="4"/>
        <v>20.819490586932449</v>
      </c>
      <c r="P33" s="10">
        <v>38</v>
      </c>
      <c r="Q33" s="10">
        <v>0</v>
      </c>
      <c r="R33" s="277" t="s">
        <v>39</v>
      </c>
      <c r="S33" s="289">
        <v>44634</v>
      </c>
      <c r="T33" s="291"/>
      <c r="U33" s="317"/>
      <c r="V33" s="336"/>
      <c r="W33" s="245"/>
      <c r="X33" s="245"/>
      <c r="Y33" s="245"/>
      <c r="Z33" s="245"/>
      <c r="AA33" s="245"/>
      <c r="AB33" s="284"/>
      <c r="AC33" s="323"/>
      <c r="AD33" s="279"/>
      <c r="AE33" s="275"/>
      <c r="AF33" s="275"/>
    </row>
    <row r="34" spans="1:32" ht="15.75">
      <c r="A34" s="318">
        <v>26</v>
      </c>
      <c r="B34" s="274" t="s">
        <v>33</v>
      </c>
      <c r="C34" s="274" t="s">
        <v>2406</v>
      </c>
      <c r="D34" s="10" t="s">
        <v>2447</v>
      </c>
      <c r="E34" s="10" t="s">
        <v>2456</v>
      </c>
      <c r="F34" s="10" t="s">
        <v>2457</v>
      </c>
      <c r="G34" s="10">
        <v>829.73</v>
      </c>
      <c r="H34" s="10">
        <v>228</v>
      </c>
      <c r="I34" s="10">
        <v>1181</v>
      </c>
      <c r="J34" s="10">
        <v>616</v>
      </c>
      <c r="K34" s="10">
        <v>565</v>
      </c>
      <c r="L34" s="10">
        <v>141</v>
      </c>
      <c r="M34" s="10">
        <f t="shared" si="3"/>
        <v>11.939034716342082</v>
      </c>
      <c r="N34" s="10">
        <v>317</v>
      </c>
      <c r="O34" s="10">
        <f t="shared" si="4"/>
        <v>26.841659610499573</v>
      </c>
      <c r="P34" s="10">
        <v>92</v>
      </c>
      <c r="Q34" s="10">
        <v>0</v>
      </c>
      <c r="R34" s="277" t="s">
        <v>39</v>
      </c>
      <c r="S34" s="289">
        <v>44634</v>
      </c>
      <c r="T34" s="292"/>
      <c r="U34" s="320">
        <v>25.71</v>
      </c>
      <c r="V34" s="336"/>
      <c r="W34" s="245"/>
      <c r="X34" s="245"/>
      <c r="Y34" s="245"/>
      <c r="Z34" s="245"/>
      <c r="AA34" s="245"/>
      <c r="AB34" s="293"/>
      <c r="AC34" s="323"/>
      <c r="AD34" s="279"/>
      <c r="AE34" s="275"/>
      <c r="AF34" s="275"/>
    </row>
    <row r="35" spans="1:32" ht="15.75">
      <c r="A35" s="318">
        <v>27</v>
      </c>
      <c r="B35" s="274" t="s">
        <v>33</v>
      </c>
      <c r="C35" s="274" t="s">
        <v>2406</v>
      </c>
      <c r="D35" s="10" t="s">
        <v>2447</v>
      </c>
      <c r="E35" s="10" t="s">
        <v>2458</v>
      </c>
      <c r="F35" s="10" t="s">
        <v>2459</v>
      </c>
      <c r="G35" s="10">
        <v>725.67</v>
      </c>
      <c r="H35" s="10">
        <v>196</v>
      </c>
      <c r="I35" s="10">
        <v>995</v>
      </c>
      <c r="J35" s="10">
        <v>511</v>
      </c>
      <c r="K35" s="10">
        <v>484</v>
      </c>
      <c r="L35" s="10">
        <v>378</v>
      </c>
      <c r="M35" s="10">
        <f t="shared" si="3"/>
        <v>37.989949748743719</v>
      </c>
      <c r="N35" s="10">
        <v>0</v>
      </c>
      <c r="O35" s="10">
        <f t="shared" si="4"/>
        <v>0</v>
      </c>
      <c r="P35" s="10">
        <v>82</v>
      </c>
      <c r="Q35" s="10">
        <v>0</v>
      </c>
      <c r="R35" s="277" t="s">
        <v>39</v>
      </c>
      <c r="S35" s="289">
        <v>44634</v>
      </c>
      <c r="T35" s="291"/>
      <c r="U35" s="320">
        <v>46.12</v>
      </c>
      <c r="V35" s="336"/>
      <c r="W35" s="245"/>
      <c r="X35" s="245"/>
      <c r="Y35" s="245"/>
      <c r="Z35" s="245"/>
      <c r="AA35" s="245"/>
      <c r="AB35" s="284" t="s">
        <v>39</v>
      </c>
      <c r="AC35" s="331">
        <v>9</v>
      </c>
      <c r="AD35" s="279" t="s">
        <v>1220</v>
      </c>
      <c r="AE35" s="275">
        <v>24.818999999999999</v>
      </c>
      <c r="AF35" s="275">
        <v>76.662999999999997</v>
      </c>
    </row>
    <row r="36" spans="1:32" ht="15.75">
      <c r="A36" s="318">
        <v>28</v>
      </c>
      <c r="B36" s="274" t="s">
        <v>33</v>
      </c>
      <c r="C36" s="274" t="s">
        <v>2406</v>
      </c>
      <c r="D36" s="10" t="s">
        <v>2447</v>
      </c>
      <c r="E36" s="10" t="s">
        <v>2460</v>
      </c>
      <c r="F36" s="10" t="s">
        <v>2461</v>
      </c>
      <c r="G36" s="10">
        <v>181.25</v>
      </c>
      <c r="H36" s="10">
        <v>59</v>
      </c>
      <c r="I36" s="10">
        <v>335</v>
      </c>
      <c r="J36" s="10">
        <v>182</v>
      </c>
      <c r="K36" s="10">
        <v>153</v>
      </c>
      <c r="L36" s="10">
        <v>70</v>
      </c>
      <c r="M36" s="10">
        <f t="shared" si="3"/>
        <v>20.8955223880597</v>
      </c>
      <c r="N36" s="10">
        <v>0</v>
      </c>
      <c r="O36" s="10">
        <f t="shared" si="4"/>
        <v>0</v>
      </c>
      <c r="P36" s="10">
        <v>18</v>
      </c>
      <c r="Q36" s="10">
        <v>0</v>
      </c>
      <c r="R36" s="294" t="s">
        <v>39</v>
      </c>
      <c r="S36" s="289">
        <v>44634</v>
      </c>
      <c r="T36" s="291"/>
      <c r="U36" s="317"/>
      <c r="V36" s="336"/>
      <c r="W36" s="245"/>
      <c r="X36" s="245"/>
      <c r="Y36" s="245"/>
      <c r="Z36" s="245"/>
      <c r="AA36" s="245"/>
      <c r="AB36" s="293"/>
      <c r="AC36" s="331"/>
      <c r="AD36" s="275"/>
      <c r="AE36" s="275"/>
      <c r="AF36" s="275"/>
    </row>
    <row r="37" spans="1:32" ht="15.75">
      <c r="A37" s="340">
        <v>29</v>
      </c>
      <c r="B37" s="274" t="s">
        <v>33</v>
      </c>
      <c r="C37" s="274" t="s">
        <v>2406</v>
      </c>
      <c r="D37" s="10" t="s">
        <v>2462</v>
      </c>
      <c r="E37" s="16" t="s">
        <v>2463</v>
      </c>
      <c r="F37" s="10" t="s">
        <v>2464</v>
      </c>
      <c r="G37" s="10">
        <v>1052.73</v>
      </c>
      <c r="H37" s="10">
        <v>326</v>
      </c>
      <c r="I37" s="10">
        <v>1755</v>
      </c>
      <c r="J37" s="10">
        <v>913</v>
      </c>
      <c r="K37" s="10">
        <v>842</v>
      </c>
      <c r="L37" s="10">
        <v>372</v>
      </c>
      <c r="M37" s="10">
        <f t="shared" si="3"/>
        <v>21.196581196581196</v>
      </c>
      <c r="N37" s="10">
        <v>551</v>
      </c>
      <c r="O37" s="10">
        <f t="shared" si="4"/>
        <v>31.396011396011396</v>
      </c>
      <c r="P37" s="10">
        <v>84</v>
      </c>
      <c r="Q37" s="10">
        <v>0</v>
      </c>
      <c r="R37" s="294" t="s">
        <v>39</v>
      </c>
      <c r="S37" s="289">
        <v>44634</v>
      </c>
      <c r="T37" s="284"/>
      <c r="U37" s="321">
        <v>94.4</v>
      </c>
      <c r="V37" s="336"/>
      <c r="W37" s="245"/>
      <c r="X37" s="245"/>
      <c r="Y37" s="245"/>
      <c r="Z37" s="245"/>
      <c r="AA37" s="245"/>
      <c r="AB37" s="284" t="s">
        <v>39</v>
      </c>
      <c r="AC37" s="331">
        <v>12</v>
      </c>
      <c r="AD37" s="279" t="s">
        <v>1220</v>
      </c>
      <c r="AE37" s="275">
        <v>24.885000000000002</v>
      </c>
      <c r="AF37" s="275">
        <v>76.558499999999995</v>
      </c>
    </row>
    <row r="38" spans="1:32" ht="15.75">
      <c r="A38" s="340">
        <v>30</v>
      </c>
      <c r="B38" s="274" t="s">
        <v>33</v>
      </c>
      <c r="C38" s="274" t="s">
        <v>2406</v>
      </c>
      <c r="D38" s="10" t="s">
        <v>2462</v>
      </c>
      <c r="E38" s="10" t="s">
        <v>1160</v>
      </c>
      <c r="F38" s="10" t="s">
        <v>2465</v>
      </c>
      <c r="G38" s="10">
        <v>374.22</v>
      </c>
      <c r="H38" s="10">
        <v>72</v>
      </c>
      <c r="I38" s="10">
        <v>424</v>
      </c>
      <c r="J38" s="10">
        <v>219</v>
      </c>
      <c r="K38" s="10">
        <v>205</v>
      </c>
      <c r="L38" s="10">
        <v>195</v>
      </c>
      <c r="M38" s="10">
        <f t="shared" si="3"/>
        <v>45.990566037735846</v>
      </c>
      <c r="N38" s="10">
        <v>137</v>
      </c>
      <c r="O38" s="10">
        <f t="shared" si="4"/>
        <v>32.311320754716981</v>
      </c>
      <c r="P38" s="10">
        <v>22</v>
      </c>
      <c r="Q38" s="10">
        <v>0</v>
      </c>
      <c r="R38" s="275" t="s">
        <v>39</v>
      </c>
      <c r="S38" s="289">
        <v>44634</v>
      </c>
      <c r="T38" s="284"/>
      <c r="U38" s="321">
        <v>80.099999999999994</v>
      </c>
      <c r="V38" s="336"/>
      <c r="W38" s="245"/>
      <c r="X38" s="245"/>
      <c r="Y38" s="245"/>
      <c r="Z38" s="245"/>
      <c r="AA38" s="245"/>
      <c r="AB38" s="284" t="s">
        <v>39</v>
      </c>
      <c r="AC38" s="329">
        <v>13</v>
      </c>
      <c r="AD38" s="279" t="s">
        <v>1220</v>
      </c>
      <c r="AE38" s="275"/>
      <c r="AF38" s="275"/>
    </row>
    <row r="39" spans="1:32" ht="15.75">
      <c r="A39" s="340" t="s">
        <v>51</v>
      </c>
      <c r="B39" s="274" t="s">
        <v>33</v>
      </c>
      <c r="C39" s="274" t="s">
        <v>2406</v>
      </c>
      <c r="D39" s="10" t="s">
        <v>2462</v>
      </c>
      <c r="E39" s="10" t="s">
        <v>2466</v>
      </c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275"/>
      <c r="S39" s="289"/>
      <c r="T39" s="284"/>
      <c r="U39" s="321"/>
      <c r="V39" s="336"/>
      <c r="W39" s="245"/>
      <c r="X39" s="245"/>
      <c r="Y39" s="245"/>
      <c r="Z39" s="245"/>
      <c r="AA39" s="245"/>
      <c r="AB39" s="284" t="s">
        <v>39</v>
      </c>
      <c r="AC39" s="329">
        <v>8</v>
      </c>
      <c r="AD39" s="279" t="s">
        <v>1220</v>
      </c>
      <c r="AE39" s="275">
        <v>24.832000000000001</v>
      </c>
      <c r="AF39" s="275">
        <v>76.680000000000007</v>
      </c>
    </row>
    <row r="40" spans="1:32" ht="15.75">
      <c r="A40" s="340" t="s">
        <v>51</v>
      </c>
      <c r="B40" s="274" t="s">
        <v>33</v>
      </c>
      <c r="C40" s="274" t="s">
        <v>2406</v>
      </c>
      <c r="D40" s="10" t="s">
        <v>2462</v>
      </c>
      <c r="E40" s="10" t="s">
        <v>2466</v>
      </c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275"/>
      <c r="S40" s="289"/>
      <c r="T40" s="284"/>
      <c r="U40" s="321"/>
      <c r="V40" s="336"/>
      <c r="W40" s="245"/>
      <c r="X40" s="245"/>
      <c r="Y40" s="245"/>
      <c r="Z40" s="245"/>
      <c r="AA40" s="245"/>
      <c r="AB40" s="284" t="s">
        <v>39</v>
      </c>
      <c r="AC40" s="329">
        <v>11</v>
      </c>
      <c r="AD40" s="279" t="s">
        <v>1220</v>
      </c>
      <c r="AE40" s="275"/>
      <c r="AF40" s="275"/>
    </row>
    <row r="41" spans="1:32" ht="15.75">
      <c r="A41" s="341">
        <v>31</v>
      </c>
      <c r="B41" s="274" t="s">
        <v>33</v>
      </c>
      <c r="C41" s="274" t="s">
        <v>2406</v>
      </c>
      <c r="D41" s="10" t="s">
        <v>2462</v>
      </c>
      <c r="E41" s="10" t="s">
        <v>2467</v>
      </c>
      <c r="F41" s="10" t="s">
        <v>2468</v>
      </c>
      <c r="G41" s="10">
        <v>507</v>
      </c>
      <c r="H41" s="10">
        <v>115</v>
      </c>
      <c r="I41" s="10">
        <v>574</v>
      </c>
      <c r="J41" s="10">
        <v>296</v>
      </c>
      <c r="K41" s="10">
        <v>278</v>
      </c>
      <c r="L41" s="10">
        <v>188</v>
      </c>
      <c r="M41" s="10">
        <f t="shared" si="3"/>
        <v>32.752613240418114</v>
      </c>
      <c r="N41" s="10">
        <v>78</v>
      </c>
      <c r="O41" s="10">
        <f t="shared" si="4"/>
        <v>13.588850174216027</v>
      </c>
      <c r="P41" s="10">
        <v>23</v>
      </c>
      <c r="Q41" s="10">
        <v>0</v>
      </c>
      <c r="R41" s="28"/>
      <c r="S41" s="289">
        <v>44634</v>
      </c>
      <c r="T41" s="284"/>
      <c r="U41" s="321">
        <v>19.72</v>
      </c>
      <c r="V41" s="336"/>
      <c r="W41" s="245"/>
      <c r="X41" s="245"/>
      <c r="Y41" s="245"/>
      <c r="Z41" s="245"/>
      <c r="AA41" s="245"/>
      <c r="AB41" s="284" t="s">
        <v>39</v>
      </c>
      <c r="AC41" s="329">
        <v>15</v>
      </c>
      <c r="AD41" s="279" t="s">
        <v>1220</v>
      </c>
      <c r="AE41" s="275">
        <v>24.911999999999999</v>
      </c>
      <c r="AF41" s="275">
        <v>76.585999999999999</v>
      </c>
    </row>
    <row r="42" spans="1:32" ht="15.75">
      <c r="A42" s="341">
        <v>32</v>
      </c>
      <c r="B42" s="274" t="s">
        <v>33</v>
      </c>
      <c r="C42" s="274" t="s">
        <v>2406</v>
      </c>
      <c r="D42" s="10" t="s">
        <v>2462</v>
      </c>
      <c r="E42" s="10" t="s">
        <v>2469</v>
      </c>
      <c r="F42" s="10" t="s">
        <v>2470</v>
      </c>
      <c r="G42" s="10">
        <v>296</v>
      </c>
      <c r="H42" s="10">
        <v>101</v>
      </c>
      <c r="I42" s="10">
        <v>513</v>
      </c>
      <c r="J42" s="10">
        <v>266</v>
      </c>
      <c r="K42" s="10">
        <v>247</v>
      </c>
      <c r="L42" s="10">
        <v>167</v>
      </c>
      <c r="M42" s="10">
        <f t="shared" si="3"/>
        <v>32.553606237816766</v>
      </c>
      <c r="N42" s="10">
        <v>147</v>
      </c>
      <c r="O42" s="10">
        <f t="shared" si="4"/>
        <v>28.654970760233915</v>
      </c>
      <c r="P42" s="10">
        <v>15</v>
      </c>
      <c r="Q42" s="10">
        <v>0</v>
      </c>
      <c r="R42" s="275" t="s">
        <v>39</v>
      </c>
      <c r="S42" s="289">
        <v>44634</v>
      </c>
      <c r="T42" s="284"/>
      <c r="U42" s="317">
        <v>84.08</v>
      </c>
      <c r="V42" s="336"/>
      <c r="W42" s="245"/>
      <c r="X42" s="245"/>
      <c r="Y42" s="245"/>
      <c r="Z42" s="245"/>
      <c r="AA42" s="245"/>
      <c r="AB42" s="284" t="s">
        <v>39</v>
      </c>
      <c r="AC42" s="331">
        <v>12</v>
      </c>
      <c r="AD42" s="279" t="s">
        <v>1220</v>
      </c>
      <c r="AE42" s="275"/>
      <c r="AF42" s="275"/>
    </row>
    <row r="43" spans="1:32" ht="15.75">
      <c r="A43" s="341">
        <v>33</v>
      </c>
      <c r="B43" s="274" t="s">
        <v>33</v>
      </c>
      <c r="C43" s="274" t="s">
        <v>2406</v>
      </c>
      <c r="D43" s="10" t="s">
        <v>2462</v>
      </c>
      <c r="E43" s="10" t="s">
        <v>1348</v>
      </c>
      <c r="F43" s="10" t="s">
        <v>2471</v>
      </c>
      <c r="G43" s="10">
        <v>349</v>
      </c>
      <c r="H43" s="10">
        <v>160</v>
      </c>
      <c r="I43" s="10">
        <v>951</v>
      </c>
      <c r="J43" s="10">
        <v>489</v>
      </c>
      <c r="K43" s="10">
        <v>462</v>
      </c>
      <c r="L43" s="10">
        <v>310</v>
      </c>
      <c r="M43" s="10">
        <f t="shared" si="3"/>
        <v>32.597266035751844</v>
      </c>
      <c r="N43" s="10">
        <v>13</v>
      </c>
      <c r="O43" s="10">
        <f t="shared" si="4"/>
        <v>1.3669821240799158</v>
      </c>
      <c r="P43" s="10">
        <v>26</v>
      </c>
      <c r="Q43" s="10">
        <v>0</v>
      </c>
      <c r="R43" s="275" t="s">
        <v>39</v>
      </c>
      <c r="S43" s="289">
        <v>44634</v>
      </c>
      <c r="T43" s="284"/>
      <c r="U43" s="321">
        <v>23.07</v>
      </c>
      <c r="V43" s="336"/>
      <c r="W43" s="245"/>
      <c r="X43" s="245"/>
      <c r="Y43" s="245"/>
      <c r="Z43" s="245"/>
      <c r="AA43" s="245"/>
      <c r="AB43" s="284" t="s">
        <v>39</v>
      </c>
      <c r="AC43" s="331">
        <v>16</v>
      </c>
      <c r="AD43" s="279" t="s">
        <v>1220</v>
      </c>
      <c r="AE43" s="275"/>
      <c r="AF43" s="275"/>
    </row>
    <row r="44" spans="1:32" ht="15.75">
      <c r="A44" s="341">
        <v>34</v>
      </c>
      <c r="B44" s="274" t="s">
        <v>33</v>
      </c>
      <c r="C44" s="274" t="s">
        <v>2406</v>
      </c>
      <c r="D44" s="10" t="s">
        <v>2472</v>
      </c>
      <c r="E44" s="16" t="s">
        <v>2473</v>
      </c>
      <c r="F44" s="10" t="s">
        <v>2474</v>
      </c>
      <c r="G44" s="10">
        <v>220</v>
      </c>
      <c r="H44" s="10">
        <v>69</v>
      </c>
      <c r="I44" s="10">
        <v>403</v>
      </c>
      <c r="J44" s="10">
        <v>197</v>
      </c>
      <c r="K44" s="10">
        <v>206</v>
      </c>
      <c r="L44" s="10">
        <v>67</v>
      </c>
      <c r="M44" s="10">
        <f t="shared" si="3"/>
        <v>16.625310173697269</v>
      </c>
      <c r="N44" s="10">
        <v>69</v>
      </c>
      <c r="O44" s="10">
        <f t="shared" si="4"/>
        <v>17.121588089330025</v>
      </c>
      <c r="P44" s="10">
        <v>14</v>
      </c>
      <c r="Q44" s="10">
        <v>0</v>
      </c>
      <c r="R44" s="275"/>
      <c r="S44" s="275"/>
      <c r="T44" s="284"/>
      <c r="U44" s="317"/>
      <c r="V44" s="336"/>
      <c r="W44" s="245"/>
      <c r="X44" s="245"/>
      <c r="Y44" s="245"/>
      <c r="Z44" s="245"/>
      <c r="AA44" s="245"/>
      <c r="AB44" s="284" t="s">
        <v>39</v>
      </c>
      <c r="AC44" s="317">
        <v>14</v>
      </c>
      <c r="AD44" s="279" t="s">
        <v>1220</v>
      </c>
      <c r="AE44" s="275"/>
      <c r="AF44" s="275"/>
    </row>
    <row r="45" spans="1:32" ht="15.75">
      <c r="A45" s="341" t="s">
        <v>51</v>
      </c>
      <c r="B45" s="274" t="s">
        <v>33</v>
      </c>
      <c r="C45" s="274" t="s">
        <v>2406</v>
      </c>
      <c r="D45" s="10" t="s">
        <v>2472</v>
      </c>
      <c r="E45" s="16" t="s">
        <v>2473</v>
      </c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275"/>
      <c r="S45" s="275"/>
      <c r="T45" s="284"/>
      <c r="U45" s="317"/>
      <c r="V45" s="336"/>
      <c r="W45" s="245"/>
      <c r="X45" s="245"/>
      <c r="Y45" s="245"/>
      <c r="Z45" s="245"/>
      <c r="AA45" s="245"/>
      <c r="AB45" s="284" t="s">
        <v>39</v>
      </c>
      <c r="AC45" s="317">
        <v>6</v>
      </c>
      <c r="AD45" s="279" t="s">
        <v>1220</v>
      </c>
      <c r="AE45" s="275"/>
      <c r="AF45" s="275"/>
    </row>
    <row r="46" spans="1:32" ht="15.75">
      <c r="A46" s="318">
        <v>35</v>
      </c>
      <c r="B46" s="274" t="s">
        <v>33</v>
      </c>
      <c r="C46" s="274" t="s">
        <v>2406</v>
      </c>
      <c r="D46" s="10" t="s">
        <v>2472</v>
      </c>
      <c r="E46" s="10" t="s">
        <v>2475</v>
      </c>
      <c r="F46" s="10" t="s">
        <v>2476</v>
      </c>
      <c r="G46" s="10">
        <v>382</v>
      </c>
      <c r="H46" s="10">
        <v>83</v>
      </c>
      <c r="I46" s="10">
        <v>397</v>
      </c>
      <c r="J46" s="10">
        <v>207</v>
      </c>
      <c r="K46" s="10">
        <v>190</v>
      </c>
      <c r="L46" s="10">
        <v>86</v>
      </c>
      <c r="M46" s="10">
        <f t="shared" si="3"/>
        <v>21.662468513853906</v>
      </c>
      <c r="N46" s="10">
        <v>186</v>
      </c>
      <c r="O46" s="10">
        <f t="shared" si="4"/>
        <v>46.851385390428213</v>
      </c>
      <c r="P46" s="10">
        <v>37</v>
      </c>
      <c r="Q46" s="10">
        <v>0</v>
      </c>
      <c r="R46" s="275" t="s">
        <v>39</v>
      </c>
      <c r="S46" s="296">
        <v>44610</v>
      </c>
      <c r="T46" s="284"/>
      <c r="U46" s="327">
        <v>94.4</v>
      </c>
      <c r="V46" s="336"/>
      <c r="W46" s="245"/>
      <c r="X46" s="245"/>
      <c r="Y46" s="245"/>
      <c r="Z46" s="245"/>
      <c r="AA46" s="245"/>
      <c r="AB46" s="284"/>
      <c r="AC46" s="327">
        <v>10</v>
      </c>
      <c r="AD46" s="279"/>
      <c r="AE46" s="275"/>
      <c r="AF46" s="275"/>
    </row>
    <row r="47" spans="1:32" ht="15.75">
      <c r="A47" s="318" t="s">
        <v>51</v>
      </c>
      <c r="B47" s="274" t="s">
        <v>33</v>
      </c>
      <c r="C47" s="274" t="s">
        <v>2406</v>
      </c>
      <c r="D47" s="10" t="s">
        <v>2472</v>
      </c>
      <c r="E47" s="10" t="s">
        <v>2475</v>
      </c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275"/>
      <c r="S47" s="296"/>
      <c r="T47" s="284"/>
      <c r="U47" s="327"/>
      <c r="V47" s="336"/>
      <c r="W47" s="245"/>
      <c r="X47" s="245"/>
      <c r="Y47" s="245"/>
      <c r="Z47" s="245"/>
      <c r="AA47" s="245"/>
      <c r="AB47" s="284" t="s">
        <v>39</v>
      </c>
      <c r="AC47" s="327">
        <v>9</v>
      </c>
      <c r="AD47" s="279" t="s">
        <v>1220</v>
      </c>
      <c r="AE47" s="275">
        <v>24.955400000000001</v>
      </c>
      <c r="AF47" s="275">
        <v>76.633799999999994</v>
      </c>
    </row>
    <row r="48" spans="1:32" ht="15.75">
      <c r="A48" s="318">
        <v>36</v>
      </c>
      <c r="B48" s="274" t="s">
        <v>33</v>
      </c>
      <c r="C48" s="274" t="s">
        <v>2406</v>
      </c>
      <c r="D48" s="10" t="s">
        <v>2472</v>
      </c>
      <c r="E48" s="10" t="s">
        <v>2477</v>
      </c>
      <c r="F48" s="10" t="s">
        <v>2478</v>
      </c>
      <c r="G48" s="10">
        <v>173</v>
      </c>
      <c r="H48" s="10">
        <v>113</v>
      </c>
      <c r="I48" s="10">
        <v>540</v>
      </c>
      <c r="J48" s="10">
        <v>276</v>
      </c>
      <c r="K48" s="10">
        <v>264</v>
      </c>
      <c r="L48" s="10">
        <v>80</v>
      </c>
      <c r="M48" s="10">
        <f t="shared" si="3"/>
        <v>14.814814814814813</v>
      </c>
      <c r="N48" s="10">
        <v>191</v>
      </c>
      <c r="O48" s="10">
        <f t="shared" si="4"/>
        <v>35.370370370370367</v>
      </c>
      <c r="P48" s="10">
        <v>16</v>
      </c>
      <c r="Q48" s="10">
        <v>0</v>
      </c>
      <c r="R48" s="275" t="s">
        <v>39</v>
      </c>
      <c r="S48" s="296">
        <v>44611</v>
      </c>
      <c r="T48" s="284"/>
      <c r="U48" s="327">
        <v>80.099999999999994</v>
      </c>
      <c r="V48" s="336"/>
      <c r="W48" s="245"/>
      <c r="X48" s="245"/>
      <c r="Y48" s="245"/>
      <c r="Z48" s="245"/>
      <c r="AA48" s="245"/>
      <c r="AB48" s="284"/>
      <c r="AC48" s="327"/>
      <c r="AD48" s="279"/>
      <c r="AE48" s="275"/>
      <c r="AF48" s="275"/>
    </row>
    <row r="49" spans="1:32" ht="15.75">
      <c r="A49" s="318">
        <v>37</v>
      </c>
      <c r="B49" s="274" t="s">
        <v>33</v>
      </c>
      <c r="C49" s="274" t="s">
        <v>2406</v>
      </c>
      <c r="D49" s="10" t="s">
        <v>2472</v>
      </c>
      <c r="E49" s="10" t="s">
        <v>2479</v>
      </c>
      <c r="F49" s="10" t="s">
        <v>2480</v>
      </c>
      <c r="G49" s="10">
        <v>68</v>
      </c>
      <c r="H49" s="10">
        <v>145</v>
      </c>
      <c r="I49" s="10">
        <v>778</v>
      </c>
      <c r="J49" s="10">
        <v>397</v>
      </c>
      <c r="K49" s="10">
        <v>381</v>
      </c>
      <c r="L49" s="10">
        <v>114</v>
      </c>
      <c r="M49" s="10">
        <f t="shared" si="3"/>
        <v>14.652956298200515</v>
      </c>
      <c r="N49" s="10">
        <v>27</v>
      </c>
      <c r="O49" s="10">
        <f t="shared" si="4"/>
        <v>3.4704370179948589</v>
      </c>
      <c r="P49" s="10">
        <v>0</v>
      </c>
      <c r="Q49" s="10">
        <v>0</v>
      </c>
      <c r="R49" s="275"/>
      <c r="S49" s="296">
        <v>44612</v>
      </c>
      <c r="T49" s="284"/>
      <c r="U49" s="323">
        <v>19.72</v>
      </c>
      <c r="V49" s="336"/>
      <c r="W49" s="245"/>
      <c r="X49" s="245"/>
      <c r="Y49" s="245"/>
      <c r="Z49" s="245"/>
      <c r="AA49" s="245"/>
      <c r="AB49" s="284"/>
      <c r="AC49" s="323"/>
      <c r="AD49" s="275"/>
      <c r="AE49" s="275"/>
      <c r="AF49" s="275"/>
    </row>
    <row r="50" spans="1:32" ht="15.75">
      <c r="A50" s="318">
        <v>38</v>
      </c>
      <c r="B50" s="274" t="s">
        <v>33</v>
      </c>
      <c r="C50" s="274" t="s">
        <v>2406</v>
      </c>
      <c r="D50" s="10" t="s">
        <v>2472</v>
      </c>
      <c r="E50" s="10" t="s">
        <v>2481</v>
      </c>
      <c r="F50" s="10" t="s">
        <v>2482</v>
      </c>
      <c r="G50" s="10">
        <v>378</v>
      </c>
      <c r="H50" s="10">
        <v>14</v>
      </c>
      <c r="I50" s="10">
        <v>60</v>
      </c>
      <c r="J50" s="10">
        <v>28</v>
      </c>
      <c r="K50" s="10">
        <v>32</v>
      </c>
      <c r="L50" s="10">
        <v>0</v>
      </c>
      <c r="M50" s="10">
        <f t="shared" si="3"/>
        <v>0</v>
      </c>
      <c r="N50" s="10">
        <v>0</v>
      </c>
      <c r="O50" s="10">
        <f t="shared" si="4"/>
        <v>0</v>
      </c>
      <c r="P50" s="10">
        <v>11</v>
      </c>
      <c r="Q50" s="10">
        <v>0</v>
      </c>
      <c r="R50" s="275" t="s">
        <v>39</v>
      </c>
      <c r="S50" s="296">
        <v>44613</v>
      </c>
      <c r="T50" s="284"/>
      <c r="U50" s="327">
        <v>84.08</v>
      </c>
      <c r="V50" s="336"/>
      <c r="W50" s="245"/>
      <c r="X50" s="245"/>
      <c r="Y50" s="245"/>
      <c r="Z50" s="245"/>
      <c r="AA50" s="245"/>
      <c r="AB50" s="284" t="s">
        <v>39</v>
      </c>
      <c r="AC50" s="327">
        <v>20</v>
      </c>
      <c r="AD50" s="279" t="s">
        <v>1220</v>
      </c>
      <c r="AE50" s="275">
        <v>24.957799999999999</v>
      </c>
      <c r="AF50" s="275">
        <v>76.596299999999999</v>
      </c>
    </row>
    <row r="51" spans="1:32" ht="15.75">
      <c r="A51" s="318">
        <v>39</v>
      </c>
      <c r="B51" s="274" t="s">
        <v>33</v>
      </c>
      <c r="C51" s="274" t="s">
        <v>2406</v>
      </c>
      <c r="D51" s="10" t="s">
        <v>2472</v>
      </c>
      <c r="E51" s="10" t="s">
        <v>2483</v>
      </c>
      <c r="F51" s="10" t="s">
        <v>2484</v>
      </c>
      <c r="G51" s="10">
        <v>654.1</v>
      </c>
      <c r="H51" s="10">
        <v>190</v>
      </c>
      <c r="I51" s="10">
        <v>804</v>
      </c>
      <c r="J51" s="10">
        <v>412</v>
      </c>
      <c r="K51" s="10">
        <v>392</v>
      </c>
      <c r="L51" s="10">
        <v>183</v>
      </c>
      <c r="M51" s="10">
        <f t="shared" si="3"/>
        <v>22.761194029850746</v>
      </c>
      <c r="N51" s="10">
        <v>151</v>
      </c>
      <c r="O51" s="10">
        <f t="shared" si="4"/>
        <v>18.781094527363184</v>
      </c>
      <c r="P51" s="10">
        <v>71.02</v>
      </c>
      <c r="Q51" s="10">
        <v>164.01</v>
      </c>
      <c r="R51" s="275" t="s">
        <v>39</v>
      </c>
      <c r="S51" s="296">
        <v>44614</v>
      </c>
      <c r="T51" s="291"/>
      <c r="U51" s="327">
        <v>23.07</v>
      </c>
      <c r="V51" s="336"/>
      <c r="W51" s="245"/>
      <c r="X51" s="245"/>
      <c r="Y51" s="245"/>
      <c r="Z51" s="245"/>
      <c r="AA51" s="245"/>
      <c r="AB51" s="284"/>
      <c r="AC51" s="327"/>
      <c r="AD51" s="279"/>
      <c r="AE51" s="275"/>
      <c r="AF51" s="275"/>
    </row>
    <row r="52" spans="1:32" ht="15.75">
      <c r="A52" s="318">
        <v>40</v>
      </c>
      <c r="B52" s="274" t="s">
        <v>33</v>
      </c>
      <c r="C52" s="274" t="s">
        <v>2406</v>
      </c>
      <c r="D52" s="10" t="s">
        <v>2472</v>
      </c>
      <c r="E52" s="10" t="s">
        <v>2485</v>
      </c>
      <c r="F52" s="10" t="s">
        <v>2486</v>
      </c>
      <c r="G52" s="10">
        <v>549.4</v>
      </c>
      <c r="H52" s="10">
        <v>146</v>
      </c>
      <c r="I52" s="10">
        <v>813</v>
      </c>
      <c r="J52" s="10">
        <v>428</v>
      </c>
      <c r="K52" s="10">
        <v>385</v>
      </c>
      <c r="L52" s="10">
        <v>112</v>
      </c>
      <c r="M52" s="10">
        <f t="shared" si="3"/>
        <v>13.776137761377614</v>
      </c>
      <c r="N52" s="10">
        <v>14</v>
      </c>
      <c r="O52" s="10">
        <f t="shared" si="4"/>
        <v>1.7220172201722017</v>
      </c>
      <c r="P52" s="10">
        <v>75.02</v>
      </c>
      <c r="Q52" s="10">
        <v>181.05</v>
      </c>
      <c r="R52" s="275" t="s">
        <v>39</v>
      </c>
      <c r="S52" s="298">
        <v>46249</v>
      </c>
      <c r="T52" s="284"/>
      <c r="U52" s="328">
        <v>2.1800000000000002</v>
      </c>
      <c r="V52" s="336"/>
      <c r="W52" s="245"/>
      <c r="X52" s="245"/>
      <c r="Y52" s="245"/>
      <c r="Z52" s="245"/>
      <c r="AA52" s="245"/>
      <c r="AB52" s="284"/>
      <c r="AC52" s="328"/>
      <c r="AD52" s="279"/>
      <c r="AE52" s="299">
        <v>24.970700000000001</v>
      </c>
      <c r="AF52" s="299">
        <v>76.616434999999996</v>
      </c>
    </row>
    <row r="53" spans="1:32" ht="15.75">
      <c r="A53" s="318">
        <v>41</v>
      </c>
      <c r="B53" s="274" t="s">
        <v>33</v>
      </c>
      <c r="C53" s="274" t="s">
        <v>2406</v>
      </c>
      <c r="D53" s="10" t="s">
        <v>2472</v>
      </c>
      <c r="E53" s="10" t="s">
        <v>101</v>
      </c>
      <c r="F53" s="10" t="s">
        <v>2487</v>
      </c>
      <c r="G53" s="10">
        <v>731.44</v>
      </c>
      <c r="H53" s="10">
        <v>145</v>
      </c>
      <c r="I53" s="10">
        <v>663</v>
      </c>
      <c r="J53" s="10">
        <v>361</v>
      </c>
      <c r="K53" s="10">
        <v>302</v>
      </c>
      <c r="L53" s="10">
        <v>44</v>
      </c>
      <c r="M53" s="10">
        <f t="shared" si="3"/>
        <v>6.6365007541478134</v>
      </c>
      <c r="N53" s="10">
        <v>144</v>
      </c>
      <c r="O53" s="10">
        <f t="shared" si="4"/>
        <v>21.719457013574662</v>
      </c>
      <c r="P53" s="10">
        <v>49.05</v>
      </c>
      <c r="Q53" s="10">
        <v>62.07</v>
      </c>
      <c r="R53" s="28"/>
      <c r="S53" s="300"/>
      <c r="T53" s="284"/>
      <c r="U53" s="328"/>
      <c r="V53" s="336"/>
      <c r="W53" s="245"/>
      <c r="X53" s="245"/>
      <c r="Y53" s="245"/>
      <c r="Z53" s="245"/>
      <c r="AA53" s="245"/>
      <c r="AB53" s="284"/>
      <c r="AC53" s="328"/>
      <c r="AD53" s="279"/>
      <c r="AE53" s="28">
        <v>24.968</v>
      </c>
      <c r="AF53" s="28">
        <v>76.607500000000002</v>
      </c>
    </row>
    <row r="54" spans="1:32" ht="15.75">
      <c r="A54" s="318">
        <v>42</v>
      </c>
      <c r="B54" s="274" t="s">
        <v>33</v>
      </c>
      <c r="C54" s="274" t="s">
        <v>2406</v>
      </c>
      <c r="D54" s="10" t="s">
        <v>2488</v>
      </c>
      <c r="E54" s="16" t="s">
        <v>2489</v>
      </c>
      <c r="F54" s="10" t="s">
        <v>2490</v>
      </c>
      <c r="G54" s="10">
        <v>531.41999999999996</v>
      </c>
      <c r="H54" s="10">
        <v>86</v>
      </c>
      <c r="I54" s="10">
        <v>479</v>
      </c>
      <c r="J54" s="10">
        <v>257</v>
      </c>
      <c r="K54" s="10">
        <v>222</v>
      </c>
      <c r="L54" s="10">
        <v>54</v>
      </c>
      <c r="M54" s="10">
        <f t="shared" si="3"/>
        <v>11.273486430062631</v>
      </c>
      <c r="N54" s="10">
        <v>234</v>
      </c>
      <c r="O54" s="10">
        <f t="shared" si="4"/>
        <v>48.851774530271399</v>
      </c>
      <c r="P54" s="10">
        <v>30.02</v>
      </c>
      <c r="Q54" s="10">
        <v>66.08</v>
      </c>
      <c r="R54" s="275" t="s">
        <v>39</v>
      </c>
      <c r="S54" s="301">
        <v>46249</v>
      </c>
      <c r="T54" s="284"/>
      <c r="U54" s="329">
        <v>25.5</v>
      </c>
      <c r="V54" s="336"/>
      <c r="W54" s="245"/>
      <c r="X54" s="245"/>
      <c r="Y54" s="245"/>
      <c r="Z54" s="245"/>
      <c r="AA54" s="245"/>
      <c r="AB54" s="284" t="s">
        <v>39</v>
      </c>
      <c r="AC54" s="329">
        <v>12</v>
      </c>
      <c r="AD54" s="279" t="s">
        <v>1220</v>
      </c>
      <c r="AE54" s="275"/>
      <c r="AF54" s="275"/>
    </row>
    <row r="55" spans="1:32" ht="15.75">
      <c r="A55" s="318">
        <v>43</v>
      </c>
      <c r="B55" s="274" t="s">
        <v>33</v>
      </c>
      <c r="C55" s="274" t="s">
        <v>2406</v>
      </c>
      <c r="D55" s="10" t="s">
        <v>2488</v>
      </c>
      <c r="E55" s="10" t="s">
        <v>2491</v>
      </c>
      <c r="F55" s="10" t="s">
        <v>2492</v>
      </c>
      <c r="G55" s="10">
        <v>903.1</v>
      </c>
      <c r="H55" s="10">
        <v>56</v>
      </c>
      <c r="I55" s="10">
        <v>276</v>
      </c>
      <c r="J55" s="10">
        <v>141</v>
      </c>
      <c r="K55" s="10">
        <v>135</v>
      </c>
      <c r="L55" s="10">
        <v>19</v>
      </c>
      <c r="M55" s="10">
        <f t="shared" si="3"/>
        <v>6.8840579710144931</v>
      </c>
      <c r="N55" s="10">
        <v>52</v>
      </c>
      <c r="O55" s="10">
        <f t="shared" si="4"/>
        <v>18.840579710144929</v>
      </c>
      <c r="P55" s="10">
        <v>9.07</v>
      </c>
      <c r="Q55" s="10">
        <v>96.08</v>
      </c>
      <c r="R55" s="275"/>
      <c r="S55" s="301">
        <v>46249</v>
      </c>
      <c r="T55" s="291"/>
      <c r="U55" s="329"/>
      <c r="V55" s="336"/>
      <c r="W55" s="245"/>
      <c r="X55" s="245"/>
      <c r="Y55" s="245"/>
      <c r="Z55" s="245"/>
      <c r="AA55" s="245"/>
      <c r="AB55" s="284"/>
      <c r="AC55" s="329"/>
      <c r="AD55" s="279"/>
      <c r="AE55" s="28">
        <v>24.7836</v>
      </c>
      <c r="AF55" s="28">
        <v>76.666399999999996</v>
      </c>
    </row>
    <row r="56" spans="1:32" ht="15.75">
      <c r="A56" s="318">
        <v>44</v>
      </c>
      <c r="B56" s="274" t="s">
        <v>33</v>
      </c>
      <c r="C56" s="274" t="s">
        <v>2406</v>
      </c>
      <c r="D56" s="10" t="s">
        <v>2488</v>
      </c>
      <c r="E56" s="10" t="s">
        <v>1348</v>
      </c>
      <c r="F56" s="10" t="s">
        <v>2493</v>
      </c>
      <c r="G56" s="10">
        <v>1398</v>
      </c>
      <c r="H56" s="10">
        <v>379</v>
      </c>
      <c r="I56" s="10">
        <v>1816</v>
      </c>
      <c r="J56" s="10">
        <v>964</v>
      </c>
      <c r="K56" s="10">
        <v>852</v>
      </c>
      <c r="L56" s="10">
        <v>355</v>
      </c>
      <c r="M56" s="10">
        <f t="shared" si="3"/>
        <v>19.548458149779734</v>
      </c>
      <c r="N56" s="10">
        <v>424</v>
      </c>
      <c r="O56" s="10">
        <f t="shared" si="4"/>
        <v>23.348017621145374</v>
      </c>
      <c r="P56" s="10">
        <v>109</v>
      </c>
      <c r="Q56" s="10">
        <v>0</v>
      </c>
      <c r="R56" s="275" t="s">
        <v>39</v>
      </c>
      <c r="S56" s="301">
        <v>46249</v>
      </c>
      <c r="T56" s="291"/>
      <c r="U56" s="317"/>
      <c r="V56" s="336"/>
      <c r="W56" s="245"/>
      <c r="X56" s="245"/>
      <c r="Y56" s="245"/>
      <c r="Z56" s="245"/>
      <c r="AA56" s="245"/>
      <c r="AB56" s="284"/>
      <c r="AC56" s="317"/>
      <c r="AD56" s="275"/>
      <c r="AE56" s="275"/>
      <c r="AF56" s="275"/>
    </row>
    <row r="57" spans="1:32" ht="15.75">
      <c r="A57" s="318">
        <v>45</v>
      </c>
      <c r="B57" s="274" t="s">
        <v>33</v>
      </c>
      <c r="C57" s="274" t="s">
        <v>2406</v>
      </c>
      <c r="D57" s="10" t="s">
        <v>2488</v>
      </c>
      <c r="E57" s="10" t="s">
        <v>2494</v>
      </c>
      <c r="F57" s="10" t="s">
        <v>2495</v>
      </c>
      <c r="G57" s="10">
        <v>427</v>
      </c>
      <c r="H57" s="10">
        <v>136</v>
      </c>
      <c r="I57" s="10">
        <v>797</v>
      </c>
      <c r="J57" s="10">
        <v>418</v>
      </c>
      <c r="K57" s="10">
        <v>379</v>
      </c>
      <c r="L57" s="10">
        <v>198</v>
      </c>
      <c r="M57" s="10">
        <f t="shared" si="3"/>
        <v>24.843161856963615</v>
      </c>
      <c r="N57" s="10">
        <v>34</v>
      </c>
      <c r="O57" s="10">
        <f t="shared" si="4"/>
        <v>4.2659974905897116</v>
      </c>
      <c r="P57" s="10">
        <v>38</v>
      </c>
      <c r="Q57" s="10">
        <v>55</v>
      </c>
      <c r="R57" s="275" t="s">
        <v>39</v>
      </c>
      <c r="S57" s="301">
        <v>46249</v>
      </c>
      <c r="T57" s="291"/>
      <c r="U57" s="317">
        <v>20.100000000000001</v>
      </c>
      <c r="V57" s="336"/>
      <c r="W57" s="245"/>
      <c r="X57" s="245"/>
      <c r="Y57" s="245"/>
      <c r="Z57" s="245"/>
      <c r="AA57" s="245"/>
      <c r="AB57" s="284" t="s">
        <v>39</v>
      </c>
      <c r="AC57" s="317">
        <v>9</v>
      </c>
      <c r="AD57" s="279" t="s">
        <v>1220</v>
      </c>
      <c r="AE57" s="275">
        <v>24.787099999999999</v>
      </c>
      <c r="AF57" s="275">
        <v>76.650800000000004</v>
      </c>
    </row>
    <row r="58" spans="1:32" ht="15.75">
      <c r="A58" s="318">
        <v>46</v>
      </c>
      <c r="B58" s="274" t="s">
        <v>33</v>
      </c>
      <c r="C58" s="274" t="s">
        <v>2406</v>
      </c>
      <c r="D58" s="10" t="s">
        <v>2488</v>
      </c>
      <c r="E58" s="10" t="s">
        <v>896</v>
      </c>
      <c r="F58" s="10" t="s">
        <v>2496</v>
      </c>
      <c r="G58" s="10">
        <v>378</v>
      </c>
      <c r="H58" s="10">
        <v>105</v>
      </c>
      <c r="I58" s="10">
        <v>501</v>
      </c>
      <c r="J58" s="10">
        <v>257</v>
      </c>
      <c r="K58" s="10">
        <v>244</v>
      </c>
      <c r="L58" s="10">
        <v>147</v>
      </c>
      <c r="M58" s="10">
        <f t="shared" si="3"/>
        <v>29.341317365269461</v>
      </c>
      <c r="N58" s="10">
        <v>47</v>
      </c>
      <c r="O58" s="10">
        <f t="shared" si="4"/>
        <v>9.3812375249500999</v>
      </c>
      <c r="P58" s="10">
        <v>0</v>
      </c>
      <c r="Q58" s="10">
        <v>0</v>
      </c>
      <c r="R58" s="275" t="s">
        <v>39</v>
      </c>
      <c r="S58" s="301">
        <v>46249</v>
      </c>
      <c r="T58" s="291"/>
      <c r="U58" s="317"/>
      <c r="V58" s="336"/>
      <c r="W58" s="245"/>
      <c r="X58" s="245"/>
      <c r="Y58" s="245"/>
      <c r="Z58" s="245"/>
      <c r="AA58" s="245"/>
      <c r="AB58" s="284"/>
      <c r="AC58" s="345"/>
      <c r="AD58" s="275"/>
      <c r="AE58" s="299"/>
      <c r="AF58" s="299"/>
    </row>
    <row r="59" spans="1:32" ht="15.75">
      <c r="A59" s="318">
        <v>47</v>
      </c>
      <c r="B59" s="274" t="s">
        <v>33</v>
      </c>
      <c r="C59" s="274" t="s">
        <v>2406</v>
      </c>
      <c r="D59" s="10" t="s">
        <v>2497</v>
      </c>
      <c r="E59" s="16" t="s">
        <v>2498</v>
      </c>
      <c r="F59" s="10" t="s">
        <v>2499</v>
      </c>
      <c r="G59" s="10">
        <v>1503</v>
      </c>
      <c r="H59" s="10">
        <v>262</v>
      </c>
      <c r="I59" s="10">
        <v>1343</v>
      </c>
      <c r="J59" s="10">
        <v>710</v>
      </c>
      <c r="K59" s="10">
        <v>633</v>
      </c>
      <c r="L59" s="10">
        <v>386</v>
      </c>
      <c r="M59" s="10">
        <f t="shared" si="3"/>
        <v>28.741623231571111</v>
      </c>
      <c r="N59" s="10">
        <v>491</v>
      </c>
      <c r="O59" s="10">
        <f t="shared" si="4"/>
        <v>36.559940431868945</v>
      </c>
      <c r="P59" s="10">
        <v>96</v>
      </c>
      <c r="Q59" s="10">
        <v>13</v>
      </c>
      <c r="R59" s="275" t="s">
        <v>39</v>
      </c>
      <c r="S59" s="275" t="s">
        <v>2708</v>
      </c>
      <c r="T59" s="291"/>
      <c r="U59" s="330">
        <v>77.510000000000005</v>
      </c>
      <c r="V59" s="336"/>
      <c r="W59" s="245"/>
      <c r="X59" s="245"/>
      <c r="Y59" s="245"/>
      <c r="Z59" s="245"/>
      <c r="AA59" s="245"/>
      <c r="AB59" s="284"/>
      <c r="AC59" s="345"/>
      <c r="AD59" s="275"/>
      <c r="AE59" s="275"/>
      <c r="AF59" s="275"/>
    </row>
    <row r="60" spans="1:32" ht="15.75">
      <c r="A60" s="318" t="s">
        <v>51</v>
      </c>
      <c r="B60" s="274" t="s">
        <v>33</v>
      </c>
      <c r="C60" s="274" t="s">
        <v>2406</v>
      </c>
      <c r="D60" s="10" t="s">
        <v>2497</v>
      </c>
      <c r="E60" s="16" t="s">
        <v>2498</v>
      </c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275"/>
      <c r="S60" s="275"/>
      <c r="T60" s="291"/>
      <c r="U60" s="330"/>
      <c r="V60" s="336"/>
      <c r="W60" s="245"/>
      <c r="X60" s="245"/>
      <c r="Y60" s="245"/>
      <c r="Z60" s="245"/>
      <c r="AA60" s="245"/>
      <c r="AB60" s="284" t="s">
        <v>39</v>
      </c>
      <c r="AC60" s="345">
        <v>3</v>
      </c>
      <c r="AD60" s="279" t="s">
        <v>1220</v>
      </c>
      <c r="AE60" s="275">
        <v>24.757000000000001</v>
      </c>
      <c r="AF60" s="275">
        <v>76.671000000000006</v>
      </c>
    </row>
    <row r="61" spans="1:32" ht="15.75">
      <c r="A61" s="318" t="s">
        <v>51</v>
      </c>
      <c r="B61" s="274" t="s">
        <v>33</v>
      </c>
      <c r="C61" s="274" t="s">
        <v>2406</v>
      </c>
      <c r="D61" s="10" t="s">
        <v>2497</v>
      </c>
      <c r="E61" s="16" t="s">
        <v>2498</v>
      </c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275"/>
      <c r="S61" s="275"/>
      <c r="T61" s="291"/>
      <c r="U61" s="330"/>
      <c r="V61" s="336"/>
      <c r="W61" s="245"/>
      <c r="X61" s="245"/>
      <c r="Y61" s="245"/>
      <c r="Z61" s="245"/>
      <c r="AA61" s="245"/>
      <c r="AB61" s="284" t="s">
        <v>39</v>
      </c>
      <c r="AC61" s="345">
        <v>11</v>
      </c>
      <c r="AD61" s="279" t="s">
        <v>1220</v>
      </c>
      <c r="AE61" s="275"/>
      <c r="AF61" s="275"/>
    </row>
    <row r="62" spans="1:32" ht="15.75">
      <c r="A62" s="342">
        <v>48</v>
      </c>
      <c r="B62" s="274" t="s">
        <v>33</v>
      </c>
      <c r="C62" s="274" t="s">
        <v>2406</v>
      </c>
      <c r="D62" s="10" t="s">
        <v>2497</v>
      </c>
      <c r="E62" s="10" t="s">
        <v>2500</v>
      </c>
      <c r="F62" s="10" t="s">
        <v>2501</v>
      </c>
      <c r="G62" s="10">
        <v>1092</v>
      </c>
      <c r="H62" s="10">
        <v>181</v>
      </c>
      <c r="I62" s="10">
        <v>957</v>
      </c>
      <c r="J62" s="10">
        <v>473</v>
      </c>
      <c r="K62" s="10">
        <v>484</v>
      </c>
      <c r="L62" s="10">
        <v>220</v>
      </c>
      <c r="M62" s="10">
        <f t="shared" si="3"/>
        <v>22.988505747126435</v>
      </c>
      <c r="N62" s="10">
        <v>354</v>
      </c>
      <c r="O62" s="10">
        <f t="shared" si="4"/>
        <v>36.990595611285265</v>
      </c>
      <c r="P62" s="10">
        <v>62</v>
      </c>
      <c r="Q62" s="10">
        <v>0</v>
      </c>
      <c r="R62" s="275" t="s">
        <v>39</v>
      </c>
      <c r="S62" s="275" t="s">
        <v>2708</v>
      </c>
      <c r="T62" s="291"/>
      <c r="U62" s="330">
        <v>31</v>
      </c>
      <c r="V62" s="336"/>
      <c r="W62" s="245"/>
      <c r="X62" s="245"/>
      <c r="Y62" s="245"/>
      <c r="Z62" s="245"/>
      <c r="AA62" s="245"/>
      <c r="AB62" s="284" t="s">
        <v>39</v>
      </c>
      <c r="AC62" s="329">
        <v>13</v>
      </c>
      <c r="AD62" s="279" t="s">
        <v>1220</v>
      </c>
      <c r="AE62" s="275">
        <v>25.1</v>
      </c>
      <c r="AF62" s="275">
        <v>75.52</v>
      </c>
    </row>
    <row r="63" spans="1:32" ht="15.75">
      <c r="A63" s="340">
        <v>49</v>
      </c>
      <c r="B63" s="274" t="s">
        <v>33</v>
      </c>
      <c r="C63" s="274" t="s">
        <v>2406</v>
      </c>
      <c r="D63" s="10" t="s">
        <v>2497</v>
      </c>
      <c r="E63" s="10" t="s">
        <v>2502</v>
      </c>
      <c r="F63" s="10" t="s">
        <v>2503</v>
      </c>
      <c r="G63" s="10">
        <v>205.68</v>
      </c>
      <c r="H63" s="10">
        <v>77</v>
      </c>
      <c r="I63" s="10">
        <v>323</v>
      </c>
      <c r="J63" s="10">
        <v>166</v>
      </c>
      <c r="K63" s="10">
        <v>157</v>
      </c>
      <c r="L63" s="10">
        <v>128</v>
      </c>
      <c r="M63" s="10">
        <f t="shared" si="3"/>
        <v>39.628482972136226</v>
      </c>
      <c r="N63" s="10">
        <v>148</v>
      </c>
      <c r="O63" s="10">
        <f t="shared" si="4"/>
        <v>45.820433436532511</v>
      </c>
      <c r="P63" s="10">
        <v>17.260000000000002</v>
      </c>
      <c r="Q63" s="10">
        <v>0</v>
      </c>
      <c r="R63" s="275" t="s">
        <v>39</v>
      </c>
      <c r="S63" s="275" t="s">
        <v>2708</v>
      </c>
      <c r="T63" s="291"/>
      <c r="U63" s="330">
        <v>45</v>
      </c>
      <c r="V63" s="336"/>
      <c r="W63" s="245"/>
      <c r="X63" s="245"/>
      <c r="Y63" s="245"/>
      <c r="Z63" s="245"/>
      <c r="AA63" s="245"/>
      <c r="AB63" s="284" t="s">
        <v>39</v>
      </c>
      <c r="AC63" s="317">
        <v>8</v>
      </c>
      <c r="AD63" s="279" t="s">
        <v>1220</v>
      </c>
      <c r="AE63" s="275">
        <v>24.742999999999999</v>
      </c>
      <c r="AF63" s="275">
        <v>76.6815</v>
      </c>
    </row>
    <row r="64" spans="1:32" ht="15.75">
      <c r="A64" s="318">
        <v>50</v>
      </c>
      <c r="B64" s="274" t="s">
        <v>33</v>
      </c>
      <c r="C64" s="274" t="s">
        <v>2406</v>
      </c>
      <c r="D64" s="10" t="s">
        <v>2504</v>
      </c>
      <c r="E64" s="16" t="s">
        <v>2505</v>
      </c>
      <c r="F64" s="10" t="s">
        <v>2506</v>
      </c>
      <c r="G64" s="10">
        <v>301</v>
      </c>
      <c r="H64" s="10">
        <v>168</v>
      </c>
      <c r="I64" s="10">
        <v>940</v>
      </c>
      <c r="J64" s="10">
        <v>488</v>
      </c>
      <c r="K64" s="10">
        <v>452</v>
      </c>
      <c r="L64" s="10">
        <v>241</v>
      </c>
      <c r="M64" s="10">
        <f t="shared" si="3"/>
        <v>25.638297872340427</v>
      </c>
      <c r="N64" s="10">
        <v>17</v>
      </c>
      <c r="O64" s="10">
        <f t="shared" si="4"/>
        <v>1.8085106382978722</v>
      </c>
      <c r="P64" s="10">
        <v>39</v>
      </c>
      <c r="Q64" s="10">
        <v>0</v>
      </c>
      <c r="R64" s="275" t="s">
        <v>39</v>
      </c>
      <c r="S64" s="275" t="s">
        <v>2708</v>
      </c>
      <c r="T64" s="291"/>
      <c r="U64" s="329">
        <v>82</v>
      </c>
      <c r="V64" s="336"/>
      <c r="W64" s="245"/>
      <c r="X64" s="245"/>
      <c r="Y64" s="245"/>
      <c r="Z64" s="245"/>
      <c r="AA64" s="245"/>
      <c r="AB64" s="284" t="s">
        <v>39</v>
      </c>
      <c r="AC64" s="329">
        <v>25</v>
      </c>
      <c r="AD64" s="279" t="s">
        <v>1220</v>
      </c>
      <c r="AE64" s="28">
        <v>25.442299999999999</v>
      </c>
      <c r="AF64" s="28">
        <v>76.554599999999994</v>
      </c>
    </row>
    <row r="65" spans="1:32" ht="15.75">
      <c r="A65" s="318">
        <v>51</v>
      </c>
      <c r="B65" s="274" t="s">
        <v>33</v>
      </c>
      <c r="C65" s="274" t="s">
        <v>2406</v>
      </c>
      <c r="D65" s="10" t="s">
        <v>2504</v>
      </c>
      <c r="E65" s="10" t="s">
        <v>2507</v>
      </c>
      <c r="F65" s="10" t="s">
        <v>2508</v>
      </c>
      <c r="G65" s="10">
        <v>473</v>
      </c>
      <c r="H65" s="10">
        <v>153</v>
      </c>
      <c r="I65" s="10">
        <v>743</v>
      </c>
      <c r="J65" s="10">
        <v>379</v>
      </c>
      <c r="K65" s="10">
        <v>364</v>
      </c>
      <c r="L65" s="10">
        <v>151</v>
      </c>
      <c r="M65" s="10">
        <f t="shared" si="3"/>
        <v>20.323014804845222</v>
      </c>
      <c r="N65" s="10">
        <v>300</v>
      </c>
      <c r="O65" s="10">
        <f t="shared" si="4"/>
        <v>40.376850605652756</v>
      </c>
      <c r="P65" s="10">
        <v>52</v>
      </c>
      <c r="Q65" s="10">
        <v>0</v>
      </c>
      <c r="R65" s="275"/>
      <c r="S65" s="275"/>
      <c r="T65" s="291"/>
      <c r="U65" s="317"/>
      <c r="V65" s="336"/>
      <c r="W65" s="245"/>
      <c r="X65" s="245"/>
      <c r="Y65" s="245"/>
      <c r="Z65" s="245"/>
      <c r="AA65" s="245"/>
      <c r="AB65" s="284"/>
      <c r="AC65" s="317"/>
      <c r="AD65" s="275"/>
      <c r="AE65" s="28"/>
      <c r="AF65" s="28"/>
    </row>
    <row r="66" spans="1:32" ht="15.75">
      <c r="A66" s="341">
        <v>52</v>
      </c>
      <c r="B66" s="274" t="s">
        <v>33</v>
      </c>
      <c r="C66" s="274" t="s">
        <v>2406</v>
      </c>
      <c r="D66" s="10" t="s">
        <v>2504</v>
      </c>
      <c r="E66" s="10" t="s">
        <v>193</v>
      </c>
      <c r="F66" s="10" t="s">
        <v>2509</v>
      </c>
      <c r="G66" s="10">
        <v>246</v>
      </c>
      <c r="H66" s="10">
        <v>74</v>
      </c>
      <c r="I66" s="10">
        <v>418</v>
      </c>
      <c r="J66" s="10">
        <v>209</v>
      </c>
      <c r="K66" s="10">
        <v>209</v>
      </c>
      <c r="L66" s="10">
        <v>156</v>
      </c>
      <c r="M66" s="10">
        <f t="shared" si="3"/>
        <v>37.320574162679428</v>
      </c>
      <c r="N66" s="10">
        <v>0</v>
      </c>
      <c r="O66" s="10">
        <f t="shared" si="4"/>
        <v>0</v>
      </c>
      <c r="P66" s="10">
        <v>19</v>
      </c>
      <c r="Q66" s="10">
        <v>0</v>
      </c>
      <c r="R66" s="275"/>
      <c r="S66" s="275"/>
      <c r="T66" s="290"/>
      <c r="U66" s="317"/>
      <c r="V66" s="336"/>
      <c r="W66" s="245"/>
      <c r="X66" s="245"/>
      <c r="Y66" s="245"/>
      <c r="Z66" s="245"/>
      <c r="AA66" s="245"/>
      <c r="AB66" s="278"/>
      <c r="AC66" s="317"/>
      <c r="AD66" s="275"/>
      <c r="AE66" s="28"/>
      <c r="AF66" s="28"/>
    </row>
    <row r="67" spans="1:32" ht="15.75">
      <c r="A67" s="318">
        <v>53</v>
      </c>
      <c r="B67" s="274" t="s">
        <v>33</v>
      </c>
      <c r="C67" s="274" t="s">
        <v>2406</v>
      </c>
      <c r="D67" s="10" t="s">
        <v>641</v>
      </c>
      <c r="E67" s="16" t="s">
        <v>56</v>
      </c>
      <c r="F67" s="10" t="s">
        <v>2510</v>
      </c>
      <c r="G67" s="10">
        <v>255</v>
      </c>
      <c r="H67" s="10">
        <v>163</v>
      </c>
      <c r="I67" s="10">
        <v>770</v>
      </c>
      <c r="J67" s="10">
        <v>394</v>
      </c>
      <c r="K67" s="10">
        <v>376</v>
      </c>
      <c r="L67" s="10">
        <v>267</v>
      </c>
      <c r="M67" s="10">
        <f t="shared" si="3"/>
        <v>34.675324675324674</v>
      </c>
      <c r="N67" s="10">
        <v>107</v>
      </c>
      <c r="O67" s="10">
        <f t="shared" si="4"/>
        <v>13.896103896103895</v>
      </c>
      <c r="P67" s="10">
        <v>24</v>
      </c>
      <c r="Q67" s="10">
        <v>0</v>
      </c>
      <c r="R67" s="275" t="s">
        <v>39</v>
      </c>
      <c r="S67" s="301">
        <v>45963</v>
      </c>
      <c r="T67" s="284"/>
      <c r="U67" s="329">
        <v>33.1</v>
      </c>
      <c r="V67" s="336"/>
      <c r="W67" s="245"/>
      <c r="X67" s="245"/>
      <c r="Y67" s="245"/>
      <c r="Z67" s="245"/>
      <c r="AA67" s="245"/>
      <c r="AB67" s="284" t="s">
        <v>39</v>
      </c>
      <c r="AC67" s="329">
        <v>11</v>
      </c>
      <c r="AD67" s="279" t="s">
        <v>1220</v>
      </c>
      <c r="AE67" s="28">
        <v>24.622800000000002</v>
      </c>
      <c r="AF67" s="28">
        <v>76.712199999999996</v>
      </c>
    </row>
    <row r="68" spans="1:32" ht="15.75">
      <c r="A68" s="318" t="s">
        <v>51</v>
      </c>
      <c r="B68" s="274" t="s">
        <v>33</v>
      </c>
      <c r="C68" s="274" t="s">
        <v>2406</v>
      </c>
      <c r="D68" s="10" t="s">
        <v>641</v>
      </c>
      <c r="E68" s="27" t="s">
        <v>56</v>
      </c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275"/>
      <c r="S68" s="301"/>
      <c r="T68" s="284"/>
      <c r="U68" s="329"/>
      <c r="V68" s="336"/>
      <c r="W68" s="245"/>
      <c r="X68" s="245"/>
      <c r="Y68" s="245"/>
      <c r="Z68" s="245"/>
      <c r="AA68" s="245"/>
      <c r="AB68" s="284" t="s">
        <v>39</v>
      </c>
      <c r="AC68" s="329">
        <v>10</v>
      </c>
      <c r="AD68" s="279" t="s">
        <v>1220</v>
      </c>
      <c r="AE68" s="28"/>
      <c r="AF68" s="28"/>
    </row>
    <row r="69" spans="1:32" ht="15.75">
      <c r="A69" s="318" t="s">
        <v>51</v>
      </c>
      <c r="B69" s="274" t="s">
        <v>33</v>
      </c>
      <c r="C69" s="274" t="s">
        <v>2406</v>
      </c>
      <c r="D69" s="10" t="s">
        <v>641</v>
      </c>
      <c r="E69" s="27" t="s">
        <v>56</v>
      </c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275"/>
      <c r="S69" s="301"/>
      <c r="T69" s="284"/>
      <c r="U69" s="329"/>
      <c r="V69" s="336"/>
      <c r="W69" s="245"/>
      <c r="X69" s="245"/>
      <c r="Y69" s="245"/>
      <c r="Z69" s="245"/>
      <c r="AA69" s="245"/>
      <c r="AB69" s="284" t="s">
        <v>39</v>
      </c>
      <c r="AC69" s="329">
        <v>8</v>
      </c>
      <c r="AD69" s="279" t="s">
        <v>1220</v>
      </c>
      <c r="AE69" s="28"/>
      <c r="AF69" s="28"/>
    </row>
    <row r="70" spans="1:32" ht="15.75">
      <c r="A70" s="340">
        <v>54</v>
      </c>
      <c r="B70" s="274" t="s">
        <v>33</v>
      </c>
      <c r="C70" s="274" t="s">
        <v>2406</v>
      </c>
      <c r="D70" s="10" t="s">
        <v>641</v>
      </c>
      <c r="E70" s="10" t="s">
        <v>393</v>
      </c>
      <c r="F70" s="10" t="s">
        <v>2511</v>
      </c>
      <c r="G70" s="10">
        <v>190</v>
      </c>
      <c r="H70" s="10">
        <v>63</v>
      </c>
      <c r="I70" s="10">
        <v>365</v>
      </c>
      <c r="J70" s="10">
        <v>193</v>
      </c>
      <c r="K70" s="10">
        <v>172</v>
      </c>
      <c r="L70" s="10">
        <v>50</v>
      </c>
      <c r="M70" s="10">
        <f t="shared" si="3"/>
        <v>13.698630136986301</v>
      </c>
      <c r="N70" s="10">
        <v>0</v>
      </c>
      <c r="O70" s="10">
        <f t="shared" ref="O70:O131" si="5">N70/I70*100</f>
        <v>0</v>
      </c>
      <c r="P70" s="10">
        <v>12</v>
      </c>
      <c r="Q70" s="10">
        <v>0</v>
      </c>
      <c r="R70" s="275" t="s">
        <v>39</v>
      </c>
      <c r="S70" s="301">
        <v>45963</v>
      </c>
      <c r="T70" s="284"/>
      <c r="U70" s="317"/>
      <c r="V70" s="336"/>
      <c r="W70" s="245"/>
      <c r="X70" s="245"/>
      <c r="Y70" s="245"/>
      <c r="Z70" s="245"/>
      <c r="AA70" s="245"/>
      <c r="AB70" s="284"/>
      <c r="AC70" s="317"/>
      <c r="AD70" s="275"/>
      <c r="AE70" s="275"/>
      <c r="AF70" s="275"/>
    </row>
    <row r="71" spans="1:32" ht="15.75">
      <c r="A71" s="318">
        <v>55</v>
      </c>
      <c r="B71" s="274" t="s">
        <v>33</v>
      </c>
      <c r="C71" s="274" t="s">
        <v>2406</v>
      </c>
      <c r="D71" s="10" t="s">
        <v>641</v>
      </c>
      <c r="E71" s="10" t="s">
        <v>2512</v>
      </c>
      <c r="F71" s="10" t="s">
        <v>2513</v>
      </c>
      <c r="G71" s="10">
        <v>406</v>
      </c>
      <c r="H71" s="10">
        <v>93</v>
      </c>
      <c r="I71" s="10">
        <v>460</v>
      </c>
      <c r="J71" s="10">
        <v>237</v>
      </c>
      <c r="K71" s="10">
        <v>223</v>
      </c>
      <c r="L71" s="10">
        <v>23</v>
      </c>
      <c r="M71" s="10">
        <f t="shared" si="3"/>
        <v>5</v>
      </c>
      <c r="N71" s="10">
        <v>321</v>
      </c>
      <c r="O71" s="10">
        <f t="shared" si="5"/>
        <v>69.782608695652172</v>
      </c>
      <c r="P71" s="10">
        <v>29</v>
      </c>
      <c r="Q71" s="10">
        <v>0</v>
      </c>
      <c r="R71" s="275" t="s">
        <v>39</v>
      </c>
      <c r="S71" s="301">
        <v>45963</v>
      </c>
      <c r="T71" s="284"/>
      <c r="U71" s="329">
        <v>17.12</v>
      </c>
      <c r="V71" s="336"/>
      <c r="W71" s="245"/>
      <c r="X71" s="245"/>
      <c r="Y71" s="245"/>
      <c r="Z71" s="245"/>
      <c r="AA71" s="245"/>
      <c r="AB71" s="284"/>
      <c r="AC71" s="326"/>
      <c r="AD71" s="279"/>
      <c r="AE71" s="275"/>
      <c r="AF71" s="275"/>
    </row>
    <row r="72" spans="1:32" ht="15.75">
      <c r="A72" s="318">
        <v>56</v>
      </c>
      <c r="B72" s="274" t="s">
        <v>33</v>
      </c>
      <c r="C72" s="274" t="s">
        <v>2406</v>
      </c>
      <c r="D72" s="10" t="s">
        <v>641</v>
      </c>
      <c r="E72" s="10" t="s">
        <v>2514</v>
      </c>
      <c r="F72" s="10" t="s">
        <v>2515</v>
      </c>
      <c r="G72" s="10">
        <v>646</v>
      </c>
      <c r="H72" s="10">
        <v>198</v>
      </c>
      <c r="I72" s="10">
        <v>1111</v>
      </c>
      <c r="J72" s="10">
        <v>586</v>
      </c>
      <c r="K72" s="10">
        <v>525</v>
      </c>
      <c r="L72" s="10">
        <v>191</v>
      </c>
      <c r="M72" s="10">
        <f t="shared" si="3"/>
        <v>17.191719171917192</v>
      </c>
      <c r="N72" s="10">
        <v>566</v>
      </c>
      <c r="O72" s="10">
        <f t="shared" si="5"/>
        <v>50.945094509450954</v>
      </c>
      <c r="P72" s="10">
        <v>29</v>
      </c>
      <c r="Q72" s="10">
        <v>0</v>
      </c>
      <c r="R72" s="28"/>
      <c r="S72" s="301"/>
      <c r="T72" s="302"/>
      <c r="U72" s="329">
        <v>26.43</v>
      </c>
      <c r="V72" s="336"/>
      <c r="W72" s="245"/>
      <c r="X72" s="245"/>
      <c r="Y72" s="245"/>
      <c r="Z72" s="245"/>
      <c r="AA72" s="245"/>
      <c r="AB72" s="284" t="s">
        <v>39</v>
      </c>
      <c r="AC72" s="329">
        <v>12</v>
      </c>
      <c r="AD72" s="279" t="s">
        <v>1220</v>
      </c>
      <c r="AE72" s="275">
        <v>24.734999999999999</v>
      </c>
      <c r="AF72" s="275">
        <v>76.733599999999996</v>
      </c>
    </row>
    <row r="73" spans="1:32" ht="15.75">
      <c r="A73" s="318">
        <v>57</v>
      </c>
      <c r="B73" s="274" t="s">
        <v>33</v>
      </c>
      <c r="C73" s="274" t="s">
        <v>2406</v>
      </c>
      <c r="D73" s="10" t="s">
        <v>641</v>
      </c>
      <c r="E73" s="10" t="s">
        <v>1450</v>
      </c>
      <c r="F73" s="10" t="s">
        <v>2516</v>
      </c>
      <c r="G73" s="10">
        <v>402</v>
      </c>
      <c r="H73" s="10">
        <v>81</v>
      </c>
      <c r="I73" s="10">
        <v>438</v>
      </c>
      <c r="J73" s="10">
        <v>238</v>
      </c>
      <c r="K73" s="10">
        <v>200</v>
      </c>
      <c r="L73" s="10">
        <v>224</v>
      </c>
      <c r="M73" s="10">
        <f t="shared" si="3"/>
        <v>51.141552511415526</v>
      </c>
      <c r="N73" s="10">
        <v>115</v>
      </c>
      <c r="O73" s="10">
        <f t="shared" si="5"/>
        <v>26.25570776255708</v>
      </c>
      <c r="P73" s="10">
        <v>27</v>
      </c>
      <c r="Q73" s="10">
        <v>0</v>
      </c>
      <c r="R73" s="28"/>
      <c r="S73" s="301"/>
      <c r="T73" s="291"/>
      <c r="U73" s="329">
        <v>13.32</v>
      </c>
      <c r="V73" s="336"/>
      <c r="W73" s="245"/>
      <c r="X73" s="245"/>
      <c r="Y73" s="245"/>
      <c r="Z73" s="245"/>
      <c r="AA73" s="245"/>
      <c r="AB73" s="284"/>
      <c r="AC73" s="329"/>
      <c r="AD73" s="279"/>
      <c r="AE73" s="275"/>
      <c r="AF73" s="275"/>
    </row>
    <row r="74" spans="1:32" ht="15.75">
      <c r="A74" s="318">
        <v>58</v>
      </c>
      <c r="B74" s="274" t="s">
        <v>33</v>
      </c>
      <c r="C74" s="274" t="s">
        <v>2406</v>
      </c>
      <c r="D74" s="10" t="s">
        <v>641</v>
      </c>
      <c r="E74" s="10" t="s">
        <v>2517</v>
      </c>
      <c r="F74" s="10" t="s">
        <v>2518</v>
      </c>
      <c r="G74" s="10">
        <v>132</v>
      </c>
      <c r="H74" s="10">
        <v>5</v>
      </c>
      <c r="I74" s="10">
        <v>25</v>
      </c>
      <c r="J74" s="10">
        <v>11</v>
      </c>
      <c r="K74" s="10">
        <v>14</v>
      </c>
      <c r="L74" s="10">
        <v>0</v>
      </c>
      <c r="M74" s="10">
        <f t="shared" si="3"/>
        <v>0</v>
      </c>
      <c r="N74" s="10">
        <v>22</v>
      </c>
      <c r="O74" s="10">
        <f t="shared" si="5"/>
        <v>88</v>
      </c>
      <c r="P74" s="10">
        <v>6</v>
      </c>
      <c r="Q74" s="10">
        <v>0</v>
      </c>
      <c r="R74" s="275" t="s">
        <v>39</v>
      </c>
      <c r="S74" s="301">
        <v>45963</v>
      </c>
      <c r="T74" s="291"/>
      <c r="U74" s="329">
        <v>28.3</v>
      </c>
      <c r="V74" s="336"/>
      <c r="W74" s="245"/>
      <c r="X74" s="245"/>
      <c r="Y74" s="245"/>
      <c r="Z74" s="245"/>
      <c r="AA74" s="245"/>
      <c r="AB74" s="284"/>
      <c r="AC74" s="331"/>
      <c r="AD74" s="279"/>
      <c r="AE74" s="275"/>
      <c r="AF74" s="275"/>
    </row>
    <row r="75" spans="1:32" ht="15.75">
      <c r="A75" s="318">
        <v>59</v>
      </c>
      <c r="B75" s="274" t="s">
        <v>33</v>
      </c>
      <c r="C75" s="274" t="s">
        <v>2406</v>
      </c>
      <c r="D75" s="10" t="s">
        <v>2519</v>
      </c>
      <c r="E75" s="16" t="s">
        <v>2520</v>
      </c>
      <c r="F75" s="10" t="s">
        <v>2521</v>
      </c>
      <c r="G75" s="10">
        <v>386</v>
      </c>
      <c r="H75" s="10">
        <v>100</v>
      </c>
      <c r="I75" s="10">
        <v>520</v>
      </c>
      <c r="J75" s="10">
        <v>267</v>
      </c>
      <c r="K75" s="10">
        <v>253</v>
      </c>
      <c r="L75" s="10">
        <v>233</v>
      </c>
      <c r="M75" s="10">
        <f t="shared" si="3"/>
        <v>44.807692307692307</v>
      </c>
      <c r="N75" s="10">
        <v>0</v>
      </c>
      <c r="O75" s="10">
        <f t="shared" si="5"/>
        <v>0</v>
      </c>
      <c r="P75" s="10">
        <v>26</v>
      </c>
      <c r="Q75" s="10">
        <v>0</v>
      </c>
      <c r="R75" s="275" t="s">
        <v>39</v>
      </c>
      <c r="S75" s="303">
        <v>45005</v>
      </c>
      <c r="T75" s="284"/>
      <c r="U75" s="317"/>
      <c r="V75" s="336"/>
      <c r="W75" s="245"/>
      <c r="X75" s="245"/>
      <c r="Y75" s="245"/>
      <c r="Z75" s="245"/>
      <c r="AA75" s="245"/>
      <c r="AB75" s="284"/>
      <c r="AC75" s="331"/>
      <c r="AD75" s="279"/>
      <c r="AE75" s="275"/>
      <c r="AF75" s="275"/>
    </row>
    <row r="76" spans="1:32" ht="15.75">
      <c r="A76" s="318" t="s">
        <v>51</v>
      </c>
      <c r="B76" s="274" t="s">
        <v>33</v>
      </c>
      <c r="C76" s="274" t="s">
        <v>2406</v>
      </c>
      <c r="D76" s="10" t="s">
        <v>2519</v>
      </c>
      <c r="E76" s="16" t="s">
        <v>2520</v>
      </c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275"/>
      <c r="S76" s="303"/>
      <c r="T76" s="284"/>
      <c r="U76" s="317"/>
      <c r="V76" s="336"/>
      <c r="W76" s="245"/>
      <c r="X76" s="245"/>
      <c r="Y76" s="245"/>
      <c r="Z76" s="245"/>
      <c r="AA76" s="245"/>
      <c r="AB76" s="284" t="s">
        <v>39</v>
      </c>
      <c r="AC76" s="331">
        <v>17</v>
      </c>
      <c r="AD76" s="279" t="s">
        <v>1220</v>
      </c>
      <c r="AE76" s="275">
        <v>24.937999999999999</v>
      </c>
      <c r="AF76" s="275">
        <v>76.512</v>
      </c>
    </row>
    <row r="77" spans="1:32" ht="15.75">
      <c r="A77" s="318">
        <v>60</v>
      </c>
      <c r="B77" s="274" t="s">
        <v>33</v>
      </c>
      <c r="C77" s="274" t="s">
        <v>2406</v>
      </c>
      <c r="D77" s="10" t="s">
        <v>2519</v>
      </c>
      <c r="E77" s="10" t="s">
        <v>2522</v>
      </c>
      <c r="F77" s="10" t="s">
        <v>2523</v>
      </c>
      <c r="G77" s="10">
        <v>583</v>
      </c>
      <c r="H77" s="10">
        <v>186</v>
      </c>
      <c r="I77" s="10">
        <v>1065</v>
      </c>
      <c r="J77" s="10">
        <v>538</v>
      </c>
      <c r="K77" s="10">
        <v>527</v>
      </c>
      <c r="L77" s="10">
        <v>235</v>
      </c>
      <c r="M77" s="10">
        <f t="shared" si="3"/>
        <v>22.065727699530516</v>
      </c>
      <c r="N77" s="10">
        <v>520</v>
      </c>
      <c r="O77" s="10">
        <f t="shared" si="5"/>
        <v>48.826291079812208</v>
      </c>
      <c r="P77" s="10">
        <v>47</v>
      </c>
      <c r="Q77" s="10">
        <v>0</v>
      </c>
      <c r="R77" s="275"/>
      <c r="S77" s="303">
        <v>45005</v>
      </c>
      <c r="T77" s="284"/>
      <c r="U77" s="317"/>
      <c r="V77" s="336"/>
      <c r="W77" s="245"/>
      <c r="X77" s="245"/>
      <c r="Y77" s="245"/>
      <c r="Z77" s="245"/>
      <c r="AA77" s="245"/>
      <c r="AB77" s="284"/>
      <c r="AC77" s="346"/>
      <c r="AD77" s="275"/>
      <c r="AE77" s="275"/>
      <c r="AF77" s="275"/>
    </row>
    <row r="78" spans="1:32" ht="15.75">
      <c r="A78" s="318" t="s">
        <v>51</v>
      </c>
      <c r="B78" s="274" t="s">
        <v>33</v>
      </c>
      <c r="C78" s="274" t="s">
        <v>2406</v>
      </c>
      <c r="D78" s="10" t="s">
        <v>2519</v>
      </c>
      <c r="E78" s="10" t="s">
        <v>2522</v>
      </c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275"/>
      <c r="S78" s="303"/>
      <c r="T78" s="284"/>
      <c r="U78" s="317"/>
      <c r="V78" s="336"/>
      <c r="W78" s="245"/>
      <c r="X78" s="245"/>
      <c r="Y78" s="245"/>
      <c r="Z78" s="245"/>
      <c r="AA78" s="245"/>
      <c r="AB78" s="284" t="s">
        <v>39</v>
      </c>
      <c r="AC78" s="346">
        <v>15</v>
      </c>
      <c r="AD78" s="279" t="s">
        <v>1220</v>
      </c>
      <c r="AE78" s="275">
        <v>24.912500000000001</v>
      </c>
      <c r="AF78" s="275">
        <v>76.518000000000001</v>
      </c>
    </row>
    <row r="79" spans="1:32" ht="15.75">
      <c r="A79" s="318">
        <v>61</v>
      </c>
      <c r="B79" s="274" t="s">
        <v>33</v>
      </c>
      <c r="C79" s="274" t="s">
        <v>2406</v>
      </c>
      <c r="D79" s="10" t="s">
        <v>2519</v>
      </c>
      <c r="E79" s="10" t="s">
        <v>2524</v>
      </c>
      <c r="F79" s="10" t="s">
        <v>2525</v>
      </c>
      <c r="G79" s="10">
        <v>1026</v>
      </c>
      <c r="H79" s="10">
        <v>265</v>
      </c>
      <c r="I79" s="10">
        <v>1137</v>
      </c>
      <c r="J79" s="10">
        <v>565</v>
      </c>
      <c r="K79" s="10">
        <v>572</v>
      </c>
      <c r="L79" s="10">
        <v>179</v>
      </c>
      <c r="M79" s="10">
        <f t="shared" ref="M79:M140" si="6">L79/I79*100</f>
        <v>15.743183817062445</v>
      </c>
      <c r="N79" s="10">
        <v>138</v>
      </c>
      <c r="O79" s="10">
        <f t="shared" si="5"/>
        <v>12.137203166226913</v>
      </c>
      <c r="P79" s="10">
        <v>73</v>
      </c>
      <c r="Q79" s="10">
        <v>669</v>
      </c>
      <c r="R79" s="275"/>
      <c r="S79" s="303">
        <v>45005</v>
      </c>
      <c r="T79" s="284"/>
      <c r="U79" s="317"/>
      <c r="V79" s="336"/>
      <c r="W79" s="245"/>
      <c r="X79" s="245"/>
      <c r="Y79" s="245"/>
      <c r="Z79" s="245"/>
      <c r="AA79" s="245"/>
      <c r="AB79" s="284"/>
      <c r="AC79" s="317"/>
      <c r="AD79" s="275"/>
      <c r="AE79" s="275"/>
      <c r="AF79" s="275"/>
    </row>
    <row r="80" spans="1:32" ht="15.75">
      <c r="A80" s="318">
        <v>62</v>
      </c>
      <c r="B80" s="274" t="s">
        <v>33</v>
      </c>
      <c r="C80" s="274" t="s">
        <v>2406</v>
      </c>
      <c r="D80" s="10" t="s">
        <v>2519</v>
      </c>
      <c r="E80" s="10" t="s">
        <v>2526</v>
      </c>
      <c r="F80" s="10" t="s">
        <v>2527</v>
      </c>
      <c r="G80" s="10">
        <v>1155</v>
      </c>
      <c r="H80" s="10">
        <v>106</v>
      </c>
      <c r="I80" s="10">
        <v>569</v>
      </c>
      <c r="J80" s="10">
        <v>305</v>
      </c>
      <c r="K80" s="10">
        <v>264</v>
      </c>
      <c r="L80" s="10">
        <v>3</v>
      </c>
      <c r="M80" s="10">
        <f t="shared" si="6"/>
        <v>0.52724077328646746</v>
      </c>
      <c r="N80" s="10">
        <v>394</v>
      </c>
      <c r="O80" s="10">
        <f t="shared" si="5"/>
        <v>69.244288224956065</v>
      </c>
      <c r="P80" s="10">
        <v>46</v>
      </c>
      <c r="Q80" s="10">
        <v>764</v>
      </c>
      <c r="R80" s="275"/>
      <c r="S80" s="303">
        <v>45005</v>
      </c>
      <c r="T80" s="284"/>
      <c r="U80" s="317"/>
      <c r="V80" s="336"/>
      <c r="W80" s="245"/>
      <c r="X80" s="245"/>
      <c r="Y80" s="245"/>
      <c r="Z80" s="245"/>
      <c r="AA80" s="245"/>
      <c r="AB80" s="284"/>
      <c r="AC80" s="317"/>
      <c r="AD80" s="275"/>
      <c r="AE80" s="275"/>
      <c r="AF80" s="275"/>
    </row>
    <row r="81" spans="1:32" ht="15.75">
      <c r="A81" s="318" t="s">
        <v>51</v>
      </c>
      <c r="B81" s="274" t="s">
        <v>33</v>
      </c>
      <c r="C81" s="274" t="s">
        <v>2406</v>
      </c>
      <c r="D81" s="10" t="s">
        <v>2519</v>
      </c>
      <c r="E81" s="10" t="s">
        <v>2526</v>
      </c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275"/>
      <c r="S81" s="303"/>
      <c r="T81" s="284"/>
      <c r="U81" s="317"/>
      <c r="V81" s="336"/>
      <c r="W81" s="245"/>
      <c r="X81" s="245"/>
      <c r="Y81" s="245"/>
      <c r="Z81" s="245"/>
      <c r="AA81" s="245"/>
      <c r="AB81" s="284" t="s">
        <v>39</v>
      </c>
      <c r="AC81" s="317">
        <v>9</v>
      </c>
      <c r="AD81" s="279" t="s">
        <v>1220</v>
      </c>
      <c r="AE81" s="275">
        <v>24.925000000000001</v>
      </c>
      <c r="AF81" s="275">
        <v>76.521500000000003</v>
      </c>
    </row>
    <row r="82" spans="1:32" ht="15.75">
      <c r="A82" s="318">
        <v>63</v>
      </c>
      <c r="B82" s="274" t="s">
        <v>33</v>
      </c>
      <c r="C82" s="274" t="s">
        <v>2406</v>
      </c>
      <c r="D82" s="10" t="s">
        <v>2519</v>
      </c>
      <c r="E82" s="10" t="s">
        <v>2528</v>
      </c>
      <c r="F82" s="10" t="s">
        <v>2529</v>
      </c>
      <c r="G82" s="10">
        <v>314</v>
      </c>
      <c r="H82" s="10">
        <v>118</v>
      </c>
      <c r="I82" s="10">
        <v>484</v>
      </c>
      <c r="J82" s="10">
        <v>234</v>
      </c>
      <c r="K82" s="10">
        <v>250</v>
      </c>
      <c r="L82" s="10">
        <v>68</v>
      </c>
      <c r="M82" s="10">
        <f t="shared" si="6"/>
        <v>14.049586776859504</v>
      </c>
      <c r="N82" s="10">
        <v>7</v>
      </c>
      <c r="O82" s="10">
        <f t="shared" si="5"/>
        <v>1.4462809917355373</v>
      </c>
      <c r="P82" s="10">
        <v>25</v>
      </c>
      <c r="Q82" s="10">
        <v>0</v>
      </c>
      <c r="R82" s="275" t="s">
        <v>39</v>
      </c>
      <c r="S82" s="275" t="s">
        <v>2708</v>
      </c>
      <c r="T82" s="284"/>
      <c r="U82" s="329">
        <v>33.1</v>
      </c>
      <c r="V82" s="336"/>
      <c r="W82" s="245"/>
      <c r="X82" s="245"/>
      <c r="Y82" s="245"/>
      <c r="Z82" s="245"/>
      <c r="AA82" s="245"/>
      <c r="AB82" s="284"/>
      <c r="AC82" s="329"/>
      <c r="AD82" s="279"/>
      <c r="AE82" s="28"/>
      <c r="AF82" s="28"/>
    </row>
    <row r="83" spans="1:32" ht="15.75">
      <c r="A83" s="318" t="s">
        <v>51</v>
      </c>
      <c r="B83" s="274" t="s">
        <v>33</v>
      </c>
      <c r="C83" s="274" t="s">
        <v>2406</v>
      </c>
      <c r="D83" s="10" t="s">
        <v>2519</v>
      </c>
      <c r="E83" s="10" t="s">
        <v>2528</v>
      </c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275"/>
      <c r="S83" s="275"/>
      <c r="T83" s="284"/>
      <c r="U83" s="329"/>
      <c r="V83" s="336"/>
      <c r="W83" s="245"/>
      <c r="X83" s="245"/>
      <c r="Y83" s="245"/>
      <c r="Z83" s="245"/>
      <c r="AA83" s="245"/>
      <c r="AB83" s="284" t="s">
        <v>39</v>
      </c>
      <c r="AC83" s="329">
        <v>15</v>
      </c>
      <c r="AD83" s="279" t="s">
        <v>1220</v>
      </c>
      <c r="AE83" s="28">
        <v>24.933</v>
      </c>
      <c r="AF83" s="28">
        <v>76.495000000000005</v>
      </c>
    </row>
    <row r="84" spans="1:32" ht="15.75">
      <c r="A84" s="318">
        <v>64</v>
      </c>
      <c r="B84" s="274" t="s">
        <v>33</v>
      </c>
      <c r="C84" s="274" t="s">
        <v>2406</v>
      </c>
      <c r="D84" s="10" t="s">
        <v>2530</v>
      </c>
      <c r="E84" s="16" t="s">
        <v>2531</v>
      </c>
      <c r="F84" s="10" t="s">
        <v>2532</v>
      </c>
      <c r="G84" s="10">
        <v>969.17</v>
      </c>
      <c r="H84" s="10">
        <v>46</v>
      </c>
      <c r="I84" s="10">
        <v>193</v>
      </c>
      <c r="J84" s="10">
        <v>112</v>
      </c>
      <c r="K84" s="10">
        <v>81</v>
      </c>
      <c r="L84" s="10">
        <v>0</v>
      </c>
      <c r="M84" s="10">
        <f t="shared" si="6"/>
        <v>0</v>
      </c>
      <c r="N84" s="10">
        <v>143</v>
      </c>
      <c r="O84" s="10">
        <f t="shared" si="5"/>
        <v>74.093264248704656</v>
      </c>
      <c r="P84" s="10">
        <v>58.58</v>
      </c>
      <c r="Q84" s="10">
        <v>840.99</v>
      </c>
      <c r="R84" s="28"/>
      <c r="S84" s="301">
        <v>45371</v>
      </c>
      <c r="T84" s="291"/>
      <c r="U84" s="321">
        <v>71.63</v>
      </c>
      <c r="V84" s="336" t="s">
        <v>37</v>
      </c>
      <c r="W84" s="245"/>
      <c r="X84" s="245"/>
      <c r="Y84" s="245"/>
      <c r="Z84" s="245"/>
      <c r="AA84" s="245"/>
      <c r="AB84" s="284" t="s">
        <v>39</v>
      </c>
      <c r="AC84" s="329">
        <v>9</v>
      </c>
      <c r="AD84" s="279" t="s">
        <v>1220</v>
      </c>
      <c r="AE84" s="28"/>
      <c r="AF84" s="28"/>
    </row>
    <row r="85" spans="1:32" ht="15.75">
      <c r="A85" s="318">
        <v>65</v>
      </c>
      <c r="B85" s="274" t="s">
        <v>33</v>
      </c>
      <c r="C85" s="274" t="s">
        <v>2406</v>
      </c>
      <c r="D85" s="10" t="s">
        <v>2530</v>
      </c>
      <c r="E85" s="10" t="s">
        <v>2533</v>
      </c>
      <c r="F85" s="10" t="s">
        <v>2534</v>
      </c>
      <c r="G85" s="10">
        <v>902</v>
      </c>
      <c r="H85" s="10">
        <v>158</v>
      </c>
      <c r="I85" s="10">
        <v>836</v>
      </c>
      <c r="J85" s="10">
        <v>441</v>
      </c>
      <c r="K85" s="10">
        <v>395</v>
      </c>
      <c r="L85" s="10">
        <v>95</v>
      </c>
      <c r="M85" s="10">
        <f t="shared" si="6"/>
        <v>11.363636363636363</v>
      </c>
      <c r="N85" s="10">
        <v>40</v>
      </c>
      <c r="O85" s="10">
        <f t="shared" si="5"/>
        <v>4.7846889952153111</v>
      </c>
      <c r="P85" s="10">
        <v>53</v>
      </c>
      <c r="Q85" s="10">
        <v>0</v>
      </c>
      <c r="R85" s="28"/>
      <c r="S85" s="301">
        <v>45372</v>
      </c>
      <c r="T85" s="291"/>
      <c r="U85" s="321">
        <v>34.020000000000003</v>
      </c>
      <c r="V85" s="336" t="s">
        <v>37</v>
      </c>
      <c r="W85" s="245"/>
      <c r="X85" s="245"/>
      <c r="Y85" s="245"/>
      <c r="Z85" s="245"/>
      <c r="AA85" s="245"/>
      <c r="AB85" s="284"/>
      <c r="AC85" s="329"/>
      <c r="AD85" s="279"/>
      <c r="AE85" s="28"/>
      <c r="AF85" s="28"/>
    </row>
    <row r="86" spans="1:32" ht="15.75">
      <c r="A86" s="318">
        <v>66</v>
      </c>
      <c r="B86" s="274" t="s">
        <v>33</v>
      </c>
      <c r="C86" s="274" t="s">
        <v>2406</v>
      </c>
      <c r="D86" s="10" t="s">
        <v>2530</v>
      </c>
      <c r="E86" s="10" t="s">
        <v>494</v>
      </c>
      <c r="F86" s="10" t="s">
        <v>2535</v>
      </c>
      <c r="G86" s="10">
        <v>1194</v>
      </c>
      <c r="H86" s="10">
        <v>196</v>
      </c>
      <c r="I86" s="10">
        <v>1040</v>
      </c>
      <c r="J86" s="10">
        <v>546</v>
      </c>
      <c r="K86" s="10">
        <v>494</v>
      </c>
      <c r="L86" s="10">
        <v>628</v>
      </c>
      <c r="M86" s="10">
        <f t="shared" si="6"/>
        <v>60.38461538461538</v>
      </c>
      <c r="N86" s="10">
        <v>14</v>
      </c>
      <c r="O86" s="10">
        <f t="shared" si="5"/>
        <v>1.3461538461538463</v>
      </c>
      <c r="P86" s="10">
        <v>25.26</v>
      </c>
      <c r="Q86" s="10">
        <v>618.89</v>
      </c>
      <c r="R86" s="275"/>
      <c r="S86" s="301">
        <v>45373</v>
      </c>
      <c r="T86" s="284"/>
      <c r="U86" s="321">
        <v>29.47</v>
      </c>
      <c r="V86" s="336" t="s">
        <v>37</v>
      </c>
      <c r="W86" s="245"/>
      <c r="X86" s="245"/>
      <c r="Y86" s="245"/>
      <c r="Z86" s="245"/>
      <c r="AA86" s="245"/>
      <c r="AB86" s="284" t="s">
        <v>39</v>
      </c>
      <c r="AC86" s="329">
        <v>13</v>
      </c>
      <c r="AD86" s="279" t="s">
        <v>1220</v>
      </c>
      <c r="AE86" s="275">
        <v>24.805499999999999</v>
      </c>
      <c r="AF86" s="275">
        <v>76.476500000000001</v>
      </c>
    </row>
    <row r="87" spans="1:32" ht="15.75">
      <c r="A87" s="318">
        <v>67</v>
      </c>
      <c r="B87" s="274" t="s">
        <v>33</v>
      </c>
      <c r="C87" s="274" t="s">
        <v>2406</v>
      </c>
      <c r="D87" s="10" t="s">
        <v>2530</v>
      </c>
      <c r="E87" s="10" t="s">
        <v>505</v>
      </c>
      <c r="F87" s="10" t="s">
        <v>2536</v>
      </c>
      <c r="G87" s="10">
        <v>867</v>
      </c>
      <c r="H87" s="10">
        <v>367</v>
      </c>
      <c r="I87" s="10">
        <v>2049</v>
      </c>
      <c r="J87" s="10">
        <v>1078</v>
      </c>
      <c r="K87" s="10">
        <v>971</v>
      </c>
      <c r="L87" s="10">
        <v>822</v>
      </c>
      <c r="M87" s="10">
        <f t="shared" si="6"/>
        <v>40.117130307467058</v>
      </c>
      <c r="N87" s="10">
        <v>71</v>
      </c>
      <c r="O87" s="10">
        <f t="shared" si="5"/>
        <v>3.4651049292337728</v>
      </c>
      <c r="P87" s="10">
        <v>4</v>
      </c>
      <c r="Q87" s="10">
        <v>4</v>
      </c>
      <c r="R87" s="275"/>
      <c r="S87" s="301">
        <v>45374</v>
      </c>
      <c r="T87" s="291"/>
      <c r="U87" s="321">
        <v>29.47</v>
      </c>
      <c r="V87" s="336" t="s">
        <v>37</v>
      </c>
      <c r="W87" s="245"/>
      <c r="X87" s="245"/>
      <c r="Y87" s="245"/>
      <c r="Z87" s="245"/>
      <c r="AA87" s="245"/>
      <c r="AB87" s="284" t="s">
        <v>39</v>
      </c>
      <c r="AC87" s="329">
        <v>10</v>
      </c>
      <c r="AD87" s="279" t="s">
        <v>1220</v>
      </c>
      <c r="AE87" s="275">
        <v>24.811499999999999</v>
      </c>
      <c r="AF87" s="275">
        <v>76.468000000000004</v>
      </c>
    </row>
    <row r="88" spans="1:32" ht="15.75">
      <c r="A88" s="318">
        <v>68</v>
      </c>
      <c r="B88" s="274" t="s">
        <v>33</v>
      </c>
      <c r="C88" s="274" t="s">
        <v>2406</v>
      </c>
      <c r="D88" s="10" t="s">
        <v>2530</v>
      </c>
      <c r="E88" s="10" t="s">
        <v>2537</v>
      </c>
      <c r="F88" s="10" t="s">
        <v>2538</v>
      </c>
      <c r="G88" s="10">
        <v>199</v>
      </c>
      <c r="H88" s="10">
        <v>27</v>
      </c>
      <c r="I88" s="10">
        <v>171</v>
      </c>
      <c r="J88" s="10">
        <v>82</v>
      </c>
      <c r="K88" s="10">
        <v>89</v>
      </c>
      <c r="L88" s="10">
        <v>9</v>
      </c>
      <c r="M88" s="10">
        <f t="shared" si="6"/>
        <v>5.2631578947368416</v>
      </c>
      <c r="N88" s="10">
        <v>71</v>
      </c>
      <c r="O88" s="10">
        <f t="shared" si="5"/>
        <v>41.520467836257311</v>
      </c>
      <c r="P88" s="10">
        <v>12</v>
      </c>
      <c r="Q88" s="10">
        <v>0</v>
      </c>
      <c r="R88" s="28"/>
      <c r="S88" s="301">
        <v>45375</v>
      </c>
      <c r="T88" s="291"/>
      <c r="U88" s="321"/>
      <c r="V88" s="336" t="s">
        <v>37</v>
      </c>
      <c r="W88" s="245"/>
      <c r="X88" s="245"/>
      <c r="Y88" s="245"/>
      <c r="Z88" s="245"/>
      <c r="AA88" s="245"/>
      <c r="AB88" s="284"/>
      <c r="AC88" s="329"/>
      <c r="AD88" s="279"/>
      <c r="AE88" s="28"/>
      <c r="AF88" s="28"/>
    </row>
    <row r="89" spans="1:32" ht="15.75">
      <c r="A89" s="318">
        <v>69</v>
      </c>
      <c r="B89" s="274" t="s">
        <v>33</v>
      </c>
      <c r="C89" s="274" t="s">
        <v>2406</v>
      </c>
      <c r="D89" s="10" t="s">
        <v>2530</v>
      </c>
      <c r="E89" s="10" t="s">
        <v>2539</v>
      </c>
      <c r="F89" s="10" t="s">
        <v>2540</v>
      </c>
      <c r="G89" s="10">
        <v>176</v>
      </c>
      <c r="H89" s="10">
        <v>46</v>
      </c>
      <c r="I89" s="10">
        <v>274</v>
      </c>
      <c r="J89" s="10">
        <v>142</v>
      </c>
      <c r="K89" s="10">
        <v>132</v>
      </c>
      <c r="L89" s="10">
        <v>26</v>
      </c>
      <c r="M89" s="10">
        <f t="shared" si="6"/>
        <v>9.4890510948905096</v>
      </c>
      <c r="N89" s="10">
        <v>0</v>
      </c>
      <c r="O89" s="10">
        <f t="shared" si="5"/>
        <v>0</v>
      </c>
      <c r="P89" s="10">
        <v>8</v>
      </c>
      <c r="Q89" s="10">
        <v>0</v>
      </c>
      <c r="R89" s="275"/>
      <c r="S89" s="301">
        <v>45376</v>
      </c>
      <c r="T89" s="284"/>
      <c r="U89" s="329">
        <v>23.49</v>
      </c>
      <c r="V89" s="336" t="s">
        <v>37</v>
      </c>
      <c r="W89" s="245"/>
      <c r="X89" s="245"/>
      <c r="Y89" s="245"/>
      <c r="Z89" s="245"/>
      <c r="AA89" s="245"/>
      <c r="AB89" s="284" t="s">
        <v>39</v>
      </c>
      <c r="AC89" s="329">
        <v>11</v>
      </c>
      <c r="AD89" s="279" t="s">
        <v>1220</v>
      </c>
      <c r="AE89" s="275">
        <v>24.814</v>
      </c>
      <c r="AF89" s="275">
        <v>76.488500000000002</v>
      </c>
    </row>
    <row r="90" spans="1:32" ht="15.75">
      <c r="A90" s="318">
        <v>70</v>
      </c>
      <c r="B90" s="274" t="s">
        <v>33</v>
      </c>
      <c r="C90" s="274" t="s">
        <v>2406</v>
      </c>
      <c r="D90" s="10" t="s">
        <v>2541</v>
      </c>
      <c r="E90" s="16" t="s">
        <v>2542</v>
      </c>
      <c r="F90" s="10" t="s">
        <v>2543</v>
      </c>
      <c r="G90" s="10">
        <v>386</v>
      </c>
      <c r="H90" s="10">
        <v>124</v>
      </c>
      <c r="I90" s="10">
        <v>607</v>
      </c>
      <c r="J90" s="10">
        <v>321</v>
      </c>
      <c r="K90" s="10">
        <v>286</v>
      </c>
      <c r="L90" s="10">
        <v>66</v>
      </c>
      <c r="M90" s="10">
        <f t="shared" si="6"/>
        <v>10.873146622734762</v>
      </c>
      <c r="N90" s="10">
        <v>28</v>
      </c>
      <c r="O90" s="10">
        <f t="shared" si="5"/>
        <v>4.6128500823723231</v>
      </c>
      <c r="P90" s="10">
        <v>19</v>
      </c>
      <c r="Q90" s="10">
        <v>0</v>
      </c>
      <c r="R90" s="275"/>
      <c r="S90" s="301"/>
      <c r="T90" s="284"/>
      <c r="U90" s="329">
        <v>4.38</v>
      </c>
      <c r="V90" s="336" t="s">
        <v>37</v>
      </c>
      <c r="W90" s="245"/>
      <c r="X90" s="245"/>
      <c r="Y90" s="245"/>
      <c r="Z90" s="245"/>
      <c r="AA90" s="245"/>
      <c r="AB90" s="284" t="s">
        <v>39</v>
      </c>
      <c r="AC90" s="329">
        <v>11</v>
      </c>
      <c r="AD90" s="279" t="s">
        <v>1220</v>
      </c>
      <c r="AE90" s="275">
        <v>24.789000000000001</v>
      </c>
      <c r="AF90" s="275">
        <v>76.471000000000004</v>
      </c>
    </row>
    <row r="91" spans="1:32" ht="15.75">
      <c r="A91" s="318">
        <v>71</v>
      </c>
      <c r="B91" s="274" t="s">
        <v>33</v>
      </c>
      <c r="C91" s="274" t="s">
        <v>2406</v>
      </c>
      <c r="D91" s="10" t="s">
        <v>2541</v>
      </c>
      <c r="E91" s="10" t="s">
        <v>2544</v>
      </c>
      <c r="F91" s="10" t="s">
        <v>2545</v>
      </c>
      <c r="G91" s="10">
        <v>421</v>
      </c>
      <c r="H91" s="10">
        <v>135</v>
      </c>
      <c r="I91" s="10">
        <v>632</v>
      </c>
      <c r="J91" s="10">
        <v>335</v>
      </c>
      <c r="K91" s="10">
        <v>297</v>
      </c>
      <c r="L91" s="10">
        <v>77</v>
      </c>
      <c r="M91" s="10">
        <f t="shared" si="6"/>
        <v>12.183544303797468</v>
      </c>
      <c r="N91" s="10">
        <v>484</v>
      </c>
      <c r="O91" s="10">
        <f t="shared" si="5"/>
        <v>76.582278481012651</v>
      </c>
      <c r="P91" s="10">
        <v>70</v>
      </c>
      <c r="Q91" s="10">
        <v>0</v>
      </c>
      <c r="R91" s="275"/>
      <c r="S91" s="275"/>
      <c r="T91" s="284"/>
      <c r="U91" s="329">
        <v>12.54</v>
      </c>
      <c r="V91" s="336" t="s">
        <v>37</v>
      </c>
      <c r="W91" s="245"/>
      <c r="X91" s="245"/>
      <c r="Y91" s="245"/>
      <c r="Z91" s="245"/>
      <c r="AA91" s="245"/>
      <c r="AB91" s="284" t="s">
        <v>39</v>
      </c>
      <c r="AC91" s="329">
        <v>8</v>
      </c>
      <c r="AD91" s="279" t="s">
        <v>1220</v>
      </c>
      <c r="AE91" s="275">
        <v>24.7745</v>
      </c>
      <c r="AF91" s="275">
        <v>76.451999999999998</v>
      </c>
    </row>
    <row r="92" spans="1:32" ht="15.75">
      <c r="A92" s="318">
        <v>72</v>
      </c>
      <c r="B92" s="274" t="s">
        <v>33</v>
      </c>
      <c r="C92" s="274" t="s">
        <v>2406</v>
      </c>
      <c r="D92" s="10" t="s">
        <v>2541</v>
      </c>
      <c r="E92" s="10" t="s">
        <v>2546</v>
      </c>
      <c r="F92" s="10" t="s">
        <v>2547</v>
      </c>
      <c r="G92" s="10">
        <v>538</v>
      </c>
      <c r="H92" s="10">
        <v>286</v>
      </c>
      <c r="I92" s="10">
        <v>1543</v>
      </c>
      <c r="J92" s="10">
        <v>818</v>
      </c>
      <c r="K92" s="10">
        <v>725</v>
      </c>
      <c r="L92" s="10">
        <v>190</v>
      </c>
      <c r="M92" s="10">
        <f t="shared" si="6"/>
        <v>12.313674659753726</v>
      </c>
      <c r="N92" s="10">
        <v>429</v>
      </c>
      <c r="O92" s="10">
        <f t="shared" si="5"/>
        <v>27.802981205443938</v>
      </c>
      <c r="P92" s="10">
        <v>90</v>
      </c>
      <c r="Q92" s="10">
        <v>0</v>
      </c>
      <c r="R92" s="275"/>
      <c r="S92" s="275"/>
      <c r="T92" s="284"/>
      <c r="U92" s="329"/>
      <c r="V92" s="336"/>
      <c r="W92" s="245"/>
      <c r="X92" s="245"/>
      <c r="Y92" s="245"/>
      <c r="Z92" s="245"/>
      <c r="AA92" s="245"/>
      <c r="AB92" s="284"/>
      <c r="AC92" s="329"/>
      <c r="AD92" s="279"/>
      <c r="AE92" s="28"/>
      <c r="AF92" s="28"/>
    </row>
    <row r="93" spans="1:32" ht="15.75">
      <c r="A93" s="341">
        <v>73</v>
      </c>
      <c r="B93" s="274" t="s">
        <v>33</v>
      </c>
      <c r="C93" s="274" t="s">
        <v>2406</v>
      </c>
      <c r="D93" s="10" t="s">
        <v>2541</v>
      </c>
      <c r="E93" s="10" t="s">
        <v>2548</v>
      </c>
      <c r="F93" s="10" t="s">
        <v>2549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/>
      <c r="N93" s="10"/>
      <c r="O93" s="10"/>
      <c r="P93" s="10">
        <v>0</v>
      </c>
      <c r="Q93" s="10">
        <v>0</v>
      </c>
      <c r="R93" s="275" t="s">
        <v>39</v>
      </c>
      <c r="S93" s="28" t="s">
        <v>2550</v>
      </c>
      <c r="T93" s="284"/>
      <c r="U93" s="329">
        <v>24.61</v>
      </c>
      <c r="V93" s="336"/>
      <c r="W93" s="245"/>
      <c r="X93" s="245"/>
      <c r="Y93" s="245"/>
      <c r="Z93" s="245"/>
      <c r="AA93" s="245"/>
      <c r="AB93" s="284" t="s">
        <v>39</v>
      </c>
      <c r="AC93" s="329">
        <v>9</v>
      </c>
      <c r="AD93" s="279" t="s">
        <v>1220</v>
      </c>
      <c r="AE93" s="275">
        <v>24.793500000000002</v>
      </c>
      <c r="AF93" s="275">
        <v>76.495000000000005</v>
      </c>
    </row>
    <row r="94" spans="1:32" ht="15.75">
      <c r="A94" s="318">
        <v>74</v>
      </c>
      <c r="B94" s="274" t="s">
        <v>33</v>
      </c>
      <c r="C94" s="274" t="s">
        <v>2406</v>
      </c>
      <c r="D94" s="10" t="s">
        <v>2541</v>
      </c>
      <c r="E94" s="10" t="s">
        <v>2494</v>
      </c>
      <c r="F94" s="10" t="s">
        <v>2551</v>
      </c>
      <c r="G94" s="10">
        <v>168</v>
      </c>
      <c r="H94" s="10">
        <v>109</v>
      </c>
      <c r="I94" s="10">
        <v>504</v>
      </c>
      <c r="J94" s="10">
        <v>257</v>
      </c>
      <c r="K94" s="10">
        <v>247</v>
      </c>
      <c r="L94" s="10">
        <v>128</v>
      </c>
      <c r="M94" s="10">
        <f t="shared" si="6"/>
        <v>25.396825396825395</v>
      </c>
      <c r="N94" s="10">
        <v>230</v>
      </c>
      <c r="O94" s="10">
        <f t="shared" si="5"/>
        <v>45.634920634920633</v>
      </c>
      <c r="P94" s="10">
        <v>0</v>
      </c>
      <c r="Q94" s="10">
        <v>0</v>
      </c>
      <c r="R94" s="275"/>
      <c r="S94" s="28"/>
      <c r="T94" s="284"/>
      <c r="U94" s="329">
        <v>75</v>
      </c>
      <c r="V94" s="336"/>
      <c r="W94" s="245"/>
      <c r="X94" s="245"/>
      <c r="Y94" s="245"/>
      <c r="Z94" s="245"/>
      <c r="AA94" s="245"/>
      <c r="AB94" s="284" t="s">
        <v>39</v>
      </c>
      <c r="AC94" s="329">
        <v>11</v>
      </c>
      <c r="AD94" s="279" t="s">
        <v>1220</v>
      </c>
      <c r="AE94" s="28">
        <v>24.780999999999999</v>
      </c>
      <c r="AF94" s="28">
        <v>76.482500000000002</v>
      </c>
    </row>
    <row r="95" spans="1:32" ht="15.75">
      <c r="A95" s="318">
        <v>75</v>
      </c>
      <c r="B95" s="274" t="s">
        <v>33</v>
      </c>
      <c r="C95" s="274" t="s">
        <v>2406</v>
      </c>
      <c r="D95" s="10" t="s">
        <v>2541</v>
      </c>
      <c r="E95" s="10" t="s">
        <v>2552</v>
      </c>
      <c r="F95" s="10" t="s">
        <v>2553</v>
      </c>
      <c r="G95" s="10">
        <v>409.25</v>
      </c>
      <c r="H95" s="10">
        <v>238</v>
      </c>
      <c r="I95" s="10">
        <v>1283</v>
      </c>
      <c r="J95" s="10">
        <v>654</v>
      </c>
      <c r="K95" s="10">
        <v>629</v>
      </c>
      <c r="L95" s="10">
        <v>262</v>
      </c>
      <c r="M95" s="10">
        <f t="shared" si="6"/>
        <v>20.420888542478565</v>
      </c>
      <c r="N95" s="10">
        <v>64</v>
      </c>
      <c r="O95" s="10">
        <f t="shared" si="5"/>
        <v>4.9883086515978174</v>
      </c>
      <c r="P95" s="10">
        <v>57.74</v>
      </c>
      <c r="Q95" s="10">
        <v>44.51</v>
      </c>
      <c r="R95" s="275" t="s">
        <v>39</v>
      </c>
      <c r="S95" s="275" t="s">
        <v>2554</v>
      </c>
      <c r="T95" s="284"/>
      <c r="U95" s="317">
        <v>36.89</v>
      </c>
      <c r="V95" s="336"/>
      <c r="W95" s="245"/>
      <c r="X95" s="245"/>
      <c r="Y95" s="245"/>
      <c r="Z95" s="245"/>
      <c r="AA95" s="245"/>
      <c r="AB95" s="284" t="s">
        <v>39</v>
      </c>
      <c r="AC95" s="317">
        <v>8</v>
      </c>
      <c r="AD95" s="279" t="s">
        <v>1220</v>
      </c>
      <c r="AE95" s="275">
        <v>24.802</v>
      </c>
      <c r="AF95" s="275">
        <v>76.488</v>
      </c>
    </row>
    <row r="96" spans="1:32" ht="15.75">
      <c r="A96" s="318">
        <v>76</v>
      </c>
      <c r="B96" s="274" t="s">
        <v>33</v>
      </c>
      <c r="C96" s="274" t="s">
        <v>2406</v>
      </c>
      <c r="D96" s="10" t="s">
        <v>2555</v>
      </c>
      <c r="E96" s="16" t="s">
        <v>2556</v>
      </c>
      <c r="F96" s="10" t="s">
        <v>2557</v>
      </c>
      <c r="G96" s="10">
        <v>692.75</v>
      </c>
      <c r="H96" s="10">
        <v>100</v>
      </c>
      <c r="I96" s="10">
        <v>542</v>
      </c>
      <c r="J96" s="10">
        <v>285</v>
      </c>
      <c r="K96" s="10">
        <v>257</v>
      </c>
      <c r="L96" s="10">
        <v>12</v>
      </c>
      <c r="M96" s="10">
        <f t="shared" si="6"/>
        <v>2.214022140221402</v>
      </c>
      <c r="N96" s="10">
        <v>161</v>
      </c>
      <c r="O96" s="10">
        <f t="shared" si="5"/>
        <v>29.704797047970477</v>
      </c>
      <c r="P96" s="10">
        <v>84.57</v>
      </c>
      <c r="Q96" s="10">
        <v>231.55</v>
      </c>
      <c r="R96" s="275" t="s">
        <v>39</v>
      </c>
      <c r="S96" s="28" t="s">
        <v>2550</v>
      </c>
      <c r="T96" s="284"/>
      <c r="U96" s="329"/>
      <c r="V96" s="336"/>
      <c r="W96" s="245"/>
      <c r="X96" s="245"/>
      <c r="Y96" s="245"/>
      <c r="Z96" s="245"/>
      <c r="AA96" s="245"/>
      <c r="AB96" s="284" t="s">
        <v>39</v>
      </c>
      <c r="AC96" s="329">
        <v>6</v>
      </c>
      <c r="AD96" s="279" t="s">
        <v>1220</v>
      </c>
      <c r="AE96" s="28"/>
      <c r="AF96" s="28"/>
    </row>
    <row r="97" spans="1:32" ht="15.75">
      <c r="A97" s="318">
        <v>77</v>
      </c>
      <c r="B97" s="274" t="s">
        <v>33</v>
      </c>
      <c r="C97" s="274" t="s">
        <v>2406</v>
      </c>
      <c r="D97" s="10" t="s">
        <v>2555</v>
      </c>
      <c r="E97" s="10" t="s">
        <v>2558</v>
      </c>
      <c r="F97" s="10" t="s">
        <v>2559</v>
      </c>
      <c r="G97" s="10">
        <v>494.76</v>
      </c>
      <c r="H97" s="10">
        <v>63</v>
      </c>
      <c r="I97" s="10">
        <v>310</v>
      </c>
      <c r="J97" s="10">
        <v>170</v>
      </c>
      <c r="K97" s="10">
        <v>140</v>
      </c>
      <c r="L97" s="10">
        <v>0</v>
      </c>
      <c r="M97" s="10">
        <f t="shared" si="6"/>
        <v>0</v>
      </c>
      <c r="N97" s="10">
        <v>0</v>
      </c>
      <c r="O97" s="10">
        <f t="shared" si="5"/>
        <v>0</v>
      </c>
      <c r="P97" s="10">
        <v>39.39</v>
      </c>
      <c r="Q97" s="10">
        <v>220.53</v>
      </c>
      <c r="R97" s="28"/>
      <c r="S97" s="28"/>
      <c r="T97" s="284"/>
      <c r="U97" s="329">
        <v>32.979999999999997</v>
      </c>
      <c r="V97" s="336"/>
      <c r="W97" s="245"/>
      <c r="X97" s="245"/>
      <c r="Y97" s="245"/>
      <c r="Z97" s="245"/>
      <c r="AA97" s="245"/>
      <c r="AB97" s="284"/>
      <c r="AC97" s="329"/>
      <c r="AD97" s="279"/>
      <c r="AE97" s="28"/>
      <c r="AF97" s="28"/>
    </row>
    <row r="98" spans="1:32" ht="15.75">
      <c r="A98" s="318">
        <v>78</v>
      </c>
      <c r="B98" s="274" t="s">
        <v>33</v>
      </c>
      <c r="C98" s="274" t="s">
        <v>2406</v>
      </c>
      <c r="D98" s="10" t="s">
        <v>2560</v>
      </c>
      <c r="E98" s="16" t="s">
        <v>2561</v>
      </c>
      <c r="F98" s="10" t="s">
        <v>2562</v>
      </c>
      <c r="G98" s="10">
        <v>1025.73</v>
      </c>
      <c r="H98" s="10">
        <v>233</v>
      </c>
      <c r="I98" s="10">
        <v>1318</v>
      </c>
      <c r="J98" s="10">
        <v>682</v>
      </c>
      <c r="K98" s="10">
        <v>636</v>
      </c>
      <c r="L98" s="10">
        <v>19</v>
      </c>
      <c r="M98" s="10">
        <f t="shared" si="6"/>
        <v>1.4415781487101669</v>
      </c>
      <c r="N98" s="10">
        <v>30</v>
      </c>
      <c r="O98" s="10">
        <f t="shared" si="5"/>
        <v>2.2761760242792106</v>
      </c>
      <c r="P98" s="10">
        <v>80.95</v>
      </c>
      <c r="Q98" s="10">
        <v>610.41999999999996</v>
      </c>
      <c r="R98" s="275" t="s">
        <v>39</v>
      </c>
      <c r="S98" s="304">
        <v>45317</v>
      </c>
      <c r="T98" s="284"/>
      <c r="U98" s="329"/>
      <c r="V98" s="336"/>
      <c r="W98" s="245"/>
      <c r="X98" s="245"/>
      <c r="Y98" s="245"/>
      <c r="Z98" s="245"/>
      <c r="AA98" s="245"/>
      <c r="AB98" s="284" t="s">
        <v>39</v>
      </c>
      <c r="AC98" s="329">
        <v>11</v>
      </c>
      <c r="AD98" s="279" t="s">
        <v>1220</v>
      </c>
      <c r="AE98" s="28">
        <v>24.628</v>
      </c>
      <c r="AF98" s="28">
        <v>76.677499999999995</v>
      </c>
    </row>
    <row r="99" spans="1:32" ht="15.75">
      <c r="A99" s="318">
        <v>79</v>
      </c>
      <c r="B99" s="274" t="s">
        <v>33</v>
      </c>
      <c r="C99" s="274" t="s">
        <v>2406</v>
      </c>
      <c r="D99" s="10" t="s">
        <v>2560</v>
      </c>
      <c r="E99" s="10" t="s">
        <v>461</v>
      </c>
      <c r="F99" s="10" t="s">
        <v>2563</v>
      </c>
      <c r="G99" s="10">
        <v>725</v>
      </c>
      <c r="H99" s="10">
        <v>209</v>
      </c>
      <c r="I99" s="10">
        <v>1064</v>
      </c>
      <c r="J99" s="10">
        <v>547</v>
      </c>
      <c r="K99" s="10">
        <v>517</v>
      </c>
      <c r="L99" s="10">
        <v>107</v>
      </c>
      <c r="M99" s="10">
        <f t="shared" si="6"/>
        <v>10.056390977443609</v>
      </c>
      <c r="N99" s="10">
        <v>291</v>
      </c>
      <c r="O99" s="10">
        <f t="shared" si="5"/>
        <v>27.349624060150372</v>
      </c>
      <c r="P99" s="10">
        <v>51</v>
      </c>
      <c r="Q99" s="10">
        <v>0</v>
      </c>
      <c r="R99" s="275"/>
      <c r="S99" s="304" t="s">
        <v>2708</v>
      </c>
      <c r="T99" s="284"/>
      <c r="U99" s="329">
        <v>49.8</v>
      </c>
      <c r="V99" s="336"/>
      <c r="W99" s="245"/>
      <c r="X99" s="245"/>
      <c r="Y99" s="245"/>
      <c r="Z99" s="245"/>
      <c r="AA99" s="245"/>
      <c r="AB99" s="284" t="s">
        <v>39</v>
      </c>
      <c r="AC99" s="329">
        <v>5</v>
      </c>
      <c r="AD99" s="279" t="s">
        <v>1220</v>
      </c>
      <c r="AE99" s="28">
        <v>24.619499999999999</v>
      </c>
      <c r="AF99" s="28">
        <v>76.685000000000002</v>
      </c>
    </row>
    <row r="100" spans="1:32" ht="15.75">
      <c r="A100" s="318">
        <v>80</v>
      </c>
      <c r="B100" s="274" t="s">
        <v>33</v>
      </c>
      <c r="C100" s="274" t="s">
        <v>2406</v>
      </c>
      <c r="D100" s="10" t="s">
        <v>2560</v>
      </c>
      <c r="E100" s="10" t="s">
        <v>2564</v>
      </c>
      <c r="F100" s="10" t="s">
        <v>2565</v>
      </c>
      <c r="G100" s="10">
        <v>263</v>
      </c>
      <c r="H100" s="10">
        <v>101</v>
      </c>
      <c r="I100" s="10">
        <v>538</v>
      </c>
      <c r="J100" s="10">
        <v>270</v>
      </c>
      <c r="K100" s="10">
        <v>268</v>
      </c>
      <c r="L100" s="10">
        <v>100</v>
      </c>
      <c r="M100" s="10">
        <f t="shared" si="6"/>
        <v>18.587360594795538</v>
      </c>
      <c r="N100" s="10">
        <v>26</v>
      </c>
      <c r="O100" s="10">
        <f t="shared" si="5"/>
        <v>4.8327137546468402</v>
      </c>
      <c r="P100" s="10">
        <v>40</v>
      </c>
      <c r="Q100" s="10">
        <v>0</v>
      </c>
      <c r="R100" s="275" t="s">
        <v>39</v>
      </c>
      <c r="S100" s="304">
        <v>45317</v>
      </c>
      <c r="T100" s="284"/>
      <c r="U100" s="323">
        <v>71.63</v>
      </c>
      <c r="V100" s="336"/>
      <c r="W100" s="245"/>
      <c r="X100" s="245"/>
      <c r="Y100" s="245"/>
      <c r="Z100" s="245"/>
      <c r="AA100" s="245"/>
      <c r="AB100" s="284" t="s">
        <v>39</v>
      </c>
      <c r="AC100" s="327">
        <v>6</v>
      </c>
      <c r="AD100" s="279" t="s">
        <v>1220</v>
      </c>
      <c r="AE100" s="277">
        <v>24.608499999999999</v>
      </c>
      <c r="AF100" s="277">
        <v>76.691999999999993</v>
      </c>
    </row>
    <row r="101" spans="1:32" ht="15.75">
      <c r="A101" s="318">
        <v>81</v>
      </c>
      <c r="B101" s="274" t="s">
        <v>33</v>
      </c>
      <c r="C101" s="274" t="s">
        <v>2406</v>
      </c>
      <c r="D101" s="10" t="s">
        <v>2560</v>
      </c>
      <c r="E101" s="10" t="s">
        <v>2094</v>
      </c>
      <c r="F101" s="10" t="s">
        <v>2566</v>
      </c>
      <c r="G101" s="10">
        <v>177</v>
      </c>
      <c r="H101" s="10">
        <v>68</v>
      </c>
      <c r="I101" s="10">
        <v>329</v>
      </c>
      <c r="J101" s="10">
        <v>172</v>
      </c>
      <c r="K101" s="10">
        <v>157</v>
      </c>
      <c r="L101" s="10">
        <v>0</v>
      </c>
      <c r="M101" s="10">
        <f t="shared" si="6"/>
        <v>0</v>
      </c>
      <c r="N101" s="10">
        <v>124</v>
      </c>
      <c r="O101" s="10">
        <f t="shared" si="5"/>
        <v>37.689969604863222</v>
      </c>
      <c r="P101" s="10">
        <v>17</v>
      </c>
      <c r="Q101" s="10">
        <v>0</v>
      </c>
      <c r="R101" s="275" t="s">
        <v>39</v>
      </c>
      <c r="S101" s="304">
        <v>45317</v>
      </c>
      <c r="T101" s="284"/>
      <c r="U101" s="327">
        <v>34.020000000000003</v>
      </c>
      <c r="V101" s="336"/>
      <c r="W101" s="245"/>
      <c r="X101" s="245"/>
      <c r="Y101" s="245"/>
      <c r="Z101" s="245"/>
      <c r="AA101" s="245"/>
      <c r="AB101" s="284" t="s">
        <v>39</v>
      </c>
      <c r="AC101" s="327">
        <v>25</v>
      </c>
      <c r="AD101" s="279" t="s">
        <v>1220</v>
      </c>
      <c r="AE101" s="275">
        <v>24.962</v>
      </c>
      <c r="AF101" s="275">
        <v>76.538499999999999</v>
      </c>
    </row>
    <row r="102" spans="1:32" ht="15.75">
      <c r="A102" s="318">
        <v>82</v>
      </c>
      <c r="B102" s="274" t="s">
        <v>33</v>
      </c>
      <c r="C102" s="274" t="s">
        <v>2406</v>
      </c>
      <c r="D102" s="10" t="s">
        <v>2567</v>
      </c>
      <c r="E102" s="16" t="s">
        <v>2568</v>
      </c>
      <c r="F102" s="10" t="s">
        <v>2569</v>
      </c>
      <c r="G102" s="10">
        <v>603</v>
      </c>
      <c r="H102" s="10">
        <v>108</v>
      </c>
      <c r="I102" s="10">
        <v>551</v>
      </c>
      <c r="J102" s="10">
        <v>304</v>
      </c>
      <c r="K102" s="10">
        <v>247</v>
      </c>
      <c r="L102" s="10">
        <v>131</v>
      </c>
      <c r="M102" s="10">
        <f t="shared" si="6"/>
        <v>23.774954627949182</v>
      </c>
      <c r="N102" s="10">
        <v>122</v>
      </c>
      <c r="O102" s="10">
        <f t="shared" si="5"/>
        <v>22.141560798548092</v>
      </c>
      <c r="P102" s="10">
        <v>38</v>
      </c>
      <c r="Q102" s="10">
        <v>0</v>
      </c>
      <c r="R102" s="275" t="s">
        <v>39</v>
      </c>
      <c r="S102" s="296">
        <v>46249</v>
      </c>
      <c r="T102" s="305"/>
      <c r="U102" s="329">
        <v>34</v>
      </c>
      <c r="V102" s="336"/>
      <c r="W102" s="245"/>
      <c r="X102" s="245"/>
      <c r="Y102" s="245"/>
      <c r="Z102" s="245"/>
      <c r="AA102" s="245"/>
      <c r="AB102" s="284" t="s">
        <v>39</v>
      </c>
      <c r="AC102" s="329">
        <v>16</v>
      </c>
      <c r="AD102" s="279" t="s">
        <v>1220</v>
      </c>
      <c r="AE102" s="277"/>
      <c r="AF102" s="277"/>
    </row>
    <row r="103" spans="1:32" ht="15.75">
      <c r="A103" s="318">
        <v>83</v>
      </c>
      <c r="B103" s="274" t="s">
        <v>33</v>
      </c>
      <c r="C103" s="274" t="s">
        <v>2406</v>
      </c>
      <c r="D103" s="10" t="s">
        <v>2567</v>
      </c>
      <c r="E103" s="10" t="s">
        <v>2570</v>
      </c>
      <c r="F103" s="10" t="s">
        <v>2571</v>
      </c>
      <c r="G103" s="10">
        <v>1179.8699999999999</v>
      </c>
      <c r="H103" s="10">
        <v>209</v>
      </c>
      <c r="I103" s="10">
        <v>1092</v>
      </c>
      <c r="J103" s="10">
        <v>571</v>
      </c>
      <c r="K103" s="10">
        <v>521</v>
      </c>
      <c r="L103" s="10">
        <v>281</v>
      </c>
      <c r="M103" s="10">
        <f t="shared" si="6"/>
        <v>25.73260073260073</v>
      </c>
      <c r="N103" s="10">
        <v>538</v>
      </c>
      <c r="O103" s="10">
        <f t="shared" si="5"/>
        <v>49.26739926739927</v>
      </c>
      <c r="P103" s="10">
        <v>59.73</v>
      </c>
      <c r="Q103" s="10">
        <v>0</v>
      </c>
      <c r="R103" s="275" t="s">
        <v>39</v>
      </c>
      <c r="S103" s="296">
        <v>46249</v>
      </c>
      <c r="T103" s="305"/>
      <c r="U103" s="329">
        <v>32.15</v>
      </c>
      <c r="V103" s="336"/>
      <c r="W103" s="245"/>
      <c r="X103" s="245"/>
      <c r="Y103" s="245"/>
      <c r="Z103" s="245"/>
      <c r="AA103" s="245"/>
      <c r="AB103" s="284" t="s">
        <v>39</v>
      </c>
      <c r="AC103" s="329">
        <v>13</v>
      </c>
      <c r="AD103" s="279" t="s">
        <v>1220</v>
      </c>
      <c r="AE103" s="275">
        <v>24.686499999999999</v>
      </c>
      <c r="AF103" s="275">
        <v>76.691000000000003</v>
      </c>
    </row>
    <row r="104" spans="1:32" ht="15.75">
      <c r="A104" s="318">
        <v>84</v>
      </c>
      <c r="B104" s="274" t="s">
        <v>33</v>
      </c>
      <c r="C104" s="274" t="s">
        <v>2406</v>
      </c>
      <c r="D104" s="10" t="s">
        <v>2567</v>
      </c>
      <c r="E104" s="10" t="s">
        <v>1942</v>
      </c>
      <c r="F104" s="10" t="s">
        <v>2572</v>
      </c>
      <c r="G104" s="10">
        <v>615.08000000000004</v>
      </c>
      <c r="H104" s="10">
        <v>210</v>
      </c>
      <c r="I104" s="10">
        <v>1049</v>
      </c>
      <c r="J104" s="10">
        <v>535</v>
      </c>
      <c r="K104" s="10">
        <v>514</v>
      </c>
      <c r="L104" s="10">
        <v>276</v>
      </c>
      <c r="M104" s="10">
        <f t="shared" si="6"/>
        <v>26.31077216396568</v>
      </c>
      <c r="N104" s="10">
        <v>46</v>
      </c>
      <c r="O104" s="10">
        <f t="shared" si="5"/>
        <v>4.3851286939942797</v>
      </c>
      <c r="P104" s="10">
        <v>56.29</v>
      </c>
      <c r="Q104" s="10">
        <v>0</v>
      </c>
      <c r="R104" s="275"/>
      <c r="S104" s="296"/>
      <c r="T104" s="305"/>
      <c r="U104" s="329">
        <v>18.5</v>
      </c>
      <c r="V104" s="336"/>
      <c r="W104" s="245"/>
      <c r="X104" s="245"/>
      <c r="Y104" s="245"/>
      <c r="Z104" s="245"/>
      <c r="AA104" s="245"/>
      <c r="AB104" s="284" t="s">
        <v>39</v>
      </c>
      <c r="AC104" s="329">
        <v>11</v>
      </c>
      <c r="AD104" s="279" t="s">
        <v>1220</v>
      </c>
      <c r="AE104" s="275">
        <v>24.692</v>
      </c>
      <c r="AF104" s="275">
        <v>76.697999999999993</v>
      </c>
    </row>
    <row r="105" spans="1:32" ht="15.75">
      <c r="A105" s="318">
        <v>85</v>
      </c>
      <c r="B105" s="274" t="s">
        <v>33</v>
      </c>
      <c r="C105" s="274" t="s">
        <v>2406</v>
      </c>
      <c r="D105" s="10" t="s">
        <v>2567</v>
      </c>
      <c r="E105" s="10" t="s">
        <v>2573</v>
      </c>
      <c r="F105" s="10" t="s">
        <v>2574</v>
      </c>
      <c r="G105" s="10">
        <v>535.89</v>
      </c>
      <c r="H105" s="10">
        <v>136</v>
      </c>
      <c r="I105" s="10">
        <v>665</v>
      </c>
      <c r="J105" s="10">
        <v>350</v>
      </c>
      <c r="K105" s="10">
        <v>315</v>
      </c>
      <c r="L105" s="10">
        <v>282</v>
      </c>
      <c r="M105" s="10">
        <f t="shared" si="6"/>
        <v>42.406015037593988</v>
      </c>
      <c r="N105" s="10">
        <v>0</v>
      </c>
      <c r="O105" s="10">
        <f t="shared" si="5"/>
        <v>0</v>
      </c>
      <c r="P105" s="10">
        <v>53.02</v>
      </c>
      <c r="Q105" s="10">
        <v>0</v>
      </c>
      <c r="R105" s="275" t="s">
        <v>39</v>
      </c>
      <c r="S105" s="296">
        <v>46249</v>
      </c>
      <c r="T105" s="305"/>
      <c r="U105" s="329">
        <v>35.700000000000003</v>
      </c>
      <c r="V105" s="336"/>
      <c r="W105" s="245"/>
      <c r="X105" s="245"/>
      <c r="Y105" s="245"/>
      <c r="Z105" s="245"/>
      <c r="AA105" s="245"/>
      <c r="AB105" s="284" t="s">
        <v>39</v>
      </c>
      <c r="AC105" s="329">
        <v>12</v>
      </c>
      <c r="AD105" s="279" t="s">
        <v>1220</v>
      </c>
      <c r="AE105" s="275">
        <v>24.713999999999999</v>
      </c>
      <c r="AF105" s="275">
        <v>76.674499999999995</v>
      </c>
    </row>
    <row r="106" spans="1:32" ht="15.75">
      <c r="A106" s="341">
        <v>86</v>
      </c>
      <c r="B106" s="274" t="s">
        <v>33</v>
      </c>
      <c r="C106" s="274" t="s">
        <v>2406</v>
      </c>
      <c r="D106" s="10" t="s">
        <v>2575</v>
      </c>
      <c r="E106" s="16" t="s">
        <v>2576</v>
      </c>
      <c r="F106" s="10" t="s">
        <v>2577</v>
      </c>
      <c r="G106" s="10">
        <v>408.35</v>
      </c>
      <c r="H106" s="10">
        <v>108</v>
      </c>
      <c r="I106" s="10">
        <v>527</v>
      </c>
      <c r="J106" s="10">
        <v>272</v>
      </c>
      <c r="K106" s="10">
        <v>255</v>
      </c>
      <c r="L106" s="10">
        <v>109</v>
      </c>
      <c r="M106" s="10">
        <f t="shared" si="6"/>
        <v>20.683111954459203</v>
      </c>
      <c r="N106" s="10">
        <v>335</v>
      </c>
      <c r="O106" s="10">
        <f t="shared" si="5"/>
        <v>63.5673624288425</v>
      </c>
      <c r="P106" s="10">
        <v>45.06</v>
      </c>
      <c r="Q106" s="10">
        <v>0</v>
      </c>
      <c r="R106" s="275" t="s">
        <v>39</v>
      </c>
      <c r="S106" s="297" t="s">
        <v>2578</v>
      </c>
      <c r="T106" s="291"/>
      <c r="U106" s="327"/>
      <c r="V106" s="336"/>
      <c r="W106" s="245"/>
      <c r="X106" s="245"/>
      <c r="Y106" s="245"/>
      <c r="Z106" s="245"/>
      <c r="AA106" s="245"/>
      <c r="AB106" s="284"/>
      <c r="AC106" s="327"/>
      <c r="AD106" s="279"/>
      <c r="AE106" s="275"/>
      <c r="AF106" s="275"/>
    </row>
    <row r="107" spans="1:32" ht="15.75">
      <c r="A107" s="318">
        <v>87</v>
      </c>
      <c r="B107" s="274" t="s">
        <v>33</v>
      </c>
      <c r="C107" s="274" t="s">
        <v>2406</v>
      </c>
      <c r="D107" s="10" t="s">
        <v>2575</v>
      </c>
      <c r="E107" s="10" t="s">
        <v>2579</v>
      </c>
      <c r="F107" s="10" t="s">
        <v>2580</v>
      </c>
      <c r="G107" s="10">
        <v>358</v>
      </c>
      <c r="H107" s="10">
        <v>251</v>
      </c>
      <c r="I107" s="10">
        <v>1207</v>
      </c>
      <c r="J107" s="10">
        <v>622</v>
      </c>
      <c r="K107" s="10">
        <v>585</v>
      </c>
      <c r="L107" s="10">
        <v>183</v>
      </c>
      <c r="M107" s="10">
        <f t="shared" si="6"/>
        <v>15.161557580778789</v>
      </c>
      <c r="N107" s="10">
        <v>33</v>
      </c>
      <c r="O107" s="10">
        <f t="shared" si="5"/>
        <v>2.7340513670256836</v>
      </c>
      <c r="P107" s="10">
        <v>66</v>
      </c>
      <c r="Q107" s="10">
        <v>0</v>
      </c>
      <c r="R107" s="275" t="s">
        <v>39</v>
      </c>
      <c r="S107" s="297" t="s">
        <v>2578</v>
      </c>
      <c r="T107" s="291"/>
      <c r="U107" s="327">
        <v>12.8</v>
      </c>
      <c r="V107" s="336"/>
      <c r="W107" s="245"/>
      <c r="X107" s="245"/>
      <c r="Y107" s="245"/>
      <c r="Z107" s="245"/>
      <c r="AA107" s="245"/>
      <c r="AB107" s="284"/>
      <c r="AC107" s="327"/>
      <c r="AD107" s="279"/>
      <c r="AE107" s="275"/>
      <c r="AF107" s="275"/>
    </row>
    <row r="108" spans="1:32" ht="15.75">
      <c r="A108" s="318">
        <v>88</v>
      </c>
      <c r="B108" s="274" t="s">
        <v>33</v>
      </c>
      <c r="C108" s="274" t="s">
        <v>2406</v>
      </c>
      <c r="D108" s="10" t="s">
        <v>2575</v>
      </c>
      <c r="E108" s="10" t="s">
        <v>2581</v>
      </c>
      <c r="F108" s="10" t="s">
        <v>2582</v>
      </c>
      <c r="G108" s="10">
        <v>487</v>
      </c>
      <c r="H108" s="10">
        <v>135</v>
      </c>
      <c r="I108" s="10">
        <v>689</v>
      </c>
      <c r="J108" s="10">
        <v>364</v>
      </c>
      <c r="K108" s="10">
        <v>325</v>
      </c>
      <c r="L108" s="10">
        <v>62</v>
      </c>
      <c r="M108" s="10">
        <f t="shared" si="6"/>
        <v>8.99854862119013</v>
      </c>
      <c r="N108" s="10">
        <v>33</v>
      </c>
      <c r="O108" s="10">
        <f t="shared" si="5"/>
        <v>4.7895500725689404</v>
      </c>
      <c r="P108" s="10">
        <v>60</v>
      </c>
      <c r="Q108" s="10">
        <v>166</v>
      </c>
      <c r="R108" s="275"/>
      <c r="S108" s="275"/>
      <c r="T108" s="291"/>
      <c r="U108" s="317"/>
      <c r="V108" s="336"/>
      <c r="W108" s="245"/>
      <c r="X108" s="245"/>
      <c r="Y108" s="245"/>
      <c r="Z108" s="245"/>
      <c r="AA108" s="245"/>
      <c r="AB108" s="284"/>
      <c r="AC108" s="317"/>
      <c r="AD108" s="275"/>
      <c r="AE108" s="275"/>
      <c r="AF108" s="275"/>
    </row>
    <row r="109" spans="1:32" ht="15.75">
      <c r="A109" s="318">
        <v>89</v>
      </c>
      <c r="B109" s="274" t="s">
        <v>33</v>
      </c>
      <c r="C109" s="274" t="s">
        <v>2406</v>
      </c>
      <c r="D109" s="10" t="s">
        <v>2575</v>
      </c>
      <c r="E109" s="10" t="s">
        <v>2583</v>
      </c>
      <c r="F109" s="10" t="s">
        <v>2584</v>
      </c>
      <c r="G109" s="10">
        <v>460</v>
      </c>
      <c r="H109" s="10">
        <v>161</v>
      </c>
      <c r="I109" s="10">
        <v>891</v>
      </c>
      <c r="J109" s="10">
        <v>455</v>
      </c>
      <c r="K109" s="10">
        <v>436</v>
      </c>
      <c r="L109" s="10">
        <v>443</v>
      </c>
      <c r="M109" s="10">
        <f t="shared" si="6"/>
        <v>49.719416386083054</v>
      </c>
      <c r="N109" s="10">
        <v>209</v>
      </c>
      <c r="O109" s="10">
        <f t="shared" si="5"/>
        <v>23.456790123456788</v>
      </c>
      <c r="P109" s="10">
        <v>44</v>
      </c>
      <c r="Q109" s="10">
        <v>0</v>
      </c>
      <c r="R109" s="275" t="s">
        <v>39</v>
      </c>
      <c r="S109" s="297" t="s">
        <v>2578</v>
      </c>
      <c r="T109" s="291"/>
      <c r="U109" s="327"/>
      <c r="V109" s="336"/>
      <c r="W109" s="245"/>
      <c r="X109" s="245"/>
      <c r="Y109" s="245"/>
      <c r="Z109" s="245"/>
      <c r="AA109" s="245"/>
      <c r="AB109" s="284"/>
      <c r="AC109" s="327"/>
      <c r="AD109" s="279"/>
      <c r="AE109" s="275"/>
      <c r="AF109" s="275"/>
    </row>
    <row r="110" spans="1:32" ht="15.75">
      <c r="A110" s="318">
        <v>90</v>
      </c>
      <c r="B110" s="274" t="s">
        <v>33</v>
      </c>
      <c r="C110" s="274" t="s">
        <v>2406</v>
      </c>
      <c r="D110" s="10" t="s">
        <v>948</v>
      </c>
      <c r="E110" s="16" t="s">
        <v>949</v>
      </c>
      <c r="F110" s="10" t="s">
        <v>2585</v>
      </c>
      <c r="G110" s="10">
        <v>107</v>
      </c>
      <c r="H110" s="10">
        <v>67</v>
      </c>
      <c r="I110" s="10">
        <v>433</v>
      </c>
      <c r="J110" s="10">
        <v>222</v>
      </c>
      <c r="K110" s="10">
        <v>211</v>
      </c>
      <c r="L110" s="10">
        <v>228</v>
      </c>
      <c r="M110" s="10">
        <f t="shared" si="6"/>
        <v>52.655889145496538</v>
      </c>
      <c r="N110" s="10">
        <v>0</v>
      </c>
      <c r="O110" s="10">
        <f t="shared" si="5"/>
        <v>0</v>
      </c>
      <c r="P110" s="10">
        <v>23</v>
      </c>
      <c r="Q110" s="10">
        <v>0</v>
      </c>
      <c r="R110" s="275" t="s">
        <v>39</v>
      </c>
      <c r="S110" s="297" t="s">
        <v>2578</v>
      </c>
      <c r="T110" s="291"/>
      <c r="U110" s="327">
        <v>46.19</v>
      </c>
      <c r="V110" s="336"/>
      <c r="W110" s="245"/>
      <c r="X110" s="245"/>
      <c r="Y110" s="245"/>
      <c r="Z110" s="245"/>
      <c r="AA110" s="245"/>
      <c r="AB110" s="284" t="s">
        <v>39</v>
      </c>
      <c r="AC110" s="327">
        <v>12</v>
      </c>
      <c r="AD110" s="279" t="s">
        <v>1220</v>
      </c>
      <c r="AE110" s="275">
        <v>24.834</v>
      </c>
      <c r="AF110" s="275">
        <v>76.491</v>
      </c>
    </row>
    <row r="111" spans="1:32" ht="15.75">
      <c r="A111" s="318">
        <v>91</v>
      </c>
      <c r="B111" s="274" t="s">
        <v>33</v>
      </c>
      <c r="C111" s="274" t="s">
        <v>2406</v>
      </c>
      <c r="D111" s="10" t="s">
        <v>948</v>
      </c>
      <c r="E111" s="10" t="s">
        <v>2586</v>
      </c>
      <c r="F111" s="10" t="s">
        <v>2587</v>
      </c>
      <c r="G111" s="10">
        <v>707</v>
      </c>
      <c r="H111" s="10">
        <v>39</v>
      </c>
      <c r="I111" s="10">
        <v>165</v>
      </c>
      <c r="J111" s="10">
        <v>90</v>
      </c>
      <c r="K111" s="10">
        <v>75</v>
      </c>
      <c r="L111" s="10">
        <v>43</v>
      </c>
      <c r="M111" s="10">
        <f t="shared" si="6"/>
        <v>26.060606060606062</v>
      </c>
      <c r="N111" s="10">
        <v>10</v>
      </c>
      <c r="O111" s="10">
        <f t="shared" si="5"/>
        <v>6.0606060606060606</v>
      </c>
      <c r="P111" s="10">
        <v>33</v>
      </c>
      <c r="Q111" s="10">
        <v>361</v>
      </c>
      <c r="R111" s="275" t="s">
        <v>39</v>
      </c>
      <c r="S111" s="297" t="s">
        <v>2578</v>
      </c>
      <c r="T111" s="291"/>
      <c r="U111" s="321">
        <v>62.28</v>
      </c>
      <c r="V111" s="336"/>
      <c r="W111" s="245"/>
      <c r="X111" s="245"/>
      <c r="Y111" s="245"/>
      <c r="Z111" s="245"/>
      <c r="AA111" s="245"/>
      <c r="AB111" s="284" t="s">
        <v>39</v>
      </c>
      <c r="AC111" s="327">
        <v>10</v>
      </c>
      <c r="AD111" s="279" t="s">
        <v>1220</v>
      </c>
      <c r="AE111" s="275">
        <v>24.812000000000001</v>
      </c>
      <c r="AF111" s="275">
        <v>76.459000000000003</v>
      </c>
    </row>
    <row r="112" spans="1:32" ht="15.75">
      <c r="A112" s="318">
        <v>92</v>
      </c>
      <c r="B112" s="274" t="s">
        <v>33</v>
      </c>
      <c r="C112" s="274" t="s">
        <v>2406</v>
      </c>
      <c r="D112" s="10" t="s">
        <v>948</v>
      </c>
      <c r="E112" s="10" t="s">
        <v>2588</v>
      </c>
      <c r="F112" s="10" t="s">
        <v>2589</v>
      </c>
      <c r="G112" s="10">
        <v>126</v>
      </c>
      <c r="H112" s="10">
        <v>62</v>
      </c>
      <c r="I112" s="10">
        <v>344</v>
      </c>
      <c r="J112" s="10">
        <v>171</v>
      </c>
      <c r="K112" s="10">
        <v>173</v>
      </c>
      <c r="L112" s="10">
        <v>58</v>
      </c>
      <c r="M112" s="10">
        <f t="shared" si="6"/>
        <v>16.86046511627907</v>
      </c>
      <c r="N112" s="10">
        <v>0</v>
      </c>
      <c r="O112" s="10">
        <f t="shared" si="5"/>
        <v>0</v>
      </c>
      <c r="P112" s="10">
        <v>19</v>
      </c>
      <c r="Q112" s="10">
        <v>0</v>
      </c>
      <c r="R112" s="275"/>
      <c r="S112" s="297"/>
      <c r="T112" s="284"/>
      <c r="U112" s="321">
        <v>42.13</v>
      </c>
      <c r="V112" s="336"/>
      <c r="W112" s="245"/>
      <c r="X112" s="245"/>
      <c r="Y112" s="245"/>
      <c r="Z112" s="245"/>
      <c r="AA112" s="245"/>
      <c r="AB112" s="284"/>
      <c r="AC112" s="329"/>
      <c r="AD112" s="279"/>
      <c r="AE112" s="28"/>
      <c r="AF112" s="28"/>
    </row>
    <row r="113" spans="1:32" s="334" customFormat="1" ht="15.75">
      <c r="A113" s="318">
        <v>93</v>
      </c>
      <c r="B113" s="316" t="s">
        <v>33</v>
      </c>
      <c r="C113" s="316" t="s">
        <v>2406</v>
      </c>
      <c r="D113" s="271" t="s">
        <v>948</v>
      </c>
      <c r="E113" s="271" t="s">
        <v>2590</v>
      </c>
      <c r="F113" s="271" t="s">
        <v>2591</v>
      </c>
      <c r="G113" s="271">
        <v>131</v>
      </c>
      <c r="H113" s="271">
        <v>0</v>
      </c>
      <c r="I113" s="271">
        <v>0</v>
      </c>
      <c r="J113" s="271">
        <v>0</v>
      </c>
      <c r="K113" s="271">
        <v>0</v>
      </c>
      <c r="L113" s="271">
        <v>0</v>
      </c>
      <c r="M113" s="271"/>
      <c r="N113" s="271"/>
      <c r="O113" s="271"/>
      <c r="P113" s="271">
        <v>0</v>
      </c>
      <c r="Q113" s="271">
        <v>0</v>
      </c>
      <c r="R113" s="317" t="s">
        <v>228</v>
      </c>
      <c r="S113" s="331" t="s">
        <v>2592</v>
      </c>
      <c r="T113" s="335"/>
      <c r="U113" s="331">
        <v>23.04</v>
      </c>
      <c r="V113" s="336"/>
      <c r="W113" s="336"/>
      <c r="X113" s="336"/>
      <c r="Y113" s="336"/>
      <c r="Z113" s="336"/>
      <c r="AA113" s="336"/>
      <c r="AB113" s="337" t="s">
        <v>39</v>
      </c>
      <c r="AC113" s="331">
        <v>4</v>
      </c>
      <c r="AD113" s="338" t="s">
        <v>1220</v>
      </c>
      <c r="AE113" s="339">
        <v>24.846499999999999</v>
      </c>
      <c r="AF113" s="339">
        <v>76.475999999999999</v>
      </c>
    </row>
    <row r="114" spans="1:32" ht="15.75">
      <c r="A114" s="318">
        <v>94</v>
      </c>
      <c r="B114" s="274" t="s">
        <v>33</v>
      </c>
      <c r="C114" s="274" t="s">
        <v>2406</v>
      </c>
      <c r="D114" s="10" t="s">
        <v>948</v>
      </c>
      <c r="E114" s="10" t="s">
        <v>2593</v>
      </c>
      <c r="F114" s="10" t="s">
        <v>2594</v>
      </c>
      <c r="G114" s="10">
        <v>179</v>
      </c>
      <c r="H114" s="10">
        <v>51</v>
      </c>
      <c r="I114" s="10">
        <v>347</v>
      </c>
      <c r="J114" s="10">
        <v>194</v>
      </c>
      <c r="K114" s="10">
        <v>153</v>
      </c>
      <c r="L114" s="10">
        <v>29</v>
      </c>
      <c r="M114" s="10">
        <f t="shared" si="6"/>
        <v>8.3573487031700289</v>
      </c>
      <c r="N114" s="10">
        <v>7</v>
      </c>
      <c r="O114" s="10">
        <f t="shared" si="5"/>
        <v>2.0172910662824206</v>
      </c>
      <c r="P114" s="10">
        <v>14</v>
      </c>
      <c r="Q114" s="10">
        <v>0</v>
      </c>
      <c r="R114" s="275" t="s">
        <v>228</v>
      </c>
      <c r="S114" s="295" t="s">
        <v>2592</v>
      </c>
      <c r="T114" s="291"/>
      <c r="U114" s="321">
        <v>30.68</v>
      </c>
      <c r="V114" s="336"/>
      <c r="W114" s="245"/>
      <c r="X114" s="245"/>
      <c r="Y114" s="245"/>
      <c r="Z114" s="245"/>
      <c r="AA114" s="245"/>
      <c r="AB114" s="284" t="s">
        <v>39</v>
      </c>
      <c r="AC114" s="331">
        <v>4</v>
      </c>
      <c r="AD114" s="279" t="s">
        <v>1220</v>
      </c>
      <c r="AE114" s="294">
        <v>24.814499999999999</v>
      </c>
      <c r="AF114" s="294">
        <v>76.479500000000002</v>
      </c>
    </row>
    <row r="115" spans="1:32" ht="15.75">
      <c r="A115" s="318" t="s">
        <v>51</v>
      </c>
      <c r="B115" s="274" t="s">
        <v>33</v>
      </c>
      <c r="C115" s="274" t="s">
        <v>2406</v>
      </c>
      <c r="D115" s="10" t="s">
        <v>948</v>
      </c>
      <c r="E115" s="10" t="s">
        <v>2593</v>
      </c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275"/>
      <c r="S115" s="295"/>
      <c r="T115" s="291"/>
      <c r="U115" s="321"/>
      <c r="V115" s="336"/>
      <c r="W115" s="245"/>
      <c r="X115" s="245"/>
      <c r="Y115" s="245"/>
      <c r="Z115" s="245"/>
      <c r="AA115" s="245"/>
      <c r="AB115" s="284" t="s">
        <v>39</v>
      </c>
      <c r="AC115" s="331">
        <v>8</v>
      </c>
      <c r="AD115" s="279" t="s">
        <v>1220</v>
      </c>
      <c r="AE115" s="294"/>
      <c r="AF115" s="294"/>
    </row>
    <row r="116" spans="1:32" ht="15.75">
      <c r="A116" s="318">
        <v>95</v>
      </c>
      <c r="B116" s="274" t="s">
        <v>33</v>
      </c>
      <c r="C116" s="274" t="s">
        <v>2406</v>
      </c>
      <c r="D116" s="10" t="s">
        <v>948</v>
      </c>
      <c r="E116" s="10" t="s">
        <v>2595</v>
      </c>
      <c r="F116" s="10" t="s">
        <v>2596</v>
      </c>
      <c r="G116" s="10">
        <v>1504</v>
      </c>
      <c r="H116" s="10">
        <v>501</v>
      </c>
      <c r="I116" s="10">
        <v>2549</v>
      </c>
      <c r="J116" s="10">
        <v>1289</v>
      </c>
      <c r="K116" s="10">
        <v>1260</v>
      </c>
      <c r="L116" s="10">
        <v>392</v>
      </c>
      <c r="M116" s="10">
        <f t="shared" si="6"/>
        <v>15.378579835229504</v>
      </c>
      <c r="N116" s="10">
        <v>405</v>
      </c>
      <c r="O116" s="10">
        <f t="shared" si="5"/>
        <v>15.888583758336603</v>
      </c>
      <c r="P116" s="10">
        <v>119</v>
      </c>
      <c r="Q116" s="10">
        <v>360</v>
      </c>
      <c r="R116" s="275" t="s">
        <v>228</v>
      </c>
      <c r="S116" s="297" t="s">
        <v>1269</v>
      </c>
      <c r="T116" s="291"/>
      <c r="U116" s="317">
        <v>5.9</v>
      </c>
      <c r="V116" s="336"/>
      <c r="W116" s="245"/>
      <c r="X116" s="245"/>
      <c r="Y116" s="245"/>
      <c r="Z116" s="245"/>
      <c r="AA116" s="245"/>
      <c r="AB116" s="284"/>
      <c r="AC116" s="327"/>
      <c r="AD116" s="279"/>
      <c r="AE116" s="275"/>
      <c r="AF116" s="275"/>
    </row>
    <row r="117" spans="1:32" ht="15.75">
      <c r="A117" s="318">
        <v>96</v>
      </c>
      <c r="B117" s="274" t="s">
        <v>33</v>
      </c>
      <c r="C117" s="274" t="s">
        <v>2406</v>
      </c>
      <c r="D117" s="10" t="s">
        <v>948</v>
      </c>
      <c r="E117" s="10" t="s">
        <v>1443</v>
      </c>
      <c r="F117" s="10" t="s">
        <v>2597</v>
      </c>
      <c r="G117" s="10">
        <v>376</v>
      </c>
      <c r="H117" s="10">
        <v>138</v>
      </c>
      <c r="I117" s="10">
        <v>827</v>
      </c>
      <c r="J117" s="10">
        <v>426</v>
      </c>
      <c r="K117" s="10">
        <v>401</v>
      </c>
      <c r="L117" s="10">
        <v>0</v>
      </c>
      <c r="M117" s="10">
        <f t="shared" si="6"/>
        <v>0</v>
      </c>
      <c r="N117" s="10">
        <v>0</v>
      </c>
      <c r="O117" s="10">
        <f t="shared" si="5"/>
        <v>0</v>
      </c>
      <c r="P117" s="10">
        <v>28</v>
      </c>
      <c r="Q117" s="10">
        <v>0</v>
      </c>
      <c r="R117" s="275" t="s">
        <v>228</v>
      </c>
      <c r="S117" s="297" t="s">
        <v>1269</v>
      </c>
      <c r="T117" s="284"/>
      <c r="U117" s="317"/>
      <c r="V117" s="336"/>
      <c r="W117" s="245"/>
      <c r="X117" s="245"/>
      <c r="Y117" s="245"/>
      <c r="Z117" s="245"/>
      <c r="AA117" s="245"/>
      <c r="AB117" s="284"/>
      <c r="AC117" s="327"/>
      <c r="AD117" s="279"/>
      <c r="AE117" s="275"/>
      <c r="AF117" s="275"/>
    </row>
    <row r="118" spans="1:32" ht="15.75">
      <c r="A118" s="318">
        <v>97</v>
      </c>
      <c r="B118" s="274" t="s">
        <v>33</v>
      </c>
      <c r="C118" s="274" t="s">
        <v>2406</v>
      </c>
      <c r="D118" s="10" t="s">
        <v>948</v>
      </c>
      <c r="E118" s="10" t="s">
        <v>2598</v>
      </c>
      <c r="F118" s="10" t="s">
        <v>2599</v>
      </c>
      <c r="G118" s="10">
        <v>1228.27</v>
      </c>
      <c r="H118" s="10">
        <v>530</v>
      </c>
      <c r="I118" s="10">
        <v>2635</v>
      </c>
      <c r="J118" s="10">
        <v>1374</v>
      </c>
      <c r="K118" s="10">
        <v>1261</v>
      </c>
      <c r="L118" s="10">
        <v>578</v>
      </c>
      <c r="M118" s="10">
        <f t="shared" si="6"/>
        <v>21.935483870967744</v>
      </c>
      <c r="N118" s="10">
        <v>219</v>
      </c>
      <c r="O118" s="10">
        <f t="shared" si="5"/>
        <v>8.311195445920303</v>
      </c>
      <c r="P118" s="10">
        <v>74.28</v>
      </c>
      <c r="Q118" s="10">
        <v>0</v>
      </c>
      <c r="R118" s="275" t="s">
        <v>228</v>
      </c>
      <c r="S118" s="297" t="s">
        <v>1269</v>
      </c>
      <c r="T118" s="284"/>
      <c r="U118" s="327">
        <v>3.1</v>
      </c>
      <c r="V118" s="336"/>
      <c r="W118" s="245"/>
      <c r="X118" s="245"/>
      <c r="Y118" s="245"/>
      <c r="Z118" s="245"/>
      <c r="AA118" s="245"/>
      <c r="AB118" s="284"/>
      <c r="AC118" s="327"/>
      <c r="AD118" s="279"/>
      <c r="AE118" s="275"/>
      <c r="AF118" s="275"/>
    </row>
    <row r="119" spans="1:32" ht="15.75">
      <c r="A119" s="318">
        <v>98</v>
      </c>
      <c r="B119" s="274" t="s">
        <v>33</v>
      </c>
      <c r="C119" s="274" t="s">
        <v>2406</v>
      </c>
      <c r="D119" s="10" t="s">
        <v>2600</v>
      </c>
      <c r="E119" s="16" t="s">
        <v>2284</v>
      </c>
      <c r="F119" s="10" t="s">
        <v>2601</v>
      </c>
      <c r="G119" s="10">
        <v>584.17999999999995</v>
      </c>
      <c r="H119" s="10">
        <v>156</v>
      </c>
      <c r="I119" s="10">
        <v>708</v>
      </c>
      <c r="J119" s="10">
        <v>379</v>
      </c>
      <c r="K119" s="10">
        <v>329</v>
      </c>
      <c r="L119" s="10">
        <v>7</v>
      </c>
      <c r="M119" s="10">
        <f t="shared" si="6"/>
        <v>0.98870056497175152</v>
      </c>
      <c r="N119" s="10">
        <v>345</v>
      </c>
      <c r="O119" s="10">
        <f t="shared" si="5"/>
        <v>48.728813559322035</v>
      </c>
      <c r="P119" s="10">
        <v>50</v>
      </c>
      <c r="Q119" s="10">
        <v>0</v>
      </c>
      <c r="R119" s="275" t="s">
        <v>228</v>
      </c>
      <c r="S119" s="297" t="s">
        <v>1269</v>
      </c>
      <c r="T119" s="291"/>
      <c r="U119" s="327">
        <v>125.81</v>
      </c>
      <c r="V119" s="336"/>
      <c r="W119" s="245"/>
      <c r="X119" s="245"/>
      <c r="Y119" s="245"/>
      <c r="Z119" s="245"/>
      <c r="AA119" s="245"/>
      <c r="AB119" s="284" t="s">
        <v>39</v>
      </c>
      <c r="AC119" s="327">
        <v>13</v>
      </c>
      <c r="AD119" s="279" t="s">
        <v>1220</v>
      </c>
      <c r="AE119" s="275">
        <v>24.747699999999998</v>
      </c>
      <c r="AF119" s="275">
        <v>76.658600000000007</v>
      </c>
    </row>
    <row r="120" spans="1:32" ht="15.75">
      <c r="A120" s="318" t="s">
        <v>51</v>
      </c>
      <c r="B120" s="274" t="s">
        <v>33</v>
      </c>
      <c r="C120" s="274" t="s">
        <v>2406</v>
      </c>
      <c r="D120" s="10" t="s">
        <v>2600</v>
      </c>
      <c r="E120" s="27" t="s">
        <v>2284</v>
      </c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275"/>
      <c r="S120" s="297"/>
      <c r="T120" s="291"/>
      <c r="U120" s="327"/>
      <c r="V120" s="336"/>
      <c r="W120" s="245"/>
      <c r="X120" s="245"/>
      <c r="Y120" s="245"/>
      <c r="Z120" s="245"/>
      <c r="AA120" s="245"/>
      <c r="AB120" s="284" t="s">
        <v>39</v>
      </c>
      <c r="AC120" s="327">
        <v>11</v>
      </c>
      <c r="AD120" s="279" t="s">
        <v>1220</v>
      </c>
      <c r="AE120" s="275"/>
      <c r="AF120" s="275"/>
    </row>
    <row r="121" spans="1:32" ht="15.75">
      <c r="A121" s="318">
        <v>99</v>
      </c>
      <c r="B121" s="274" t="s">
        <v>33</v>
      </c>
      <c r="C121" s="274" t="s">
        <v>2406</v>
      </c>
      <c r="D121" s="10" t="s">
        <v>2600</v>
      </c>
      <c r="E121" s="10" t="s">
        <v>2602</v>
      </c>
      <c r="F121" s="10" t="s">
        <v>2603</v>
      </c>
      <c r="G121" s="10">
        <v>358.85</v>
      </c>
      <c r="H121" s="10">
        <v>60</v>
      </c>
      <c r="I121" s="10">
        <v>293</v>
      </c>
      <c r="J121" s="10">
        <v>156</v>
      </c>
      <c r="K121" s="10">
        <v>137</v>
      </c>
      <c r="L121" s="10">
        <v>3</v>
      </c>
      <c r="M121" s="10">
        <f t="shared" si="6"/>
        <v>1.0238907849829351</v>
      </c>
      <c r="N121" s="10">
        <v>277</v>
      </c>
      <c r="O121" s="10">
        <f t="shared" si="5"/>
        <v>94.539249146757669</v>
      </c>
      <c r="P121" s="10">
        <v>12.72</v>
      </c>
      <c r="Q121" s="10">
        <v>0</v>
      </c>
      <c r="R121" s="275" t="s">
        <v>228</v>
      </c>
      <c r="S121" s="275" t="s">
        <v>2708</v>
      </c>
      <c r="T121" s="291"/>
      <c r="U121" s="329">
        <v>25.8</v>
      </c>
      <c r="V121" s="336"/>
      <c r="W121" s="245"/>
      <c r="X121" s="245"/>
      <c r="Y121" s="245"/>
      <c r="Z121" s="245"/>
      <c r="AA121" s="245"/>
      <c r="AB121" s="284" t="s">
        <v>39</v>
      </c>
      <c r="AC121" s="329">
        <v>11</v>
      </c>
      <c r="AD121" s="279" t="s">
        <v>1220</v>
      </c>
      <c r="AE121" s="28">
        <v>24.721499999999999</v>
      </c>
      <c r="AF121" s="28">
        <v>76.680999999999997</v>
      </c>
    </row>
    <row r="122" spans="1:32" ht="15.75">
      <c r="A122" s="318">
        <v>100</v>
      </c>
      <c r="B122" s="274" t="s">
        <v>33</v>
      </c>
      <c r="C122" s="274" t="s">
        <v>2406</v>
      </c>
      <c r="D122" s="10" t="s">
        <v>2604</v>
      </c>
      <c r="E122" s="16" t="s">
        <v>2605</v>
      </c>
      <c r="F122" s="10" t="s">
        <v>2606</v>
      </c>
      <c r="G122" s="10">
        <v>693.5</v>
      </c>
      <c r="H122" s="10">
        <v>282</v>
      </c>
      <c r="I122" s="10">
        <v>1476</v>
      </c>
      <c r="J122" s="10">
        <v>769</v>
      </c>
      <c r="K122" s="10">
        <v>707</v>
      </c>
      <c r="L122" s="10">
        <v>446</v>
      </c>
      <c r="M122" s="10">
        <f t="shared" si="6"/>
        <v>30.21680216802168</v>
      </c>
      <c r="N122" s="10">
        <v>260</v>
      </c>
      <c r="O122" s="10">
        <f t="shared" si="5"/>
        <v>17.615176151761517</v>
      </c>
      <c r="P122" s="10">
        <v>50.23</v>
      </c>
      <c r="Q122" s="10">
        <v>0</v>
      </c>
      <c r="R122" s="275" t="s">
        <v>228</v>
      </c>
      <c r="S122" s="275" t="s">
        <v>2708</v>
      </c>
      <c r="T122" s="291"/>
      <c r="U122" s="329">
        <v>138.78</v>
      </c>
      <c r="V122" s="336"/>
      <c r="W122" s="245"/>
      <c r="X122" s="245"/>
      <c r="Y122" s="245"/>
      <c r="Z122" s="245"/>
      <c r="AA122" s="245"/>
      <c r="AB122" s="284" t="s">
        <v>39</v>
      </c>
      <c r="AC122" s="329">
        <v>25</v>
      </c>
      <c r="AD122" s="279" t="s">
        <v>1220</v>
      </c>
      <c r="AE122" s="28">
        <v>24.904599999999999</v>
      </c>
      <c r="AF122" s="28">
        <v>76.422799999999995</v>
      </c>
    </row>
    <row r="123" spans="1:32" ht="15.75">
      <c r="A123" s="318" t="s">
        <v>51</v>
      </c>
      <c r="B123" s="274" t="s">
        <v>33</v>
      </c>
      <c r="C123" s="274" t="s">
        <v>2406</v>
      </c>
      <c r="D123" s="10" t="s">
        <v>2604</v>
      </c>
      <c r="E123" s="16" t="s">
        <v>2605</v>
      </c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275"/>
      <c r="S123" s="275"/>
      <c r="T123" s="291"/>
      <c r="U123" s="329"/>
      <c r="V123" s="336"/>
      <c r="W123" s="245"/>
      <c r="X123" s="245"/>
      <c r="Y123" s="245"/>
      <c r="Z123" s="245"/>
      <c r="AA123" s="245"/>
      <c r="AB123" s="284" t="s">
        <v>39</v>
      </c>
      <c r="AC123" s="329">
        <v>9</v>
      </c>
      <c r="AD123" s="279" t="s">
        <v>1220</v>
      </c>
      <c r="AE123" s="28"/>
      <c r="AF123" s="28"/>
    </row>
    <row r="124" spans="1:32" ht="15.75">
      <c r="A124" s="318">
        <v>101</v>
      </c>
      <c r="B124" s="274" t="s">
        <v>33</v>
      </c>
      <c r="C124" s="274" t="s">
        <v>2406</v>
      </c>
      <c r="D124" s="10" t="s">
        <v>2604</v>
      </c>
      <c r="E124" s="10" t="s">
        <v>638</v>
      </c>
      <c r="F124" s="10" t="s">
        <v>2607</v>
      </c>
      <c r="G124" s="10">
        <v>261.12</v>
      </c>
      <c r="H124" s="10">
        <v>124</v>
      </c>
      <c r="I124" s="10">
        <v>735</v>
      </c>
      <c r="J124" s="10">
        <v>380</v>
      </c>
      <c r="K124" s="10">
        <v>355</v>
      </c>
      <c r="L124" s="10">
        <v>205</v>
      </c>
      <c r="M124" s="10">
        <f t="shared" si="6"/>
        <v>27.89115646258503</v>
      </c>
      <c r="N124" s="10">
        <v>120</v>
      </c>
      <c r="O124" s="10">
        <f t="shared" si="5"/>
        <v>16.326530612244898</v>
      </c>
      <c r="P124" s="10">
        <v>23.34</v>
      </c>
      <c r="Q124" s="10">
        <v>0</v>
      </c>
      <c r="R124" s="275" t="s">
        <v>228</v>
      </c>
      <c r="S124" s="275" t="s">
        <v>2708</v>
      </c>
      <c r="T124" s="284"/>
      <c r="U124" s="329">
        <v>65.97</v>
      </c>
      <c r="V124" s="336"/>
      <c r="W124" s="245"/>
      <c r="X124" s="245"/>
      <c r="Y124" s="245"/>
      <c r="Z124" s="245"/>
      <c r="AA124" s="245"/>
      <c r="AB124" s="284" t="s">
        <v>39</v>
      </c>
      <c r="AC124" s="329">
        <v>8</v>
      </c>
      <c r="AD124" s="279" t="s">
        <v>1220</v>
      </c>
      <c r="AE124" s="28"/>
      <c r="AF124" s="28"/>
    </row>
    <row r="125" spans="1:32" ht="15.75">
      <c r="A125" s="318">
        <v>102</v>
      </c>
      <c r="B125" s="274" t="s">
        <v>33</v>
      </c>
      <c r="C125" s="274" t="s">
        <v>2406</v>
      </c>
      <c r="D125" s="10" t="s">
        <v>2604</v>
      </c>
      <c r="E125" s="10" t="s">
        <v>505</v>
      </c>
      <c r="F125" s="10" t="s">
        <v>2608</v>
      </c>
      <c r="G125" s="10">
        <v>618.29999999999995</v>
      </c>
      <c r="H125" s="10">
        <v>192</v>
      </c>
      <c r="I125" s="10">
        <v>1057</v>
      </c>
      <c r="J125" s="10">
        <v>534</v>
      </c>
      <c r="K125" s="10">
        <v>523</v>
      </c>
      <c r="L125" s="10">
        <v>264</v>
      </c>
      <c r="M125" s="10">
        <f t="shared" si="6"/>
        <v>24.976348155156103</v>
      </c>
      <c r="N125" s="10">
        <v>208</v>
      </c>
      <c r="O125" s="10">
        <f t="shared" si="5"/>
        <v>19.678334910122992</v>
      </c>
      <c r="P125" s="10">
        <v>30.01</v>
      </c>
      <c r="Q125" s="10">
        <v>0</v>
      </c>
      <c r="R125" s="275" t="s">
        <v>228</v>
      </c>
      <c r="S125" s="275" t="s">
        <v>2708</v>
      </c>
      <c r="T125" s="284"/>
      <c r="U125" s="329">
        <v>12.72</v>
      </c>
      <c r="V125" s="336"/>
      <c r="W125" s="245"/>
      <c r="X125" s="245"/>
      <c r="Y125" s="245"/>
      <c r="Z125" s="245"/>
      <c r="AA125" s="245"/>
      <c r="AB125" s="284"/>
      <c r="AC125" s="329"/>
      <c r="AD125" s="279"/>
      <c r="AE125" s="28"/>
      <c r="AF125" s="28"/>
    </row>
    <row r="126" spans="1:32" ht="15.75">
      <c r="A126" s="318">
        <v>103</v>
      </c>
      <c r="B126" s="274" t="s">
        <v>33</v>
      </c>
      <c r="C126" s="274" t="s">
        <v>2406</v>
      </c>
      <c r="D126" s="10" t="s">
        <v>2609</v>
      </c>
      <c r="E126" s="16" t="s">
        <v>2610</v>
      </c>
      <c r="F126" s="10" t="s">
        <v>2611</v>
      </c>
      <c r="G126" s="10">
        <v>647.4</v>
      </c>
      <c r="H126" s="10">
        <v>210</v>
      </c>
      <c r="I126" s="10">
        <v>1129</v>
      </c>
      <c r="J126" s="10">
        <v>579</v>
      </c>
      <c r="K126" s="10">
        <v>550</v>
      </c>
      <c r="L126" s="10">
        <v>557</v>
      </c>
      <c r="M126" s="10">
        <f t="shared" si="6"/>
        <v>49.33569530558016</v>
      </c>
      <c r="N126" s="10">
        <v>22</v>
      </c>
      <c r="O126" s="10">
        <f t="shared" si="5"/>
        <v>1.9486271036315321</v>
      </c>
      <c r="P126" s="10">
        <v>34.97</v>
      </c>
      <c r="Q126" s="10">
        <v>0</v>
      </c>
      <c r="R126" s="275" t="s">
        <v>228</v>
      </c>
      <c r="S126" s="295" t="s">
        <v>2612</v>
      </c>
      <c r="T126" s="290"/>
      <c r="U126" s="332"/>
      <c r="V126" s="336"/>
      <c r="W126" s="245"/>
      <c r="X126" s="245"/>
      <c r="Y126" s="245"/>
      <c r="Z126" s="245"/>
      <c r="AA126" s="245"/>
      <c r="AB126" s="278"/>
      <c r="AC126" s="332"/>
      <c r="AD126" s="275"/>
      <c r="AE126" s="275"/>
      <c r="AF126" s="275"/>
    </row>
    <row r="127" spans="1:32" ht="15.75">
      <c r="A127" s="318">
        <v>104</v>
      </c>
      <c r="B127" s="274" t="s">
        <v>33</v>
      </c>
      <c r="C127" s="274" t="s">
        <v>2406</v>
      </c>
      <c r="D127" s="10" t="s">
        <v>2609</v>
      </c>
      <c r="E127" s="10" t="s">
        <v>2613</v>
      </c>
      <c r="F127" s="10" t="s">
        <v>2614</v>
      </c>
      <c r="G127" s="10">
        <v>300.86</v>
      </c>
      <c r="H127" s="10">
        <v>64</v>
      </c>
      <c r="I127" s="10">
        <v>342</v>
      </c>
      <c r="J127" s="10">
        <v>172</v>
      </c>
      <c r="K127" s="10">
        <v>170</v>
      </c>
      <c r="L127" s="10">
        <v>72</v>
      </c>
      <c r="M127" s="10">
        <f t="shared" si="6"/>
        <v>21.052631578947366</v>
      </c>
      <c r="N127" s="10">
        <v>14</v>
      </c>
      <c r="O127" s="10">
        <f t="shared" si="5"/>
        <v>4.0935672514619883</v>
      </c>
      <c r="P127" s="10">
        <v>23.7</v>
      </c>
      <c r="Q127" s="10">
        <v>0</v>
      </c>
      <c r="R127" s="275" t="s">
        <v>228</v>
      </c>
      <c r="S127" s="275" t="s">
        <v>2615</v>
      </c>
      <c r="T127" s="284"/>
      <c r="U127" s="317"/>
      <c r="V127" s="336"/>
      <c r="W127" s="245"/>
      <c r="X127" s="245"/>
      <c r="Y127" s="245"/>
      <c r="Z127" s="245"/>
      <c r="AA127" s="245"/>
      <c r="AB127" s="284"/>
      <c r="AC127" s="317"/>
      <c r="AD127" s="279"/>
      <c r="AE127" s="294"/>
      <c r="AF127" s="294"/>
    </row>
    <row r="128" spans="1:32" ht="15.75">
      <c r="A128" s="340">
        <v>105</v>
      </c>
      <c r="B128" s="274" t="s">
        <v>33</v>
      </c>
      <c r="C128" s="274" t="s">
        <v>2406</v>
      </c>
      <c r="D128" s="10" t="s">
        <v>2609</v>
      </c>
      <c r="E128" s="10" t="s">
        <v>2616</v>
      </c>
      <c r="F128" s="10" t="s">
        <v>2617</v>
      </c>
      <c r="G128" s="10">
        <v>203.43</v>
      </c>
      <c r="H128" s="10">
        <v>15</v>
      </c>
      <c r="I128" s="10">
        <v>69</v>
      </c>
      <c r="J128" s="10">
        <v>40</v>
      </c>
      <c r="K128" s="10">
        <v>29</v>
      </c>
      <c r="L128" s="10">
        <v>35</v>
      </c>
      <c r="M128" s="10">
        <f t="shared" si="6"/>
        <v>50.724637681159422</v>
      </c>
      <c r="N128" s="10">
        <v>28</v>
      </c>
      <c r="O128" s="10">
        <f t="shared" si="5"/>
        <v>40.579710144927539</v>
      </c>
      <c r="P128" s="10">
        <v>11.43</v>
      </c>
      <c r="Q128" s="10">
        <v>0</v>
      </c>
      <c r="R128" s="275" t="s">
        <v>228</v>
      </c>
      <c r="S128" s="275" t="s">
        <v>2615</v>
      </c>
      <c r="T128" s="284"/>
      <c r="U128" s="317">
        <v>32.729999999999997</v>
      </c>
      <c r="V128" s="336"/>
      <c r="W128" s="245"/>
      <c r="X128" s="245"/>
      <c r="Y128" s="245"/>
      <c r="Z128" s="245"/>
      <c r="AA128" s="245"/>
      <c r="AB128" s="284"/>
      <c r="AC128" s="317"/>
      <c r="AD128" s="275"/>
      <c r="AE128" s="275"/>
      <c r="AF128" s="275"/>
    </row>
    <row r="129" spans="1:32" ht="15.75">
      <c r="A129" s="318">
        <v>106</v>
      </c>
      <c r="B129" s="274" t="s">
        <v>33</v>
      </c>
      <c r="C129" s="274" t="s">
        <v>2406</v>
      </c>
      <c r="D129" s="10" t="s">
        <v>2609</v>
      </c>
      <c r="E129" s="10" t="s">
        <v>2618</v>
      </c>
      <c r="F129" s="10" t="s">
        <v>2619</v>
      </c>
      <c r="G129" s="10">
        <v>417.81</v>
      </c>
      <c r="H129" s="10">
        <v>29</v>
      </c>
      <c r="I129" s="10">
        <v>149</v>
      </c>
      <c r="J129" s="10">
        <v>69</v>
      </c>
      <c r="K129" s="10">
        <v>80</v>
      </c>
      <c r="L129" s="10">
        <v>45</v>
      </c>
      <c r="M129" s="10">
        <f t="shared" si="6"/>
        <v>30.201342281879196</v>
      </c>
      <c r="N129" s="10">
        <v>51</v>
      </c>
      <c r="O129" s="10">
        <f t="shared" si="5"/>
        <v>34.228187919463089</v>
      </c>
      <c r="P129" s="10">
        <v>17.22</v>
      </c>
      <c r="Q129" s="10">
        <v>76.62</v>
      </c>
      <c r="R129" s="275" t="s">
        <v>228</v>
      </c>
      <c r="S129" s="275" t="s">
        <v>2615</v>
      </c>
      <c r="T129" s="284"/>
      <c r="U129" s="317"/>
      <c r="V129" s="336"/>
      <c r="W129" s="245"/>
      <c r="X129" s="245"/>
      <c r="Y129" s="245"/>
      <c r="Z129" s="245"/>
      <c r="AA129" s="245"/>
      <c r="AB129" s="284"/>
      <c r="AC129" s="317"/>
      <c r="AD129" s="275"/>
      <c r="AE129" s="275"/>
      <c r="AF129" s="275"/>
    </row>
    <row r="130" spans="1:32" ht="15.75">
      <c r="A130" s="318">
        <v>107</v>
      </c>
      <c r="B130" s="274" t="s">
        <v>33</v>
      </c>
      <c r="C130" s="274" t="s">
        <v>2406</v>
      </c>
      <c r="D130" s="10" t="s">
        <v>2609</v>
      </c>
      <c r="E130" s="10" t="s">
        <v>2620</v>
      </c>
      <c r="F130" s="10" t="s">
        <v>2621</v>
      </c>
      <c r="G130" s="10">
        <v>584.07000000000005</v>
      </c>
      <c r="H130" s="10">
        <v>298</v>
      </c>
      <c r="I130" s="10">
        <v>1605</v>
      </c>
      <c r="J130" s="10">
        <v>841</v>
      </c>
      <c r="K130" s="10">
        <v>764</v>
      </c>
      <c r="L130" s="10">
        <v>419</v>
      </c>
      <c r="M130" s="10">
        <f t="shared" si="6"/>
        <v>26.105919003115265</v>
      </c>
      <c r="N130" s="10">
        <v>768</v>
      </c>
      <c r="O130" s="10">
        <f t="shared" si="5"/>
        <v>47.850467289719631</v>
      </c>
      <c r="P130" s="10">
        <v>16.010000000000002</v>
      </c>
      <c r="Q130" s="10">
        <v>0</v>
      </c>
      <c r="R130" s="275" t="s">
        <v>228</v>
      </c>
      <c r="S130" s="297" t="s">
        <v>1269</v>
      </c>
      <c r="T130" s="284"/>
      <c r="U130" s="327"/>
      <c r="V130" s="336"/>
      <c r="W130" s="245"/>
      <c r="X130" s="245"/>
      <c r="Y130" s="245"/>
      <c r="Z130" s="245"/>
      <c r="AA130" s="245"/>
      <c r="AB130" s="284"/>
      <c r="AC130" s="327"/>
      <c r="AD130" s="279"/>
      <c r="AE130" s="275"/>
      <c r="AF130" s="275"/>
    </row>
    <row r="131" spans="1:32" ht="15.75">
      <c r="A131" s="318">
        <v>108</v>
      </c>
      <c r="B131" s="274" t="s">
        <v>33</v>
      </c>
      <c r="C131" s="274" t="s">
        <v>2406</v>
      </c>
      <c r="D131" s="10" t="s">
        <v>2609</v>
      </c>
      <c r="E131" s="10" t="s">
        <v>2622</v>
      </c>
      <c r="F131" s="10" t="s">
        <v>2623</v>
      </c>
      <c r="G131" s="10">
        <v>268.04000000000002</v>
      </c>
      <c r="H131" s="10">
        <v>44</v>
      </c>
      <c r="I131" s="10">
        <v>270</v>
      </c>
      <c r="J131" s="10">
        <v>148</v>
      </c>
      <c r="K131" s="10">
        <v>122</v>
      </c>
      <c r="L131" s="10">
        <v>191</v>
      </c>
      <c r="M131" s="10">
        <f t="shared" si="6"/>
        <v>70.740740740740733</v>
      </c>
      <c r="N131" s="10">
        <v>0</v>
      </c>
      <c r="O131" s="10">
        <f t="shared" si="5"/>
        <v>0</v>
      </c>
      <c r="P131" s="10">
        <v>6</v>
      </c>
      <c r="Q131" s="10">
        <v>0</v>
      </c>
      <c r="R131" s="275" t="s">
        <v>228</v>
      </c>
      <c r="S131" s="297" t="s">
        <v>1269</v>
      </c>
      <c r="T131" s="284"/>
      <c r="U131" s="327"/>
      <c r="V131" s="336"/>
      <c r="W131" s="245"/>
      <c r="X131" s="245"/>
      <c r="Y131" s="245"/>
      <c r="Z131" s="245"/>
      <c r="AA131" s="245"/>
      <c r="AB131" s="284"/>
      <c r="AC131" s="327"/>
      <c r="AD131" s="279"/>
      <c r="AE131" s="275"/>
      <c r="AF131" s="275"/>
    </row>
    <row r="132" spans="1:32" ht="15.75">
      <c r="A132" s="318">
        <v>109</v>
      </c>
      <c r="B132" s="274" t="s">
        <v>33</v>
      </c>
      <c r="C132" s="274" t="s">
        <v>2406</v>
      </c>
      <c r="D132" s="10" t="s">
        <v>2609</v>
      </c>
      <c r="E132" s="10" t="s">
        <v>2141</v>
      </c>
      <c r="F132" s="10" t="s">
        <v>2624</v>
      </c>
      <c r="G132" s="10">
        <v>400</v>
      </c>
      <c r="H132" s="10">
        <v>149</v>
      </c>
      <c r="I132" s="10">
        <v>725</v>
      </c>
      <c r="J132" s="10">
        <v>366</v>
      </c>
      <c r="K132" s="10">
        <v>359</v>
      </c>
      <c r="L132" s="10">
        <v>20</v>
      </c>
      <c r="M132" s="10">
        <f t="shared" si="6"/>
        <v>2.7586206896551726</v>
      </c>
      <c r="N132" s="10">
        <v>609</v>
      </c>
      <c r="O132" s="10">
        <f t="shared" ref="O132:O175" si="7">N132/I132*100</f>
        <v>84</v>
      </c>
      <c r="P132" s="10">
        <v>15</v>
      </c>
      <c r="Q132" s="10">
        <v>0</v>
      </c>
      <c r="R132" s="275" t="s">
        <v>228</v>
      </c>
      <c r="S132" s="297" t="s">
        <v>1269</v>
      </c>
      <c r="T132" s="284"/>
      <c r="U132" s="327">
        <v>18.16</v>
      </c>
      <c r="V132" s="336"/>
      <c r="W132" s="245"/>
      <c r="X132" s="245"/>
      <c r="Y132" s="245"/>
      <c r="Z132" s="245"/>
      <c r="AA132" s="245"/>
      <c r="AB132" s="284"/>
      <c r="AC132" s="327"/>
      <c r="AD132" s="275"/>
      <c r="AE132" s="275"/>
      <c r="AF132" s="275"/>
    </row>
    <row r="133" spans="1:32" ht="15.75">
      <c r="A133" s="318">
        <v>110</v>
      </c>
      <c r="B133" s="274" t="s">
        <v>33</v>
      </c>
      <c r="C133" s="274" t="s">
        <v>2406</v>
      </c>
      <c r="D133" s="10" t="s">
        <v>2625</v>
      </c>
      <c r="E133" s="16" t="s">
        <v>2626</v>
      </c>
      <c r="F133" s="10" t="s">
        <v>2627</v>
      </c>
      <c r="G133" s="10">
        <v>330.48</v>
      </c>
      <c r="H133" s="10">
        <v>75</v>
      </c>
      <c r="I133" s="10">
        <v>387</v>
      </c>
      <c r="J133" s="10">
        <v>208</v>
      </c>
      <c r="K133" s="10">
        <v>179</v>
      </c>
      <c r="L133" s="10">
        <v>76</v>
      </c>
      <c r="M133" s="10">
        <f t="shared" si="6"/>
        <v>19.638242894056848</v>
      </c>
      <c r="N133" s="10">
        <v>0</v>
      </c>
      <c r="O133" s="10">
        <f t="shared" si="7"/>
        <v>0</v>
      </c>
      <c r="P133" s="10">
        <v>4.07</v>
      </c>
      <c r="Q133" s="10">
        <v>0</v>
      </c>
      <c r="R133" s="275" t="s">
        <v>228</v>
      </c>
      <c r="S133" s="296">
        <v>44622</v>
      </c>
      <c r="T133" s="291"/>
      <c r="U133" s="327"/>
      <c r="V133" s="336"/>
      <c r="W133" s="245"/>
      <c r="X133" s="245"/>
      <c r="Y133" s="245"/>
      <c r="Z133" s="245"/>
      <c r="AA133" s="245"/>
      <c r="AB133" s="284" t="s">
        <v>39</v>
      </c>
      <c r="AC133" s="347">
        <v>4</v>
      </c>
      <c r="AD133" s="279" t="s">
        <v>1220</v>
      </c>
      <c r="AE133" s="275">
        <v>24.997399999999999</v>
      </c>
      <c r="AF133" s="275">
        <v>76.612200000000001</v>
      </c>
    </row>
    <row r="134" spans="1:32" ht="15.75">
      <c r="A134" s="318">
        <v>111</v>
      </c>
      <c r="B134" s="274" t="s">
        <v>33</v>
      </c>
      <c r="C134" s="274" t="s">
        <v>2406</v>
      </c>
      <c r="D134" s="10" t="s">
        <v>2625</v>
      </c>
      <c r="E134" s="10" t="s">
        <v>2628</v>
      </c>
      <c r="F134" s="10" t="s">
        <v>2629</v>
      </c>
      <c r="G134" s="10">
        <v>272.61</v>
      </c>
      <c r="H134" s="10">
        <v>65</v>
      </c>
      <c r="I134" s="10">
        <v>325</v>
      </c>
      <c r="J134" s="10">
        <v>166</v>
      </c>
      <c r="K134" s="10">
        <v>159</v>
      </c>
      <c r="L134" s="10">
        <v>0</v>
      </c>
      <c r="M134" s="10">
        <f t="shared" si="6"/>
        <v>0</v>
      </c>
      <c r="N134" s="10">
        <v>213</v>
      </c>
      <c r="O134" s="10">
        <f t="shared" si="7"/>
        <v>65.538461538461533</v>
      </c>
      <c r="P134" s="10">
        <v>3</v>
      </c>
      <c r="Q134" s="10">
        <v>0</v>
      </c>
      <c r="R134" s="275" t="s">
        <v>228</v>
      </c>
      <c r="S134" s="296">
        <v>44622</v>
      </c>
      <c r="T134" s="291"/>
      <c r="U134" s="327">
        <v>6.54</v>
      </c>
      <c r="V134" s="336"/>
      <c r="W134" s="245"/>
      <c r="X134" s="245"/>
      <c r="Y134" s="245"/>
      <c r="Z134" s="245"/>
      <c r="AA134" s="245"/>
      <c r="AB134" s="284" t="s">
        <v>39</v>
      </c>
      <c r="AC134" s="347">
        <v>0</v>
      </c>
      <c r="AD134" s="279" t="s">
        <v>1220</v>
      </c>
      <c r="AE134" s="275">
        <v>25.004000000000001</v>
      </c>
      <c r="AF134" s="275">
        <v>76.620999999999995</v>
      </c>
    </row>
    <row r="135" spans="1:32" ht="15.75">
      <c r="A135" s="318">
        <v>112</v>
      </c>
      <c r="B135" s="274" t="s">
        <v>33</v>
      </c>
      <c r="C135" s="274" t="s">
        <v>2406</v>
      </c>
      <c r="D135" s="10" t="s">
        <v>2625</v>
      </c>
      <c r="E135" s="10" t="s">
        <v>2630</v>
      </c>
      <c r="F135" s="10" t="s">
        <v>2631</v>
      </c>
      <c r="G135" s="10">
        <v>205.34</v>
      </c>
      <c r="H135" s="10">
        <v>80</v>
      </c>
      <c r="I135" s="10">
        <v>418</v>
      </c>
      <c r="J135" s="10">
        <v>225</v>
      </c>
      <c r="K135" s="10">
        <v>193</v>
      </c>
      <c r="L135" s="10">
        <v>33</v>
      </c>
      <c r="M135" s="10">
        <f t="shared" si="6"/>
        <v>7.8947368421052628</v>
      </c>
      <c r="N135" s="10">
        <v>292</v>
      </c>
      <c r="O135" s="10">
        <f t="shared" si="7"/>
        <v>69.856459330143537</v>
      </c>
      <c r="P135" s="10">
        <v>18.05</v>
      </c>
      <c r="Q135" s="10">
        <v>0</v>
      </c>
      <c r="R135" s="275"/>
      <c r="S135" s="296"/>
      <c r="T135" s="291"/>
      <c r="U135" s="317">
        <v>33.950000000000003</v>
      </c>
      <c r="V135" s="336"/>
      <c r="W135" s="245"/>
      <c r="X135" s="245"/>
      <c r="Y135" s="245"/>
      <c r="Z135" s="245"/>
      <c r="AA135" s="245"/>
      <c r="AB135" s="284" t="s">
        <v>39</v>
      </c>
      <c r="AC135" s="347">
        <v>3</v>
      </c>
      <c r="AD135" s="279" t="s">
        <v>1220</v>
      </c>
      <c r="AE135" s="28">
        <v>24.991199999999999</v>
      </c>
      <c r="AF135" s="28">
        <v>76.602500000000006</v>
      </c>
    </row>
    <row r="136" spans="1:32" ht="15.75">
      <c r="A136" s="318">
        <v>113</v>
      </c>
      <c r="B136" s="274" t="s">
        <v>33</v>
      </c>
      <c r="C136" s="274" t="s">
        <v>2406</v>
      </c>
      <c r="D136" s="10" t="s">
        <v>2625</v>
      </c>
      <c r="E136" s="10" t="s">
        <v>2632</v>
      </c>
      <c r="F136" s="10" t="s">
        <v>2633</v>
      </c>
      <c r="G136" s="10">
        <v>436.04</v>
      </c>
      <c r="H136" s="10">
        <v>97</v>
      </c>
      <c r="I136" s="10">
        <v>485</v>
      </c>
      <c r="J136" s="10">
        <v>247</v>
      </c>
      <c r="K136" s="10">
        <v>238</v>
      </c>
      <c r="L136" s="10">
        <v>318</v>
      </c>
      <c r="M136" s="10">
        <f t="shared" si="6"/>
        <v>65.567010309278345</v>
      </c>
      <c r="N136" s="10">
        <v>18</v>
      </c>
      <c r="O136" s="10">
        <f t="shared" si="7"/>
        <v>3.7113402061855671</v>
      </c>
      <c r="P136" s="10">
        <v>37.01</v>
      </c>
      <c r="Q136" s="10">
        <v>0</v>
      </c>
      <c r="R136" s="275"/>
      <c r="S136" s="296"/>
      <c r="T136" s="291"/>
      <c r="U136" s="317">
        <v>5.8</v>
      </c>
      <c r="V136" s="336"/>
      <c r="W136" s="245"/>
      <c r="X136" s="245"/>
      <c r="Y136" s="245"/>
      <c r="Z136" s="245"/>
      <c r="AA136" s="245"/>
      <c r="AB136" s="284" t="s">
        <v>39</v>
      </c>
      <c r="AC136" s="347">
        <v>2</v>
      </c>
      <c r="AD136" s="279" t="s">
        <v>1220</v>
      </c>
      <c r="AE136" s="275">
        <v>24.994700000000002</v>
      </c>
      <c r="AF136" s="275">
        <v>76.640600000000006</v>
      </c>
    </row>
    <row r="137" spans="1:32" ht="15.75">
      <c r="A137" s="343">
        <v>114</v>
      </c>
      <c r="B137" s="274" t="s">
        <v>33</v>
      </c>
      <c r="C137" s="274" t="s">
        <v>2406</v>
      </c>
      <c r="D137" s="10" t="s">
        <v>2625</v>
      </c>
      <c r="E137" s="10" t="s">
        <v>2634</v>
      </c>
      <c r="F137" s="10" t="s">
        <v>2635</v>
      </c>
      <c r="G137" s="10">
        <v>1797.81</v>
      </c>
      <c r="H137" s="10">
        <v>851</v>
      </c>
      <c r="I137" s="10">
        <v>4497</v>
      </c>
      <c r="J137" s="10">
        <v>2332</v>
      </c>
      <c r="K137" s="10">
        <v>2165</v>
      </c>
      <c r="L137" s="10">
        <v>1001</v>
      </c>
      <c r="M137" s="10">
        <f t="shared" si="6"/>
        <v>22.259283967089171</v>
      </c>
      <c r="N137" s="10">
        <v>359</v>
      </c>
      <c r="O137" s="10">
        <f t="shared" si="7"/>
        <v>7.9830998443406713</v>
      </c>
      <c r="P137" s="10">
        <v>119.53</v>
      </c>
      <c r="Q137" s="10">
        <v>139.08000000000001</v>
      </c>
      <c r="R137" s="275"/>
      <c r="S137" s="296"/>
      <c r="T137" s="284"/>
      <c r="U137" s="317">
        <v>4</v>
      </c>
      <c r="V137" s="336"/>
      <c r="W137" s="245"/>
      <c r="X137" s="245"/>
      <c r="Y137" s="245"/>
      <c r="Z137" s="245"/>
      <c r="AA137" s="245"/>
      <c r="AB137" s="284" t="s">
        <v>39</v>
      </c>
      <c r="AC137" s="348">
        <v>1.6</v>
      </c>
      <c r="AD137" s="279" t="s">
        <v>1220</v>
      </c>
      <c r="AE137" s="28">
        <v>24.999500000000001</v>
      </c>
      <c r="AF137" s="28">
        <v>76.629000000000005</v>
      </c>
    </row>
    <row r="138" spans="1:32" ht="15.75">
      <c r="A138" s="318">
        <v>115</v>
      </c>
      <c r="B138" s="274" t="s">
        <v>33</v>
      </c>
      <c r="C138" s="274" t="s">
        <v>2406</v>
      </c>
      <c r="D138" s="10" t="s">
        <v>2625</v>
      </c>
      <c r="E138" s="10" t="s">
        <v>2636</v>
      </c>
      <c r="F138" s="10" t="s">
        <v>2637</v>
      </c>
      <c r="G138" s="10">
        <v>564.57000000000005</v>
      </c>
      <c r="H138" s="10">
        <v>154</v>
      </c>
      <c r="I138" s="10">
        <v>797</v>
      </c>
      <c r="J138" s="10">
        <v>402</v>
      </c>
      <c r="K138" s="10">
        <v>395</v>
      </c>
      <c r="L138" s="10">
        <v>0</v>
      </c>
      <c r="M138" s="10">
        <f t="shared" si="6"/>
        <v>0</v>
      </c>
      <c r="N138" s="10">
        <v>0</v>
      </c>
      <c r="O138" s="10">
        <f t="shared" si="7"/>
        <v>0</v>
      </c>
      <c r="P138" s="10">
        <v>67.62</v>
      </c>
      <c r="Q138" s="10">
        <v>193.88</v>
      </c>
      <c r="R138" s="275" t="s">
        <v>39</v>
      </c>
      <c r="S138" s="296">
        <v>44622</v>
      </c>
      <c r="T138" s="284"/>
      <c r="U138" s="331">
        <v>25.8</v>
      </c>
      <c r="V138" s="336"/>
      <c r="W138" s="245"/>
      <c r="X138" s="245"/>
      <c r="Y138" s="245"/>
      <c r="Z138" s="245"/>
      <c r="AA138" s="245"/>
      <c r="AB138" s="284" t="s">
        <v>39</v>
      </c>
      <c r="AC138" s="347">
        <v>4</v>
      </c>
      <c r="AD138" s="279" t="s">
        <v>1220</v>
      </c>
      <c r="AE138" s="275">
        <v>24.989000000000001</v>
      </c>
      <c r="AF138" s="275">
        <v>76.619500000000002</v>
      </c>
    </row>
    <row r="139" spans="1:32" ht="15.75">
      <c r="A139" s="318">
        <v>116</v>
      </c>
      <c r="B139" s="274" t="s">
        <v>33</v>
      </c>
      <c r="C139" s="274" t="s">
        <v>2406</v>
      </c>
      <c r="D139" s="10" t="s">
        <v>2625</v>
      </c>
      <c r="E139" s="10" t="s">
        <v>2638</v>
      </c>
      <c r="F139" s="10" t="s">
        <v>2639</v>
      </c>
      <c r="G139" s="10">
        <v>790</v>
      </c>
      <c r="H139" s="10">
        <v>290</v>
      </c>
      <c r="I139" s="10">
        <v>1470</v>
      </c>
      <c r="J139" s="10">
        <v>745</v>
      </c>
      <c r="K139" s="10">
        <v>725</v>
      </c>
      <c r="L139" s="10">
        <v>441</v>
      </c>
      <c r="M139" s="10">
        <f t="shared" si="6"/>
        <v>30</v>
      </c>
      <c r="N139" s="10">
        <v>32</v>
      </c>
      <c r="O139" s="10">
        <f t="shared" si="7"/>
        <v>2.1768707482993195</v>
      </c>
      <c r="P139" s="10">
        <v>92</v>
      </c>
      <c r="Q139" s="10">
        <v>0</v>
      </c>
      <c r="R139" s="275"/>
      <c r="S139" s="296"/>
      <c r="T139" s="284"/>
      <c r="U139" s="331">
        <v>50.62</v>
      </c>
      <c r="V139" s="336"/>
      <c r="W139" s="245"/>
      <c r="X139" s="245"/>
      <c r="Y139" s="245"/>
      <c r="Z139" s="245"/>
      <c r="AA139" s="245"/>
      <c r="AB139" s="284" t="s">
        <v>39</v>
      </c>
      <c r="AC139" s="347">
        <v>8</v>
      </c>
      <c r="AD139" s="279" t="s">
        <v>1220</v>
      </c>
      <c r="AE139" s="28">
        <v>25.0151</v>
      </c>
      <c r="AF139" s="28">
        <v>76.632800000000003</v>
      </c>
    </row>
    <row r="140" spans="1:32" ht="15.75">
      <c r="A140" s="318">
        <v>117</v>
      </c>
      <c r="B140" s="274" t="s">
        <v>33</v>
      </c>
      <c r="C140" s="274" t="s">
        <v>2406</v>
      </c>
      <c r="D140" s="10" t="s">
        <v>2640</v>
      </c>
      <c r="E140" s="16" t="s">
        <v>197</v>
      </c>
      <c r="F140" s="10" t="s">
        <v>2641</v>
      </c>
      <c r="G140" s="10">
        <v>349</v>
      </c>
      <c r="H140" s="10">
        <v>55</v>
      </c>
      <c r="I140" s="10">
        <v>244</v>
      </c>
      <c r="J140" s="10">
        <v>129</v>
      </c>
      <c r="K140" s="10">
        <v>115</v>
      </c>
      <c r="L140" s="10">
        <v>41</v>
      </c>
      <c r="M140" s="10">
        <f t="shared" si="6"/>
        <v>16.803278688524589</v>
      </c>
      <c r="N140" s="10">
        <v>39</v>
      </c>
      <c r="O140" s="10">
        <f t="shared" si="7"/>
        <v>15.983606557377051</v>
      </c>
      <c r="P140" s="10">
        <v>31</v>
      </c>
      <c r="Q140" s="10">
        <v>0</v>
      </c>
      <c r="R140" s="275" t="s">
        <v>39</v>
      </c>
      <c r="S140" s="303">
        <v>44636</v>
      </c>
      <c r="T140" s="284"/>
      <c r="U140" s="331"/>
      <c r="V140" s="336"/>
      <c r="W140" s="245"/>
      <c r="X140" s="245"/>
      <c r="Y140" s="245"/>
      <c r="Z140" s="245"/>
      <c r="AA140" s="245"/>
      <c r="AB140" s="284" t="s">
        <v>39</v>
      </c>
      <c r="AC140" s="329">
        <v>30</v>
      </c>
      <c r="AD140" s="279" t="s">
        <v>1220</v>
      </c>
      <c r="AE140" s="275">
        <v>24.755099999999999</v>
      </c>
      <c r="AF140" s="275">
        <v>76.599299999999999</v>
      </c>
    </row>
    <row r="141" spans="1:32" ht="15.75">
      <c r="A141" s="318" t="s">
        <v>2642</v>
      </c>
      <c r="B141" s="274" t="s">
        <v>33</v>
      </c>
      <c r="C141" s="274" t="s">
        <v>2406</v>
      </c>
      <c r="D141" s="10" t="s">
        <v>2640</v>
      </c>
      <c r="E141" s="27" t="s">
        <v>197</v>
      </c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275"/>
      <c r="S141" s="303"/>
      <c r="T141" s="284"/>
      <c r="U141" s="331"/>
      <c r="V141" s="336"/>
      <c r="W141" s="245"/>
      <c r="X141" s="245"/>
      <c r="Y141" s="245"/>
      <c r="Z141" s="245"/>
      <c r="AA141" s="245"/>
      <c r="AB141" s="284" t="s">
        <v>39</v>
      </c>
      <c r="AC141" s="329">
        <v>30</v>
      </c>
      <c r="AD141" s="279" t="s">
        <v>1220</v>
      </c>
      <c r="AE141" s="275"/>
      <c r="AF141" s="275"/>
    </row>
    <row r="142" spans="1:32" ht="15.75">
      <c r="A142" s="318">
        <v>118</v>
      </c>
      <c r="B142" s="274" t="s">
        <v>33</v>
      </c>
      <c r="C142" s="274" t="s">
        <v>2406</v>
      </c>
      <c r="D142" s="10" t="s">
        <v>2640</v>
      </c>
      <c r="E142" s="10" t="s">
        <v>1305</v>
      </c>
      <c r="F142" s="10" t="s">
        <v>2643</v>
      </c>
      <c r="G142" s="10">
        <v>182</v>
      </c>
      <c r="H142" s="10">
        <v>66</v>
      </c>
      <c r="I142" s="10">
        <v>386</v>
      </c>
      <c r="J142" s="10">
        <v>193</v>
      </c>
      <c r="K142" s="10">
        <v>193</v>
      </c>
      <c r="L142" s="10">
        <v>138</v>
      </c>
      <c r="M142" s="10">
        <f t="shared" ref="M142:M175" si="8">L142/I142*100</f>
        <v>35.751295336787564</v>
      </c>
      <c r="N142" s="10">
        <v>129</v>
      </c>
      <c r="O142" s="10">
        <f t="shared" si="7"/>
        <v>33.419689119170989</v>
      </c>
      <c r="P142" s="10">
        <v>0</v>
      </c>
      <c r="Q142" s="10">
        <v>0</v>
      </c>
      <c r="R142" s="275" t="s">
        <v>39</v>
      </c>
      <c r="S142" s="303">
        <v>44636</v>
      </c>
      <c r="T142" s="284"/>
      <c r="U142" s="329"/>
      <c r="V142" s="336"/>
      <c r="W142" s="245"/>
      <c r="X142" s="245"/>
      <c r="Y142" s="245"/>
      <c r="Z142" s="245"/>
      <c r="AA142" s="245"/>
      <c r="AB142" s="284" t="s">
        <v>39</v>
      </c>
      <c r="AC142" s="329">
        <v>2</v>
      </c>
      <c r="AD142" s="279" t="s">
        <v>1220</v>
      </c>
      <c r="AE142" s="275"/>
      <c r="AF142" s="275"/>
    </row>
    <row r="143" spans="1:32" ht="15.75">
      <c r="A143" s="318">
        <v>119</v>
      </c>
      <c r="B143" s="274" t="s">
        <v>33</v>
      </c>
      <c r="C143" s="274" t="s">
        <v>2406</v>
      </c>
      <c r="D143" s="10" t="s">
        <v>2644</v>
      </c>
      <c r="E143" s="16" t="s">
        <v>2645</v>
      </c>
      <c r="F143" s="10" t="s">
        <v>2646</v>
      </c>
      <c r="G143" s="10">
        <v>395</v>
      </c>
      <c r="H143" s="10">
        <v>122</v>
      </c>
      <c r="I143" s="10">
        <v>587</v>
      </c>
      <c r="J143" s="10">
        <v>316</v>
      </c>
      <c r="K143" s="10">
        <v>271</v>
      </c>
      <c r="L143" s="10">
        <v>109</v>
      </c>
      <c r="M143" s="10">
        <f t="shared" si="8"/>
        <v>18.568994889267461</v>
      </c>
      <c r="N143" s="10">
        <v>45</v>
      </c>
      <c r="O143" s="10">
        <f t="shared" si="7"/>
        <v>7.6660988074957412</v>
      </c>
      <c r="P143" s="10">
        <v>27</v>
      </c>
      <c r="Q143" s="10">
        <v>215</v>
      </c>
      <c r="R143" s="275"/>
      <c r="S143" s="304">
        <v>45519</v>
      </c>
      <c r="T143" s="284"/>
      <c r="U143" s="329">
        <v>92.7</v>
      </c>
      <c r="V143" s="336"/>
      <c r="W143" s="245"/>
      <c r="X143" s="245"/>
      <c r="Y143" s="245"/>
      <c r="Z143" s="245"/>
      <c r="AA143" s="245"/>
      <c r="AB143" s="284" t="s">
        <v>39</v>
      </c>
      <c r="AC143" s="329">
        <v>8</v>
      </c>
      <c r="AD143" s="279" t="s">
        <v>1220</v>
      </c>
      <c r="AE143" s="275">
        <v>28.312100000000001</v>
      </c>
      <c r="AF143" s="275">
        <v>75.318399999999997</v>
      </c>
    </row>
    <row r="144" spans="1:32" ht="15.75">
      <c r="A144" s="318" t="s">
        <v>51</v>
      </c>
      <c r="B144" s="274" t="s">
        <v>33</v>
      </c>
      <c r="C144" s="274" t="s">
        <v>2406</v>
      </c>
      <c r="D144" s="10" t="s">
        <v>2644</v>
      </c>
      <c r="E144" s="27" t="s">
        <v>2645</v>
      </c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275"/>
      <c r="S144" s="304"/>
      <c r="T144" s="284"/>
      <c r="U144" s="329"/>
      <c r="V144" s="336"/>
      <c r="W144" s="245"/>
      <c r="X144" s="245"/>
      <c r="Y144" s="245"/>
      <c r="Z144" s="245"/>
      <c r="AA144" s="245"/>
      <c r="AB144" s="284" t="s">
        <v>39</v>
      </c>
      <c r="AC144" s="329">
        <v>12</v>
      </c>
      <c r="AD144" s="279" t="s">
        <v>1220</v>
      </c>
      <c r="AE144" s="275"/>
      <c r="AF144" s="275"/>
    </row>
    <row r="145" spans="1:32" ht="15.75">
      <c r="A145" s="318" t="s">
        <v>51</v>
      </c>
      <c r="B145" s="274" t="s">
        <v>33</v>
      </c>
      <c r="C145" s="274" t="s">
        <v>2406</v>
      </c>
      <c r="D145" s="10" t="s">
        <v>2644</v>
      </c>
      <c r="E145" s="27" t="s">
        <v>2645</v>
      </c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275"/>
      <c r="S145" s="304"/>
      <c r="T145" s="284"/>
      <c r="U145" s="329"/>
      <c r="V145" s="336"/>
      <c r="W145" s="245"/>
      <c r="X145" s="245"/>
      <c r="Y145" s="245"/>
      <c r="Z145" s="245"/>
      <c r="AA145" s="245"/>
      <c r="AB145" s="284" t="s">
        <v>39</v>
      </c>
      <c r="AC145" s="329">
        <v>4</v>
      </c>
      <c r="AD145" s="279" t="s">
        <v>1220</v>
      </c>
      <c r="AE145" s="275"/>
      <c r="AF145" s="275"/>
    </row>
    <row r="146" spans="1:32" ht="15.75">
      <c r="A146" s="318">
        <v>120</v>
      </c>
      <c r="B146" s="274" t="s">
        <v>33</v>
      </c>
      <c r="C146" s="274" t="s">
        <v>2406</v>
      </c>
      <c r="D146" s="10" t="s">
        <v>2644</v>
      </c>
      <c r="E146" s="10" t="s">
        <v>2647</v>
      </c>
      <c r="F146" s="10" t="s">
        <v>2648</v>
      </c>
      <c r="G146" s="10">
        <v>294</v>
      </c>
      <c r="H146" s="10">
        <v>129</v>
      </c>
      <c r="I146" s="10">
        <v>654</v>
      </c>
      <c r="J146" s="10">
        <v>335</v>
      </c>
      <c r="K146" s="10">
        <v>319</v>
      </c>
      <c r="L146" s="10">
        <v>134</v>
      </c>
      <c r="M146" s="10">
        <f t="shared" si="8"/>
        <v>20.489296636085626</v>
      </c>
      <c r="N146" s="10">
        <v>247</v>
      </c>
      <c r="O146" s="10">
        <f t="shared" si="7"/>
        <v>37.767584097859327</v>
      </c>
      <c r="P146" s="10">
        <v>27</v>
      </c>
      <c r="Q146" s="10">
        <v>0</v>
      </c>
      <c r="R146" s="275" t="s">
        <v>39</v>
      </c>
      <c r="S146" s="304">
        <v>45519</v>
      </c>
      <c r="T146" s="284"/>
      <c r="U146" s="329">
        <v>30.62</v>
      </c>
      <c r="V146" s="336"/>
      <c r="W146" s="245"/>
      <c r="X146" s="245"/>
      <c r="Y146" s="245"/>
      <c r="Z146" s="245"/>
      <c r="AA146" s="245"/>
      <c r="AB146" s="284" t="s">
        <v>39</v>
      </c>
      <c r="AC146" s="320">
        <v>10</v>
      </c>
      <c r="AD146" s="279" t="s">
        <v>1220</v>
      </c>
      <c r="AE146" s="275"/>
      <c r="AF146" s="275"/>
    </row>
    <row r="147" spans="1:32">
      <c r="A147" s="341">
        <v>121</v>
      </c>
      <c r="B147" s="274" t="s">
        <v>33</v>
      </c>
      <c r="C147" s="274" t="s">
        <v>2406</v>
      </c>
      <c r="D147" s="10" t="s">
        <v>2644</v>
      </c>
      <c r="E147" s="10" t="s">
        <v>2649</v>
      </c>
      <c r="F147" s="10" t="s">
        <v>2650</v>
      </c>
      <c r="G147" s="10">
        <v>444</v>
      </c>
      <c r="H147" s="10">
        <v>231</v>
      </c>
      <c r="I147" s="10">
        <v>1124</v>
      </c>
      <c r="J147" s="10">
        <v>588</v>
      </c>
      <c r="K147" s="10">
        <v>536</v>
      </c>
      <c r="L147" s="10">
        <v>126</v>
      </c>
      <c r="M147" s="10">
        <f t="shared" si="8"/>
        <v>11.209964412811388</v>
      </c>
      <c r="N147" s="10">
        <v>400</v>
      </c>
      <c r="O147" s="10">
        <f t="shared" si="7"/>
        <v>35.587188612099645</v>
      </c>
      <c r="P147" s="10">
        <v>30</v>
      </c>
      <c r="Q147" s="10">
        <v>0</v>
      </c>
      <c r="R147" s="275" t="s">
        <v>39</v>
      </c>
      <c r="S147" s="304">
        <v>45519</v>
      </c>
      <c r="T147" s="305"/>
      <c r="U147" s="329"/>
      <c r="V147" s="336"/>
      <c r="W147" s="245"/>
      <c r="X147" s="245"/>
      <c r="Y147" s="245"/>
      <c r="Z147" s="245"/>
      <c r="AA147" s="245"/>
      <c r="AB147" s="245"/>
      <c r="AC147" s="329"/>
      <c r="AD147" s="275"/>
      <c r="AE147" s="275"/>
      <c r="AF147" s="275"/>
    </row>
    <row r="148" spans="1:32" ht="15.75">
      <c r="A148" s="318">
        <v>122</v>
      </c>
      <c r="B148" s="274" t="s">
        <v>33</v>
      </c>
      <c r="C148" s="274" t="s">
        <v>2406</v>
      </c>
      <c r="D148" s="10" t="s">
        <v>2644</v>
      </c>
      <c r="E148" s="10" t="s">
        <v>2475</v>
      </c>
      <c r="F148" s="10" t="s">
        <v>2651</v>
      </c>
      <c r="G148" s="10">
        <v>230</v>
      </c>
      <c r="H148" s="10">
        <v>183</v>
      </c>
      <c r="I148" s="10">
        <v>954</v>
      </c>
      <c r="J148" s="10">
        <v>504</v>
      </c>
      <c r="K148" s="10">
        <v>450</v>
      </c>
      <c r="L148" s="10">
        <v>28</v>
      </c>
      <c r="M148" s="10">
        <f t="shared" si="8"/>
        <v>2.9350104821802936</v>
      </c>
      <c r="N148" s="10">
        <v>910</v>
      </c>
      <c r="O148" s="10">
        <f t="shared" si="7"/>
        <v>95.387840670859532</v>
      </c>
      <c r="P148" s="10">
        <v>105</v>
      </c>
      <c r="Q148" s="10">
        <v>0</v>
      </c>
      <c r="R148" s="275" t="s">
        <v>39</v>
      </c>
      <c r="S148" s="304">
        <v>45519</v>
      </c>
      <c r="T148" s="305"/>
      <c r="U148" s="329">
        <v>28.27</v>
      </c>
      <c r="V148" s="336"/>
      <c r="W148" s="245"/>
      <c r="X148" s="245"/>
      <c r="Y148" s="245"/>
      <c r="Z148" s="245"/>
      <c r="AA148" s="245"/>
      <c r="AB148" s="284" t="s">
        <v>39</v>
      </c>
      <c r="AC148" s="320">
        <v>10</v>
      </c>
      <c r="AD148" s="279" t="s">
        <v>1220</v>
      </c>
      <c r="AE148" s="275">
        <v>24.712</v>
      </c>
      <c r="AF148" s="275">
        <v>76.659000000000006</v>
      </c>
    </row>
    <row r="149" spans="1:32" ht="15.75">
      <c r="A149" s="318">
        <v>123</v>
      </c>
      <c r="B149" s="274" t="s">
        <v>33</v>
      </c>
      <c r="C149" s="274" t="s">
        <v>2406</v>
      </c>
      <c r="D149" s="10" t="s">
        <v>2644</v>
      </c>
      <c r="E149" s="10" t="s">
        <v>2652</v>
      </c>
      <c r="F149" s="10" t="s">
        <v>2653</v>
      </c>
      <c r="G149" s="10">
        <v>234</v>
      </c>
      <c r="H149" s="10">
        <v>102</v>
      </c>
      <c r="I149" s="10">
        <v>522</v>
      </c>
      <c r="J149" s="10">
        <v>296</v>
      </c>
      <c r="K149" s="10">
        <v>226</v>
      </c>
      <c r="L149" s="10">
        <v>11</v>
      </c>
      <c r="M149" s="10">
        <f t="shared" si="8"/>
        <v>2.1072796934865901</v>
      </c>
      <c r="N149" s="10">
        <v>0</v>
      </c>
      <c r="O149" s="10">
        <f t="shared" si="7"/>
        <v>0</v>
      </c>
      <c r="P149" s="10">
        <v>45</v>
      </c>
      <c r="Q149" s="10">
        <v>0</v>
      </c>
      <c r="R149" s="275" t="s">
        <v>39</v>
      </c>
      <c r="S149" s="304">
        <v>45519</v>
      </c>
      <c r="T149" s="305"/>
      <c r="U149" s="317">
        <v>39.18</v>
      </c>
      <c r="V149" s="336"/>
      <c r="W149" s="245"/>
      <c r="X149" s="245"/>
      <c r="Y149" s="245"/>
      <c r="Z149" s="245"/>
      <c r="AA149" s="245"/>
      <c r="AB149" s="284" t="s">
        <v>39</v>
      </c>
      <c r="AC149" s="317">
        <v>3</v>
      </c>
      <c r="AD149" s="279" t="s">
        <v>1220</v>
      </c>
      <c r="AE149" s="275"/>
      <c r="AF149" s="275"/>
    </row>
    <row r="150" spans="1:32" ht="15.75">
      <c r="A150" s="318">
        <v>124</v>
      </c>
      <c r="B150" s="274" t="s">
        <v>33</v>
      </c>
      <c r="C150" s="274" t="s">
        <v>2406</v>
      </c>
      <c r="D150" s="10" t="s">
        <v>2654</v>
      </c>
      <c r="E150" s="16" t="s">
        <v>2655</v>
      </c>
      <c r="F150" s="10" t="s">
        <v>2656</v>
      </c>
      <c r="G150" s="10">
        <v>1542</v>
      </c>
      <c r="H150" s="10">
        <v>183</v>
      </c>
      <c r="I150" s="10">
        <v>856</v>
      </c>
      <c r="J150" s="10">
        <v>445</v>
      </c>
      <c r="K150" s="10">
        <v>411</v>
      </c>
      <c r="L150" s="10">
        <v>162</v>
      </c>
      <c r="M150" s="10">
        <f t="shared" si="8"/>
        <v>18.925233644859812</v>
      </c>
      <c r="N150" s="10">
        <v>585</v>
      </c>
      <c r="O150" s="10">
        <f t="shared" si="7"/>
        <v>68.341121495327101</v>
      </c>
      <c r="P150" s="10">
        <v>89</v>
      </c>
      <c r="Q150" s="10">
        <v>0</v>
      </c>
      <c r="R150" s="275" t="s">
        <v>39</v>
      </c>
      <c r="S150" s="275" t="s">
        <v>2708</v>
      </c>
      <c r="T150" s="305"/>
      <c r="U150" s="332">
        <v>33.409999999999997</v>
      </c>
      <c r="V150" s="336"/>
      <c r="W150" s="245"/>
      <c r="X150" s="245"/>
      <c r="Y150" s="245"/>
      <c r="Z150" s="245"/>
      <c r="AA150" s="245"/>
      <c r="AB150" s="284" t="s">
        <v>39</v>
      </c>
      <c r="AC150" s="332">
        <v>18</v>
      </c>
      <c r="AD150" s="279" t="s">
        <v>1220</v>
      </c>
      <c r="AE150" s="275">
        <v>24.770900000000001</v>
      </c>
      <c r="AF150" s="275">
        <v>76.578400000000002</v>
      </c>
    </row>
    <row r="151" spans="1:32" ht="15.75">
      <c r="A151" s="318">
        <v>125</v>
      </c>
      <c r="B151" s="274" t="s">
        <v>33</v>
      </c>
      <c r="C151" s="274" t="s">
        <v>2406</v>
      </c>
      <c r="D151" s="10" t="s">
        <v>2654</v>
      </c>
      <c r="E151" s="10" t="s">
        <v>1396</v>
      </c>
      <c r="F151" s="10" t="s">
        <v>2657</v>
      </c>
      <c r="G151" s="10">
        <v>787</v>
      </c>
      <c r="H151" s="10">
        <v>402</v>
      </c>
      <c r="I151" s="10">
        <v>2133</v>
      </c>
      <c r="J151" s="10">
        <v>1139</v>
      </c>
      <c r="K151" s="10">
        <v>994</v>
      </c>
      <c r="L151" s="10">
        <v>362</v>
      </c>
      <c r="M151" s="10">
        <f t="shared" si="8"/>
        <v>16.971401781528364</v>
      </c>
      <c r="N151" s="10">
        <v>654</v>
      </c>
      <c r="O151" s="10">
        <f t="shared" si="7"/>
        <v>30.661040787623069</v>
      </c>
      <c r="P151" s="10">
        <v>94</v>
      </c>
      <c r="Q151" s="10">
        <v>0</v>
      </c>
      <c r="R151" s="275" t="s">
        <v>39</v>
      </c>
      <c r="S151" s="275" t="s">
        <v>2708</v>
      </c>
      <c r="T151" s="305"/>
      <c r="U151" s="317">
        <v>108.7</v>
      </c>
      <c r="V151" s="336"/>
      <c r="W151" s="245"/>
      <c r="X151" s="245"/>
      <c r="Y151" s="245"/>
      <c r="Z151" s="245"/>
      <c r="AA151" s="245"/>
      <c r="AB151" s="284" t="s">
        <v>39</v>
      </c>
      <c r="AC151" s="317">
        <v>1</v>
      </c>
      <c r="AD151" s="279" t="s">
        <v>1220</v>
      </c>
      <c r="AE151" s="275"/>
      <c r="AF151" s="275"/>
    </row>
    <row r="152" spans="1:32" ht="15.75">
      <c r="A152" s="318">
        <v>126</v>
      </c>
      <c r="B152" s="274" t="s">
        <v>33</v>
      </c>
      <c r="C152" s="274" t="s">
        <v>2406</v>
      </c>
      <c r="D152" s="10" t="s">
        <v>2654</v>
      </c>
      <c r="E152" s="10" t="s">
        <v>1215</v>
      </c>
      <c r="F152" s="10" t="s">
        <v>2658</v>
      </c>
      <c r="G152" s="10">
        <v>313.02</v>
      </c>
      <c r="H152" s="10">
        <v>82</v>
      </c>
      <c r="I152" s="10">
        <v>500</v>
      </c>
      <c r="J152" s="10">
        <v>245</v>
      </c>
      <c r="K152" s="10">
        <v>255</v>
      </c>
      <c r="L152" s="10">
        <v>163</v>
      </c>
      <c r="M152" s="10">
        <f t="shared" si="8"/>
        <v>32.6</v>
      </c>
      <c r="N152" s="10">
        <v>35</v>
      </c>
      <c r="O152" s="10">
        <f t="shared" si="7"/>
        <v>7.0000000000000009</v>
      </c>
      <c r="P152" s="10">
        <v>38.020000000000003</v>
      </c>
      <c r="Q152" s="10">
        <v>0</v>
      </c>
      <c r="R152" s="275"/>
      <c r="S152" s="275"/>
      <c r="T152" s="305"/>
      <c r="U152" s="317">
        <v>71.7</v>
      </c>
      <c r="V152" s="336"/>
      <c r="W152" s="245"/>
      <c r="X152" s="245"/>
      <c r="Y152" s="245"/>
      <c r="Z152" s="245"/>
      <c r="AA152" s="245"/>
      <c r="AB152" s="284" t="s">
        <v>39</v>
      </c>
      <c r="AC152" s="317">
        <v>12</v>
      </c>
      <c r="AD152" s="279" t="s">
        <v>1220</v>
      </c>
      <c r="AE152" s="275">
        <v>24.754799999999999</v>
      </c>
      <c r="AF152" s="275">
        <v>76.543999999999997</v>
      </c>
    </row>
    <row r="153" spans="1:32">
      <c r="A153" s="318">
        <v>127</v>
      </c>
      <c r="B153" s="274" t="s">
        <v>33</v>
      </c>
      <c r="C153" s="274" t="s">
        <v>2406</v>
      </c>
      <c r="D153" s="10" t="s">
        <v>2654</v>
      </c>
      <c r="E153" s="10" t="s">
        <v>2659</v>
      </c>
      <c r="F153" s="10" t="s">
        <v>2660</v>
      </c>
      <c r="G153" s="10">
        <v>845</v>
      </c>
      <c r="H153" s="10">
        <v>232</v>
      </c>
      <c r="I153" s="10">
        <v>1236</v>
      </c>
      <c r="J153" s="10">
        <v>634</v>
      </c>
      <c r="K153" s="10">
        <v>602</v>
      </c>
      <c r="L153" s="10">
        <v>310</v>
      </c>
      <c r="M153" s="10">
        <f t="shared" si="8"/>
        <v>25.080906148867317</v>
      </c>
      <c r="N153" s="10">
        <v>181</v>
      </c>
      <c r="O153" s="10">
        <f t="shared" si="7"/>
        <v>14.644012944983819</v>
      </c>
      <c r="P153" s="10">
        <v>39</v>
      </c>
      <c r="Q153" s="10">
        <v>0</v>
      </c>
      <c r="R153" s="275" t="s">
        <v>39</v>
      </c>
      <c r="S153" s="275" t="s">
        <v>2708</v>
      </c>
      <c r="T153" s="305"/>
      <c r="U153" s="317">
        <v>91.77</v>
      </c>
      <c r="V153" s="336"/>
      <c r="W153" s="245"/>
      <c r="X153" s="245"/>
      <c r="Y153" s="245"/>
      <c r="Z153" s="245"/>
      <c r="AA153" s="245"/>
      <c r="AB153" s="245"/>
      <c r="AC153" s="317"/>
      <c r="AD153" s="275"/>
      <c r="AE153" s="275"/>
      <c r="AF153" s="275"/>
    </row>
    <row r="154" spans="1:32" ht="15.75">
      <c r="A154" s="318">
        <v>128</v>
      </c>
      <c r="B154" s="274" t="s">
        <v>33</v>
      </c>
      <c r="C154" s="274" t="s">
        <v>2406</v>
      </c>
      <c r="D154" s="27" t="s">
        <v>2661</v>
      </c>
      <c r="E154" s="16" t="s">
        <v>2282</v>
      </c>
      <c r="F154" s="27" t="s">
        <v>2662</v>
      </c>
      <c r="G154" s="27">
        <v>787</v>
      </c>
      <c r="H154" s="27">
        <v>402</v>
      </c>
      <c r="I154" s="27">
        <v>2133</v>
      </c>
      <c r="J154" s="27">
        <v>1139</v>
      </c>
      <c r="K154" s="27">
        <v>994</v>
      </c>
      <c r="L154" s="27">
        <v>362</v>
      </c>
      <c r="M154" s="10">
        <f t="shared" si="8"/>
        <v>16.971401781528364</v>
      </c>
      <c r="N154" s="27">
        <v>654</v>
      </c>
      <c r="O154" s="10">
        <f t="shared" si="7"/>
        <v>30.661040787623069</v>
      </c>
      <c r="P154" s="27">
        <v>94</v>
      </c>
      <c r="Q154" s="27">
        <v>47</v>
      </c>
      <c r="R154" s="274" t="s">
        <v>39</v>
      </c>
      <c r="S154" s="275" t="s">
        <v>2708</v>
      </c>
      <c r="T154" s="27"/>
      <c r="U154" s="316"/>
      <c r="V154" s="316"/>
      <c r="W154" s="274"/>
      <c r="X154" s="27"/>
      <c r="Y154" s="27"/>
      <c r="Z154" s="274"/>
      <c r="AA154" s="274"/>
      <c r="AB154" s="293" t="s">
        <v>39</v>
      </c>
      <c r="AC154" s="317">
        <v>13</v>
      </c>
      <c r="AD154" s="279" t="s">
        <v>1220</v>
      </c>
      <c r="AE154" s="275">
        <v>24.8063</v>
      </c>
      <c r="AF154" s="275">
        <v>76.644199999999998</v>
      </c>
    </row>
    <row r="155" spans="1:32" ht="15.75">
      <c r="A155" s="318" t="s">
        <v>51</v>
      </c>
      <c r="B155" s="274" t="s">
        <v>33</v>
      </c>
      <c r="C155" s="274" t="s">
        <v>2406</v>
      </c>
      <c r="D155" s="27" t="s">
        <v>2661</v>
      </c>
      <c r="E155" s="27" t="s">
        <v>2282</v>
      </c>
      <c r="F155" s="274"/>
      <c r="G155" s="274"/>
      <c r="H155" s="27"/>
      <c r="I155" s="27"/>
      <c r="J155" s="274"/>
      <c r="K155" s="274"/>
      <c r="L155" s="27"/>
      <c r="M155" s="10"/>
      <c r="N155" s="274"/>
      <c r="O155" s="10"/>
      <c r="P155" s="27"/>
      <c r="Q155" s="27"/>
      <c r="R155" s="274"/>
      <c r="S155" s="274"/>
      <c r="T155" s="27"/>
      <c r="U155" s="316"/>
      <c r="V155" s="316"/>
      <c r="W155" s="274"/>
      <c r="X155" s="27"/>
      <c r="Y155" s="27"/>
      <c r="Z155" s="274"/>
      <c r="AA155" s="274"/>
      <c r="AB155" s="293" t="s">
        <v>39</v>
      </c>
      <c r="AC155" s="317">
        <v>13</v>
      </c>
      <c r="AD155" s="279" t="s">
        <v>1220</v>
      </c>
      <c r="AE155" s="275"/>
      <c r="AF155" s="275"/>
    </row>
    <row r="156" spans="1:32" ht="15.75">
      <c r="A156" s="318">
        <v>129</v>
      </c>
      <c r="B156" s="274" t="s">
        <v>33</v>
      </c>
      <c r="C156" s="274" t="s">
        <v>2406</v>
      </c>
      <c r="D156" s="10" t="s">
        <v>2661</v>
      </c>
      <c r="E156" s="10" t="s">
        <v>2663</v>
      </c>
      <c r="F156" s="10" t="s">
        <v>2664</v>
      </c>
      <c r="G156" s="10">
        <v>675</v>
      </c>
      <c r="H156" s="10">
        <v>223</v>
      </c>
      <c r="I156" s="10">
        <v>1081</v>
      </c>
      <c r="J156" s="10">
        <v>564</v>
      </c>
      <c r="K156" s="10">
        <v>517</v>
      </c>
      <c r="L156" s="10">
        <v>39</v>
      </c>
      <c r="M156" s="10">
        <f t="shared" si="8"/>
        <v>3.6077705827937097</v>
      </c>
      <c r="N156" s="10">
        <v>960</v>
      </c>
      <c r="O156" s="10">
        <f t="shared" si="7"/>
        <v>88.806660499537458</v>
      </c>
      <c r="P156" s="10">
        <v>2</v>
      </c>
      <c r="Q156" s="10">
        <v>0</v>
      </c>
      <c r="R156" s="275" t="s">
        <v>39</v>
      </c>
      <c r="S156" s="275" t="s">
        <v>2708</v>
      </c>
      <c r="T156" s="305"/>
      <c r="U156" s="329">
        <v>39</v>
      </c>
      <c r="V156" s="336"/>
      <c r="W156" s="245"/>
      <c r="X156" s="245"/>
      <c r="Y156" s="245"/>
      <c r="Z156" s="245"/>
      <c r="AA156" s="245"/>
      <c r="AB156" s="284" t="s">
        <v>39</v>
      </c>
      <c r="AC156" s="329">
        <v>18</v>
      </c>
      <c r="AD156" s="279" t="s">
        <v>1220</v>
      </c>
      <c r="AE156" s="294"/>
      <c r="AF156" s="294"/>
    </row>
    <row r="157" spans="1:32" ht="15.75">
      <c r="A157" s="318">
        <v>130</v>
      </c>
      <c r="B157" s="274" t="s">
        <v>33</v>
      </c>
      <c r="C157" s="274" t="s">
        <v>2406</v>
      </c>
      <c r="D157" s="10" t="s">
        <v>2661</v>
      </c>
      <c r="E157" s="10" t="s">
        <v>951</v>
      </c>
      <c r="F157" s="10" t="s">
        <v>2665</v>
      </c>
      <c r="G157" s="10">
        <v>318</v>
      </c>
      <c r="H157" s="10">
        <v>85</v>
      </c>
      <c r="I157" s="10">
        <v>474</v>
      </c>
      <c r="J157" s="10">
        <v>234</v>
      </c>
      <c r="K157" s="10">
        <v>240</v>
      </c>
      <c r="L157" s="10">
        <v>334</v>
      </c>
      <c r="M157" s="10">
        <f t="shared" si="8"/>
        <v>70.46413502109705</v>
      </c>
      <c r="N157" s="10">
        <v>43</v>
      </c>
      <c r="O157" s="10">
        <f t="shared" si="7"/>
        <v>9.071729957805907</v>
      </c>
      <c r="P157" s="10">
        <v>21</v>
      </c>
      <c r="Q157" s="10">
        <v>0</v>
      </c>
      <c r="R157" s="275" t="s">
        <v>39</v>
      </c>
      <c r="S157" s="275" t="s">
        <v>2708</v>
      </c>
      <c r="T157" s="305"/>
      <c r="U157" s="329">
        <v>58.75</v>
      </c>
      <c r="V157" s="336"/>
      <c r="W157" s="245"/>
      <c r="X157" s="245"/>
      <c r="Y157" s="245"/>
      <c r="Z157" s="245"/>
      <c r="AA157" s="245"/>
      <c r="AB157" s="284" t="s">
        <v>39</v>
      </c>
      <c r="AC157" s="329">
        <v>13</v>
      </c>
      <c r="AD157" s="279" t="s">
        <v>1220</v>
      </c>
      <c r="AE157" s="275">
        <v>25.1</v>
      </c>
      <c r="AF157" s="275">
        <v>76.516599999999997</v>
      </c>
    </row>
    <row r="158" spans="1:32" ht="15.75">
      <c r="A158" s="318">
        <v>131</v>
      </c>
      <c r="B158" s="274" t="s">
        <v>33</v>
      </c>
      <c r="C158" s="274" t="s">
        <v>2406</v>
      </c>
      <c r="D158" s="10" t="s">
        <v>2666</v>
      </c>
      <c r="E158" s="16" t="s">
        <v>2667</v>
      </c>
      <c r="F158" s="10" t="s">
        <v>2668</v>
      </c>
      <c r="G158" s="10">
        <v>167</v>
      </c>
      <c r="H158" s="10">
        <v>141</v>
      </c>
      <c r="I158" s="10">
        <v>706</v>
      </c>
      <c r="J158" s="10">
        <v>364</v>
      </c>
      <c r="K158" s="10">
        <v>342</v>
      </c>
      <c r="L158" s="10">
        <v>218</v>
      </c>
      <c r="M158" s="10">
        <f t="shared" si="8"/>
        <v>30.878186968838527</v>
      </c>
      <c r="N158" s="10">
        <v>0</v>
      </c>
      <c r="O158" s="10">
        <f t="shared" si="7"/>
        <v>0</v>
      </c>
      <c r="P158" s="10">
        <v>15</v>
      </c>
      <c r="Q158" s="10">
        <v>0</v>
      </c>
      <c r="R158" s="275"/>
      <c r="S158" s="275"/>
      <c r="T158" s="305"/>
      <c r="U158" s="321">
        <v>24.53</v>
      </c>
      <c r="V158" s="319"/>
      <c r="W158" s="245"/>
      <c r="X158" s="245"/>
      <c r="Y158" s="245"/>
      <c r="Z158" s="245"/>
      <c r="AA158" s="245"/>
      <c r="AB158" s="284" t="s">
        <v>39</v>
      </c>
      <c r="AC158" s="329">
        <v>12</v>
      </c>
      <c r="AD158" s="279" t="s">
        <v>1220</v>
      </c>
      <c r="AE158" s="275"/>
      <c r="AF158" s="275"/>
    </row>
    <row r="159" spans="1:32" ht="15.75">
      <c r="A159" s="318" t="s">
        <v>51</v>
      </c>
      <c r="B159" s="274" t="s">
        <v>33</v>
      </c>
      <c r="C159" s="274" t="s">
        <v>2406</v>
      </c>
      <c r="D159" s="10" t="s">
        <v>2666</v>
      </c>
      <c r="E159" s="27" t="s">
        <v>2667</v>
      </c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275"/>
      <c r="S159" s="275"/>
      <c r="T159" s="305"/>
      <c r="U159" s="321"/>
      <c r="V159" s="319"/>
      <c r="W159" s="245"/>
      <c r="X159" s="245"/>
      <c r="Y159" s="245"/>
      <c r="Z159" s="245"/>
      <c r="AA159" s="245"/>
      <c r="AB159" s="284" t="s">
        <v>39</v>
      </c>
      <c r="AC159" s="329">
        <v>5</v>
      </c>
      <c r="AD159" s="279" t="s">
        <v>1220</v>
      </c>
      <c r="AE159" s="275"/>
      <c r="AF159" s="275"/>
    </row>
    <row r="160" spans="1:32" ht="15.75">
      <c r="A160" s="318">
        <v>132</v>
      </c>
      <c r="B160" s="274" t="s">
        <v>33</v>
      </c>
      <c r="C160" s="274" t="s">
        <v>2406</v>
      </c>
      <c r="D160" s="10" t="s">
        <v>2666</v>
      </c>
      <c r="E160" s="10" t="s">
        <v>2669</v>
      </c>
      <c r="F160" s="10" t="s">
        <v>2670</v>
      </c>
      <c r="G160" s="10">
        <v>231</v>
      </c>
      <c r="H160" s="10">
        <v>96</v>
      </c>
      <c r="I160" s="10">
        <v>496</v>
      </c>
      <c r="J160" s="10">
        <v>261</v>
      </c>
      <c r="K160" s="10">
        <v>235</v>
      </c>
      <c r="L160" s="10">
        <v>0</v>
      </c>
      <c r="M160" s="10">
        <f t="shared" si="8"/>
        <v>0</v>
      </c>
      <c r="N160" s="10">
        <v>0</v>
      </c>
      <c r="O160" s="10">
        <f t="shared" si="7"/>
        <v>0</v>
      </c>
      <c r="P160" s="10">
        <v>0</v>
      </c>
      <c r="Q160" s="10">
        <v>0</v>
      </c>
      <c r="R160" s="275" t="s">
        <v>39</v>
      </c>
      <c r="S160" s="275" t="s">
        <v>2708</v>
      </c>
      <c r="T160" s="305"/>
      <c r="U160" s="321">
        <v>3.29</v>
      </c>
      <c r="V160" s="319"/>
      <c r="W160" s="245"/>
      <c r="X160" s="245"/>
      <c r="Y160" s="245"/>
      <c r="Z160" s="245"/>
      <c r="AA160" s="245"/>
      <c r="AB160" s="284" t="s">
        <v>39</v>
      </c>
      <c r="AC160" s="329">
        <v>15</v>
      </c>
      <c r="AD160" s="279" t="s">
        <v>1220</v>
      </c>
      <c r="AE160" s="275">
        <v>25.100999999999999</v>
      </c>
      <c r="AF160" s="275">
        <v>76.536000000000001</v>
      </c>
    </row>
    <row r="161" spans="1:32" ht="15.75">
      <c r="A161" s="318">
        <v>133</v>
      </c>
      <c r="B161" s="274" t="s">
        <v>33</v>
      </c>
      <c r="C161" s="274" t="s">
        <v>2406</v>
      </c>
      <c r="D161" s="10" t="s">
        <v>2666</v>
      </c>
      <c r="E161" s="10" t="s">
        <v>2671</v>
      </c>
      <c r="F161" s="10" t="s">
        <v>2672</v>
      </c>
      <c r="G161" s="10">
        <v>150</v>
      </c>
      <c r="H161" s="10">
        <v>31</v>
      </c>
      <c r="I161" s="10">
        <v>166</v>
      </c>
      <c r="J161" s="10">
        <v>83</v>
      </c>
      <c r="K161" s="10">
        <v>83</v>
      </c>
      <c r="L161" s="10">
        <v>0</v>
      </c>
      <c r="M161" s="10">
        <f t="shared" si="8"/>
        <v>0</v>
      </c>
      <c r="N161" s="10">
        <v>0</v>
      </c>
      <c r="O161" s="10">
        <f t="shared" si="7"/>
        <v>0</v>
      </c>
      <c r="P161" s="10">
        <v>21</v>
      </c>
      <c r="Q161" s="10">
        <v>0</v>
      </c>
      <c r="R161" s="275" t="s">
        <v>39</v>
      </c>
      <c r="S161" s="275" t="s">
        <v>2708</v>
      </c>
      <c r="T161" s="305"/>
      <c r="U161" s="321">
        <v>18.739999999999998</v>
      </c>
      <c r="V161" s="319"/>
      <c r="W161" s="245"/>
      <c r="X161" s="245"/>
      <c r="Y161" s="245"/>
      <c r="Z161" s="245"/>
      <c r="AA161" s="245"/>
      <c r="AB161" s="284" t="s">
        <v>39</v>
      </c>
      <c r="AC161" s="317">
        <v>15</v>
      </c>
      <c r="AD161" s="279" t="s">
        <v>1220</v>
      </c>
      <c r="AE161" s="275">
        <v>25.076499999999999</v>
      </c>
      <c r="AF161" s="275">
        <v>76.518000000000001</v>
      </c>
    </row>
    <row r="162" spans="1:32" ht="15.75">
      <c r="A162" s="318">
        <v>134</v>
      </c>
      <c r="B162" s="274" t="s">
        <v>33</v>
      </c>
      <c r="C162" s="274" t="s">
        <v>2406</v>
      </c>
      <c r="D162" s="10" t="s">
        <v>2666</v>
      </c>
      <c r="E162" s="10" t="s">
        <v>2673</v>
      </c>
      <c r="F162" s="10" t="s">
        <v>2674</v>
      </c>
      <c r="G162" s="10">
        <v>1418</v>
      </c>
      <c r="H162" s="10">
        <v>378</v>
      </c>
      <c r="I162" s="10">
        <v>2249</v>
      </c>
      <c r="J162" s="10">
        <v>1161</v>
      </c>
      <c r="K162" s="10">
        <v>1088</v>
      </c>
      <c r="L162" s="10">
        <v>764</v>
      </c>
      <c r="M162" s="10">
        <f t="shared" si="8"/>
        <v>33.970653623832817</v>
      </c>
      <c r="N162" s="10">
        <v>14</v>
      </c>
      <c r="O162" s="10">
        <f t="shared" si="7"/>
        <v>0.62249888839484213</v>
      </c>
      <c r="P162" s="10">
        <v>48</v>
      </c>
      <c r="Q162" s="10">
        <v>0</v>
      </c>
      <c r="R162" s="275" t="s">
        <v>39</v>
      </c>
      <c r="S162" s="275" t="s">
        <v>2708</v>
      </c>
      <c r="T162" s="305"/>
      <c r="U162" s="321">
        <v>15.06</v>
      </c>
      <c r="V162" s="319"/>
      <c r="W162" s="245"/>
      <c r="X162" s="245"/>
      <c r="Y162" s="245"/>
      <c r="Z162" s="245"/>
      <c r="AA162" s="245"/>
      <c r="AB162" s="284" t="s">
        <v>39</v>
      </c>
      <c r="AC162" s="329">
        <v>14</v>
      </c>
      <c r="AD162" s="279" t="s">
        <v>1220</v>
      </c>
      <c r="AE162" s="275"/>
      <c r="AF162" s="275"/>
    </row>
    <row r="163" spans="1:32">
      <c r="A163" s="318">
        <v>135</v>
      </c>
      <c r="B163" s="274" t="s">
        <v>33</v>
      </c>
      <c r="C163" s="274" t="s">
        <v>2406</v>
      </c>
      <c r="D163" s="10" t="s">
        <v>2666</v>
      </c>
      <c r="E163" s="10" t="s">
        <v>2675</v>
      </c>
      <c r="F163" s="10" t="s">
        <v>2676</v>
      </c>
      <c r="G163" s="10">
        <v>536.95000000000005</v>
      </c>
      <c r="H163" s="10">
        <v>132</v>
      </c>
      <c r="I163" s="10">
        <v>694</v>
      </c>
      <c r="J163" s="10">
        <v>365</v>
      </c>
      <c r="K163" s="10">
        <v>329</v>
      </c>
      <c r="L163" s="10">
        <v>171</v>
      </c>
      <c r="M163" s="10">
        <f t="shared" si="8"/>
        <v>24.639769452449567</v>
      </c>
      <c r="N163" s="10">
        <v>14</v>
      </c>
      <c r="O163" s="10">
        <f t="shared" si="7"/>
        <v>2.0172910662824206</v>
      </c>
      <c r="P163" s="10">
        <v>48.78</v>
      </c>
      <c r="Q163" s="10">
        <v>0</v>
      </c>
      <c r="R163" s="275" t="s">
        <v>39</v>
      </c>
      <c r="S163" s="275" t="s">
        <v>2708</v>
      </c>
      <c r="T163" s="305"/>
      <c r="U163" s="329"/>
      <c r="V163" s="319"/>
      <c r="W163" s="245"/>
      <c r="X163" s="245"/>
      <c r="Y163" s="245"/>
      <c r="Z163" s="245"/>
      <c r="AA163" s="245"/>
      <c r="AB163" s="245"/>
      <c r="AC163" s="329"/>
      <c r="AD163" s="275"/>
      <c r="AE163" s="275"/>
      <c r="AF163" s="275"/>
    </row>
    <row r="164" spans="1:32">
      <c r="A164" s="318">
        <v>136</v>
      </c>
      <c r="B164" s="274" t="s">
        <v>33</v>
      </c>
      <c r="C164" s="274" t="s">
        <v>2406</v>
      </c>
      <c r="D164" s="10" t="s">
        <v>2666</v>
      </c>
      <c r="E164" s="10" t="s">
        <v>2677</v>
      </c>
      <c r="F164" s="10" t="s">
        <v>2678</v>
      </c>
      <c r="G164" s="10">
        <v>651</v>
      </c>
      <c r="H164" s="10">
        <v>325</v>
      </c>
      <c r="I164" s="10">
        <v>1633</v>
      </c>
      <c r="J164" s="10">
        <v>858</v>
      </c>
      <c r="K164" s="10">
        <v>775</v>
      </c>
      <c r="L164" s="10">
        <v>519</v>
      </c>
      <c r="M164" s="10">
        <f t="shared" si="8"/>
        <v>31.781996325780771</v>
      </c>
      <c r="N164" s="10">
        <v>69</v>
      </c>
      <c r="O164" s="10">
        <f t="shared" si="7"/>
        <v>4.225352112676056</v>
      </c>
      <c r="P164" s="10">
        <v>4</v>
      </c>
      <c r="Q164" s="10">
        <v>0</v>
      </c>
      <c r="R164" s="275" t="s">
        <v>39</v>
      </c>
      <c r="S164" s="275" t="s">
        <v>2708</v>
      </c>
      <c r="T164" s="305"/>
      <c r="U164" s="321">
        <v>21.21</v>
      </c>
      <c r="V164" s="336"/>
      <c r="W164" s="245"/>
      <c r="X164" s="245"/>
      <c r="Y164" s="245"/>
      <c r="Z164" s="245"/>
      <c r="AA164" s="245"/>
      <c r="AB164" s="245"/>
      <c r="AC164" s="333"/>
      <c r="AD164" s="294"/>
      <c r="AE164" s="275"/>
      <c r="AF164" s="275"/>
    </row>
    <row r="165" spans="1:32" ht="15.75">
      <c r="A165" s="318">
        <v>137</v>
      </c>
      <c r="B165" s="274" t="s">
        <v>33</v>
      </c>
      <c r="C165" s="274" t="s">
        <v>2406</v>
      </c>
      <c r="D165" s="10" t="s">
        <v>2679</v>
      </c>
      <c r="E165" s="16" t="s">
        <v>2680</v>
      </c>
      <c r="F165" s="10" t="s">
        <v>2681</v>
      </c>
      <c r="G165" s="10">
        <v>156</v>
      </c>
      <c r="H165" s="10">
        <v>118</v>
      </c>
      <c r="I165" s="10">
        <v>645</v>
      </c>
      <c r="J165" s="10">
        <v>334</v>
      </c>
      <c r="K165" s="10">
        <v>311</v>
      </c>
      <c r="L165" s="10">
        <v>174</v>
      </c>
      <c r="M165" s="10">
        <f t="shared" si="8"/>
        <v>26.976744186046513</v>
      </c>
      <c r="N165" s="10">
        <v>20</v>
      </c>
      <c r="O165" s="10">
        <f t="shared" si="7"/>
        <v>3.1007751937984498</v>
      </c>
      <c r="P165" s="10">
        <v>0</v>
      </c>
      <c r="Q165" s="10">
        <v>0</v>
      </c>
      <c r="R165" s="275"/>
      <c r="S165" s="275"/>
      <c r="T165" s="305"/>
      <c r="U165" s="333"/>
      <c r="V165" s="336"/>
      <c r="W165" s="245"/>
      <c r="X165" s="245"/>
      <c r="Y165" s="245"/>
      <c r="Z165" s="245"/>
      <c r="AA165" s="245"/>
      <c r="AB165" s="284" t="s">
        <v>39</v>
      </c>
      <c r="AC165" s="333">
        <v>25</v>
      </c>
      <c r="AD165" s="279" t="s">
        <v>1220</v>
      </c>
      <c r="AE165" s="28">
        <v>24.965499999999999</v>
      </c>
      <c r="AF165" s="28">
        <v>76.592500000000001</v>
      </c>
    </row>
    <row r="166" spans="1:32">
      <c r="A166" s="318">
        <v>138</v>
      </c>
      <c r="B166" s="274" t="s">
        <v>33</v>
      </c>
      <c r="C166" s="274" t="s">
        <v>2406</v>
      </c>
      <c r="D166" s="10" t="s">
        <v>2679</v>
      </c>
      <c r="E166" s="10" t="s">
        <v>2094</v>
      </c>
      <c r="F166" s="10" t="s">
        <v>2682</v>
      </c>
      <c r="G166" s="10">
        <v>193</v>
      </c>
      <c r="H166" s="10">
        <v>194</v>
      </c>
      <c r="I166" s="10">
        <v>1028</v>
      </c>
      <c r="J166" s="10">
        <v>546</v>
      </c>
      <c r="K166" s="10">
        <v>482</v>
      </c>
      <c r="L166" s="10">
        <v>122</v>
      </c>
      <c r="M166" s="10">
        <f t="shared" si="8"/>
        <v>11.867704280155641</v>
      </c>
      <c r="N166" s="10">
        <v>96</v>
      </c>
      <c r="O166" s="10">
        <f t="shared" si="7"/>
        <v>9.3385214007782107</v>
      </c>
      <c r="P166" s="10">
        <v>2</v>
      </c>
      <c r="Q166" s="10">
        <v>0</v>
      </c>
      <c r="R166" s="275"/>
      <c r="S166" s="275"/>
      <c r="T166" s="305"/>
      <c r="U166" s="333"/>
      <c r="V166" s="336"/>
      <c r="W166" s="245"/>
      <c r="X166" s="245"/>
      <c r="Y166" s="245"/>
      <c r="Z166" s="245"/>
      <c r="AA166" s="245"/>
      <c r="AB166" s="245"/>
      <c r="AC166" s="333">
        <v>25</v>
      </c>
      <c r="AD166" s="275"/>
      <c r="AE166" s="275"/>
      <c r="AF166" s="275"/>
    </row>
    <row r="167" spans="1:32" ht="15.75">
      <c r="A167" s="318">
        <v>139</v>
      </c>
      <c r="B167" s="274" t="s">
        <v>33</v>
      </c>
      <c r="C167" s="274" t="s">
        <v>2406</v>
      </c>
      <c r="D167" s="10" t="s">
        <v>2683</v>
      </c>
      <c r="E167" s="16" t="s">
        <v>2684</v>
      </c>
      <c r="F167" s="10" t="s">
        <v>2685</v>
      </c>
      <c r="G167" s="10">
        <v>4036.16</v>
      </c>
      <c r="H167" s="10">
        <v>237</v>
      </c>
      <c r="I167" s="10">
        <v>1063</v>
      </c>
      <c r="J167" s="10">
        <v>532</v>
      </c>
      <c r="K167" s="10">
        <v>531</v>
      </c>
      <c r="L167" s="10">
        <v>72</v>
      </c>
      <c r="M167" s="10">
        <f t="shared" si="8"/>
        <v>6.7732831608654749</v>
      </c>
      <c r="N167" s="10">
        <v>116</v>
      </c>
      <c r="O167" s="10">
        <f t="shared" si="7"/>
        <v>10.912511759172155</v>
      </c>
      <c r="P167" s="10">
        <v>4</v>
      </c>
      <c r="Q167" s="10">
        <v>3740.01</v>
      </c>
      <c r="R167" s="275" t="s">
        <v>39</v>
      </c>
      <c r="S167" s="295" t="s">
        <v>2686</v>
      </c>
      <c r="T167" s="305"/>
      <c r="U167" s="331">
        <v>4.0599999999999996</v>
      </c>
      <c r="V167" s="336"/>
      <c r="W167" s="245"/>
      <c r="X167" s="245"/>
      <c r="Y167" s="245"/>
      <c r="Z167" s="245"/>
      <c r="AA167" s="245"/>
      <c r="AB167" s="284" t="s">
        <v>39</v>
      </c>
      <c r="AC167" s="331">
        <v>12</v>
      </c>
      <c r="AD167" s="279" t="s">
        <v>1220</v>
      </c>
      <c r="AE167" s="275">
        <v>24.831399999999999</v>
      </c>
      <c r="AF167" s="275">
        <v>76.522800000000004</v>
      </c>
    </row>
    <row r="168" spans="1:32">
      <c r="A168" s="318">
        <v>140</v>
      </c>
      <c r="B168" s="274" t="s">
        <v>33</v>
      </c>
      <c r="C168" s="274" t="s">
        <v>2406</v>
      </c>
      <c r="D168" s="10" t="s">
        <v>2683</v>
      </c>
      <c r="E168" s="10" t="s">
        <v>2687</v>
      </c>
      <c r="F168" s="10" t="s">
        <v>2688</v>
      </c>
      <c r="G168" s="10">
        <v>816.14</v>
      </c>
      <c r="H168" s="10">
        <v>177</v>
      </c>
      <c r="I168" s="10">
        <v>1002</v>
      </c>
      <c r="J168" s="10">
        <v>534</v>
      </c>
      <c r="K168" s="10">
        <v>468</v>
      </c>
      <c r="L168" s="10">
        <v>115</v>
      </c>
      <c r="M168" s="10">
        <f t="shared" si="8"/>
        <v>11.477045908183632</v>
      </c>
      <c r="N168" s="10">
        <v>43</v>
      </c>
      <c r="O168" s="10">
        <f t="shared" si="7"/>
        <v>4.2914171656686628</v>
      </c>
      <c r="P168" s="10">
        <v>44</v>
      </c>
      <c r="Q168" s="10">
        <v>643.01</v>
      </c>
      <c r="R168" s="275"/>
      <c r="S168" s="295"/>
      <c r="T168" s="305"/>
      <c r="U168" s="331"/>
      <c r="V168" s="336"/>
      <c r="W168" s="245"/>
      <c r="X168" s="245"/>
      <c r="Y168" s="245"/>
      <c r="Z168" s="245"/>
      <c r="AA168" s="245"/>
      <c r="AB168" s="245"/>
      <c r="AC168" s="331"/>
      <c r="AD168" s="275"/>
      <c r="AE168" s="28"/>
      <c r="AF168" s="28"/>
    </row>
    <row r="169" spans="1:32">
      <c r="A169" s="318">
        <v>141</v>
      </c>
      <c r="B169" s="274" t="s">
        <v>33</v>
      </c>
      <c r="C169" s="274" t="s">
        <v>2406</v>
      </c>
      <c r="D169" s="10" t="s">
        <v>2683</v>
      </c>
      <c r="E169" s="10" t="s">
        <v>2689</v>
      </c>
      <c r="F169" s="10" t="s">
        <v>2690</v>
      </c>
      <c r="G169" s="10">
        <v>187.12</v>
      </c>
      <c r="H169" s="10">
        <v>106</v>
      </c>
      <c r="I169" s="10">
        <v>559</v>
      </c>
      <c r="J169" s="10">
        <v>303</v>
      </c>
      <c r="K169" s="10">
        <v>256</v>
      </c>
      <c r="L169" s="10">
        <v>56</v>
      </c>
      <c r="M169" s="10">
        <f t="shared" si="8"/>
        <v>10.017889087656529</v>
      </c>
      <c r="N169" s="10">
        <v>398</v>
      </c>
      <c r="O169" s="10">
        <f t="shared" si="7"/>
        <v>71.198568872987479</v>
      </c>
      <c r="P169" s="10">
        <v>26</v>
      </c>
      <c r="Q169" s="10">
        <v>0</v>
      </c>
      <c r="R169" s="275"/>
      <c r="S169" s="295"/>
      <c r="T169" s="305"/>
      <c r="U169" s="331">
        <v>2.38</v>
      </c>
      <c r="V169" s="336"/>
      <c r="W169" s="245"/>
      <c r="X169" s="245"/>
      <c r="Y169" s="245"/>
      <c r="Z169" s="245"/>
      <c r="AA169" s="245"/>
      <c r="AB169" s="245"/>
      <c r="AC169" s="331"/>
      <c r="AD169" s="275"/>
      <c r="AE169" s="28"/>
      <c r="AF169" s="28"/>
    </row>
    <row r="170" spans="1:32">
      <c r="A170" s="318">
        <v>142</v>
      </c>
      <c r="B170" s="274" t="s">
        <v>33</v>
      </c>
      <c r="C170" s="274" t="s">
        <v>2406</v>
      </c>
      <c r="D170" s="10" t="s">
        <v>2691</v>
      </c>
      <c r="E170" s="16" t="s">
        <v>2692</v>
      </c>
      <c r="F170" s="10" t="s">
        <v>2693</v>
      </c>
      <c r="G170" s="10">
        <v>282</v>
      </c>
      <c r="H170" s="10">
        <v>101</v>
      </c>
      <c r="I170" s="10">
        <v>478</v>
      </c>
      <c r="J170" s="10">
        <v>255</v>
      </c>
      <c r="K170" s="10">
        <v>223</v>
      </c>
      <c r="L170" s="10">
        <v>109</v>
      </c>
      <c r="M170" s="10">
        <f t="shared" si="8"/>
        <v>22.80334728033473</v>
      </c>
      <c r="N170" s="10">
        <v>248</v>
      </c>
      <c r="O170" s="10">
        <f t="shared" si="7"/>
        <v>51.88284518828452</v>
      </c>
      <c r="P170" s="10">
        <v>35</v>
      </c>
      <c r="Q170" s="10">
        <v>44</v>
      </c>
      <c r="R170" s="275" t="s">
        <v>39</v>
      </c>
      <c r="S170" s="303">
        <v>46048</v>
      </c>
      <c r="T170" s="305"/>
      <c r="U170" s="329"/>
      <c r="V170" s="336"/>
      <c r="W170" s="245"/>
      <c r="X170" s="245"/>
      <c r="Y170" s="245"/>
      <c r="Z170" s="245"/>
      <c r="AA170" s="245"/>
      <c r="AB170" s="245"/>
      <c r="AC170" s="331"/>
      <c r="AD170" s="275"/>
      <c r="AE170" s="275"/>
      <c r="AF170" s="275"/>
    </row>
    <row r="171" spans="1:32" ht="15.75">
      <c r="A171" s="318">
        <v>143</v>
      </c>
      <c r="B171" s="274" t="s">
        <v>33</v>
      </c>
      <c r="C171" s="274" t="s">
        <v>2406</v>
      </c>
      <c r="D171" s="10" t="s">
        <v>2691</v>
      </c>
      <c r="E171" s="10" t="s">
        <v>2694</v>
      </c>
      <c r="F171" s="10" t="s">
        <v>2695</v>
      </c>
      <c r="G171" s="10">
        <v>431.15</v>
      </c>
      <c r="H171" s="10">
        <v>133</v>
      </c>
      <c r="I171" s="10">
        <v>707</v>
      </c>
      <c r="J171" s="10">
        <v>358</v>
      </c>
      <c r="K171" s="10">
        <v>349</v>
      </c>
      <c r="L171" s="10">
        <v>91</v>
      </c>
      <c r="M171" s="10">
        <f t="shared" si="8"/>
        <v>12.871287128712872</v>
      </c>
      <c r="N171" s="10">
        <v>56</v>
      </c>
      <c r="O171" s="10">
        <f t="shared" si="7"/>
        <v>7.9207920792079207</v>
      </c>
      <c r="P171" s="10">
        <v>27</v>
      </c>
      <c r="Q171" s="10">
        <v>6.01</v>
      </c>
      <c r="R171" s="275"/>
      <c r="S171" s="303"/>
      <c r="T171" s="305"/>
      <c r="U171" s="329">
        <v>22.44</v>
      </c>
      <c r="V171" s="336"/>
      <c r="W171" s="245"/>
      <c r="X171" s="245"/>
      <c r="Y171" s="245"/>
      <c r="Z171" s="245"/>
      <c r="AA171" s="245"/>
      <c r="AB171" s="284" t="s">
        <v>39</v>
      </c>
      <c r="AC171" s="317">
        <v>13</v>
      </c>
      <c r="AD171" s="279" t="s">
        <v>1220</v>
      </c>
      <c r="AE171" s="275">
        <v>24.704699999999999</v>
      </c>
      <c r="AF171" s="275">
        <v>76.535200000000003</v>
      </c>
    </row>
    <row r="172" spans="1:32">
      <c r="A172" s="318">
        <v>144</v>
      </c>
      <c r="B172" s="274" t="s">
        <v>33</v>
      </c>
      <c r="C172" s="274" t="s">
        <v>2406</v>
      </c>
      <c r="D172" s="10" t="s">
        <v>2691</v>
      </c>
      <c r="E172" s="10" t="s">
        <v>2696</v>
      </c>
      <c r="F172" s="10" t="s">
        <v>2697</v>
      </c>
      <c r="G172" s="10">
        <v>207.25</v>
      </c>
      <c r="H172" s="10">
        <v>162</v>
      </c>
      <c r="I172" s="10">
        <v>938</v>
      </c>
      <c r="J172" s="10">
        <v>485</v>
      </c>
      <c r="K172" s="10">
        <v>453</v>
      </c>
      <c r="L172" s="10">
        <v>135</v>
      </c>
      <c r="M172" s="10">
        <f t="shared" si="8"/>
        <v>14.392324093816629</v>
      </c>
      <c r="N172" s="10">
        <v>145</v>
      </c>
      <c r="O172" s="10">
        <f t="shared" si="7"/>
        <v>15.458422174840086</v>
      </c>
      <c r="P172" s="10">
        <v>27.08</v>
      </c>
      <c r="Q172" s="10">
        <v>0</v>
      </c>
      <c r="R172" s="275" t="s">
        <v>39</v>
      </c>
      <c r="S172" s="303">
        <v>46048</v>
      </c>
      <c r="T172" s="305"/>
      <c r="U172" s="329">
        <v>21.5</v>
      </c>
      <c r="V172" s="336"/>
      <c r="W172" s="245"/>
      <c r="X172" s="245"/>
      <c r="Y172" s="245"/>
      <c r="Z172" s="245"/>
      <c r="AA172" s="245"/>
      <c r="AB172" s="245"/>
      <c r="AC172" s="331"/>
      <c r="AD172" s="275"/>
      <c r="AE172" s="275"/>
      <c r="AF172" s="275"/>
    </row>
    <row r="173" spans="1:32" ht="15.75">
      <c r="A173" s="318">
        <v>145</v>
      </c>
      <c r="B173" s="274" t="s">
        <v>33</v>
      </c>
      <c r="C173" s="274" t="s">
        <v>2406</v>
      </c>
      <c r="D173" s="10" t="s">
        <v>2691</v>
      </c>
      <c r="E173" s="10" t="s">
        <v>1340</v>
      </c>
      <c r="F173" s="10" t="s">
        <v>2698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  <c r="P173" s="10">
        <v>0</v>
      </c>
      <c r="Q173" s="10">
        <v>0</v>
      </c>
      <c r="R173" s="275" t="s">
        <v>39</v>
      </c>
      <c r="S173" s="303">
        <v>46048</v>
      </c>
      <c r="T173" s="305"/>
      <c r="U173" s="329"/>
      <c r="V173" s="336"/>
      <c r="W173" s="245"/>
      <c r="X173" s="245"/>
      <c r="Y173" s="245"/>
      <c r="Z173" s="245"/>
      <c r="AA173" s="245"/>
      <c r="AB173" s="284" t="s">
        <v>39</v>
      </c>
      <c r="AC173" s="331">
        <v>9</v>
      </c>
      <c r="AD173" s="279" t="s">
        <v>1220</v>
      </c>
      <c r="AE173" s="275">
        <v>24.695</v>
      </c>
      <c r="AF173" s="275">
        <v>76.518000000000001</v>
      </c>
    </row>
    <row r="174" spans="1:32" ht="15.75">
      <c r="A174" s="318">
        <v>146</v>
      </c>
      <c r="B174" s="274" t="s">
        <v>33</v>
      </c>
      <c r="C174" s="274" t="s">
        <v>2406</v>
      </c>
      <c r="D174" s="10" t="s">
        <v>2691</v>
      </c>
      <c r="E174" s="10" t="s">
        <v>2699</v>
      </c>
      <c r="F174" s="10" t="s">
        <v>2700</v>
      </c>
      <c r="G174" s="10">
        <v>0</v>
      </c>
      <c r="H174" s="10">
        <v>0</v>
      </c>
      <c r="I174" s="10">
        <v>0</v>
      </c>
      <c r="J174" s="10">
        <v>0</v>
      </c>
      <c r="K174" s="10">
        <v>0</v>
      </c>
      <c r="L174" s="10">
        <v>0</v>
      </c>
      <c r="M174" s="10"/>
      <c r="N174" s="10">
        <v>0</v>
      </c>
      <c r="O174" s="10">
        <v>0</v>
      </c>
      <c r="P174" s="10">
        <v>0</v>
      </c>
      <c r="Q174" s="10">
        <v>0</v>
      </c>
      <c r="R174" s="275" t="s">
        <v>39</v>
      </c>
      <c r="S174" s="303">
        <v>46048</v>
      </c>
      <c r="T174" s="305"/>
      <c r="U174" s="329">
        <v>25.12</v>
      </c>
      <c r="V174" s="336"/>
      <c r="W174" s="245"/>
      <c r="X174" s="245"/>
      <c r="Y174" s="245"/>
      <c r="Z174" s="245"/>
      <c r="AA174" s="245"/>
      <c r="AB174" s="284" t="s">
        <v>39</v>
      </c>
      <c r="AC174" s="327">
        <v>9</v>
      </c>
      <c r="AD174" s="279" t="s">
        <v>1220</v>
      </c>
      <c r="AE174" s="275">
        <v>24.721499999999999</v>
      </c>
      <c r="AF174" s="275">
        <v>76.528999999999996</v>
      </c>
    </row>
    <row r="175" spans="1:32" ht="15.75">
      <c r="A175" s="318">
        <v>147</v>
      </c>
      <c r="B175" s="274" t="s">
        <v>33</v>
      </c>
      <c r="C175" s="274" t="s">
        <v>2406</v>
      </c>
      <c r="D175" s="10" t="s">
        <v>2691</v>
      </c>
      <c r="E175" s="10" t="s">
        <v>2701</v>
      </c>
      <c r="F175" s="10" t="s">
        <v>2702</v>
      </c>
      <c r="G175" s="10">
        <v>207.25</v>
      </c>
      <c r="H175" s="10">
        <v>162</v>
      </c>
      <c r="I175" s="10">
        <v>938</v>
      </c>
      <c r="J175" s="10">
        <v>485</v>
      </c>
      <c r="K175" s="10">
        <v>453</v>
      </c>
      <c r="L175" s="10">
        <v>135</v>
      </c>
      <c r="M175" s="10">
        <f t="shared" si="8"/>
        <v>14.392324093816629</v>
      </c>
      <c r="N175" s="10"/>
      <c r="O175" s="10">
        <f t="shared" si="7"/>
        <v>0</v>
      </c>
      <c r="P175" s="10">
        <v>27.08</v>
      </c>
      <c r="Q175" s="10">
        <v>0</v>
      </c>
      <c r="R175" s="275" t="s">
        <v>39</v>
      </c>
      <c r="S175" s="303">
        <v>46048</v>
      </c>
      <c r="T175" s="305"/>
      <c r="U175" s="329">
        <v>24.63</v>
      </c>
      <c r="V175" s="336"/>
      <c r="W175" s="245"/>
      <c r="X175" s="245"/>
      <c r="Y175" s="245"/>
      <c r="Z175" s="245"/>
      <c r="AA175" s="245"/>
      <c r="AB175" s="284" t="s">
        <v>39</v>
      </c>
      <c r="AC175" s="327">
        <v>7</v>
      </c>
      <c r="AD175" s="279" t="s">
        <v>1220</v>
      </c>
      <c r="AE175" s="275">
        <v>24.733000000000001</v>
      </c>
      <c r="AF175" s="275">
        <v>76.540999999999997</v>
      </c>
    </row>
    <row r="176" spans="1:32" ht="15.75">
      <c r="A176" s="318" t="s">
        <v>51</v>
      </c>
      <c r="B176" s="274" t="s">
        <v>33</v>
      </c>
      <c r="C176" s="274" t="s">
        <v>2406</v>
      </c>
      <c r="D176" s="10" t="s">
        <v>2691</v>
      </c>
      <c r="E176" s="10" t="s">
        <v>2701</v>
      </c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275"/>
      <c r="S176" s="303"/>
      <c r="T176" s="305"/>
      <c r="U176" s="329"/>
      <c r="V176" s="336"/>
      <c r="W176" s="245"/>
      <c r="X176" s="245"/>
      <c r="Y176" s="245"/>
      <c r="Z176" s="245"/>
      <c r="AA176" s="245"/>
      <c r="AB176" s="284" t="s">
        <v>39</v>
      </c>
      <c r="AC176" s="327">
        <v>9</v>
      </c>
      <c r="AD176" s="279" t="s">
        <v>1220</v>
      </c>
      <c r="AE176" s="275"/>
      <c r="AF176" s="275"/>
    </row>
    <row r="177" spans="1:32">
      <c r="A177" s="318">
        <v>148</v>
      </c>
      <c r="B177" s="274" t="s">
        <v>33</v>
      </c>
      <c r="C177" s="274" t="s">
        <v>2406</v>
      </c>
      <c r="D177" s="245"/>
      <c r="E177" s="16" t="s">
        <v>2703</v>
      </c>
      <c r="F177" s="10" t="s">
        <v>2704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/>
      <c r="O177" s="10">
        <v>0</v>
      </c>
      <c r="P177" s="10">
        <v>0</v>
      </c>
      <c r="Q177" s="10">
        <v>0</v>
      </c>
      <c r="R177" s="275"/>
      <c r="S177" s="297"/>
      <c r="T177" s="305"/>
      <c r="U177" s="327"/>
      <c r="V177" s="336"/>
      <c r="W177" s="245"/>
      <c r="X177" s="245"/>
      <c r="Y177" s="245"/>
      <c r="Z177" s="245"/>
      <c r="AA177" s="245"/>
      <c r="AB177" s="245"/>
      <c r="AC177" s="327"/>
      <c r="AD177" s="275"/>
      <c r="AE177" s="275"/>
      <c r="AF177" s="275"/>
    </row>
    <row r="178" spans="1:32">
      <c r="A178" s="318">
        <v>149</v>
      </c>
      <c r="B178" s="274" t="s">
        <v>33</v>
      </c>
      <c r="C178" s="274" t="s">
        <v>2406</v>
      </c>
      <c r="D178" s="245"/>
      <c r="E178" s="10" t="s">
        <v>2705</v>
      </c>
      <c r="F178" s="10" t="s">
        <v>2706</v>
      </c>
      <c r="G178" s="10">
        <v>0</v>
      </c>
      <c r="H178" s="10">
        <v>0</v>
      </c>
      <c r="I178" s="10">
        <v>0</v>
      </c>
      <c r="J178" s="10">
        <v>0</v>
      </c>
      <c r="K178" s="10">
        <v>0</v>
      </c>
      <c r="L178" s="10">
        <v>0</v>
      </c>
      <c r="M178" s="10">
        <v>0</v>
      </c>
      <c r="N178" s="10"/>
      <c r="O178" s="10">
        <v>0</v>
      </c>
      <c r="P178" s="10">
        <v>0</v>
      </c>
      <c r="Q178" s="10">
        <v>0</v>
      </c>
      <c r="R178" s="275"/>
      <c r="S178" s="297"/>
      <c r="T178" s="305"/>
      <c r="U178" s="327"/>
      <c r="V178" s="336"/>
      <c r="W178" s="245"/>
      <c r="X178" s="245"/>
      <c r="Y178" s="245"/>
      <c r="Z178" s="245"/>
      <c r="AA178" s="245"/>
      <c r="AB178" s="245"/>
      <c r="AC178" s="327"/>
      <c r="AD178" s="275"/>
      <c r="AE178" s="275"/>
      <c r="AF178" s="275"/>
    </row>
  </sheetData>
  <mergeCells count="3">
    <mergeCell ref="L2:M2"/>
    <mergeCell ref="N2:O2"/>
    <mergeCell ref="AE2:AF2"/>
  </mergeCells>
  <conditionalFormatting sqref="AD164">
    <cfRule type="expression" dxfId="3" priority="1" stopIfTrue="1">
      <formula>AND(COUNTIF($B$87:$B$134,AD164)+COUNTIF($B$160:$B$65516,AD164)+COUNTIF($B$1:$B$85,AD164)&gt;1,NOT(ISBLANK(AD164)))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92"/>
  <sheetViews>
    <sheetView topLeftCell="G1" workbookViewId="0">
      <selection activeCell="O5" sqref="O5"/>
    </sheetView>
  </sheetViews>
  <sheetFormatPr defaultRowHeight="15"/>
  <cols>
    <col min="4" max="4" width="13.85546875" customWidth="1"/>
    <col min="5" max="5" width="19.28515625" customWidth="1"/>
    <col min="6" max="6" width="20.5703125" customWidth="1"/>
    <col min="7" max="7" width="13.7109375" customWidth="1"/>
    <col min="8" max="12" width="8.85546875" customWidth="1"/>
    <col min="13" max="13" width="11.42578125" customWidth="1"/>
    <col min="14" max="16" width="8.85546875" customWidth="1"/>
    <col min="17" max="17" width="11.5703125" customWidth="1"/>
    <col min="18" max="18" width="12.140625" customWidth="1"/>
    <col min="19" max="19" width="14.140625" customWidth="1"/>
    <col min="20" max="20" width="8.85546875" customWidth="1"/>
    <col min="21" max="21" width="15" bestFit="1" customWidth="1"/>
    <col min="22" max="22" width="11.85546875" customWidth="1"/>
    <col min="23" max="27" width="8.85546875" customWidth="1"/>
    <col min="28" max="28" width="11.5703125" customWidth="1"/>
    <col min="29" max="29" width="11.7109375" customWidth="1"/>
    <col min="30" max="30" width="21.140625" customWidth="1"/>
    <col min="32" max="32" width="11.140625" customWidth="1"/>
  </cols>
  <sheetData>
    <row r="1" spans="1:32">
      <c r="R1" s="92" t="s">
        <v>0</v>
      </c>
      <c r="S1" s="92" t="s">
        <v>0</v>
      </c>
      <c r="T1" s="92" t="s">
        <v>1</v>
      </c>
      <c r="U1" s="93" t="s">
        <v>2</v>
      </c>
      <c r="V1" s="92" t="s">
        <v>2</v>
      </c>
      <c r="W1" s="92" t="s">
        <v>2</v>
      </c>
      <c r="X1" s="92" t="s">
        <v>2</v>
      </c>
      <c r="Y1" s="92" t="s">
        <v>2</v>
      </c>
      <c r="Z1" s="92" t="s">
        <v>2</v>
      </c>
      <c r="AA1" s="90" t="s">
        <v>3</v>
      </c>
      <c r="AB1" s="90" t="s">
        <v>3</v>
      </c>
      <c r="AC1" s="90" t="s">
        <v>3</v>
      </c>
      <c r="AD1" s="247" t="s">
        <v>3</v>
      </c>
      <c r="AE1" s="309" t="s">
        <v>3</v>
      </c>
      <c r="AF1" s="309" t="s">
        <v>3</v>
      </c>
    </row>
    <row r="2" spans="1:32" s="4" customFormat="1" ht="94.5" customHeight="1">
      <c r="A2" s="210" t="s">
        <v>4</v>
      </c>
      <c r="B2" s="209" t="s">
        <v>5</v>
      </c>
      <c r="C2" s="209" t="s">
        <v>6</v>
      </c>
      <c r="D2" s="209" t="s">
        <v>7</v>
      </c>
      <c r="E2" s="209" t="s">
        <v>8</v>
      </c>
      <c r="F2" s="209" t="s">
        <v>9</v>
      </c>
      <c r="G2" s="209" t="s">
        <v>10</v>
      </c>
      <c r="H2" s="209" t="s">
        <v>11</v>
      </c>
      <c r="I2" s="209" t="s">
        <v>12</v>
      </c>
      <c r="J2" s="209" t="s">
        <v>13</v>
      </c>
      <c r="K2" s="209" t="s">
        <v>14</v>
      </c>
      <c r="L2" s="375" t="s">
        <v>15</v>
      </c>
      <c r="M2" s="376"/>
      <c r="N2" s="375" t="s">
        <v>16</v>
      </c>
      <c r="O2" s="376"/>
      <c r="P2" s="209" t="s">
        <v>17</v>
      </c>
      <c r="Q2" s="209" t="s">
        <v>18</v>
      </c>
      <c r="R2" s="209" t="s">
        <v>19</v>
      </c>
      <c r="S2" s="209" t="s">
        <v>20</v>
      </c>
      <c r="T2" s="209" t="s">
        <v>21</v>
      </c>
      <c r="U2" s="211" t="s">
        <v>22</v>
      </c>
      <c r="V2" s="209" t="s">
        <v>23</v>
      </c>
      <c r="W2" s="211" t="s">
        <v>24</v>
      </c>
      <c r="X2" s="209" t="s">
        <v>25</v>
      </c>
      <c r="Y2" s="209" t="s">
        <v>26</v>
      </c>
      <c r="Z2" s="211" t="s">
        <v>27</v>
      </c>
      <c r="AA2" s="211" t="s">
        <v>28</v>
      </c>
      <c r="AB2" s="273" t="s">
        <v>29</v>
      </c>
      <c r="AC2" s="211" t="s">
        <v>30</v>
      </c>
      <c r="AD2" s="211" t="s">
        <v>31</v>
      </c>
      <c r="AE2" s="377" t="s">
        <v>32</v>
      </c>
      <c r="AF2" s="377"/>
    </row>
    <row r="3" spans="1:32" s="4" customFormat="1" ht="20.45" customHeight="1">
      <c r="A3" s="210"/>
      <c r="B3" s="212"/>
      <c r="C3" s="212"/>
      <c r="D3" s="212"/>
      <c r="E3" s="213"/>
      <c r="F3" s="212"/>
      <c r="G3" s="212" t="s">
        <v>2398</v>
      </c>
      <c r="H3" s="212" t="s">
        <v>2399</v>
      </c>
      <c r="I3" s="212" t="s">
        <v>2399</v>
      </c>
      <c r="J3" s="212" t="s">
        <v>2399</v>
      </c>
      <c r="K3" s="212" t="s">
        <v>2399</v>
      </c>
      <c r="L3" s="212" t="s">
        <v>2399</v>
      </c>
      <c r="M3" s="212" t="s">
        <v>2400</v>
      </c>
      <c r="N3" s="212"/>
      <c r="O3" s="212" t="s">
        <v>2400</v>
      </c>
      <c r="P3" s="212" t="s">
        <v>2398</v>
      </c>
      <c r="Q3" s="212" t="s">
        <v>2398</v>
      </c>
      <c r="R3" s="212" t="s">
        <v>2401</v>
      </c>
      <c r="S3" s="212" t="s">
        <v>2402</v>
      </c>
      <c r="T3" s="212" t="s">
        <v>2398</v>
      </c>
      <c r="U3" s="214" t="s">
        <v>2398</v>
      </c>
      <c r="V3" s="212" t="s">
        <v>2401</v>
      </c>
      <c r="W3" s="212" t="s">
        <v>2401</v>
      </c>
      <c r="X3" s="214" t="s">
        <v>2401</v>
      </c>
      <c r="Y3" s="214" t="s">
        <v>2401</v>
      </c>
      <c r="Z3" s="214" t="s">
        <v>2398</v>
      </c>
      <c r="AA3" s="214" t="s">
        <v>2401</v>
      </c>
      <c r="AB3" s="214" t="s">
        <v>2401</v>
      </c>
      <c r="AC3" s="214" t="s">
        <v>2398</v>
      </c>
      <c r="AD3" s="212" t="s">
        <v>2403</v>
      </c>
      <c r="AE3" s="214" t="s">
        <v>2404</v>
      </c>
      <c r="AF3" s="214" t="s">
        <v>2405</v>
      </c>
    </row>
    <row r="4" spans="1:32" ht="15.75">
      <c r="A4" s="222">
        <v>1</v>
      </c>
      <c r="B4" s="215" t="s">
        <v>33</v>
      </c>
      <c r="C4" s="215" t="s">
        <v>281</v>
      </c>
      <c r="D4" s="215" t="s">
        <v>282</v>
      </c>
      <c r="E4" s="216" t="s">
        <v>283</v>
      </c>
      <c r="F4" s="215" t="s">
        <v>284</v>
      </c>
      <c r="G4" s="215">
        <v>988.31</v>
      </c>
      <c r="H4" s="215">
        <v>175</v>
      </c>
      <c r="I4" s="215">
        <v>869</v>
      </c>
      <c r="J4" s="215">
        <v>453</v>
      </c>
      <c r="K4" s="215">
        <v>416</v>
      </c>
      <c r="L4" s="215">
        <v>249</v>
      </c>
      <c r="M4" s="29">
        <f>L4/I4*100</f>
        <v>28.653624856156501</v>
      </c>
      <c r="N4" s="215">
        <v>16</v>
      </c>
      <c r="O4" s="29">
        <f>N4/I4*100</f>
        <v>1.8411967779056386</v>
      </c>
      <c r="P4" s="215">
        <v>51.68</v>
      </c>
      <c r="Q4" s="215">
        <v>241.06</v>
      </c>
      <c r="R4" s="29" t="s">
        <v>37</v>
      </c>
      <c r="S4" s="223" t="s">
        <v>163</v>
      </c>
      <c r="T4" s="29"/>
      <c r="U4" s="78">
        <v>50.82</v>
      </c>
      <c r="V4" s="29"/>
      <c r="W4" s="29"/>
      <c r="X4" s="29"/>
      <c r="Y4" s="29"/>
      <c r="Z4" s="29"/>
      <c r="AA4" s="29"/>
      <c r="AB4" s="29" t="s">
        <v>37</v>
      </c>
      <c r="AC4" s="78">
        <v>9</v>
      </c>
      <c r="AD4" s="29" t="s">
        <v>285</v>
      </c>
      <c r="AE4" s="29"/>
      <c r="AF4" s="29"/>
    </row>
    <row r="5" spans="1:32" ht="15.75">
      <c r="A5" s="222">
        <v>2</v>
      </c>
      <c r="B5" s="215" t="s">
        <v>33</v>
      </c>
      <c r="C5" s="215" t="s">
        <v>281</v>
      </c>
      <c r="D5" s="215" t="s">
        <v>282</v>
      </c>
      <c r="E5" s="215" t="s">
        <v>286</v>
      </c>
      <c r="F5" s="215" t="s">
        <v>287</v>
      </c>
      <c r="G5" s="215">
        <v>457.32</v>
      </c>
      <c r="H5" s="215">
        <v>117</v>
      </c>
      <c r="I5" s="215">
        <v>605</v>
      </c>
      <c r="J5" s="215">
        <v>306</v>
      </c>
      <c r="K5" s="215">
        <v>299</v>
      </c>
      <c r="L5" s="215">
        <v>52</v>
      </c>
      <c r="M5" s="29">
        <f t="shared" ref="M5:M68" si="0">L5/I5*100</f>
        <v>8.5950413223140494</v>
      </c>
      <c r="N5" s="215">
        <v>49</v>
      </c>
      <c r="O5" s="29">
        <f t="shared" ref="O5:O68" si="1">N5/I5*100</f>
        <v>8.0991735537190088</v>
      </c>
      <c r="P5" s="215">
        <v>34.79</v>
      </c>
      <c r="Q5" s="215">
        <v>0</v>
      </c>
      <c r="R5" s="29" t="s">
        <v>37</v>
      </c>
      <c r="S5" s="223" t="s">
        <v>163</v>
      </c>
      <c r="T5" s="29"/>
      <c r="U5" s="78">
        <v>35.049999999999997</v>
      </c>
      <c r="V5" s="29"/>
      <c r="W5" s="29"/>
      <c r="X5" s="29"/>
      <c r="Y5" s="29"/>
      <c r="Z5" s="29"/>
      <c r="AA5" s="29"/>
      <c r="AB5" s="29" t="s">
        <v>37</v>
      </c>
      <c r="AC5" s="78">
        <v>10</v>
      </c>
      <c r="AD5" s="29" t="s">
        <v>285</v>
      </c>
      <c r="AE5" s="29">
        <v>25.138400000000001</v>
      </c>
      <c r="AF5" s="29">
        <v>76.1952</v>
      </c>
    </row>
    <row r="6" spans="1:32" ht="15.75">
      <c r="A6" s="222">
        <v>3</v>
      </c>
      <c r="B6" s="215" t="s">
        <v>33</v>
      </c>
      <c r="C6" s="215" t="s">
        <v>281</v>
      </c>
      <c r="D6" s="215" t="s">
        <v>282</v>
      </c>
      <c r="E6" s="215" t="s">
        <v>288</v>
      </c>
      <c r="F6" s="215" t="s">
        <v>289</v>
      </c>
      <c r="G6" s="215">
        <v>271.75</v>
      </c>
      <c r="H6" s="215">
        <v>209</v>
      </c>
      <c r="I6" s="215">
        <v>1072</v>
      </c>
      <c r="J6" s="215">
        <v>557</v>
      </c>
      <c r="K6" s="215">
        <v>515</v>
      </c>
      <c r="L6" s="215">
        <v>145</v>
      </c>
      <c r="M6" s="29">
        <f t="shared" si="0"/>
        <v>13.526119402985074</v>
      </c>
      <c r="N6" s="215">
        <v>94</v>
      </c>
      <c r="O6" s="29">
        <f t="shared" si="1"/>
        <v>8.7686567164179117</v>
      </c>
      <c r="P6" s="215">
        <v>12.29</v>
      </c>
      <c r="Q6" s="215">
        <v>0</v>
      </c>
      <c r="R6" s="29" t="s">
        <v>37</v>
      </c>
      <c r="S6" s="223" t="s">
        <v>163</v>
      </c>
      <c r="T6" s="29"/>
      <c r="U6" s="78"/>
      <c r="V6" s="29"/>
      <c r="W6" s="29"/>
      <c r="X6" s="29"/>
      <c r="Y6" s="29"/>
      <c r="Z6" s="29"/>
      <c r="AA6" s="29"/>
      <c r="AB6" s="29" t="s">
        <v>37</v>
      </c>
      <c r="AC6" s="78">
        <v>14</v>
      </c>
      <c r="AD6" s="29" t="s">
        <v>285</v>
      </c>
      <c r="AE6" s="29">
        <v>25.1432</v>
      </c>
      <c r="AF6" s="29">
        <v>76.186800000000005</v>
      </c>
    </row>
    <row r="7" spans="1:32" ht="15.75">
      <c r="A7" s="222">
        <v>4</v>
      </c>
      <c r="B7" s="215" t="s">
        <v>33</v>
      </c>
      <c r="C7" s="215" t="s">
        <v>281</v>
      </c>
      <c r="D7" s="215" t="s">
        <v>282</v>
      </c>
      <c r="E7" s="215" t="s">
        <v>290</v>
      </c>
      <c r="F7" s="215" t="s">
        <v>291</v>
      </c>
      <c r="G7" s="215">
        <v>249.25</v>
      </c>
      <c r="H7" s="215">
        <v>82</v>
      </c>
      <c r="I7" s="215">
        <v>522</v>
      </c>
      <c r="J7" s="215">
        <v>262</v>
      </c>
      <c r="K7" s="215">
        <v>260</v>
      </c>
      <c r="L7" s="215">
        <v>141</v>
      </c>
      <c r="M7" s="29">
        <f t="shared" si="0"/>
        <v>27.011494252873565</v>
      </c>
      <c r="N7" s="215">
        <v>0</v>
      </c>
      <c r="O7" s="29">
        <f t="shared" si="1"/>
        <v>0</v>
      </c>
      <c r="P7" s="215">
        <v>2.56</v>
      </c>
      <c r="Q7" s="215">
        <v>0</v>
      </c>
      <c r="R7" s="29" t="s">
        <v>37</v>
      </c>
      <c r="S7" s="223" t="s">
        <v>163</v>
      </c>
      <c r="T7" s="29"/>
      <c r="U7" s="78">
        <v>2.16</v>
      </c>
      <c r="V7" s="29"/>
      <c r="W7" s="29"/>
      <c r="X7" s="29"/>
      <c r="Y7" s="29"/>
      <c r="Z7" s="29"/>
      <c r="AA7" s="29"/>
      <c r="AB7" s="29" t="s">
        <v>37</v>
      </c>
      <c r="AC7" s="217">
        <v>14</v>
      </c>
      <c r="AD7" s="29" t="s">
        <v>285</v>
      </c>
      <c r="AE7" s="29">
        <v>25.1388</v>
      </c>
      <c r="AF7" s="29">
        <v>76.242400000000004</v>
      </c>
    </row>
    <row r="8" spans="1:32" ht="15.75">
      <c r="A8" s="222">
        <v>5</v>
      </c>
      <c r="B8" s="215" t="s">
        <v>33</v>
      </c>
      <c r="C8" s="215" t="s">
        <v>281</v>
      </c>
      <c r="D8" s="215" t="s">
        <v>292</v>
      </c>
      <c r="E8" s="216" t="s">
        <v>293</v>
      </c>
      <c r="F8" s="215" t="s">
        <v>294</v>
      </c>
      <c r="G8" s="215">
        <v>1024.33</v>
      </c>
      <c r="H8" s="215">
        <v>377</v>
      </c>
      <c r="I8" s="215">
        <v>1886</v>
      </c>
      <c r="J8" s="215">
        <v>975</v>
      </c>
      <c r="K8" s="215">
        <v>911</v>
      </c>
      <c r="L8" s="215">
        <v>639</v>
      </c>
      <c r="M8" s="29">
        <f t="shared" si="0"/>
        <v>33.881230116648993</v>
      </c>
      <c r="N8" s="215">
        <v>18</v>
      </c>
      <c r="O8" s="29">
        <f t="shared" si="1"/>
        <v>0.95440084835630967</v>
      </c>
      <c r="P8" s="215">
        <v>4.13</v>
      </c>
      <c r="Q8" s="215">
        <v>0</v>
      </c>
      <c r="R8" s="29" t="s">
        <v>37</v>
      </c>
      <c r="S8" s="224">
        <v>44967</v>
      </c>
      <c r="T8" s="29"/>
      <c r="U8" s="217">
        <v>5.19</v>
      </c>
      <c r="V8" s="29" t="s">
        <v>37</v>
      </c>
      <c r="W8" s="29"/>
      <c r="X8" s="29"/>
      <c r="Y8" s="29"/>
      <c r="Z8" s="29"/>
      <c r="AA8" s="29"/>
      <c r="AB8" s="29" t="s">
        <v>37</v>
      </c>
      <c r="AC8" s="217">
        <v>10</v>
      </c>
      <c r="AD8" s="29" t="s">
        <v>285</v>
      </c>
      <c r="AE8" s="29"/>
      <c r="AF8" s="29"/>
    </row>
    <row r="9" spans="1:32" ht="15.75">
      <c r="A9" s="222">
        <v>6</v>
      </c>
      <c r="B9" s="215" t="s">
        <v>33</v>
      </c>
      <c r="C9" s="215" t="s">
        <v>281</v>
      </c>
      <c r="D9" s="215" t="s">
        <v>292</v>
      </c>
      <c r="E9" s="215" t="s">
        <v>295</v>
      </c>
      <c r="F9" s="215" t="s">
        <v>296</v>
      </c>
      <c r="G9" s="215">
        <v>668.55</v>
      </c>
      <c r="H9" s="215">
        <v>226</v>
      </c>
      <c r="I9" s="215">
        <v>1198</v>
      </c>
      <c r="J9" s="215">
        <v>605</v>
      </c>
      <c r="K9" s="215">
        <v>593</v>
      </c>
      <c r="L9" s="215">
        <v>509</v>
      </c>
      <c r="M9" s="29">
        <f t="shared" si="0"/>
        <v>42.487479131886481</v>
      </c>
      <c r="N9" s="215">
        <v>267</v>
      </c>
      <c r="O9" s="29">
        <f t="shared" si="1"/>
        <v>22.287145242070117</v>
      </c>
      <c r="P9" s="215">
        <v>25.21</v>
      </c>
      <c r="Q9" s="215">
        <v>0</v>
      </c>
      <c r="R9" s="29" t="s">
        <v>37</v>
      </c>
      <c r="S9" s="224">
        <v>44967</v>
      </c>
      <c r="T9" s="29"/>
      <c r="U9" s="217">
        <v>25.01</v>
      </c>
      <c r="V9" s="29" t="s">
        <v>37</v>
      </c>
      <c r="W9" s="29"/>
      <c r="X9" s="29"/>
      <c r="Y9" s="29"/>
      <c r="Z9" s="29"/>
      <c r="AA9" s="29"/>
      <c r="AB9" s="29" t="s">
        <v>37</v>
      </c>
      <c r="AC9" s="217">
        <v>12</v>
      </c>
      <c r="AD9" s="29" t="s">
        <v>285</v>
      </c>
      <c r="AE9" s="29">
        <v>25.168500000000002</v>
      </c>
      <c r="AF9" s="29">
        <v>76.222999999999999</v>
      </c>
    </row>
    <row r="10" spans="1:32" ht="15.75">
      <c r="A10" s="222">
        <v>7</v>
      </c>
      <c r="B10" s="215" t="s">
        <v>33</v>
      </c>
      <c r="C10" s="215" t="s">
        <v>281</v>
      </c>
      <c r="D10" s="215" t="s">
        <v>292</v>
      </c>
      <c r="E10" s="215" t="s">
        <v>297</v>
      </c>
      <c r="F10" s="215" t="s">
        <v>298</v>
      </c>
      <c r="G10" s="215">
        <v>664.46</v>
      </c>
      <c r="H10" s="215">
        <v>255</v>
      </c>
      <c r="I10" s="215">
        <v>1365</v>
      </c>
      <c r="J10" s="215">
        <v>728</v>
      </c>
      <c r="K10" s="215">
        <v>637</v>
      </c>
      <c r="L10" s="215">
        <v>244</v>
      </c>
      <c r="M10" s="29">
        <f t="shared" si="0"/>
        <v>17.875457875457876</v>
      </c>
      <c r="N10" s="215">
        <v>20</v>
      </c>
      <c r="O10" s="29">
        <f t="shared" si="1"/>
        <v>1.4652014652014651</v>
      </c>
      <c r="P10" s="215">
        <v>11.53</v>
      </c>
      <c r="Q10" s="215">
        <v>0</v>
      </c>
      <c r="R10" s="29" t="s">
        <v>37</v>
      </c>
      <c r="S10" s="224">
        <v>44967</v>
      </c>
      <c r="T10" s="29"/>
      <c r="U10" s="217">
        <v>13.14</v>
      </c>
      <c r="V10" s="29" t="s">
        <v>37</v>
      </c>
      <c r="W10" s="29"/>
      <c r="X10" s="29"/>
      <c r="Y10" s="29"/>
      <c r="Z10" s="29"/>
      <c r="AA10" s="29"/>
      <c r="AB10" s="29" t="s">
        <v>37</v>
      </c>
      <c r="AC10" s="225">
        <v>12</v>
      </c>
      <c r="AD10" s="29" t="s">
        <v>285</v>
      </c>
      <c r="AE10" s="29"/>
      <c r="AF10" s="29"/>
    </row>
    <row r="11" spans="1:32" ht="15.75">
      <c r="A11" s="222">
        <v>8</v>
      </c>
      <c r="B11" s="215" t="s">
        <v>33</v>
      </c>
      <c r="C11" s="215" t="s">
        <v>281</v>
      </c>
      <c r="D11" s="215" t="s">
        <v>299</v>
      </c>
      <c r="E11" s="216" t="s">
        <v>300</v>
      </c>
      <c r="F11" s="215" t="s">
        <v>301</v>
      </c>
      <c r="G11" s="215">
        <v>1098.75</v>
      </c>
      <c r="H11" s="215">
        <v>648</v>
      </c>
      <c r="I11" s="215">
        <v>3198</v>
      </c>
      <c r="J11" s="215">
        <v>1635</v>
      </c>
      <c r="K11" s="215">
        <v>1563</v>
      </c>
      <c r="L11" s="215">
        <v>303</v>
      </c>
      <c r="M11" s="29">
        <f t="shared" si="0"/>
        <v>9.4746716697936204</v>
      </c>
      <c r="N11" s="215">
        <v>1</v>
      </c>
      <c r="O11" s="29">
        <f t="shared" si="1"/>
        <v>3.1269543464665414E-2</v>
      </c>
      <c r="P11" s="215">
        <v>38.25</v>
      </c>
      <c r="Q11" s="215">
        <v>0</v>
      </c>
      <c r="R11" s="310" t="s">
        <v>37</v>
      </c>
      <c r="S11" s="311" t="s">
        <v>2709</v>
      </c>
      <c r="T11" s="310"/>
      <c r="U11" s="311" t="s">
        <v>2709</v>
      </c>
      <c r="V11" s="29"/>
      <c r="W11" s="29"/>
      <c r="X11" s="29"/>
      <c r="Y11" s="29"/>
      <c r="Z11" s="29"/>
      <c r="AA11" s="29"/>
      <c r="AB11" s="29" t="s">
        <v>37</v>
      </c>
      <c r="AC11" s="225">
        <v>14</v>
      </c>
      <c r="AD11" s="29" t="s">
        <v>285</v>
      </c>
      <c r="AE11" s="29"/>
      <c r="AF11" s="29"/>
    </row>
    <row r="12" spans="1:32" ht="15.75">
      <c r="A12" s="222">
        <v>9</v>
      </c>
      <c r="B12" s="215" t="s">
        <v>33</v>
      </c>
      <c r="C12" s="215" t="s">
        <v>281</v>
      </c>
      <c r="D12" s="215" t="s">
        <v>299</v>
      </c>
      <c r="E12" s="215" t="s">
        <v>302</v>
      </c>
      <c r="F12" s="215" t="s">
        <v>303</v>
      </c>
      <c r="G12" s="215">
        <v>115.33</v>
      </c>
      <c r="H12" s="215">
        <v>47</v>
      </c>
      <c r="I12" s="215">
        <v>336</v>
      </c>
      <c r="J12" s="215">
        <v>172</v>
      </c>
      <c r="K12" s="215">
        <v>164</v>
      </c>
      <c r="L12" s="215">
        <v>14</v>
      </c>
      <c r="M12" s="29">
        <f t="shared" si="0"/>
        <v>4.1666666666666661</v>
      </c>
      <c r="N12" s="215">
        <v>0</v>
      </c>
      <c r="O12" s="29">
        <f t="shared" si="1"/>
        <v>0</v>
      </c>
      <c r="P12" s="215">
        <v>0</v>
      </c>
      <c r="Q12" s="215">
        <v>0</v>
      </c>
      <c r="R12" s="310"/>
      <c r="S12" s="311"/>
      <c r="T12" s="310"/>
      <c r="U12" s="225"/>
      <c r="V12" s="29"/>
      <c r="W12" s="29"/>
      <c r="X12" s="29"/>
      <c r="Y12" s="29"/>
      <c r="Z12" s="29"/>
      <c r="AA12" s="29"/>
      <c r="AB12" s="29"/>
      <c r="AC12" s="225"/>
      <c r="AD12" s="29"/>
      <c r="AE12" s="29"/>
      <c r="AF12" s="29"/>
    </row>
    <row r="13" spans="1:32" ht="15.75">
      <c r="A13" s="222">
        <v>10</v>
      </c>
      <c r="B13" s="215" t="s">
        <v>33</v>
      </c>
      <c r="C13" s="215" t="s">
        <v>281</v>
      </c>
      <c r="D13" s="215" t="s">
        <v>299</v>
      </c>
      <c r="E13" s="215" t="s">
        <v>304</v>
      </c>
      <c r="F13" s="215" t="s">
        <v>305</v>
      </c>
      <c r="G13" s="215">
        <v>212.72</v>
      </c>
      <c r="H13" s="215">
        <v>49</v>
      </c>
      <c r="I13" s="215">
        <v>267</v>
      </c>
      <c r="J13" s="215">
        <v>126</v>
      </c>
      <c r="K13" s="215">
        <v>141</v>
      </c>
      <c r="L13" s="215">
        <v>15</v>
      </c>
      <c r="M13" s="29">
        <f t="shared" si="0"/>
        <v>5.6179775280898872</v>
      </c>
      <c r="N13" s="215">
        <v>143</v>
      </c>
      <c r="O13" s="29">
        <f t="shared" si="1"/>
        <v>53.558052434456926</v>
      </c>
      <c r="P13" s="215">
        <v>6.1</v>
      </c>
      <c r="Q13" s="215">
        <v>0</v>
      </c>
      <c r="R13" s="310" t="s">
        <v>37</v>
      </c>
      <c r="S13" s="311" t="s">
        <v>2709</v>
      </c>
      <c r="T13" s="310"/>
      <c r="U13" s="311" t="s">
        <v>2709</v>
      </c>
      <c r="V13" s="29"/>
      <c r="W13" s="29"/>
      <c r="X13" s="29"/>
      <c r="Y13" s="29"/>
      <c r="Z13" s="29"/>
      <c r="AA13" s="29"/>
      <c r="AB13" s="29" t="s">
        <v>37</v>
      </c>
      <c r="AC13" s="78">
        <v>13</v>
      </c>
      <c r="AD13" s="29" t="s">
        <v>285</v>
      </c>
      <c r="AE13" s="29"/>
      <c r="AF13" s="29"/>
    </row>
    <row r="14" spans="1:32" ht="15.75">
      <c r="A14" s="222">
        <v>11</v>
      </c>
      <c r="B14" s="215" t="s">
        <v>33</v>
      </c>
      <c r="C14" s="215" t="s">
        <v>281</v>
      </c>
      <c r="D14" s="215" t="s">
        <v>299</v>
      </c>
      <c r="E14" s="215" t="s">
        <v>306</v>
      </c>
      <c r="F14" s="215" t="s">
        <v>307</v>
      </c>
      <c r="G14" s="215">
        <v>440.83</v>
      </c>
      <c r="H14" s="215">
        <v>110</v>
      </c>
      <c r="I14" s="215">
        <v>538</v>
      </c>
      <c r="J14" s="215">
        <v>283</v>
      </c>
      <c r="K14" s="215">
        <v>255</v>
      </c>
      <c r="L14" s="215">
        <v>69</v>
      </c>
      <c r="M14" s="29">
        <f t="shared" si="0"/>
        <v>12.825278810408921</v>
      </c>
      <c r="N14" s="215">
        <v>260</v>
      </c>
      <c r="O14" s="29">
        <f t="shared" si="1"/>
        <v>48.3271375464684</v>
      </c>
      <c r="P14" s="215">
        <v>20.6</v>
      </c>
      <c r="Q14" s="215">
        <v>83.23</v>
      </c>
      <c r="R14" s="310" t="s">
        <v>37</v>
      </c>
      <c r="S14" s="311" t="s">
        <v>2709</v>
      </c>
      <c r="T14" s="310"/>
      <c r="U14" s="311" t="s">
        <v>2709</v>
      </c>
      <c r="V14" s="29"/>
      <c r="W14" s="29"/>
      <c r="X14" s="29"/>
      <c r="Y14" s="29"/>
      <c r="Z14" s="29"/>
      <c r="AA14" s="29"/>
      <c r="AB14" s="29" t="s">
        <v>37</v>
      </c>
      <c r="AC14" s="78">
        <v>12</v>
      </c>
      <c r="AD14" s="29" t="s">
        <v>285</v>
      </c>
      <c r="AE14" s="29">
        <v>25.101299999999998</v>
      </c>
      <c r="AF14" s="29">
        <v>76.279399999999995</v>
      </c>
    </row>
    <row r="15" spans="1:32" ht="15.75">
      <c r="A15" s="222">
        <v>12</v>
      </c>
      <c r="B15" s="215" t="s">
        <v>33</v>
      </c>
      <c r="C15" s="215" t="s">
        <v>281</v>
      </c>
      <c r="D15" s="215" t="s">
        <v>308</v>
      </c>
      <c r="E15" s="216" t="s">
        <v>309</v>
      </c>
      <c r="F15" s="215" t="s">
        <v>310</v>
      </c>
      <c r="G15" s="215">
        <v>862.3</v>
      </c>
      <c r="H15" s="215">
        <v>339</v>
      </c>
      <c r="I15" s="215">
        <v>1795</v>
      </c>
      <c r="J15" s="215">
        <v>910</v>
      </c>
      <c r="K15" s="215">
        <v>885</v>
      </c>
      <c r="L15" s="215">
        <v>426</v>
      </c>
      <c r="M15" s="29">
        <f t="shared" si="0"/>
        <v>23.732590529247911</v>
      </c>
      <c r="N15" s="215">
        <v>103</v>
      </c>
      <c r="O15" s="29">
        <f t="shared" si="1"/>
        <v>5.7381615598885789</v>
      </c>
      <c r="P15" s="215">
        <v>0</v>
      </c>
      <c r="Q15" s="215">
        <v>0</v>
      </c>
      <c r="R15" s="310" t="s">
        <v>37</v>
      </c>
      <c r="S15" s="311" t="s">
        <v>2709</v>
      </c>
      <c r="T15" s="310"/>
      <c r="U15" s="311" t="s">
        <v>2709</v>
      </c>
      <c r="V15" s="29"/>
      <c r="W15" s="29"/>
      <c r="X15" s="29"/>
      <c r="Y15" s="29"/>
      <c r="Z15" s="29"/>
      <c r="AA15" s="29"/>
      <c r="AB15" s="29" t="s">
        <v>37</v>
      </c>
      <c r="AC15" s="78">
        <v>13</v>
      </c>
      <c r="AD15" s="29" t="s">
        <v>285</v>
      </c>
      <c r="AE15" s="29"/>
      <c r="AF15" s="29"/>
    </row>
    <row r="16" spans="1:32" ht="15.75">
      <c r="A16" s="222">
        <v>13</v>
      </c>
      <c r="B16" s="215" t="s">
        <v>33</v>
      </c>
      <c r="C16" s="215" t="s">
        <v>281</v>
      </c>
      <c r="D16" s="215" t="s">
        <v>308</v>
      </c>
      <c r="E16" s="215" t="s">
        <v>311</v>
      </c>
      <c r="F16" s="215" t="s">
        <v>312</v>
      </c>
      <c r="G16" s="215">
        <v>901.66</v>
      </c>
      <c r="H16" s="215">
        <v>204</v>
      </c>
      <c r="I16" s="215">
        <v>944</v>
      </c>
      <c r="J16" s="215">
        <v>493</v>
      </c>
      <c r="K16" s="215">
        <v>451</v>
      </c>
      <c r="L16" s="215">
        <v>452</v>
      </c>
      <c r="M16" s="29">
        <f t="shared" si="0"/>
        <v>47.881355932203391</v>
      </c>
      <c r="N16" s="215">
        <v>195</v>
      </c>
      <c r="O16" s="29">
        <f t="shared" si="1"/>
        <v>20.656779661016948</v>
      </c>
      <c r="P16" s="215">
        <v>39.69</v>
      </c>
      <c r="Q16" s="215">
        <v>166.01</v>
      </c>
      <c r="R16" s="29" t="s">
        <v>37</v>
      </c>
      <c r="S16" s="223" t="s">
        <v>313</v>
      </c>
      <c r="T16" s="29"/>
      <c r="U16" s="78">
        <v>6.35</v>
      </c>
      <c r="V16" s="29"/>
      <c r="W16" s="29"/>
      <c r="X16" s="29"/>
      <c r="Y16" s="29"/>
      <c r="Z16" s="29"/>
      <c r="AA16" s="29"/>
      <c r="AB16" s="29" t="s">
        <v>37</v>
      </c>
      <c r="AC16" s="217">
        <v>9</v>
      </c>
      <c r="AD16" s="29" t="s">
        <v>285</v>
      </c>
      <c r="AE16" s="29">
        <v>25.114799999999999</v>
      </c>
      <c r="AF16" s="29">
        <v>76.301500000000004</v>
      </c>
    </row>
    <row r="17" spans="1:32" ht="15.75">
      <c r="A17" s="222">
        <v>14</v>
      </c>
      <c r="B17" s="215" t="s">
        <v>33</v>
      </c>
      <c r="C17" s="215" t="s">
        <v>281</v>
      </c>
      <c r="D17" s="215" t="s">
        <v>308</v>
      </c>
      <c r="E17" s="215" t="s">
        <v>254</v>
      </c>
      <c r="F17" s="215" t="s">
        <v>314</v>
      </c>
      <c r="G17" s="215">
        <v>179.85</v>
      </c>
      <c r="H17" s="215">
        <v>85</v>
      </c>
      <c r="I17" s="215">
        <v>518</v>
      </c>
      <c r="J17" s="215">
        <v>269</v>
      </c>
      <c r="K17" s="215">
        <v>249</v>
      </c>
      <c r="L17" s="215">
        <v>86</v>
      </c>
      <c r="M17" s="29">
        <f t="shared" si="0"/>
        <v>16.602316602316602</v>
      </c>
      <c r="N17" s="215">
        <v>0</v>
      </c>
      <c r="O17" s="29">
        <f t="shared" si="1"/>
        <v>0</v>
      </c>
      <c r="P17" s="215">
        <v>0</v>
      </c>
      <c r="Q17" s="215">
        <v>0</v>
      </c>
      <c r="R17" s="29" t="s">
        <v>37</v>
      </c>
      <c r="S17" s="223" t="s">
        <v>313</v>
      </c>
      <c r="T17" s="29"/>
      <c r="U17" s="217" t="s">
        <v>2707</v>
      </c>
      <c r="V17" s="29"/>
      <c r="W17" s="29"/>
      <c r="X17" s="29"/>
      <c r="Y17" s="29"/>
      <c r="Z17" s="29"/>
      <c r="AA17" s="29"/>
      <c r="AB17" s="29" t="s">
        <v>37</v>
      </c>
      <c r="AC17" s="217">
        <v>12</v>
      </c>
      <c r="AD17" s="29" t="s">
        <v>285</v>
      </c>
      <c r="AE17" s="29">
        <v>24.830500000000001</v>
      </c>
      <c r="AF17" s="29">
        <v>76.271100000000004</v>
      </c>
    </row>
    <row r="18" spans="1:32" ht="15.75">
      <c r="A18" s="222">
        <v>15</v>
      </c>
      <c r="B18" s="215" t="s">
        <v>33</v>
      </c>
      <c r="C18" s="215" t="s">
        <v>281</v>
      </c>
      <c r="D18" s="215" t="s">
        <v>315</v>
      </c>
      <c r="E18" s="216" t="s">
        <v>316</v>
      </c>
      <c r="F18" s="215" t="s">
        <v>317</v>
      </c>
      <c r="G18" s="215">
        <v>991.35</v>
      </c>
      <c r="H18" s="215">
        <v>454</v>
      </c>
      <c r="I18" s="215">
        <v>2162</v>
      </c>
      <c r="J18" s="215">
        <v>1127</v>
      </c>
      <c r="K18" s="215">
        <v>1035</v>
      </c>
      <c r="L18" s="215">
        <v>549</v>
      </c>
      <c r="M18" s="29">
        <f t="shared" si="0"/>
        <v>25.393154486586493</v>
      </c>
      <c r="N18" s="215">
        <v>3</v>
      </c>
      <c r="O18" s="29">
        <f t="shared" si="1"/>
        <v>0.13876040703052728</v>
      </c>
      <c r="P18" s="215">
        <v>44.37</v>
      </c>
      <c r="Q18" s="215">
        <v>0</v>
      </c>
      <c r="R18" s="29" t="s">
        <v>37</v>
      </c>
      <c r="S18" s="224">
        <v>44967</v>
      </c>
      <c r="T18" s="29"/>
      <c r="U18" s="217">
        <v>44.21</v>
      </c>
      <c r="V18" s="29"/>
      <c r="W18" s="29"/>
      <c r="X18" s="29"/>
      <c r="Y18" s="29"/>
      <c r="Z18" s="29"/>
      <c r="AA18" s="29"/>
      <c r="AB18" s="29" t="s">
        <v>37</v>
      </c>
      <c r="AC18" s="217">
        <v>10</v>
      </c>
      <c r="AD18" s="29" t="s">
        <v>285</v>
      </c>
      <c r="AE18" s="29"/>
      <c r="AF18" s="29"/>
    </row>
    <row r="19" spans="1:32" ht="15.75">
      <c r="A19" s="222">
        <v>16</v>
      </c>
      <c r="B19" s="215" t="s">
        <v>33</v>
      </c>
      <c r="C19" s="215" t="s">
        <v>281</v>
      </c>
      <c r="D19" s="215" t="s">
        <v>315</v>
      </c>
      <c r="E19" s="215" t="s">
        <v>318</v>
      </c>
      <c r="F19" s="215" t="s">
        <v>319</v>
      </c>
      <c r="G19" s="215">
        <v>377.28</v>
      </c>
      <c r="H19" s="215">
        <v>138</v>
      </c>
      <c r="I19" s="215">
        <v>703</v>
      </c>
      <c r="J19" s="215">
        <v>361</v>
      </c>
      <c r="K19" s="215">
        <v>342</v>
      </c>
      <c r="L19" s="215">
        <v>321</v>
      </c>
      <c r="M19" s="29">
        <f t="shared" si="0"/>
        <v>45.661450924608822</v>
      </c>
      <c r="N19" s="215">
        <v>160</v>
      </c>
      <c r="O19" s="29">
        <f t="shared" si="1"/>
        <v>22.759601706970127</v>
      </c>
      <c r="P19" s="215">
        <v>12.08</v>
      </c>
      <c r="Q19" s="215">
        <v>0</v>
      </c>
      <c r="R19" s="29" t="s">
        <v>37</v>
      </c>
      <c r="S19" s="224">
        <v>44967</v>
      </c>
      <c r="T19" s="29"/>
      <c r="U19" s="217">
        <v>12.24</v>
      </c>
      <c r="V19" s="29"/>
      <c r="W19" s="29"/>
      <c r="X19" s="29"/>
      <c r="Y19" s="29"/>
      <c r="Z19" s="29"/>
      <c r="AA19" s="29"/>
      <c r="AB19" s="29" t="s">
        <v>37</v>
      </c>
      <c r="AC19" s="217">
        <v>14</v>
      </c>
      <c r="AD19" s="29" t="s">
        <v>285</v>
      </c>
      <c r="AE19" s="29">
        <v>24.829000000000001</v>
      </c>
      <c r="AF19" s="29">
        <v>76.251000000000005</v>
      </c>
    </row>
    <row r="20" spans="1:32" ht="15.75">
      <c r="A20" s="222">
        <v>17</v>
      </c>
      <c r="B20" s="215" t="s">
        <v>33</v>
      </c>
      <c r="C20" s="215" t="s">
        <v>281</v>
      </c>
      <c r="D20" s="215" t="s">
        <v>315</v>
      </c>
      <c r="E20" s="215" t="s">
        <v>320</v>
      </c>
      <c r="F20" s="215" t="s">
        <v>321</v>
      </c>
      <c r="G20" s="215">
        <v>436.25</v>
      </c>
      <c r="H20" s="215">
        <v>144</v>
      </c>
      <c r="I20" s="215">
        <v>796</v>
      </c>
      <c r="J20" s="215">
        <v>411</v>
      </c>
      <c r="K20" s="215">
        <v>385</v>
      </c>
      <c r="L20" s="215">
        <v>270</v>
      </c>
      <c r="M20" s="29">
        <f t="shared" si="0"/>
        <v>33.91959798994975</v>
      </c>
      <c r="N20" s="215">
        <v>35</v>
      </c>
      <c r="O20" s="29">
        <f t="shared" si="1"/>
        <v>4.3969849246231156</v>
      </c>
      <c r="P20" s="215">
        <v>21.27</v>
      </c>
      <c r="Q20" s="215">
        <v>0</v>
      </c>
      <c r="R20" s="29" t="s">
        <v>37</v>
      </c>
      <c r="S20" s="224">
        <v>44967</v>
      </c>
      <c r="T20" s="29"/>
      <c r="U20" s="217">
        <v>19.329999999999998</v>
      </c>
      <c r="V20" s="29"/>
      <c r="W20" s="29"/>
      <c r="X20" s="29"/>
      <c r="Y20" s="29"/>
      <c r="Z20" s="29"/>
      <c r="AA20" s="29"/>
      <c r="AB20" s="29" t="s">
        <v>37</v>
      </c>
      <c r="AC20" s="78">
        <v>9</v>
      </c>
      <c r="AD20" s="29" t="s">
        <v>285</v>
      </c>
      <c r="AE20" s="29"/>
      <c r="AF20" s="29"/>
    </row>
    <row r="21" spans="1:32" ht="15.75">
      <c r="A21" s="222">
        <v>18</v>
      </c>
      <c r="B21" s="215" t="s">
        <v>33</v>
      </c>
      <c r="C21" s="215" t="s">
        <v>281</v>
      </c>
      <c r="D21" s="215" t="s">
        <v>322</v>
      </c>
      <c r="E21" s="216" t="s">
        <v>323</v>
      </c>
      <c r="F21" s="215" t="s">
        <v>324</v>
      </c>
      <c r="G21" s="215">
        <v>906.23</v>
      </c>
      <c r="H21" s="215">
        <v>1241</v>
      </c>
      <c r="I21" s="215">
        <v>6243</v>
      </c>
      <c r="J21" s="215">
        <v>3185</v>
      </c>
      <c r="K21" s="215">
        <v>3058</v>
      </c>
      <c r="L21" s="215">
        <v>747</v>
      </c>
      <c r="M21" s="29">
        <f t="shared" si="0"/>
        <v>11.965401249399326</v>
      </c>
      <c r="N21" s="215">
        <v>28</v>
      </c>
      <c r="O21" s="29">
        <f t="shared" si="1"/>
        <v>0.44850232260131345</v>
      </c>
      <c r="P21" s="215">
        <v>41.41</v>
      </c>
      <c r="Q21" s="215">
        <v>0</v>
      </c>
      <c r="R21" s="29" t="s">
        <v>37</v>
      </c>
      <c r="S21" s="217" t="s">
        <v>325</v>
      </c>
      <c r="T21" s="29"/>
      <c r="U21" s="217">
        <v>50.04</v>
      </c>
      <c r="V21" s="29"/>
      <c r="W21" s="29"/>
      <c r="X21" s="29"/>
      <c r="Y21" s="29"/>
      <c r="Z21" s="29"/>
      <c r="AA21" s="29"/>
      <c r="AB21" s="29" t="s">
        <v>37</v>
      </c>
      <c r="AC21" s="217">
        <v>8</v>
      </c>
      <c r="AD21" s="29" t="s">
        <v>326</v>
      </c>
      <c r="AE21" s="218">
        <v>24.7851</v>
      </c>
      <c r="AF21" s="218">
        <v>76.301400000000001</v>
      </c>
    </row>
    <row r="22" spans="1:32" ht="15.75">
      <c r="A22" s="226">
        <v>19</v>
      </c>
      <c r="B22" s="215" t="s">
        <v>33</v>
      </c>
      <c r="C22" s="215" t="s">
        <v>281</v>
      </c>
      <c r="D22" s="215" t="s">
        <v>327</v>
      </c>
      <c r="E22" s="216" t="s">
        <v>328</v>
      </c>
      <c r="F22" s="215" t="s">
        <v>329</v>
      </c>
      <c r="G22" s="215">
        <v>2390.6799999999998</v>
      </c>
      <c r="H22" s="215">
        <v>741</v>
      </c>
      <c r="I22" s="215">
        <v>3696</v>
      </c>
      <c r="J22" s="215">
        <v>1916</v>
      </c>
      <c r="K22" s="215">
        <v>1780</v>
      </c>
      <c r="L22" s="215">
        <v>579</v>
      </c>
      <c r="M22" s="29">
        <f t="shared" si="0"/>
        <v>15.665584415584416</v>
      </c>
      <c r="N22" s="215">
        <v>19</v>
      </c>
      <c r="O22" s="29">
        <f t="shared" si="1"/>
        <v>0.51406926406926412</v>
      </c>
      <c r="P22" s="215">
        <v>86.83</v>
      </c>
      <c r="Q22" s="215">
        <v>0</v>
      </c>
      <c r="R22" s="29"/>
      <c r="S22" s="217"/>
      <c r="T22" s="29"/>
      <c r="U22" s="78">
        <v>55.000999999999998</v>
      </c>
      <c r="V22" s="29"/>
      <c r="W22" s="29"/>
      <c r="X22" s="29"/>
      <c r="Y22" s="29"/>
      <c r="Z22" s="29"/>
      <c r="AA22" s="29"/>
      <c r="AB22" s="29" t="s">
        <v>37</v>
      </c>
      <c r="AC22" s="217">
        <v>11</v>
      </c>
      <c r="AD22" s="29" t="s">
        <v>326</v>
      </c>
      <c r="AE22" s="218">
        <v>24.759399999999999</v>
      </c>
      <c r="AF22" s="218">
        <v>76.271199999999993</v>
      </c>
    </row>
    <row r="23" spans="1:32" ht="15.75">
      <c r="A23" s="226">
        <v>20</v>
      </c>
      <c r="B23" s="215" t="s">
        <v>33</v>
      </c>
      <c r="C23" s="215" t="s">
        <v>281</v>
      </c>
      <c r="D23" s="215" t="s">
        <v>330</v>
      </c>
      <c r="E23" s="216" t="s">
        <v>331</v>
      </c>
      <c r="F23" s="215" t="s">
        <v>332</v>
      </c>
      <c r="G23" s="215">
        <v>477.67</v>
      </c>
      <c r="H23" s="215">
        <v>453</v>
      </c>
      <c r="I23" s="215">
        <v>2385</v>
      </c>
      <c r="J23" s="215">
        <v>1224</v>
      </c>
      <c r="K23" s="215">
        <v>1161</v>
      </c>
      <c r="L23" s="215">
        <v>607</v>
      </c>
      <c r="M23" s="29">
        <f t="shared" si="0"/>
        <v>25.450733752620547</v>
      </c>
      <c r="N23" s="215">
        <v>362</v>
      </c>
      <c r="O23" s="29">
        <f t="shared" si="1"/>
        <v>15.178197064989519</v>
      </c>
      <c r="P23" s="215">
        <v>0</v>
      </c>
      <c r="Q23" s="215">
        <v>0</v>
      </c>
      <c r="R23" s="29"/>
      <c r="S23" s="217"/>
      <c r="T23" s="29"/>
      <c r="U23" s="217"/>
      <c r="V23" s="29"/>
      <c r="W23" s="29"/>
      <c r="X23" s="29"/>
      <c r="Y23" s="29"/>
      <c r="Z23" s="29"/>
      <c r="AA23" s="29"/>
      <c r="AB23" s="29" t="s">
        <v>37</v>
      </c>
      <c r="AC23" s="217">
        <v>11</v>
      </c>
      <c r="AD23" s="29" t="s">
        <v>285</v>
      </c>
      <c r="AE23" s="29"/>
      <c r="AF23" s="29"/>
    </row>
    <row r="24" spans="1:32" ht="15.75">
      <c r="A24" s="222">
        <v>21</v>
      </c>
      <c r="B24" s="215" t="s">
        <v>333</v>
      </c>
      <c r="C24" s="215" t="s">
        <v>281</v>
      </c>
      <c r="D24" s="215" t="s">
        <v>334</v>
      </c>
      <c r="E24" s="215" t="s">
        <v>334</v>
      </c>
      <c r="F24" s="215"/>
      <c r="G24" s="215"/>
      <c r="H24" s="215"/>
      <c r="I24" s="215"/>
      <c r="J24" s="215"/>
      <c r="K24" s="215"/>
      <c r="L24" s="215"/>
      <c r="M24" s="29" t="e">
        <f t="shared" si="0"/>
        <v>#DIV/0!</v>
      </c>
      <c r="N24" s="215"/>
      <c r="O24" s="29" t="e">
        <f t="shared" si="1"/>
        <v>#DIV/0!</v>
      </c>
      <c r="P24" s="215"/>
      <c r="Q24" s="215"/>
      <c r="R24" s="29"/>
      <c r="S24" s="217"/>
      <c r="T24" s="29"/>
      <c r="U24" s="217"/>
      <c r="V24" s="29"/>
      <c r="W24" s="29"/>
      <c r="X24" s="29"/>
      <c r="Y24" s="29"/>
      <c r="Z24" s="29"/>
      <c r="AA24" s="29"/>
      <c r="AB24" s="29"/>
      <c r="AC24" s="217"/>
      <c r="AD24" s="29"/>
      <c r="AE24" s="29"/>
      <c r="AF24" s="29"/>
    </row>
    <row r="25" spans="1:32" ht="15.75">
      <c r="A25" s="222">
        <v>22</v>
      </c>
      <c r="B25" s="215" t="s">
        <v>33</v>
      </c>
      <c r="C25" s="215" t="s">
        <v>281</v>
      </c>
      <c r="D25" s="215" t="s">
        <v>335</v>
      </c>
      <c r="E25" s="215" t="s">
        <v>335</v>
      </c>
      <c r="F25" s="215" t="s">
        <v>336</v>
      </c>
      <c r="G25" s="215">
        <v>473.17</v>
      </c>
      <c r="H25" s="215">
        <v>42</v>
      </c>
      <c r="I25" s="215">
        <v>200</v>
      </c>
      <c r="J25" s="215">
        <v>107</v>
      </c>
      <c r="K25" s="215">
        <v>93</v>
      </c>
      <c r="L25" s="215">
        <v>127</v>
      </c>
      <c r="M25" s="29">
        <f t="shared" si="0"/>
        <v>63.5</v>
      </c>
      <c r="N25" s="215">
        <v>3</v>
      </c>
      <c r="O25" s="29">
        <f t="shared" si="1"/>
        <v>1.5</v>
      </c>
      <c r="P25" s="215">
        <v>7.87</v>
      </c>
      <c r="Q25" s="215">
        <v>0</v>
      </c>
      <c r="R25" s="29" t="s">
        <v>37</v>
      </c>
      <c r="S25" s="224">
        <v>44967</v>
      </c>
      <c r="T25" s="29"/>
      <c r="U25" s="217" t="s">
        <v>2709</v>
      </c>
      <c r="V25" s="29"/>
      <c r="W25" s="29"/>
      <c r="X25" s="29"/>
      <c r="Y25" s="29"/>
      <c r="Z25" s="29"/>
      <c r="AA25" s="29"/>
      <c r="AB25" s="29" t="s">
        <v>37</v>
      </c>
      <c r="AC25" s="217">
        <v>11</v>
      </c>
      <c r="AD25" s="29" t="s">
        <v>285</v>
      </c>
      <c r="AE25" s="29"/>
      <c r="AF25" s="29"/>
    </row>
    <row r="26" spans="1:32" ht="15.75">
      <c r="A26" s="222">
        <v>23</v>
      </c>
      <c r="B26" s="215" t="s">
        <v>33</v>
      </c>
      <c r="C26" s="215" t="s">
        <v>281</v>
      </c>
      <c r="D26" s="215" t="s">
        <v>337</v>
      </c>
      <c r="E26" s="215" t="s">
        <v>337</v>
      </c>
      <c r="F26" s="215" t="s">
        <v>338</v>
      </c>
      <c r="G26" s="215">
        <v>557.99</v>
      </c>
      <c r="H26" s="215">
        <v>315</v>
      </c>
      <c r="I26" s="215">
        <v>1359</v>
      </c>
      <c r="J26" s="215">
        <v>696</v>
      </c>
      <c r="K26" s="215">
        <v>663</v>
      </c>
      <c r="L26" s="215">
        <v>340</v>
      </c>
      <c r="M26" s="29">
        <f t="shared" si="0"/>
        <v>25.01839587932303</v>
      </c>
      <c r="N26" s="215">
        <v>0</v>
      </c>
      <c r="O26" s="29">
        <f t="shared" si="1"/>
        <v>0</v>
      </c>
      <c r="P26" s="215">
        <v>38.770000000000003</v>
      </c>
      <c r="Q26" s="215">
        <v>0</v>
      </c>
      <c r="R26" s="29" t="s">
        <v>37</v>
      </c>
      <c r="S26" s="224">
        <v>44967</v>
      </c>
      <c r="T26" s="29"/>
      <c r="U26" s="217">
        <v>41.41</v>
      </c>
      <c r="V26" s="29"/>
      <c r="W26" s="29"/>
      <c r="X26" s="29"/>
      <c r="Y26" s="29"/>
      <c r="Z26" s="29"/>
      <c r="AA26" s="29"/>
      <c r="AB26" s="29" t="s">
        <v>37</v>
      </c>
      <c r="AC26" s="217">
        <v>11</v>
      </c>
      <c r="AD26" s="29" t="s">
        <v>285</v>
      </c>
      <c r="AE26" s="29"/>
      <c r="AF26" s="29"/>
    </row>
    <row r="27" spans="1:32" ht="15.75">
      <c r="A27" s="222">
        <v>24</v>
      </c>
      <c r="B27" s="215" t="s">
        <v>33</v>
      </c>
      <c r="C27" s="215" t="s">
        <v>281</v>
      </c>
      <c r="D27" s="215" t="s">
        <v>339</v>
      </c>
      <c r="E27" s="216" t="s">
        <v>340</v>
      </c>
      <c r="F27" s="215" t="s">
        <v>341</v>
      </c>
      <c r="G27" s="215">
        <v>551.80999999999995</v>
      </c>
      <c r="H27" s="215">
        <v>169</v>
      </c>
      <c r="I27" s="215">
        <v>886</v>
      </c>
      <c r="J27" s="215">
        <v>469</v>
      </c>
      <c r="K27" s="215">
        <v>417</v>
      </c>
      <c r="L27" s="215">
        <v>181</v>
      </c>
      <c r="M27" s="29">
        <f t="shared" si="0"/>
        <v>20.428893905191874</v>
      </c>
      <c r="N27" s="215">
        <v>100</v>
      </c>
      <c r="O27" s="29">
        <f t="shared" si="1"/>
        <v>11.286681715575622</v>
      </c>
      <c r="P27" s="215">
        <v>21.39</v>
      </c>
      <c r="Q27" s="215">
        <v>0</v>
      </c>
      <c r="R27" s="29" t="s">
        <v>37</v>
      </c>
      <c r="S27" s="224">
        <v>44967</v>
      </c>
      <c r="T27" s="29"/>
      <c r="U27" s="217">
        <v>22.77</v>
      </c>
      <c r="V27" s="29"/>
      <c r="W27" s="29"/>
      <c r="X27" s="29"/>
      <c r="Y27" s="29"/>
      <c r="Z27" s="29"/>
      <c r="AA27" s="29"/>
      <c r="AB27" s="29" t="s">
        <v>37</v>
      </c>
      <c r="AC27" s="217">
        <v>12</v>
      </c>
      <c r="AD27" s="29" t="s">
        <v>285</v>
      </c>
      <c r="AE27" s="29"/>
      <c r="AF27" s="29"/>
    </row>
    <row r="28" spans="1:32" ht="15.75">
      <c r="A28" s="222">
        <v>25</v>
      </c>
      <c r="B28" s="215" t="s">
        <v>33</v>
      </c>
      <c r="C28" s="215" t="s">
        <v>281</v>
      </c>
      <c r="D28" s="215" t="s">
        <v>339</v>
      </c>
      <c r="E28" s="215" t="s">
        <v>342</v>
      </c>
      <c r="F28" s="215" t="s">
        <v>343</v>
      </c>
      <c r="G28" s="215">
        <v>585.49</v>
      </c>
      <c r="H28" s="215">
        <v>138</v>
      </c>
      <c r="I28" s="215">
        <v>682</v>
      </c>
      <c r="J28" s="215">
        <v>355</v>
      </c>
      <c r="K28" s="215">
        <v>327</v>
      </c>
      <c r="L28" s="215">
        <v>187</v>
      </c>
      <c r="M28" s="29">
        <f t="shared" si="0"/>
        <v>27.419354838709676</v>
      </c>
      <c r="N28" s="215">
        <v>113</v>
      </c>
      <c r="O28" s="29">
        <f t="shared" si="1"/>
        <v>16.568914956011728</v>
      </c>
      <c r="P28" s="215">
        <v>18.739999999999998</v>
      </c>
      <c r="Q28" s="215">
        <v>0</v>
      </c>
      <c r="R28" s="29" t="s">
        <v>37</v>
      </c>
      <c r="S28" s="224">
        <v>44967</v>
      </c>
      <c r="T28" s="29"/>
      <c r="U28" s="217">
        <v>13.74</v>
      </c>
      <c r="V28" s="29"/>
      <c r="W28" s="29"/>
      <c r="X28" s="29"/>
      <c r="Y28" s="29"/>
      <c r="Z28" s="29"/>
      <c r="AA28" s="29"/>
      <c r="AB28" s="29" t="s">
        <v>37</v>
      </c>
      <c r="AC28" s="217">
        <v>3</v>
      </c>
      <c r="AD28" s="29" t="s">
        <v>344</v>
      </c>
      <c r="AE28" s="218">
        <v>25.233000000000001</v>
      </c>
      <c r="AF28" s="218">
        <v>76.257400000000004</v>
      </c>
    </row>
    <row r="29" spans="1:32" ht="15.75">
      <c r="A29" s="226">
        <v>26</v>
      </c>
      <c r="B29" s="215" t="s">
        <v>33</v>
      </c>
      <c r="C29" s="215" t="s">
        <v>281</v>
      </c>
      <c r="D29" s="215" t="s">
        <v>339</v>
      </c>
      <c r="E29" s="215" t="s">
        <v>345</v>
      </c>
      <c r="F29" s="215" t="s">
        <v>346</v>
      </c>
      <c r="G29" s="215">
        <v>352.08</v>
      </c>
      <c r="H29" s="215">
        <v>47</v>
      </c>
      <c r="I29" s="215">
        <v>233</v>
      </c>
      <c r="J29" s="215">
        <v>118</v>
      </c>
      <c r="K29" s="215">
        <v>115</v>
      </c>
      <c r="L29" s="215">
        <v>0</v>
      </c>
      <c r="M29" s="29">
        <f t="shared" si="0"/>
        <v>0</v>
      </c>
      <c r="N29" s="215">
        <v>128</v>
      </c>
      <c r="O29" s="29">
        <f t="shared" si="1"/>
        <v>54.935622317596568</v>
      </c>
      <c r="P29" s="215">
        <v>15.47</v>
      </c>
      <c r="Q29" s="215">
        <v>0</v>
      </c>
      <c r="R29" s="29" t="s">
        <v>37</v>
      </c>
      <c r="S29" s="224">
        <v>44967</v>
      </c>
      <c r="T29" s="29"/>
      <c r="U29" s="217">
        <v>15.47</v>
      </c>
      <c r="V29" s="29"/>
      <c r="W29" s="29"/>
      <c r="X29" s="29"/>
      <c r="Y29" s="29"/>
      <c r="Z29" s="29"/>
      <c r="AA29" s="29"/>
      <c r="AB29" s="29" t="s">
        <v>37</v>
      </c>
      <c r="AC29" s="217">
        <v>4</v>
      </c>
      <c r="AD29" s="29" t="s">
        <v>285</v>
      </c>
      <c r="AE29" s="29"/>
      <c r="AF29" s="29"/>
    </row>
    <row r="30" spans="1:32" ht="15.75">
      <c r="A30" s="222">
        <v>27</v>
      </c>
      <c r="B30" s="215" t="s">
        <v>33</v>
      </c>
      <c r="C30" s="215" t="s">
        <v>281</v>
      </c>
      <c r="D30" s="215" t="s">
        <v>339</v>
      </c>
      <c r="E30" s="215" t="s">
        <v>347</v>
      </c>
      <c r="F30" s="215" t="s">
        <v>348</v>
      </c>
      <c r="G30" s="215">
        <v>472.44</v>
      </c>
      <c r="H30" s="215">
        <v>160</v>
      </c>
      <c r="I30" s="215">
        <v>840</v>
      </c>
      <c r="J30" s="215">
        <v>423</v>
      </c>
      <c r="K30" s="215">
        <v>417</v>
      </c>
      <c r="L30" s="215">
        <v>53</v>
      </c>
      <c r="M30" s="29">
        <f t="shared" si="0"/>
        <v>6.3095238095238093</v>
      </c>
      <c r="N30" s="215">
        <v>192</v>
      </c>
      <c r="O30" s="29">
        <f t="shared" si="1"/>
        <v>22.857142857142858</v>
      </c>
      <c r="P30" s="215">
        <v>28.57</v>
      </c>
      <c r="Q30" s="215">
        <v>0</v>
      </c>
      <c r="R30" s="29" t="s">
        <v>37</v>
      </c>
      <c r="S30" s="224">
        <v>44967</v>
      </c>
      <c r="T30" s="29"/>
      <c r="U30" s="217">
        <v>28.77</v>
      </c>
      <c r="V30" s="29"/>
      <c r="W30" s="29"/>
      <c r="X30" s="29"/>
      <c r="Y30" s="29"/>
      <c r="Z30" s="29"/>
      <c r="AA30" s="29"/>
      <c r="AB30" s="29" t="s">
        <v>37</v>
      </c>
      <c r="AC30" s="78">
        <v>10</v>
      </c>
      <c r="AD30" s="29" t="s">
        <v>285</v>
      </c>
      <c r="AE30" s="29"/>
      <c r="AF30" s="29"/>
    </row>
    <row r="31" spans="1:32" ht="15.75">
      <c r="A31" s="222">
        <v>28</v>
      </c>
      <c r="B31" s="215" t="s">
        <v>33</v>
      </c>
      <c r="C31" s="215" t="s">
        <v>281</v>
      </c>
      <c r="D31" s="215" t="s">
        <v>339</v>
      </c>
      <c r="E31" s="215" t="s">
        <v>349</v>
      </c>
      <c r="F31" s="215" t="s">
        <v>350</v>
      </c>
      <c r="G31" s="215">
        <v>847.79</v>
      </c>
      <c r="H31" s="215">
        <v>201</v>
      </c>
      <c r="I31" s="215">
        <v>1063</v>
      </c>
      <c r="J31" s="215">
        <v>543</v>
      </c>
      <c r="K31" s="215">
        <v>520</v>
      </c>
      <c r="L31" s="215">
        <v>109</v>
      </c>
      <c r="M31" s="29">
        <f t="shared" si="0"/>
        <v>10.253998118532454</v>
      </c>
      <c r="N31" s="215">
        <v>491</v>
      </c>
      <c r="O31" s="29">
        <f t="shared" si="1"/>
        <v>46.190028222013169</v>
      </c>
      <c r="P31" s="215">
        <v>54.27</v>
      </c>
      <c r="Q31" s="215">
        <v>0</v>
      </c>
      <c r="R31" s="29" t="s">
        <v>37</v>
      </c>
      <c r="S31" s="224">
        <v>44967</v>
      </c>
      <c r="T31" s="29"/>
      <c r="U31" s="217">
        <v>54.73</v>
      </c>
      <c r="V31" s="29"/>
      <c r="W31" s="29"/>
      <c r="X31" s="29"/>
      <c r="Y31" s="29"/>
      <c r="Z31" s="29"/>
      <c r="AA31" s="29"/>
      <c r="AB31" s="29" t="s">
        <v>37</v>
      </c>
      <c r="AC31" s="78">
        <v>4</v>
      </c>
      <c r="AD31" s="29" t="s">
        <v>285</v>
      </c>
      <c r="AE31" s="29"/>
      <c r="AF31" s="29"/>
    </row>
    <row r="32" spans="1:32" ht="15.75">
      <c r="A32" s="227">
        <v>29</v>
      </c>
      <c r="B32" s="215" t="s">
        <v>33</v>
      </c>
      <c r="C32" s="215" t="s">
        <v>281</v>
      </c>
      <c r="D32" s="215" t="s">
        <v>351</v>
      </c>
      <c r="E32" s="216" t="s">
        <v>352</v>
      </c>
      <c r="F32" s="215" t="s">
        <v>353</v>
      </c>
      <c r="G32" s="215">
        <v>228</v>
      </c>
      <c r="H32" s="215">
        <v>118</v>
      </c>
      <c r="I32" s="215">
        <v>721</v>
      </c>
      <c r="J32" s="215">
        <v>398</v>
      </c>
      <c r="K32" s="215">
        <v>323</v>
      </c>
      <c r="L32" s="215">
        <v>44</v>
      </c>
      <c r="M32" s="29">
        <f t="shared" si="0"/>
        <v>6.102635228848821</v>
      </c>
      <c r="N32" s="215">
        <v>45</v>
      </c>
      <c r="O32" s="29">
        <f t="shared" si="1"/>
        <v>6.2413314840499305</v>
      </c>
      <c r="P32" s="215">
        <v>8</v>
      </c>
      <c r="Q32" s="215">
        <v>0</v>
      </c>
      <c r="R32" s="29" t="s">
        <v>37</v>
      </c>
      <c r="S32" s="223" t="s">
        <v>313</v>
      </c>
      <c r="T32" s="29"/>
      <c r="U32" s="217">
        <v>1.31</v>
      </c>
      <c r="V32" s="29"/>
      <c r="W32" s="29"/>
      <c r="X32" s="29"/>
      <c r="Y32" s="29"/>
      <c r="Z32" s="29"/>
      <c r="AA32" s="29"/>
      <c r="AB32" s="29" t="s">
        <v>37</v>
      </c>
      <c r="AC32" s="78">
        <v>10</v>
      </c>
      <c r="AD32" s="29" t="s">
        <v>285</v>
      </c>
      <c r="AE32" s="29"/>
      <c r="AF32" s="29"/>
    </row>
    <row r="33" spans="1:32" ht="15.75">
      <c r="A33" s="228">
        <v>30</v>
      </c>
      <c r="B33" s="215" t="s">
        <v>33</v>
      </c>
      <c r="C33" s="215" t="s">
        <v>281</v>
      </c>
      <c r="D33" s="215" t="s">
        <v>351</v>
      </c>
      <c r="E33" s="215" t="s">
        <v>354</v>
      </c>
      <c r="F33" s="215" t="s">
        <v>355</v>
      </c>
      <c r="G33" s="215">
        <v>464.41</v>
      </c>
      <c r="H33" s="215">
        <v>38</v>
      </c>
      <c r="I33" s="215">
        <v>183</v>
      </c>
      <c r="J33" s="215">
        <v>98</v>
      </c>
      <c r="K33" s="215">
        <v>85</v>
      </c>
      <c r="L33" s="215">
        <v>15</v>
      </c>
      <c r="M33" s="29">
        <f t="shared" si="0"/>
        <v>8.1967213114754092</v>
      </c>
      <c r="N33" s="215">
        <v>17</v>
      </c>
      <c r="O33" s="29">
        <f t="shared" si="1"/>
        <v>9.2896174863387984</v>
      </c>
      <c r="P33" s="215">
        <v>0</v>
      </c>
      <c r="Q33" s="215">
        <v>0</v>
      </c>
      <c r="R33" s="29" t="s">
        <v>37</v>
      </c>
      <c r="S33" s="223" t="s">
        <v>313</v>
      </c>
      <c r="T33" s="29"/>
      <c r="U33" s="78" t="s">
        <v>2707</v>
      </c>
      <c r="V33" s="29"/>
      <c r="W33" s="29"/>
      <c r="X33" s="29"/>
      <c r="Y33" s="29"/>
      <c r="Z33" s="29"/>
      <c r="AA33" s="29"/>
      <c r="AB33" s="29" t="s">
        <v>37</v>
      </c>
      <c r="AC33" s="78">
        <v>9</v>
      </c>
      <c r="AD33" s="29" t="s">
        <v>285</v>
      </c>
      <c r="AE33" s="29"/>
      <c r="AF33" s="29"/>
    </row>
    <row r="34" spans="1:32" ht="15.75">
      <c r="A34" s="229">
        <v>31</v>
      </c>
      <c r="B34" s="215" t="s">
        <v>33</v>
      </c>
      <c r="C34" s="215" t="s">
        <v>281</v>
      </c>
      <c r="D34" s="215" t="s">
        <v>351</v>
      </c>
      <c r="E34" s="215" t="s">
        <v>356</v>
      </c>
      <c r="F34" s="215" t="s">
        <v>357</v>
      </c>
      <c r="G34" s="215">
        <v>302.22000000000003</v>
      </c>
      <c r="H34" s="215">
        <v>34</v>
      </c>
      <c r="I34" s="215">
        <v>190</v>
      </c>
      <c r="J34" s="215">
        <v>107</v>
      </c>
      <c r="K34" s="215">
        <v>83</v>
      </c>
      <c r="L34" s="215">
        <v>0</v>
      </c>
      <c r="M34" s="29">
        <f t="shared" si="0"/>
        <v>0</v>
      </c>
      <c r="N34" s="215">
        <v>65</v>
      </c>
      <c r="O34" s="29">
        <f t="shared" si="1"/>
        <v>34.210526315789473</v>
      </c>
      <c r="P34" s="215">
        <v>0</v>
      </c>
      <c r="Q34" s="215">
        <v>0</v>
      </c>
      <c r="R34" s="29" t="s">
        <v>37</v>
      </c>
      <c r="S34" s="223" t="s">
        <v>313</v>
      </c>
      <c r="T34" s="29"/>
      <c r="U34" s="78" t="s">
        <v>2707</v>
      </c>
      <c r="V34" s="29"/>
      <c r="W34" s="29"/>
      <c r="X34" s="29"/>
      <c r="Y34" s="29"/>
      <c r="Z34" s="29"/>
      <c r="AA34" s="29"/>
      <c r="AB34" s="29" t="s">
        <v>37</v>
      </c>
      <c r="AC34" s="78">
        <v>2</v>
      </c>
      <c r="AD34" s="29" t="s">
        <v>285</v>
      </c>
      <c r="AE34" s="29">
        <v>25.104199999999999</v>
      </c>
      <c r="AF34" s="29">
        <v>76.321799999999996</v>
      </c>
    </row>
    <row r="35" spans="1:32" ht="15.75">
      <c r="A35" s="229">
        <v>32</v>
      </c>
      <c r="B35" s="215" t="s">
        <v>33</v>
      </c>
      <c r="C35" s="215" t="s">
        <v>281</v>
      </c>
      <c r="D35" s="215" t="s">
        <v>351</v>
      </c>
      <c r="E35" s="215" t="s">
        <v>358</v>
      </c>
      <c r="F35" s="215" t="s">
        <v>359</v>
      </c>
      <c r="G35" s="215">
        <v>160.34</v>
      </c>
      <c r="H35" s="215">
        <v>52</v>
      </c>
      <c r="I35" s="215">
        <v>293</v>
      </c>
      <c r="J35" s="215">
        <v>151</v>
      </c>
      <c r="K35" s="215">
        <v>142</v>
      </c>
      <c r="L35" s="215">
        <v>13</v>
      </c>
      <c r="M35" s="29">
        <f t="shared" si="0"/>
        <v>4.4368600682593859</v>
      </c>
      <c r="N35" s="215">
        <v>0</v>
      </c>
      <c r="O35" s="29">
        <f t="shared" si="1"/>
        <v>0</v>
      </c>
      <c r="P35" s="215">
        <v>0</v>
      </c>
      <c r="Q35" s="215">
        <v>0</v>
      </c>
      <c r="R35" s="29" t="s">
        <v>37</v>
      </c>
      <c r="S35" s="223" t="s">
        <v>313</v>
      </c>
      <c r="T35" s="29"/>
      <c r="U35" s="78" t="s">
        <v>2707</v>
      </c>
      <c r="V35" s="29"/>
      <c r="W35" s="29"/>
      <c r="X35" s="29"/>
      <c r="Y35" s="29"/>
      <c r="Z35" s="29"/>
      <c r="AA35" s="29"/>
      <c r="AB35" s="29" t="s">
        <v>37</v>
      </c>
      <c r="AC35" s="78">
        <v>3</v>
      </c>
      <c r="AD35" s="29" t="s">
        <v>285</v>
      </c>
      <c r="AE35" s="29">
        <v>24.991499999999998</v>
      </c>
      <c r="AF35" s="29">
        <v>76.2941</v>
      </c>
    </row>
    <row r="36" spans="1:32" ht="15.75">
      <c r="A36" s="229">
        <v>33</v>
      </c>
      <c r="B36" s="215" t="s">
        <v>33</v>
      </c>
      <c r="C36" s="215" t="s">
        <v>281</v>
      </c>
      <c r="D36" s="215" t="s">
        <v>351</v>
      </c>
      <c r="E36" s="215" t="s">
        <v>360</v>
      </c>
      <c r="F36" s="215" t="s">
        <v>361</v>
      </c>
      <c r="G36" s="215">
        <v>52</v>
      </c>
      <c r="H36" s="215">
        <v>26</v>
      </c>
      <c r="I36" s="215">
        <v>137</v>
      </c>
      <c r="J36" s="215">
        <v>68</v>
      </c>
      <c r="K36" s="215">
        <v>69</v>
      </c>
      <c r="L36" s="215">
        <v>0</v>
      </c>
      <c r="M36" s="29">
        <f t="shared" si="0"/>
        <v>0</v>
      </c>
      <c r="N36" s="215">
        <v>0</v>
      </c>
      <c r="O36" s="29">
        <f t="shared" si="1"/>
        <v>0</v>
      </c>
      <c r="P36" s="215">
        <v>0</v>
      </c>
      <c r="Q36" s="215">
        <v>0</v>
      </c>
      <c r="R36" s="29" t="s">
        <v>37</v>
      </c>
      <c r="S36" s="223" t="s">
        <v>313</v>
      </c>
      <c r="T36" s="29"/>
      <c r="U36" s="78" t="s">
        <v>2707</v>
      </c>
      <c r="V36" s="29"/>
      <c r="W36" s="29"/>
      <c r="X36" s="29"/>
      <c r="Y36" s="29"/>
      <c r="Z36" s="29"/>
      <c r="AA36" s="29"/>
      <c r="AB36" s="29" t="s">
        <v>37</v>
      </c>
      <c r="AC36" s="78">
        <v>3</v>
      </c>
      <c r="AD36" s="29" t="s">
        <v>285</v>
      </c>
      <c r="AE36" s="29"/>
      <c r="AF36" s="29"/>
    </row>
    <row r="37" spans="1:32" ht="15.75">
      <c r="A37" s="229">
        <v>34</v>
      </c>
      <c r="B37" s="215" t="s">
        <v>33</v>
      </c>
      <c r="C37" s="215" t="s">
        <v>281</v>
      </c>
      <c r="D37" s="215" t="s">
        <v>362</v>
      </c>
      <c r="E37" s="216" t="s">
        <v>363</v>
      </c>
      <c r="F37" s="215" t="s">
        <v>364</v>
      </c>
      <c r="G37" s="215">
        <v>602.12</v>
      </c>
      <c r="H37" s="215">
        <v>213</v>
      </c>
      <c r="I37" s="215">
        <v>1206</v>
      </c>
      <c r="J37" s="215">
        <v>659</v>
      </c>
      <c r="K37" s="215">
        <v>547</v>
      </c>
      <c r="L37" s="215">
        <v>261</v>
      </c>
      <c r="M37" s="29">
        <f t="shared" si="0"/>
        <v>21.641791044776117</v>
      </c>
      <c r="N37" s="215">
        <v>0</v>
      </c>
      <c r="O37" s="29">
        <f t="shared" si="1"/>
        <v>0</v>
      </c>
      <c r="P37" s="215">
        <v>25.73</v>
      </c>
      <c r="Q37" s="215">
        <v>0</v>
      </c>
      <c r="R37" s="29" t="s">
        <v>37</v>
      </c>
      <c r="S37" s="223" t="s">
        <v>365</v>
      </c>
      <c r="T37" s="29"/>
      <c r="U37" s="78">
        <v>4.93</v>
      </c>
      <c r="V37" s="29"/>
      <c r="W37" s="29"/>
      <c r="X37" s="29"/>
      <c r="Y37" s="29"/>
      <c r="Z37" s="29"/>
      <c r="AA37" s="29"/>
      <c r="AB37" s="29" t="s">
        <v>37</v>
      </c>
      <c r="AC37" s="78">
        <v>10</v>
      </c>
      <c r="AD37" s="29" t="s">
        <v>285</v>
      </c>
      <c r="AE37" s="29"/>
      <c r="AF37" s="29"/>
    </row>
    <row r="38" spans="1:32" ht="15.75">
      <c r="A38" s="222">
        <v>35</v>
      </c>
      <c r="B38" s="215" t="s">
        <v>33</v>
      </c>
      <c r="C38" s="215" t="s">
        <v>281</v>
      </c>
      <c r="D38" s="215" t="s">
        <v>362</v>
      </c>
      <c r="E38" s="215" t="s">
        <v>366</v>
      </c>
      <c r="F38" s="215" t="s">
        <v>367</v>
      </c>
      <c r="G38" s="215">
        <v>520.77</v>
      </c>
      <c r="H38" s="215">
        <v>164</v>
      </c>
      <c r="I38" s="215">
        <v>947</v>
      </c>
      <c r="J38" s="215">
        <v>473</v>
      </c>
      <c r="K38" s="215">
        <v>474</v>
      </c>
      <c r="L38" s="215">
        <v>196</v>
      </c>
      <c r="M38" s="29">
        <f t="shared" si="0"/>
        <v>20.696937697993665</v>
      </c>
      <c r="N38" s="215">
        <v>75</v>
      </c>
      <c r="O38" s="29">
        <f t="shared" si="1"/>
        <v>7.9197465681098205</v>
      </c>
      <c r="P38" s="215">
        <v>19.100000000000001</v>
      </c>
      <c r="Q38" s="215">
        <v>0</v>
      </c>
      <c r="R38" s="29" t="s">
        <v>37</v>
      </c>
      <c r="S38" s="223" t="s">
        <v>365</v>
      </c>
      <c r="T38" s="29"/>
      <c r="U38" s="78">
        <v>3.44</v>
      </c>
      <c r="V38" s="29"/>
      <c r="W38" s="29"/>
      <c r="X38" s="29"/>
      <c r="Y38" s="29"/>
      <c r="Z38" s="29"/>
      <c r="AA38" s="29"/>
      <c r="AB38" s="29" t="s">
        <v>37</v>
      </c>
      <c r="AC38" s="78">
        <v>12</v>
      </c>
      <c r="AD38" s="29" t="s">
        <v>285</v>
      </c>
      <c r="AE38" s="29">
        <v>25.1</v>
      </c>
      <c r="AF38" s="29">
        <v>76.06</v>
      </c>
    </row>
    <row r="39" spans="1:32" ht="15.75">
      <c r="A39" s="222">
        <v>36</v>
      </c>
      <c r="B39" s="215" t="s">
        <v>33</v>
      </c>
      <c r="C39" s="215" t="s">
        <v>281</v>
      </c>
      <c r="D39" s="215" t="s">
        <v>362</v>
      </c>
      <c r="E39" s="215" t="s">
        <v>368</v>
      </c>
      <c r="F39" s="215" t="s">
        <v>369</v>
      </c>
      <c r="G39" s="215">
        <v>784.88</v>
      </c>
      <c r="H39" s="215">
        <v>145</v>
      </c>
      <c r="I39" s="215">
        <v>817</v>
      </c>
      <c r="J39" s="215">
        <v>415</v>
      </c>
      <c r="K39" s="215">
        <v>402</v>
      </c>
      <c r="L39" s="215">
        <v>137</v>
      </c>
      <c r="M39" s="29">
        <f t="shared" si="0"/>
        <v>16.768665850673194</v>
      </c>
      <c r="N39" s="215">
        <v>43</v>
      </c>
      <c r="O39" s="29">
        <f t="shared" si="1"/>
        <v>5.2631578947368416</v>
      </c>
      <c r="P39" s="215">
        <v>0</v>
      </c>
      <c r="Q39" s="215">
        <v>0</v>
      </c>
      <c r="R39" s="29" t="s">
        <v>37</v>
      </c>
      <c r="S39" s="223" t="s">
        <v>365</v>
      </c>
      <c r="T39" s="29"/>
      <c r="U39" s="78" t="s">
        <v>2707</v>
      </c>
      <c r="V39" s="29"/>
      <c r="W39" s="29"/>
      <c r="X39" s="29"/>
      <c r="Y39" s="29"/>
      <c r="Z39" s="29"/>
      <c r="AA39" s="29"/>
      <c r="AB39" s="29" t="s">
        <v>37</v>
      </c>
      <c r="AC39" s="217">
        <v>0</v>
      </c>
      <c r="AD39" s="29" t="s">
        <v>285</v>
      </c>
      <c r="AE39" s="29"/>
      <c r="AF39" s="29"/>
    </row>
    <row r="40" spans="1:32" ht="15.75">
      <c r="A40" s="222">
        <v>37</v>
      </c>
      <c r="B40" s="215" t="s">
        <v>33</v>
      </c>
      <c r="C40" s="215" t="s">
        <v>281</v>
      </c>
      <c r="D40" s="215" t="s">
        <v>362</v>
      </c>
      <c r="E40" s="215" t="s">
        <v>370</v>
      </c>
      <c r="F40" s="215" t="s">
        <v>371</v>
      </c>
      <c r="G40" s="215">
        <v>614.59</v>
      </c>
      <c r="H40" s="215">
        <v>167</v>
      </c>
      <c r="I40" s="215">
        <v>938</v>
      </c>
      <c r="J40" s="215">
        <v>494</v>
      </c>
      <c r="K40" s="215">
        <v>444</v>
      </c>
      <c r="L40" s="215">
        <v>106</v>
      </c>
      <c r="M40" s="29">
        <f t="shared" si="0"/>
        <v>11.300639658848615</v>
      </c>
      <c r="N40" s="215">
        <v>18</v>
      </c>
      <c r="O40" s="29">
        <f t="shared" si="1"/>
        <v>1.9189765458422177</v>
      </c>
      <c r="P40" s="215">
        <v>31.07</v>
      </c>
      <c r="Q40" s="215">
        <v>0</v>
      </c>
      <c r="R40" s="29" t="s">
        <v>37</v>
      </c>
      <c r="S40" s="223" t="s">
        <v>365</v>
      </c>
      <c r="T40" s="29"/>
      <c r="U40" s="78">
        <v>4.8899999999999997</v>
      </c>
      <c r="V40" s="29"/>
      <c r="W40" s="29"/>
      <c r="X40" s="29"/>
      <c r="Y40" s="29"/>
      <c r="Z40" s="29"/>
      <c r="AA40" s="29"/>
      <c r="AB40" s="29"/>
      <c r="AC40" s="217"/>
      <c r="AD40" s="29"/>
      <c r="AE40" s="29"/>
      <c r="AF40" s="29"/>
    </row>
    <row r="41" spans="1:32" ht="15.75">
      <c r="A41" s="222">
        <v>38</v>
      </c>
      <c r="B41" s="215" t="s">
        <v>33</v>
      </c>
      <c r="C41" s="215" t="s">
        <v>281</v>
      </c>
      <c r="D41" s="215" t="s">
        <v>372</v>
      </c>
      <c r="E41" s="216" t="s">
        <v>373</v>
      </c>
      <c r="F41" s="215" t="s">
        <v>374</v>
      </c>
      <c r="G41" s="215">
        <v>594.84</v>
      </c>
      <c r="H41" s="215">
        <v>229</v>
      </c>
      <c r="I41" s="215">
        <v>1226</v>
      </c>
      <c r="J41" s="215">
        <v>643</v>
      </c>
      <c r="K41" s="215">
        <v>583</v>
      </c>
      <c r="L41" s="215">
        <v>293</v>
      </c>
      <c r="M41" s="29">
        <f t="shared" si="0"/>
        <v>23.898858075040781</v>
      </c>
      <c r="N41" s="215">
        <v>456</v>
      </c>
      <c r="O41" s="29">
        <f t="shared" si="1"/>
        <v>37.19412724306688</v>
      </c>
      <c r="P41" s="215">
        <v>32.26</v>
      </c>
      <c r="Q41" s="215">
        <v>0</v>
      </c>
      <c r="R41" s="29" t="s">
        <v>37</v>
      </c>
      <c r="S41" s="223" t="s">
        <v>365</v>
      </c>
      <c r="T41" s="29"/>
      <c r="U41" s="217">
        <v>32.659999999999997</v>
      </c>
      <c r="V41" s="29"/>
      <c r="W41" s="29"/>
      <c r="X41" s="29"/>
      <c r="Y41" s="29"/>
      <c r="Z41" s="29"/>
      <c r="AA41" s="29"/>
      <c r="AB41" s="29" t="s">
        <v>37</v>
      </c>
      <c r="AC41" s="217">
        <v>13</v>
      </c>
      <c r="AD41" s="29"/>
      <c r="AE41" s="29"/>
      <c r="AF41" s="29"/>
    </row>
    <row r="42" spans="1:32" ht="15.75">
      <c r="A42" s="222">
        <v>39</v>
      </c>
      <c r="B42" s="215" t="s">
        <v>33</v>
      </c>
      <c r="C42" s="215" t="s">
        <v>281</v>
      </c>
      <c r="D42" s="215" t="s">
        <v>372</v>
      </c>
      <c r="E42" s="215" t="s">
        <v>375</v>
      </c>
      <c r="F42" s="215" t="s">
        <v>376</v>
      </c>
      <c r="G42" s="215">
        <v>822.15</v>
      </c>
      <c r="H42" s="215">
        <v>234</v>
      </c>
      <c r="I42" s="215">
        <v>1241</v>
      </c>
      <c r="J42" s="215">
        <v>647</v>
      </c>
      <c r="K42" s="215">
        <v>594</v>
      </c>
      <c r="L42" s="215">
        <v>324</v>
      </c>
      <c r="M42" s="29">
        <f t="shared" si="0"/>
        <v>26.10797743755036</v>
      </c>
      <c r="N42" s="215">
        <v>253</v>
      </c>
      <c r="O42" s="29">
        <f t="shared" si="1"/>
        <v>20.386784850926674</v>
      </c>
      <c r="P42" s="215">
        <v>29.57</v>
      </c>
      <c r="Q42" s="215">
        <v>0</v>
      </c>
      <c r="R42" s="29" t="s">
        <v>37</v>
      </c>
      <c r="S42" s="223" t="s">
        <v>365</v>
      </c>
      <c r="T42" s="29"/>
      <c r="U42" s="217">
        <v>24.57</v>
      </c>
      <c r="V42" s="29"/>
      <c r="W42" s="29"/>
      <c r="X42" s="29"/>
      <c r="Y42" s="29"/>
      <c r="Z42" s="29"/>
      <c r="AA42" s="29"/>
      <c r="AB42" s="29" t="s">
        <v>37</v>
      </c>
      <c r="AC42" s="217">
        <v>16</v>
      </c>
      <c r="AD42" s="29" t="s">
        <v>285</v>
      </c>
      <c r="AE42" s="29"/>
      <c r="AF42" s="29"/>
    </row>
    <row r="43" spans="1:32" ht="15.75">
      <c r="A43" s="222">
        <v>40</v>
      </c>
      <c r="B43" s="215" t="s">
        <v>33</v>
      </c>
      <c r="C43" s="215" t="s">
        <v>281</v>
      </c>
      <c r="D43" s="215" t="s">
        <v>372</v>
      </c>
      <c r="E43" s="215" t="s">
        <v>377</v>
      </c>
      <c r="F43" s="215" t="s">
        <v>378</v>
      </c>
      <c r="G43" s="215">
        <v>662.38</v>
      </c>
      <c r="H43" s="215">
        <v>201</v>
      </c>
      <c r="I43" s="215">
        <v>1041</v>
      </c>
      <c r="J43" s="215">
        <v>542</v>
      </c>
      <c r="K43" s="215">
        <v>499</v>
      </c>
      <c r="L43" s="215">
        <v>341</v>
      </c>
      <c r="M43" s="29">
        <f t="shared" si="0"/>
        <v>32.756964457252643</v>
      </c>
      <c r="N43" s="215">
        <v>475</v>
      </c>
      <c r="O43" s="29">
        <f t="shared" si="1"/>
        <v>45.629202689721424</v>
      </c>
      <c r="P43" s="215">
        <v>16.27</v>
      </c>
      <c r="Q43" s="215">
        <v>0</v>
      </c>
      <c r="R43" s="29" t="s">
        <v>37</v>
      </c>
      <c r="S43" s="224">
        <v>45196</v>
      </c>
      <c r="T43" s="29"/>
      <c r="U43" s="217">
        <v>16.27</v>
      </c>
      <c r="V43" s="29"/>
      <c r="W43" s="29"/>
      <c r="X43" s="29"/>
      <c r="Y43" s="29"/>
      <c r="Z43" s="29"/>
      <c r="AA43" s="29"/>
      <c r="AB43" s="29" t="s">
        <v>37</v>
      </c>
      <c r="AC43" s="217">
        <v>12</v>
      </c>
      <c r="AD43" s="29" t="s">
        <v>285</v>
      </c>
      <c r="AE43" s="29">
        <v>25.15</v>
      </c>
      <c r="AF43" s="29">
        <v>76.3</v>
      </c>
    </row>
    <row r="44" spans="1:32" ht="15.75">
      <c r="A44" s="222">
        <v>41</v>
      </c>
      <c r="B44" s="215" t="s">
        <v>33</v>
      </c>
      <c r="C44" s="215" t="s">
        <v>281</v>
      </c>
      <c r="D44" s="215" t="s">
        <v>379</v>
      </c>
      <c r="E44" s="216" t="s">
        <v>380</v>
      </c>
      <c r="F44" s="215" t="s">
        <v>381</v>
      </c>
      <c r="G44" s="215">
        <v>501.86</v>
      </c>
      <c r="H44" s="215">
        <v>258</v>
      </c>
      <c r="I44" s="215">
        <v>1407</v>
      </c>
      <c r="J44" s="215">
        <v>737</v>
      </c>
      <c r="K44" s="215">
        <v>670</v>
      </c>
      <c r="L44" s="215">
        <v>336</v>
      </c>
      <c r="M44" s="29">
        <f t="shared" si="0"/>
        <v>23.880597014925371</v>
      </c>
      <c r="N44" s="215">
        <v>85</v>
      </c>
      <c r="O44" s="29">
        <f t="shared" si="1"/>
        <v>6.0412224591329071</v>
      </c>
      <c r="P44" s="215">
        <v>0</v>
      </c>
      <c r="Q44" s="215">
        <v>49.14</v>
      </c>
      <c r="R44" s="29" t="s">
        <v>37</v>
      </c>
      <c r="S44" s="224">
        <v>44967</v>
      </c>
      <c r="T44" s="29"/>
      <c r="U44" s="217">
        <v>3.87</v>
      </c>
      <c r="V44" s="29" t="s">
        <v>37</v>
      </c>
      <c r="W44" s="29"/>
      <c r="X44" s="29"/>
      <c r="Y44" s="29"/>
      <c r="Z44" s="29"/>
      <c r="AA44" s="29"/>
      <c r="AB44" s="29" t="s">
        <v>37</v>
      </c>
      <c r="AC44" s="217">
        <v>12</v>
      </c>
      <c r="AD44" s="29" t="s">
        <v>285</v>
      </c>
      <c r="AE44" s="29"/>
      <c r="AF44" s="29"/>
    </row>
    <row r="45" spans="1:32" ht="15.75">
      <c r="A45" s="222">
        <v>42</v>
      </c>
      <c r="B45" s="215" t="s">
        <v>33</v>
      </c>
      <c r="C45" s="215" t="s">
        <v>281</v>
      </c>
      <c r="D45" s="215" t="s">
        <v>379</v>
      </c>
      <c r="E45" s="215" t="s">
        <v>180</v>
      </c>
      <c r="F45" s="215" t="s">
        <v>382</v>
      </c>
      <c r="G45" s="215">
        <v>313</v>
      </c>
      <c r="H45" s="215">
        <v>107</v>
      </c>
      <c r="I45" s="215">
        <v>521</v>
      </c>
      <c r="J45" s="215">
        <v>265</v>
      </c>
      <c r="K45" s="215">
        <v>256</v>
      </c>
      <c r="L45" s="215">
        <v>190</v>
      </c>
      <c r="M45" s="29">
        <f t="shared" si="0"/>
        <v>36.468330134357011</v>
      </c>
      <c r="N45" s="215">
        <v>0</v>
      </c>
      <c r="O45" s="29">
        <f t="shared" si="1"/>
        <v>0</v>
      </c>
      <c r="P45" s="215">
        <v>20</v>
      </c>
      <c r="Q45" s="215">
        <v>0</v>
      </c>
      <c r="R45" s="29" t="s">
        <v>37</v>
      </c>
      <c r="S45" s="224">
        <v>44967</v>
      </c>
      <c r="T45" s="29"/>
      <c r="U45" s="217">
        <v>22.46</v>
      </c>
      <c r="V45" s="29" t="s">
        <v>37</v>
      </c>
      <c r="W45" s="29"/>
      <c r="X45" s="29"/>
      <c r="Y45" s="29"/>
      <c r="Z45" s="29"/>
      <c r="AA45" s="29"/>
      <c r="AB45" s="29" t="s">
        <v>37</v>
      </c>
      <c r="AC45" s="217">
        <v>14</v>
      </c>
      <c r="AD45" s="29" t="s">
        <v>285</v>
      </c>
      <c r="AE45" s="29"/>
      <c r="AF45" s="29"/>
    </row>
    <row r="46" spans="1:32" ht="15.75">
      <c r="A46" s="222">
        <v>43</v>
      </c>
      <c r="B46" s="215" t="s">
        <v>33</v>
      </c>
      <c r="C46" s="215" t="s">
        <v>281</v>
      </c>
      <c r="D46" s="215" t="s">
        <v>379</v>
      </c>
      <c r="E46" s="215" t="s">
        <v>383</v>
      </c>
      <c r="F46" s="215" t="s">
        <v>384</v>
      </c>
      <c r="G46" s="215">
        <v>528.25</v>
      </c>
      <c r="H46" s="215">
        <v>173</v>
      </c>
      <c r="I46" s="215">
        <v>817</v>
      </c>
      <c r="J46" s="215">
        <v>406</v>
      </c>
      <c r="K46" s="215">
        <v>411</v>
      </c>
      <c r="L46" s="215">
        <v>164</v>
      </c>
      <c r="M46" s="29">
        <f t="shared" si="0"/>
        <v>20.073439412484699</v>
      </c>
      <c r="N46" s="215">
        <v>17</v>
      </c>
      <c r="O46" s="29">
        <f t="shared" si="1"/>
        <v>2.0807833537331701</v>
      </c>
      <c r="P46" s="215">
        <v>32.18</v>
      </c>
      <c r="Q46" s="215">
        <v>0</v>
      </c>
      <c r="R46" s="29" t="s">
        <v>37</v>
      </c>
      <c r="S46" s="224">
        <v>44967</v>
      </c>
      <c r="T46" s="29"/>
      <c r="U46" s="217" t="s">
        <v>2709</v>
      </c>
      <c r="V46" s="29" t="s">
        <v>37</v>
      </c>
      <c r="W46" s="29"/>
      <c r="X46" s="29"/>
      <c r="Y46" s="29"/>
      <c r="Z46" s="29"/>
      <c r="AA46" s="29"/>
      <c r="AB46" s="29" t="s">
        <v>37</v>
      </c>
      <c r="AC46" s="230">
        <v>14</v>
      </c>
      <c r="AD46" s="29" t="s">
        <v>285</v>
      </c>
      <c r="AE46" s="29"/>
      <c r="AF46" s="29"/>
    </row>
    <row r="47" spans="1:32" ht="15.75">
      <c r="A47" s="222">
        <v>44</v>
      </c>
      <c r="B47" s="215" t="s">
        <v>33</v>
      </c>
      <c r="C47" s="215" t="s">
        <v>281</v>
      </c>
      <c r="D47" s="215" t="s">
        <v>379</v>
      </c>
      <c r="E47" s="215" t="s">
        <v>385</v>
      </c>
      <c r="F47" s="215" t="s">
        <v>386</v>
      </c>
      <c r="G47" s="215">
        <v>584.69000000000005</v>
      </c>
      <c r="H47" s="215">
        <v>164</v>
      </c>
      <c r="I47" s="215">
        <v>891</v>
      </c>
      <c r="J47" s="215">
        <v>474</v>
      </c>
      <c r="K47" s="215">
        <v>417</v>
      </c>
      <c r="L47" s="215">
        <v>75</v>
      </c>
      <c r="M47" s="29">
        <f t="shared" si="0"/>
        <v>8.4175084175084187</v>
      </c>
      <c r="N47" s="215">
        <v>415</v>
      </c>
      <c r="O47" s="29">
        <f t="shared" si="1"/>
        <v>46.576879910213243</v>
      </c>
      <c r="P47" s="215">
        <v>27.36</v>
      </c>
      <c r="Q47" s="215">
        <v>0</v>
      </c>
      <c r="R47" s="29" t="s">
        <v>37</v>
      </c>
      <c r="S47" s="224">
        <v>44967</v>
      </c>
      <c r="T47" s="29"/>
      <c r="U47" s="230" t="s">
        <v>2709</v>
      </c>
      <c r="V47" s="29" t="s">
        <v>37</v>
      </c>
      <c r="W47" s="29"/>
      <c r="X47" s="29"/>
      <c r="Y47" s="29"/>
      <c r="Z47" s="29"/>
      <c r="AA47" s="29"/>
      <c r="AB47" s="29" t="s">
        <v>37</v>
      </c>
      <c r="AC47" s="217">
        <v>18</v>
      </c>
      <c r="AD47" s="29" t="s">
        <v>285</v>
      </c>
      <c r="AE47" s="29"/>
      <c r="AF47" s="29"/>
    </row>
    <row r="48" spans="1:32" ht="15.75">
      <c r="A48" s="222">
        <v>45</v>
      </c>
      <c r="B48" s="215" t="s">
        <v>33</v>
      </c>
      <c r="C48" s="215" t="s">
        <v>281</v>
      </c>
      <c r="D48" s="215" t="s">
        <v>387</v>
      </c>
      <c r="E48" s="216" t="s">
        <v>388</v>
      </c>
      <c r="F48" s="215" t="s">
        <v>389</v>
      </c>
      <c r="G48" s="215">
        <v>893.26</v>
      </c>
      <c r="H48" s="215">
        <v>406</v>
      </c>
      <c r="I48" s="215">
        <v>1991</v>
      </c>
      <c r="J48" s="215">
        <v>1032</v>
      </c>
      <c r="K48" s="215">
        <v>959</v>
      </c>
      <c r="L48" s="215">
        <v>701</v>
      </c>
      <c r="M48" s="29">
        <f t="shared" si="0"/>
        <v>35.208437970868914</v>
      </c>
      <c r="N48" s="215">
        <v>9</v>
      </c>
      <c r="O48" s="29">
        <f t="shared" si="1"/>
        <v>0.45203415369161226</v>
      </c>
      <c r="P48" s="215">
        <v>60.25</v>
      </c>
      <c r="Q48" s="215">
        <v>0</v>
      </c>
      <c r="R48" s="29"/>
      <c r="S48" s="224"/>
      <c r="T48" s="29"/>
      <c r="U48" s="230">
        <v>60.25</v>
      </c>
      <c r="V48" s="29"/>
      <c r="W48" s="29"/>
      <c r="X48" s="29"/>
      <c r="Y48" s="29"/>
      <c r="Z48" s="29"/>
      <c r="AA48" s="29"/>
      <c r="AB48" s="29" t="s">
        <v>37</v>
      </c>
      <c r="AC48" s="217"/>
      <c r="AD48" s="29" t="s">
        <v>48</v>
      </c>
      <c r="AE48" s="29">
        <v>24.9694</v>
      </c>
      <c r="AF48" s="29">
        <v>76.444199999999995</v>
      </c>
    </row>
    <row r="49" spans="1:32" ht="15.75">
      <c r="A49" s="226">
        <v>46</v>
      </c>
      <c r="B49" s="215" t="s">
        <v>33</v>
      </c>
      <c r="C49" s="215" t="s">
        <v>281</v>
      </c>
      <c r="D49" s="215" t="s">
        <v>387</v>
      </c>
      <c r="E49" s="215" t="s">
        <v>187</v>
      </c>
      <c r="F49" s="215" t="s">
        <v>390</v>
      </c>
      <c r="G49" s="215">
        <v>156</v>
      </c>
      <c r="H49" s="215">
        <v>60</v>
      </c>
      <c r="I49" s="215">
        <v>309</v>
      </c>
      <c r="J49" s="215">
        <v>162</v>
      </c>
      <c r="K49" s="215">
        <v>147</v>
      </c>
      <c r="L49" s="215">
        <v>81</v>
      </c>
      <c r="M49" s="29">
        <f t="shared" si="0"/>
        <v>26.21359223300971</v>
      </c>
      <c r="N49" s="215">
        <v>223</v>
      </c>
      <c r="O49" s="29">
        <f t="shared" si="1"/>
        <v>72.168284789644005</v>
      </c>
      <c r="P49" s="215">
        <v>19</v>
      </c>
      <c r="Q49" s="215">
        <v>0</v>
      </c>
      <c r="R49" s="29"/>
      <c r="S49" s="224"/>
      <c r="T49" s="29"/>
      <c r="U49" s="217">
        <v>21.49</v>
      </c>
      <c r="V49" s="29"/>
      <c r="W49" s="29"/>
      <c r="X49" s="29"/>
      <c r="Y49" s="29"/>
      <c r="Z49" s="29"/>
      <c r="AA49" s="29"/>
      <c r="AB49" s="29" t="s">
        <v>37</v>
      </c>
      <c r="AC49" s="217">
        <v>17</v>
      </c>
      <c r="AD49" s="29" t="s">
        <v>285</v>
      </c>
      <c r="AE49" s="29"/>
      <c r="AF49" s="29"/>
    </row>
    <row r="50" spans="1:32" ht="15.75">
      <c r="A50" s="222">
        <v>47</v>
      </c>
      <c r="B50" s="215" t="s">
        <v>33</v>
      </c>
      <c r="C50" s="215" t="s">
        <v>281</v>
      </c>
      <c r="D50" s="215" t="s">
        <v>387</v>
      </c>
      <c r="E50" s="215" t="s">
        <v>391</v>
      </c>
      <c r="F50" s="215" t="s">
        <v>392</v>
      </c>
      <c r="G50" s="215">
        <v>378</v>
      </c>
      <c r="H50" s="215">
        <v>84</v>
      </c>
      <c r="I50" s="215">
        <v>390</v>
      </c>
      <c r="J50" s="215">
        <v>204</v>
      </c>
      <c r="K50" s="215">
        <v>186</v>
      </c>
      <c r="L50" s="215">
        <v>86</v>
      </c>
      <c r="M50" s="29">
        <f t="shared" si="0"/>
        <v>22.051282051282051</v>
      </c>
      <c r="N50" s="215">
        <v>0</v>
      </c>
      <c r="O50" s="29">
        <f t="shared" si="1"/>
        <v>0</v>
      </c>
      <c r="P50" s="215">
        <v>14</v>
      </c>
      <c r="Q50" s="215">
        <v>0</v>
      </c>
      <c r="R50" s="29"/>
      <c r="S50" s="224"/>
      <c r="T50" s="29"/>
      <c r="U50" s="230"/>
      <c r="V50" s="29"/>
      <c r="W50" s="29"/>
      <c r="X50" s="29"/>
      <c r="Y50" s="29"/>
      <c r="Z50" s="29"/>
      <c r="AA50" s="29"/>
      <c r="AB50" s="29" t="s">
        <v>37</v>
      </c>
      <c r="AC50" s="217"/>
      <c r="AD50" s="29" t="s">
        <v>326</v>
      </c>
      <c r="AE50" s="218">
        <v>24.7</v>
      </c>
      <c r="AF50" s="218">
        <v>76.599999999999994</v>
      </c>
    </row>
    <row r="51" spans="1:32" ht="15.75">
      <c r="A51" s="231">
        <v>48</v>
      </c>
      <c r="B51" s="215" t="s">
        <v>33</v>
      </c>
      <c r="C51" s="215" t="s">
        <v>281</v>
      </c>
      <c r="D51" s="215" t="s">
        <v>387</v>
      </c>
      <c r="E51" s="215" t="s">
        <v>393</v>
      </c>
      <c r="F51" s="215" t="s">
        <v>394</v>
      </c>
      <c r="G51" s="215">
        <v>442</v>
      </c>
      <c r="H51" s="215">
        <v>101</v>
      </c>
      <c r="I51" s="215">
        <v>587</v>
      </c>
      <c r="J51" s="215">
        <v>320</v>
      </c>
      <c r="K51" s="215">
        <v>267</v>
      </c>
      <c r="L51" s="215">
        <v>122</v>
      </c>
      <c r="M51" s="29">
        <f t="shared" si="0"/>
        <v>20.783645655877343</v>
      </c>
      <c r="N51" s="215">
        <v>389</v>
      </c>
      <c r="O51" s="29">
        <f t="shared" si="1"/>
        <v>66.269165247018734</v>
      </c>
      <c r="P51" s="215">
        <v>22</v>
      </c>
      <c r="Q51" s="215">
        <v>0</v>
      </c>
      <c r="R51" s="29"/>
      <c r="S51" s="224"/>
      <c r="T51" s="29"/>
      <c r="U51" s="217"/>
      <c r="V51" s="29"/>
      <c r="W51" s="29"/>
      <c r="X51" s="29"/>
      <c r="Y51" s="29"/>
      <c r="Z51" s="29"/>
      <c r="AA51" s="29"/>
      <c r="AB51" s="29" t="s">
        <v>37</v>
      </c>
      <c r="AC51" s="217">
        <v>24</v>
      </c>
      <c r="AD51" s="29" t="s">
        <v>285</v>
      </c>
      <c r="AE51" s="29"/>
      <c r="AF51" s="29"/>
    </row>
    <row r="52" spans="1:32" ht="15.75">
      <c r="A52" s="228">
        <v>49</v>
      </c>
      <c r="B52" s="215" t="s">
        <v>33</v>
      </c>
      <c r="C52" s="215" t="s">
        <v>281</v>
      </c>
      <c r="D52" s="215" t="s">
        <v>395</v>
      </c>
      <c r="E52" s="216" t="s">
        <v>396</v>
      </c>
      <c r="F52" s="215" t="s">
        <v>397</v>
      </c>
      <c r="G52" s="215">
        <v>1458.23</v>
      </c>
      <c r="H52" s="215">
        <v>372</v>
      </c>
      <c r="I52" s="215">
        <v>1853</v>
      </c>
      <c r="J52" s="215">
        <v>947</v>
      </c>
      <c r="K52" s="215">
        <v>906</v>
      </c>
      <c r="L52" s="215">
        <v>65</v>
      </c>
      <c r="M52" s="29">
        <f t="shared" si="0"/>
        <v>3.5078251484079872</v>
      </c>
      <c r="N52" s="215">
        <v>28</v>
      </c>
      <c r="O52" s="29">
        <f t="shared" si="1"/>
        <v>1.5110631408526713</v>
      </c>
      <c r="P52" s="215">
        <v>27.1</v>
      </c>
      <c r="Q52" s="215">
        <v>0</v>
      </c>
      <c r="R52" s="29" t="s">
        <v>37</v>
      </c>
      <c r="S52" s="224">
        <v>44967</v>
      </c>
      <c r="T52" s="29"/>
      <c r="U52" s="217">
        <v>34.26</v>
      </c>
      <c r="V52" s="29"/>
      <c r="W52" s="29"/>
      <c r="X52" s="29"/>
      <c r="Y52" s="29"/>
      <c r="Z52" s="29"/>
      <c r="AA52" s="29"/>
      <c r="AB52" s="29" t="s">
        <v>37</v>
      </c>
      <c r="AC52" s="217">
        <v>13</v>
      </c>
      <c r="AD52" s="29"/>
      <c r="AE52" s="29"/>
      <c r="AF52" s="29"/>
    </row>
    <row r="53" spans="1:32" ht="15.75">
      <c r="A53" s="222">
        <v>50</v>
      </c>
      <c r="B53" s="215" t="s">
        <v>33</v>
      </c>
      <c r="C53" s="215" t="s">
        <v>281</v>
      </c>
      <c r="D53" s="215" t="s">
        <v>395</v>
      </c>
      <c r="E53" s="215" t="s">
        <v>398</v>
      </c>
      <c r="F53" s="215" t="s">
        <v>399</v>
      </c>
      <c r="G53" s="215">
        <v>257.73</v>
      </c>
      <c r="H53" s="215">
        <v>136</v>
      </c>
      <c r="I53" s="215">
        <v>750</v>
      </c>
      <c r="J53" s="215">
        <v>399</v>
      </c>
      <c r="K53" s="215">
        <v>351</v>
      </c>
      <c r="L53" s="215">
        <v>153</v>
      </c>
      <c r="M53" s="29">
        <f t="shared" si="0"/>
        <v>20.399999999999999</v>
      </c>
      <c r="N53" s="215">
        <v>19</v>
      </c>
      <c r="O53" s="29">
        <f t="shared" si="1"/>
        <v>2.5333333333333332</v>
      </c>
      <c r="P53" s="215">
        <v>0</v>
      </c>
      <c r="Q53" s="215">
        <v>0</v>
      </c>
      <c r="R53" s="29" t="s">
        <v>37</v>
      </c>
      <c r="S53" s="224">
        <v>44967</v>
      </c>
      <c r="T53" s="29"/>
      <c r="U53" s="217">
        <v>21.49</v>
      </c>
      <c r="V53" s="29"/>
      <c r="W53" s="29"/>
      <c r="X53" s="29"/>
      <c r="Y53" s="29"/>
      <c r="Z53" s="29"/>
      <c r="AA53" s="29"/>
      <c r="AB53" s="29" t="s">
        <v>37</v>
      </c>
      <c r="AC53" s="217">
        <v>8</v>
      </c>
      <c r="AD53" s="29" t="s">
        <v>400</v>
      </c>
      <c r="AE53" s="218">
        <v>25.0185</v>
      </c>
      <c r="AF53" s="218">
        <v>76.344099999999997</v>
      </c>
    </row>
    <row r="54" spans="1:32" ht="15.75">
      <c r="A54" s="232">
        <v>51</v>
      </c>
      <c r="B54" s="215" t="s">
        <v>33</v>
      </c>
      <c r="C54" s="215" t="s">
        <v>281</v>
      </c>
      <c r="D54" s="215" t="s">
        <v>401</v>
      </c>
      <c r="E54" s="216" t="s">
        <v>402</v>
      </c>
      <c r="F54" s="215" t="s">
        <v>403</v>
      </c>
      <c r="G54" s="215">
        <v>816</v>
      </c>
      <c r="H54" s="215">
        <v>150</v>
      </c>
      <c r="I54" s="215">
        <v>828</v>
      </c>
      <c r="J54" s="215">
        <v>419</v>
      </c>
      <c r="K54" s="215">
        <v>409</v>
      </c>
      <c r="L54" s="215">
        <v>148</v>
      </c>
      <c r="M54" s="29">
        <f t="shared" si="0"/>
        <v>17.874396135265698</v>
      </c>
      <c r="N54" s="215">
        <v>81</v>
      </c>
      <c r="O54" s="29">
        <f t="shared" si="1"/>
        <v>9.7826086956521738</v>
      </c>
      <c r="P54" s="215">
        <v>42</v>
      </c>
      <c r="Q54" s="215">
        <v>181</v>
      </c>
      <c r="R54" s="29" t="s">
        <v>37</v>
      </c>
      <c r="S54" s="224">
        <v>44967</v>
      </c>
      <c r="T54" s="29"/>
      <c r="U54" s="217">
        <v>56.93</v>
      </c>
      <c r="V54" s="29"/>
      <c r="W54" s="29"/>
      <c r="X54" s="29"/>
      <c r="Y54" s="29"/>
      <c r="Z54" s="29"/>
      <c r="AA54" s="29"/>
      <c r="AB54" s="29" t="s">
        <v>37</v>
      </c>
      <c r="AC54" s="217">
        <v>14</v>
      </c>
      <c r="AD54" s="29" t="s">
        <v>400</v>
      </c>
      <c r="AE54" s="218">
        <v>25.110499999999998</v>
      </c>
      <c r="AF54" s="218">
        <v>76.345500000000001</v>
      </c>
    </row>
    <row r="55" spans="1:32" ht="15.75">
      <c r="A55" s="233">
        <v>52</v>
      </c>
      <c r="B55" s="215" t="s">
        <v>33</v>
      </c>
      <c r="C55" s="215" t="s">
        <v>281</v>
      </c>
      <c r="D55" s="215" t="s">
        <v>401</v>
      </c>
      <c r="E55" s="215" t="s">
        <v>404</v>
      </c>
      <c r="F55" s="215" t="s">
        <v>405</v>
      </c>
      <c r="G55" s="215">
        <v>137</v>
      </c>
      <c r="H55" s="215">
        <v>0</v>
      </c>
      <c r="I55" s="215">
        <v>0</v>
      </c>
      <c r="J55" s="215">
        <v>0</v>
      </c>
      <c r="K55" s="215">
        <v>0</v>
      </c>
      <c r="L55" s="215">
        <v>0</v>
      </c>
      <c r="M55" s="29"/>
      <c r="N55" s="215"/>
      <c r="O55" s="29"/>
      <c r="P55" s="215"/>
      <c r="Q55" s="215"/>
      <c r="R55" s="29"/>
      <c r="S55" s="224"/>
      <c r="T55" s="29"/>
      <c r="U55" s="217"/>
      <c r="V55" s="29"/>
      <c r="W55" s="29"/>
      <c r="X55" s="29"/>
      <c r="Y55" s="29"/>
      <c r="Z55" s="29"/>
      <c r="AA55" s="29"/>
      <c r="AB55" s="29" t="s">
        <v>37</v>
      </c>
      <c r="AC55" s="217">
        <v>11</v>
      </c>
      <c r="AD55" s="29"/>
      <c r="AE55" s="29"/>
      <c r="AF55" s="29"/>
    </row>
    <row r="56" spans="1:32" ht="15.75">
      <c r="A56" s="222">
        <v>53</v>
      </c>
      <c r="B56" s="215" t="s">
        <v>333</v>
      </c>
      <c r="C56" s="215" t="s">
        <v>281</v>
      </c>
      <c r="D56" s="215" t="s">
        <v>395</v>
      </c>
      <c r="E56" s="215" t="s">
        <v>406</v>
      </c>
      <c r="F56" s="215"/>
      <c r="G56" s="215"/>
      <c r="H56" s="215"/>
      <c r="I56" s="215"/>
      <c r="J56" s="215"/>
      <c r="K56" s="215"/>
      <c r="L56" s="215"/>
      <c r="M56" s="29"/>
      <c r="N56" s="215"/>
      <c r="O56" s="29"/>
      <c r="P56" s="215"/>
      <c r="Q56" s="215"/>
      <c r="R56" s="29"/>
      <c r="S56" s="224"/>
      <c r="T56" s="29"/>
      <c r="U56" s="217"/>
      <c r="V56" s="29"/>
      <c r="W56" s="29"/>
      <c r="X56" s="29"/>
      <c r="Y56" s="29"/>
      <c r="Z56" s="29"/>
      <c r="AA56" s="29"/>
      <c r="AB56" s="29" t="s">
        <v>37</v>
      </c>
      <c r="AC56" s="217">
        <v>10</v>
      </c>
      <c r="AD56" s="29"/>
      <c r="AE56" s="29"/>
      <c r="AF56" s="29"/>
    </row>
    <row r="57" spans="1:32" ht="15.75">
      <c r="A57" s="228">
        <v>54</v>
      </c>
      <c r="B57" s="215" t="s">
        <v>33</v>
      </c>
      <c r="C57" s="215" t="s">
        <v>281</v>
      </c>
      <c r="D57" s="217" t="s">
        <v>402</v>
      </c>
      <c r="E57" s="216" t="s">
        <v>402</v>
      </c>
      <c r="F57" s="215" t="s">
        <v>403</v>
      </c>
      <c r="G57" s="215">
        <v>816</v>
      </c>
      <c r="H57" s="215">
        <v>150</v>
      </c>
      <c r="I57" s="215">
        <v>828</v>
      </c>
      <c r="J57" s="215">
        <v>419</v>
      </c>
      <c r="K57" s="215">
        <v>409</v>
      </c>
      <c r="L57" s="215">
        <v>148</v>
      </c>
      <c r="M57" s="29">
        <f t="shared" si="0"/>
        <v>17.874396135265698</v>
      </c>
      <c r="N57" s="215">
        <v>0</v>
      </c>
      <c r="O57" s="29">
        <f t="shared" si="1"/>
        <v>0</v>
      </c>
      <c r="P57" s="215">
        <v>0</v>
      </c>
      <c r="Q57" s="215">
        <v>0</v>
      </c>
      <c r="R57" s="29" t="s">
        <v>37</v>
      </c>
      <c r="S57" s="224">
        <v>44967</v>
      </c>
      <c r="T57" s="29"/>
      <c r="U57" s="217">
        <v>43.94</v>
      </c>
      <c r="V57" s="29"/>
      <c r="W57" s="29"/>
      <c r="X57" s="29"/>
      <c r="Y57" s="29"/>
      <c r="Z57" s="29"/>
      <c r="AA57" s="29"/>
      <c r="AB57" s="29" t="s">
        <v>37</v>
      </c>
      <c r="AC57" s="217">
        <v>17</v>
      </c>
      <c r="AD57" s="29" t="s">
        <v>326</v>
      </c>
      <c r="AE57" s="218">
        <v>24.945900000000002</v>
      </c>
      <c r="AF57" s="218">
        <v>76.378399999999999</v>
      </c>
    </row>
    <row r="58" spans="1:32" ht="15.75">
      <c r="A58" s="226">
        <v>55</v>
      </c>
      <c r="B58" s="215" t="s">
        <v>33</v>
      </c>
      <c r="C58" s="215" t="s">
        <v>281</v>
      </c>
      <c r="D58" s="217" t="s">
        <v>407</v>
      </c>
      <c r="E58" s="215" t="s">
        <v>404</v>
      </c>
      <c r="F58" s="215" t="s">
        <v>405</v>
      </c>
      <c r="G58" s="215">
        <v>137</v>
      </c>
      <c r="H58" s="215">
        <v>0</v>
      </c>
      <c r="I58" s="215">
        <v>0</v>
      </c>
      <c r="J58" s="215">
        <v>0</v>
      </c>
      <c r="K58" s="215">
        <v>0</v>
      </c>
      <c r="L58" s="215">
        <v>0</v>
      </c>
      <c r="M58" s="29">
        <v>0</v>
      </c>
      <c r="N58" s="215">
        <v>0</v>
      </c>
      <c r="O58" s="29">
        <v>0</v>
      </c>
      <c r="P58" s="215">
        <v>0</v>
      </c>
      <c r="Q58" s="215">
        <v>159</v>
      </c>
      <c r="R58" s="29" t="s">
        <v>37</v>
      </c>
      <c r="S58" s="224">
        <v>44967</v>
      </c>
      <c r="T58" s="29"/>
      <c r="U58" s="217">
        <v>56.93</v>
      </c>
      <c r="V58" s="29"/>
      <c r="W58" s="29"/>
      <c r="X58" s="29"/>
      <c r="Y58" s="29"/>
      <c r="Z58" s="29"/>
      <c r="AA58" s="29"/>
      <c r="AB58" s="29" t="s">
        <v>37</v>
      </c>
      <c r="AC58" s="217">
        <v>7</v>
      </c>
      <c r="AD58" s="29"/>
      <c r="AE58" s="29"/>
      <c r="AF58" s="29"/>
    </row>
    <row r="59" spans="1:32" ht="15.75">
      <c r="A59" s="222">
        <v>56</v>
      </c>
      <c r="B59" s="215" t="s">
        <v>33</v>
      </c>
      <c r="C59" s="215" t="s">
        <v>281</v>
      </c>
      <c r="D59" s="217" t="s">
        <v>402</v>
      </c>
      <c r="E59" s="215" t="s">
        <v>408</v>
      </c>
      <c r="F59" s="215" t="s">
        <v>409</v>
      </c>
      <c r="G59" s="215">
        <v>253</v>
      </c>
      <c r="H59" s="215">
        <v>48</v>
      </c>
      <c r="I59" s="215">
        <v>212</v>
      </c>
      <c r="J59" s="215">
        <v>113</v>
      </c>
      <c r="K59" s="215">
        <v>99</v>
      </c>
      <c r="L59" s="215">
        <v>0</v>
      </c>
      <c r="M59" s="29">
        <f t="shared" si="0"/>
        <v>0</v>
      </c>
      <c r="N59" s="215">
        <v>0</v>
      </c>
      <c r="O59" s="29">
        <f t="shared" si="1"/>
        <v>0</v>
      </c>
      <c r="P59" s="215">
        <v>8</v>
      </c>
      <c r="Q59" s="215">
        <v>165</v>
      </c>
      <c r="R59" s="29"/>
      <c r="S59" s="224"/>
      <c r="T59" s="29"/>
      <c r="U59" s="30"/>
      <c r="V59" s="29"/>
      <c r="W59" s="29"/>
      <c r="X59" s="29"/>
      <c r="Y59" s="29"/>
      <c r="Z59" s="29"/>
      <c r="AA59" s="29"/>
      <c r="AB59" s="29"/>
      <c r="AC59" s="217"/>
      <c r="AD59" s="29"/>
      <c r="AE59" s="29"/>
      <c r="AF59" s="29"/>
    </row>
    <row r="60" spans="1:32" ht="15.75">
      <c r="A60" s="222">
        <v>57</v>
      </c>
      <c r="B60" s="215" t="s">
        <v>33</v>
      </c>
      <c r="C60" s="215" t="s">
        <v>281</v>
      </c>
      <c r="D60" s="217" t="s">
        <v>402</v>
      </c>
      <c r="E60" s="215" t="s">
        <v>410</v>
      </c>
      <c r="F60" s="215" t="s">
        <v>411</v>
      </c>
      <c r="G60" s="215">
        <v>425</v>
      </c>
      <c r="H60" s="215">
        <v>0</v>
      </c>
      <c r="I60" s="215">
        <v>0</v>
      </c>
      <c r="J60" s="215">
        <v>0</v>
      </c>
      <c r="K60" s="215">
        <v>0</v>
      </c>
      <c r="L60" s="215">
        <v>0</v>
      </c>
      <c r="M60" s="29" t="e">
        <f t="shared" si="0"/>
        <v>#DIV/0!</v>
      </c>
      <c r="N60" s="215">
        <v>23</v>
      </c>
      <c r="O60" s="29" t="e">
        <f t="shared" si="1"/>
        <v>#DIV/0!</v>
      </c>
      <c r="P60" s="215">
        <v>57.23</v>
      </c>
      <c r="Q60" s="215">
        <v>0</v>
      </c>
      <c r="R60" s="29" t="s">
        <v>37</v>
      </c>
      <c r="S60" s="224">
        <v>44967</v>
      </c>
      <c r="T60" s="29"/>
      <c r="U60" s="30"/>
      <c r="V60" s="29"/>
      <c r="W60" s="29"/>
      <c r="X60" s="29"/>
      <c r="Y60" s="29"/>
      <c r="Z60" s="29"/>
      <c r="AA60" s="29"/>
      <c r="AB60" s="29" t="s">
        <v>37</v>
      </c>
      <c r="AC60" s="78">
        <v>15</v>
      </c>
      <c r="AD60" s="29" t="s">
        <v>285</v>
      </c>
      <c r="AE60" s="29">
        <v>25.147200000000002</v>
      </c>
      <c r="AF60" s="29">
        <v>76.262500000000003</v>
      </c>
    </row>
    <row r="61" spans="1:32" ht="15.75">
      <c r="A61" s="222">
        <v>58</v>
      </c>
      <c r="B61" s="215" t="s">
        <v>33</v>
      </c>
      <c r="C61" s="215" t="s">
        <v>281</v>
      </c>
      <c r="D61" s="217" t="s">
        <v>402</v>
      </c>
      <c r="E61" s="215" t="s">
        <v>412</v>
      </c>
      <c r="F61" s="215" t="s">
        <v>413</v>
      </c>
      <c r="G61" s="215">
        <v>387</v>
      </c>
      <c r="H61" s="215">
        <v>15</v>
      </c>
      <c r="I61" s="215">
        <v>100</v>
      </c>
      <c r="J61" s="215">
        <v>48</v>
      </c>
      <c r="K61" s="215">
        <v>52</v>
      </c>
      <c r="L61" s="215">
        <v>0</v>
      </c>
      <c r="M61" s="29">
        <f t="shared" si="0"/>
        <v>0</v>
      </c>
      <c r="N61" s="215">
        <v>247</v>
      </c>
      <c r="O61" s="29">
        <f t="shared" si="1"/>
        <v>247.00000000000003</v>
      </c>
      <c r="P61" s="215">
        <v>16</v>
      </c>
      <c r="Q61" s="215">
        <v>93</v>
      </c>
      <c r="R61" s="29" t="s">
        <v>37</v>
      </c>
      <c r="S61" s="224">
        <v>44967</v>
      </c>
      <c r="T61" s="29"/>
      <c r="U61" s="217">
        <v>28.43</v>
      </c>
      <c r="V61" s="29"/>
      <c r="W61" s="29"/>
      <c r="X61" s="29"/>
      <c r="Y61" s="29"/>
      <c r="Z61" s="29"/>
      <c r="AA61" s="29"/>
      <c r="AB61" s="29"/>
      <c r="AC61" s="78"/>
      <c r="AD61" s="29"/>
      <c r="AE61" s="29"/>
      <c r="AF61" s="29"/>
    </row>
    <row r="62" spans="1:32" ht="15.75">
      <c r="A62" s="222">
        <v>59</v>
      </c>
      <c r="B62" s="215" t="s">
        <v>33</v>
      </c>
      <c r="C62" s="215" t="s">
        <v>281</v>
      </c>
      <c r="D62" s="217" t="s">
        <v>402</v>
      </c>
      <c r="E62" s="215" t="s">
        <v>407</v>
      </c>
      <c r="F62" s="215" t="s">
        <v>414</v>
      </c>
      <c r="G62" s="215">
        <v>148.19</v>
      </c>
      <c r="H62" s="215">
        <v>204</v>
      </c>
      <c r="I62" s="215">
        <v>1055</v>
      </c>
      <c r="J62" s="215">
        <v>510</v>
      </c>
      <c r="K62" s="215">
        <v>545</v>
      </c>
      <c r="L62" s="215">
        <v>35</v>
      </c>
      <c r="M62" s="29">
        <f t="shared" si="0"/>
        <v>3.3175355450236967</v>
      </c>
      <c r="N62" s="215">
        <v>0</v>
      </c>
      <c r="O62" s="29">
        <f t="shared" si="1"/>
        <v>0</v>
      </c>
      <c r="P62" s="215">
        <v>29</v>
      </c>
      <c r="Q62" s="215">
        <v>200</v>
      </c>
      <c r="R62" s="29" t="s">
        <v>37</v>
      </c>
      <c r="S62" s="224">
        <v>44967</v>
      </c>
      <c r="T62" s="29"/>
      <c r="U62" s="234">
        <v>56.93</v>
      </c>
      <c r="V62" s="29"/>
      <c r="W62" s="29"/>
      <c r="X62" s="29"/>
      <c r="Y62" s="29"/>
      <c r="Z62" s="29"/>
      <c r="AA62" s="29"/>
      <c r="AB62" s="29" t="s">
        <v>37</v>
      </c>
      <c r="AC62" s="78">
        <v>24</v>
      </c>
      <c r="AD62" s="29" t="s">
        <v>285</v>
      </c>
      <c r="AE62" s="29">
        <v>25.056699999999999</v>
      </c>
      <c r="AF62" s="29">
        <v>76.238299999999995</v>
      </c>
    </row>
    <row r="63" spans="1:32" ht="15.75">
      <c r="A63" s="222">
        <v>60</v>
      </c>
      <c r="B63" s="215" t="s">
        <v>33</v>
      </c>
      <c r="C63" s="215" t="s">
        <v>281</v>
      </c>
      <c r="D63" s="217" t="s">
        <v>402</v>
      </c>
      <c r="E63" s="215" t="s">
        <v>415</v>
      </c>
      <c r="F63" s="215" t="s">
        <v>416</v>
      </c>
      <c r="G63" s="215">
        <v>465</v>
      </c>
      <c r="H63" s="215">
        <v>50</v>
      </c>
      <c r="I63" s="215">
        <v>297</v>
      </c>
      <c r="J63" s="215">
        <v>151</v>
      </c>
      <c r="K63" s="215">
        <v>146</v>
      </c>
      <c r="L63" s="215">
        <v>0</v>
      </c>
      <c r="M63" s="29">
        <f t="shared" si="0"/>
        <v>0</v>
      </c>
      <c r="N63" s="215">
        <v>135</v>
      </c>
      <c r="O63" s="29">
        <f t="shared" si="1"/>
        <v>45.454545454545453</v>
      </c>
      <c r="P63" s="215">
        <v>9</v>
      </c>
      <c r="Q63" s="215">
        <v>162</v>
      </c>
      <c r="R63" s="29"/>
      <c r="S63" s="217"/>
      <c r="T63" s="29"/>
      <c r="U63" s="217"/>
      <c r="V63" s="29"/>
      <c r="W63" s="29"/>
      <c r="X63" s="29"/>
      <c r="Y63" s="29"/>
      <c r="Z63" s="29"/>
      <c r="AA63" s="29"/>
      <c r="AB63" s="29" t="s">
        <v>37</v>
      </c>
      <c r="AC63" s="217">
        <v>14</v>
      </c>
      <c r="AD63" s="29"/>
      <c r="AE63" s="29"/>
      <c r="AF63" s="29"/>
    </row>
    <row r="64" spans="1:32" ht="15.75">
      <c r="A64" s="222">
        <v>61</v>
      </c>
      <c r="B64" s="215" t="s">
        <v>33</v>
      </c>
      <c r="C64" s="215" t="s">
        <v>281</v>
      </c>
      <c r="D64" s="217" t="s">
        <v>402</v>
      </c>
      <c r="E64" s="215" t="s">
        <v>417</v>
      </c>
      <c r="F64" s="215" t="s">
        <v>418</v>
      </c>
      <c r="G64" s="215">
        <v>361</v>
      </c>
      <c r="H64" s="215">
        <v>28</v>
      </c>
      <c r="I64" s="215">
        <v>178</v>
      </c>
      <c r="J64" s="215">
        <v>90</v>
      </c>
      <c r="K64" s="215">
        <v>88</v>
      </c>
      <c r="L64" s="215">
        <v>17</v>
      </c>
      <c r="M64" s="29">
        <f t="shared" si="0"/>
        <v>9.5505617977528079</v>
      </c>
      <c r="N64" s="215"/>
      <c r="O64" s="29">
        <f t="shared" si="1"/>
        <v>0</v>
      </c>
      <c r="P64" s="215"/>
      <c r="Q64" s="215"/>
      <c r="R64" s="29"/>
      <c r="S64" s="217"/>
      <c r="T64" s="29"/>
      <c r="U64" s="217">
        <v>28.43</v>
      </c>
      <c r="V64" s="29"/>
      <c r="W64" s="29"/>
      <c r="X64" s="29"/>
      <c r="Y64" s="29"/>
      <c r="Z64" s="29"/>
      <c r="AA64" s="29"/>
      <c r="AB64" s="29" t="s">
        <v>37</v>
      </c>
      <c r="AC64" s="217">
        <v>7</v>
      </c>
      <c r="AD64" s="29"/>
      <c r="AE64" s="29"/>
      <c r="AF64" s="29"/>
    </row>
    <row r="65" spans="1:32" ht="15.75">
      <c r="A65" s="222">
        <v>62</v>
      </c>
      <c r="B65" s="215" t="s">
        <v>33</v>
      </c>
      <c r="C65" s="215" t="s">
        <v>281</v>
      </c>
      <c r="D65" s="217" t="s">
        <v>402</v>
      </c>
      <c r="E65" s="215" t="s">
        <v>419</v>
      </c>
      <c r="F65" s="215" t="s">
        <v>420</v>
      </c>
      <c r="G65" s="215">
        <v>430</v>
      </c>
      <c r="H65" s="215">
        <v>50</v>
      </c>
      <c r="I65" s="215">
        <v>294</v>
      </c>
      <c r="J65" s="215">
        <v>158</v>
      </c>
      <c r="K65" s="215">
        <v>136</v>
      </c>
      <c r="L65" s="215">
        <v>5</v>
      </c>
      <c r="M65" s="29">
        <f t="shared" si="0"/>
        <v>1.7006802721088436</v>
      </c>
      <c r="N65" s="215"/>
      <c r="O65" s="29">
        <f t="shared" si="1"/>
        <v>0</v>
      </c>
      <c r="P65" s="215"/>
      <c r="Q65" s="215"/>
      <c r="R65" s="29"/>
      <c r="S65" s="217"/>
      <c r="T65" s="29"/>
      <c r="U65" s="217">
        <v>93.7</v>
      </c>
      <c r="V65" s="29"/>
      <c r="W65" s="29"/>
      <c r="X65" s="29"/>
      <c r="Y65" s="29"/>
      <c r="Z65" s="29"/>
      <c r="AA65" s="29"/>
      <c r="AB65" s="29" t="s">
        <v>37</v>
      </c>
      <c r="AC65" s="217">
        <v>10</v>
      </c>
      <c r="AD65" s="29"/>
      <c r="AE65" s="29"/>
      <c r="AF65" s="29"/>
    </row>
    <row r="66" spans="1:32" ht="15.75">
      <c r="A66" s="222">
        <v>63</v>
      </c>
      <c r="B66" s="215" t="s">
        <v>33</v>
      </c>
      <c r="C66" s="215" t="s">
        <v>281</v>
      </c>
      <c r="D66" s="215" t="s">
        <v>421</v>
      </c>
      <c r="E66" s="216" t="s">
        <v>422</v>
      </c>
      <c r="F66" s="215" t="s">
        <v>423</v>
      </c>
      <c r="G66" s="215">
        <v>1309.47</v>
      </c>
      <c r="H66" s="215">
        <v>408</v>
      </c>
      <c r="I66" s="215">
        <v>2112</v>
      </c>
      <c r="J66" s="215">
        <v>1127</v>
      </c>
      <c r="K66" s="215">
        <v>985</v>
      </c>
      <c r="L66" s="215">
        <v>709</v>
      </c>
      <c r="M66" s="29">
        <f t="shared" si="0"/>
        <v>33.570075757575758</v>
      </c>
      <c r="N66" s="215">
        <v>501</v>
      </c>
      <c r="O66" s="29">
        <f t="shared" si="1"/>
        <v>23.72159090909091</v>
      </c>
      <c r="P66" s="215">
        <v>24.88</v>
      </c>
      <c r="Q66" s="215">
        <v>0.28999999999999998</v>
      </c>
      <c r="R66" s="29" t="s">
        <v>37</v>
      </c>
      <c r="S66" s="224">
        <v>44967</v>
      </c>
      <c r="T66" s="29"/>
      <c r="U66" s="217">
        <v>24.88</v>
      </c>
      <c r="V66" s="29"/>
      <c r="W66" s="29"/>
      <c r="X66" s="29"/>
      <c r="Y66" s="29"/>
      <c r="Z66" s="29"/>
      <c r="AA66" s="29"/>
      <c r="AB66" s="29" t="s">
        <v>37</v>
      </c>
      <c r="AC66" s="217">
        <v>14</v>
      </c>
      <c r="AD66" s="29"/>
      <c r="AE66" s="29"/>
      <c r="AF66" s="29"/>
    </row>
    <row r="67" spans="1:32" ht="15.75">
      <c r="A67" s="222">
        <v>64</v>
      </c>
      <c r="B67" s="215" t="s">
        <v>33</v>
      </c>
      <c r="C67" s="215" t="s">
        <v>281</v>
      </c>
      <c r="D67" s="215" t="s">
        <v>421</v>
      </c>
      <c r="E67" s="215" t="s">
        <v>424</v>
      </c>
      <c r="F67" s="215" t="s">
        <v>425</v>
      </c>
      <c r="G67" s="215">
        <v>489.4</v>
      </c>
      <c r="H67" s="215">
        <v>256</v>
      </c>
      <c r="I67" s="215">
        <v>1323</v>
      </c>
      <c r="J67" s="215">
        <v>687</v>
      </c>
      <c r="K67" s="215">
        <v>636</v>
      </c>
      <c r="L67" s="215">
        <v>134</v>
      </c>
      <c r="M67" s="29">
        <f t="shared" si="0"/>
        <v>10.128495842781557</v>
      </c>
      <c r="N67" s="215">
        <v>252</v>
      </c>
      <c r="O67" s="29">
        <f t="shared" si="1"/>
        <v>19.047619047619047</v>
      </c>
      <c r="P67" s="215">
        <v>18.38</v>
      </c>
      <c r="Q67" s="215">
        <v>0</v>
      </c>
      <c r="R67" s="29" t="s">
        <v>37</v>
      </c>
      <c r="S67" s="224">
        <v>44967</v>
      </c>
      <c r="T67" s="29"/>
      <c r="U67" s="217">
        <v>43.26</v>
      </c>
      <c r="V67" s="29"/>
      <c r="W67" s="29"/>
      <c r="X67" s="29"/>
      <c r="Y67" s="29"/>
      <c r="Z67" s="29"/>
      <c r="AA67" s="29"/>
      <c r="AB67" s="29" t="s">
        <v>37</v>
      </c>
      <c r="AC67" s="217">
        <v>11</v>
      </c>
      <c r="AD67" s="29"/>
      <c r="AE67" s="29"/>
      <c r="AF67" s="29"/>
    </row>
    <row r="68" spans="1:32" ht="15.75">
      <c r="A68" s="222">
        <v>65</v>
      </c>
      <c r="B68" s="215" t="s">
        <v>33</v>
      </c>
      <c r="C68" s="215" t="s">
        <v>281</v>
      </c>
      <c r="D68" s="215" t="s">
        <v>426</v>
      </c>
      <c r="E68" s="216" t="s">
        <v>427</v>
      </c>
      <c r="F68" s="215" t="s">
        <v>428</v>
      </c>
      <c r="G68" s="215">
        <v>1928.3</v>
      </c>
      <c r="H68" s="215">
        <v>1031</v>
      </c>
      <c r="I68" s="215">
        <v>5369</v>
      </c>
      <c r="J68" s="215">
        <v>2792</v>
      </c>
      <c r="K68" s="215">
        <v>2577</v>
      </c>
      <c r="L68" s="215">
        <v>1422</v>
      </c>
      <c r="M68" s="29">
        <f t="shared" si="0"/>
        <v>26.485379027751911</v>
      </c>
      <c r="N68" s="215">
        <v>251</v>
      </c>
      <c r="O68" s="29">
        <f t="shared" si="1"/>
        <v>4.6749860309182347</v>
      </c>
      <c r="P68" s="215">
        <v>0</v>
      </c>
      <c r="Q68" s="215">
        <v>154.15</v>
      </c>
      <c r="R68" s="29"/>
      <c r="S68" s="224"/>
      <c r="T68" s="29"/>
      <c r="U68" s="217"/>
      <c r="V68" s="29"/>
      <c r="W68" s="29"/>
      <c r="X68" s="29"/>
      <c r="Y68" s="29"/>
      <c r="Z68" s="29"/>
      <c r="AA68" s="29"/>
      <c r="AB68" s="29" t="s">
        <v>37</v>
      </c>
      <c r="AC68" s="217">
        <v>9</v>
      </c>
      <c r="AD68" s="29"/>
      <c r="AE68" s="29"/>
      <c r="AF68" s="29"/>
    </row>
    <row r="69" spans="1:32" s="244" customFormat="1" ht="15.75">
      <c r="A69" s="236">
        <v>66</v>
      </c>
      <c r="B69" s="313" t="s">
        <v>33</v>
      </c>
      <c r="C69" s="313" t="s">
        <v>281</v>
      </c>
      <c r="D69" s="313" t="s">
        <v>426</v>
      </c>
      <c r="E69" s="313" t="s">
        <v>429</v>
      </c>
      <c r="F69" s="313" t="s">
        <v>430</v>
      </c>
      <c r="G69" s="313">
        <v>282.91000000000003</v>
      </c>
      <c r="H69" s="313">
        <v>174</v>
      </c>
      <c r="I69" s="313">
        <v>919</v>
      </c>
      <c r="J69" s="313">
        <v>473</v>
      </c>
      <c r="K69" s="313">
        <v>446</v>
      </c>
      <c r="L69" s="313">
        <v>68</v>
      </c>
      <c r="M69" s="310">
        <f t="shared" ref="M69:M91" si="2">L69/I69*100</f>
        <v>7.3993471164309028</v>
      </c>
      <c r="N69" s="313">
        <v>0</v>
      </c>
      <c r="O69" s="310">
        <f t="shared" ref="O69:O91" si="3">N69/I69*100</f>
        <v>0</v>
      </c>
      <c r="P69" s="313">
        <v>0</v>
      </c>
      <c r="Q69" s="313">
        <v>15.16</v>
      </c>
      <c r="R69" s="310"/>
      <c r="S69" s="314"/>
      <c r="T69" s="310"/>
      <c r="U69" s="311"/>
      <c r="V69" s="310"/>
      <c r="W69" s="310"/>
      <c r="X69" s="310"/>
      <c r="Y69" s="310"/>
      <c r="Z69" s="310"/>
      <c r="AA69" s="310"/>
      <c r="AB69" s="310" t="s">
        <v>37</v>
      </c>
      <c r="AC69" s="315">
        <v>5</v>
      </c>
      <c r="AD69" s="310" t="s">
        <v>285</v>
      </c>
      <c r="AE69" s="310">
        <v>25.7957</v>
      </c>
      <c r="AF69" s="310">
        <v>76.510300000000001</v>
      </c>
    </row>
    <row r="70" spans="1:32" ht="15.75">
      <c r="A70" s="222">
        <v>67</v>
      </c>
      <c r="B70" s="215" t="s">
        <v>33</v>
      </c>
      <c r="C70" s="215" t="s">
        <v>281</v>
      </c>
      <c r="D70" s="215" t="s">
        <v>431</v>
      </c>
      <c r="E70" s="215" t="s">
        <v>432</v>
      </c>
      <c r="F70" s="215" t="s">
        <v>433</v>
      </c>
      <c r="G70" s="215">
        <v>445.32</v>
      </c>
      <c r="H70" s="215">
        <v>124</v>
      </c>
      <c r="I70" s="215">
        <v>628</v>
      </c>
      <c r="J70" s="215">
        <v>319</v>
      </c>
      <c r="K70" s="215">
        <v>309</v>
      </c>
      <c r="L70" s="215">
        <v>50</v>
      </c>
      <c r="M70" s="29">
        <f t="shared" si="2"/>
        <v>7.9617834394904454</v>
      </c>
      <c r="N70" s="215">
        <v>408</v>
      </c>
      <c r="O70" s="29">
        <f t="shared" si="3"/>
        <v>64.968152866242036</v>
      </c>
      <c r="P70" s="215">
        <v>20.36</v>
      </c>
      <c r="Q70" s="215">
        <v>0</v>
      </c>
      <c r="R70" s="29"/>
      <c r="S70" s="224"/>
      <c r="T70" s="29"/>
      <c r="U70" s="78"/>
      <c r="V70" s="29"/>
      <c r="W70" s="29"/>
      <c r="X70" s="29"/>
      <c r="Y70" s="29"/>
      <c r="Z70" s="29"/>
      <c r="AA70" s="29"/>
      <c r="AB70" s="29" t="s">
        <v>37</v>
      </c>
      <c r="AC70" s="78">
        <v>7</v>
      </c>
      <c r="AD70" s="29" t="s">
        <v>285</v>
      </c>
      <c r="AE70" s="29">
        <v>25.176400000000001</v>
      </c>
      <c r="AF70" s="29">
        <v>75.873199999999997</v>
      </c>
    </row>
    <row r="71" spans="1:32" ht="15.75">
      <c r="A71" s="222">
        <v>68</v>
      </c>
      <c r="B71" s="215" t="s">
        <v>33</v>
      </c>
      <c r="C71" s="215" t="s">
        <v>281</v>
      </c>
      <c r="D71" s="215" t="s">
        <v>431</v>
      </c>
      <c r="E71" s="216" t="s">
        <v>434</v>
      </c>
      <c r="F71" s="215" t="s">
        <v>435</v>
      </c>
      <c r="G71" s="215">
        <v>854.59</v>
      </c>
      <c r="H71" s="215">
        <v>165</v>
      </c>
      <c r="I71" s="215">
        <v>932</v>
      </c>
      <c r="J71" s="215">
        <v>501</v>
      </c>
      <c r="K71" s="215">
        <v>431</v>
      </c>
      <c r="L71" s="215">
        <v>157</v>
      </c>
      <c r="M71" s="29">
        <f t="shared" si="2"/>
        <v>16.845493562231759</v>
      </c>
      <c r="N71" s="215">
        <v>506</v>
      </c>
      <c r="O71" s="29">
        <f t="shared" si="3"/>
        <v>54.291845493562228</v>
      </c>
      <c r="P71" s="215">
        <v>24.14</v>
      </c>
      <c r="Q71" s="215">
        <v>0</v>
      </c>
      <c r="R71" s="29" t="s">
        <v>37</v>
      </c>
      <c r="S71" s="224">
        <v>45239</v>
      </c>
      <c r="T71" s="29"/>
      <c r="U71" s="217"/>
      <c r="V71" s="29"/>
      <c r="W71" s="29"/>
      <c r="X71" s="29"/>
      <c r="Y71" s="29"/>
      <c r="Z71" s="29"/>
      <c r="AA71" s="29"/>
      <c r="AB71" s="29" t="s">
        <v>37</v>
      </c>
      <c r="AC71" s="78">
        <v>14</v>
      </c>
      <c r="AD71" s="29" t="s">
        <v>285</v>
      </c>
      <c r="AE71" s="29"/>
      <c r="AF71" s="29"/>
    </row>
    <row r="72" spans="1:32" ht="15.75">
      <c r="A72" s="222">
        <v>69</v>
      </c>
      <c r="B72" s="215" t="s">
        <v>33</v>
      </c>
      <c r="C72" s="215" t="s">
        <v>281</v>
      </c>
      <c r="D72" s="215" t="s">
        <v>431</v>
      </c>
      <c r="E72" s="215" t="s">
        <v>436</v>
      </c>
      <c r="F72" s="215" t="s">
        <v>437</v>
      </c>
      <c r="G72" s="215">
        <v>354.82</v>
      </c>
      <c r="H72" s="215">
        <v>196</v>
      </c>
      <c r="I72" s="215">
        <v>969</v>
      </c>
      <c r="J72" s="215">
        <v>506</v>
      </c>
      <c r="K72" s="215">
        <v>463</v>
      </c>
      <c r="L72" s="215">
        <v>201</v>
      </c>
      <c r="M72" s="29">
        <f t="shared" si="2"/>
        <v>20.743034055727556</v>
      </c>
      <c r="N72" s="215">
        <v>137</v>
      </c>
      <c r="O72" s="29">
        <f t="shared" si="3"/>
        <v>14.138286893704851</v>
      </c>
      <c r="P72" s="215">
        <v>21.99</v>
      </c>
      <c r="Q72" s="215">
        <v>0</v>
      </c>
      <c r="R72" s="29" t="s">
        <v>37</v>
      </c>
      <c r="S72" s="224">
        <v>45239</v>
      </c>
      <c r="T72" s="29"/>
      <c r="U72" s="217">
        <v>20.36</v>
      </c>
      <c r="V72" s="29"/>
      <c r="W72" s="29"/>
      <c r="X72" s="29"/>
      <c r="Y72" s="29"/>
      <c r="Z72" s="29"/>
      <c r="AA72" s="29"/>
      <c r="AB72" s="29" t="s">
        <v>37</v>
      </c>
      <c r="AC72" s="217">
        <v>3</v>
      </c>
      <c r="AD72" s="29" t="s">
        <v>285</v>
      </c>
      <c r="AE72" s="29">
        <v>25.0806</v>
      </c>
      <c r="AF72" s="29">
        <v>76.2667</v>
      </c>
    </row>
    <row r="73" spans="1:32" ht="15.75">
      <c r="A73" s="222">
        <v>70</v>
      </c>
      <c r="B73" s="215" t="s">
        <v>33</v>
      </c>
      <c r="C73" s="215" t="s">
        <v>281</v>
      </c>
      <c r="D73" s="215" t="s">
        <v>431</v>
      </c>
      <c r="E73" s="215" t="s">
        <v>438</v>
      </c>
      <c r="F73" s="215"/>
      <c r="G73" s="215"/>
      <c r="H73" s="215"/>
      <c r="I73" s="215"/>
      <c r="J73" s="215"/>
      <c r="K73" s="215"/>
      <c r="L73" s="215"/>
      <c r="M73" s="29" t="e">
        <f t="shared" si="2"/>
        <v>#DIV/0!</v>
      </c>
      <c r="N73" s="215"/>
      <c r="O73" s="29" t="e">
        <f t="shared" si="3"/>
        <v>#DIV/0!</v>
      </c>
      <c r="P73" s="215"/>
      <c r="Q73" s="215"/>
      <c r="R73" s="29"/>
      <c r="S73" s="224"/>
      <c r="T73" s="29"/>
      <c r="U73" s="217">
        <v>21.99</v>
      </c>
      <c r="V73" s="219"/>
      <c r="W73" s="29"/>
      <c r="X73" s="29"/>
      <c r="Y73" s="29"/>
      <c r="Z73" s="29"/>
      <c r="AA73" s="29"/>
      <c r="AB73" s="29" t="s">
        <v>37</v>
      </c>
      <c r="AC73" s="217">
        <v>7</v>
      </c>
      <c r="AD73" s="29"/>
      <c r="AE73" s="29"/>
      <c r="AF73" s="29"/>
    </row>
    <row r="74" spans="1:32" ht="15.75">
      <c r="A74" s="222">
        <v>71</v>
      </c>
      <c r="B74" s="215" t="s">
        <v>33</v>
      </c>
      <c r="C74" s="215" t="s">
        <v>281</v>
      </c>
      <c r="D74" s="215" t="s">
        <v>439</v>
      </c>
      <c r="E74" s="216" t="s">
        <v>440</v>
      </c>
      <c r="F74" s="215" t="s">
        <v>441</v>
      </c>
      <c r="G74" s="215">
        <v>1972.22</v>
      </c>
      <c r="H74" s="215">
        <v>504</v>
      </c>
      <c r="I74" s="215">
        <v>2566</v>
      </c>
      <c r="J74" s="215">
        <v>1354</v>
      </c>
      <c r="K74" s="215">
        <v>1212</v>
      </c>
      <c r="L74" s="215">
        <v>592</v>
      </c>
      <c r="M74" s="29">
        <f t="shared" si="2"/>
        <v>23.070927513639909</v>
      </c>
      <c r="N74" s="215">
        <v>72</v>
      </c>
      <c r="O74" s="29">
        <f t="shared" si="3"/>
        <v>2.8059236165237724</v>
      </c>
      <c r="P74" s="215">
        <v>77.900000000000006</v>
      </c>
      <c r="Q74" s="215">
        <v>0</v>
      </c>
      <c r="R74" s="29" t="s">
        <v>37</v>
      </c>
      <c r="S74" s="223" t="s">
        <v>442</v>
      </c>
      <c r="T74" s="29"/>
      <c r="U74" s="78">
        <v>70.03</v>
      </c>
      <c r="V74" s="219"/>
      <c r="W74" s="29"/>
      <c r="X74" s="29"/>
      <c r="Y74" s="29"/>
      <c r="Z74" s="29"/>
      <c r="AA74" s="29"/>
      <c r="AB74" s="29" t="s">
        <v>37</v>
      </c>
      <c r="AC74" s="217">
        <v>15</v>
      </c>
      <c r="AD74" s="29" t="s">
        <v>285</v>
      </c>
      <c r="AE74" s="29"/>
      <c r="AF74" s="29"/>
    </row>
    <row r="75" spans="1:32" ht="15.75">
      <c r="A75" s="222">
        <v>72</v>
      </c>
      <c r="B75" s="215" t="s">
        <v>33</v>
      </c>
      <c r="C75" s="215" t="s">
        <v>281</v>
      </c>
      <c r="D75" s="215" t="s">
        <v>439</v>
      </c>
      <c r="E75" s="215" t="s">
        <v>443</v>
      </c>
      <c r="F75" s="215" t="s">
        <v>444</v>
      </c>
      <c r="G75" s="215">
        <v>628.16</v>
      </c>
      <c r="H75" s="215">
        <v>173</v>
      </c>
      <c r="I75" s="215">
        <v>918</v>
      </c>
      <c r="J75" s="215">
        <v>479</v>
      </c>
      <c r="K75" s="215">
        <v>439</v>
      </c>
      <c r="L75" s="215">
        <v>131</v>
      </c>
      <c r="M75" s="29">
        <f t="shared" si="2"/>
        <v>14.270152505446623</v>
      </c>
      <c r="N75" s="215">
        <v>463</v>
      </c>
      <c r="O75" s="29">
        <f t="shared" si="3"/>
        <v>50.435729847494549</v>
      </c>
      <c r="P75" s="215">
        <v>25.24</v>
      </c>
      <c r="Q75" s="215">
        <v>0</v>
      </c>
      <c r="R75" s="29" t="s">
        <v>37</v>
      </c>
      <c r="S75" s="223" t="s">
        <v>442</v>
      </c>
      <c r="T75" s="29"/>
      <c r="U75" s="78">
        <v>23.37</v>
      </c>
      <c r="V75" s="29"/>
      <c r="W75" s="29"/>
      <c r="X75" s="29"/>
      <c r="Y75" s="29"/>
      <c r="Z75" s="29"/>
      <c r="AA75" s="29"/>
      <c r="AB75" s="29" t="s">
        <v>37</v>
      </c>
      <c r="AC75" s="217">
        <v>9</v>
      </c>
      <c r="AD75" s="29" t="s">
        <v>285</v>
      </c>
      <c r="AE75" s="29"/>
      <c r="AF75" s="29"/>
    </row>
    <row r="76" spans="1:32" ht="15.75">
      <c r="A76" s="229">
        <v>73</v>
      </c>
      <c r="B76" s="215" t="s">
        <v>33</v>
      </c>
      <c r="C76" s="215" t="s">
        <v>281</v>
      </c>
      <c r="D76" s="215" t="s">
        <v>439</v>
      </c>
      <c r="E76" s="215" t="s">
        <v>445</v>
      </c>
      <c r="F76" s="215" t="s">
        <v>446</v>
      </c>
      <c r="G76" s="215">
        <v>470.34</v>
      </c>
      <c r="H76" s="215">
        <v>130</v>
      </c>
      <c r="I76" s="215">
        <v>647</v>
      </c>
      <c r="J76" s="215">
        <v>329</v>
      </c>
      <c r="K76" s="215">
        <v>318</v>
      </c>
      <c r="L76" s="215">
        <v>250</v>
      </c>
      <c r="M76" s="29">
        <f t="shared" si="2"/>
        <v>38.639876352395675</v>
      </c>
      <c r="N76" s="215">
        <v>158</v>
      </c>
      <c r="O76" s="29">
        <f t="shared" si="3"/>
        <v>24.420401854714065</v>
      </c>
      <c r="P76" s="215">
        <v>0</v>
      </c>
      <c r="Q76" s="215">
        <v>0</v>
      </c>
      <c r="R76" s="29"/>
      <c r="S76" s="223" t="s">
        <v>442</v>
      </c>
      <c r="T76" s="29"/>
      <c r="U76" s="78"/>
      <c r="V76" s="29"/>
      <c r="W76" s="29"/>
      <c r="X76" s="29"/>
      <c r="Y76" s="29"/>
      <c r="Z76" s="29"/>
      <c r="AA76" s="29"/>
      <c r="AB76" s="29" t="s">
        <v>37</v>
      </c>
      <c r="AC76" s="220">
        <v>15</v>
      </c>
      <c r="AD76" s="29"/>
      <c r="AE76" s="29"/>
      <c r="AF76" s="29"/>
    </row>
    <row r="77" spans="1:32" ht="15.75">
      <c r="A77" s="222">
        <v>74</v>
      </c>
      <c r="B77" s="215" t="s">
        <v>33</v>
      </c>
      <c r="C77" s="215" t="s">
        <v>281</v>
      </c>
      <c r="D77" s="215" t="s">
        <v>447</v>
      </c>
      <c r="E77" s="216" t="s">
        <v>448</v>
      </c>
      <c r="F77" s="215" t="s">
        <v>449</v>
      </c>
      <c r="G77" s="215">
        <v>704.75</v>
      </c>
      <c r="H77" s="215">
        <v>377</v>
      </c>
      <c r="I77" s="215">
        <v>2170</v>
      </c>
      <c r="J77" s="215">
        <v>1135</v>
      </c>
      <c r="K77" s="215">
        <v>1035</v>
      </c>
      <c r="L77" s="215">
        <v>632</v>
      </c>
      <c r="M77" s="29">
        <f t="shared" si="2"/>
        <v>29.124423963133637</v>
      </c>
      <c r="N77" s="215">
        <v>11</v>
      </c>
      <c r="O77" s="29">
        <f t="shared" si="3"/>
        <v>0.50691244239631339</v>
      </c>
      <c r="P77" s="215">
        <v>27.23</v>
      </c>
      <c r="Q77" s="215">
        <v>0</v>
      </c>
      <c r="R77" s="29"/>
      <c r="S77" s="217"/>
      <c r="T77" s="29"/>
      <c r="U77" s="217"/>
      <c r="V77" s="29" t="s">
        <v>37</v>
      </c>
      <c r="W77" s="29"/>
      <c r="X77" s="29"/>
      <c r="Y77" s="29"/>
      <c r="Z77" s="29"/>
      <c r="AA77" s="29"/>
      <c r="AB77" s="29"/>
      <c r="AC77" s="220"/>
      <c r="AD77" s="29"/>
      <c r="AE77" s="29"/>
      <c r="AF77" s="29"/>
    </row>
    <row r="78" spans="1:32" ht="15.75">
      <c r="A78" s="222">
        <v>75</v>
      </c>
      <c r="B78" s="215" t="s">
        <v>33</v>
      </c>
      <c r="C78" s="215" t="s">
        <v>281</v>
      </c>
      <c r="D78" s="215" t="s">
        <v>447</v>
      </c>
      <c r="E78" s="215" t="s">
        <v>450</v>
      </c>
      <c r="F78" s="215" t="s">
        <v>451</v>
      </c>
      <c r="G78" s="215">
        <v>323.27</v>
      </c>
      <c r="H78" s="215">
        <v>54</v>
      </c>
      <c r="I78" s="215">
        <v>287</v>
      </c>
      <c r="J78" s="215">
        <v>142</v>
      </c>
      <c r="K78" s="215">
        <v>145</v>
      </c>
      <c r="L78" s="215">
        <v>135</v>
      </c>
      <c r="M78" s="29">
        <f t="shared" si="2"/>
        <v>47.038327526132406</v>
      </c>
      <c r="N78" s="215">
        <v>121</v>
      </c>
      <c r="O78" s="29">
        <f t="shared" si="3"/>
        <v>42.160278745644597</v>
      </c>
      <c r="P78" s="215">
        <v>4.47</v>
      </c>
      <c r="Q78" s="215">
        <v>0</v>
      </c>
      <c r="R78" s="29" t="s">
        <v>37</v>
      </c>
      <c r="S78" s="224">
        <v>45239</v>
      </c>
      <c r="T78" s="29"/>
      <c r="U78" s="78"/>
      <c r="V78" s="29" t="s">
        <v>37</v>
      </c>
      <c r="W78" s="29"/>
      <c r="X78" s="29"/>
      <c r="Y78" s="29"/>
      <c r="Z78" s="29"/>
      <c r="AA78" s="29"/>
      <c r="AB78" s="29" t="s">
        <v>37</v>
      </c>
      <c r="AC78" s="220"/>
      <c r="AD78" s="29" t="s">
        <v>285</v>
      </c>
      <c r="AE78" s="29"/>
      <c r="AF78" s="29"/>
    </row>
    <row r="79" spans="1:32" ht="15.75">
      <c r="A79" s="222">
        <v>76</v>
      </c>
      <c r="B79" s="215" t="s">
        <v>33</v>
      </c>
      <c r="C79" s="215" t="s">
        <v>281</v>
      </c>
      <c r="D79" s="215" t="s">
        <v>447</v>
      </c>
      <c r="E79" s="215" t="s">
        <v>452</v>
      </c>
      <c r="F79" s="215" t="s">
        <v>453</v>
      </c>
      <c r="G79" s="215">
        <v>437.86</v>
      </c>
      <c r="H79" s="215">
        <v>150</v>
      </c>
      <c r="I79" s="215">
        <v>783</v>
      </c>
      <c r="J79" s="215">
        <v>402</v>
      </c>
      <c r="K79" s="215">
        <v>381</v>
      </c>
      <c r="L79" s="215">
        <v>191</v>
      </c>
      <c r="M79" s="29">
        <f t="shared" si="2"/>
        <v>24.393358876117496</v>
      </c>
      <c r="N79" s="215">
        <v>133</v>
      </c>
      <c r="O79" s="29">
        <f t="shared" si="3"/>
        <v>16.985951468710088</v>
      </c>
      <c r="P79" s="215">
        <v>11.53</v>
      </c>
      <c r="Q79" s="215">
        <v>0</v>
      </c>
      <c r="R79" s="29" t="s">
        <v>37</v>
      </c>
      <c r="S79" s="224">
        <v>45239</v>
      </c>
      <c r="T79" s="29"/>
      <c r="U79" s="78"/>
      <c r="V79" s="29" t="s">
        <v>37</v>
      </c>
      <c r="W79" s="29"/>
      <c r="X79" s="29"/>
      <c r="Y79" s="29"/>
      <c r="Z79" s="29"/>
      <c r="AA79" s="29"/>
      <c r="AB79" s="29" t="s">
        <v>37</v>
      </c>
      <c r="AC79" s="220"/>
      <c r="AD79" s="29" t="s">
        <v>285</v>
      </c>
      <c r="AE79" s="29"/>
      <c r="AF79" s="29"/>
    </row>
    <row r="80" spans="1:32" ht="15.75">
      <c r="A80" s="222">
        <v>77</v>
      </c>
      <c r="B80" s="215" t="s">
        <v>33</v>
      </c>
      <c r="C80" s="215" t="s">
        <v>281</v>
      </c>
      <c r="D80" s="215" t="s">
        <v>454</v>
      </c>
      <c r="E80" s="216" t="s">
        <v>455</v>
      </c>
      <c r="F80" s="215" t="s">
        <v>456</v>
      </c>
      <c r="G80" s="215">
        <v>494.47</v>
      </c>
      <c r="H80" s="215">
        <v>222</v>
      </c>
      <c r="I80" s="215">
        <v>1123</v>
      </c>
      <c r="J80" s="215">
        <v>572</v>
      </c>
      <c r="K80" s="215">
        <v>551</v>
      </c>
      <c r="L80" s="215">
        <v>271</v>
      </c>
      <c r="M80" s="29">
        <f t="shared" si="2"/>
        <v>24.131789848619771</v>
      </c>
      <c r="N80" s="215">
        <v>0</v>
      </c>
      <c r="O80" s="29">
        <f t="shared" si="3"/>
        <v>0</v>
      </c>
      <c r="P80" s="215">
        <v>12.4</v>
      </c>
      <c r="Q80" s="215">
        <v>0</v>
      </c>
      <c r="R80" s="29" t="s">
        <v>37</v>
      </c>
      <c r="S80" s="224">
        <v>44967</v>
      </c>
      <c r="T80" s="29"/>
      <c r="U80" s="217">
        <v>23.58</v>
      </c>
      <c r="V80" s="29"/>
      <c r="W80" s="29"/>
      <c r="X80" s="29"/>
      <c r="Y80" s="29"/>
      <c r="Z80" s="29"/>
      <c r="AA80" s="29"/>
      <c r="AB80" s="29" t="s">
        <v>37</v>
      </c>
      <c r="AC80" s="220">
        <v>14</v>
      </c>
      <c r="AD80" s="29" t="s">
        <v>326</v>
      </c>
      <c r="AE80" s="218">
        <v>24.35</v>
      </c>
      <c r="AF80" s="218">
        <v>76.758399999999995</v>
      </c>
    </row>
    <row r="81" spans="1:32" ht="15.75">
      <c r="A81" s="226">
        <v>78</v>
      </c>
      <c r="B81" s="215" t="s">
        <v>33</v>
      </c>
      <c r="C81" s="215" t="s">
        <v>281</v>
      </c>
      <c r="D81" s="215" t="s">
        <v>454</v>
      </c>
      <c r="E81" s="215" t="s">
        <v>457</v>
      </c>
      <c r="F81" s="215" t="s">
        <v>458</v>
      </c>
      <c r="G81" s="215">
        <v>634.64</v>
      </c>
      <c r="H81" s="215">
        <v>271</v>
      </c>
      <c r="I81" s="215">
        <v>1316</v>
      </c>
      <c r="J81" s="215">
        <v>683</v>
      </c>
      <c r="K81" s="215">
        <v>633</v>
      </c>
      <c r="L81" s="215">
        <v>70</v>
      </c>
      <c r="M81" s="29">
        <f t="shared" si="2"/>
        <v>5.3191489361702127</v>
      </c>
      <c r="N81" s="215">
        <v>0</v>
      </c>
      <c r="O81" s="29">
        <f t="shared" si="3"/>
        <v>0</v>
      </c>
      <c r="P81" s="215">
        <v>18.47</v>
      </c>
      <c r="Q81" s="215">
        <v>0</v>
      </c>
      <c r="R81" s="29" t="s">
        <v>37</v>
      </c>
      <c r="S81" s="224">
        <v>44967</v>
      </c>
      <c r="T81" s="29"/>
      <c r="U81" s="217">
        <v>21.9</v>
      </c>
      <c r="V81" s="29"/>
      <c r="W81" s="29"/>
      <c r="X81" s="29"/>
      <c r="Y81" s="29"/>
      <c r="Z81" s="29"/>
      <c r="AA81" s="29"/>
      <c r="AB81" s="29" t="s">
        <v>37</v>
      </c>
      <c r="AC81" s="220"/>
      <c r="AD81" s="29" t="s">
        <v>285</v>
      </c>
      <c r="AE81" s="29"/>
      <c r="AF81" s="29"/>
    </row>
    <row r="82" spans="1:32" ht="15.75">
      <c r="A82" s="222">
        <v>79</v>
      </c>
      <c r="B82" s="215" t="s">
        <v>33</v>
      </c>
      <c r="C82" s="215" t="s">
        <v>281</v>
      </c>
      <c r="D82" s="215" t="s">
        <v>454</v>
      </c>
      <c r="E82" s="215" t="s">
        <v>459</v>
      </c>
      <c r="F82" s="215" t="s">
        <v>460</v>
      </c>
      <c r="G82" s="215">
        <v>496.29</v>
      </c>
      <c r="H82" s="215">
        <v>109</v>
      </c>
      <c r="I82" s="215">
        <v>545</v>
      </c>
      <c r="J82" s="215">
        <v>272</v>
      </c>
      <c r="K82" s="215">
        <v>273</v>
      </c>
      <c r="L82" s="215">
        <v>170</v>
      </c>
      <c r="M82" s="29">
        <f t="shared" si="2"/>
        <v>31.192660550458719</v>
      </c>
      <c r="N82" s="215">
        <v>24</v>
      </c>
      <c r="O82" s="29">
        <f t="shared" si="3"/>
        <v>4.4036697247706424</v>
      </c>
      <c r="P82" s="215">
        <v>18.12</v>
      </c>
      <c r="Q82" s="215">
        <v>0</v>
      </c>
      <c r="R82" s="29" t="s">
        <v>37</v>
      </c>
      <c r="S82" s="224">
        <v>44967</v>
      </c>
      <c r="T82" s="29"/>
      <c r="U82" s="217">
        <v>22.4</v>
      </c>
      <c r="V82" s="29"/>
      <c r="W82" s="29"/>
      <c r="X82" s="29"/>
      <c r="Y82" s="29"/>
      <c r="Z82" s="29"/>
      <c r="AA82" s="29"/>
      <c r="AB82" s="29" t="s">
        <v>37</v>
      </c>
      <c r="AC82" s="217">
        <v>5</v>
      </c>
      <c r="AD82" s="29" t="s">
        <v>326</v>
      </c>
      <c r="AE82" s="218">
        <v>24.346</v>
      </c>
      <c r="AF82" s="218">
        <v>76.12</v>
      </c>
    </row>
    <row r="83" spans="1:32" ht="15.75">
      <c r="A83" s="236">
        <v>80</v>
      </c>
      <c r="B83" s="215" t="s">
        <v>33</v>
      </c>
      <c r="C83" s="215" t="s">
        <v>281</v>
      </c>
      <c r="D83" s="215" t="s">
        <v>454</v>
      </c>
      <c r="E83" s="215" t="s">
        <v>461</v>
      </c>
      <c r="F83" s="215" t="s">
        <v>462</v>
      </c>
      <c r="G83" s="215">
        <v>517.57000000000005</v>
      </c>
      <c r="H83" s="215">
        <v>98</v>
      </c>
      <c r="I83" s="215">
        <v>560</v>
      </c>
      <c r="J83" s="215">
        <v>291</v>
      </c>
      <c r="K83" s="215">
        <v>269</v>
      </c>
      <c r="L83" s="215">
        <v>345</v>
      </c>
      <c r="M83" s="29">
        <f t="shared" si="2"/>
        <v>61.607142857142861</v>
      </c>
      <c r="N83" s="215">
        <v>125</v>
      </c>
      <c r="O83" s="29">
        <f t="shared" si="3"/>
        <v>22.321428571428573</v>
      </c>
      <c r="P83" s="215">
        <v>5.94</v>
      </c>
      <c r="Q83" s="215">
        <v>0</v>
      </c>
      <c r="R83" s="29" t="s">
        <v>37</v>
      </c>
      <c r="S83" s="224">
        <v>44967</v>
      </c>
      <c r="T83" s="29"/>
      <c r="U83" s="217">
        <v>9.69</v>
      </c>
      <c r="V83" s="29"/>
      <c r="W83" s="29"/>
      <c r="X83" s="29"/>
      <c r="Y83" s="29"/>
      <c r="Z83" s="29"/>
      <c r="AA83" s="29"/>
      <c r="AB83" s="29" t="s">
        <v>37</v>
      </c>
      <c r="AC83" s="217"/>
      <c r="AD83" s="29" t="s">
        <v>285</v>
      </c>
      <c r="AE83" s="29"/>
      <c r="AF83" s="29"/>
    </row>
    <row r="84" spans="1:32" ht="15.75">
      <c r="A84" s="222">
        <v>81</v>
      </c>
      <c r="B84" s="215" t="s">
        <v>33</v>
      </c>
      <c r="C84" s="215" t="s">
        <v>281</v>
      </c>
      <c r="D84" s="215" t="s">
        <v>454</v>
      </c>
      <c r="E84" s="215" t="s">
        <v>463</v>
      </c>
      <c r="F84" s="217" t="s">
        <v>457</v>
      </c>
      <c r="G84" s="215">
        <v>634.64</v>
      </c>
      <c r="H84" s="215">
        <v>271</v>
      </c>
      <c r="I84" s="215">
        <v>1316</v>
      </c>
      <c r="J84" s="215">
        <v>683</v>
      </c>
      <c r="K84" s="215">
        <v>633</v>
      </c>
      <c r="L84" s="215">
        <v>70</v>
      </c>
      <c r="M84" s="29">
        <f t="shared" si="2"/>
        <v>5.3191489361702127</v>
      </c>
      <c r="N84" s="215"/>
      <c r="O84" s="29">
        <f t="shared" si="3"/>
        <v>0</v>
      </c>
      <c r="P84" s="215"/>
      <c r="Q84" s="215"/>
      <c r="R84" s="29"/>
      <c r="S84" s="224"/>
      <c r="T84" s="29"/>
      <c r="U84" s="217">
        <v>21.9</v>
      </c>
      <c r="V84" s="29"/>
      <c r="W84" s="29"/>
      <c r="X84" s="29"/>
      <c r="Y84" s="29"/>
      <c r="Z84" s="29"/>
      <c r="AA84" s="29"/>
      <c r="AB84" s="29" t="s">
        <v>37</v>
      </c>
      <c r="AC84" s="217">
        <v>13</v>
      </c>
      <c r="AD84" s="29"/>
      <c r="AE84" s="29"/>
      <c r="AF84" s="29"/>
    </row>
    <row r="85" spans="1:32" ht="15.75">
      <c r="A85" s="222">
        <v>82</v>
      </c>
      <c r="B85" s="215" t="s">
        <v>33</v>
      </c>
      <c r="C85" s="215" t="s">
        <v>281</v>
      </c>
      <c r="D85" s="215" t="s">
        <v>454</v>
      </c>
      <c r="E85" s="215" t="s">
        <v>464</v>
      </c>
      <c r="F85" s="215" t="s">
        <v>461</v>
      </c>
      <c r="G85" s="215">
        <v>517.57000000000005</v>
      </c>
      <c r="H85" s="215">
        <v>98</v>
      </c>
      <c r="I85" s="215">
        <v>560</v>
      </c>
      <c r="J85" s="215">
        <v>291</v>
      </c>
      <c r="K85" s="215">
        <v>269</v>
      </c>
      <c r="L85" s="215">
        <v>345</v>
      </c>
      <c r="M85" s="29">
        <f t="shared" si="2"/>
        <v>61.607142857142861</v>
      </c>
      <c r="N85" s="215"/>
      <c r="O85" s="29">
        <f t="shared" si="3"/>
        <v>0</v>
      </c>
      <c r="P85" s="215"/>
      <c r="Q85" s="215"/>
      <c r="R85" s="29"/>
      <c r="S85" s="224"/>
      <c r="T85" s="29"/>
      <c r="U85" s="217">
        <v>9.69</v>
      </c>
      <c r="V85" s="29"/>
      <c r="W85" s="29"/>
      <c r="X85" s="29"/>
      <c r="Y85" s="29"/>
      <c r="Z85" s="29"/>
      <c r="AA85" s="29"/>
      <c r="AB85" s="29" t="s">
        <v>37</v>
      </c>
      <c r="AC85" s="217">
        <v>9</v>
      </c>
      <c r="AD85" s="29"/>
      <c r="AE85" s="29"/>
      <c r="AF85" s="29"/>
    </row>
    <row r="86" spans="1:32" ht="15.75">
      <c r="A86" s="222">
        <v>83</v>
      </c>
      <c r="B86" s="215" t="s">
        <v>33</v>
      </c>
      <c r="C86" s="215" t="s">
        <v>281</v>
      </c>
      <c r="D86" s="215" t="s">
        <v>465</v>
      </c>
      <c r="E86" s="216" t="s">
        <v>466</v>
      </c>
      <c r="F86" s="215" t="s">
        <v>467</v>
      </c>
      <c r="G86" s="215">
        <v>2977.29</v>
      </c>
      <c r="H86" s="215">
        <v>507</v>
      </c>
      <c r="I86" s="215">
        <v>2595</v>
      </c>
      <c r="J86" s="215">
        <v>1361</v>
      </c>
      <c r="K86" s="215">
        <v>1234</v>
      </c>
      <c r="L86" s="215">
        <v>471</v>
      </c>
      <c r="M86" s="29">
        <f t="shared" si="2"/>
        <v>18.150289017341041</v>
      </c>
      <c r="N86" s="215">
        <v>462</v>
      </c>
      <c r="O86" s="29">
        <f t="shared" si="3"/>
        <v>17.803468208092486</v>
      </c>
      <c r="P86" s="215">
        <v>139.47</v>
      </c>
      <c r="Q86" s="215">
        <v>463.94</v>
      </c>
      <c r="R86" s="29" t="s">
        <v>37</v>
      </c>
      <c r="S86" s="235">
        <v>45419</v>
      </c>
      <c r="T86" s="29"/>
      <c r="U86" s="78">
        <v>142.49</v>
      </c>
      <c r="V86" s="29"/>
      <c r="W86" s="29"/>
      <c r="X86" s="29"/>
      <c r="Y86" s="29"/>
      <c r="Z86" s="29"/>
      <c r="AA86" s="29"/>
      <c r="AB86" s="29" t="s">
        <v>37</v>
      </c>
      <c r="AC86" s="217">
        <v>5</v>
      </c>
      <c r="AD86" s="29" t="s">
        <v>326</v>
      </c>
      <c r="AE86" s="221">
        <v>25.094000000000001</v>
      </c>
      <c r="AF86" s="221">
        <v>76.512</v>
      </c>
    </row>
    <row r="87" spans="1:32" ht="15.75">
      <c r="A87" s="236">
        <v>84</v>
      </c>
      <c r="B87" s="215" t="s">
        <v>33</v>
      </c>
      <c r="C87" s="215" t="s">
        <v>281</v>
      </c>
      <c r="D87" s="215" t="s">
        <v>465</v>
      </c>
      <c r="E87" s="215" t="s">
        <v>468</v>
      </c>
      <c r="F87" s="215" t="s">
        <v>469</v>
      </c>
      <c r="G87" s="215">
        <v>404.33</v>
      </c>
      <c r="H87" s="215">
        <v>68</v>
      </c>
      <c r="I87" s="215">
        <v>350</v>
      </c>
      <c r="J87" s="215">
        <v>184</v>
      </c>
      <c r="K87" s="215">
        <v>166</v>
      </c>
      <c r="L87" s="215">
        <v>1</v>
      </c>
      <c r="M87" s="29">
        <f t="shared" si="2"/>
        <v>0.2857142857142857</v>
      </c>
      <c r="N87" s="215">
        <v>335</v>
      </c>
      <c r="O87" s="29">
        <f t="shared" si="3"/>
        <v>95.714285714285722</v>
      </c>
      <c r="P87" s="215">
        <v>15.46</v>
      </c>
      <c r="Q87" s="215">
        <v>0</v>
      </c>
      <c r="R87" s="29" t="s">
        <v>37</v>
      </c>
      <c r="S87" s="235">
        <v>45419</v>
      </c>
      <c r="T87" s="29"/>
      <c r="U87" s="78">
        <v>12.46</v>
      </c>
      <c r="V87" s="29"/>
      <c r="W87" s="29"/>
      <c r="X87" s="29"/>
      <c r="Y87" s="29"/>
      <c r="Z87" s="29"/>
      <c r="AA87" s="29"/>
      <c r="AB87" s="29" t="s">
        <v>37</v>
      </c>
      <c r="AC87" s="217"/>
      <c r="AD87" s="29" t="s">
        <v>285</v>
      </c>
      <c r="AE87" s="29"/>
      <c r="AF87" s="29"/>
    </row>
    <row r="88" spans="1:32" ht="15.75">
      <c r="A88" s="222">
        <v>85</v>
      </c>
      <c r="B88" s="215" t="s">
        <v>33</v>
      </c>
      <c r="C88" s="215" t="s">
        <v>281</v>
      </c>
      <c r="D88" s="215" t="s">
        <v>465</v>
      </c>
      <c r="E88" s="215" t="s">
        <v>264</v>
      </c>
      <c r="F88" s="215" t="s">
        <v>470</v>
      </c>
      <c r="G88" s="215">
        <v>676</v>
      </c>
      <c r="H88" s="215">
        <v>209</v>
      </c>
      <c r="I88" s="215">
        <v>971</v>
      </c>
      <c r="J88" s="215">
        <v>494</v>
      </c>
      <c r="K88" s="215">
        <v>477</v>
      </c>
      <c r="L88" s="215">
        <v>113</v>
      </c>
      <c r="M88" s="29">
        <f t="shared" si="2"/>
        <v>11.637487126673532</v>
      </c>
      <c r="N88" s="215">
        <v>1</v>
      </c>
      <c r="O88" s="29">
        <f t="shared" si="3"/>
        <v>0.10298661174047373</v>
      </c>
      <c r="P88" s="215">
        <v>48</v>
      </c>
      <c r="Q88" s="215">
        <v>68</v>
      </c>
      <c r="R88" s="29" t="s">
        <v>37</v>
      </c>
      <c r="S88" s="235">
        <v>45419</v>
      </c>
      <c r="T88" s="29"/>
      <c r="U88" s="78">
        <v>47.74</v>
      </c>
      <c r="V88" s="29"/>
      <c r="W88" s="29"/>
      <c r="X88" s="29"/>
      <c r="Y88" s="29"/>
      <c r="Z88" s="29"/>
      <c r="AA88" s="29"/>
      <c r="AB88" s="29" t="s">
        <v>37</v>
      </c>
      <c r="AC88" s="217">
        <v>4</v>
      </c>
      <c r="AD88" s="29" t="s">
        <v>285</v>
      </c>
      <c r="AE88" s="29"/>
      <c r="AF88" s="29"/>
    </row>
    <row r="89" spans="1:32" ht="15.75">
      <c r="A89" s="222">
        <v>87</v>
      </c>
      <c r="B89" s="215" t="s">
        <v>33</v>
      </c>
      <c r="C89" s="215" t="s">
        <v>281</v>
      </c>
      <c r="D89" s="215" t="s">
        <v>471</v>
      </c>
      <c r="E89" s="216" t="s">
        <v>472</v>
      </c>
      <c r="F89" s="215" t="s">
        <v>473</v>
      </c>
      <c r="G89" s="215">
        <v>546.91</v>
      </c>
      <c r="H89" s="215">
        <v>190</v>
      </c>
      <c r="I89" s="215">
        <v>1073</v>
      </c>
      <c r="J89" s="215">
        <v>585</v>
      </c>
      <c r="K89" s="215">
        <v>488</v>
      </c>
      <c r="L89" s="215">
        <v>122</v>
      </c>
      <c r="M89" s="29">
        <f t="shared" si="2"/>
        <v>11.369990680335508</v>
      </c>
      <c r="N89" s="215">
        <v>0</v>
      </c>
      <c r="O89" s="29">
        <f t="shared" si="3"/>
        <v>0</v>
      </c>
      <c r="P89" s="215">
        <v>5.49</v>
      </c>
      <c r="Q89" s="215">
        <v>0</v>
      </c>
      <c r="R89" s="29" t="s">
        <v>37</v>
      </c>
      <c r="S89" s="224">
        <v>44967</v>
      </c>
      <c r="T89" s="29"/>
      <c r="U89" s="217">
        <v>5.96</v>
      </c>
      <c r="V89" s="29" t="s">
        <v>37</v>
      </c>
      <c r="W89" s="29"/>
      <c r="X89" s="29"/>
      <c r="Y89" s="29"/>
      <c r="Z89" s="29"/>
      <c r="AA89" s="29"/>
      <c r="AB89" s="29" t="s">
        <v>37</v>
      </c>
      <c r="AC89" s="217">
        <v>9</v>
      </c>
      <c r="AD89" s="29"/>
      <c r="AE89" s="29"/>
      <c r="AF89" s="29"/>
    </row>
    <row r="90" spans="1:32" ht="15.75">
      <c r="A90" s="222">
        <v>88</v>
      </c>
      <c r="B90" s="215" t="s">
        <v>33</v>
      </c>
      <c r="C90" s="215" t="s">
        <v>281</v>
      </c>
      <c r="D90" s="215" t="s">
        <v>471</v>
      </c>
      <c r="E90" s="215" t="s">
        <v>474</v>
      </c>
      <c r="F90" s="215" t="s">
        <v>475</v>
      </c>
      <c r="G90" s="215">
        <v>654.30999999999995</v>
      </c>
      <c r="H90" s="215">
        <v>192</v>
      </c>
      <c r="I90" s="215">
        <v>1176</v>
      </c>
      <c r="J90" s="215">
        <v>630</v>
      </c>
      <c r="K90" s="215">
        <v>546</v>
      </c>
      <c r="L90" s="215">
        <v>122</v>
      </c>
      <c r="M90" s="29">
        <f t="shared" si="2"/>
        <v>10.374149659863946</v>
      </c>
      <c r="N90" s="215">
        <v>4</v>
      </c>
      <c r="O90" s="29">
        <f t="shared" si="3"/>
        <v>0.3401360544217687</v>
      </c>
      <c r="P90" s="215">
        <v>0</v>
      </c>
      <c r="Q90" s="215">
        <v>0.19</v>
      </c>
      <c r="R90" s="29" t="s">
        <v>37</v>
      </c>
      <c r="S90" s="224">
        <v>44967</v>
      </c>
      <c r="T90" s="29"/>
      <c r="U90" s="217">
        <v>5.96</v>
      </c>
      <c r="V90" s="29" t="s">
        <v>37</v>
      </c>
      <c r="W90" s="29"/>
      <c r="X90" s="29"/>
      <c r="Y90" s="29"/>
      <c r="Z90" s="29"/>
      <c r="AA90" s="29"/>
      <c r="AB90" s="29"/>
      <c r="AC90" s="217"/>
      <c r="AD90" s="29"/>
      <c r="AE90" s="29"/>
      <c r="AF90" s="29"/>
    </row>
    <row r="91" spans="1:32" ht="15.75">
      <c r="A91" s="29">
        <v>89</v>
      </c>
      <c r="B91" s="215" t="s">
        <v>33</v>
      </c>
      <c r="C91" s="215" t="s">
        <v>281</v>
      </c>
      <c r="D91" s="215" t="s">
        <v>471</v>
      </c>
      <c r="E91" s="215" t="s">
        <v>476</v>
      </c>
      <c r="F91" s="215" t="s">
        <v>477</v>
      </c>
      <c r="G91" s="215">
        <v>245.77</v>
      </c>
      <c r="H91" s="215">
        <v>105</v>
      </c>
      <c r="I91" s="215">
        <v>548</v>
      </c>
      <c r="J91" s="215">
        <v>283</v>
      </c>
      <c r="K91" s="215">
        <v>265</v>
      </c>
      <c r="L91" s="215">
        <v>88</v>
      </c>
      <c r="M91" s="29">
        <f t="shared" si="2"/>
        <v>16.058394160583941</v>
      </c>
      <c r="N91" s="215">
        <v>33</v>
      </c>
      <c r="O91" s="29">
        <f t="shared" si="3"/>
        <v>6.0218978102189782</v>
      </c>
      <c r="P91" s="215">
        <v>0</v>
      </c>
      <c r="Q91" s="215">
        <v>0</v>
      </c>
      <c r="R91" s="29" t="s">
        <v>37</v>
      </c>
      <c r="S91" s="224">
        <v>44967</v>
      </c>
      <c r="T91" s="29"/>
      <c r="U91" s="217"/>
      <c r="V91" s="29" t="s">
        <v>37</v>
      </c>
      <c r="W91" s="29"/>
      <c r="X91" s="29"/>
      <c r="Y91" s="29"/>
      <c r="Z91" s="29"/>
      <c r="AA91" s="29" t="s">
        <v>280</v>
      </c>
      <c r="AB91" s="29" t="s">
        <v>478</v>
      </c>
      <c r="AC91" s="217">
        <v>915</v>
      </c>
      <c r="AD91" s="29"/>
      <c r="AE91" s="29"/>
      <c r="AF91" s="29"/>
    </row>
    <row r="92" spans="1:32" ht="15.75">
      <c r="A92" s="29"/>
      <c r="B92" s="29"/>
      <c r="C92" s="29"/>
      <c r="D92" s="29"/>
      <c r="E92" s="29"/>
      <c r="F92" s="29"/>
      <c r="G92" s="29"/>
      <c r="H92" s="312">
        <f>SUM(H2:H91)</f>
        <v>17425</v>
      </c>
      <c r="I92" s="312">
        <f>SUM(I2:I91)</f>
        <v>90365</v>
      </c>
      <c r="J92" s="312">
        <f>SUM(J2:J91)</f>
        <v>46833</v>
      </c>
      <c r="K92" s="312">
        <f>SUM(K2:K91)</f>
        <v>43532</v>
      </c>
      <c r="L92" s="29"/>
      <c r="M92" s="29"/>
      <c r="N92" s="29"/>
      <c r="O92" s="29"/>
      <c r="P92" s="312">
        <f>SUM(P4:P91)</f>
        <v>1702.4600000000007</v>
      </c>
      <c r="Q92" s="312">
        <f>SUM(Q4:Q91)</f>
        <v>2201.17</v>
      </c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</row>
  </sheetData>
  <mergeCells count="3">
    <mergeCell ref="L2:M2"/>
    <mergeCell ref="N2:O2"/>
    <mergeCell ref="AE2:AF2"/>
  </mergeCells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24"/>
  <sheetViews>
    <sheetView zoomScale="80" zoomScaleNormal="80" workbookViewId="0">
      <selection activeCell="AE88" sqref="AE88"/>
    </sheetView>
  </sheetViews>
  <sheetFormatPr defaultColWidth="21.7109375" defaultRowHeight="15"/>
  <cols>
    <col min="1" max="1" width="10.140625" style="24" customWidth="1"/>
    <col min="2" max="9" width="21.7109375" style="24"/>
    <col min="10" max="10" width="16" style="24" customWidth="1"/>
    <col min="11" max="11" width="13.5703125" style="24" customWidth="1"/>
    <col min="12" max="12" width="13.28515625" style="24" customWidth="1"/>
    <col min="13" max="13" width="16.85546875" style="353" customWidth="1"/>
    <col min="14" max="14" width="12.7109375" style="24" customWidth="1"/>
    <col min="15" max="15" width="15" style="353" customWidth="1"/>
    <col min="16" max="16" width="17.5703125" style="317" customWidth="1"/>
    <col min="17" max="18" width="21.7109375" style="24"/>
    <col min="19" max="19" width="18.42578125" style="24" customWidth="1"/>
    <col min="20" max="30" width="21.7109375" style="24"/>
    <col min="31" max="31" width="23.7109375" style="24" bestFit="1" customWidth="1"/>
    <col min="32" max="16384" width="21.7109375" style="24"/>
  </cols>
  <sheetData>
    <row r="1" spans="1:32">
      <c r="A1" s="86"/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351"/>
      <c r="N1" s="86"/>
      <c r="O1" s="351"/>
      <c r="P1" s="352"/>
      <c r="Q1" s="86"/>
      <c r="R1" s="73" t="s">
        <v>0</v>
      </c>
      <c r="S1" s="73" t="s">
        <v>0</v>
      </c>
      <c r="T1" s="73" t="s">
        <v>1</v>
      </c>
      <c r="U1" s="73" t="s">
        <v>2</v>
      </c>
      <c r="V1" s="73" t="s">
        <v>2</v>
      </c>
      <c r="W1" s="73" t="s">
        <v>2</v>
      </c>
      <c r="X1" s="73" t="s">
        <v>2</v>
      </c>
      <c r="Y1" s="73" t="s">
        <v>2</v>
      </c>
      <c r="Z1" s="73" t="s">
        <v>2</v>
      </c>
      <c r="AA1" s="86" t="s">
        <v>3</v>
      </c>
      <c r="AB1" s="86" t="s">
        <v>3</v>
      </c>
      <c r="AC1" s="86" t="s">
        <v>3</v>
      </c>
      <c r="AD1" s="86" t="s">
        <v>3</v>
      </c>
      <c r="AE1" s="86" t="s">
        <v>3</v>
      </c>
      <c r="AF1" s="86" t="s">
        <v>3</v>
      </c>
    </row>
    <row r="2" spans="1:32" ht="60">
      <c r="A2" s="42" t="s">
        <v>4</v>
      </c>
      <c r="B2" s="306" t="s">
        <v>5</v>
      </c>
      <c r="C2" s="306" t="s">
        <v>6</v>
      </c>
      <c r="D2" s="306" t="s">
        <v>7</v>
      </c>
      <c r="E2" s="306" t="s">
        <v>8</v>
      </c>
      <c r="F2" s="306" t="s">
        <v>9</v>
      </c>
      <c r="G2" s="306" t="s">
        <v>10</v>
      </c>
      <c r="H2" s="306" t="s">
        <v>11</v>
      </c>
      <c r="I2" s="306" t="s">
        <v>12</v>
      </c>
      <c r="J2" s="306" t="s">
        <v>13</v>
      </c>
      <c r="K2" s="306" t="s">
        <v>14</v>
      </c>
      <c r="L2" s="378" t="s">
        <v>15</v>
      </c>
      <c r="M2" s="379"/>
      <c r="N2" s="378" t="s">
        <v>16</v>
      </c>
      <c r="O2" s="379"/>
      <c r="P2" s="308" t="s">
        <v>17</v>
      </c>
      <c r="Q2" s="306" t="s">
        <v>18</v>
      </c>
      <c r="R2" s="306" t="s">
        <v>19</v>
      </c>
      <c r="S2" s="306" t="s">
        <v>20</v>
      </c>
      <c r="T2" s="306" t="s">
        <v>21</v>
      </c>
      <c r="U2" s="306" t="s">
        <v>22</v>
      </c>
      <c r="V2" s="306" t="s">
        <v>23</v>
      </c>
      <c r="W2" s="306" t="s">
        <v>24</v>
      </c>
      <c r="X2" s="306" t="s">
        <v>25</v>
      </c>
      <c r="Y2" s="306" t="s">
        <v>26</v>
      </c>
      <c r="Z2" s="306" t="s">
        <v>27</v>
      </c>
      <c r="AA2" s="306" t="s">
        <v>28</v>
      </c>
      <c r="AB2" s="306" t="s">
        <v>29</v>
      </c>
      <c r="AC2" s="306" t="s">
        <v>30</v>
      </c>
      <c r="AD2" s="306" t="s">
        <v>31</v>
      </c>
      <c r="AE2" s="378" t="s">
        <v>32</v>
      </c>
      <c r="AF2" s="379"/>
    </row>
    <row r="3" spans="1:32" s="360" customFormat="1">
      <c r="A3" s="39"/>
      <c r="B3" s="57"/>
      <c r="C3" s="57"/>
      <c r="D3" s="57"/>
      <c r="E3" s="58"/>
      <c r="F3" s="57"/>
      <c r="G3" s="57" t="s">
        <v>2398</v>
      </c>
      <c r="H3" s="57" t="s">
        <v>2399</v>
      </c>
      <c r="I3" s="57" t="s">
        <v>2399</v>
      </c>
      <c r="J3" s="57" t="s">
        <v>2399</v>
      </c>
      <c r="K3" s="57" t="s">
        <v>2399</v>
      </c>
      <c r="L3" s="57" t="s">
        <v>2399</v>
      </c>
      <c r="M3" s="359" t="s">
        <v>2400</v>
      </c>
      <c r="N3" s="57" t="s">
        <v>2399</v>
      </c>
      <c r="O3" s="359" t="s">
        <v>2400</v>
      </c>
      <c r="P3" s="58" t="s">
        <v>2398</v>
      </c>
      <c r="Q3" s="57" t="s">
        <v>2398</v>
      </c>
      <c r="R3" s="57" t="s">
        <v>2401</v>
      </c>
      <c r="S3" s="57" t="s">
        <v>2402</v>
      </c>
      <c r="T3" s="57" t="s">
        <v>2398</v>
      </c>
      <c r="U3" s="8" t="s">
        <v>2398</v>
      </c>
      <c r="V3" s="57" t="s">
        <v>2398</v>
      </c>
      <c r="W3" s="57" t="s">
        <v>2401</v>
      </c>
      <c r="X3" s="8" t="s">
        <v>2401</v>
      </c>
      <c r="Y3" s="8" t="s">
        <v>2401</v>
      </c>
      <c r="Z3" s="8" t="s">
        <v>2398</v>
      </c>
      <c r="AA3" s="8" t="s">
        <v>2401</v>
      </c>
      <c r="AB3" s="8" t="s">
        <v>2401</v>
      </c>
      <c r="AC3" s="8" t="s">
        <v>2398</v>
      </c>
      <c r="AD3" s="57" t="s">
        <v>2403</v>
      </c>
      <c r="AE3" s="8" t="s">
        <v>2404</v>
      </c>
      <c r="AF3" s="8" t="s">
        <v>2405</v>
      </c>
    </row>
    <row r="4" spans="1:32">
      <c r="A4" s="88"/>
      <c r="B4" s="181" t="s">
        <v>33</v>
      </c>
      <c r="C4" s="181" t="s">
        <v>33</v>
      </c>
      <c r="D4" s="181" t="s">
        <v>34</v>
      </c>
      <c r="E4" s="185" t="s">
        <v>35</v>
      </c>
      <c r="F4" s="181" t="s">
        <v>36</v>
      </c>
      <c r="G4" s="181">
        <v>1648.03</v>
      </c>
      <c r="H4" s="181">
        <v>496</v>
      </c>
      <c r="I4" s="181">
        <v>2549</v>
      </c>
      <c r="J4" s="181">
        <v>1315</v>
      </c>
      <c r="K4" s="181">
        <v>1234</v>
      </c>
      <c r="L4" s="181">
        <v>756</v>
      </c>
      <c r="M4" s="350">
        <f>L4/I4*100</f>
        <v>29.658689682228324</v>
      </c>
      <c r="N4" s="181">
        <v>135</v>
      </c>
      <c r="O4" s="354">
        <f t="shared" ref="O4:O67" si="0">N4/I4*100</f>
        <v>5.2961945861122013</v>
      </c>
      <c r="P4" s="349">
        <v>123.66</v>
      </c>
      <c r="Q4" s="181">
        <v>0</v>
      </c>
      <c r="R4" s="67" t="s">
        <v>37</v>
      </c>
      <c r="S4" s="17" t="s">
        <v>38</v>
      </c>
      <c r="T4" s="70"/>
      <c r="U4" s="17">
        <v>124.78</v>
      </c>
      <c r="V4" s="88"/>
      <c r="W4" s="70"/>
      <c r="X4" s="70"/>
      <c r="Y4" s="70"/>
      <c r="Z4" s="70"/>
      <c r="AA4" s="70"/>
      <c r="AB4" s="70" t="s">
        <v>39</v>
      </c>
      <c r="AC4" s="17">
        <v>20</v>
      </c>
      <c r="AD4" s="67"/>
      <c r="AE4" s="186">
        <v>25.181263000000001</v>
      </c>
      <c r="AF4" s="186">
        <v>76.485585</v>
      </c>
    </row>
    <row r="5" spans="1:32">
      <c r="A5" s="87">
        <v>1</v>
      </c>
      <c r="B5" s="182" t="s">
        <v>33</v>
      </c>
      <c r="C5" s="182" t="s">
        <v>33</v>
      </c>
      <c r="D5" s="181" t="s">
        <v>34</v>
      </c>
      <c r="E5" s="181" t="s">
        <v>40</v>
      </c>
      <c r="F5" s="181" t="s">
        <v>41</v>
      </c>
      <c r="G5" s="181">
        <v>753.26</v>
      </c>
      <c r="H5" s="181">
        <v>209</v>
      </c>
      <c r="I5" s="181">
        <v>1136</v>
      </c>
      <c r="J5" s="181">
        <v>591</v>
      </c>
      <c r="K5" s="181">
        <v>545</v>
      </c>
      <c r="L5" s="181">
        <v>345</v>
      </c>
      <c r="M5" s="350">
        <f t="shared" ref="M5:M67" si="1">L5/I5*100</f>
        <v>30.369718309859156</v>
      </c>
      <c r="N5" s="181">
        <v>32</v>
      </c>
      <c r="O5" s="354">
        <f t="shared" si="0"/>
        <v>2.8169014084507045</v>
      </c>
      <c r="P5" s="349">
        <v>47.59</v>
      </c>
      <c r="Q5" s="181">
        <v>0</v>
      </c>
      <c r="R5" s="67" t="s">
        <v>37</v>
      </c>
      <c r="S5" s="17" t="s">
        <v>38</v>
      </c>
      <c r="T5" s="187"/>
      <c r="U5" s="17">
        <v>52.86</v>
      </c>
      <c r="V5" s="88"/>
      <c r="W5" s="88"/>
      <c r="X5" s="88"/>
      <c r="Y5" s="88"/>
      <c r="Z5" s="88"/>
      <c r="AA5" s="88"/>
      <c r="AB5" s="70" t="s">
        <v>39</v>
      </c>
      <c r="AC5" s="17">
        <v>10</v>
      </c>
      <c r="AD5" s="183"/>
      <c r="AE5" s="186">
        <v>25.214753000000002</v>
      </c>
      <c r="AF5" s="186">
        <v>76.486236000000005</v>
      </c>
    </row>
    <row r="6" spans="1:32">
      <c r="A6" s="87">
        <v>2</v>
      </c>
      <c r="B6" s="182" t="s">
        <v>33</v>
      </c>
      <c r="C6" s="182" t="s">
        <v>33</v>
      </c>
      <c r="D6" s="181" t="s">
        <v>42</v>
      </c>
      <c r="E6" s="185" t="s">
        <v>43</v>
      </c>
      <c r="F6" s="181" t="s">
        <v>44</v>
      </c>
      <c r="G6" s="181">
        <v>1767.98</v>
      </c>
      <c r="H6" s="181">
        <v>504</v>
      </c>
      <c r="I6" s="181">
        <v>2692</v>
      </c>
      <c r="J6" s="181">
        <v>1377</v>
      </c>
      <c r="K6" s="181">
        <v>1315</v>
      </c>
      <c r="L6" s="181">
        <v>667</v>
      </c>
      <c r="M6" s="350">
        <f t="shared" si="1"/>
        <v>24.777117384843983</v>
      </c>
      <c r="N6" s="181">
        <v>341</v>
      </c>
      <c r="O6" s="354">
        <f t="shared" si="0"/>
        <v>12.667161961367013</v>
      </c>
      <c r="P6" s="349">
        <v>62.09</v>
      </c>
      <c r="Q6" s="181">
        <v>0</v>
      </c>
      <c r="R6" s="67" t="s">
        <v>37</v>
      </c>
      <c r="S6" s="17" t="s">
        <v>45</v>
      </c>
      <c r="T6" s="188"/>
      <c r="U6" s="17">
        <v>76.38</v>
      </c>
      <c r="V6" s="88" t="s">
        <v>37</v>
      </c>
      <c r="W6" s="88"/>
      <c r="X6" s="88"/>
      <c r="Y6" s="88"/>
      <c r="Z6" s="88"/>
      <c r="AA6" s="88"/>
      <c r="AB6" s="70" t="s">
        <v>39</v>
      </c>
      <c r="AC6" s="17">
        <v>6</v>
      </c>
      <c r="AD6" s="184"/>
      <c r="AE6" s="186">
        <v>24.999555999999998</v>
      </c>
      <c r="AF6" s="186">
        <v>76.484022999999993</v>
      </c>
    </row>
    <row r="7" spans="1:32">
      <c r="A7" s="87">
        <v>3</v>
      </c>
      <c r="B7" s="182" t="s">
        <v>33</v>
      </c>
      <c r="C7" s="182" t="s">
        <v>33</v>
      </c>
      <c r="D7" s="181" t="s">
        <v>42</v>
      </c>
      <c r="E7" s="185" t="s">
        <v>43</v>
      </c>
      <c r="F7" s="181"/>
      <c r="G7" s="181"/>
      <c r="H7" s="181"/>
      <c r="I7" s="181"/>
      <c r="J7" s="181"/>
      <c r="K7" s="181"/>
      <c r="L7" s="181"/>
      <c r="M7" s="350"/>
      <c r="N7" s="181"/>
      <c r="O7" s="354"/>
      <c r="P7" s="349"/>
      <c r="Q7" s="181">
        <v>0</v>
      </c>
      <c r="R7" s="87" t="s">
        <v>39</v>
      </c>
      <c r="S7" s="17"/>
      <c r="T7" s="88"/>
      <c r="U7" s="17"/>
      <c r="V7" s="88"/>
      <c r="W7" s="88"/>
      <c r="X7" s="88"/>
      <c r="Y7" s="88"/>
      <c r="Z7" s="88"/>
      <c r="AA7" s="88"/>
      <c r="AB7" s="88"/>
      <c r="AC7" s="17">
        <v>6</v>
      </c>
      <c r="AD7" s="183"/>
      <c r="AE7" s="19">
        <v>25.148199999999999</v>
      </c>
      <c r="AF7" s="19">
        <v>76.585400000000007</v>
      </c>
    </row>
    <row r="8" spans="1:32">
      <c r="A8" s="87">
        <v>4</v>
      </c>
      <c r="B8" s="182" t="s">
        <v>33</v>
      </c>
      <c r="C8" s="182" t="s">
        <v>33</v>
      </c>
      <c r="D8" s="181" t="s">
        <v>42</v>
      </c>
      <c r="E8" s="181" t="s">
        <v>46</v>
      </c>
      <c r="F8" s="181" t="s">
        <v>47</v>
      </c>
      <c r="G8" s="181">
        <v>730.88</v>
      </c>
      <c r="H8" s="181">
        <v>175</v>
      </c>
      <c r="I8" s="181">
        <v>969</v>
      </c>
      <c r="J8" s="181">
        <v>509</v>
      </c>
      <c r="K8" s="181">
        <v>460</v>
      </c>
      <c r="L8" s="181">
        <v>174</v>
      </c>
      <c r="M8" s="350">
        <f t="shared" si="1"/>
        <v>17.956656346749224</v>
      </c>
      <c r="N8" s="181">
        <v>587</v>
      </c>
      <c r="O8" s="354">
        <f t="shared" si="0"/>
        <v>60.577915376676984</v>
      </c>
      <c r="P8" s="349">
        <v>19.39</v>
      </c>
      <c r="Q8" s="181">
        <v>0</v>
      </c>
      <c r="R8" s="67" t="s">
        <v>37</v>
      </c>
      <c r="S8" s="17" t="s">
        <v>45</v>
      </c>
      <c r="T8" s="187"/>
      <c r="U8" s="17">
        <v>22.55</v>
      </c>
      <c r="V8" s="88" t="s">
        <v>37</v>
      </c>
      <c r="W8" s="88"/>
      <c r="X8" s="88"/>
      <c r="Y8" s="88"/>
      <c r="Z8" s="88"/>
      <c r="AA8" s="88"/>
      <c r="AB8" s="70" t="s">
        <v>39</v>
      </c>
      <c r="AC8" s="17">
        <v>15</v>
      </c>
      <c r="AD8" s="183" t="s">
        <v>48</v>
      </c>
      <c r="AE8" s="186" t="s">
        <v>49</v>
      </c>
      <c r="AF8" s="186" t="s">
        <v>50</v>
      </c>
    </row>
    <row r="9" spans="1:32">
      <c r="A9" s="87" t="s">
        <v>51</v>
      </c>
      <c r="B9" s="182" t="s">
        <v>33</v>
      </c>
      <c r="C9" s="182" t="s">
        <v>33</v>
      </c>
      <c r="D9" s="181" t="s">
        <v>52</v>
      </c>
      <c r="E9" s="185" t="s">
        <v>53</v>
      </c>
      <c r="F9" s="181" t="s">
        <v>54</v>
      </c>
      <c r="G9" s="181">
        <v>922.07</v>
      </c>
      <c r="H9" s="181">
        <v>208</v>
      </c>
      <c r="I9" s="181">
        <v>962</v>
      </c>
      <c r="J9" s="181">
        <v>494</v>
      </c>
      <c r="K9" s="181">
        <v>468</v>
      </c>
      <c r="L9" s="181">
        <v>199</v>
      </c>
      <c r="M9" s="350">
        <f t="shared" si="1"/>
        <v>20.686070686070686</v>
      </c>
      <c r="N9" s="181">
        <v>491</v>
      </c>
      <c r="O9" s="354">
        <f t="shared" si="0"/>
        <v>51.039501039501033</v>
      </c>
      <c r="P9" s="349">
        <v>80.02</v>
      </c>
      <c r="Q9" s="181">
        <v>0</v>
      </c>
      <c r="R9" s="87"/>
      <c r="S9" s="87"/>
      <c r="T9" s="187"/>
      <c r="U9" s="88">
        <v>54.06</v>
      </c>
      <c r="V9" s="88" t="s">
        <v>37</v>
      </c>
      <c r="W9" s="88"/>
      <c r="X9" s="88"/>
      <c r="Y9" s="88"/>
      <c r="Z9" s="88"/>
      <c r="AA9" s="88"/>
      <c r="AB9" s="88"/>
      <c r="AC9" s="192">
        <v>12</v>
      </c>
      <c r="AD9" s="183" t="s">
        <v>48</v>
      </c>
      <c r="AE9" s="186">
        <v>25.015132000000001</v>
      </c>
      <c r="AF9" s="186">
        <v>76.566917000000004</v>
      </c>
    </row>
    <row r="10" spans="1:32">
      <c r="A10" s="87" t="s">
        <v>51</v>
      </c>
      <c r="B10" s="182" t="s">
        <v>33</v>
      </c>
      <c r="C10" s="182" t="s">
        <v>33</v>
      </c>
      <c r="D10" s="181" t="s">
        <v>52</v>
      </c>
      <c r="E10" s="182" t="s">
        <v>53</v>
      </c>
      <c r="F10" s="181"/>
      <c r="G10" s="181"/>
      <c r="H10" s="181"/>
      <c r="I10" s="181"/>
      <c r="J10" s="181"/>
      <c r="K10" s="181"/>
      <c r="L10" s="181"/>
      <c r="M10" s="350"/>
      <c r="N10" s="181"/>
      <c r="O10" s="354"/>
      <c r="P10" s="349"/>
      <c r="Q10" s="181"/>
      <c r="R10" s="87"/>
      <c r="S10" s="87"/>
      <c r="T10" s="187"/>
      <c r="U10" s="189"/>
      <c r="V10" s="88"/>
      <c r="W10" s="88"/>
      <c r="X10" s="88"/>
      <c r="Y10" s="88"/>
      <c r="Z10" s="88"/>
      <c r="AA10" s="88"/>
      <c r="AB10" s="88"/>
      <c r="AC10" s="19">
        <v>9</v>
      </c>
      <c r="AD10" s="183"/>
      <c r="AE10" s="19">
        <v>25.09</v>
      </c>
      <c r="AF10" s="19">
        <v>76.56</v>
      </c>
    </row>
    <row r="11" spans="1:32">
      <c r="A11" s="87" t="s">
        <v>51</v>
      </c>
      <c r="B11" s="182" t="s">
        <v>33</v>
      </c>
      <c r="C11" s="182" t="s">
        <v>33</v>
      </c>
      <c r="D11" s="181" t="s">
        <v>52</v>
      </c>
      <c r="E11" s="182" t="s">
        <v>53</v>
      </c>
      <c r="F11" s="181"/>
      <c r="G11" s="181"/>
      <c r="H11" s="181"/>
      <c r="I11" s="181"/>
      <c r="J11" s="181"/>
      <c r="K11" s="181"/>
      <c r="L11" s="181"/>
      <c r="M11" s="350"/>
      <c r="N11" s="181"/>
      <c r="O11" s="354"/>
      <c r="P11" s="349"/>
      <c r="Q11" s="181"/>
      <c r="R11" s="87"/>
      <c r="S11" s="87"/>
      <c r="T11" s="187"/>
      <c r="U11" s="189"/>
      <c r="V11" s="88"/>
      <c r="W11" s="88"/>
      <c r="X11" s="88"/>
      <c r="Y11" s="88"/>
      <c r="Z11" s="88"/>
      <c r="AA11" s="88"/>
      <c r="AB11" s="88"/>
      <c r="AC11" s="19">
        <v>9</v>
      </c>
      <c r="AD11" s="184"/>
      <c r="AE11" s="19">
        <v>25.18</v>
      </c>
      <c r="AF11" s="19">
        <v>76.599999999999994</v>
      </c>
    </row>
    <row r="12" spans="1:32">
      <c r="A12" s="87">
        <v>8</v>
      </c>
      <c r="B12" s="182" t="s">
        <v>33</v>
      </c>
      <c r="C12" s="182" t="s">
        <v>33</v>
      </c>
      <c r="D12" s="181" t="s">
        <v>52</v>
      </c>
      <c r="E12" s="181" t="s">
        <v>56</v>
      </c>
      <c r="F12" s="181" t="s">
        <v>57</v>
      </c>
      <c r="G12" s="181">
        <v>593.38</v>
      </c>
      <c r="H12" s="181">
        <v>280</v>
      </c>
      <c r="I12" s="181">
        <v>1556</v>
      </c>
      <c r="J12" s="181">
        <v>811</v>
      </c>
      <c r="K12" s="181">
        <v>745</v>
      </c>
      <c r="L12" s="181">
        <v>268</v>
      </c>
      <c r="M12" s="350">
        <f t="shared" si="1"/>
        <v>17.223650385604113</v>
      </c>
      <c r="N12" s="181">
        <v>49</v>
      </c>
      <c r="O12" s="354">
        <f t="shared" si="0"/>
        <v>3.1491002570694087</v>
      </c>
      <c r="P12" s="349">
        <v>27.01</v>
      </c>
      <c r="Q12" s="181">
        <v>0</v>
      </c>
      <c r="R12" s="67" t="s">
        <v>37</v>
      </c>
      <c r="S12" s="87" t="s">
        <v>2709</v>
      </c>
      <c r="T12" s="190"/>
      <c r="U12" s="87"/>
      <c r="V12" s="88"/>
      <c r="W12" s="88"/>
      <c r="X12" s="88"/>
      <c r="Y12" s="88"/>
      <c r="Z12" s="88"/>
      <c r="AA12" s="88"/>
      <c r="AB12" s="88"/>
      <c r="AC12" s="361">
        <v>10</v>
      </c>
      <c r="AD12" s="183" t="s">
        <v>48</v>
      </c>
      <c r="AE12" s="241"/>
      <c r="AF12" s="241"/>
    </row>
    <row r="13" spans="1:32">
      <c r="A13" s="87">
        <v>9</v>
      </c>
      <c r="B13" s="182" t="s">
        <v>33</v>
      </c>
      <c r="C13" s="182" t="s">
        <v>33</v>
      </c>
      <c r="D13" s="181" t="s">
        <v>52</v>
      </c>
      <c r="E13" s="181" t="s">
        <v>58</v>
      </c>
      <c r="F13" s="181" t="s">
        <v>59</v>
      </c>
      <c r="G13" s="181">
        <v>536.76</v>
      </c>
      <c r="H13" s="181">
        <v>131</v>
      </c>
      <c r="I13" s="181">
        <v>707</v>
      </c>
      <c r="J13" s="181">
        <v>373</v>
      </c>
      <c r="K13" s="181">
        <v>334</v>
      </c>
      <c r="L13" s="181">
        <v>100</v>
      </c>
      <c r="M13" s="350">
        <f t="shared" si="1"/>
        <v>14.144271570014144</v>
      </c>
      <c r="N13" s="181">
        <v>328</v>
      </c>
      <c r="O13" s="354">
        <f t="shared" si="0"/>
        <v>46.393210749646393</v>
      </c>
      <c r="P13" s="349">
        <v>40.020000000000003</v>
      </c>
      <c r="Q13" s="181">
        <v>0</v>
      </c>
      <c r="R13" s="67" t="s">
        <v>37</v>
      </c>
      <c r="S13" s="87" t="s">
        <v>2709</v>
      </c>
      <c r="T13" s="187"/>
      <c r="U13" s="87"/>
      <c r="V13" s="88"/>
      <c r="W13" s="88"/>
      <c r="X13" s="88"/>
      <c r="Y13" s="88"/>
      <c r="Z13" s="88"/>
      <c r="AA13" s="88"/>
      <c r="AB13" s="191"/>
      <c r="AC13" s="87"/>
      <c r="AD13" s="183" t="s">
        <v>48</v>
      </c>
      <c r="AE13" s="241"/>
      <c r="AF13" s="241"/>
    </row>
    <row r="14" spans="1:32">
      <c r="A14" s="87">
        <v>10</v>
      </c>
      <c r="B14" s="182" t="s">
        <v>33</v>
      </c>
      <c r="C14" s="182" t="s">
        <v>33</v>
      </c>
      <c r="D14" s="181" t="s">
        <v>60</v>
      </c>
      <c r="E14" s="185" t="s">
        <v>61</v>
      </c>
      <c r="F14" s="181" t="s">
        <v>62</v>
      </c>
      <c r="G14" s="181">
        <v>1043.6300000000001</v>
      </c>
      <c r="H14" s="181">
        <v>214</v>
      </c>
      <c r="I14" s="181">
        <v>1134</v>
      </c>
      <c r="J14" s="181">
        <v>568</v>
      </c>
      <c r="K14" s="181">
        <v>566</v>
      </c>
      <c r="L14" s="181">
        <v>151</v>
      </c>
      <c r="M14" s="350">
        <f t="shared" si="1"/>
        <v>13.315696649029981</v>
      </c>
      <c r="N14" s="181">
        <v>208</v>
      </c>
      <c r="O14" s="354">
        <f t="shared" si="0"/>
        <v>18.342151675485006</v>
      </c>
      <c r="P14" s="349">
        <v>68.040000000000006</v>
      </c>
      <c r="Q14" s="181">
        <v>0</v>
      </c>
      <c r="R14" s="67" t="s">
        <v>37</v>
      </c>
      <c r="S14" s="87" t="s">
        <v>2709</v>
      </c>
      <c r="T14" s="187"/>
      <c r="U14" s="192"/>
      <c r="V14" s="88" t="s">
        <v>37</v>
      </c>
      <c r="W14" s="88"/>
      <c r="X14" s="88"/>
      <c r="Y14" s="88"/>
      <c r="Z14" s="88"/>
      <c r="AA14" s="88"/>
      <c r="AB14" s="70" t="s">
        <v>39</v>
      </c>
      <c r="AC14" s="192">
        <v>3</v>
      </c>
      <c r="AD14" s="183" t="s">
        <v>48</v>
      </c>
      <c r="AE14" s="186">
        <v>25.119114</v>
      </c>
      <c r="AF14" s="186">
        <v>76.394591000000005</v>
      </c>
    </row>
    <row r="15" spans="1:32">
      <c r="A15" s="87">
        <v>11</v>
      </c>
      <c r="B15" s="182" t="s">
        <v>33</v>
      </c>
      <c r="C15" s="182" t="s">
        <v>33</v>
      </c>
      <c r="D15" s="181" t="s">
        <v>60</v>
      </c>
      <c r="E15" s="181" t="s">
        <v>63</v>
      </c>
      <c r="F15" s="181" t="s">
        <v>64</v>
      </c>
      <c r="G15" s="181">
        <v>576.80999999999995</v>
      </c>
      <c r="H15" s="181">
        <v>143</v>
      </c>
      <c r="I15" s="181">
        <v>724</v>
      </c>
      <c r="J15" s="181">
        <v>399</v>
      </c>
      <c r="K15" s="181">
        <v>325</v>
      </c>
      <c r="L15" s="181">
        <v>281</v>
      </c>
      <c r="M15" s="350">
        <f t="shared" si="1"/>
        <v>38.812154696132595</v>
      </c>
      <c r="N15" s="181">
        <v>0</v>
      </c>
      <c r="O15" s="354">
        <f t="shared" si="0"/>
        <v>0</v>
      </c>
      <c r="P15" s="349">
        <v>37.659999999999997</v>
      </c>
      <c r="Q15" s="181">
        <v>0</v>
      </c>
      <c r="R15" s="67" t="s">
        <v>37</v>
      </c>
      <c r="S15" s="87" t="s">
        <v>2709</v>
      </c>
      <c r="T15" s="187"/>
      <c r="U15" s="193"/>
      <c r="V15" s="88" t="s">
        <v>55</v>
      </c>
      <c r="W15" s="88"/>
      <c r="X15" s="88"/>
      <c r="Y15" s="88"/>
      <c r="Z15" s="88"/>
      <c r="AA15" s="88"/>
      <c r="AB15" s="70" t="s">
        <v>39</v>
      </c>
      <c r="AC15" s="193">
        <v>10</v>
      </c>
      <c r="AD15" s="87"/>
      <c r="AE15" s="362">
        <v>25.085166999999998</v>
      </c>
      <c r="AF15" s="363">
        <v>76.396782999999999</v>
      </c>
    </row>
    <row r="16" spans="1:32">
      <c r="A16" s="87">
        <v>12</v>
      </c>
      <c r="B16" s="182" t="s">
        <v>33</v>
      </c>
      <c r="C16" s="182" t="s">
        <v>33</v>
      </c>
      <c r="D16" s="181" t="s">
        <v>60</v>
      </c>
      <c r="E16" s="181" t="s">
        <v>65</v>
      </c>
      <c r="F16" s="181" t="s">
        <v>66</v>
      </c>
      <c r="G16" s="181">
        <v>655.49</v>
      </c>
      <c r="H16" s="181">
        <v>130</v>
      </c>
      <c r="I16" s="181">
        <v>672</v>
      </c>
      <c r="J16" s="181">
        <v>367</v>
      </c>
      <c r="K16" s="181">
        <v>305</v>
      </c>
      <c r="L16" s="181">
        <v>135</v>
      </c>
      <c r="M16" s="350">
        <f t="shared" si="1"/>
        <v>20.089285714285715</v>
      </c>
      <c r="N16" s="181">
        <v>415</v>
      </c>
      <c r="O16" s="354">
        <f t="shared" si="0"/>
        <v>61.755952380952387</v>
      </c>
      <c r="P16" s="349">
        <v>12.98</v>
      </c>
      <c r="Q16" s="181">
        <v>0</v>
      </c>
      <c r="R16" s="67" t="s">
        <v>37</v>
      </c>
      <c r="S16" s="87" t="s">
        <v>2709</v>
      </c>
      <c r="T16" s="187"/>
      <c r="U16" s="87"/>
      <c r="V16" s="88" t="s">
        <v>67</v>
      </c>
      <c r="W16" s="88"/>
      <c r="X16" s="88"/>
      <c r="Y16" s="88"/>
      <c r="Z16" s="88"/>
      <c r="AA16" s="88"/>
      <c r="AB16" s="88"/>
      <c r="AC16" s="87">
        <v>8</v>
      </c>
      <c r="AD16" s="183" t="s">
        <v>48</v>
      </c>
      <c r="AE16" s="241"/>
      <c r="AF16" s="241"/>
    </row>
    <row r="17" spans="1:32">
      <c r="A17" s="87" t="s">
        <v>51</v>
      </c>
      <c r="B17" s="182" t="s">
        <v>33</v>
      </c>
      <c r="C17" s="182" t="s">
        <v>33</v>
      </c>
      <c r="D17" s="181" t="s">
        <v>68</v>
      </c>
      <c r="E17" s="185" t="s">
        <v>69</v>
      </c>
      <c r="F17" s="181" t="s">
        <v>70</v>
      </c>
      <c r="G17" s="181">
        <v>992</v>
      </c>
      <c r="H17" s="181">
        <v>229</v>
      </c>
      <c r="I17" s="181">
        <v>1156</v>
      </c>
      <c r="J17" s="181">
        <v>630</v>
      </c>
      <c r="K17" s="181">
        <v>526</v>
      </c>
      <c r="L17" s="181">
        <v>264</v>
      </c>
      <c r="M17" s="350">
        <f t="shared" si="1"/>
        <v>22.837370242214533</v>
      </c>
      <c r="N17" s="181">
        <v>600</v>
      </c>
      <c r="O17" s="354">
        <f t="shared" si="0"/>
        <v>51.903114186851205</v>
      </c>
      <c r="P17" s="349">
        <v>54</v>
      </c>
      <c r="Q17" s="181">
        <v>0</v>
      </c>
      <c r="R17" s="67" t="s">
        <v>37</v>
      </c>
      <c r="S17" s="17" t="s">
        <v>71</v>
      </c>
      <c r="T17" s="187"/>
      <c r="U17" s="17">
        <v>47</v>
      </c>
      <c r="V17" s="88"/>
      <c r="W17" s="88"/>
      <c r="X17" s="88"/>
      <c r="Y17" s="88"/>
      <c r="Z17" s="88"/>
      <c r="AA17" s="88"/>
      <c r="AB17" s="70" t="s">
        <v>39</v>
      </c>
      <c r="AC17" s="17">
        <v>25</v>
      </c>
      <c r="AD17" s="87"/>
      <c r="AE17" s="186">
        <v>25.038650000000001</v>
      </c>
      <c r="AF17" s="186">
        <v>76.371144999999999</v>
      </c>
    </row>
    <row r="18" spans="1:32">
      <c r="A18" s="87">
        <v>13</v>
      </c>
      <c r="B18" s="182" t="s">
        <v>33</v>
      </c>
      <c r="C18" s="182" t="s">
        <v>33</v>
      </c>
      <c r="D18" s="181" t="s">
        <v>68</v>
      </c>
      <c r="E18" s="181" t="s">
        <v>72</v>
      </c>
      <c r="F18" s="181" t="s">
        <v>73</v>
      </c>
      <c r="G18" s="181">
        <v>741</v>
      </c>
      <c r="H18" s="181">
        <v>173</v>
      </c>
      <c r="I18" s="181">
        <v>978</v>
      </c>
      <c r="J18" s="181">
        <v>505</v>
      </c>
      <c r="K18" s="181">
        <v>473</v>
      </c>
      <c r="L18" s="181">
        <v>77</v>
      </c>
      <c r="M18" s="350">
        <f t="shared" si="1"/>
        <v>7.8732106339468295</v>
      </c>
      <c r="N18" s="181">
        <v>568</v>
      </c>
      <c r="O18" s="354">
        <f t="shared" si="0"/>
        <v>58.077709611451944</v>
      </c>
      <c r="P18" s="349">
        <v>36</v>
      </c>
      <c r="Q18" s="181">
        <v>0</v>
      </c>
      <c r="R18" s="67" t="s">
        <v>37</v>
      </c>
      <c r="S18" s="17" t="s">
        <v>71</v>
      </c>
      <c r="T18" s="88"/>
      <c r="U18" s="17">
        <v>46.32</v>
      </c>
      <c r="V18" s="88"/>
      <c r="W18" s="88"/>
      <c r="X18" s="88"/>
      <c r="Y18" s="88"/>
      <c r="Z18" s="88"/>
      <c r="AA18" s="88"/>
      <c r="AB18" s="88"/>
      <c r="AC18" s="17"/>
      <c r="AD18" s="183"/>
      <c r="AE18" s="241"/>
      <c r="AF18" s="241"/>
    </row>
    <row r="19" spans="1:32">
      <c r="A19" s="87" t="s">
        <v>51</v>
      </c>
      <c r="B19" s="182" t="s">
        <v>33</v>
      </c>
      <c r="C19" s="182" t="s">
        <v>33</v>
      </c>
      <c r="D19" s="181" t="s">
        <v>68</v>
      </c>
      <c r="E19" s="181" t="s">
        <v>74</v>
      </c>
      <c r="F19" s="181" t="s">
        <v>75</v>
      </c>
      <c r="G19" s="181">
        <v>553</v>
      </c>
      <c r="H19" s="181">
        <v>100</v>
      </c>
      <c r="I19" s="181">
        <v>500</v>
      </c>
      <c r="J19" s="181">
        <v>262</v>
      </c>
      <c r="K19" s="181">
        <v>238</v>
      </c>
      <c r="L19" s="181">
        <v>163</v>
      </c>
      <c r="M19" s="350">
        <f t="shared" si="1"/>
        <v>32.6</v>
      </c>
      <c r="N19" s="181">
        <v>4</v>
      </c>
      <c r="O19" s="354">
        <f t="shared" si="0"/>
        <v>0.8</v>
      </c>
      <c r="P19" s="349">
        <v>2</v>
      </c>
      <c r="Q19" s="181">
        <v>0</v>
      </c>
      <c r="R19" s="67" t="s">
        <v>37</v>
      </c>
      <c r="S19" s="17" t="s">
        <v>76</v>
      </c>
      <c r="T19" s="187"/>
      <c r="U19" s="17">
        <v>1.76</v>
      </c>
      <c r="V19" s="88"/>
      <c r="W19" s="88"/>
      <c r="X19" s="88"/>
      <c r="Y19" s="88"/>
      <c r="Z19" s="88"/>
      <c r="AA19" s="88"/>
      <c r="AB19" s="88"/>
      <c r="AC19" s="17"/>
      <c r="AD19" s="183"/>
      <c r="AE19" s="241"/>
      <c r="AF19" s="241"/>
    </row>
    <row r="20" spans="1:32">
      <c r="A20" s="87">
        <v>14</v>
      </c>
      <c r="B20" s="182" t="s">
        <v>33</v>
      </c>
      <c r="C20" s="182" t="s">
        <v>33</v>
      </c>
      <c r="D20" s="181" t="s">
        <v>68</v>
      </c>
      <c r="E20" s="181" t="s">
        <v>77</v>
      </c>
      <c r="F20" s="181" t="s">
        <v>78</v>
      </c>
      <c r="G20" s="181">
        <v>390</v>
      </c>
      <c r="H20" s="181">
        <v>88</v>
      </c>
      <c r="I20" s="181">
        <v>546</v>
      </c>
      <c r="J20" s="181">
        <v>307</v>
      </c>
      <c r="K20" s="181">
        <v>239</v>
      </c>
      <c r="L20" s="181">
        <v>327</v>
      </c>
      <c r="M20" s="350">
        <f t="shared" si="1"/>
        <v>59.890109890109891</v>
      </c>
      <c r="N20" s="181">
        <v>1</v>
      </c>
      <c r="O20" s="354">
        <f t="shared" si="0"/>
        <v>0.18315018315018314</v>
      </c>
      <c r="P20" s="349">
        <v>10</v>
      </c>
      <c r="Q20" s="181">
        <v>0</v>
      </c>
      <c r="R20" s="67" t="s">
        <v>37</v>
      </c>
      <c r="S20" s="17" t="s">
        <v>76</v>
      </c>
      <c r="T20" s="187"/>
      <c r="U20" s="17">
        <v>15.66</v>
      </c>
      <c r="V20" s="88"/>
      <c r="W20" s="88"/>
      <c r="X20" s="88"/>
      <c r="Y20" s="88"/>
      <c r="Z20" s="88"/>
      <c r="AA20" s="88"/>
      <c r="AB20" s="88"/>
      <c r="AC20" s="17"/>
      <c r="AD20" s="87"/>
      <c r="AE20" s="241"/>
      <c r="AF20" s="241"/>
    </row>
    <row r="21" spans="1:32">
      <c r="A21" s="87">
        <v>15</v>
      </c>
      <c r="B21" s="182" t="s">
        <v>33</v>
      </c>
      <c r="C21" s="182" t="s">
        <v>33</v>
      </c>
      <c r="D21" s="181" t="s">
        <v>79</v>
      </c>
      <c r="E21" s="185" t="s">
        <v>80</v>
      </c>
      <c r="F21" s="181" t="s">
        <v>81</v>
      </c>
      <c r="G21" s="181">
        <v>1277</v>
      </c>
      <c r="H21" s="181">
        <v>1021</v>
      </c>
      <c r="I21" s="181">
        <v>5833</v>
      </c>
      <c r="J21" s="181">
        <v>3039</v>
      </c>
      <c r="K21" s="181">
        <v>2794</v>
      </c>
      <c r="L21" s="181">
        <v>2657</v>
      </c>
      <c r="M21" s="350">
        <f t="shared" si="1"/>
        <v>45.551174352820162</v>
      </c>
      <c r="N21" s="181">
        <v>12</v>
      </c>
      <c r="O21" s="354">
        <f t="shared" si="0"/>
        <v>0.20572604148808502</v>
      </c>
      <c r="P21" s="349">
        <v>130</v>
      </c>
      <c r="Q21" s="181">
        <v>0</v>
      </c>
      <c r="R21" s="87"/>
      <c r="S21" s="17"/>
      <c r="T21" s="88"/>
      <c r="U21" s="17"/>
      <c r="V21" s="88"/>
      <c r="W21" s="88"/>
      <c r="X21" s="88"/>
      <c r="Y21" s="88"/>
      <c r="Z21" s="88"/>
      <c r="AA21" s="88"/>
      <c r="AB21" s="88"/>
      <c r="AC21" s="17"/>
      <c r="AD21" s="87"/>
      <c r="AE21" s="241"/>
      <c r="AF21" s="241"/>
    </row>
    <row r="22" spans="1:32">
      <c r="A22" s="87">
        <v>16</v>
      </c>
      <c r="B22" s="182" t="s">
        <v>33</v>
      </c>
      <c r="C22" s="182" t="s">
        <v>33</v>
      </c>
      <c r="D22" s="181" t="s">
        <v>79</v>
      </c>
      <c r="E22" s="185" t="s">
        <v>80</v>
      </c>
      <c r="F22" s="181"/>
      <c r="G22" s="181"/>
      <c r="H22" s="181"/>
      <c r="I22" s="181"/>
      <c r="J22" s="181"/>
      <c r="K22" s="181"/>
      <c r="L22" s="181"/>
      <c r="M22" s="350"/>
      <c r="N22" s="181"/>
      <c r="O22" s="354"/>
      <c r="P22" s="349"/>
      <c r="Q22" s="181">
        <v>0</v>
      </c>
      <c r="R22" s="87"/>
      <c r="S22" s="17"/>
      <c r="T22" s="88"/>
      <c r="U22" s="17"/>
      <c r="V22" s="88"/>
      <c r="W22" s="88"/>
      <c r="X22" s="88"/>
      <c r="Y22" s="88"/>
      <c r="Z22" s="88"/>
      <c r="AA22" s="88"/>
      <c r="AB22" s="88"/>
      <c r="AC22" s="17">
        <v>12</v>
      </c>
      <c r="AD22" s="87"/>
      <c r="AE22" s="19">
        <v>25.12</v>
      </c>
      <c r="AF22" s="19">
        <v>76.55</v>
      </c>
    </row>
    <row r="23" spans="1:32">
      <c r="A23" s="87">
        <v>17</v>
      </c>
      <c r="B23" s="182" t="s">
        <v>33</v>
      </c>
      <c r="C23" s="182" t="s">
        <v>33</v>
      </c>
      <c r="D23" s="181" t="s">
        <v>79</v>
      </c>
      <c r="E23" s="181" t="s">
        <v>82</v>
      </c>
      <c r="F23" s="181" t="s">
        <v>83</v>
      </c>
      <c r="G23" s="181">
        <v>113.08</v>
      </c>
      <c r="H23" s="181">
        <v>0</v>
      </c>
      <c r="I23" s="181">
        <v>0</v>
      </c>
      <c r="J23" s="181">
        <v>0</v>
      </c>
      <c r="K23" s="181">
        <v>0</v>
      </c>
      <c r="L23" s="181">
        <v>0</v>
      </c>
      <c r="M23" s="350"/>
      <c r="N23" s="181"/>
      <c r="O23" s="354"/>
      <c r="P23" s="349">
        <v>0</v>
      </c>
      <c r="Q23" s="181">
        <v>0</v>
      </c>
      <c r="R23" s="87"/>
      <c r="S23" s="87"/>
      <c r="T23" s="88"/>
      <c r="U23" s="87"/>
      <c r="V23" s="88"/>
      <c r="W23" s="88"/>
      <c r="X23" s="88"/>
      <c r="Y23" s="88"/>
      <c r="Z23" s="88"/>
      <c r="AA23" s="88"/>
      <c r="AB23" s="88"/>
      <c r="AC23" s="87"/>
      <c r="AD23" s="87"/>
      <c r="AE23" s="88"/>
      <c r="AF23" s="88"/>
    </row>
    <row r="24" spans="1:32">
      <c r="A24" s="87">
        <v>18</v>
      </c>
      <c r="B24" s="182" t="s">
        <v>33</v>
      </c>
      <c r="C24" s="182" t="s">
        <v>33</v>
      </c>
      <c r="D24" s="181" t="s">
        <v>84</v>
      </c>
      <c r="E24" s="185" t="s">
        <v>85</v>
      </c>
      <c r="F24" s="181" t="s">
        <v>86</v>
      </c>
      <c r="G24" s="181">
        <v>1067.22</v>
      </c>
      <c r="H24" s="181">
        <v>328</v>
      </c>
      <c r="I24" s="181">
        <v>1708</v>
      </c>
      <c r="J24" s="181">
        <v>886</v>
      </c>
      <c r="K24" s="181">
        <v>822</v>
      </c>
      <c r="L24" s="181">
        <v>537</v>
      </c>
      <c r="M24" s="350">
        <f t="shared" si="1"/>
        <v>31.440281030444968</v>
      </c>
      <c r="N24" s="181">
        <v>40</v>
      </c>
      <c r="O24" s="354">
        <f t="shared" si="0"/>
        <v>2.3419203747072603</v>
      </c>
      <c r="P24" s="349">
        <v>54.1</v>
      </c>
      <c r="Q24" s="181">
        <v>0</v>
      </c>
      <c r="R24" s="67" t="s">
        <v>37</v>
      </c>
      <c r="S24" s="87" t="s">
        <v>37</v>
      </c>
      <c r="T24" s="88"/>
      <c r="U24" s="87"/>
      <c r="V24" s="88"/>
      <c r="W24" s="88"/>
      <c r="X24" s="88"/>
      <c r="Y24" s="88"/>
      <c r="Z24" s="88"/>
      <c r="AA24" s="88"/>
      <c r="AB24" s="70" t="s">
        <v>39</v>
      </c>
      <c r="AC24" s="87"/>
      <c r="AD24" s="183"/>
      <c r="AE24" s="88"/>
      <c r="AF24" s="88"/>
    </row>
    <row r="25" spans="1:32">
      <c r="A25" s="87">
        <v>19</v>
      </c>
      <c r="B25" s="182" t="s">
        <v>33</v>
      </c>
      <c r="C25" s="182" t="s">
        <v>33</v>
      </c>
      <c r="D25" s="181" t="s">
        <v>84</v>
      </c>
      <c r="E25" s="181" t="s">
        <v>87</v>
      </c>
      <c r="F25" s="181" t="s">
        <v>88</v>
      </c>
      <c r="G25" s="181">
        <v>551.87</v>
      </c>
      <c r="H25" s="181">
        <v>163</v>
      </c>
      <c r="I25" s="181">
        <v>847</v>
      </c>
      <c r="J25" s="181">
        <v>465</v>
      </c>
      <c r="K25" s="181">
        <v>382</v>
      </c>
      <c r="L25" s="181">
        <v>499</v>
      </c>
      <c r="M25" s="350">
        <f t="shared" si="1"/>
        <v>58.913813459268006</v>
      </c>
      <c r="N25" s="181">
        <v>0</v>
      </c>
      <c r="O25" s="354">
        <f t="shared" si="0"/>
        <v>0</v>
      </c>
      <c r="P25" s="349">
        <v>28.1</v>
      </c>
      <c r="Q25" s="181">
        <v>0</v>
      </c>
      <c r="R25" s="67" t="s">
        <v>37</v>
      </c>
      <c r="S25" s="87" t="s">
        <v>37</v>
      </c>
      <c r="T25" s="195"/>
      <c r="U25" s="87">
        <v>12.04</v>
      </c>
      <c r="V25" s="88"/>
      <c r="W25" s="88"/>
      <c r="X25" s="88"/>
      <c r="Y25" s="88"/>
      <c r="Z25" s="88"/>
      <c r="AA25" s="88"/>
      <c r="AB25" s="196"/>
      <c r="AC25" s="87"/>
      <c r="AD25" s="183"/>
      <c r="AE25" s="88"/>
      <c r="AF25" s="88"/>
    </row>
    <row r="26" spans="1:32">
      <c r="A26" s="87">
        <v>20</v>
      </c>
      <c r="B26" s="182" t="s">
        <v>33</v>
      </c>
      <c r="C26" s="182" t="s">
        <v>33</v>
      </c>
      <c r="D26" s="181" t="s">
        <v>84</v>
      </c>
      <c r="E26" s="181" t="s">
        <v>89</v>
      </c>
      <c r="F26" s="181" t="s">
        <v>90</v>
      </c>
      <c r="G26" s="181">
        <v>230.44</v>
      </c>
      <c r="H26" s="181">
        <v>116</v>
      </c>
      <c r="I26" s="181">
        <v>590</v>
      </c>
      <c r="J26" s="181">
        <v>290</v>
      </c>
      <c r="K26" s="181">
        <v>300</v>
      </c>
      <c r="L26" s="181">
        <v>135</v>
      </c>
      <c r="M26" s="350">
        <f t="shared" si="1"/>
        <v>22.881355932203391</v>
      </c>
      <c r="N26" s="181">
        <v>0</v>
      </c>
      <c r="O26" s="354">
        <f t="shared" si="0"/>
        <v>0</v>
      </c>
      <c r="P26" s="349">
        <v>25.2</v>
      </c>
      <c r="Q26" s="181">
        <v>0</v>
      </c>
      <c r="R26" s="67" t="s">
        <v>37</v>
      </c>
      <c r="S26" s="17" t="s">
        <v>91</v>
      </c>
      <c r="T26" s="190"/>
      <c r="U26" s="192">
        <v>16</v>
      </c>
      <c r="V26" s="88"/>
      <c r="W26" s="88"/>
      <c r="X26" s="88"/>
      <c r="Y26" s="88"/>
      <c r="Z26" s="88"/>
      <c r="AA26" s="88"/>
      <c r="AB26" s="70" t="s">
        <v>39</v>
      </c>
      <c r="AC26" s="192">
        <v>8</v>
      </c>
      <c r="AD26" s="183" t="s">
        <v>48</v>
      </c>
      <c r="AE26" s="241"/>
      <c r="AF26" s="241"/>
    </row>
    <row r="27" spans="1:32">
      <c r="A27" s="87">
        <v>21</v>
      </c>
      <c r="B27" s="182" t="s">
        <v>33</v>
      </c>
      <c r="C27" s="182" t="s">
        <v>33</v>
      </c>
      <c r="D27" s="181" t="s">
        <v>84</v>
      </c>
      <c r="E27" s="181" t="s">
        <v>89</v>
      </c>
      <c r="F27" s="181"/>
      <c r="G27" s="181"/>
      <c r="H27" s="181"/>
      <c r="I27" s="181"/>
      <c r="J27" s="181"/>
      <c r="K27" s="181"/>
      <c r="L27" s="181"/>
      <c r="M27" s="350"/>
      <c r="N27" s="181"/>
      <c r="O27" s="354"/>
      <c r="P27" s="349"/>
      <c r="Q27" s="181">
        <v>0</v>
      </c>
      <c r="R27" s="184" t="s">
        <v>39</v>
      </c>
      <c r="S27" s="17"/>
      <c r="T27" s="190"/>
      <c r="U27" s="192"/>
      <c r="V27" s="88"/>
      <c r="W27" s="88"/>
      <c r="X27" s="88"/>
      <c r="Y27" s="88"/>
      <c r="Z27" s="88"/>
      <c r="AA27" s="88"/>
      <c r="AB27" s="88"/>
      <c r="AC27" s="192">
        <v>8</v>
      </c>
      <c r="AD27" s="183" t="s">
        <v>48</v>
      </c>
      <c r="AE27" s="19">
        <v>25.198399999999999</v>
      </c>
      <c r="AF27" s="19">
        <v>76.7089</v>
      </c>
    </row>
    <row r="28" spans="1:32">
      <c r="A28" s="87">
        <v>22</v>
      </c>
      <c r="B28" s="182" t="s">
        <v>33</v>
      </c>
      <c r="C28" s="182" t="s">
        <v>33</v>
      </c>
      <c r="D28" s="181" t="s">
        <v>92</v>
      </c>
      <c r="E28" s="185" t="s">
        <v>93</v>
      </c>
      <c r="F28" s="181" t="s">
        <v>94</v>
      </c>
      <c r="G28" s="181">
        <v>1617.41</v>
      </c>
      <c r="H28" s="181">
        <v>498</v>
      </c>
      <c r="I28" s="181">
        <v>2577</v>
      </c>
      <c r="J28" s="181">
        <v>1358</v>
      </c>
      <c r="K28" s="181">
        <v>1219</v>
      </c>
      <c r="L28" s="181">
        <v>817</v>
      </c>
      <c r="M28" s="350">
        <f t="shared" si="1"/>
        <v>31.703531237873495</v>
      </c>
      <c r="N28" s="181">
        <v>314</v>
      </c>
      <c r="O28" s="354">
        <f t="shared" si="0"/>
        <v>12.184710904152114</v>
      </c>
      <c r="P28" s="349">
        <v>102.15</v>
      </c>
      <c r="Q28" s="181">
        <v>0</v>
      </c>
      <c r="R28" s="17"/>
      <c r="S28" s="17"/>
      <c r="T28" s="197"/>
      <c r="U28" s="17"/>
      <c r="V28" s="88"/>
      <c r="W28" s="88"/>
      <c r="X28" s="88"/>
      <c r="Y28" s="88"/>
      <c r="Z28" s="88"/>
      <c r="AA28" s="88"/>
      <c r="AB28" s="87"/>
      <c r="AC28" s="17">
        <v>6</v>
      </c>
      <c r="AD28" s="183" t="s">
        <v>48</v>
      </c>
      <c r="AE28" s="241"/>
      <c r="AF28" s="241"/>
    </row>
    <row r="29" spans="1:32">
      <c r="A29" s="87" t="s">
        <v>95</v>
      </c>
      <c r="B29" s="182" t="s">
        <v>33</v>
      </c>
      <c r="C29" s="182" t="s">
        <v>33</v>
      </c>
      <c r="D29" s="181" t="s">
        <v>96</v>
      </c>
      <c r="E29" s="185" t="s">
        <v>97</v>
      </c>
      <c r="F29" s="181" t="s">
        <v>98</v>
      </c>
      <c r="G29" s="181">
        <v>439.01</v>
      </c>
      <c r="H29" s="181">
        <v>194</v>
      </c>
      <c r="I29" s="181">
        <v>1046</v>
      </c>
      <c r="J29" s="181">
        <v>569</v>
      </c>
      <c r="K29" s="181">
        <v>477</v>
      </c>
      <c r="L29" s="181">
        <v>422</v>
      </c>
      <c r="M29" s="350">
        <f t="shared" si="1"/>
        <v>40.344168260038245</v>
      </c>
      <c r="N29" s="181">
        <v>134</v>
      </c>
      <c r="O29" s="354">
        <f t="shared" si="0"/>
        <v>12.810707456978967</v>
      </c>
      <c r="P29" s="349">
        <v>30</v>
      </c>
      <c r="Q29" s="181">
        <v>0</v>
      </c>
      <c r="R29" s="67" t="s">
        <v>37</v>
      </c>
      <c r="S29" s="87" t="s">
        <v>37</v>
      </c>
      <c r="T29" s="190"/>
      <c r="U29" s="189"/>
      <c r="V29" s="88"/>
      <c r="W29" s="88"/>
      <c r="X29" s="88"/>
      <c r="Y29" s="88"/>
      <c r="Z29" s="88"/>
      <c r="AA29" s="88"/>
      <c r="AB29" s="70" t="s">
        <v>39</v>
      </c>
      <c r="AC29" s="192">
        <v>9.7200000000000006</v>
      </c>
      <c r="AD29" s="183" t="s">
        <v>48</v>
      </c>
      <c r="AE29" s="186">
        <v>25.049063</v>
      </c>
      <c r="AF29" s="186">
        <v>76.483879999999999</v>
      </c>
    </row>
    <row r="30" spans="1:32">
      <c r="A30" s="87">
        <v>23</v>
      </c>
      <c r="B30" s="182" t="s">
        <v>33</v>
      </c>
      <c r="C30" s="182" t="s">
        <v>33</v>
      </c>
      <c r="D30" s="181" t="s">
        <v>96</v>
      </c>
      <c r="E30" s="181" t="s">
        <v>99</v>
      </c>
      <c r="F30" s="181" t="s">
        <v>100</v>
      </c>
      <c r="G30" s="181">
        <v>230</v>
      </c>
      <c r="H30" s="181">
        <v>75</v>
      </c>
      <c r="I30" s="181">
        <v>446</v>
      </c>
      <c r="J30" s="181">
        <v>219</v>
      </c>
      <c r="K30" s="181">
        <v>227</v>
      </c>
      <c r="L30" s="181">
        <v>99</v>
      </c>
      <c r="M30" s="350">
        <f t="shared" si="1"/>
        <v>22.197309417040358</v>
      </c>
      <c r="N30" s="181">
        <v>265</v>
      </c>
      <c r="O30" s="354">
        <f t="shared" si="0"/>
        <v>59.417040358744401</v>
      </c>
      <c r="P30" s="349">
        <v>26</v>
      </c>
      <c r="Q30" s="181">
        <v>0</v>
      </c>
      <c r="R30" s="184" t="s">
        <v>39</v>
      </c>
      <c r="S30" s="87" t="s">
        <v>2709</v>
      </c>
      <c r="T30" s="190"/>
      <c r="U30" s="87"/>
      <c r="V30" s="88"/>
      <c r="W30" s="88"/>
      <c r="X30" s="88"/>
      <c r="Y30" s="88"/>
      <c r="Z30" s="88"/>
      <c r="AA30" s="88"/>
      <c r="AB30" s="87"/>
      <c r="AC30" s="87"/>
      <c r="AD30" s="87"/>
      <c r="AE30" s="241"/>
      <c r="AF30" s="241"/>
    </row>
    <row r="31" spans="1:32">
      <c r="A31" s="87">
        <v>24</v>
      </c>
      <c r="B31" s="182" t="s">
        <v>33</v>
      </c>
      <c r="C31" s="182" t="s">
        <v>33</v>
      </c>
      <c r="D31" s="181" t="s">
        <v>96</v>
      </c>
      <c r="E31" s="181" t="s">
        <v>101</v>
      </c>
      <c r="F31" s="181" t="s">
        <v>102</v>
      </c>
      <c r="G31" s="181">
        <v>251</v>
      </c>
      <c r="H31" s="181">
        <v>171</v>
      </c>
      <c r="I31" s="181">
        <v>874</v>
      </c>
      <c r="J31" s="181">
        <v>457</v>
      </c>
      <c r="K31" s="181">
        <v>417</v>
      </c>
      <c r="L31" s="181">
        <v>95</v>
      </c>
      <c r="M31" s="350">
        <f t="shared" si="1"/>
        <v>10.869565217391305</v>
      </c>
      <c r="N31" s="181">
        <v>49</v>
      </c>
      <c r="O31" s="354">
        <f t="shared" si="0"/>
        <v>5.6064073226544622</v>
      </c>
      <c r="P31" s="349">
        <v>19</v>
      </c>
      <c r="Q31" s="181">
        <v>15</v>
      </c>
      <c r="R31" s="67" t="s">
        <v>37</v>
      </c>
      <c r="S31" s="87" t="s">
        <v>37</v>
      </c>
      <c r="T31" s="88"/>
      <c r="U31" s="87"/>
      <c r="V31" s="88"/>
      <c r="W31" s="88"/>
      <c r="X31" s="88"/>
      <c r="Y31" s="88"/>
      <c r="Z31" s="88"/>
      <c r="AA31" s="88"/>
      <c r="AB31" s="88"/>
      <c r="AC31" s="87"/>
      <c r="AD31" s="183"/>
      <c r="AE31" s="88"/>
      <c r="AF31" s="88"/>
    </row>
    <row r="32" spans="1:32">
      <c r="A32" s="87">
        <v>25</v>
      </c>
      <c r="B32" s="182" t="s">
        <v>33</v>
      </c>
      <c r="C32" s="182" t="s">
        <v>33</v>
      </c>
      <c r="D32" s="181" t="s">
        <v>96</v>
      </c>
      <c r="E32" s="181" t="s">
        <v>103</v>
      </c>
      <c r="F32" s="181" t="s">
        <v>104</v>
      </c>
      <c r="G32" s="181">
        <v>194</v>
      </c>
      <c r="H32" s="181">
        <v>122</v>
      </c>
      <c r="I32" s="181">
        <v>646</v>
      </c>
      <c r="J32" s="181">
        <v>323</v>
      </c>
      <c r="K32" s="181">
        <v>323</v>
      </c>
      <c r="L32" s="181">
        <v>171</v>
      </c>
      <c r="M32" s="350">
        <f t="shared" si="1"/>
        <v>26.47058823529412</v>
      </c>
      <c r="N32" s="181">
        <v>13</v>
      </c>
      <c r="O32" s="354">
        <f t="shared" si="0"/>
        <v>2.0123839009287927</v>
      </c>
      <c r="P32" s="349">
        <v>34</v>
      </c>
      <c r="Q32" s="181">
        <v>0</v>
      </c>
      <c r="R32" s="87" t="s">
        <v>39</v>
      </c>
      <c r="S32" s="87" t="s">
        <v>2709</v>
      </c>
      <c r="T32" s="88"/>
      <c r="U32" s="87"/>
      <c r="V32" s="88"/>
      <c r="W32" s="88"/>
      <c r="X32" s="88"/>
      <c r="Y32" s="88"/>
      <c r="Z32" s="88"/>
      <c r="AA32" s="88"/>
      <c r="AB32" s="88"/>
      <c r="AC32" s="87"/>
      <c r="AD32" s="183"/>
      <c r="AE32" s="88"/>
      <c r="AF32" s="88"/>
    </row>
    <row r="33" spans="1:32">
      <c r="A33" s="87" t="s">
        <v>51</v>
      </c>
      <c r="B33" s="182" t="s">
        <v>33</v>
      </c>
      <c r="C33" s="182" t="s">
        <v>33</v>
      </c>
      <c r="D33" s="181" t="s">
        <v>105</v>
      </c>
      <c r="E33" s="185" t="s">
        <v>106</v>
      </c>
      <c r="F33" s="181" t="s">
        <v>107</v>
      </c>
      <c r="G33" s="181">
        <v>1299.8900000000001</v>
      </c>
      <c r="H33" s="181">
        <v>237</v>
      </c>
      <c r="I33" s="181">
        <v>1205</v>
      </c>
      <c r="J33" s="181">
        <v>618</v>
      </c>
      <c r="K33" s="181">
        <v>587</v>
      </c>
      <c r="L33" s="181">
        <v>413</v>
      </c>
      <c r="M33" s="350">
        <f t="shared" si="1"/>
        <v>34.273858921161825</v>
      </c>
      <c r="N33" s="181">
        <v>13</v>
      </c>
      <c r="O33" s="354">
        <f t="shared" si="0"/>
        <v>1.0788381742738589</v>
      </c>
      <c r="P33" s="349">
        <v>66.22</v>
      </c>
      <c r="Q33" s="181">
        <v>0</v>
      </c>
      <c r="R33" s="67" t="s">
        <v>37</v>
      </c>
      <c r="S33" s="17" t="s">
        <v>108</v>
      </c>
      <c r="T33" s="88"/>
      <c r="U33" s="192">
        <v>68.2</v>
      </c>
      <c r="V33" s="88"/>
      <c r="W33" s="88"/>
      <c r="X33" s="88"/>
      <c r="Y33" s="88"/>
      <c r="Z33" s="88"/>
      <c r="AA33" s="88"/>
      <c r="AB33" s="88"/>
      <c r="AC33" s="192"/>
      <c r="AD33" s="183" t="s">
        <v>48</v>
      </c>
      <c r="AE33" s="198">
        <v>25.033535000000001</v>
      </c>
      <c r="AF33" s="199">
        <v>76.457143000000002</v>
      </c>
    </row>
    <row r="34" spans="1:32">
      <c r="A34" s="87" t="s">
        <v>51</v>
      </c>
      <c r="B34" s="182" t="s">
        <v>33</v>
      </c>
      <c r="C34" s="182" t="s">
        <v>33</v>
      </c>
      <c r="D34" s="181" t="s">
        <v>105</v>
      </c>
      <c r="E34" s="185" t="s">
        <v>106</v>
      </c>
      <c r="F34" s="181"/>
      <c r="G34" s="181"/>
      <c r="H34" s="181"/>
      <c r="I34" s="181"/>
      <c r="J34" s="181"/>
      <c r="K34" s="181"/>
      <c r="L34" s="181"/>
      <c r="M34" s="350"/>
      <c r="N34" s="181"/>
      <c r="O34" s="354"/>
      <c r="P34" s="349"/>
      <c r="Q34" s="181"/>
      <c r="R34" s="87"/>
      <c r="S34" s="17"/>
      <c r="T34" s="88"/>
      <c r="U34" s="192"/>
      <c r="V34" s="88"/>
      <c r="W34" s="88"/>
      <c r="X34" s="88"/>
      <c r="Y34" s="88"/>
      <c r="Z34" s="88"/>
      <c r="AA34" s="88"/>
      <c r="AB34" s="88"/>
      <c r="AC34" s="19">
        <v>12</v>
      </c>
      <c r="AD34" s="87"/>
      <c r="AE34" s="19">
        <v>25.226800000000001</v>
      </c>
      <c r="AF34" s="19">
        <v>76.651200000000003</v>
      </c>
    </row>
    <row r="35" spans="1:32">
      <c r="A35" s="87">
        <v>27</v>
      </c>
      <c r="B35" s="182" t="s">
        <v>33</v>
      </c>
      <c r="C35" s="182" t="s">
        <v>33</v>
      </c>
      <c r="D35" s="181" t="s">
        <v>105</v>
      </c>
      <c r="E35" s="181" t="s">
        <v>109</v>
      </c>
      <c r="F35" s="181" t="s">
        <v>110</v>
      </c>
      <c r="G35" s="181">
        <v>341.75</v>
      </c>
      <c r="H35" s="181">
        <v>97</v>
      </c>
      <c r="I35" s="181">
        <v>529</v>
      </c>
      <c r="J35" s="181">
        <v>286</v>
      </c>
      <c r="K35" s="181">
        <v>243</v>
      </c>
      <c r="L35" s="181">
        <v>173</v>
      </c>
      <c r="M35" s="350">
        <f t="shared" si="1"/>
        <v>32.703213610586012</v>
      </c>
      <c r="N35" s="181">
        <v>158</v>
      </c>
      <c r="O35" s="354">
        <f t="shared" si="0"/>
        <v>29.867674858223065</v>
      </c>
      <c r="P35" s="349">
        <v>29.27</v>
      </c>
      <c r="Q35" s="181">
        <v>146</v>
      </c>
      <c r="R35" s="67" t="s">
        <v>37</v>
      </c>
      <c r="S35" s="200" t="s">
        <v>111</v>
      </c>
      <c r="T35" s="88"/>
      <c r="U35" s="201"/>
      <c r="V35" s="88"/>
      <c r="W35" s="88"/>
      <c r="X35" s="88"/>
      <c r="Y35" s="88"/>
      <c r="Z35" s="88"/>
      <c r="AA35" s="88"/>
      <c r="AB35" s="70" t="s">
        <v>39</v>
      </c>
      <c r="AC35" s="201">
        <v>19.27</v>
      </c>
      <c r="AD35" s="183" t="s">
        <v>48</v>
      </c>
      <c r="AE35" s="202">
        <v>24.994526</v>
      </c>
      <c r="AF35" s="203">
        <v>76.447378999999998</v>
      </c>
    </row>
    <row r="36" spans="1:32">
      <c r="A36" s="87">
        <v>28</v>
      </c>
      <c r="B36" s="182" t="s">
        <v>33</v>
      </c>
      <c r="C36" s="182" t="s">
        <v>33</v>
      </c>
      <c r="D36" s="181" t="s">
        <v>105</v>
      </c>
      <c r="E36" s="181" t="s">
        <v>109</v>
      </c>
      <c r="F36" s="181"/>
      <c r="G36" s="181"/>
      <c r="H36" s="181"/>
      <c r="I36" s="181"/>
      <c r="J36" s="181"/>
      <c r="K36" s="181"/>
      <c r="L36" s="181"/>
      <c r="M36" s="350"/>
      <c r="N36" s="181"/>
      <c r="O36" s="354"/>
      <c r="P36" s="349"/>
      <c r="Q36" s="181"/>
      <c r="R36" s="87"/>
      <c r="S36" s="200"/>
      <c r="T36" s="88"/>
      <c r="U36" s="201"/>
      <c r="V36" s="88"/>
      <c r="W36" s="88"/>
      <c r="X36" s="88"/>
      <c r="Y36" s="88"/>
      <c r="Z36" s="88"/>
      <c r="AA36" s="88"/>
      <c r="AB36" s="88"/>
      <c r="AC36" s="19">
        <v>8</v>
      </c>
      <c r="AD36" s="87"/>
      <c r="AE36" s="19">
        <v>25.2149</v>
      </c>
      <c r="AF36" s="19">
        <v>76.662700000000001</v>
      </c>
    </row>
    <row r="37" spans="1:32">
      <c r="A37" s="87">
        <v>29</v>
      </c>
      <c r="B37" s="182" t="s">
        <v>33</v>
      </c>
      <c r="C37" s="182" t="s">
        <v>33</v>
      </c>
      <c r="D37" s="181" t="s">
        <v>105</v>
      </c>
      <c r="E37" s="181" t="s">
        <v>112</v>
      </c>
      <c r="F37" s="181" t="s">
        <v>113</v>
      </c>
      <c r="G37" s="181">
        <v>587.52</v>
      </c>
      <c r="H37" s="181">
        <v>161</v>
      </c>
      <c r="I37" s="181">
        <v>963</v>
      </c>
      <c r="J37" s="181">
        <v>503</v>
      </c>
      <c r="K37" s="181">
        <v>460</v>
      </c>
      <c r="L37" s="181">
        <v>211</v>
      </c>
      <c r="M37" s="350">
        <f t="shared" si="1"/>
        <v>21.910695742471443</v>
      </c>
      <c r="N37" s="181">
        <v>539</v>
      </c>
      <c r="O37" s="354">
        <f t="shared" si="0"/>
        <v>55.970924195223262</v>
      </c>
      <c r="P37" s="349">
        <v>40.53</v>
      </c>
      <c r="Q37" s="181">
        <v>0</v>
      </c>
      <c r="R37" s="67" t="s">
        <v>37</v>
      </c>
      <c r="S37" s="87" t="s">
        <v>37</v>
      </c>
      <c r="T37" s="88"/>
      <c r="U37" s="87"/>
      <c r="V37" s="88"/>
      <c r="W37" s="88"/>
      <c r="X37" s="88"/>
      <c r="Y37" s="88"/>
      <c r="Z37" s="88"/>
      <c r="AA37" s="88"/>
      <c r="AB37" s="88"/>
      <c r="AC37" s="87"/>
      <c r="AD37" s="183"/>
      <c r="AE37" s="88"/>
      <c r="AF37" s="88"/>
    </row>
    <row r="38" spans="1:32">
      <c r="A38" s="87">
        <v>30</v>
      </c>
      <c r="B38" s="182" t="s">
        <v>33</v>
      </c>
      <c r="C38" s="182" t="s">
        <v>33</v>
      </c>
      <c r="D38" s="181" t="s">
        <v>114</v>
      </c>
      <c r="E38" s="185" t="s">
        <v>115</v>
      </c>
      <c r="F38" s="181" t="s">
        <v>116</v>
      </c>
      <c r="G38" s="181">
        <v>1308</v>
      </c>
      <c r="H38" s="181">
        <v>364</v>
      </c>
      <c r="I38" s="181">
        <v>1692</v>
      </c>
      <c r="J38" s="181">
        <v>861</v>
      </c>
      <c r="K38" s="181">
        <v>831</v>
      </c>
      <c r="L38" s="181">
        <v>665</v>
      </c>
      <c r="M38" s="350">
        <f t="shared" si="1"/>
        <v>39.302600472813239</v>
      </c>
      <c r="N38" s="181">
        <v>345</v>
      </c>
      <c r="O38" s="354">
        <f t="shared" si="0"/>
        <v>20.390070921985814</v>
      </c>
      <c r="P38" s="349">
        <v>179</v>
      </c>
      <c r="Q38" s="181">
        <v>0</v>
      </c>
      <c r="R38" s="67" t="s">
        <v>37</v>
      </c>
      <c r="S38" s="204">
        <v>44967</v>
      </c>
      <c r="T38" s="88"/>
      <c r="U38" s="17">
        <v>82.16</v>
      </c>
      <c r="V38" s="88"/>
      <c r="W38" s="88"/>
      <c r="X38" s="88"/>
      <c r="Y38" s="88"/>
      <c r="Z38" s="88"/>
      <c r="AA38" s="88"/>
      <c r="AB38" s="70" t="s">
        <v>39</v>
      </c>
      <c r="AC38" s="17">
        <v>12</v>
      </c>
      <c r="AD38" s="183" t="s">
        <v>48</v>
      </c>
      <c r="AE38" s="186">
        <v>25.226966999999998</v>
      </c>
      <c r="AF38" s="186">
        <v>76.606290000000001</v>
      </c>
    </row>
    <row r="39" spans="1:32">
      <c r="A39" s="87">
        <v>31</v>
      </c>
      <c r="B39" s="182" t="s">
        <v>33</v>
      </c>
      <c r="C39" s="182" t="s">
        <v>33</v>
      </c>
      <c r="D39" s="181" t="s">
        <v>114</v>
      </c>
      <c r="E39" s="185" t="s">
        <v>115</v>
      </c>
      <c r="F39" s="181"/>
      <c r="G39" s="181"/>
      <c r="H39" s="181"/>
      <c r="I39" s="181"/>
      <c r="J39" s="181"/>
      <c r="K39" s="181"/>
      <c r="L39" s="181"/>
      <c r="M39" s="350"/>
      <c r="N39" s="181"/>
      <c r="O39" s="354"/>
      <c r="P39" s="349"/>
      <c r="Q39" s="181"/>
      <c r="R39" s="87"/>
      <c r="S39" s="204"/>
      <c r="T39" s="88"/>
      <c r="U39" s="17"/>
      <c r="V39" s="88"/>
      <c r="W39" s="88"/>
      <c r="X39" s="88"/>
      <c r="Y39" s="88"/>
      <c r="Z39" s="88"/>
      <c r="AA39" s="88"/>
      <c r="AB39" s="88"/>
      <c r="AC39" s="17">
        <v>12</v>
      </c>
      <c r="AD39" s="87"/>
      <c r="AE39" s="19">
        <v>25.06</v>
      </c>
      <c r="AF39" s="19">
        <v>76.58</v>
      </c>
    </row>
    <row r="40" spans="1:32">
      <c r="A40" s="87">
        <v>32</v>
      </c>
      <c r="B40" s="182" t="s">
        <v>33</v>
      </c>
      <c r="C40" s="182" t="s">
        <v>33</v>
      </c>
      <c r="D40" s="181" t="s">
        <v>114</v>
      </c>
      <c r="E40" s="181" t="s">
        <v>117</v>
      </c>
      <c r="F40" s="181" t="s">
        <v>118</v>
      </c>
      <c r="G40" s="181">
        <v>457</v>
      </c>
      <c r="H40" s="181">
        <v>134</v>
      </c>
      <c r="I40" s="181">
        <v>692</v>
      </c>
      <c r="J40" s="181">
        <v>365</v>
      </c>
      <c r="K40" s="181">
        <v>327</v>
      </c>
      <c r="L40" s="181">
        <v>115</v>
      </c>
      <c r="M40" s="350">
        <f t="shared" si="1"/>
        <v>16.618497109826588</v>
      </c>
      <c r="N40" s="181">
        <v>251</v>
      </c>
      <c r="O40" s="354">
        <f t="shared" si="0"/>
        <v>36.271676300578036</v>
      </c>
      <c r="P40" s="349">
        <v>27</v>
      </c>
      <c r="Q40" s="181">
        <v>0</v>
      </c>
      <c r="R40" s="67" t="s">
        <v>37</v>
      </c>
      <c r="S40" s="204">
        <v>44967</v>
      </c>
      <c r="T40" s="88"/>
      <c r="U40" s="17">
        <v>29.83</v>
      </c>
      <c r="V40" s="88"/>
      <c r="W40" s="88"/>
      <c r="X40" s="88"/>
      <c r="Y40" s="88"/>
      <c r="Z40" s="88"/>
      <c r="AA40" s="88"/>
      <c r="AB40" s="70" t="s">
        <v>39</v>
      </c>
      <c r="AC40" s="17">
        <v>6</v>
      </c>
      <c r="AD40" s="183" t="s">
        <v>48</v>
      </c>
      <c r="AE40" s="88"/>
      <c r="AF40" s="88"/>
    </row>
    <row r="41" spans="1:32">
      <c r="A41" s="87">
        <v>33</v>
      </c>
      <c r="B41" s="182" t="s">
        <v>33</v>
      </c>
      <c r="C41" s="182" t="s">
        <v>33</v>
      </c>
      <c r="D41" s="181" t="s">
        <v>114</v>
      </c>
      <c r="E41" s="181" t="s">
        <v>119</v>
      </c>
      <c r="F41" s="181" t="s">
        <v>120</v>
      </c>
      <c r="G41" s="181">
        <v>244</v>
      </c>
      <c r="H41" s="181">
        <v>82</v>
      </c>
      <c r="I41" s="181">
        <v>425</v>
      </c>
      <c r="J41" s="181">
        <v>220</v>
      </c>
      <c r="K41" s="181">
        <v>205</v>
      </c>
      <c r="L41" s="181">
        <v>135</v>
      </c>
      <c r="M41" s="350">
        <f t="shared" si="1"/>
        <v>31.764705882352938</v>
      </c>
      <c r="N41" s="181">
        <v>0</v>
      </c>
      <c r="O41" s="354">
        <f t="shared" si="0"/>
        <v>0</v>
      </c>
      <c r="P41" s="349">
        <v>21</v>
      </c>
      <c r="Q41" s="181">
        <v>0</v>
      </c>
      <c r="R41" s="67" t="s">
        <v>37</v>
      </c>
      <c r="S41" s="204">
        <v>44967</v>
      </c>
      <c r="T41" s="190"/>
      <c r="U41" s="17">
        <v>19.96</v>
      </c>
      <c r="V41" s="88"/>
      <c r="W41" s="88"/>
      <c r="X41" s="88"/>
      <c r="Y41" s="88"/>
      <c r="Z41" s="88"/>
      <c r="AA41" s="88"/>
      <c r="AB41" s="70" t="s">
        <v>39</v>
      </c>
      <c r="AC41" s="17">
        <v>11</v>
      </c>
      <c r="AD41" s="183" t="s">
        <v>48</v>
      </c>
      <c r="AE41" s="88"/>
      <c r="AF41" s="88"/>
    </row>
    <row r="42" spans="1:32">
      <c r="A42" s="87">
        <v>34</v>
      </c>
      <c r="B42" s="182" t="s">
        <v>33</v>
      </c>
      <c r="C42" s="182" t="s">
        <v>33</v>
      </c>
      <c r="D42" s="181" t="s">
        <v>114</v>
      </c>
      <c r="E42" s="181" t="s">
        <v>121</v>
      </c>
      <c r="F42" s="181" t="s">
        <v>122</v>
      </c>
      <c r="G42" s="181">
        <v>361</v>
      </c>
      <c r="H42" s="181">
        <v>66</v>
      </c>
      <c r="I42" s="181">
        <v>309</v>
      </c>
      <c r="J42" s="181">
        <v>156</v>
      </c>
      <c r="K42" s="181">
        <v>153</v>
      </c>
      <c r="L42" s="181">
        <v>26</v>
      </c>
      <c r="M42" s="350">
        <f t="shared" si="1"/>
        <v>8.4142394822006477</v>
      </c>
      <c r="N42" s="181">
        <v>101</v>
      </c>
      <c r="O42" s="354">
        <f t="shared" si="0"/>
        <v>32.686084142394819</v>
      </c>
      <c r="P42" s="349">
        <v>12</v>
      </c>
      <c r="Q42" s="181">
        <v>0</v>
      </c>
      <c r="R42" s="67" t="s">
        <v>37</v>
      </c>
      <c r="S42" s="204">
        <v>44967</v>
      </c>
      <c r="T42" s="88"/>
      <c r="U42" s="17">
        <v>14.1</v>
      </c>
      <c r="V42" s="88"/>
      <c r="W42" s="88"/>
      <c r="X42" s="88"/>
      <c r="Y42" s="88"/>
      <c r="Z42" s="88"/>
      <c r="AA42" s="88"/>
      <c r="AB42" s="70" t="s">
        <v>39</v>
      </c>
      <c r="AC42" s="17">
        <v>8</v>
      </c>
      <c r="AD42" s="183" t="s">
        <v>48</v>
      </c>
      <c r="AE42" s="88"/>
      <c r="AF42" s="88"/>
    </row>
    <row r="43" spans="1:32">
      <c r="A43" s="87">
        <v>35</v>
      </c>
      <c r="B43" s="182" t="s">
        <v>33</v>
      </c>
      <c r="C43" s="182" t="s">
        <v>33</v>
      </c>
      <c r="D43" s="181" t="s">
        <v>114</v>
      </c>
      <c r="E43" s="181" t="s">
        <v>123</v>
      </c>
      <c r="F43" s="181" t="s">
        <v>124</v>
      </c>
      <c r="G43" s="181">
        <v>419</v>
      </c>
      <c r="H43" s="181">
        <v>84</v>
      </c>
      <c r="I43" s="181">
        <v>410</v>
      </c>
      <c r="J43" s="181">
        <v>201</v>
      </c>
      <c r="K43" s="181">
        <v>209</v>
      </c>
      <c r="L43" s="181">
        <v>13</v>
      </c>
      <c r="M43" s="350">
        <f t="shared" si="1"/>
        <v>3.1707317073170733</v>
      </c>
      <c r="N43" s="181">
        <v>255</v>
      </c>
      <c r="O43" s="354">
        <f t="shared" si="0"/>
        <v>62.195121951219512</v>
      </c>
      <c r="P43" s="349">
        <v>19</v>
      </c>
      <c r="Q43" s="181">
        <v>0</v>
      </c>
      <c r="R43" s="67" t="s">
        <v>37</v>
      </c>
      <c r="S43" s="204">
        <v>44967</v>
      </c>
      <c r="T43" s="88"/>
      <c r="U43" s="17">
        <v>24.2</v>
      </c>
      <c r="V43" s="88"/>
      <c r="W43" s="88"/>
      <c r="X43" s="88"/>
      <c r="Y43" s="88"/>
      <c r="Z43" s="88"/>
      <c r="AA43" s="88"/>
      <c r="AB43" s="70" t="s">
        <v>39</v>
      </c>
      <c r="AC43" s="17">
        <v>11</v>
      </c>
      <c r="AD43" s="183" t="s">
        <v>48</v>
      </c>
      <c r="AE43" s="88"/>
      <c r="AF43" s="88"/>
    </row>
    <row r="44" spans="1:32">
      <c r="A44" s="87" t="s">
        <v>51</v>
      </c>
      <c r="B44" s="182" t="s">
        <v>33</v>
      </c>
      <c r="C44" s="182" t="s">
        <v>33</v>
      </c>
      <c r="D44" s="181" t="s">
        <v>125</v>
      </c>
      <c r="E44" s="185" t="s">
        <v>126</v>
      </c>
      <c r="F44" s="181" t="s">
        <v>127</v>
      </c>
      <c r="G44" s="181">
        <v>2521.16</v>
      </c>
      <c r="H44" s="181">
        <v>1161</v>
      </c>
      <c r="I44" s="181">
        <v>6117</v>
      </c>
      <c r="J44" s="181">
        <v>3183</v>
      </c>
      <c r="K44" s="181">
        <v>2934</v>
      </c>
      <c r="L44" s="181">
        <v>862</v>
      </c>
      <c r="M44" s="350">
        <f t="shared" si="1"/>
        <v>14.091875102174267</v>
      </c>
      <c r="N44" s="181">
        <v>738</v>
      </c>
      <c r="O44" s="354">
        <f t="shared" si="0"/>
        <v>12.064737616478666</v>
      </c>
      <c r="P44" s="349">
        <v>227.92</v>
      </c>
      <c r="Q44" s="181">
        <v>0</v>
      </c>
      <c r="R44" s="67" t="s">
        <v>37</v>
      </c>
      <c r="S44" s="87" t="s">
        <v>37</v>
      </c>
      <c r="T44" s="88"/>
      <c r="U44" s="17"/>
      <c r="V44" s="88"/>
      <c r="W44" s="88"/>
      <c r="X44" s="88"/>
      <c r="Y44" s="88"/>
      <c r="Z44" s="88"/>
      <c r="AA44" s="88"/>
      <c r="AB44" s="70" t="s">
        <v>39</v>
      </c>
      <c r="AC44" s="205">
        <v>14</v>
      </c>
      <c r="AD44" s="183" t="s">
        <v>128</v>
      </c>
      <c r="AE44" s="186" t="s">
        <v>129</v>
      </c>
      <c r="AF44" s="186">
        <v>76.562730000000002</v>
      </c>
    </row>
    <row r="45" spans="1:32">
      <c r="A45" s="87">
        <v>36</v>
      </c>
      <c r="B45" s="182" t="s">
        <v>33</v>
      </c>
      <c r="C45" s="182" t="s">
        <v>33</v>
      </c>
      <c r="D45" s="181" t="s">
        <v>125</v>
      </c>
      <c r="E45" s="185" t="s">
        <v>126</v>
      </c>
      <c r="F45" s="181"/>
      <c r="G45" s="181"/>
      <c r="H45" s="181"/>
      <c r="I45" s="181"/>
      <c r="J45" s="181"/>
      <c r="K45" s="181"/>
      <c r="L45" s="181"/>
      <c r="M45" s="350"/>
      <c r="N45" s="181"/>
      <c r="O45" s="354"/>
      <c r="P45" s="349"/>
      <c r="Q45" s="181"/>
      <c r="R45" s="87"/>
      <c r="S45" s="87"/>
      <c r="T45" s="190"/>
      <c r="U45" s="17"/>
      <c r="V45" s="88"/>
      <c r="W45" s="88"/>
      <c r="X45" s="88"/>
      <c r="Y45" s="88"/>
      <c r="Z45" s="88"/>
      <c r="AA45" s="88"/>
      <c r="AB45" s="88"/>
      <c r="AC45" s="19">
        <v>3</v>
      </c>
      <c r="AD45" s="183" t="s">
        <v>48</v>
      </c>
      <c r="AE45" s="19">
        <v>25.071899999999999</v>
      </c>
      <c r="AF45" s="19">
        <v>76.5458</v>
      </c>
    </row>
    <row r="46" spans="1:32">
      <c r="A46" s="87" t="s">
        <v>51</v>
      </c>
      <c r="B46" s="182" t="s">
        <v>33</v>
      </c>
      <c r="C46" s="182" t="s">
        <v>33</v>
      </c>
      <c r="D46" s="181" t="s">
        <v>125</v>
      </c>
      <c r="E46" s="185" t="s">
        <v>126</v>
      </c>
      <c r="F46" s="181"/>
      <c r="G46" s="181"/>
      <c r="H46" s="181"/>
      <c r="I46" s="181"/>
      <c r="J46" s="181"/>
      <c r="K46" s="181"/>
      <c r="L46" s="181"/>
      <c r="M46" s="350"/>
      <c r="N46" s="181"/>
      <c r="O46" s="354"/>
      <c r="P46" s="349"/>
      <c r="Q46" s="181"/>
      <c r="R46" s="87"/>
      <c r="S46" s="87"/>
      <c r="T46" s="190"/>
      <c r="U46" s="17"/>
      <c r="V46" s="88"/>
      <c r="W46" s="88"/>
      <c r="X46" s="88"/>
      <c r="Y46" s="88"/>
      <c r="Z46" s="88"/>
      <c r="AA46" s="88"/>
      <c r="AB46" s="88"/>
      <c r="AC46" s="19">
        <v>15</v>
      </c>
      <c r="AD46" s="87"/>
      <c r="AE46" s="19">
        <v>25.0654</v>
      </c>
      <c r="AF46" s="19">
        <v>76.553200000000004</v>
      </c>
    </row>
    <row r="47" spans="1:32">
      <c r="A47" s="87">
        <v>37</v>
      </c>
      <c r="B47" s="182" t="s">
        <v>33</v>
      </c>
      <c r="C47" s="182" t="s">
        <v>33</v>
      </c>
      <c r="D47" s="181" t="s">
        <v>130</v>
      </c>
      <c r="E47" s="185" t="s">
        <v>131</v>
      </c>
      <c r="F47" s="181" t="s">
        <v>132</v>
      </c>
      <c r="G47" s="181">
        <v>619</v>
      </c>
      <c r="H47" s="181">
        <v>158</v>
      </c>
      <c r="I47" s="181">
        <v>837</v>
      </c>
      <c r="J47" s="181">
        <v>430</v>
      </c>
      <c r="K47" s="181">
        <v>407</v>
      </c>
      <c r="L47" s="181">
        <v>209</v>
      </c>
      <c r="M47" s="350">
        <f t="shared" si="1"/>
        <v>24.970131421744323</v>
      </c>
      <c r="N47" s="181">
        <v>400</v>
      </c>
      <c r="O47" s="354">
        <f t="shared" si="0"/>
        <v>47.789725209080046</v>
      </c>
      <c r="P47" s="349">
        <v>49</v>
      </c>
      <c r="Q47" s="181">
        <v>124</v>
      </c>
      <c r="R47" s="67" t="s">
        <v>37</v>
      </c>
      <c r="S47" s="17" t="s">
        <v>133</v>
      </c>
      <c r="T47" s="190"/>
      <c r="U47" s="192">
        <v>37.86</v>
      </c>
      <c r="V47" s="88"/>
      <c r="W47" s="88"/>
      <c r="X47" s="88"/>
      <c r="Y47" s="88"/>
      <c r="Z47" s="88"/>
      <c r="AA47" s="88"/>
      <c r="AB47" s="70" t="s">
        <v>39</v>
      </c>
      <c r="AC47" s="192">
        <v>20.94</v>
      </c>
      <c r="AD47" s="183" t="s">
        <v>48</v>
      </c>
      <c r="AE47" s="186">
        <v>25.154586999999999</v>
      </c>
      <c r="AF47" s="186">
        <v>76.528943999999996</v>
      </c>
    </row>
    <row r="48" spans="1:32">
      <c r="A48" s="87">
        <v>38</v>
      </c>
      <c r="B48" s="182" t="s">
        <v>33</v>
      </c>
      <c r="C48" s="182" t="s">
        <v>33</v>
      </c>
      <c r="D48" s="181" t="s">
        <v>130</v>
      </c>
      <c r="E48" s="185" t="s">
        <v>131</v>
      </c>
      <c r="F48" s="181"/>
      <c r="G48" s="181"/>
      <c r="H48" s="181"/>
      <c r="I48" s="181"/>
      <c r="J48" s="181"/>
      <c r="K48" s="181"/>
      <c r="L48" s="181"/>
      <c r="M48" s="350"/>
      <c r="N48" s="181"/>
      <c r="O48" s="354"/>
      <c r="P48" s="349"/>
      <c r="Q48" s="181"/>
      <c r="R48" s="87" t="s">
        <v>39</v>
      </c>
      <c r="S48" s="17"/>
      <c r="T48" s="190"/>
      <c r="U48" s="192"/>
      <c r="V48" s="88"/>
      <c r="W48" s="88"/>
      <c r="X48" s="88"/>
      <c r="Y48" s="88"/>
      <c r="Z48" s="88"/>
      <c r="AA48" s="88"/>
      <c r="AB48" s="88"/>
      <c r="AC48" s="192">
        <v>20.94</v>
      </c>
      <c r="AD48" s="87"/>
      <c r="AE48" s="19">
        <v>25.2743</v>
      </c>
      <c r="AF48" s="19">
        <v>76.712400000000002</v>
      </c>
    </row>
    <row r="49" spans="1:32">
      <c r="A49" s="87">
        <v>39</v>
      </c>
      <c r="B49" s="182" t="s">
        <v>33</v>
      </c>
      <c r="C49" s="182" t="s">
        <v>33</v>
      </c>
      <c r="D49" s="181" t="s">
        <v>130</v>
      </c>
      <c r="E49" s="181" t="s">
        <v>134</v>
      </c>
      <c r="F49" s="181" t="s">
        <v>135</v>
      </c>
      <c r="G49" s="181">
        <v>378.97</v>
      </c>
      <c r="H49" s="181">
        <v>86</v>
      </c>
      <c r="I49" s="181">
        <v>486</v>
      </c>
      <c r="J49" s="181">
        <v>249</v>
      </c>
      <c r="K49" s="181">
        <v>237</v>
      </c>
      <c r="L49" s="181">
        <v>91</v>
      </c>
      <c r="M49" s="350">
        <f t="shared" si="1"/>
        <v>18.724279835390949</v>
      </c>
      <c r="N49" s="181">
        <v>186</v>
      </c>
      <c r="O49" s="354">
        <f t="shared" si="0"/>
        <v>38.271604938271601</v>
      </c>
      <c r="P49" s="349">
        <v>15.15</v>
      </c>
      <c r="Q49" s="181">
        <v>0</v>
      </c>
      <c r="R49" s="67" t="s">
        <v>37</v>
      </c>
      <c r="S49" s="87" t="s">
        <v>37</v>
      </c>
      <c r="T49" s="190"/>
      <c r="U49" s="17">
        <v>16.02</v>
      </c>
      <c r="V49" s="88"/>
      <c r="W49" s="88"/>
      <c r="X49" s="88"/>
      <c r="Y49" s="88"/>
      <c r="Z49" s="88"/>
      <c r="AA49" s="88"/>
      <c r="AB49" s="88"/>
      <c r="AC49" s="17"/>
      <c r="AD49" s="87"/>
      <c r="AE49" s="88"/>
      <c r="AF49" s="88"/>
    </row>
    <row r="50" spans="1:32">
      <c r="A50" s="87">
        <v>40</v>
      </c>
      <c r="B50" s="182" t="s">
        <v>33</v>
      </c>
      <c r="C50" s="182" t="s">
        <v>33</v>
      </c>
      <c r="D50" s="181" t="s">
        <v>130</v>
      </c>
      <c r="E50" s="181" t="s">
        <v>136</v>
      </c>
      <c r="F50" s="181" t="s">
        <v>137</v>
      </c>
      <c r="G50" s="181">
        <v>531</v>
      </c>
      <c r="H50" s="181">
        <v>225</v>
      </c>
      <c r="I50" s="181">
        <v>1138</v>
      </c>
      <c r="J50" s="181">
        <v>604</v>
      </c>
      <c r="K50" s="181">
        <v>534</v>
      </c>
      <c r="L50" s="181">
        <v>463</v>
      </c>
      <c r="M50" s="350">
        <f t="shared" si="1"/>
        <v>40.685413005272409</v>
      </c>
      <c r="N50" s="181">
        <v>60</v>
      </c>
      <c r="O50" s="354">
        <f t="shared" si="0"/>
        <v>5.272407732864675</v>
      </c>
      <c r="P50" s="349">
        <v>52</v>
      </c>
      <c r="Q50" s="181">
        <v>0</v>
      </c>
      <c r="R50" s="67" t="s">
        <v>37</v>
      </c>
      <c r="S50" s="17" t="s">
        <v>138</v>
      </c>
      <c r="T50" s="190"/>
      <c r="U50" s="17">
        <v>52.38</v>
      </c>
      <c r="V50" s="88"/>
      <c r="W50" s="88"/>
      <c r="X50" s="88"/>
      <c r="Y50" s="88"/>
      <c r="Z50" s="88"/>
      <c r="AA50" s="88"/>
      <c r="AB50" s="70" t="s">
        <v>39</v>
      </c>
      <c r="AC50" s="17">
        <v>20</v>
      </c>
      <c r="AD50" s="87"/>
      <c r="AE50" s="186">
        <v>25.157330000000002</v>
      </c>
      <c r="AF50" s="186">
        <v>76.500477000000004</v>
      </c>
    </row>
    <row r="51" spans="1:32">
      <c r="A51" s="87">
        <v>41</v>
      </c>
      <c r="B51" s="182" t="s">
        <v>33</v>
      </c>
      <c r="C51" s="182" t="s">
        <v>33</v>
      </c>
      <c r="D51" s="181" t="s">
        <v>130</v>
      </c>
      <c r="E51" s="181" t="s">
        <v>139</v>
      </c>
      <c r="F51" s="181" t="s">
        <v>140</v>
      </c>
      <c r="G51" s="181">
        <v>534</v>
      </c>
      <c r="H51" s="181">
        <v>264</v>
      </c>
      <c r="I51" s="181">
        <v>1290</v>
      </c>
      <c r="J51" s="181">
        <v>668</v>
      </c>
      <c r="K51" s="181">
        <v>622</v>
      </c>
      <c r="L51" s="181">
        <v>180</v>
      </c>
      <c r="M51" s="350">
        <f t="shared" si="1"/>
        <v>13.953488372093023</v>
      </c>
      <c r="N51" s="181">
        <v>948</v>
      </c>
      <c r="O51" s="354">
        <f t="shared" si="0"/>
        <v>73.488372093023258</v>
      </c>
      <c r="P51" s="349">
        <v>46</v>
      </c>
      <c r="Q51" s="181">
        <v>0</v>
      </c>
      <c r="R51" s="67" t="s">
        <v>37</v>
      </c>
      <c r="S51" s="87" t="s">
        <v>37</v>
      </c>
      <c r="T51" s="190"/>
      <c r="U51" s="87"/>
      <c r="V51" s="88"/>
      <c r="W51" s="88"/>
      <c r="X51" s="88"/>
      <c r="Y51" s="88"/>
      <c r="Z51" s="88"/>
      <c r="AA51" s="88"/>
      <c r="AB51" s="88"/>
      <c r="AC51" s="87"/>
      <c r="AD51" s="87"/>
      <c r="AE51" s="88"/>
      <c r="AF51" s="88"/>
    </row>
    <row r="52" spans="1:32">
      <c r="A52" s="87">
        <v>42</v>
      </c>
      <c r="B52" s="182" t="s">
        <v>33</v>
      </c>
      <c r="C52" s="182" t="s">
        <v>33</v>
      </c>
      <c r="D52" s="181" t="s">
        <v>130</v>
      </c>
      <c r="E52" s="181" t="s">
        <v>141</v>
      </c>
      <c r="F52" s="181" t="s">
        <v>142</v>
      </c>
      <c r="G52" s="181">
        <v>466</v>
      </c>
      <c r="H52" s="181">
        <v>163</v>
      </c>
      <c r="I52" s="181">
        <v>826</v>
      </c>
      <c r="J52" s="181">
        <v>452</v>
      </c>
      <c r="K52" s="181">
        <v>374</v>
      </c>
      <c r="L52" s="181">
        <v>309</v>
      </c>
      <c r="M52" s="350">
        <f t="shared" si="1"/>
        <v>37.409200968523002</v>
      </c>
      <c r="N52" s="181">
        <v>339</v>
      </c>
      <c r="O52" s="354">
        <f t="shared" si="0"/>
        <v>41.041162227602904</v>
      </c>
      <c r="P52" s="349">
        <v>40</v>
      </c>
      <c r="Q52" s="181">
        <v>0</v>
      </c>
      <c r="R52" s="67" t="s">
        <v>37</v>
      </c>
      <c r="S52" s="87" t="s">
        <v>37</v>
      </c>
      <c r="T52" s="190"/>
      <c r="U52" s="87"/>
      <c r="V52" s="88"/>
      <c r="W52" s="88"/>
      <c r="X52" s="88"/>
      <c r="Y52" s="88"/>
      <c r="Z52" s="88"/>
      <c r="AA52" s="88"/>
      <c r="AB52" s="88"/>
      <c r="AC52" s="87"/>
      <c r="AE52" s="88"/>
      <c r="AF52" s="88"/>
    </row>
    <row r="53" spans="1:32">
      <c r="A53" s="87">
        <v>43</v>
      </c>
      <c r="B53" s="182" t="s">
        <v>33</v>
      </c>
      <c r="C53" s="182" t="s">
        <v>33</v>
      </c>
      <c r="D53" s="181" t="s">
        <v>143</v>
      </c>
      <c r="E53" s="185" t="s">
        <v>144</v>
      </c>
      <c r="F53" s="181" t="s">
        <v>145</v>
      </c>
      <c r="G53" s="181">
        <v>1613.84</v>
      </c>
      <c r="H53" s="181">
        <v>826</v>
      </c>
      <c r="I53" s="181">
        <v>4470</v>
      </c>
      <c r="J53" s="181">
        <v>2327</v>
      </c>
      <c r="K53" s="181">
        <v>2143</v>
      </c>
      <c r="L53" s="181">
        <v>875</v>
      </c>
      <c r="M53" s="350">
        <f t="shared" si="1"/>
        <v>19.574944071588369</v>
      </c>
      <c r="N53" s="181">
        <v>375</v>
      </c>
      <c r="O53" s="354">
        <f t="shared" si="0"/>
        <v>8.3892617449664435</v>
      </c>
      <c r="P53" s="349">
        <v>86.03</v>
      </c>
      <c r="Q53" s="181">
        <v>0</v>
      </c>
      <c r="R53" s="67" t="s">
        <v>37</v>
      </c>
      <c r="S53" s="17" t="s">
        <v>76</v>
      </c>
      <c r="T53" s="190"/>
      <c r="U53" s="17">
        <v>53.35</v>
      </c>
      <c r="V53" s="88"/>
      <c r="W53" s="88"/>
      <c r="X53" s="88"/>
      <c r="Y53" s="88"/>
      <c r="Z53" s="88"/>
      <c r="AA53" s="88"/>
      <c r="AB53" s="70" t="s">
        <v>39</v>
      </c>
      <c r="AC53" s="17">
        <v>2</v>
      </c>
      <c r="AD53" s="183" t="s">
        <v>48</v>
      </c>
      <c r="AE53" s="186">
        <v>25.065064</v>
      </c>
      <c r="AF53" s="186">
        <v>76.528914</v>
      </c>
    </row>
    <row r="54" spans="1:32">
      <c r="A54" s="87">
        <v>44</v>
      </c>
      <c r="B54" s="182" t="s">
        <v>33</v>
      </c>
      <c r="C54" s="182" t="s">
        <v>33</v>
      </c>
      <c r="D54" s="181" t="s">
        <v>143</v>
      </c>
      <c r="E54" s="185" t="s">
        <v>144</v>
      </c>
      <c r="F54" s="181"/>
      <c r="G54" s="181"/>
      <c r="H54" s="181"/>
      <c r="I54" s="181"/>
      <c r="J54" s="181"/>
      <c r="K54" s="181"/>
      <c r="L54" s="181"/>
      <c r="M54" s="350"/>
      <c r="N54" s="181"/>
      <c r="O54" s="354"/>
      <c r="P54" s="349"/>
      <c r="Q54" s="181">
        <v>0</v>
      </c>
      <c r="R54" s="87"/>
      <c r="S54" s="17"/>
      <c r="T54" s="195"/>
      <c r="U54" s="17"/>
      <c r="V54" s="88"/>
      <c r="W54" s="88"/>
      <c r="X54" s="88"/>
      <c r="Y54" s="88"/>
      <c r="Z54" s="88"/>
      <c r="AA54" s="88"/>
      <c r="AB54" s="196"/>
      <c r="AC54" s="17">
        <v>2</v>
      </c>
      <c r="AD54" s="87" t="s">
        <v>2708</v>
      </c>
      <c r="AE54" s="19">
        <v>25.1036</v>
      </c>
      <c r="AF54" s="19">
        <v>76.512900000000002</v>
      </c>
    </row>
    <row r="55" spans="1:32">
      <c r="A55" s="87">
        <v>45</v>
      </c>
      <c r="B55" s="182" t="s">
        <v>33</v>
      </c>
      <c r="C55" s="182" t="s">
        <v>33</v>
      </c>
      <c r="D55" s="181" t="s">
        <v>146</v>
      </c>
      <c r="E55" s="185" t="s">
        <v>147</v>
      </c>
      <c r="F55" s="181" t="s">
        <v>148</v>
      </c>
      <c r="G55" s="181">
        <v>634.84</v>
      </c>
      <c r="H55" s="181">
        <v>526</v>
      </c>
      <c r="I55" s="181">
        <v>2662</v>
      </c>
      <c r="J55" s="181">
        <v>1412</v>
      </c>
      <c r="K55" s="181">
        <v>1250</v>
      </c>
      <c r="L55" s="181">
        <v>585</v>
      </c>
      <c r="M55" s="350">
        <f t="shared" si="1"/>
        <v>21.975957926371152</v>
      </c>
      <c r="N55" s="181">
        <v>609</v>
      </c>
      <c r="O55" s="354">
        <f t="shared" si="0"/>
        <v>22.877535687453044</v>
      </c>
      <c r="P55" s="349">
        <v>53.84</v>
      </c>
      <c r="Q55" s="181">
        <v>0</v>
      </c>
      <c r="R55" s="67" t="s">
        <v>37</v>
      </c>
      <c r="S55" s="87" t="s">
        <v>37</v>
      </c>
      <c r="T55" s="88"/>
      <c r="U55" s="205">
        <v>27</v>
      </c>
      <c r="V55" s="88"/>
      <c r="W55" s="88"/>
      <c r="X55" s="88"/>
      <c r="Y55" s="88"/>
      <c r="Z55" s="88"/>
      <c r="AA55" s="88"/>
      <c r="AB55" s="70" t="s">
        <v>39</v>
      </c>
      <c r="AC55" s="205">
        <v>30</v>
      </c>
      <c r="AD55" s="183" t="s">
        <v>48</v>
      </c>
      <c r="AE55" s="186">
        <v>25.13551</v>
      </c>
      <c r="AF55" s="186">
        <v>76.547195000000002</v>
      </c>
    </row>
    <row r="56" spans="1:32">
      <c r="A56" s="87">
        <v>46</v>
      </c>
      <c r="B56" s="182" t="s">
        <v>33</v>
      </c>
      <c r="C56" s="182" t="s">
        <v>33</v>
      </c>
      <c r="D56" s="181" t="s">
        <v>146</v>
      </c>
      <c r="E56" s="181" t="s">
        <v>149</v>
      </c>
      <c r="F56" s="181" t="s">
        <v>150</v>
      </c>
      <c r="G56" s="181">
        <v>658.66</v>
      </c>
      <c r="H56" s="181">
        <v>235</v>
      </c>
      <c r="I56" s="181">
        <v>1184</v>
      </c>
      <c r="J56" s="181">
        <v>600</v>
      </c>
      <c r="K56" s="181">
        <v>584</v>
      </c>
      <c r="L56" s="181">
        <v>225</v>
      </c>
      <c r="M56" s="350">
        <f t="shared" si="1"/>
        <v>19.003378378378379</v>
      </c>
      <c r="N56" s="181">
        <v>3</v>
      </c>
      <c r="O56" s="354">
        <f t="shared" si="0"/>
        <v>0.2533783783783784</v>
      </c>
      <c r="P56" s="349">
        <v>41.66</v>
      </c>
      <c r="Q56" s="181">
        <v>0</v>
      </c>
      <c r="R56" s="67" t="s">
        <v>37</v>
      </c>
      <c r="S56" s="87" t="s">
        <v>37</v>
      </c>
      <c r="T56" s="88"/>
      <c r="U56" s="205">
        <v>33.64</v>
      </c>
      <c r="V56" s="88"/>
      <c r="W56" s="88"/>
      <c r="X56" s="88"/>
      <c r="Y56" s="88"/>
      <c r="Z56" s="88"/>
      <c r="AA56" s="88"/>
      <c r="AB56" s="70" t="s">
        <v>39</v>
      </c>
      <c r="AC56" s="205">
        <v>15</v>
      </c>
      <c r="AD56" s="87" t="s">
        <v>2708</v>
      </c>
      <c r="AE56" s="186">
        <v>25.140049999999999</v>
      </c>
      <c r="AF56" s="186">
        <v>76.537857000000002</v>
      </c>
    </row>
    <row r="57" spans="1:32" s="317" customFormat="1">
      <c r="A57" s="355">
        <v>47</v>
      </c>
      <c r="B57" s="349" t="s">
        <v>33</v>
      </c>
      <c r="C57" s="349" t="s">
        <v>33</v>
      </c>
      <c r="D57" s="349" t="s">
        <v>146</v>
      </c>
      <c r="E57" s="349" t="s">
        <v>149</v>
      </c>
      <c r="F57" s="349"/>
      <c r="G57" s="349"/>
      <c r="H57" s="349"/>
      <c r="I57" s="349"/>
      <c r="J57" s="349"/>
      <c r="K57" s="349"/>
      <c r="L57" s="349"/>
      <c r="M57" s="356"/>
      <c r="N57" s="349"/>
      <c r="O57" s="357"/>
      <c r="P57" s="349"/>
      <c r="Q57" s="349"/>
      <c r="R57" s="355"/>
      <c r="S57" s="355"/>
      <c r="T57" s="355"/>
      <c r="U57" s="65">
        <v>48.64</v>
      </c>
      <c r="V57" s="355"/>
      <c r="W57" s="355"/>
      <c r="X57" s="355"/>
      <c r="Y57" s="355"/>
      <c r="Z57" s="355"/>
      <c r="AA57" s="355"/>
      <c r="AB57" s="355"/>
      <c r="AC57" s="65">
        <v>15</v>
      </c>
      <c r="AD57" s="358" t="s">
        <v>48</v>
      </c>
      <c r="AE57" s="65">
        <v>25.245000000000001</v>
      </c>
      <c r="AF57" s="65">
        <v>76.518000000000001</v>
      </c>
    </row>
    <row r="58" spans="1:32">
      <c r="A58" s="87">
        <v>48</v>
      </c>
      <c r="B58" s="182" t="s">
        <v>33</v>
      </c>
      <c r="C58" s="182" t="s">
        <v>33</v>
      </c>
      <c r="D58" s="181" t="s">
        <v>151</v>
      </c>
      <c r="E58" s="185" t="s">
        <v>152</v>
      </c>
      <c r="F58" s="181" t="s">
        <v>153</v>
      </c>
      <c r="G58" s="181">
        <v>1211</v>
      </c>
      <c r="H58" s="181">
        <v>415</v>
      </c>
      <c r="I58" s="181">
        <v>2096</v>
      </c>
      <c r="J58" s="181">
        <v>1059</v>
      </c>
      <c r="K58" s="181">
        <v>1037</v>
      </c>
      <c r="L58" s="181">
        <v>297</v>
      </c>
      <c r="M58" s="350">
        <f t="shared" si="1"/>
        <v>14.169847328244275</v>
      </c>
      <c r="N58" s="181">
        <v>8</v>
      </c>
      <c r="O58" s="354">
        <f t="shared" si="0"/>
        <v>0.38167938931297707</v>
      </c>
      <c r="P58" s="349">
        <v>119</v>
      </c>
      <c r="Q58" s="181">
        <v>0</v>
      </c>
      <c r="R58" s="67" t="s">
        <v>37</v>
      </c>
      <c r="S58" s="206" t="s">
        <v>154</v>
      </c>
      <c r="T58" s="207"/>
      <c r="U58" s="208">
        <v>117.46</v>
      </c>
      <c r="V58" s="88"/>
      <c r="W58" s="88"/>
      <c r="X58" s="88"/>
      <c r="Y58" s="88"/>
      <c r="Z58" s="88"/>
      <c r="AA58" s="88"/>
      <c r="AB58" s="191"/>
      <c r="AC58" s="192"/>
      <c r="AD58" s="183" t="s">
        <v>48</v>
      </c>
      <c r="AE58" s="186">
        <v>25.233917999999999</v>
      </c>
      <c r="AF58" s="186">
        <v>76.233918000000003</v>
      </c>
    </row>
    <row r="59" spans="1:32">
      <c r="A59" s="87" t="s">
        <v>51</v>
      </c>
      <c r="B59" s="182" t="s">
        <v>33</v>
      </c>
      <c r="C59" s="182" t="s">
        <v>33</v>
      </c>
      <c r="D59" s="181" t="s">
        <v>151</v>
      </c>
      <c r="E59" s="181" t="s">
        <v>155</v>
      </c>
      <c r="F59" s="181" t="s">
        <v>156</v>
      </c>
      <c r="G59" s="181">
        <v>808</v>
      </c>
      <c r="H59" s="181">
        <v>123</v>
      </c>
      <c r="I59" s="181">
        <v>648</v>
      </c>
      <c r="J59" s="181">
        <v>326</v>
      </c>
      <c r="K59" s="181">
        <v>322</v>
      </c>
      <c r="L59" s="181">
        <v>67</v>
      </c>
      <c r="M59" s="350">
        <f t="shared" si="1"/>
        <v>10.339506172839506</v>
      </c>
      <c r="N59" s="181">
        <v>53</v>
      </c>
      <c r="O59" s="354">
        <f t="shared" si="0"/>
        <v>8.1790123456790127</v>
      </c>
      <c r="P59" s="349">
        <v>72</v>
      </c>
      <c r="Q59" s="181">
        <v>0</v>
      </c>
      <c r="R59" s="67" t="s">
        <v>37</v>
      </c>
      <c r="S59" s="17" t="s">
        <v>157</v>
      </c>
      <c r="T59" s="190"/>
      <c r="U59" s="17">
        <v>96.13</v>
      </c>
      <c r="V59" s="88"/>
      <c r="W59" s="88"/>
      <c r="X59" s="88"/>
      <c r="Y59" s="88"/>
      <c r="Z59" s="88"/>
      <c r="AA59" s="88"/>
      <c r="AB59" s="70" t="s">
        <v>39</v>
      </c>
      <c r="AC59" s="17">
        <v>7</v>
      </c>
      <c r="AD59" s="183" t="s">
        <v>48</v>
      </c>
      <c r="AE59" s="88"/>
      <c r="AF59" s="88"/>
    </row>
    <row r="60" spans="1:32">
      <c r="A60" s="87" t="s">
        <v>51</v>
      </c>
      <c r="B60" s="182" t="s">
        <v>33</v>
      </c>
      <c r="C60" s="182" t="s">
        <v>33</v>
      </c>
      <c r="D60" s="181" t="s">
        <v>151</v>
      </c>
      <c r="E60" s="181" t="s">
        <v>158</v>
      </c>
      <c r="F60" s="181" t="s">
        <v>159</v>
      </c>
      <c r="G60" s="181">
        <v>547</v>
      </c>
      <c r="H60" s="181">
        <v>91</v>
      </c>
      <c r="I60" s="181">
        <v>475</v>
      </c>
      <c r="J60" s="181">
        <v>239</v>
      </c>
      <c r="K60" s="181">
        <v>236</v>
      </c>
      <c r="L60" s="181">
        <v>47</v>
      </c>
      <c r="M60" s="350">
        <f t="shared" si="1"/>
        <v>9.8947368421052637</v>
      </c>
      <c r="N60" s="181">
        <v>255</v>
      </c>
      <c r="O60" s="354">
        <f t="shared" si="0"/>
        <v>53.684210526315788</v>
      </c>
      <c r="P60" s="349">
        <v>23</v>
      </c>
      <c r="Q60" s="181">
        <v>0</v>
      </c>
      <c r="R60" s="67" t="s">
        <v>37</v>
      </c>
      <c r="S60" s="17" t="s">
        <v>157</v>
      </c>
      <c r="T60" s="190"/>
      <c r="U60" s="17">
        <v>37.19</v>
      </c>
      <c r="V60" s="88"/>
      <c r="W60" s="88"/>
      <c r="X60" s="88"/>
      <c r="Y60" s="88"/>
      <c r="Z60" s="88"/>
      <c r="AA60" s="88"/>
      <c r="AB60" s="70" t="s">
        <v>39</v>
      </c>
      <c r="AC60" s="17">
        <v>5</v>
      </c>
      <c r="AD60" s="183" t="s">
        <v>48</v>
      </c>
      <c r="AE60" s="88"/>
      <c r="AF60" s="88"/>
    </row>
    <row r="61" spans="1:32" s="317" customFormat="1">
      <c r="A61" s="355">
        <v>49</v>
      </c>
      <c r="B61" s="349" t="s">
        <v>33</v>
      </c>
      <c r="C61" s="349" t="s">
        <v>33</v>
      </c>
      <c r="D61" s="349" t="s">
        <v>151</v>
      </c>
      <c r="E61" s="349" t="s">
        <v>158</v>
      </c>
      <c r="F61" s="349"/>
      <c r="G61" s="349"/>
      <c r="H61" s="349"/>
      <c r="I61" s="349"/>
      <c r="J61" s="349"/>
      <c r="K61" s="349"/>
      <c r="L61" s="349"/>
      <c r="M61" s="356"/>
      <c r="N61" s="349"/>
      <c r="O61" s="357"/>
      <c r="P61" s="349"/>
      <c r="Q61" s="349"/>
      <c r="R61" s="355"/>
      <c r="S61" s="65"/>
      <c r="T61" s="355"/>
      <c r="U61" s="65"/>
      <c r="V61" s="355"/>
      <c r="W61" s="355"/>
      <c r="X61" s="355"/>
      <c r="Y61" s="355"/>
      <c r="Z61" s="355"/>
      <c r="AA61" s="355"/>
      <c r="AB61" s="355"/>
      <c r="AC61" s="65">
        <v>9</v>
      </c>
      <c r="AD61" s="358" t="s">
        <v>48</v>
      </c>
      <c r="AE61" s="65">
        <v>25.18</v>
      </c>
      <c r="AF61" s="65">
        <v>76.555999999999997</v>
      </c>
    </row>
    <row r="62" spans="1:32">
      <c r="A62" s="87">
        <v>50</v>
      </c>
      <c r="B62" s="182" t="s">
        <v>33</v>
      </c>
      <c r="C62" s="182" t="s">
        <v>33</v>
      </c>
      <c r="D62" s="181" t="s">
        <v>151</v>
      </c>
      <c r="E62" s="181" t="s">
        <v>158</v>
      </c>
      <c r="F62" s="181"/>
      <c r="G62" s="181"/>
      <c r="H62" s="181"/>
      <c r="I62" s="181"/>
      <c r="J62" s="181"/>
      <c r="K62" s="181"/>
      <c r="L62" s="181"/>
      <c r="M62" s="350"/>
      <c r="N62" s="181"/>
      <c r="O62" s="354"/>
      <c r="P62" s="349"/>
      <c r="Q62" s="181"/>
      <c r="R62" s="87"/>
      <c r="S62" s="17"/>
      <c r="T62" s="88"/>
      <c r="U62" s="17"/>
      <c r="V62" s="88"/>
      <c r="W62" s="88"/>
      <c r="X62" s="88"/>
      <c r="Y62" s="88"/>
      <c r="Z62" s="88"/>
      <c r="AA62" s="88"/>
      <c r="AB62" s="88"/>
      <c r="AC62" s="17">
        <v>8</v>
      </c>
      <c r="AD62" s="87" t="s">
        <v>2708</v>
      </c>
      <c r="AE62" s="19">
        <v>25.11</v>
      </c>
      <c r="AF62" s="19">
        <v>76.5</v>
      </c>
    </row>
    <row r="63" spans="1:32">
      <c r="A63" s="87">
        <v>51</v>
      </c>
      <c r="B63" s="182" t="s">
        <v>33</v>
      </c>
      <c r="C63" s="182" t="s">
        <v>33</v>
      </c>
      <c r="D63" s="181" t="s">
        <v>160</v>
      </c>
      <c r="E63" s="185" t="s">
        <v>161</v>
      </c>
      <c r="F63" s="181" t="s">
        <v>162</v>
      </c>
      <c r="G63" s="181">
        <v>647.71</v>
      </c>
      <c r="H63" s="181">
        <v>384</v>
      </c>
      <c r="I63" s="181">
        <v>2085</v>
      </c>
      <c r="J63" s="181">
        <v>1058</v>
      </c>
      <c r="K63" s="181">
        <v>1027</v>
      </c>
      <c r="L63" s="181">
        <v>742</v>
      </c>
      <c r="M63" s="350">
        <f t="shared" si="1"/>
        <v>35.587529976019184</v>
      </c>
      <c r="N63" s="181">
        <v>93</v>
      </c>
      <c r="O63" s="354">
        <f t="shared" si="0"/>
        <v>4.4604316546762588</v>
      </c>
      <c r="P63" s="349">
        <v>65.319999999999993</v>
      </c>
      <c r="Q63" s="181">
        <v>0</v>
      </c>
      <c r="R63" s="67" t="s">
        <v>37</v>
      </c>
      <c r="S63" s="17" t="s">
        <v>163</v>
      </c>
      <c r="T63" s="88"/>
      <c r="U63" s="17"/>
      <c r="V63" s="88"/>
      <c r="W63" s="88"/>
      <c r="X63" s="88"/>
      <c r="Y63" s="88"/>
      <c r="Z63" s="88"/>
      <c r="AA63" s="88"/>
      <c r="AB63" s="70" t="s">
        <v>39</v>
      </c>
      <c r="AC63" s="17">
        <v>10</v>
      </c>
      <c r="AD63" s="87" t="s">
        <v>2708</v>
      </c>
      <c r="AE63" s="88"/>
      <c r="AF63" s="88"/>
    </row>
    <row r="64" spans="1:32">
      <c r="A64" s="87">
        <v>52</v>
      </c>
      <c r="B64" s="182" t="s">
        <v>33</v>
      </c>
      <c r="C64" s="182" t="s">
        <v>33</v>
      </c>
      <c r="D64" s="181" t="s">
        <v>160</v>
      </c>
      <c r="E64" s="185" t="s">
        <v>161</v>
      </c>
      <c r="F64" s="181"/>
      <c r="G64" s="181"/>
      <c r="H64" s="181"/>
      <c r="I64" s="181"/>
      <c r="J64" s="181"/>
      <c r="K64" s="181"/>
      <c r="L64" s="181"/>
      <c r="M64" s="350"/>
      <c r="N64" s="181"/>
      <c r="O64" s="354"/>
      <c r="P64" s="349"/>
      <c r="Q64" s="181"/>
      <c r="R64" s="87"/>
      <c r="S64" s="17"/>
      <c r="T64" s="88"/>
      <c r="U64" s="17"/>
      <c r="V64" s="88"/>
      <c r="W64" s="88"/>
      <c r="X64" s="88"/>
      <c r="Y64" s="88"/>
      <c r="Z64" s="88"/>
      <c r="AA64" s="88"/>
      <c r="AB64" s="88"/>
      <c r="AC64" s="17">
        <v>10</v>
      </c>
      <c r="AD64" s="87" t="s">
        <v>2708</v>
      </c>
      <c r="AE64" s="21">
        <v>25.23</v>
      </c>
      <c r="AF64" s="21">
        <v>76.540000000000006</v>
      </c>
    </row>
    <row r="65" spans="1:33">
      <c r="A65" s="87">
        <v>53</v>
      </c>
      <c r="B65" s="182" t="s">
        <v>33</v>
      </c>
      <c r="C65" s="182" t="s">
        <v>33</v>
      </c>
      <c r="D65" s="181" t="s">
        <v>160</v>
      </c>
      <c r="E65" s="181" t="s">
        <v>164</v>
      </c>
      <c r="F65" s="181" t="s">
        <v>165</v>
      </c>
      <c r="G65" s="181">
        <v>389.72</v>
      </c>
      <c r="H65" s="181">
        <v>305</v>
      </c>
      <c r="I65" s="181">
        <v>1557</v>
      </c>
      <c r="J65" s="181">
        <v>797</v>
      </c>
      <c r="K65" s="181">
        <v>760</v>
      </c>
      <c r="L65" s="181">
        <v>287</v>
      </c>
      <c r="M65" s="350">
        <f t="shared" si="1"/>
        <v>18.432883750802826</v>
      </c>
      <c r="N65" s="181">
        <v>139</v>
      </c>
      <c r="O65" s="354">
        <f t="shared" si="0"/>
        <v>8.9274245343609504</v>
      </c>
      <c r="P65" s="349">
        <v>61.25</v>
      </c>
      <c r="Q65" s="181">
        <v>0.09</v>
      </c>
      <c r="R65" s="67" t="s">
        <v>37</v>
      </c>
      <c r="S65" s="17" t="s">
        <v>163</v>
      </c>
      <c r="T65" s="88"/>
      <c r="U65" s="17"/>
      <c r="V65" s="88"/>
      <c r="W65" s="88"/>
      <c r="X65" s="88"/>
      <c r="Y65" s="88"/>
      <c r="Z65" s="88"/>
      <c r="AA65" s="88"/>
      <c r="AB65" s="70" t="s">
        <v>39</v>
      </c>
      <c r="AC65" s="17">
        <v>13</v>
      </c>
      <c r="AD65" s="183" t="s">
        <v>48</v>
      </c>
      <c r="AE65" s="88"/>
      <c r="AF65" s="88"/>
    </row>
    <row r="66" spans="1:33">
      <c r="A66" s="87">
        <v>54</v>
      </c>
      <c r="B66" s="182" t="s">
        <v>33</v>
      </c>
      <c r="C66" s="182" t="s">
        <v>33</v>
      </c>
      <c r="D66" s="181" t="s">
        <v>160</v>
      </c>
      <c r="E66" s="181" t="s">
        <v>164</v>
      </c>
      <c r="F66" s="181"/>
      <c r="G66" s="181"/>
      <c r="H66" s="181"/>
      <c r="I66" s="181"/>
      <c r="J66" s="181"/>
      <c r="K66" s="181"/>
      <c r="L66" s="181"/>
      <c r="M66" s="350"/>
      <c r="N66" s="181"/>
      <c r="O66" s="354"/>
      <c r="P66" s="349"/>
      <c r="Q66" s="181"/>
      <c r="R66" s="17"/>
      <c r="S66" s="17"/>
      <c r="T66" s="190"/>
      <c r="U66" s="17"/>
      <c r="V66" s="88"/>
      <c r="W66" s="88"/>
      <c r="X66" s="88"/>
      <c r="Y66" s="88"/>
      <c r="Z66" s="88"/>
      <c r="AA66" s="88"/>
      <c r="AB66" s="88"/>
      <c r="AC66" s="17">
        <v>17</v>
      </c>
      <c r="AD66" s="183" t="s">
        <v>48</v>
      </c>
      <c r="AE66" s="19">
        <v>24.526299999999999</v>
      </c>
      <c r="AF66" s="19">
        <v>76.154399999999995</v>
      </c>
    </row>
    <row r="67" spans="1:33">
      <c r="A67" s="87" t="s">
        <v>51</v>
      </c>
      <c r="B67" s="182" t="s">
        <v>33</v>
      </c>
      <c r="C67" s="182" t="s">
        <v>33</v>
      </c>
      <c r="D67" s="181" t="s">
        <v>160</v>
      </c>
      <c r="E67" s="181" t="s">
        <v>166</v>
      </c>
      <c r="F67" s="181" t="s">
        <v>167</v>
      </c>
      <c r="G67" s="181">
        <v>165.79</v>
      </c>
      <c r="H67" s="181">
        <v>24</v>
      </c>
      <c r="I67" s="181">
        <v>119</v>
      </c>
      <c r="J67" s="181">
        <v>65</v>
      </c>
      <c r="K67" s="181">
        <v>54</v>
      </c>
      <c r="L67" s="181">
        <v>0</v>
      </c>
      <c r="M67" s="350">
        <f t="shared" si="1"/>
        <v>0</v>
      </c>
      <c r="N67" s="181">
        <v>0</v>
      </c>
      <c r="O67" s="354">
        <f t="shared" si="0"/>
        <v>0</v>
      </c>
      <c r="P67" s="349">
        <v>3.4</v>
      </c>
      <c r="Q67" s="181">
        <v>0</v>
      </c>
      <c r="R67" s="67" t="s">
        <v>37</v>
      </c>
      <c r="S67" s="17" t="s">
        <v>163</v>
      </c>
      <c r="T67" s="190"/>
      <c r="U67" s="17">
        <v>5.17</v>
      </c>
      <c r="V67" s="88"/>
      <c r="W67" s="88"/>
      <c r="X67" s="88"/>
      <c r="Y67" s="88"/>
      <c r="Z67" s="88"/>
      <c r="AA67" s="88"/>
      <c r="AB67" s="88"/>
      <c r="AC67" s="17"/>
      <c r="AD67" s="183" t="s">
        <v>48</v>
      </c>
      <c r="AE67" s="88"/>
      <c r="AF67" s="88"/>
    </row>
    <row r="68" spans="1:33">
      <c r="A68" s="87" t="s">
        <v>51</v>
      </c>
      <c r="B68" s="182" t="s">
        <v>33</v>
      </c>
      <c r="C68" s="182" t="s">
        <v>33</v>
      </c>
      <c r="D68" s="181" t="s">
        <v>160</v>
      </c>
      <c r="E68" s="181" t="s">
        <v>168</v>
      </c>
      <c r="F68" s="181" t="s">
        <v>169</v>
      </c>
      <c r="G68" s="181">
        <v>396.59</v>
      </c>
      <c r="H68" s="181">
        <v>150</v>
      </c>
      <c r="I68" s="181">
        <v>804</v>
      </c>
      <c r="J68" s="181">
        <v>404</v>
      </c>
      <c r="K68" s="181">
        <v>400</v>
      </c>
      <c r="L68" s="181">
        <v>195</v>
      </c>
      <c r="M68" s="350">
        <f t="shared" ref="M68:M124" si="2">L68/I68*100</f>
        <v>24.253731343283583</v>
      </c>
      <c r="N68" s="181">
        <v>492</v>
      </c>
      <c r="O68" s="354">
        <f t="shared" ref="O68:O124" si="3">N68/I68*100</f>
        <v>61.194029850746269</v>
      </c>
      <c r="P68" s="349">
        <v>26.85</v>
      </c>
      <c r="Q68" s="181">
        <v>0</v>
      </c>
      <c r="R68" s="67" t="s">
        <v>37</v>
      </c>
      <c r="S68" s="17" t="s">
        <v>163</v>
      </c>
      <c r="T68" s="88"/>
      <c r="U68" s="17"/>
      <c r="V68" s="88"/>
      <c r="W68" s="88"/>
      <c r="X68" s="88"/>
      <c r="Y68" s="88"/>
      <c r="Z68" s="88"/>
      <c r="AA68" s="88"/>
      <c r="AB68" s="70" t="s">
        <v>39</v>
      </c>
      <c r="AC68" s="17">
        <v>4</v>
      </c>
      <c r="AD68" s="183" t="s">
        <v>48</v>
      </c>
      <c r="AE68" s="88"/>
      <c r="AF68" s="88"/>
    </row>
    <row r="69" spans="1:33">
      <c r="A69" s="87">
        <v>55</v>
      </c>
      <c r="B69" s="182" t="s">
        <v>33</v>
      </c>
      <c r="C69" s="182" t="s">
        <v>33</v>
      </c>
      <c r="D69" s="181" t="s">
        <v>160</v>
      </c>
      <c r="E69" s="181" t="s">
        <v>170</v>
      </c>
      <c r="F69" s="181" t="s">
        <v>171</v>
      </c>
      <c r="G69" s="181">
        <v>91.72</v>
      </c>
      <c r="H69" s="181">
        <v>0</v>
      </c>
      <c r="I69" s="181">
        <v>0</v>
      </c>
      <c r="J69" s="181">
        <v>0</v>
      </c>
      <c r="K69" s="181">
        <v>0</v>
      </c>
      <c r="L69" s="181">
        <v>0</v>
      </c>
      <c r="M69" s="350">
        <v>0</v>
      </c>
      <c r="N69" s="181">
        <v>0</v>
      </c>
      <c r="O69" s="354">
        <v>0</v>
      </c>
      <c r="P69" s="349">
        <v>0</v>
      </c>
      <c r="Q69" s="181">
        <v>0</v>
      </c>
      <c r="R69" s="87"/>
      <c r="S69" s="87"/>
      <c r="T69" s="190"/>
      <c r="U69" s="87"/>
      <c r="V69" s="88"/>
      <c r="W69" s="88"/>
      <c r="X69" s="88"/>
      <c r="Y69" s="88"/>
      <c r="Z69" s="88"/>
      <c r="AA69" s="88"/>
      <c r="AB69" s="88"/>
      <c r="AC69" s="87"/>
      <c r="AD69" s="87"/>
      <c r="AE69" s="88"/>
      <c r="AF69" s="88"/>
    </row>
    <row r="70" spans="1:33">
      <c r="A70" s="87">
        <v>56</v>
      </c>
      <c r="B70" s="182" t="s">
        <v>33</v>
      </c>
      <c r="C70" s="182" t="s">
        <v>33</v>
      </c>
      <c r="D70" s="181" t="s">
        <v>160</v>
      </c>
      <c r="E70" s="181" t="s">
        <v>172</v>
      </c>
      <c r="F70" s="181" t="s">
        <v>173</v>
      </c>
      <c r="G70" s="181">
        <v>489.44</v>
      </c>
      <c r="H70" s="181">
        <v>221</v>
      </c>
      <c r="I70" s="181">
        <v>1178</v>
      </c>
      <c r="J70" s="181">
        <v>613</v>
      </c>
      <c r="K70" s="181">
        <v>565</v>
      </c>
      <c r="L70" s="181">
        <v>472</v>
      </c>
      <c r="M70" s="350">
        <f t="shared" si="2"/>
        <v>40.067911714770801</v>
      </c>
      <c r="N70" s="181">
        <v>84</v>
      </c>
      <c r="O70" s="354">
        <f t="shared" si="3"/>
        <v>7.1307300509337868</v>
      </c>
      <c r="P70" s="349">
        <v>18.11</v>
      </c>
      <c r="Q70" s="181">
        <v>11</v>
      </c>
      <c r="R70" s="67" t="s">
        <v>37</v>
      </c>
      <c r="S70" s="17" t="s">
        <v>163</v>
      </c>
      <c r="T70" s="190"/>
      <c r="U70" s="17"/>
      <c r="V70" s="88"/>
      <c r="W70" s="88"/>
      <c r="X70" s="88"/>
      <c r="Y70" s="88"/>
      <c r="Z70" s="88"/>
      <c r="AA70" s="88"/>
      <c r="AB70" s="88"/>
      <c r="AC70" s="17"/>
      <c r="AD70" s="183"/>
      <c r="AE70" s="88"/>
      <c r="AF70" s="88"/>
    </row>
    <row r="71" spans="1:33">
      <c r="A71" s="87">
        <v>57</v>
      </c>
      <c r="B71" s="182" t="s">
        <v>33</v>
      </c>
      <c r="C71" s="182" t="s">
        <v>33</v>
      </c>
      <c r="D71" s="181" t="s">
        <v>160</v>
      </c>
      <c r="E71" s="181" t="s">
        <v>174</v>
      </c>
      <c r="F71" s="181" t="s">
        <v>175</v>
      </c>
      <c r="G71" s="181">
        <v>41.3</v>
      </c>
      <c r="H71" s="181">
        <v>2</v>
      </c>
      <c r="I71" s="181">
        <v>11</v>
      </c>
      <c r="J71" s="181">
        <v>8</v>
      </c>
      <c r="K71" s="181">
        <v>3</v>
      </c>
      <c r="L71" s="181">
        <v>0</v>
      </c>
      <c r="M71" s="350">
        <f t="shared" si="2"/>
        <v>0</v>
      </c>
      <c r="N71" s="181">
        <v>0</v>
      </c>
      <c r="O71" s="354">
        <f t="shared" si="3"/>
        <v>0</v>
      </c>
      <c r="P71" s="349">
        <v>3.66</v>
      </c>
      <c r="Q71" s="181">
        <v>0</v>
      </c>
      <c r="R71" s="87"/>
      <c r="S71" s="87"/>
      <c r="T71" s="88"/>
      <c r="U71" s="87"/>
      <c r="V71" s="88"/>
      <c r="W71" s="88"/>
      <c r="X71" s="88"/>
      <c r="Y71" s="88"/>
      <c r="Z71" s="88"/>
      <c r="AA71" s="88"/>
      <c r="AB71" s="88"/>
      <c r="AC71" s="87"/>
      <c r="AD71" s="87"/>
      <c r="AE71" s="88"/>
      <c r="AF71" s="88"/>
    </row>
    <row r="72" spans="1:33">
      <c r="A72" s="87">
        <v>58</v>
      </c>
      <c r="B72" s="182" t="s">
        <v>33</v>
      </c>
      <c r="C72" s="182" t="s">
        <v>33</v>
      </c>
      <c r="D72" s="181" t="s">
        <v>176</v>
      </c>
      <c r="E72" s="185" t="s">
        <v>177</v>
      </c>
      <c r="F72" s="181" t="s">
        <v>178</v>
      </c>
      <c r="G72" s="181">
        <v>790.11</v>
      </c>
      <c r="H72" s="181">
        <v>309</v>
      </c>
      <c r="I72" s="181">
        <v>1737</v>
      </c>
      <c r="J72" s="181">
        <v>887</v>
      </c>
      <c r="K72" s="181">
        <v>850</v>
      </c>
      <c r="L72" s="181">
        <v>799</v>
      </c>
      <c r="M72" s="350">
        <f t="shared" si="2"/>
        <v>45.998848589522161</v>
      </c>
      <c r="N72" s="181">
        <v>22</v>
      </c>
      <c r="O72" s="354">
        <f t="shared" si="3"/>
        <v>1.2665515256188831</v>
      </c>
      <c r="P72" s="349">
        <v>67</v>
      </c>
      <c r="Q72" s="181">
        <v>14</v>
      </c>
      <c r="R72" s="67" t="s">
        <v>37</v>
      </c>
      <c r="S72" s="17" t="s">
        <v>179</v>
      </c>
      <c r="T72" s="88"/>
      <c r="U72" s="192">
        <v>50</v>
      </c>
      <c r="V72" s="88"/>
      <c r="W72" s="88"/>
      <c r="X72" s="88"/>
      <c r="Y72" s="88"/>
      <c r="Z72" s="88"/>
      <c r="AA72" s="88"/>
      <c r="AB72" s="70" t="s">
        <v>39</v>
      </c>
      <c r="AC72" s="192">
        <v>11</v>
      </c>
      <c r="AD72" s="183" t="s">
        <v>48</v>
      </c>
      <c r="AE72" s="186">
        <v>25.057418999999999</v>
      </c>
      <c r="AF72" s="186">
        <v>76.593446999999998</v>
      </c>
    </row>
    <row r="73" spans="1:33">
      <c r="A73" s="87">
        <v>59</v>
      </c>
      <c r="B73" s="182" t="s">
        <v>33</v>
      </c>
      <c r="C73" s="182" t="s">
        <v>33</v>
      </c>
      <c r="D73" s="181" t="s">
        <v>176</v>
      </c>
      <c r="E73" s="185" t="s">
        <v>177</v>
      </c>
      <c r="F73" s="181"/>
      <c r="G73" s="181"/>
      <c r="H73" s="181"/>
      <c r="I73" s="181"/>
      <c r="J73" s="181"/>
      <c r="K73" s="181"/>
      <c r="L73" s="181"/>
      <c r="M73" s="350"/>
      <c r="N73" s="181"/>
      <c r="O73" s="354"/>
      <c r="P73" s="349"/>
      <c r="Q73" s="181">
        <v>0</v>
      </c>
      <c r="R73" s="87"/>
      <c r="S73" s="17"/>
      <c r="T73" s="88"/>
      <c r="U73" s="192">
        <v>11</v>
      </c>
      <c r="V73" s="88"/>
      <c r="W73" s="88"/>
      <c r="X73" s="88"/>
      <c r="Y73" s="88"/>
      <c r="Z73" s="88"/>
      <c r="AA73" s="88"/>
      <c r="AB73" s="88"/>
      <c r="AC73" s="192">
        <v>10</v>
      </c>
      <c r="AD73" s="183" t="s">
        <v>48</v>
      </c>
      <c r="AE73" s="19">
        <v>25.105599999999999</v>
      </c>
      <c r="AF73" s="19">
        <v>76.563900000000004</v>
      </c>
    </row>
    <row r="74" spans="1:33">
      <c r="A74" s="87">
        <v>60</v>
      </c>
      <c r="B74" s="182" t="s">
        <v>33</v>
      </c>
      <c r="C74" s="182" t="s">
        <v>33</v>
      </c>
      <c r="D74" s="181" t="s">
        <v>176</v>
      </c>
      <c r="E74" s="181" t="s">
        <v>180</v>
      </c>
      <c r="F74" s="181" t="s">
        <v>181</v>
      </c>
      <c r="G74" s="181">
        <v>613</v>
      </c>
      <c r="H74" s="181">
        <v>235</v>
      </c>
      <c r="I74" s="181">
        <v>1225</v>
      </c>
      <c r="J74" s="181">
        <v>627</v>
      </c>
      <c r="K74" s="181">
        <v>598</v>
      </c>
      <c r="L74" s="181">
        <v>378</v>
      </c>
      <c r="M74" s="350">
        <f t="shared" si="2"/>
        <v>30.857142857142854</v>
      </c>
      <c r="N74" s="181">
        <v>295</v>
      </c>
      <c r="O74" s="354">
        <f t="shared" si="3"/>
        <v>24.081632653061224</v>
      </c>
      <c r="P74" s="349">
        <v>36</v>
      </c>
      <c r="Q74" s="181">
        <v>0</v>
      </c>
      <c r="R74" s="67" t="s">
        <v>37</v>
      </c>
      <c r="S74" s="87" t="s">
        <v>37</v>
      </c>
      <c r="T74" s="88"/>
      <c r="U74" s="87"/>
      <c r="V74" s="88"/>
      <c r="W74" s="88"/>
      <c r="X74" s="88"/>
      <c r="Y74" s="88"/>
      <c r="Z74" s="88"/>
      <c r="AA74" s="88"/>
      <c r="AB74" s="88"/>
      <c r="AC74" s="87"/>
      <c r="AE74" s="88"/>
      <c r="AF74" s="88"/>
    </row>
    <row r="75" spans="1:33">
      <c r="A75" s="87" t="s">
        <v>95</v>
      </c>
      <c r="B75" s="182" t="s">
        <v>33</v>
      </c>
      <c r="C75" s="182" t="s">
        <v>33</v>
      </c>
      <c r="D75" s="181" t="s">
        <v>176</v>
      </c>
      <c r="E75" s="181" t="s">
        <v>182</v>
      </c>
      <c r="F75" s="181" t="s">
        <v>183</v>
      </c>
      <c r="G75" s="181">
        <v>418</v>
      </c>
      <c r="H75" s="181">
        <v>228</v>
      </c>
      <c r="I75" s="181">
        <v>1015</v>
      </c>
      <c r="J75" s="181">
        <v>513</v>
      </c>
      <c r="K75" s="181">
        <v>502</v>
      </c>
      <c r="L75" s="181">
        <v>292</v>
      </c>
      <c r="M75" s="350">
        <f t="shared" si="2"/>
        <v>28.768472906403943</v>
      </c>
      <c r="N75" s="181">
        <v>149</v>
      </c>
      <c r="O75" s="354">
        <f t="shared" si="3"/>
        <v>14.679802955665025</v>
      </c>
      <c r="P75" s="349">
        <v>32</v>
      </c>
      <c r="Q75" s="181">
        <v>0</v>
      </c>
      <c r="R75" s="67" t="s">
        <v>37</v>
      </c>
      <c r="S75" s="87" t="s">
        <v>37</v>
      </c>
      <c r="T75" s="88"/>
      <c r="U75" s="87"/>
      <c r="V75" s="88"/>
      <c r="W75" s="88"/>
      <c r="X75" s="88"/>
      <c r="Y75" s="88"/>
      <c r="Z75" s="88"/>
      <c r="AA75" s="88"/>
      <c r="AB75" s="88"/>
      <c r="AC75" s="87"/>
      <c r="AD75" s="87"/>
      <c r="AE75" s="88"/>
      <c r="AF75" s="88"/>
    </row>
    <row r="76" spans="1:33">
      <c r="A76" s="87">
        <v>61</v>
      </c>
      <c r="B76" s="182" t="s">
        <v>33</v>
      </c>
      <c r="C76" s="182" t="s">
        <v>33</v>
      </c>
      <c r="D76" s="181" t="s">
        <v>176</v>
      </c>
      <c r="E76" s="181" t="s">
        <v>182</v>
      </c>
      <c r="F76" s="181"/>
      <c r="G76" s="181"/>
      <c r="H76" s="181"/>
      <c r="I76" s="181"/>
      <c r="J76" s="181"/>
      <c r="K76" s="181"/>
      <c r="L76" s="181"/>
      <c r="M76" s="350"/>
      <c r="N76" s="181"/>
      <c r="O76" s="354"/>
      <c r="P76" s="349"/>
      <c r="Q76" s="181">
        <v>0</v>
      </c>
      <c r="R76" s="87"/>
      <c r="S76" s="87"/>
      <c r="T76" s="88"/>
      <c r="U76" s="87">
        <v>8</v>
      </c>
      <c r="V76" s="88"/>
      <c r="W76" s="88"/>
      <c r="X76" s="88"/>
      <c r="Y76" s="88"/>
      <c r="Z76" s="88"/>
      <c r="AA76" s="88"/>
      <c r="AB76" s="88"/>
      <c r="AC76" s="87"/>
      <c r="AD76" s="183" t="s">
        <v>48</v>
      </c>
      <c r="AE76" s="19">
        <v>24.7012</v>
      </c>
      <c r="AF76" s="19">
        <v>76.904200000000003</v>
      </c>
      <c r="AG76" s="241"/>
    </row>
    <row r="77" spans="1:33">
      <c r="A77" s="87" t="s">
        <v>95</v>
      </c>
      <c r="B77" s="182" t="s">
        <v>33</v>
      </c>
      <c r="C77" s="182" t="s">
        <v>33</v>
      </c>
      <c r="D77" s="181" t="s">
        <v>176</v>
      </c>
      <c r="E77" s="181" t="s">
        <v>184</v>
      </c>
      <c r="F77" s="181" t="s">
        <v>185</v>
      </c>
      <c r="G77" s="181">
        <v>185.29</v>
      </c>
      <c r="H77" s="181">
        <v>33</v>
      </c>
      <c r="I77" s="181">
        <v>206</v>
      </c>
      <c r="J77" s="181">
        <v>109</v>
      </c>
      <c r="K77" s="181">
        <v>97</v>
      </c>
      <c r="L77" s="181">
        <v>12</v>
      </c>
      <c r="M77" s="350">
        <f t="shared" si="2"/>
        <v>5.825242718446602</v>
      </c>
      <c r="N77" s="181">
        <v>7</v>
      </c>
      <c r="O77" s="354">
        <f t="shared" si="3"/>
        <v>3.3980582524271843</v>
      </c>
      <c r="P77" s="349">
        <v>20.100000000000001</v>
      </c>
      <c r="Q77" s="181">
        <v>0</v>
      </c>
      <c r="R77" s="67" t="s">
        <v>37</v>
      </c>
      <c r="S77" s="17" t="s">
        <v>186</v>
      </c>
      <c r="T77" s="88"/>
      <c r="U77" s="192">
        <v>20.66</v>
      </c>
      <c r="V77" s="88"/>
      <c r="W77" s="88"/>
      <c r="X77" s="88"/>
      <c r="Y77" s="88"/>
      <c r="Z77" s="88"/>
      <c r="AA77" s="88"/>
      <c r="AB77" s="88"/>
      <c r="AC77" s="189"/>
      <c r="AD77" s="361"/>
      <c r="AE77" s="186">
        <v>25.062114999999999</v>
      </c>
      <c r="AF77" s="186">
        <v>76.618397000000002</v>
      </c>
      <c r="AG77" s="241"/>
    </row>
    <row r="78" spans="1:33">
      <c r="A78" s="87">
        <v>62</v>
      </c>
      <c r="B78" s="182" t="s">
        <v>33</v>
      </c>
      <c r="C78" s="182" t="s">
        <v>33</v>
      </c>
      <c r="D78" s="181" t="s">
        <v>176</v>
      </c>
      <c r="E78" s="181" t="s">
        <v>187</v>
      </c>
      <c r="F78" s="181" t="s">
        <v>188</v>
      </c>
      <c r="G78" s="181">
        <v>170.74</v>
      </c>
      <c r="H78" s="181">
        <v>46</v>
      </c>
      <c r="I78" s="181">
        <v>264</v>
      </c>
      <c r="J78" s="181">
        <v>130</v>
      </c>
      <c r="K78" s="181">
        <v>134</v>
      </c>
      <c r="L78" s="181">
        <v>264</v>
      </c>
      <c r="M78" s="350">
        <f t="shared" si="2"/>
        <v>100</v>
      </c>
      <c r="N78" s="181">
        <v>0</v>
      </c>
      <c r="O78" s="354">
        <f t="shared" si="3"/>
        <v>0</v>
      </c>
      <c r="P78" s="349">
        <v>0</v>
      </c>
      <c r="Q78" s="181">
        <v>0</v>
      </c>
      <c r="R78" s="87"/>
      <c r="S78" s="87"/>
      <c r="T78" s="88"/>
      <c r="U78" s="87"/>
      <c r="V78" s="88"/>
      <c r="W78" s="88"/>
      <c r="X78" s="88"/>
      <c r="Y78" s="88"/>
      <c r="Z78" s="88"/>
      <c r="AA78" s="88"/>
      <c r="AB78" s="88"/>
      <c r="AC78" s="87">
        <v>8</v>
      </c>
      <c r="AD78" s="361"/>
      <c r="AE78" s="241"/>
      <c r="AF78" s="241"/>
      <c r="AG78" s="241"/>
    </row>
    <row r="79" spans="1:33">
      <c r="A79" s="87">
        <v>63</v>
      </c>
      <c r="B79" s="182" t="s">
        <v>33</v>
      </c>
      <c r="C79" s="182" t="s">
        <v>33</v>
      </c>
      <c r="D79" s="181" t="s">
        <v>189</v>
      </c>
      <c r="E79" s="185" t="s">
        <v>190</v>
      </c>
      <c r="F79" s="181" t="s">
        <v>191</v>
      </c>
      <c r="G79" s="181">
        <v>604.88</v>
      </c>
      <c r="H79" s="181">
        <v>184</v>
      </c>
      <c r="I79" s="181">
        <v>801</v>
      </c>
      <c r="J79" s="181">
        <v>423</v>
      </c>
      <c r="K79" s="181">
        <v>378</v>
      </c>
      <c r="L79" s="181">
        <v>314</v>
      </c>
      <c r="M79" s="350">
        <f t="shared" si="2"/>
        <v>39.200998751560547</v>
      </c>
      <c r="N79" s="181">
        <v>73</v>
      </c>
      <c r="O79" s="354">
        <f t="shared" si="3"/>
        <v>9.1136079900124844</v>
      </c>
      <c r="P79" s="349">
        <v>32.03</v>
      </c>
      <c r="Q79" s="181">
        <v>0</v>
      </c>
      <c r="R79" s="67" t="s">
        <v>37</v>
      </c>
      <c r="S79" s="17" t="s">
        <v>192</v>
      </c>
      <c r="T79" s="88"/>
      <c r="U79" s="17">
        <v>36.270000000000003</v>
      </c>
      <c r="V79" s="88"/>
      <c r="W79" s="88"/>
      <c r="X79" s="88"/>
      <c r="Y79" s="88"/>
      <c r="Z79" s="88"/>
      <c r="AA79" s="88"/>
      <c r="AB79" s="88"/>
      <c r="AC79" s="17"/>
      <c r="AD79" s="183"/>
      <c r="AE79" s="88"/>
      <c r="AF79" s="88"/>
    </row>
    <row r="80" spans="1:33">
      <c r="A80" s="87" t="s">
        <v>95</v>
      </c>
      <c r="B80" s="182" t="s">
        <v>33</v>
      </c>
      <c r="C80" s="182" t="s">
        <v>33</v>
      </c>
      <c r="D80" s="181" t="s">
        <v>189</v>
      </c>
      <c r="E80" s="181" t="s">
        <v>193</v>
      </c>
      <c r="F80" s="181" t="s">
        <v>194</v>
      </c>
      <c r="G80" s="181">
        <v>405.78</v>
      </c>
      <c r="H80" s="181">
        <v>81</v>
      </c>
      <c r="I80" s="181">
        <v>425</v>
      </c>
      <c r="J80" s="181">
        <v>225</v>
      </c>
      <c r="K80" s="181">
        <v>200</v>
      </c>
      <c r="L80" s="181">
        <v>25</v>
      </c>
      <c r="M80" s="350">
        <f t="shared" si="2"/>
        <v>5.8823529411764701</v>
      </c>
      <c r="N80" s="181">
        <v>359</v>
      </c>
      <c r="O80" s="354">
        <f t="shared" si="3"/>
        <v>84.470588235294116</v>
      </c>
      <c r="P80" s="349">
        <v>23.71</v>
      </c>
      <c r="Q80" s="181">
        <v>0</v>
      </c>
      <c r="R80" s="67" t="s">
        <v>37</v>
      </c>
      <c r="S80" s="17" t="s">
        <v>192</v>
      </c>
      <c r="T80" s="88"/>
      <c r="U80" s="17">
        <v>24.81</v>
      </c>
      <c r="V80" s="88"/>
      <c r="W80" s="88"/>
      <c r="X80" s="88"/>
      <c r="Y80" s="88"/>
      <c r="Z80" s="88"/>
      <c r="AA80" s="88"/>
      <c r="AB80" s="88"/>
      <c r="AC80" s="17">
        <v>9</v>
      </c>
      <c r="AD80" s="87"/>
      <c r="AE80" s="88"/>
      <c r="AF80" s="88"/>
    </row>
    <row r="81" spans="1:32">
      <c r="A81" s="87">
        <v>64</v>
      </c>
      <c r="B81" s="182" t="s">
        <v>33</v>
      </c>
      <c r="C81" s="182" t="s">
        <v>33</v>
      </c>
      <c r="D81" s="181" t="s">
        <v>189</v>
      </c>
      <c r="E81" s="181" t="s">
        <v>195</v>
      </c>
      <c r="F81" s="181" t="s">
        <v>196</v>
      </c>
      <c r="G81" s="181">
        <v>514.73</v>
      </c>
      <c r="H81" s="181">
        <v>126</v>
      </c>
      <c r="I81" s="181">
        <v>780</v>
      </c>
      <c r="J81" s="181">
        <v>433</v>
      </c>
      <c r="K81" s="181">
        <v>347</v>
      </c>
      <c r="L81" s="181">
        <v>354</v>
      </c>
      <c r="M81" s="350">
        <f t="shared" si="2"/>
        <v>45.384615384615387</v>
      </c>
      <c r="N81" s="181">
        <v>72</v>
      </c>
      <c r="O81" s="354">
        <f t="shared" si="3"/>
        <v>9.2307692307692317</v>
      </c>
      <c r="P81" s="349">
        <v>28.64</v>
      </c>
      <c r="Q81" s="181">
        <v>0</v>
      </c>
      <c r="R81" s="67" t="s">
        <v>37</v>
      </c>
      <c r="S81" s="87" t="s">
        <v>192</v>
      </c>
      <c r="T81" s="88"/>
      <c r="U81" s="193"/>
      <c r="V81" s="88"/>
      <c r="W81" s="88"/>
      <c r="X81" s="88"/>
      <c r="Y81" s="88"/>
      <c r="Z81" s="88"/>
      <c r="AA81" s="88"/>
      <c r="AB81" s="70" t="s">
        <v>39</v>
      </c>
      <c r="AC81" s="193">
        <v>5</v>
      </c>
      <c r="AD81" s="183" t="s">
        <v>48</v>
      </c>
      <c r="AE81" s="194">
        <v>25.051393000000001</v>
      </c>
      <c r="AF81" s="194">
        <v>76.443529999999996</v>
      </c>
    </row>
    <row r="82" spans="1:32">
      <c r="A82" s="87" t="s">
        <v>95</v>
      </c>
      <c r="B82" s="182" t="s">
        <v>33</v>
      </c>
      <c r="C82" s="182" t="s">
        <v>33</v>
      </c>
      <c r="D82" s="181" t="s">
        <v>189</v>
      </c>
      <c r="E82" s="181" t="s">
        <v>197</v>
      </c>
      <c r="F82" s="181" t="s">
        <v>198</v>
      </c>
      <c r="G82" s="181">
        <v>419.4</v>
      </c>
      <c r="H82" s="181">
        <v>102</v>
      </c>
      <c r="I82" s="181">
        <v>510</v>
      </c>
      <c r="J82" s="181">
        <v>270</v>
      </c>
      <c r="K82" s="181">
        <v>240</v>
      </c>
      <c r="L82" s="181">
        <v>229</v>
      </c>
      <c r="M82" s="350">
        <f t="shared" si="2"/>
        <v>44.901960784313729</v>
      </c>
      <c r="N82" s="181">
        <v>25</v>
      </c>
      <c r="O82" s="354">
        <f t="shared" si="3"/>
        <v>4.9019607843137258</v>
      </c>
      <c r="P82" s="349">
        <v>14.91</v>
      </c>
      <c r="Q82" s="181">
        <v>0</v>
      </c>
      <c r="R82" s="67" t="s">
        <v>37</v>
      </c>
      <c r="S82" s="87" t="s">
        <v>37</v>
      </c>
      <c r="T82" s="88"/>
      <c r="U82" s="87"/>
      <c r="V82" s="88"/>
      <c r="W82" s="88"/>
      <c r="X82" s="88"/>
      <c r="Y82" s="88"/>
      <c r="Z82" s="88"/>
      <c r="AA82" s="88"/>
      <c r="AB82" s="88"/>
      <c r="AC82" s="87">
        <v>13</v>
      </c>
      <c r="AD82" s="183" t="s">
        <v>48</v>
      </c>
      <c r="AE82" s="88"/>
      <c r="AF82" s="88"/>
    </row>
    <row r="83" spans="1:32">
      <c r="A83" s="87">
        <v>65</v>
      </c>
      <c r="B83" s="182" t="s">
        <v>33</v>
      </c>
      <c r="C83" s="182" t="s">
        <v>33</v>
      </c>
      <c r="D83" s="181" t="s">
        <v>199</v>
      </c>
      <c r="E83" s="185" t="s">
        <v>200</v>
      </c>
      <c r="F83" s="181" t="s">
        <v>201</v>
      </c>
      <c r="G83" s="181">
        <v>919.14</v>
      </c>
      <c r="H83" s="181">
        <v>195</v>
      </c>
      <c r="I83" s="181">
        <v>1125</v>
      </c>
      <c r="J83" s="181">
        <v>571</v>
      </c>
      <c r="K83" s="181">
        <v>554</v>
      </c>
      <c r="L83" s="181">
        <v>516</v>
      </c>
      <c r="M83" s="350">
        <f t="shared" si="2"/>
        <v>45.866666666666667</v>
      </c>
      <c r="N83" s="181">
        <v>193</v>
      </c>
      <c r="O83" s="354">
        <f t="shared" si="3"/>
        <v>17.155555555555555</v>
      </c>
      <c r="P83" s="349">
        <v>30.69</v>
      </c>
      <c r="Q83" s="181">
        <v>0</v>
      </c>
      <c r="R83" s="67" t="s">
        <v>37</v>
      </c>
      <c r="S83" s="87" t="s">
        <v>37</v>
      </c>
      <c r="T83" s="88"/>
      <c r="U83" s="189"/>
      <c r="V83" s="88"/>
      <c r="W83" s="88"/>
      <c r="X83" s="88"/>
      <c r="Y83" s="88"/>
      <c r="Z83" s="88"/>
      <c r="AA83" s="88"/>
      <c r="AB83" s="70" t="s">
        <v>39</v>
      </c>
      <c r="AC83" s="189">
        <v>12</v>
      </c>
      <c r="AD83" s="87"/>
      <c r="AE83" s="194">
        <v>25.051393000000001</v>
      </c>
      <c r="AF83" s="194">
        <v>76.443529999999996</v>
      </c>
    </row>
    <row r="84" spans="1:32">
      <c r="A84" s="87">
        <v>66</v>
      </c>
      <c r="B84" s="182" t="s">
        <v>33</v>
      </c>
      <c r="C84" s="182" t="s">
        <v>33</v>
      </c>
      <c r="D84" s="181" t="s">
        <v>199</v>
      </c>
      <c r="E84" s="181" t="s">
        <v>202</v>
      </c>
      <c r="F84" s="181" t="s">
        <v>203</v>
      </c>
      <c r="G84" s="181">
        <v>433.18</v>
      </c>
      <c r="H84" s="181">
        <v>87</v>
      </c>
      <c r="I84" s="181">
        <v>477</v>
      </c>
      <c r="J84" s="181">
        <v>236</v>
      </c>
      <c r="K84" s="181">
        <v>241</v>
      </c>
      <c r="L84" s="181">
        <v>1</v>
      </c>
      <c r="M84" s="350">
        <f t="shared" si="2"/>
        <v>0.20964360587002098</v>
      </c>
      <c r="N84" s="181">
        <v>355</v>
      </c>
      <c r="O84" s="354">
        <f t="shared" si="3"/>
        <v>74.423480083857442</v>
      </c>
      <c r="P84" s="349">
        <v>36.78</v>
      </c>
      <c r="Q84" s="181">
        <v>0</v>
      </c>
      <c r="R84" s="67" t="s">
        <v>37</v>
      </c>
      <c r="S84" s="87" t="s">
        <v>37</v>
      </c>
      <c r="T84" s="88"/>
      <c r="U84" s="192"/>
      <c r="V84" s="88"/>
      <c r="W84" s="88"/>
      <c r="X84" s="88"/>
      <c r="Y84" s="88"/>
      <c r="Z84" s="88"/>
      <c r="AA84" s="88"/>
      <c r="AB84" s="88"/>
      <c r="AC84" s="192"/>
      <c r="AD84" s="183"/>
      <c r="AE84" s="88"/>
      <c r="AF84" s="88"/>
    </row>
    <row r="85" spans="1:32">
      <c r="A85" s="87">
        <v>67</v>
      </c>
      <c r="B85" s="182" t="s">
        <v>33</v>
      </c>
      <c r="C85" s="182" t="s">
        <v>33</v>
      </c>
      <c r="D85" s="181" t="s">
        <v>199</v>
      </c>
      <c r="E85" s="181" t="s">
        <v>204</v>
      </c>
      <c r="F85" s="181" t="s">
        <v>205</v>
      </c>
      <c r="G85" s="181">
        <v>175.61</v>
      </c>
      <c r="H85" s="181">
        <v>7</v>
      </c>
      <c r="I85" s="181">
        <v>38</v>
      </c>
      <c r="J85" s="181">
        <v>20</v>
      </c>
      <c r="K85" s="181">
        <v>18</v>
      </c>
      <c r="L85" s="181">
        <v>0</v>
      </c>
      <c r="M85" s="350">
        <f t="shared" si="2"/>
        <v>0</v>
      </c>
      <c r="N85" s="181">
        <v>30</v>
      </c>
      <c r="O85" s="354">
        <f t="shared" si="3"/>
        <v>78.94736842105263</v>
      </c>
      <c r="P85" s="349">
        <v>0</v>
      </c>
      <c r="Q85" s="181">
        <v>0</v>
      </c>
      <c r="R85" s="87"/>
      <c r="S85" s="87"/>
      <c r="T85" s="88"/>
      <c r="U85" s="87"/>
      <c r="V85" s="88"/>
      <c r="W85" s="88"/>
      <c r="X85" s="88"/>
      <c r="Y85" s="88"/>
      <c r="Z85" s="88"/>
      <c r="AA85" s="88"/>
      <c r="AB85" s="88"/>
      <c r="AC85" s="87"/>
      <c r="AD85" s="183"/>
      <c r="AE85" s="88"/>
      <c r="AF85" s="88"/>
    </row>
    <row r="86" spans="1:32">
      <c r="A86" s="87">
        <v>68</v>
      </c>
      <c r="B86" s="182" t="s">
        <v>33</v>
      </c>
      <c r="C86" s="182" t="s">
        <v>33</v>
      </c>
      <c r="D86" s="181" t="s">
        <v>199</v>
      </c>
      <c r="E86" s="181" t="s">
        <v>206</v>
      </c>
      <c r="F86" s="181" t="s">
        <v>207</v>
      </c>
      <c r="G86" s="181">
        <v>454.47</v>
      </c>
      <c r="H86" s="181">
        <v>145</v>
      </c>
      <c r="I86" s="181">
        <v>771</v>
      </c>
      <c r="J86" s="181">
        <v>395</v>
      </c>
      <c r="K86" s="181">
        <v>376</v>
      </c>
      <c r="L86" s="181">
        <v>135</v>
      </c>
      <c r="M86" s="350">
        <f t="shared" si="2"/>
        <v>17.509727626459142</v>
      </c>
      <c r="N86" s="181">
        <v>382</v>
      </c>
      <c r="O86" s="354">
        <f t="shared" si="3"/>
        <v>49.546044098573283</v>
      </c>
      <c r="P86" s="349">
        <v>38.85</v>
      </c>
      <c r="Q86" s="181">
        <v>0</v>
      </c>
      <c r="R86" s="67" t="s">
        <v>37</v>
      </c>
      <c r="S86" s="87" t="s">
        <v>37</v>
      </c>
      <c r="T86" s="88"/>
      <c r="U86" s="87"/>
      <c r="V86" s="88"/>
      <c r="W86" s="88"/>
      <c r="X86" s="88"/>
      <c r="Y86" s="88"/>
      <c r="Z86" s="88"/>
      <c r="AA86" s="88"/>
      <c r="AB86" s="88"/>
      <c r="AC86" s="87"/>
      <c r="AD86" s="87"/>
      <c r="AE86" s="88"/>
      <c r="AF86" s="88"/>
    </row>
    <row r="87" spans="1:32">
      <c r="A87" s="87">
        <v>69</v>
      </c>
      <c r="B87" s="182" t="s">
        <v>33</v>
      </c>
      <c r="C87" s="182" t="s">
        <v>33</v>
      </c>
      <c r="D87" s="181" t="s">
        <v>199</v>
      </c>
      <c r="E87" s="181" t="s">
        <v>208</v>
      </c>
      <c r="F87" s="181" t="s">
        <v>209</v>
      </c>
      <c r="G87" s="181">
        <v>301.3</v>
      </c>
      <c r="H87" s="181">
        <v>111</v>
      </c>
      <c r="I87" s="181">
        <v>628</v>
      </c>
      <c r="J87" s="181">
        <v>323</v>
      </c>
      <c r="K87" s="181">
        <v>305</v>
      </c>
      <c r="L87" s="181">
        <v>131</v>
      </c>
      <c r="M87" s="350">
        <f t="shared" si="2"/>
        <v>20.859872611464969</v>
      </c>
      <c r="N87" s="181">
        <v>193</v>
      </c>
      <c r="O87" s="354">
        <f t="shared" si="3"/>
        <v>30.732484076433121</v>
      </c>
      <c r="P87" s="349">
        <v>24.81</v>
      </c>
      <c r="Q87" s="181">
        <v>0</v>
      </c>
      <c r="R87" s="67" t="s">
        <v>37</v>
      </c>
      <c r="S87" s="192" t="s">
        <v>210</v>
      </c>
      <c r="T87" s="88"/>
      <c r="U87" s="192"/>
      <c r="V87" s="88"/>
      <c r="W87" s="88"/>
      <c r="X87" s="88"/>
      <c r="Y87" s="88"/>
      <c r="Z87" s="88"/>
      <c r="AA87" s="88"/>
      <c r="AB87" s="88"/>
      <c r="AC87" s="192"/>
      <c r="AD87" s="183"/>
      <c r="AE87" s="88"/>
      <c r="AF87" s="88"/>
    </row>
    <row r="88" spans="1:32">
      <c r="A88" s="87">
        <v>70</v>
      </c>
      <c r="B88" s="182" t="s">
        <v>33</v>
      </c>
      <c r="C88" s="182" t="s">
        <v>33</v>
      </c>
      <c r="D88" s="181" t="s">
        <v>199</v>
      </c>
      <c r="E88" s="181" t="s">
        <v>208</v>
      </c>
      <c r="F88" s="181"/>
      <c r="G88" s="181"/>
      <c r="H88" s="181"/>
      <c r="I88" s="181"/>
      <c r="J88" s="181"/>
      <c r="K88" s="181"/>
      <c r="L88" s="181"/>
      <c r="M88" s="350"/>
      <c r="N88" s="181"/>
      <c r="O88" s="354"/>
      <c r="P88" s="349"/>
      <c r="Q88" s="181">
        <v>0</v>
      </c>
      <c r="R88" s="87"/>
      <c r="S88" s="192"/>
      <c r="T88" s="190"/>
      <c r="U88" s="192"/>
      <c r="V88" s="88"/>
      <c r="W88" s="88"/>
      <c r="X88" s="88"/>
      <c r="Y88" s="88"/>
      <c r="Z88" s="88"/>
      <c r="AA88" s="88"/>
      <c r="AB88" s="88"/>
      <c r="AC88" s="192">
        <v>9</v>
      </c>
      <c r="AD88" s="183" t="s">
        <v>48</v>
      </c>
      <c r="AE88" s="19">
        <v>25.246099999999998</v>
      </c>
      <c r="AF88" s="19">
        <v>76.736800000000002</v>
      </c>
    </row>
    <row r="89" spans="1:32">
      <c r="A89" s="87">
        <v>71</v>
      </c>
      <c r="B89" s="182" t="s">
        <v>33</v>
      </c>
      <c r="C89" s="182" t="s">
        <v>33</v>
      </c>
      <c r="D89" s="181" t="s">
        <v>199</v>
      </c>
      <c r="E89" s="181" t="s">
        <v>211</v>
      </c>
      <c r="F89" s="181" t="s">
        <v>212</v>
      </c>
      <c r="G89" s="181">
        <v>210.73</v>
      </c>
      <c r="H89" s="181">
        <v>38</v>
      </c>
      <c r="I89" s="181">
        <v>215</v>
      </c>
      <c r="J89" s="181">
        <v>119</v>
      </c>
      <c r="K89" s="181">
        <v>96</v>
      </c>
      <c r="L89" s="181">
        <v>4</v>
      </c>
      <c r="M89" s="350">
        <f t="shared" si="2"/>
        <v>1.8604651162790697</v>
      </c>
      <c r="N89" s="181">
        <v>31</v>
      </c>
      <c r="O89" s="354">
        <f t="shared" si="3"/>
        <v>14.418604651162791</v>
      </c>
      <c r="P89" s="349">
        <v>21.12</v>
      </c>
      <c r="Q89" s="181">
        <v>0</v>
      </c>
      <c r="R89" s="87"/>
      <c r="S89" s="87"/>
      <c r="T89" s="190"/>
      <c r="U89" s="87"/>
      <c r="V89" s="88"/>
      <c r="W89" s="88"/>
      <c r="X89" s="88"/>
      <c r="Y89" s="88"/>
      <c r="Z89" s="88"/>
      <c r="AA89" s="88"/>
      <c r="AB89" s="88"/>
      <c r="AC89" s="87"/>
      <c r="AD89" s="183"/>
      <c r="AE89" s="88"/>
      <c r="AF89" s="88"/>
    </row>
    <row r="90" spans="1:32">
      <c r="A90" s="87">
        <v>72</v>
      </c>
      <c r="B90" s="182" t="s">
        <v>33</v>
      </c>
      <c r="C90" s="182" t="s">
        <v>33</v>
      </c>
      <c r="D90" s="181" t="s">
        <v>213</v>
      </c>
      <c r="E90" s="185" t="s">
        <v>214</v>
      </c>
      <c r="F90" s="181" t="s">
        <v>215</v>
      </c>
      <c r="G90" s="181">
        <v>208</v>
      </c>
      <c r="H90" s="181">
        <v>169</v>
      </c>
      <c r="I90" s="181">
        <v>827</v>
      </c>
      <c r="J90" s="181">
        <v>421</v>
      </c>
      <c r="K90" s="181">
        <v>406</v>
      </c>
      <c r="L90" s="181">
        <v>117</v>
      </c>
      <c r="M90" s="350">
        <f t="shared" si="2"/>
        <v>14.147521160822249</v>
      </c>
      <c r="N90" s="181">
        <v>290</v>
      </c>
      <c r="O90" s="354">
        <f t="shared" si="3"/>
        <v>35.066505441354295</v>
      </c>
      <c r="P90" s="349">
        <v>31</v>
      </c>
      <c r="Q90" s="181">
        <v>0</v>
      </c>
      <c r="R90" s="67" t="s">
        <v>37</v>
      </c>
      <c r="S90" s="17" t="s">
        <v>216</v>
      </c>
      <c r="T90" s="190"/>
      <c r="U90" s="17">
        <v>27.4</v>
      </c>
      <c r="V90" s="88"/>
      <c r="W90" s="88"/>
      <c r="X90" s="88"/>
      <c r="Y90" s="88"/>
      <c r="Z90" s="88"/>
      <c r="AA90" s="88"/>
      <c r="AB90" s="70" t="s">
        <v>39</v>
      </c>
      <c r="AC90" s="17">
        <v>4</v>
      </c>
      <c r="AD90" s="87"/>
      <c r="AE90" s="186">
        <v>25.128557000000001</v>
      </c>
      <c r="AF90" s="186">
        <v>76.583223000000004</v>
      </c>
    </row>
    <row r="91" spans="1:32">
      <c r="A91" s="87">
        <v>73</v>
      </c>
      <c r="B91" s="182" t="s">
        <v>33</v>
      </c>
      <c r="C91" s="182" t="s">
        <v>33</v>
      </c>
      <c r="D91" s="181" t="s">
        <v>213</v>
      </c>
      <c r="E91" s="185" t="s">
        <v>214</v>
      </c>
      <c r="F91" s="181"/>
      <c r="G91" s="181"/>
      <c r="H91" s="181"/>
      <c r="I91" s="181"/>
      <c r="J91" s="181"/>
      <c r="K91" s="181"/>
      <c r="L91" s="181"/>
      <c r="M91" s="350"/>
      <c r="N91" s="181"/>
      <c r="O91" s="354"/>
      <c r="P91" s="349"/>
      <c r="Q91" s="181">
        <v>0</v>
      </c>
      <c r="R91" s="87"/>
      <c r="S91" s="17"/>
      <c r="T91" s="190"/>
      <c r="U91" s="17"/>
      <c r="V91" s="88"/>
      <c r="W91" s="88"/>
      <c r="X91" s="88"/>
      <c r="Y91" s="88"/>
      <c r="Z91" s="88"/>
      <c r="AA91" s="88"/>
      <c r="AB91" s="88"/>
      <c r="AC91" s="19">
        <v>4</v>
      </c>
      <c r="AD91" s="183" t="s">
        <v>48</v>
      </c>
      <c r="AE91" s="88"/>
      <c r="AF91" s="88"/>
    </row>
    <row r="92" spans="1:32">
      <c r="A92" s="87">
        <v>74</v>
      </c>
      <c r="B92" s="182" t="s">
        <v>33</v>
      </c>
      <c r="C92" s="182" t="s">
        <v>33</v>
      </c>
      <c r="D92" s="181" t="s">
        <v>213</v>
      </c>
      <c r="E92" s="181" t="s">
        <v>217</v>
      </c>
      <c r="F92" s="181" t="s">
        <v>218</v>
      </c>
      <c r="G92" s="181">
        <v>342</v>
      </c>
      <c r="H92" s="181">
        <v>71</v>
      </c>
      <c r="I92" s="181">
        <v>390</v>
      </c>
      <c r="J92" s="181">
        <v>205</v>
      </c>
      <c r="K92" s="181">
        <v>185</v>
      </c>
      <c r="L92" s="181">
        <v>6</v>
      </c>
      <c r="M92" s="350">
        <f t="shared" si="2"/>
        <v>1.5384615384615385</v>
      </c>
      <c r="N92" s="181">
        <v>154</v>
      </c>
      <c r="O92" s="354">
        <f t="shared" si="3"/>
        <v>39.487179487179489</v>
      </c>
      <c r="P92" s="349">
        <v>15</v>
      </c>
      <c r="Q92" s="181">
        <v>0</v>
      </c>
      <c r="R92" s="87"/>
      <c r="S92" s="17"/>
      <c r="T92" s="190"/>
      <c r="U92" s="17"/>
      <c r="V92" s="88"/>
      <c r="W92" s="88"/>
      <c r="X92" s="88"/>
      <c r="Y92" s="88"/>
      <c r="Z92" s="88"/>
      <c r="AA92" s="88"/>
      <c r="AB92" s="88"/>
      <c r="AC92" s="17"/>
      <c r="AD92" s="183"/>
      <c r="AE92" s="88"/>
      <c r="AF92" s="88"/>
    </row>
    <row r="93" spans="1:32">
      <c r="A93" s="87">
        <v>75</v>
      </c>
      <c r="B93" s="182" t="s">
        <v>33</v>
      </c>
      <c r="C93" s="182" t="s">
        <v>33</v>
      </c>
      <c r="D93" s="181" t="s">
        <v>213</v>
      </c>
      <c r="E93" s="181" t="s">
        <v>219</v>
      </c>
      <c r="F93" s="181" t="s">
        <v>220</v>
      </c>
      <c r="G93" s="181">
        <v>728</v>
      </c>
      <c r="H93" s="181">
        <v>203</v>
      </c>
      <c r="I93" s="181">
        <v>1080</v>
      </c>
      <c r="J93" s="181">
        <v>573</v>
      </c>
      <c r="K93" s="181">
        <v>507</v>
      </c>
      <c r="L93" s="181">
        <v>140</v>
      </c>
      <c r="M93" s="350">
        <f t="shared" si="2"/>
        <v>12.962962962962962</v>
      </c>
      <c r="N93" s="181">
        <v>668</v>
      </c>
      <c r="O93" s="354">
        <f t="shared" si="3"/>
        <v>61.851851851851848</v>
      </c>
      <c r="P93" s="349">
        <v>87</v>
      </c>
      <c r="Q93" s="181">
        <v>6.24</v>
      </c>
      <c r="R93" s="67" t="s">
        <v>37</v>
      </c>
      <c r="S93" s="17" t="s">
        <v>221</v>
      </c>
      <c r="T93" s="190"/>
      <c r="U93" s="17">
        <v>88.81</v>
      </c>
      <c r="V93" s="88"/>
      <c r="W93" s="88"/>
      <c r="X93" s="88"/>
      <c r="Y93" s="88"/>
      <c r="Z93" s="88"/>
      <c r="AA93" s="88"/>
      <c r="AB93" s="70" t="s">
        <v>39</v>
      </c>
      <c r="AC93" s="17">
        <v>4</v>
      </c>
      <c r="AD93" s="183" t="s">
        <v>48</v>
      </c>
      <c r="AE93" s="186">
        <v>25.140219999999999</v>
      </c>
      <c r="AF93" s="186">
        <v>76.585594</v>
      </c>
    </row>
    <row r="94" spans="1:32">
      <c r="A94" s="87">
        <v>76</v>
      </c>
      <c r="B94" s="182" t="s">
        <v>33</v>
      </c>
      <c r="C94" s="182" t="s">
        <v>33</v>
      </c>
      <c r="D94" s="181" t="s">
        <v>213</v>
      </c>
      <c r="E94" s="181" t="s">
        <v>219</v>
      </c>
      <c r="F94" s="181"/>
      <c r="G94" s="181"/>
      <c r="H94" s="181"/>
      <c r="I94" s="181"/>
      <c r="J94" s="181"/>
      <c r="K94" s="181"/>
      <c r="L94" s="181"/>
      <c r="M94" s="350"/>
      <c r="N94" s="181"/>
      <c r="O94" s="354"/>
      <c r="P94" s="349"/>
      <c r="Q94" s="181">
        <v>0</v>
      </c>
      <c r="R94" s="87"/>
      <c r="S94" s="17"/>
      <c r="T94" s="88"/>
      <c r="U94" s="17"/>
      <c r="V94" s="88"/>
      <c r="W94" s="88"/>
      <c r="X94" s="88"/>
      <c r="Y94" s="88"/>
      <c r="Z94" s="88"/>
      <c r="AA94" s="88"/>
      <c r="AB94" s="88"/>
      <c r="AC94" s="19">
        <v>4</v>
      </c>
      <c r="AD94" s="183" t="s">
        <v>48</v>
      </c>
      <c r="AE94" s="19">
        <v>25.1448</v>
      </c>
      <c r="AF94" s="19">
        <v>76.565899999999999</v>
      </c>
    </row>
    <row r="95" spans="1:32">
      <c r="A95" s="87" t="s">
        <v>51</v>
      </c>
      <c r="B95" s="182" t="s">
        <v>33</v>
      </c>
      <c r="C95" s="182" t="s">
        <v>33</v>
      </c>
      <c r="D95" s="181" t="s">
        <v>213</v>
      </c>
      <c r="E95" s="181" t="s">
        <v>222</v>
      </c>
      <c r="F95" s="181" t="s">
        <v>223</v>
      </c>
      <c r="G95" s="181">
        <v>332</v>
      </c>
      <c r="H95" s="181">
        <v>98</v>
      </c>
      <c r="I95" s="181">
        <v>453</v>
      </c>
      <c r="J95" s="181">
        <v>239</v>
      </c>
      <c r="K95" s="181">
        <v>214</v>
      </c>
      <c r="L95" s="181">
        <v>6</v>
      </c>
      <c r="M95" s="350">
        <f t="shared" si="2"/>
        <v>1.3245033112582782</v>
      </c>
      <c r="N95" s="181">
        <v>126</v>
      </c>
      <c r="O95" s="354">
        <f t="shared" si="3"/>
        <v>27.814569536423839</v>
      </c>
      <c r="P95" s="349">
        <v>15</v>
      </c>
      <c r="Q95" s="181">
        <v>0</v>
      </c>
      <c r="R95" s="67" t="s">
        <v>37</v>
      </c>
      <c r="S95" s="17" t="s">
        <v>221</v>
      </c>
      <c r="T95" s="190"/>
      <c r="U95" s="17">
        <v>3.28</v>
      </c>
      <c r="V95" s="88"/>
      <c r="W95" s="88"/>
      <c r="X95" s="88"/>
      <c r="Y95" s="88"/>
      <c r="Z95" s="88"/>
      <c r="AA95" s="88"/>
      <c r="AB95" s="70" t="s">
        <v>39</v>
      </c>
      <c r="AC95" s="17">
        <v>10</v>
      </c>
      <c r="AD95" s="183" t="s">
        <v>48</v>
      </c>
      <c r="AE95" s="186">
        <v>25.145060999999998</v>
      </c>
      <c r="AF95" s="186">
        <v>76.603003000000001</v>
      </c>
    </row>
    <row r="96" spans="1:32">
      <c r="A96" s="87">
        <v>77</v>
      </c>
      <c r="B96" s="182" t="s">
        <v>33</v>
      </c>
      <c r="C96" s="182" t="s">
        <v>33</v>
      </c>
      <c r="D96" s="181" t="s">
        <v>224</v>
      </c>
      <c r="E96" s="185" t="s">
        <v>225</v>
      </c>
      <c r="F96" s="181" t="s">
        <v>226</v>
      </c>
      <c r="G96" s="181">
        <v>798.4</v>
      </c>
      <c r="H96" s="181">
        <v>217</v>
      </c>
      <c r="I96" s="181">
        <v>1191</v>
      </c>
      <c r="J96" s="181">
        <v>613</v>
      </c>
      <c r="K96" s="181">
        <v>578</v>
      </c>
      <c r="L96" s="181">
        <v>272</v>
      </c>
      <c r="M96" s="350">
        <f t="shared" si="2"/>
        <v>22.837951301427374</v>
      </c>
      <c r="N96" s="181">
        <v>232</v>
      </c>
      <c r="O96" s="354">
        <f t="shared" si="3"/>
        <v>19.479429051217465</v>
      </c>
      <c r="P96" s="349">
        <v>52</v>
      </c>
      <c r="Q96" s="88"/>
      <c r="R96" s="67" t="s">
        <v>37</v>
      </c>
      <c r="S96" s="17" t="s">
        <v>227</v>
      </c>
      <c r="T96" s="190"/>
      <c r="U96" s="17">
        <v>25</v>
      </c>
      <c r="V96" s="88"/>
      <c r="W96" s="88"/>
      <c r="X96" s="88"/>
      <c r="Y96" s="88"/>
      <c r="Z96" s="88"/>
      <c r="AA96" s="88"/>
      <c r="AB96" s="70" t="s">
        <v>39</v>
      </c>
      <c r="AC96" s="17">
        <v>6</v>
      </c>
      <c r="AD96" s="87" t="s">
        <v>2710</v>
      </c>
      <c r="AE96" s="186">
        <v>25.245141</v>
      </c>
      <c r="AF96" s="186">
        <v>76.438107000000002</v>
      </c>
    </row>
    <row r="97" spans="1:32">
      <c r="A97" s="87">
        <v>78</v>
      </c>
      <c r="B97" s="182" t="s">
        <v>33</v>
      </c>
      <c r="C97" s="182" t="s">
        <v>33</v>
      </c>
      <c r="D97" s="181" t="s">
        <v>224</v>
      </c>
      <c r="E97" s="185" t="s">
        <v>225</v>
      </c>
      <c r="F97" s="181"/>
      <c r="G97" s="181"/>
      <c r="H97" s="181"/>
      <c r="I97" s="181"/>
      <c r="J97" s="181"/>
      <c r="K97" s="181"/>
      <c r="L97" s="181"/>
      <c r="M97" s="350"/>
      <c r="N97" s="181"/>
      <c r="O97" s="354"/>
      <c r="P97" s="349"/>
      <c r="Q97" s="88"/>
      <c r="R97" s="87"/>
      <c r="S97" s="17"/>
      <c r="T97" s="190"/>
      <c r="U97" s="17"/>
      <c r="V97" s="88"/>
      <c r="W97" s="88"/>
      <c r="X97" s="88"/>
      <c r="Y97" s="88"/>
      <c r="Z97" s="88"/>
      <c r="AA97" s="88"/>
      <c r="AB97" s="88"/>
      <c r="AC97" s="17">
        <v>11</v>
      </c>
      <c r="AD97" s="183" t="s">
        <v>48</v>
      </c>
      <c r="AE97" s="19">
        <v>25.08</v>
      </c>
      <c r="AF97" s="19">
        <v>76.540000000000006</v>
      </c>
    </row>
    <row r="98" spans="1:32">
      <c r="A98" s="87">
        <v>79</v>
      </c>
      <c r="B98" s="182" t="s">
        <v>33</v>
      </c>
      <c r="C98" s="182" t="s">
        <v>33</v>
      </c>
      <c r="D98" s="181" t="s">
        <v>224</v>
      </c>
      <c r="E98" s="181" t="s">
        <v>229</v>
      </c>
      <c r="F98" s="181" t="s">
        <v>230</v>
      </c>
      <c r="G98" s="181">
        <v>455.1</v>
      </c>
      <c r="H98" s="181">
        <v>111</v>
      </c>
      <c r="I98" s="181">
        <v>620</v>
      </c>
      <c r="J98" s="181">
        <v>315</v>
      </c>
      <c r="K98" s="181">
        <v>305</v>
      </c>
      <c r="L98" s="181">
        <v>83</v>
      </c>
      <c r="M98" s="350">
        <f t="shared" si="2"/>
        <v>13.38709677419355</v>
      </c>
      <c r="N98" s="181">
        <v>9</v>
      </c>
      <c r="O98" s="354">
        <f t="shared" si="3"/>
        <v>1.4516129032258065</v>
      </c>
      <c r="P98" s="349">
        <v>13.1</v>
      </c>
      <c r="Q98" s="88"/>
      <c r="R98" s="87" t="s">
        <v>228</v>
      </c>
      <c r="S98" s="17" t="s">
        <v>2709</v>
      </c>
      <c r="T98" s="88"/>
      <c r="U98" s="17"/>
      <c r="V98" s="88"/>
      <c r="W98" s="88"/>
      <c r="X98" s="88"/>
      <c r="Y98" s="88"/>
      <c r="Z98" s="88"/>
      <c r="AA98" s="88"/>
      <c r="AB98" s="88"/>
      <c r="AC98" s="19">
        <v>12</v>
      </c>
      <c r="AD98" s="183" t="s">
        <v>48</v>
      </c>
      <c r="AE98" s="19">
        <v>25.109400000000001</v>
      </c>
      <c r="AF98" s="19">
        <v>76.585599999999999</v>
      </c>
    </row>
    <row r="99" spans="1:32">
      <c r="A99" s="87">
        <v>80</v>
      </c>
      <c r="B99" s="182" t="s">
        <v>33</v>
      </c>
      <c r="C99" s="182" t="s">
        <v>33</v>
      </c>
      <c r="D99" s="181" t="s">
        <v>224</v>
      </c>
      <c r="E99" s="181" t="s">
        <v>231</v>
      </c>
      <c r="F99" s="181" t="s">
        <v>232</v>
      </c>
      <c r="G99" s="181">
        <v>190.96</v>
      </c>
      <c r="H99" s="181">
        <v>66</v>
      </c>
      <c r="I99" s="181">
        <v>366</v>
      </c>
      <c r="J99" s="181">
        <v>192</v>
      </c>
      <c r="K99" s="181">
        <v>174</v>
      </c>
      <c r="L99" s="181">
        <v>0</v>
      </c>
      <c r="M99" s="350">
        <f t="shared" si="2"/>
        <v>0</v>
      </c>
      <c r="N99" s="181">
        <v>361</v>
      </c>
      <c r="O99" s="354">
        <f t="shared" si="3"/>
        <v>98.63387978142076</v>
      </c>
      <c r="P99" s="349">
        <v>8.75</v>
      </c>
      <c r="Q99" s="88"/>
      <c r="R99" s="87" t="s">
        <v>228</v>
      </c>
      <c r="S99" s="17" t="s">
        <v>2709</v>
      </c>
      <c r="T99" s="88"/>
      <c r="U99" s="87"/>
      <c r="V99" s="88"/>
      <c r="W99" s="88"/>
      <c r="X99" s="88"/>
      <c r="Y99" s="88"/>
      <c r="Z99" s="88"/>
      <c r="AA99" s="88"/>
      <c r="AB99" s="88"/>
      <c r="AC99" s="87"/>
      <c r="AD99" s="183"/>
      <c r="AE99" s="88"/>
      <c r="AF99" s="88"/>
    </row>
    <row r="100" spans="1:32">
      <c r="A100" s="87">
        <v>81</v>
      </c>
      <c r="B100" s="182" t="s">
        <v>33</v>
      </c>
      <c r="C100" s="182" t="s">
        <v>33</v>
      </c>
      <c r="D100" s="181" t="s">
        <v>224</v>
      </c>
      <c r="E100" s="181" t="s">
        <v>233</v>
      </c>
      <c r="F100" s="181" t="s">
        <v>234</v>
      </c>
      <c r="G100" s="181">
        <v>754.1</v>
      </c>
      <c r="H100" s="181">
        <v>162</v>
      </c>
      <c r="I100" s="181">
        <v>808</v>
      </c>
      <c r="J100" s="181">
        <v>410</v>
      </c>
      <c r="K100" s="181">
        <v>398</v>
      </c>
      <c r="L100" s="181">
        <v>166</v>
      </c>
      <c r="M100" s="350">
        <f t="shared" si="2"/>
        <v>20.544554455445542</v>
      </c>
      <c r="N100" s="181">
        <v>1</v>
      </c>
      <c r="O100" s="354">
        <f t="shared" si="3"/>
        <v>0.12376237623762376</v>
      </c>
      <c r="P100" s="349">
        <v>61.6</v>
      </c>
      <c r="Q100" s="88"/>
      <c r="R100" s="87" t="s">
        <v>228</v>
      </c>
      <c r="S100" s="17" t="s">
        <v>2709</v>
      </c>
      <c r="T100" s="190"/>
      <c r="U100" s="87"/>
      <c r="V100" s="88"/>
      <c r="W100" s="88"/>
      <c r="X100" s="88"/>
      <c r="Y100" s="88"/>
      <c r="Z100" s="88"/>
      <c r="AA100" s="88"/>
      <c r="AB100" s="88"/>
      <c r="AC100" s="87"/>
      <c r="AD100" s="183"/>
      <c r="AE100" s="88"/>
      <c r="AF100" s="88"/>
    </row>
    <row r="101" spans="1:32">
      <c r="A101" s="87">
        <v>82</v>
      </c>
      <c r="B101" s="182" t="s">
        <v>33</v>
      </c>
      <c r="C101" s="182" t="s">
        <v>33</v>
      </c>
      <c r="D101" s="181" t="s">
        <v>224</v>
      </c>
      <c r="E101" s="181" t="s">
        <v>235</v>
      </c>
      <c r="F101" s="181" t="s">
        <v>236</v>
      </c>
      <c r="G101" s="181">
        <v>479.76</v>
      </c>
      <c r="H101" s="181">
        <v>157</v>
      </c>
      <c r="I101" s="181">
        <v>881</v>
      </c>
      <c r="J101" s="181">
        <v>475</v>
      </c>
      <c r="K101" s="181">
        <v>406</v>
      </c>
      <c r="L101" s="181">
        <v>118</v>
      </c>
      <c r="M101" s="350">
        <f t="shared" si="2"/>
        <v>13.393870601589104</v>
      </c>
      <c r="N101" s="181">
        <v>85</v>
      </c>
      <c r="O101" s="354">
        <f t="shared" si="3"/>
        <v>9.6481271282633365</v>
      </c>
      <c r="P101" s="349">
        <v>22.01</v>
      </c>
      <c r="Q101" s="88"/>
      <c r="R101" s="67" t="s">
        <v>37</v>
      </c>
      <c r="S101" s="17" t="s">
        <v>227</v>
      </c>
      <c r="T101" s="190"/>
      <c r="U101" s="17">
        <v>15</v>
      </c>
      <c r="V101" s="88"/>
      <c r="W101" s="88"/>
      <c r="X101" s="88"/>
      <c r="Y101" s="88"/>
      <c r="Z101" s="88"/>
      <c r="AA101" s="88"/>
      <c r="AB101" s="70" t="s">
        <v>39</v>
      </c>
      <c r="AC101" s="17">
        <v>4</v>
      </c>
      <c r="AD101" s="183" t="s">
        <v>48</v>
      </c>
      <c r="AE101" s="88"/>
      <c r="AF101" s="88"/>
    </row>
    <row r="102" spans="1:32">
      <c r="A102" s="87">
        <v>83</v>
      </c>
      <c r="B102" s="182" t="s">
        <v>33</v>
      </c>
      <c r="C102" s="182" t="s">
        <v>33</v>
      </c>
      <c r="D102" s="181" t="s">
        <v>237</v>
      </c>
      <c r="E102" s="185" t="s">
        <v>238</v>
      </c>
      <c r="F102" s="181" t="s">
        <v>239</v>
      </c>
      <c r="G102" s="181">
        <v>802</v>
      </c>
      <c r="H102" s="181">
        <v>199</v>
      </c>
      <c r="I102" s="181">
        <v>934</v>
      </c>
      <c r="J102" s="181">
        <v>493</v>
      </c>
      <c r="K102" s="181">
        <v>441</v>
      </c>
      <c r="L102" s="181">
        <v>118</v>
      </c>
      <c r="M102" s="350">
        <f t="shared" si="2"/>
        <v>12.633832976445397</v>
      </c>
      <c r="N102" s="181">
        <v>458</v>
      </c>
      <c r="O102" s="354">
        <f t="shared" si="3"/>
        <v>49.036402569593143</v>
      </c>
      <c r="P102" s="349">
        <v>58.2</v>
      </c>
      <c r="Q102" s="88"/>
      <c r="R102" s="67" t="s">
        <v>37</v>
      </c>
      <c r="S102" s="17" t="s">
        <v>240</v>
      </c>
      <c r="T102" s="190"/>
      <c r="U102" s="17">
        <v>46</v>
      </c>
      <c r="V102" s="88"/>
      <c r="W102" s="88"/>
      <c r="X102" s="88"/>
      <c r="Y102" s="88"/>
      <c r="Z102" s="88"/>
      <c r="AA102" s="88"/>
      <c r="AB102" s="70" t="s">
        <v>39</v>
      </c>
      <c r="AC102" s="17">
        <v>4</v>
      </c>
      <c r="AD102" s="183" t="s">
        <v>48</v>
      </c>
      <c r="AE102" s="186">
        <v>25.138079999999999</v>
      </c>
      <c r="AF102" s="186">
        <v>76.451319999999996</v>
      </c>
    </row>
    <row r="103" spans="1:32">
      <c r="A103" s="87">
        <v>84</v>
      </c>
      <c r="B103" s="182" t="s">
        <v>33</v>
      </c>
      <c r="C103" s="182" t="s">
        <v>33</v>
      </c>
      <c r="D103" s="181" t="s">
        <v>237</v>
      </c>
      <c r="E103" s="185" t="s">
        <v>238</v>
      </c>
      <c r="F103" s="181"/>
      <c r="G103" s="181"/>
      <c r="H103" s="181"/>
      <c r="I103" s="181"/>
      <c r="J103" s="181"/>
      <c r="K103" s="181"/>
      <c r="L103" s="181"/>
      <c r="M103" s="350"/>
      <c r="N103" s="181"/>
      <c r="O103" s="354"/>
      <c r="P103" s="349"/>
      <c r="Q103" s="88"/>
      <c r="R103" s="87"/>
      <c r="S103" s="17"/>
      <c r="T103" s="88"/>
      <c r="U103" s="17"/>
      <c r="V103" s="88"/>
      <c r="W103" s="88"/>
      <c r="X103" s="88"/>
      <c r="Y103" s="88"/>
      <c r="Z103" s="88"/>
      <c r="AA103" s="88"/>
      <c r="AB103" s="88"/>
      <c r="AC103" s="17">
        <v>4</v>
      </c>
      <c r="AD103" s="183" t="s">
        <v>48</v>
      </c>
      <c r="AE103" s="19">
        <v>25.2896</v>
      </c>
      <c r="AF103" s="19">
        <v>76.688100000000006</v>
      </c>
    </row>
    <row r="104" spans="1:32">
      <c r="A104" s="87">
        <v>85</v>
      </c>
      <c r="B104" s="182" t="s">
        <v>33</v>
      </c>
      <c r="C104" s="182" t="s">
        <v>33</v>
      </c>
      <c r="D104" s="181" t="s">
        <v>237</v>
      </c>
      <c r="E104" s="181" t="s">
        <v>241</v>
      </c>
      <c r="F104" s="181" t="s">
        <v>242</v>
      </c>
      <c r="G104" s="181">
        <v>461</v>
      </c>
      <c r="H104" s="181">
        <v>150</v>
      </c>
      <c r="I104" s="181">
        <v>841</v>
      </c>
      <c r="J104" s="181">
        <v>409</v>
      </c>
      <c r="K104" s="181">
        <v>432</v>
      </c>
      <c r="L104" s="181">
        <v>125</v>
      </c>
      <c r="M104" s="350">
        <f t="shared" si="2"/>
        <v>14.863258026159334</v>
      </c>
      <c r="N104" s="181">
        <v>265</v>
      </c>
      <c r="O104" s="354">
        <f t="shared" si="3"/>
        <v>31.510107015457788</v>
      </c>
      <c r="P104" s="349">
        <v>15</v>
      </c>
      <c r="Q104" s="88"/>
      <c r="R104" s="67" t="s">
        <v>37</v>
      </c>
      <c r="S104" s="17" t="s">
        <v>240</v>
      </c>
      <c r="T104" s="88"/>
      <c r="U104" s="17">
        <v>12</v>
      </c>
      <c r="V104" s="88"/>
      <c r="W104" s="88"/>
      <c r="X104" s="88"/>
      <c r="Y104" s="88"/>
      <c r="Z104" s="88"/>
      <c r="AA104" s="88"/>
      <c r="AB104" s="70" t="s">
        <v>39</v>
      </c>
      <c r="AC104" s="17">
        <v>0</v>
      </c>
      <c r="AD104" s="183" t="s">
        <v>48</v>
      </c>
      <c r="AE104" s="186">
        <v>25.104140000000001</v>
      </c>
      <c r="AF104" s="186">
        <v>76.437460999999999</v>
      </c>
    </row>
    <row r="105" spans="1:32">
      <c r="A105" s="87">
        <v>86</v>
      </c>
      <c r="B105" s="182" t="s">
        <v>33</v>
      </c>
      <c r="C105" s="182" t="s">
        <v>33</v>
      </c>
      <c r="D105" s="181" t="s">
        <v>237</v>
      </c>
      <c r="E105" s="181" t="s">
        <v>243</v>
      </c>
      <c r="F105" s="181" t="s">
        <v>244</v>
      </c>
      <c r="G105" s="181">
        <v>626.5</v>
      </c>
      <c r="H105" s="181">
        <v>145</v>
      </c>
      <c r="I105" s="181">
        <v>719</v>
      </c>
      <c r="J105" s="181">
        <v>378</v>
      </c>
      <c r="K105" s="181">
        <v>341</v>
      </c>
      <c r="L105" s="181">
        <v>84</v>
      </c>
      <c r="M105" s="350">
        <f t="shared" si="2"/>
        <v>11.68289290681502</v>
      </c>
      <c r="N105" s="181">
        <v>601</v>
      </c>
      <c r="O105" s="354">
        <f t="shared" si="3"/>
        <v>83.588317107093175</v>
      </c>
      <c r="P105" s="349">
        <v>36.33</v>
      </c>
      <c r="Q105" s="88"/>
      <c r="R105" s="67" t="s">
        <v>37</v>
      </c>
      <c r="S105" s="17" t="s">
        <v>240</v>
      </c>
      <c r="T105" s="195"/>
      <c r="U105" s="17">
        <v>30</v>
      </c>
      <c r="V105" s="88"/>
      <c r="W105" s="88"/>
      <c r="X105" s="88"/>
      <c r="Y105" s="88"/>
      <c r="Z105" s="88"/>
      <c r="AA105" s="88"/>
      <c r="AB105" s="70" t="s">
        <v>39</v>
      </c>
      <c r="AC105" s="17">
        <v>0</v>
      </c>
      <c r="AD105" s="87"/>
      <c r="AE105" s="186">
        <v>25.145453</v>
      </c>
      <c r="AF105" s="186">
        <v>76.431880000000007</v>
      </c>
    </row>
    <row r="106" spans="1:32">
      <c r="A106" s="87">
        <v>87</v>
      </c>
      <c r="B106" s="182" t="s">
        <v>33</v>
      </c>
      <c r="C106" s="182" t="s">
        <v>33</v>
      </c>
      <c r="D106" s="181" t="s">
        <v>237</v>
      </c>
      <c r="E106" s="181" t="s">
        <v>243</v>
      </c>
      <c r="F106" s="181"/>
      <c r="G106" s="181"/>
      <c r="H106" s="181"/>
      <c r="I106" s="181"/>
      <c r="J106" s="181"/>
      <c r="K106" s="181"/>
      <c r="L106" s="181"/>
      <c r="M106" s="350"/>
      <c r="N106" s="181"/>
      <c r="O106" s="354"/>
      <c r="P106" s="349"/>
      <c r="Q106" s="88"/>
      <c r="R106" s="87"/>
      <c r="S106" s="17"/>
      <c r="T106" s="88"/>
      <c r="U106" s="17"/>
      <c r="V106" s="88"/>
      <c r="W106" s="88"/>
      <c r="X106" s="88"/>
      <c r="Y106" s="88"/>
      <c r="Z106" s="88"/>
      <c r="AA106" s="88"/>
      <c r="AB106" s="88"/>
      <c r="AC106" s="17">
        <v>8</v>
      </c>
      <c r="AD106" s="183" t="s">
        <v>48</v>
      </c>
      <c r="AE106" s="19">
        <v>25.301200000000001</v>
      </c>
      <c r="AF106" s="19">
        <v>76.676500000000004</v>
      </c>
    </row>
    <row r="107" spans="1:32">
      <c r="A107" s="87">
        <v>88</v>
      </c>
      <c r="B107" s="182" t="s">
        <v>33</v>
      </c>
      <c r="C107" s="182" t="s">
        <v>33</v>
      </c>
      <c r="D107" s="181" t="s">
        <v>245</v>
      </c>
      <c r="E107" s="185" t="s">
        <v>246</v>
      </c>
      <c r="F107" s="181" t="s">
        <v>247</v>
      </c>
      <c r="G107" s="181">
        <v>503.21</v>
      </c>
      <c r="H107" s="181">
        <v>171</v>
      </c>
      <c r="I107" s="181">
        <v>873</v>
      </c>
      <c r="J107" s="181">
        <v>488</v>
      </c>
      <c r="K107" s="181">
        <v>385</v>
      </c>
      <c r="L107" s="181">
        <v>78</v>
      </c>
      <c r="M107" s="350">
        <f t="shared" si="2"/>
        <v>8.934707903780069</v>
      </c>
      <c r="N107" s="181">
        <v>728</v>
      </c>
      <c r="O107" s="354">
        <f t="shared" si="3"/>
        <v>83.39060710194731</v>
      </c>
      <c r="P107" s="349">
        <v>25.31</v>
      </c>
      <c r="Q107" s="88"/>
      <c r="R107" s="67" t="s">
        <v>37</v>
      </c>
      <c r="S107" s="17" t="s">
        <v>248</v>
      </c>
      <c r="T107" s="88"/>
      <c r="U107" s="192">
        <v>27.91</v>
      </c>
      <c r="V107" s="88"/>
      <c r="W107" s="88"/>
      <c r="X107" s="88"/>
      <c r="Y107" s="88"/>
      <c r="Z107" s="88"/>
      <c r="AA107" s="88"/>
      <c r="AB107" s="70" t="s">
        <v>39</v>
      </c>
      <c r="AC107" s="192">
        <v>18</v>
      </c>
      <c r="AD107" s="87"/>
      <c r="AE107" s="186">
        <v>25.180634000000001</v>
      </c>
      <c r="AF107" s="186">
        <v>76.428898000000004</v>
      </c>
    </row>
    <row r="108" spans="1:32">
      <c r="A108" s="87">
        <v>89</v>
      </c>
      <c r="B108" s="182" t="s">
        <v>33</v>
      </c>
      <c r="C108" s="182" t="s">
        <v>33</v>
      </c>
      <c r="D108" s="181" t="s">
        <v>245</v>
      </c>
      <c r="E108" s="185" t="s">
        <v>246</v>
      </c>
      <c r="F108" s="181"/>
      <c r="G108" s="181"/>
      <c r="H108" s="181"/>
      <c r="I108" s="181"/>
      <c r="J108" s="181"/>
      <c r="K108" s="181"/>
      <c r="L108" s="181"/>
      <c r="M108" s="350"/>
      <c r="N108" s="181"/>
      <c r="O108" s="354"/>
      <c r="P108" s="349"/>
      <c r="Q108" s="88"/>
      <c r="R108" s="87"/>
      <c r="S108" s="17"/>
      <c r="T108" s="88"/>
      <c r="U108" s="192"/>
      <c r="V108" s="88"/>
      <c r="W108" s="88"/>
      <c r="X108" s="88"/>
      <c r="Y108" s="88"/>
      <c r="Z108" s="88"/>
      <c r="AA108" s="88"/>
      <c r="AB108" s="88"/>
      <c r="AC108" s="192">
        <v>18</v>
      </c>
      <c r="AD108" s="87"/>
      <c r="AE108" s="19">
        <v>25.171600000000002</v>
      </c>
      <c r="AF108" s="19">
        <v>76.604799999999997</v>
      </c>
    </row>
    <row r="109" spans="1:32">
      <c r="A109" s="87">
        <v>90</v>
      </c>
      <c r="B109" s="182" t="s">
        <v>33</v>
      </c>
      <c r="C109" s="182" t="s">
        <v>33</v>
      </c>
      <c r="D109" s="181" t="s">
        <v>245</v>
      </c>
      <c r="E109" s="181" t="s">
        <v>249</v>
      </c>
      <c r="F109" s="181" t="s">
        <v>250</v>
      </c>
      <c r="G109" s="181">
        <v>478.6</v>
      </c>
      <c r="H109" s="181">
        <v>88</v>
      </c>
      <c r="I109" s="181">
        <v>482</v>
      </c>
      <c r="J109" s="181">
        <v>271</v>
      </c>
      <c r="K109" s="181">
        <v>211</v>
      </c>
      <c r="L109" s="181">
        <v>86</v>
      </c>
      <c r="M109" s="350">
        <f t="shared" si="2"/>
        <v>17.842323651452283</v>
      </c>
      <c r="N109" s="181">
        <v>346</v>
      </c>
      <c r="O109" s="354">
        <f t="shared" si="3"/>
        <v>71.784232365145229</v>
      </c>
      <c r="P109" s="349">
        <v>28.5</v>
      </c>
      <c r="Q109" s="88"/>
      <c r="R109" s="67" t="s">
        <v>37</v>
      </c>
      <c r="S109" s="17" t="s">
        <v>251</v>
      </c>
      <c r="T109" s="88"/>
      <c r="U109" s="17">
        <v>15</v>
      </c>
      <c r="V109" s="88"/>
      <c r="W109" s="88"/>
      <c r="X109" s="88"/>
      <c r="Y109" s="88"/>
      <c r="Z109" s="88"/>
      <c r="AA109" s="88"/>
      <c r="AB109" s="88"/>
      <c r="AC109" s="17"/>
      <c r="AD109" s="183"/>
      <c r="AE109" s="88"/>
      <c r="AF109" s="88"/>
    </row>
    <row r="110" spans="1:32">
      <c r="A110" s="87">
        <v>91</v>
      </c>
      <c r="B110" s="182" t="s">
        <v>33</v>
      </c>
      <c r="C110" s="182" t="s">
        <v>33</v>
      </c>
      <c r="D110" s="181" t="s">
        <v>245</v>
      </c>
      <c r="E110" s="181" t="s">
        <v>252</v>
      </c>
      <c r="F110" s="181" t="s">
        <v>253</v>
      </c>
      <c r="G110" s="181">
        <v>347.47</v>
      </c>
      <c r="H110" s="181">
        <v>92</v>
      </c>
      <c r="I110" s="181">
        <v>515</v>
      </c>
      <c r="J110" s="181">
        <v>267</v>
      </c>
      <c r="K110" s="181">
        <v>248</v>
      </c>
      <c r="L110" s="181">
        <v>120</v>
      </c>
      <c r="M110" s="350">
        <f t="shared" si="2"/>
        <v>23.300970873786408</v>
      </c>
      <c r="N110" s="181">
        <v>77</v>
      </c>
      <c r="O110" s="354">
        <f t="shared" si="3"/>
        <v>14.951456310679612</v>
      </c>
      <c r="P110" s="349">
        <v>37.049999999999997</v>
      </c>
      <c r="Q110" s="88"/>
      <c r="R110" s="67" t="s">
        <v>37</v>
      </c>
      <c r="S110" s="17" t="s">
        <v>248</v>
      </c>
      <c r="T110" s="88"/>
      <c r="U110" s="192">
        <v>33.21</v>
      </c>
      <c r="V110" s="88"/>
      <c r="W110" s="88"/>
      <c r="X110" s="88"/>
      <c r="Y110" s="88"/>
      <c r="Z110" s="88"/>
      <c r="AA110" s="88"/>
      <c r="AB110" s="70" t="s">
        <v>39</v>
      </c>
      <c r="AC110" s="192">
        <v>20</v>
      </c>
      <c r="AD110" s="183" t="s">
        <v>48</v>
      </c>
      <c r="AE110" s="186">
        <v>25.146747999999999</v>
      </c>
      <c r="AF110" s="186">
        <v>76.484482999999997</v>
      </c>
    </row>
    <row r="111" spans="1:32">
      <c r="A111" s="87">
        <v>92</v>
      </c>
      <c r="B111" s="182" t="s">
        <v>33</v>
      </c>
      <c r="C111" s="182" t="s">
        <v>33</v>
      </c>
      <c r="D111" s="181" t="s">
        <v>245</v>
      </c>
      <c r="E111" s="181" t="s">
        <v>254</v>
      </c>
      <c r="F111" s="181" t="s">
        <v>255</v>
      </c>
      <c r="G111" s="181">
        <v>509.94</v>
      </c>
      <c r="H111" s="181">
        <v>168</v>
      </c>
      <c r="I111" s="181">
        <v>860</v>
      </c>
      <c r="J111" s="181">
        <v>457</v>
      </c>
      <c r="K111" s="181">
        <v>403</v>
      </c>
      <c r="L111" s="181">
        <v>78</v>
      </c>
      <c r="M111" s="350">
        <f t="shared" si="2"/>
        <v>9.0697674418604652</v>
      </c>
      <c r="N111" s="181">
        <v>667</v>
      </c>
      <c r="O111" s="354">
        <f t="shared" si="3"/>
        <v>77.558139534883722</v>
      </c>
      <c r="P111" s="349">
        <v>31.71</v>
      </c>
      <c r="Q111" s="88"/>
      <c r="R111" s="67" t="s">
        <v>37</v>
      </c>
      <c r="S111" s="17" t="s">
        <v>251</v>
      </c>
      <c r="T111" s="88"/>
      <c r="U111" s="17">
        <v>25</v>
      </c>
      <c r="V111" s="88"/>
      <c r="W111" s="88"/>
      <c r="X111" s="88"/>
      <c r="Y111" s="88"/>
      <c r="Z111" s="88"/>
      <c r="AA111" s="88"/>
      <c r="AB111" s="70" t="s">
        <v>39</v>
      </c>
      <c r="AC111" s="17">
        <v>10</v>
      </c>
      <c r="AD111" s="87"/>
      <c r="AE111" s="88"/>
      <c r="AF111" s="88"/>
    </row>
    <row r="112" spans="1:32">
      <c r="A112" s="87">
        <v>93</v>
      </c>
      <c r="B112" s="182" t="s">
        <v>33</v>
      </c>
      <c r="C112" s="182" t="s">
        <v>33</v>
      </c>
      <c r="D112" s="181" t="s">
        <v>256</v>
      </c>
      <c r="E112" s="185" t="s">
        <v>257</v>
      </c>
      <c r="F112" s="181" t="s">
        <v>258</v>
      </c>
      <c r="G112" s="181">
        <v>1163</v>
      </c>
      <c r="H112" s="181">
        <v>334</v>
      </c>
      <c r="I112" s="181">
        <v>1660</v>
      </c>
      <c r="J112" s="181">
        <v>858</v>
      </c>
      <c r="K112" s="181">
        <v>802</v>
      </c>
      <c r="L112" s="181">
        <v>233</v>
      </c>
      <c r="M112" s="350">
        <f t="shared" si="2"/>
        <v>14.036144578313253</v>
      </c>
      <c r="N112" s="181">
        <v>0</v>
      </c>
      <c r="O112" s="354">
        <f t="shared" si="3"/>
        <v>0</v>
      </c>
      <c r="P112" s="349">
        <v>80</v>
      </c>
      <c r="Q112" s="88"/>
      <c r="R112" s="67" t="s">
        <v>37</v>
      </c>
      <c r="S112" s="17" t="s">
        <v>259</v>
      </c>
      <c r="T112" s="190"/>
      <c r="U112" s="17">
        <v>8.66</v>
      </c>
      <c r="V112" s="88"/>
      <c r="W112" s="88"/>
      <c r="X112" s="88"/>
      <c r="Y112" s="88"/>
      <c r="Z112" s="88"/>
      <c r="AA112" s="88"/>
      <c r="AB112" s="70" t="s">
        <v>39</v>
      </c>
      <c r="AC112" s="17">
        <v>5</v>
      </c>
      <c r="AD112" s="183" t="s">
        <v>48</v>
      </c>
      <c r="AE112" s="186">
        <v>25.176026</v>
      </c>
      <c r="AF112" s="186">
        <v>76.557471000000007</v>
      </c>
    </row>
    <row r="113" spans="1:32">
      <c r="A113" s="87">
        <v>94</v>
      </c>
      <c r="B113" s="182" t="s">
        <v>33</v>
      </c>
      <c r="C113" s="182" t="s">
        <v>33</v>
      </c>
      <c r="D113" s="181" t="s">
        <v>256</v>
      </c>
      <c r="E113" s="181" t="s">
        <v>260</v>
      </c>
      <c r="F113" s="181" t="s">
        <v>261</v>
      </c>
      <c r="G113" s="181">
        <v>275</v>
      </c>
      <c r="H113" s="181">
        <v>54</v>
      </c>
      <c r="I113" s="181">
        <v>261</v>
      </c>
      <c r="J113" s="181">
        <v>139</v>
      </c>
      <c r="K113" s="181">
        <v>122</v>
      </c>
      <c r="L113" s="181">
        <v>8</v>
      </c>
      <c r="M113" s="350">
        <f t="shared" si="2"/>
        <v>3.0651340996168579</v>
      </c>
      <c r="N113" s="181">
        <v>0</v>
      </c>
      <c r="O113" s="354">
        <f t="shared" si="3"/>
        <v>0</v>
      </c>
      <c r="P113" s="349">
        <v>4</v>
      </c>
      <c r="Q113" s="88"/>
      <c r="R113" s="67" t="s">
        <v>37</v>
      </c>
      <c r="S113" s="17" t="s">
        <v>259</v>
      </c>
      <c r="T113" s="190"/>
      <c r="U113" s="17">
        <v>4.5599999999999996</v>
      </c>
      <c r="V113" s="88"/>
      <c r="W113" s="88"/>
      <c r="X113" s="88"/>
      <c r="Y113" s="88"/>
      <c r="Z113" s="88"/>
      <c r="AA113" s="88"/>
      <c r="AB113" s="88"/>
      <c r="AC113" s="17"/>
      <c r="AD113" s="183"/>
      <c r="AE113" s="88"/>
      <c r="AF113" s="88"/>
    </row>
    <row r="114" spans="1:32">
      <c r="A114" s="87">
        <v>95</v>
      </c>
      <c r="B114" s="182" t="s">
        <v>33</v>
      </c>
      <c r="C114" s="182" t="s">
        <v>33</v>
      </c>
      <c r="D114" s="181" t="s">
        <v>256</v>
      </c>
      <c r="E114" s="181" t="s">
        <v>262</v>
      </c>
      <c r="F114" s="181" t="s">
        <v>263</v>
      </c>
      <c r="G114" s="181">
        <v>228</v>
      </c>
      <c r="H114" s="181">
        <v>134</v>
      </c>
      <c r="I114" s="181">
        <v>771</v>
      </c>
      <c r="J114" s="181">
        <v>406</v>
      </c>
      <c r="K114" s="181">
        <v>365</v>
      </c>
      <c r="L114" s="181">
        <v>168</v>
      </c>
      <c r="M114" s="350">
        <f t="shared" si="2"/>
        <v>21.789883268482491</v>
      </c>
      <c r="N114" s="181">
        <v>274</v>
      </c>
      <c r="O114" s="354">
        <f t="shared" si="3"/>
        <v>35.538261997405968</v>
      </c>
      <c r="P114" s="349">
        <v>59</v>
      </c>
      <c r="Q114" s="88"/>
      <c r="R114" s="67" t="s">
        <v>37</v>
      </c>
      <c r="S114" s="17" t="s">
        <v>259</v>
      </c>
      <c r="T114" s="190"/>
      <c r="U114" s="17">
        <v>67.739999999999995</v>
      </c>
      <c r="V114" s="88"/>
      <c r="W114" s="88"/>
      <c r="X114" s="88"/>
      <c r="Y114" s="88"/>
      <c r="Z114" s="88"/>
      <c r="AA114" s="88"/>
      <c r="AB114" s="70" t="s">
        <v>39</v>
      </c>
      <c r="AC114" s="17">
        <v>15</v>
      </c>
      <c r="AD114" s="87"/>
      <c r="AE114" s="186">
        <v>25.170119</v>
      </c>
      <c r="AF114" s="186">
        <v>76.593430999999995</v>
      </c>
    </row>
    <row r="115" spans="1:32">
      <c r="A115" s="87">
        <v>96</v>
      </c>
      <c r="B115" s="182" t="s">
        <v>33</v>
      </c>
      <c r="C115" s="182" t="s">
        <v>33</v>
      </c>
      <c r="D115" s="181" t="s">
        <v>256</v>
      </c>
      <c r="E115" s="181" t="s">
        <v>262</v>
      </c>
      <c r="F115" s="181"/>
      <c r="G115" s="181"/>
      <c r="H115" s="181"/>
      <c r="I115" s="181"/>
      <c r="J115" s="181"/>
      <c r="K115" s="181"/>
      <c r="L115" s="181"/>
      <c r="M115" s="350"/>
      <c r="N115" s="181"/>
      <c r="O115" s="354"/>
      <c r="P115" s="349"/>
      <c r="Q115" s="88"/>
      <c r="R115" s="87"/>
      <c r="S115" s="17"/>
      <c r="T115" s="190"/>
      <c r="U115" s="17"/>
      <c r="V115" s="88"/>
      <c r="W115" s="88"/>
      <c r="X115" s="88"/>
      <c r="Y115" s="88"/>
      <c r="Z115" s="88"/>
      <c r="AA115" s="88"/>
      <c r="AB115" s="88"/>
      <c r="AC115" s="17">
        <v>9</v>
      </c>
      <c r="AD115" s="87"/>
      <c r="AE115" s="19">
        <v>25.1</v>
      </c>
      <c r="AF115" s="19">
        <v>76.52</v>
      </c>
    </row>
    <row r="116" spans="1:32">
      <c r="A116" s="87">
        <v>97</v>
      </c>
      <c r="B116" s="182" t="s">
        <v>33</v>
      </c>
      <c r="C116" s="182" t="s">
        <v>33</v>
      </c>
      <c r="D116" s="181" t="s">
        <v>256</v>
      </c>
      <c r="E116" s="181" t="s">
        <v>262</v>
      </c>
      <c r="F116" s="181"/>
      <c r="G116" s="181"/>
      <c r="H116" s="181"/>
      <c r="I116" s="181"/>
      <c r="J116" s="181"/>
      <c r="K116" s="181"/>
      <c r="L116" s="181"/>
      <c r="M116" s="350"/>
      <c r="N116" s="181"/>
      <c r="O116" s="354"/>
      <c r="P116" s="349"/>
      <c r="Q116" s="88"/>
      <c r="R116" s="87"/>
      <c r="S116" s="17"/>
      <c r="T116" s="88"/>
      <c r="U116" s="17"/>
      <c r="V116" s="88"/>
      <c r="W116" s="88"/>
      <c r="X116" s="88"/>
      <c r="Y116" s="88"/>
      <c r="Z116" s="88"/>
      <c r="AA116" s="88"/>
      <c r="AB116" s="88"/>
      <c r="AC116" s="17">
        <v>6</v>
      </c>
      <c r="AD116" s="87" t="s">
        <v>48</v>
      </c>
      <c r="AE116" s="19">
        <v>24.601099999999999</v>
      </c>
      <c r="AF116" s="19">
        <v>76.052300000000002</v>
      </c>
    </row>
    <row r="117" spans="1:32">
      <c r="A117" s="87">
        <v>98</v>
      </c>
      <c r="B117" s="182" t="s">
        <v>33</v>
      </c>
      <c r="C117" s="182" t="s">
        <v>33</v>
      </c>
      <c r="D117" s="181" t="s">
        <v>256</v>
      </c>
      <c r="E117" s="181" t="s">
        <v>264</v>
      </c>
      <c r="F117" s="181" t="s">
        <v>265</v>
      </c>
      <c r="G117" s="181">
        <v>371</v>
      </c>
      <c r="H117" s="181">
        <v>63</v>
      </c>
      <c r="I117" s="181">
        <v>304</v>
      </c>
      <c r="J117" s="181">
        <v>161</v>
      </c>
      <c r="K117" s="181">
        <v>143</v>
      </c>
      <c r="L117" s="181">
        <v>85</v>
      </c>
      <c r="M117" s="350">
        <f t="shared" si="2"/>
        <v>27.960526315789476</v>
      </c>
      <c r="N117" s="181">
        <v>0</v>
      </c>
      <c r="O117" s="354">
        <f t="shared" si="3"/>
        <v>0</v>
      </c>
      <c r="P117" s="349">
        <v>0</v>
      </c>
      <c r="Q117" s="88"/>
      <c r="R117" s="67" t="s">
        <v>37</v>
      </c>
      <c r="S117" s="87" t="s">
        <v>37</v>
      </c>
      <c r="T117" s="88"/>
      <c r="U117" s="87"/>
      <c r="V117" s="88"/>
      <c r="W117" s="88"/>
      <c r="X117" s="88"/>
      <c r="Y117" s="88"/>
      <c r="Z117" s="88"/>
      <c r="AA117" s="88"/>
      <c r="AB117" s="88"/>
      <c r="AC117" s="87">
        <v>10</v>
      </c>
      <c r="AD117" s="87" t="s">
        <v>48</v>
      </c>
      <c r="AE117" s="186">
        <v>25.186150999999999</v>
      </c>
      <c r="AF117" s="186">
        <v>76.587153999999998</v>
      </c>
    </row>
    <row r="118" spans="1:32">
      <c r="A118" s="87">
        <v>99</v>
      </c>
      <c r="B118" s="182" t="s">
        <v>33</v>
      </c>
      <c r="C118" s="182" t="s">
        <v>33</v>
      </c>
      <c r="D118" s="181" t="s">
        <v>256</v>
      </c>
      <c r="E118" s="181" t="s">
        <v>266</v>
      </c>
      <c r="F118" s="181" t="s">
        <v>267</v>
      </c>
      <c r="G118" s="181">
        <v>104</v>
      </c>
      <c r="H118" s="181">
        <v>40</v>
      </c>
      <c r="I118" s="181">
        <v>196</v>
      </c>
      <c r="J118" s="181">
        <v>109</v>
      </c>
      <c r="K118" s="181">
        <v>87</v>
      </c>
      <c r="L118" s="181">
        <v>85</v>
      </c>
      <c r="M118" s="350">
        <f t="shared" si="2"/>
        <v>43.367346938775512</v>
      </c>
      <c r="N118" s="181">
        <v>35</v>
      </c>
      <c r="O118" s="354">
        <f t="shared" si="3"/>
        <v>17.857142857142858</v>
      </c>
      <c r="P118" s="349">
        <v>11</v>
      </c>
      <c r="Q118" s="88"/>
      <c r="R118" s="87"/>
      <c r="S118" s="87"/>
      <c r="T118" s="88"/>
      <c r="U118" s="87"/>
      <c r="V118" s="88"/>
      <c r="W118" s="88"/>
      <c r="X118" s="88"/>
      <c r="Y118" s="88"/>
      <c r="Z118" s="88"/>
      <c r="AA118" s="88"/>
      <c r="AB118" s="88"/>
      <c r="AC118" s="87"/>
      <c r="AD118" s="87"/>
      <c r="AE118" s="88"/>
      <c r="AF118" s="88"/>
    </row>
    <row r="119" spans="1:32">
      <c r="A119" s="87" t="s">
        <v>51</v>
      </c>
      <c r="B119" s="182" t="s">
        <v>33</v>
      </c>
      <c r="C119" s="182" t="s">
        <v>33</v>
      </c>
      <c r="D119" s="181" t="s">
        <v>268</v>
      </c>
      <c r="E119" s="185" t="s">
        <v>269</v>
      </c>
      <c r="F119" s="181" t="s">
        <v>270</v>
      </c>
      <c r="G119" s="181">
        <v>883.8</v>
      </c>
      <c r="H119" s="181">
        <v>231</v>
      </c>
      <c r="I119" s="181">
        <v>1202</v>
      </c>
      <c r="J119" s="181">
        <v>628</v>
      </c>
      <c r="K119" s="181">
        <v>574</v>
      </c>
      <c r="L119" s="181">
        <v>246</v>
      </c>
      <c r="M119" s="350">
        <f t="shared" si="2"/>
        <v>20.465890183028286</v>
      </c>
      <c r="N119" s="181">
        <v>216</v>
      </c>
      <c r="O119" s="354">
        <f t="shared" si="3"/>
        <v>17.970049916805326</v>
      </c>
      <c r="P119" s="349">
        <v>68.78</v>
      </c>
      <c r="Q119" s="88"/>
      <c r="R119" s="67" t="s">
        <v>37</v>
      </c>
      <c r="S119" s="204">
        <v>45332</v>
      </c>
      <c r="T119" s="88"/>
      <c r="U119" s="17">
        <v>77.27</v>
      </c>
      <c r="V119" s="88"/>
      <c r="W119" s="88"/>
      <c r="X119" s="88"/>
      <c r="Y119" s="88"/>
      <c r="Z119" s="88"/>
      <c r="AA119" s="88"/>
      <c r="AB119" s="70" t="s">
        <v>39</v>
      </c>
      <c r="AC119" s="17">
        <v>6</v>
      </c>
      <c r="AD119" s="87" t="s">
        <v>48</v>
      </c>
      <c r="AE119" s="88"/>
      <c r="AF119" s="88"/>
    </row>
    <row r="120" spans="1:32">
      <c r="A120" s="87">
        <v>100</v>
      </c>
      <c r="B120" s="182" t="s">
        <v>33</v>
      </c>
      <c r="C120" s="182" t="s">
        <v>33</v>
      </c>
      <c r="D120" s="181" t="s">
        <v>268</v>
      </c>
      <c r="E120" s="185" t="s">
        <v>269</v>
      </c>
      <c r="F120" s="181"/>
      <c r="G120" s="181"/>
      <c r="H120" s="181"/>
      <c r="I120" s="181"/>
      <c r="J120" s="181"/>
      <c r="K120" s="181"/>
      <c r="L120" s="181"/>
      <c r="M120" s="350"/>
      <c r="N120" s="181"/>
      <c r="O120" s="354"/>
      <c r="P120" s="349"/>
      <c r="Q120" s="88"/>
      <c r="R120" s="87"/>
      <c r="S120" s="204"/>
      <c r="T120" s="88"/>
      <c r="U120" s="17"/>
      <c r="V120" s="88"/>
      <c r="W120" s="88"/>
      <c r="X120" s="88"/>
      <c r="Y120" s="88"/>
      <c r="Z120" s="88"/>
      <c r="AA120" s="88"/>
      <c r="AB120" s="88"/>
      <c r="AC120" s="17">
        <v>6</v>
      </c>
      <c r="AD120" s="87" t="s">
        <v>48</v>
      </c>
      <c r="AE120" s="19">
        <v>25.1876</v>
      </c>
      <c r="AF120" s="19">
        <v>76.735200000000006</v>
      </c>
    </row>
    <row r="121" spans="1:32">
      <c r="A121" s="87">
        <v>101</v>
      </c>
      <c r="B121" s="182" t="s">
        <v>33</v>
      </c>
      <c r="C121" s="182" t="s">
        <v>33</v>
      </c>
      <c r="D121" s="181" t="s">
        <v>268</v>
      </c>
      <c r="E121" s="181" t="s">
        <v>271</v>
      </c>
      <c r="F121" s="181" t="s">
        <v>272</v>
      </c>
      <c r="G121" s="181">
        <v>325.57</v>
      </c>
      <c r="H121" s="181">
        <v>162</v>
      </c>
      <c r="I121" s="181">
        <v>928</v>
      </c>
      <c r="J121" s="181">
        <v>484</v>
      </c>
      <c r="K121" s="181">
        <v>444</v>
      </c>
      <c r="L121" s="181">
        <v>87</v>
      </c>
      <c r="M121" s="350">
        <f t="shared" si="2"/>
        <v>9.375</v>
      </c>
      <c r="N121" s="181">
        <v>134</v>
      </c>
      <c r="O121" s="354">
        <f t="shared" si="3"/>
        <v>14.439655172413794</v>
      </c>
      <c r="P121" s="349">
        <v>50.34</v>
      </c>
      <c r="Q121" s="88"/>
      <c r="R121" s="67" t="s">
        <v>37</v>
      </c>
      <c r="S121" s="17" t="s">
        <v>273</v>
      </c>
      <c r="T121" s="88"/>
      <c r="U121" s="17">
        <v>37.909999999999997</v>
      </c>
      <c r="V121" s="88"/>
      <c r="W121" s="88"/>
      <c r="X121" s="88"/>
      <c r="Y121" s="88"/>
      <c r="Z121" s="88"/>
      <c r="AA121" s="88"/>
      <c r="AB121" s="70" t="s">
        <v>39</v>
      </c>
      <c r="AC121" s="17">
        <v>1</v>
      </c>
      <c r="AD121" s="87" t="s">
        <v>48</v>
      </c>
      <c r="AE121" s="88"/>
      <c r="AF121" s="88"/>
    </row>
    <row r="122" spans="1:32">
      <c r="A122" s="87" t="s">
        <v>51</v>
      </c>
      <c r="B122" s="182" t="s">
        <v>33</v>
      </c>
      <c r="C122" s="182" t="s">
        <v>33</v>
      </c>
      <c r="D122" s="181" t="s">
        <v>268</v>
      </c>
      <c r="E122" s="181" t="s">
        <v>274</v>
      </c>
      <c r="F122" s="181" t="s">
        <v>275</v>
      </c>
      <c r="G122" s="181">
        <v>629</v>
      </c>
      <c r="H122" s="181">
        <v>156</v>
      </c>
      <c r="I122" s="181">
        <v>954</v>
      </c>
      <c r="J122" s="181">
        <v>494</v>
      </c>
      <c r="K122" s="181">
        <v>460</v>
      </c>
      <c r="L122" s="181">
        <v>347</v>
      </c>
      <c r="M122" s="350">
        <f t="shared" si="2"/>
        <v>36.373165618448638</v>
      </c>
      <c r="N122" s="181">
        <v>9</v>
      </c>
      <c r="O122" s="354">
        <f t="shared" si="3"/>
        <v>0.94339622641509435</v>
      </c>
      <c r="P122" s="349">
        <v>24.98</v>
      </c>
      <c r="Q122" s="88"/>
      <c r="R122" s="67" t="s">
        <v>37</v>
      </c>
      <c r="S122" s="87" t="s">
        <v>37</v>
      </c>
      <c r="T122" s="88"/>
      <c r="U122" s="87"/>
      <c r="V122" s="88"/>
      <c r="W122" s="88"/>
      <c r="X122" s="88"/>
      <c r="Y122" s="88"/>
      <c r="Z122" s="88"/>
      <c r="AA122" s="88"/>
      <c r="AB122" s="88"/>
      <c r="AC122" s="87">
        <v>7</v>
      </c>
      <c r="AD122" s="87" t="s">
        <v>48</v>
      </c>
      <c r="AE122" s="88"/>
      <c r="AF122" s="88"/>
    </row>
    <row r="123" spans="1:32">
      <c r="A123" s="87">
        <v>102</v>
      </c>
      <c r="B123" s="182" t="s">
        <v>33</v>
      </c>
      <c r="C123" s="182" t="s">
        <v>33</v>
      </c>
      <c r="D123" s="181" t="s">
        <v>268</v>
      </c>
      <c r="E123" s="181" t="s">
        <v>276</v>
      </c>
      <c r="F123" s="181" t="s">
        <v>277</v>
      </c>
      <c r="G123" s="181">
        <v>631.61</v>
      </c>
      <c r="H123" s="181">
        <v>183</v>
      </c>
      <c r="I123" s="181">
        <v>970</v>
      </c>
      <c r="J123" s="181">
        <v>510</v>
      </c>
      <c r="K123" s="181">
        <v>460</v>
      </c>
      <c r="L123" s="181">
        <v>315</v>
      </c>
      <c r="M123" s="350">
        <f t="shared" si="2"/>
        <v>32.47422680412371</v>
      </c>
      <c r="N123" s="181">
        <v>42</v>
      </c>
      <c r="O123" s="354">
        <f t="shared" si="3"/>
        <v>4.3298969072164946</v>
      </c>
      <c r="P123" s="349">
        <v>38.58</v>
      </c>
      <c r="Q123" s="88"/>
      <c r="R123" s="67" t="s">
        <v>37</v>
      </c>
      <c r="S123" s="87" t="s">
        <v>37</v>
      </c>
      <c r="T123" s="88"/>
      <c r="U123" s="87"/>
      <c r="V123" s="88"/>
      <c r="W123" s="88"/>
      <c r="X123" s="88"/>
      <c r="Y123" s="88"/>
      <c r="Z123" s="88"/>
      <c r="AA123" s="88"/>
      <c r="AB123" s="88"/>
      <c r="AC123" s="87"/>
      <c r="AD123" s="87"/>
      <c r="AE123" s="88"/>
      <c r="AF123" s="88"/>
    </row>
    <row r="124" spans="1:32">
      <c r="A124" s="87">
        <v>103</v>
      </c>
      <c r="B124" s="182" t="s">
        <v>33</v>
      </c>
      <c r="C124" s="182" t="s">
        <v>33</v>
      </c>
      <c r="D124" s="181" t="s">
        <v>268</v>
      </c>
      <c r="E124" s="181" t="s">
        <v>278</v>
      </c>
      <c r="F124" s="181" t="s">
        <v>279</v>
      </c>
      <c r="G124" s="181">
        <v>896.81</v>
      </c>
      <c r="H124" s="181">
        <v>220</v>
      </c>
      <c r="I124" s="181">
        <v>1204</v>
      </c>
      <c r="J124" s="181">
        <v>624</v>
      </c>
      <c r="K124" s="181">
        <v>580</v>
      </c>
      <c r="L124" s="181">
        <v>115</v>
      </c>
      <c r="M124" s="350">
        <f t="shared" si="2"/>
        <v>9.5514950166112964</v>
      </c>
      <c r="N124" s="181">
        <v>970</v>
      </c>
      <c r="O124" s="354">
        <f t="shared" si="3"/>
        <v>80.564784053156146</v>
      </c>
      <c r="P124" s="349">
        <v>62.84</v>
      </c>
      <c r="Q124" s="88"/>
      <c r="R124" s="67" t="s">
        <v>37</v>
      </c>
      <c r="S124" s="87" t="s">
        <v>37</v>
      </c>
      <c r="T124" s="88"/>
      <c r="U124" s="87"/>
      <c r="V124" s="88"/>
      <c r="W124" s="88"/>
      <c r="X124" s="88"/>
      <c r="Y124" s="88"/>
      <c r="Z124" s="88"/>
      <c r="AA124" s="88"/>
      <c r="AB124" s="88"/>
      <c r="AC124" s="87"/>
      <c r="AD124" s="87"/>
      <c r="AE124" s="88"/>
      <c r="AF124" s="88"/>
    </row>
  </sheetData>
  <mergeCells count="3">
    <mergeCell ref="L2:M2"/>
    <mergeCell ref="N2:O2"/>
    <mergeCell ref="AE2:AF2"/>
  </mergeCells>
  <conditionalFormatting sqref="AD4">
    <cfRule type="duplicateValues" dxfId="2" priority="1"/>
  </conditionalFormatting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20"/>
  <sheetViews>
    <sheetView topLeftCell="H97" zoomScale="90" zoomScaleNormal="90" workbookViewId="0">
      <selection activeCell="AC9" sqref="AC9"/>
    </sheetView>
  </sheetViews>
  <sheetFormatPr defaultRowHeight="15"/>
  <cols>
    <col min="1" max="4" width="8.85546875" style="59"/>
    <col min="5" max="5" width="11.85546875" style="59" customWidth="1"/>
    <col min="6" max="6" width="17.28515625" style="59" bestFit="1" customWidth="1"/>
    <col min="7" max="12" width="8.85546875" style="84" customWidth="1"/>
    <col min="13" max="13" width="10.5703125" style="367" customWidth="1"/>
    <col min="14" max="14" width="8.85546875" style="84" customWidth="1"/>
    <col min="15" max="15" width="15.140625" style="370" customWidth="1"/>
    <col min="16" max="18" width="8.85546875" style="84" customWidth="1"/>
    <col min="19" max="19" width="13.28515625" style="84" customWidth="1"/>
    <col min="20" max="20" width="8.85546875" style="84" customWidth="1"/>
    <col min="21" max="21" width="18" style="84" customWidth="1"/>
    <col min="22" max="29" width="8.85546875" style="84" customWidth="1"/>
    <col min="30" max="31" width="10.7109375" style="84" customWidth="1"/>
    <col min="32" max="32" width="13" style="85" customWidth="1"/>
    <col min="33" max="34" width="8.85546875" style="59"/>
  </cols>
  <sheetData>
    <row r="1" spans="1:32">
      <c r="A1" s="35"/>
      <c r="B1" s="35"/>
      <c r="C1" s="35"/>
      <c r="D1" s="35"/>
      <c r="E1" s="35"/>
      <c r="F1" s="35"/>
      <c r="G1" s="36"/>
      <c r="H1" s="36"/>
      <c r="I1" s="36"/>
      <c r="J1" s="36"/>
      <c r="K1" s="36"/>
      <c r="L1" s="36"/>
      <c r="M1" s="364"/>
      <c r="N1" s="36"/>
      <c r="O1" s="368"/>
      <c r="P1" s="36"/>
      <c r="Q1" s="36"/>
      <c r="R1" s="150" t="s">
        <v>0</v>
      </c>
      <c r="S1" s="150" t="s">
        <v>0</v>
      </c>
      <c r="T1" s="150" t="s">
        <v>1</v>
      </c>
      <c r="U1" s="151" t="s">
        <v>2</v>
      </c>
      <c r="V1" s="150" t="s">
        <v>2</v>
      </c>
      <c r="W1" s="150" t="s">
        <v>2</v>
      </c>
      <c r="X1" s="150" t="s">
        <v>2</v>
      </c>
      <c r="Y1" s="150" t="s">
        <v>2</v>
      </c>
      <c r="Z1" s="150" t="s">
        <v>2</v>
      </c>
      <c r="AA1" s="36" t="s">
        <v>3</v>
      </c>
      <c r="AB1" s="36" t="s">
        <v>3</v>
      </c>
      <c r="AC1" s="36" t="s">
        <v>3</v>
      </c>
      <c r="AD1" s="36" t="s">
        <v>3</v>
      </c>
      <c r="AE1" s="171" t="s">
        <v>3</v>
      </c>
      <c r="AF1" s="36" t="s">
        <v>3</v>
      </c>
    </row>
    <row r="2" spans="1:32" ht="150">
      <c r="A2" s="60" t="s">
        <v>4</v>
      </c>
      <c r="B2" s="66" t="s">
        <v>5</v>
      </c>
      <c r="C2" s="66" t="s">
        <v>6</v>
      </c>
      <c r="D2" s="66" t="s">
        <v>7</v>
      </c>
      <c r="E2" s="66" t="s">
        <v>8</v>
      </c>
      <c r="F2" s="66" t="s">
        <v>9</v>
      </c>
      <c r="G2" s="152" t="s">
        <v>10</v>
      </c>
      <c r="H2" s="152" t="s">
        <v>11</v>
      </c>
      <c r="I2" s="152" t="s">
        <v>12</v>
      </c>
      <c r="J2" s="152" t="s">
        <v>13</v>
      </c>
      <c r="K2" s="152" t="s">
        <v>14</v>
      </c>
      <c r="L2" s="380" t="s">
        <v>15</v>
      </c>
      <c r="M2" s="380"/>
      <c r="N2" s="380" t="s">
        <v>16</v>
      </c>
      <c r="O2" s="380"/>
      <c r="P2" s="152" t="s">
        <v>17</v>
      </c>
      <c r="Q2" s="152" t="s">
        <v>18</v>
      </c>
      <c r="R2" s="152" t="s">
        <v>19</v>
      </c>
      <c r="S2" s="152" t="s">
        <v>20</v>
      </c>
      <c r="T2" s="152" t="s">
        <v>21</v>
      </c>
      <c r="U2" s="153" t="s">
        <v>22</v>
      </c>
      <c r="V2" s="152" t="s">
        <v>23</v>
      </c>
      <c r="W2" s="153" t="s">
        <v>24</v>
      </c>
      <c r="X2" s="152" t="s">
        <v>25</v>
      </c>
      <c r="Y2" s="152" t="s">
        <v>26</v>
      </c>
      <c r="Z2" s="153" t="s">
        <v>27</v>
      </c>
      <c r="AA2" s="153" t="s">
        <v>28</v>
      </c>
      <c r="AB2" s="154" t="s">
        <v>29</v>
      </c>
      <c r="AC2" s="153" t="s">
        <v>30</v>
      </c>
      <c r="AD2" s="153" t="s">
        <v>31</v>
      </c>
      <c r="AE2" s="381" t="s">
        <v>32</v>
      </c>
      <c r="AF2" s="381"/>
    </row>
    <row r="3" spans="1:32">
      <c r="A3" s="60"/>
      <c r="B3" s="57"/>
      <c r="C3" s="57"/>
      <c r="D3" s="57"/>
      <c r="E3" s="58"/>
      <c r="F3" s="57"/>
      <c r="G3" s="58" t="s">
        <v>2398</v>
      </c>
      <c r="H3" s="58" t="s">
        <v>2399</v>
      </c>
      <c r="I3" s="58" t="s">
        <v>2399</v>
      </c>
      <c r="J3" s="58" t="s">
        <v>2399</v>
      </c>
      <c r="K3" s="58" t="s">
        <v>2399</v>
      </c>
      <c r="L3" s="58" t="s">
        <v>2399</v>
      </c>
      <c r="M3" s="365" t="s">
        <v>2400</v>
      </c>
      <c r="N3" s="58"/>
      <c r="O3" s="369" t="s">
        <v>2400</v>
      </c>
      <c r="P3" s="58" t="s">
        <v>2398</v>
      </c>
      <c r="Q3" s="58" t="s">
        <v>2398</v>
      </c>
      <c r="R3" s="58" t="s">
        <v>2401</v>
      </c>
      <c r="S3" s="58" t="s">
        <v>2402</v>
      </c>
      <c r="T3" s="58" t="s">
        <v>2398</v>
      </c>
      <c r="U3" s="155" t="s">
        <v>2398</v>
      </c>
      <c r="V3" s="58" t="s">
        <v>2398</v>
      </c>
      <c r="W3" s="58" t="s">
        <v>2401</v>
      </c>
      <c r="X3" s="155" t="s">
        <v>2401</v>
      </c>
      <c r="Y3" s="155" t="s">
        <v>2401</v>
      </c>
      <c r="Z3" s="155" t="s">
        <v>2398</v>
      </c>
      <c r="AA3" s="155" t="s">
        <v>2401</v>
      </c>
      <c r="AB3" s="155" t="s">
        <v>2401</v>
      </c>
      <c r="AC3" s="155" t="s">
        <v>2398</v>
      </c>
      <c r="AD3" s="58" t="s">
        <v>2403</v>
      </c>
      <c r="AE3" s="172" t="s">
        <v>2404</v>
      </c>
      <c r="AF3" s="155" t="s">
        <v>2405</v>
      </c>
    </row>
    <row r="4" spans="1:32">
      <c r="A4" s="61">
        <v>1</v>
      </c>
      <c r="B4" s="62" t="s">
        <v>33</v>
      </c>
      <c r="C4" s="62" t="s">
        <v>2001</v>
      </c>
      <c r="D4" s="63" t="s">
        <v>2002</v>
      </c>
      <c r="E4" s="63" t="s">
        <v>1409</v>
      </c>
      <c r="F4" s="62" t="s">
        <v>2003</v>
      </c>
      <c r="G4" s="156">
        <v>1254</v>
      </c>
      <c r="H4" s="156">
        <v>473</v>
      </c>
      <c r="I4" s="156">
        <v>2387</v>
      </c>
      <c r="J4" s="156">
        <v>1221</v>
      </c>
      <c r="K4" s="156">
        <v>1166</v>
      </c>
      <c r="L4" s="156">
        <v>322</v>
      </c>
      <c r="M4" s="366">
        <f>L4/I4*100</f>
        <v>13.48973607038123</v>
      </c>
      <c r="N4" s="156">
        <v>92</v>
      </c>
      <c r="O4" s="357">
        <f>N4/I4*100</f>
        <v>3.8542103058232096</v>
      </c>
      <c r="P4" s="156">
        <v>95</v>
      </c>
      <c r="Q4" s="156"/>
      <c r="R4" s="81" t="s">
        <v>2004</v>
      </c>
      <c r="S4" s="83" t="s">
        <v>2005</v>
      </c>
      <c r="T4" s="152"/>
      <c r="U4" s="83">
        <v>108.0515</v>
      </c>
      <c r="V4" s="85"/>
      <c r="W4" s="152"/>
      <c r="X4" s="153"/>
      <c r="Y4" s="153"/>
      <c r="Z4" s="153"/>
      <c r="AA4" s="153"/>
      <c r="AB4" s="81" t="s">
        <v>37</v>
      </c>
      <c r="AC4" s="83">
        <v>13</v>
      </c>
      <c r="AD4" s="157" t="s">
        <v>48</v>
      </c>
      <c r="AE4" s="173"/>
      <c r="AF4" s="81"/>
    </row>
    <row r="5" spans="1:32">
      <c r="A5" s="61" t="s">
        <v>51</v>
      </c>
      <c r="B5" s="62" t="s">
        <v>33</v>
      </c>
      <c r="C5" s="62" t="s">
        <v>2001</v>
      </c>
      <c r="D5" s="63" t="s">
        <v>2002</v>
      </c>
      <c r="E5" s="63" t="s">
        <v>1409</v>
      </c>
      <c r="F5" s="62"/>
      <c r="G5" s="156"/>
      <c r="H5" s="156"/>
      <c r="I5" s="156"/>
      <c r="J5" s="156"/>
      <c r="K5" s="156"/>
      <c r="L5" s="156"/>
      <c r="M5" s="366"/>
      <c r="N5" s="156"/>
      <c r="O5" s="357"/>
      <c r="P5" s="156"/>
      <c r="Q5" s="156"/>
      <c r="R5" s="81"/>
      <c r="S5" s="83"/>
      <c r="T5" s="152"/>
      <c r="U5" s="83"/>
      <c r="V5" s="85"/>
      <c r="W5" s="152"/>
      <c r="X5" s="153"/>
      <c r="Y5" s="153"/>
      <c r="Z5" s="153"/>
      <c r="AA5" s="153"/>
      <c r="AB5" s="81" t="s">
        <v>37</v>
      </c>
      <c r="AC5" s="83">
        <v>14</v>
      </c>
      <c r="AD5" s="157" t="s">
        <v>48</v>
      </c>
      <c r="AE5" s="174">
        <v>24.601400000000002</v>
      </c>
      <c r="AF5" s="65">
        <v>76.839100000000002</v>
      </c>
    </row>
    <row r="6" spans="1:32">
      <c r="A6" s="61" t="s">
        <v>51</v>
      </c>
      <c r="B6" s="62" t="s">
        <v>33</v>
      </c>
      <c r="C6" s="62" t="s">
        <v>2001</v>
      </c>
      <c r="D6" s="63" t="s">
        <v>2002</v>
      </c>
      <c r="E6" s="63" t="s">
        <v>1409</v>
      </c>
      <c r="F6" s="62"/>
      <c r="G6" s="156"/>
      <c r="H6" s="156"/>
      <c r="I6" s="156"/>
      <c r="J6" s="156"/>
      <c r="K6" s="156"/>
      <c r="L6" s="156"/>
      <c r="M6" s="366"/>
      <c r="N6" s="156"/>
      <c r="O6" s="357"/>
      <c r="P6" s="156"/>
      <c r="Q6" s="156"/>
      <c r="R6" s="81"/>
      <c r="S6" s="83"/>
      <c r="T6" s="152"/>
      <c r="U6" s="83"/>
      <c r="V6" s="85"/>
      <c r="W6" s="152"/>
      <c r="X6" s="153"/>
      <c r="Y6" s="153"/>
      <c r="Z6" s="153"/>
      <c r="AA6" s="153"/>
      <c r="AB6" s="81" t="s">
        <v>37</v>
      </c>
      <c r="AC6" s="83">
        <v>9</v>
      </c>
      <c r="AD6" s="157" t="s">
        <v>48</v>
      </c>
      <c r="AE6" s="174">
        <v>24.611000000000001</v>
      </c>
      <c r="AF6" s="65">
        <v>76.849500000000006</v>
      </c>
    </row>
    <row r="7" spans="1:32">
      <c r="A7" s="61">
        <v>2</v>
      </c>
      <c r="B7" s="62" t="s">
        <v>33</v>
      </c>
      <c r="C7" s="62" t="s">
        <v>2001</v>
      </c>
      <c r="D7" s="62" t="s">
        <v>2002</v>
      </c>
      <c r="E7" s="62" t="s">
        <v>2006</v>
      </c>
      <c r="F7" s="62" t="s">
        <v>2007</v>
      </c>
      <c r="G7" s="156">
        <v>522</v>
      </c>
      <c r="H7" s="156">
        <v>139</v>
      </c>
      <c r="I7" s="156">
        <v>661</v>
      </c>
      <c r="J7" s="156">
        <v>352</v>
      </c>
      <c r="K7" s="156">
        <v>309</v>
      </c>
      <c r="L7" s="156">
        <v>43</v>
      </c>
      <c r="M7" s="366">
        <f t="shared" ref="M7:M68" si="0">L7/I7*100</f>
        <v>6.5052950075642961</v>
      </c>
      <c r="N7" s="156">
        <v>174</v>
      </c>
      <c r="O7" s="357">
        <f t="shared" ref="O7:O68" si="1">N7/I7*100</f>
        <v>26.323751891074131</v>
      </c>
      <c r="P7" s="156">
        <v>27</v>
      </c>
      <c r="Q7" s="156"/>
      <c r="R7" s="81" t="s">
        <v>2004</v>
      </c>
      <c r="S7" s="83" t="s">
        <v>2005</v>
      </c>
      <c r="T7" s="158"/>
      <c r="U7" s="83">
        <v>6.3358999999999996</v>
      </c>
      <c r="V7" s="85"/>
      <c r="W7" s="159"/>
      <c r="X7" s="159"/>
      <c r="Y7" s="159"/>
      <c r="Z7" s="159"/>
      <c r="AA7" s="159"/>
      <c r="AB7" s="81"/>
      <c r="AC7" s="83"/>
      <c r="AD7" s="159"/>
    </row>
    <row r="8" spans="1:32">
      <c r="A8" s="61">
        <v>3</v>
      </c>
      <c r="B8" s="62" t="s">
        <v>33</v>
      </c>
      <c r="C8" s="62" t="s">
        <v>2001</v>
      </c>
      <c r="D8" s="62" t="s">
        <v>2002</v>
      </c>
      <c r="E8" s="62" t="s">
        <v>2008</v>
      </c>
      <c r="F8" s="62" t="s">
        <v>2009</v>
      </c>
      <c r="G8" s="156">
        <v>379</v>
      </c>
      <c r="H8" s="156">
        <v>77</v>
      </c>
      <c r="I8" s="156">
        <v>365</v>
      </c>
      <c r="J8" s="156">
        <v>187</v>
      </c>
      <c r="K8" s="156">
        <v>178</v>
      </c>
      <c r="L8" s="156">
        <v>223</v>
      </c>
      <c r="M8" s="366">
        <f t="shared" si="0"/>
        <v>61.095890410958908</v>
      </c>
      <c r="N8" s="156">
        <v>25</v>
      </c>
      <c r="O8" s="357">
        <f t="shared" si="1"/>
        <v>6.8493150684931505</v>
      </c>
      <c r="P8" s="156">
        <v>0</v>
      </c>
      <c r="Q8" s="156"/>
      <c r="R8" s="81" t="s">
        <v>2004</v>
      </c>
      <c r="S8" s="83" t="s">
        <v>2005</v>
      </c>
      <c r="T8" s="158"/>
      <c r="U8" s="83"/>
      <c r="V8" s="85"/>
      <c r="W8" s="159"/>
      <c r="X8" s="159"/>
      <c r="Y8" s="159"/>
      <c r="Z8" s="159"/>
      <c r="AA8" s="159"/>
      <c r="AB8" s="81"/>
      <c r="AC8" s="83" t="s">
        <v>2010</v>
      </c>
      <c r="AD8" s="159"/>
      <c r="AE8" s="175"/>
      <c r="AF8" s="65"/>
    </row>
    <row r="9" spans="1:32">
      <c r="A9" s="61">
        <v>4</v>
      </c>
      <c r="B9" s="62" t="s">
        <v>33</v>
      </c>
      <c r="C9" s="62" t="s">
        <v>2001</v>
      </c>
      <c r="D9" s="62" t="s">
        <v>2002</v>
      </c>
      <c r="E9" s="62" t="s">
        <v>2011</v>
      </c>
      <c r="F9" s="62" t="s">
        <v>2012</v>
      </c>
      <c r="G9" s="156">
        <v>331</v>
      </c>
      <c r="H9" s="156">
        <v>57</v>
      </c>
      <c r="I9" s="156">
        <v>439</v>
      </c>
      <c r="J9" s="156">
        <v>211</v>
      </c>
      <c r="K9" s="156">
        <v>228</v>
      </c>
      <c r="L9" s="156">
        <v>70</v>
      </c>
      <c r="M9" s="366">
        <f t="shared" si="0"/>
        <v>15.945330296127564</v>
      </c>
      <c r="N9" s="156">
        <v>52</v>
      </c>
      <c r="O9" s="357">
        <f t="shared" si="1"/>
        <v>11.845102505694761</v>
      </c>
      <c r="P9" s="156">
        <v>25</v>
      </c>
      <c r="Q9" s="156"/>
      <c r="R9" s="81" t="s">
        <v>2004</v>
      </c>
      <c r="S9" s="83" t="s">
        <v>2005</v>
      </c>
      <c r="T9" s="160"/>
      <c r="U9" s="83">
        <v>9.0168999999999997</v>
      </c>
      <c r="V9" s="85"/>
      <c r="W9" s="159"/>
      <c r="X9" s="159"/>
      <c r="Y9" s="159"/>
      <c r="Z9" s="159"/>
      <c r="AA9" s="159"/>
      <c r="AB9" s="81" t="s">
        <v>37</v>
      </c>
      <c r="AC9" s="83">
        <v>12</v>
      </c>
      <c r="AD9" s="157" t="s">
        <v>48</v>
      </c>
      <c r="AE9" s="175"/>
    </row>
    <row r="10" spans="1:32">
      <c r="A10" s="61">
        <v>5</v>
      </c>
      <c r="B10" s="62" t="s">
        <v>33</v>
      </c>
      <c r="C10" s="62" t="s">
        <v>2001</v>
      </c>
      <c r="D10" s="62" t="s">
        <v>2002</v>
      </c>
      <c r="E10" s="62" t="s">
        <v>2013</v>
      </c>
      <c r="F10" s="62" t="s">
        <v>2014</v>
      </c>
      <c r="G10" s="156">
        <v>304</v>
      </c>
      <c r="H10" s="156">
        <v>48</v>
      </c>
      <c r="I10" s="156">
        <v>304</v>
      </c>
      <c r="J10" s="156">
        <v>145</v>
      </c>
      <c r="K10" s="156">
        <v>159</v>
      </c>
      <c r="L10" s="156">
        <v>0</v>
      </c>
      <c r="M10" s="366">
        <f t="shared" si="0"/>
        <v>0</v>
      </c>
      <c r="N10" s="156">
        <v>16</v>
      </c>
      <c r="O10" s="357">
        <f t="shared" si="1"/>
        <v>5.2631578947368416</v>
      </c>
      <c r="P10" s="156">
        <v>16</v>
      </c>
      <c r="Q10" s="156"/>
      <c r="R10" s="81" t="s">
        <v>2004</v>
      </c>
      <c r="S10" s="83" t="s">
        <v>2005</v>
      </c>
      <c r="T10" s="158"/>
      <c r="U10" s="83">
        <v>15.150399999999999</v>
      </c>
      <c r="V10" s="85"/>
      <c r="W10" s="159"/>
      <c r="X10" s="159"/>
      <c r="Y10" s="159"/>
      <c r="Z10" s="159"/>
      <c r="AA10" s="159"/>
      <c r="AB10" s="81" t="s">
        <v>37</v>
      </c>
      <c r="AC10" s="83">
        <v>15</v>
      </c>
      <c r="AD10" s="157" t="s">
        <v>48</v>
      </c>
      <c r="AE10" s="175"/>
    </row>
    <row r="11" spans="1:32">
      <c r="A11" s="61">
        <v>6</v>
      </c>
      <c r="B11" s="62" t="s">
        <v>33</v>
      </c>
      <c r="C11" s="62" t="s">
        <v>2001</v>
      </c>
      <c r="D11" s="62" t="s">
        <v>2002</v>
      </c>
      <c r="E11" s="62" t="s">
        <v>850</v>
      </c>
      <c r="F11" s="62" t="s">
        <v>2015</v>
      </c>
      <c r="G11" s="156">
        <v>305</v>
      </c>
      <c r="H11" s="156">
        <v>0</v>
      </c>
      <c r="I11" s="156">
        <v>0</v>
      </c>
      <c r="J11" s="156">
        <v>0</v>
      </c>
      <c r="K11" s="156">
        <v>0</v>
      </c>
      <c r="L11" s="156">
        <v>0</v>
      </c>
      <c r="M11" s="366"/>
      <c r="N11" s="156"/>
      <c r="O11" s="357"/>
      <c r="P11" s="156">
        <v>0</v>
      </c>
      <c r="Q11" s="156"/>
      <c r="R11" s="81" t="s">
        <v>2004</v>
      </c>
      <c r="S11" s="83" t="s">
        <v>2005</v>
      </c>
      <c r="T11" s="158"/>
      <c r="U11" s="83">
        <v>78.774500000000003</v>
      </c>
      <c r="V11" s="85"/>
      <c r="W11" s="159"/>
      <c r="X11" s="159"/>
      <c r="Y11" s="159"/>
      <c r="Z11" s="159"/>
      <c r="AA11" s="159"/>
      <c r="AB11" s="81" t="s">
        <v>37</v>
      </c>
      <c r="AC11" s="83">
        <v>10</v>
      </c>
      <c r="AD11" s="157" t="s">
        <v>48</v>
      </c>
      <c r="AE11" s="175"/>
    </row>
    <row r="12" spans="1:32">
      <c r="A12" s="61">
        <v>7</v>
      </c>
      <c r="B12" s="62" t="s">
        <v>33</v>
      </c>
      <c r="C12" s="62" t="s">
        <v>2001</v>
      </c>
      <c r="D12" s="62" t="s">
        <v>2002</v>
      </c>
      <c r="E12" s="62" t="s">
        <v>2016</v>
      </c>
      <c r="F12" s="62" t="s">
        <v>2017</v>
      </c>
      <c r="G12" s="156">
        <v>469</v>
      </c>
      <c r="H12" s="156">
        <v>170</v>
      </c>
      <c r="I12" s="156">
        <v>925</v>
      </c>
      <c r="J12" s="156">
        <v>494</v>
      </c>
      <c r="K12" s="156">
        <v>431</v>
      </c>
      <c r="L12" s="156">
        <v>37</v>
      </c>
      <c r="M12" s="366">
        <f t="shared" si="0"/>
        <v>4</v>
      </c>
      <c r="N12" s="156">
        <v>0</v>
      </c>
      <c r="O12" s="357">
        <f t="shared" si="1"/>
        <v>0</v>
      </c>
      <c r="P12" s="156">
        <v>79</v>
      </c>
      <c r="Q12" s="156"/>
      <c r="R12" s="81" t="s">
        <v>2004</v>
      </c>
      <c r="S12" s="83" t="s">
        <v>2018</v>
      </c>
      <c r="T12" s="158"/>
      <c r="U12" s="83"/>
      <c r="V12" s="85"/>
      <c r="W12" s="159"/>
      <c r="X12" s="159"/>
      <c r="Y12" s="159"/>
      <c r="Z12" s="159"/>
      <c r="AA12" s="159"/>
      <c r="AB12" s="81"/>
      <c r="AC12" s="83"/>
      <c r="AD12" s="159"/>
      <c r="AE12" s="174">
        <v>24.62</v>
      </c>
      <c r="AF12" s="65">
        <v>76.86</v>
      </c>
    </row>
    <row r="13" spans="1:32">
      <c r="A13" s="61">
        <v>8</v>
      </c>
      <c r="B13" s="62" t="s">
        <v>33</v>
      </c>
      <c r="C13" s="62" t="s">
        <v>2001</v>
      </c>
      <c r="D13" s="63" t="s">
        <v>2019</v>
      </c>
      <c r="E13" s="63" t="s">
        <v>2020</v>
      </c>
      <c r="F13" s="62" t="s">
        <v>2021</v>
      </c>
      <c r="G13" s="156">
        <v>716</v>
      </c>
      <c r="H13" s="156">
        <v>255</v>
      </c>
      <c r="I13" s="156">
        <v>1195</v>
      </c>
      <c r="J13" s="156">
        <v>616</v>
      </c>
      <c r="K13" s="156">
        <v>579</v>
      </c>
      <c r="L13" s="156">
        <v>357</v>
      </c>
      <c r="M13" s="366">
        <f t="shared" si="0"/>
        <v>29.8744769874477</v>
      </c>
      <c r="N13" s="156">
        <v>0</v>
      </c>
      <c r="O13" s="357">
        <f t="shared" si="1"/>
        <v>0</v>
      </c>
      <c r="P13" s="156">
        <v>35</v>
      </c>
      <c r="Q13" s="156"/>
      <c r="R13" s="81" t="s">
        <v>2004</v>
      </c>
      <c r="S13" s="83" t="s">
        <v>2018</v>
      </c>
      <c r="T13" s="158"/>
      <c r="U13" s="83">
        <v>34.81</v>
      </c>
      <c r="V13" s="85"/>
      <c r="W13" s="159"/>
      <c r="X13" s="159"/>
      <c r="Y13" s="159"/>
      <c r="Z13" s="159"/>
      <c r="AA13" s="159"/>
      <c r="AB13" s="81" t="s">
        <v>37</v>
      </c>
      <c r="AC13" s="83">
        <v>19</v>
      </c>
      <c r="AD13" s="157" t="s">
        <v>48</v>
      </c>
      <c r="AE13" s="175"/>
    </row>
    <row r="14" spans="1:32">
      <c r="A14" s="61">
        <v>9</v>
      </c>
      <c r="B14" s="62" t="s">
        <v>33</v>
      </c>
      <c r="C14" s="62" t="s">
        <v>2001</v>
      </c>
      <c r="D14" s="62" t="s">
        <v>2019</v>
      </c>
      <c r="E14" s="62" t="s">
        <v>2022</v>
      </c>
      <c r="F14" s="62" t="s">
        <v>2023</v>
      </c>
      <c r="G14" s="156">
        <v>194</v>
      </c>
      <c r="H14" s="156">
        <v>215</v>
      </c>
      <c r="I14" s="156">
        <v>1145</v>
      </c>
      <c r="J14" s="156">
        <v>608</v>
      </c>
      <c r="K14" s="156">
        <v>537</v>
      </c>
      <c r="L14" s="156">
        <v>162</v>
      </c>
      <c r="M14" s="366">
        <f t="shared" si="0"/>
        <v>14.148471615720522</v>
      </c>
      <c r="N14" s="156">
        <v>17</v>
      </c>
      <c r="O14" s="357">
        <f t="shared" si="1"/>
        <v>1.4847161572052401</v>
      </c>
      <c r="P14" s="156">
        <v>0</v>
      </c>
      <c r="Q14" s="156"/>
      <c r="R14" s="81" t="s">
        <v>2004</v>
      </c>
      <c r="S14" s="83" t="s">
        <v>2018</v>
      </c>
      <c r="T14" s="161"/>
      <c r="U14" s="83"/>
      <c r="V14" s="85"/>
      <c r="W14" s="159"/>
      <c r="X14" s="159"/>
      <c r="Y14" s="159"/>
      <c r="Z14" s="159"/>
      <c r="AA14" s="159"/>
      <c r="AB14" s="81" t="s">
        <v>37</v>
      </c>
      <c r="AC14" s="83">
        <v>25</v>
      </c>
      <c r="AD14" s="157" t="s">
        <v>48</v>
      </c>
      <c r="AE14" s="175"/>
    </row>
    <row r="15" spans="1:32">
      <c r="A15" s="61">
        <v>10</v>
      </c>
      <c r="B15" s="62" t="s">
        <v>33</v>
      </c>
      <c r="C15" s="62" t="s">
        <v>2001</v>
      </c>
      <c r="D15" s="62" t="s">
        <v>2019</v>
      </c>
      <c r="E15" s="62" t="s">
        <v>2024</v>
      </c>
      <c r="F15" s="62" t="s">
        <v>2025</v>
      </c>
      <c r="G15" s="156">
        <v>198</v>
      </c>
      <c r="H15" s="156">
        <v>77</v>
      </c>
      <c r="I15" s="156">
        <v>391</v>
      </c>
      <c r="J15" s="156">
        <v>210</v>
      </c>
      <c r="K15" s="156">
        <v>181</v>
      </c>
      <c r="L15" s="156">
        <v>117</v>
      </c>
      <c r="M15" s="366">
        <f t="shared" si="0"/>
        <v>29.923273657289002</v>
      </c>
      <c r="N15" s="156">
        <v>0</v>
      </c>
      <c r="O15" s="357">
        <f t="shared" si="1"/>
        <v>0</v>
      </c>
      <c r="P15" s="156">
        <v>24</v>
      </c>
      <c r="Q15" s="156"/>
      <c r="R15" s="81" t="s">
        <v>2004</v>
      </c>
      <c r="S15" s="83" t="s">
        <v>2018</v>
      </c>
      <c r="T15" s="158"/>
      <c r="U15" s="83">
        <v>23.532299999999999</v>
      </c>
      <c r="V15" s="85"/>
      <c r="W15" s="159"/>
      <c r="X15" s="159"/>
      <c r="Y15" s="159"/>
      <c r="Z15" s="159"/>
      <c r="AA15" s="159"/>
      <c r="AB15" s="81" t="s">
        <v>37</v>
      </c>
      <c r="AC15" s="83">
        <v>23</v>
      </c>
      <c r="AD15" s="157" t="s">
        <v>48</v>
      </c>
      <c r="AE15" s="175"/>
      <c r="AF15" s="65"/>
    </row>
    <row r="16" spans="1:32">
      <c r="A16" s="61">
        <v>11</v>
      </c>
      <c r="B16" s="62" t="s">
        <v>33</v>
      </c>
      <c r="C16" s="62" t="s">
        <v>2001</v>
      </c>
      <c r="D16" s="62" t="s">
        <v>2019</v>
      </c>
      <c r="E16" s="62" t="s">
        <v>2026</v>
      </c>
      <c r="F16" s="62" t="s">
        <v>2027</v>
      </c>
      <c r="G16" s="156">
        <v>361</v>
      </c>
      <c r="H16" s="156">
        <v>143</v>
      </c>
      <c r="I16" s="156">
        <v>849</v>
      </c>
      <c r="J16" s="156">
        <v>429</v>
      </c>
      <c r="K16" s="156">
        <v>420</v>
      </c>
      <c r="L16" s="156">
        <v>115</v>
      </c>
      <c r="M16" s="366">
        <f t="shared" si="0"/>
        <v>13.54534746760895</v>
      </c>
      <c r="N16" s="156">
        <v>0</v>
      </c>
      <c r="O16" s="357">
        <f t="shared" si="1"/>
        <v>0</v>
      </c>
      <c r="P16" s="156">
        <v>9</v>
      </c>
      <c r="Q16" s="156"/>
      <c r="R16" s="81" t="s">
        <v>2004</v>
      </c>
      <c r="S16" s="83" t="s">
        <v>2018</v>
      </c>
      <c r="T16" s="158"/>
      <c r="U16" s="83">
        <v>6.96</v>
      </c>
      <c r="V16" s="85"/>
      <c r="W16" s="159"/>
      <c r="X16" s="159"/>
      <c r="Y16" s="159"/>
      <c r="Z16" s="159"/>
      <c r="AA16" s="159"/>
      <c r="AB16" s="81" t="s">
        <v>37</v>
      </c>
      <c r="AC16" s="83">
        <v>15</v>
      </c>
      <c r="AD16" s="157" t="s">
        <v>48</v>
      </c>
      <c r="AE16" s="175"/>
    </row>
    <row r="17" spans="1:32">
      <c r="A17" s="61">
        <v>12</v>
      </c>
      <c r="B17" s="62" t="s">
        <v>33</v>
      </c>
      <c r="C17" s="62" t="s">
        <v>2001</v>
      </c>
      <c r="D17" s="62" t="s">
        <v>2019</v>
      </c>
      <c r="E17" s="62" t="s">
        <v>2028</v>
      </c>
      <c r="F17" s="62" t="s">
        <v>2029</v>
      </c>
      <c r="G17" s="156">
        <v>573</v>
      </c>
      <c r="H17" s="156">
        <v>239</v>
      </c>
      <c r="I17" s="156">
        <v>1115</v>
      </c>
      <c r="J17" s="156">
        <v>587</v>
      </c>
      <c r="K17" s="156">
        <v>528</v>
      </c>
      <c r="L17" s="156">
        <v>314</v>
      </c>
      <c r="M17" s="366">
        <f t="shared" si="0"/>
        <v>28.161434977578477</v>
      </c>
      <c r="N17" s="156">
        <v>6</v>
      </c>
      <c r="O17" s="357">
        <f t="shared" si="1"/>
        <v>0.53811659192825112</v>
      </c>
      <c r="P17" s="156">
        <v>0</v>
      </c>
      <c r="Q17" s="156"/>
      <c r="R17" s="81" t="s">
        <v>2004</v>
      </c>
      <c r="S17" s="83" t="s">
        <v>2018</v>
      </c>
      <c r="T17" s="158"/>
      <c r="U17" s="83">
        <v>0.49</v>
      </c>
      <c r="V17" s="85"/>
      <c r="W17" s="159"/>
      <c r="X17" s="159"/>
      <c r="Y17" s="159"/>
      <c r="Z17" s="159"/>
      <c r="AA17" s="159"/>
      <c r="AB17" s="81" t="s">
        <v>37</v>
      </c>
      <c r="AC17" s="83">
        <v>18</v>
      </c>
      <c r="AD17" s="157" t="s">
        <v>48</v>
      </c>
      <c r="AE17" s="175"/>
    </row>
    <row r="18" spans="1:32">
      <c r="A18" s="61">
        <v>13</v>
      </c>
      <c r="B18" s="62" t="s">
        <v>33</v>
      </c>
      <c r="C18" s="62" t="s">
        <v>2001</v>
      </c>
      <c r="D18" s="62" t="s">
        <v>2019</v>
      </c>
      <c r="E18" s="62" t="s">
        <v>2030</v>
      </c>
      <c r="F18" s="62" t="s">
        <v>2031</v>
      </c>
      <c r="G18" s="156">
        <v>143</v>
      </c>
      <c r="H18" s="156">
        <v>52</v>
      </c>
      <c r="I18" s="156">
        <v>265</v>
      </c>
      <c r="J18" s="156">
        <v>150</v>
      </c>
      <c r="K18" s="156">
        <v>115</v>
      </c>
      <c r="L18" s="156">
        <v>27</v>
      </c>
      <c r="M18" s="366">
        <f t="shared" si="0"/>
        <v>10.188679245283019</v>
      </c>
      <c r="N18" s="156">
        <v>48</v>
      </c>
      <c r="O18" s="357">
        <f t="shared" si="1"/>
        <v>18.113207547169811</v>
      </c>
      <c r="P18" s="156">
        <v>16</v>
      </c>
      <c r="Q18" s="156"/>
      <c r="R18" s="81" t="s">
        <v>2004</v>
      </c>
      <c r="S18" s="83" t="s">
        <v>2018</v>
      </c>
      <c r="T18" s="158"/>
      <c r="U18" s="83">
        <v>6.96</v>
      </c>
      <c r="V18" s="85"/>
      <c r="W18" s="159"/>
      <c r="X18" s="159"/>
      <c r="Y18" s="159"/>
      <c r="Z18" s="159"/>
      <c r="AA18" s="159"/>
      <c r="AB18" s="81" t="s">
        <v>37</v>
      </c>
      <c r="AC18" s="83">
        <v>15</v>
      </c>
      <c r="AD18" s="157" t="s">
        <v>48</v>
      </c>
      <c r="AE18" s="175"/>
    </row>
    <row r="19" spans="1:32">
      <c r="A19" s="61">
        <v>14</v>
      </c>
      <c r="B19" s="62" t="s">
        <v>33</v>
      </c>
      <c r="C19" s="62" t="s">
        <v>2001</v>
      </c>
      <c r="D19" s="62" t="s">
        <v>2019</v>
      </c>
      <c r="E19" s="62" t="s">
        <v>2032</v>
      </c>
      <c r="F19" s="62" t="s">
        <v>2033</v>
      </c>
      <c r="G19" s="156">
        <v>515</v>
      </c>
      <c r="H19" s="156">
        <v>115</v>
      </c>
      <c r="I19" s="156">
        <v>568</v>
      </c>
      <c r="J19" s="156">
        <v>299</v>
      </c>
      <c r="K19" s="156">
        <v>269</v>
      </c>
      <c r="L19" s="156">
        <v>100</v>
      </c>
      <c r="M19" s="366">
        <f t="shared" si="0"/>
        <v>17.6056338028169</v>
      </c>
      <c r="N19" s="156">
        <v>3</v>
      </c>
      <c r="O19" s="357">
        <f t="shared" si="1"/>
        <v>0.528169014084507</v>
      </c>
      <c r="P19" s="156">
        <v>4</v>
      </c>
      <c r="Q19" s="156"/>
      <c r="R19" s="81" t="s">
        <v>2004</v>
      </c>
      <c r="S19" s="83" t="s">
        <v>1269</v>
      </c>
      <c r="T19" s="158"/>
      <c r="U19" s="83">
        <v>5.5644999999999998</v>
      </c>
      <c r="V19" s="85"/>
      <c r="W19" s="159"/>
      <c r="X19" s="159"/>
      <c r="Y19" s="159"/>
      <c r="Z19" s="159"/>
      <c r="AA19" s="159"/>
      <c r="AB19" s="81"/>
      <c r="AC19" s="83"/>
      <c r="AD19" s="159"/>
      <c r="AE19" s="175"/>
    </row>
    <row r="20" spans="1:32">
      <c r="A20" s="61">
        <v>15</v>
      </c>
      <c r="B20" s="62" t="s">
        <v>33</v>
      </c>
      <c r="C20" s="62" t="s">
        <v>2001</v>
      </c>
      <c r="D20" s="63" t="s">
        <v>2034</v>
      </c>
      <c r="E20" s="63" t="s">
        <v>2035</v>
      </c>
      <c r="F20" s="62" t="s">
        <v>2036</v>
      </c>
      <c r="G20" s="156">
        <v>857</v>
      </c>
      <c r="H20" s="156">
        <v>348</v>
      </c>
      <c r="I20" s="156">
        <v>1789</v>
      </c>
      <c r="J20" s="156">
        <v>922</v>
      </c>
      <c r="K20" s="156">
        <v>867</v>
      </c>
      <c r="L20" s="156">
        <v>216</v>
      </c>
      <c r="M20" s="366">
        <f t="shared" si="0"/>
        <v>12.073784237003911</v>
      </c>
      <c r="N20" s="156">
        <v>291</v>
      </c>
      <c r="O20" s="357">
        <f t="shared" si="1"/>
        <v>16.26607043040805</v>
      </c>
      <c r="P20" s="156">
        <v>0</v>
      </c>
      <c r="Q20" s="156"/>
      <c r="R20" s="81" t="s">
        <v>2004</v>
      </c>
      <c r="S20" s="83" t="s">
        <v>1269</v>
      </c>
      <c r="T20" s="160"/>
      <c r="U20" s="83"/>
      <c r="V20" s="85"/>
      <c r="W20" s="159"/>
      <c r="X20" s="159"/>
      <c r="Y20" s="159"/>
      <c r="Z20" s="159"/>
      <c r="AA20" s="159"/>
      <c r="AB20" s="81"/>
      <c r="AC20" s="83"/>
      <c r="AD20" s="159"/>
      <c r="AE20" s="175"/>
    </row>
    <row r="21" spans="1:32">
      <c r="A21" s="61">
        <v>16</v>
      </c>
      <c r="B21" s="62" t="s">
        <v>33</v>
      </c>
      <c r="C21" s="62" t="s">
        <v>2001</v>
      </c>
      <c r="D21" s="62" t="s">
        <v>2034</v>
      </c>
      <c r="E21" s="62" t="s">
        <v>1192</v>
      </c>
      <c r="F21" s="62" t="s">
        <v>2037</v>
      </c>
      <c r="G21" s="156">
        <v>372</v>
      </c>
      <c r="H21" s="156">
        <v>103</v>
      </c>
      <c r="I21" s="156">
        <v>539</v>
      </c>
      <c r="J21" s="156">
        <v>279</v>
      </c>
      <c r="K21" s="156">
        <v>260</v>
      </c>
      <c r="L21" s="156">
        <v>6</v>
      </c>
      <c r="M21" s="366">
        <f t="shared" si="0"/>
        <v>1.1131725417439702</v>
      </c>
      <c r="N21" s="156">
        <v>114</v>
      </c>
      <c r="O21" s="357">
        <f t="shared" si="1"/>
        <v>21.150278293135436</v>
      </c>
      <c r="P21" s="156">
        <v>34</v>
      </c>
      <c r="Q21" s="156"/>
      <c r="R21" s="81" t="s">
        <v>2004</v>
      </c>
      <c r="S21" s="83" t="s">
        <v>1269</v>
      </c>
      <c r="T21" s="158"/>
      <c r="U21" s="83">
        <v>34.651000000000003</v>
      </c>
      <c r="V21" s="85"/>
      <c r="W21" s="159"/>
      <c r="X21" s="159"/>
      <c r="Y21" s="159"/>
      <c r="Z21" s="159"/>
      <c r="AA21" s="159"/>
      <c r="AB21" s="81" t="s">
        <v>37</v>
      </c>
      <c r="AC21" s="83">
        <v>3</v>
      </c>
      <c r="AD21" s="157" t="s">
        <v>48</v>
      </c>
      <c r="AE21" s="175"/>
    </row>
    <row r="22" spans="1:32">
      <c r="A22" s="61">
        <v>17</v>
      </c>
      <c r="B22" s="62" t="s">
        <v>33</v>
      </c>
      <c r="C22" s="62" t="s">
        <v>2001</v>
      </c>
      <c r="D22" s="62" t="s">
        <v>2034</v>
      </c>
      <c r="E22" s="62" t="s">
        <v>1335</v>
      </c>
      <c r="F22" s="62" t="s">
        <v>2038</v>
      </c>
      <c r="G22" s="156">
        <v>612</v>
      </c>
      <c r="H22" s="156">
        <v>164</v>
      </c>
      <c r="I22" s="156">
        <v>808</v>
      </c>
      <c r="J22" s="156">
        <v>417</v>
      </c>
      <c r="K22" s="156">
        <v>391</v>
      </c>
      <c r="L22" s="156">
        <v>5</v>
      </c>
      <c r="M22" s="366">
        <f t="shared" si="0"/>
        <v>0.61881188118811881</v>
      </c>
      <c r="N22" s="156">
        <v>388</v>
      </c>
      <c r="O22" s="357">
        <f t="shared" si="1"/>
        <v>48.019801980198018</v>
      </c>
      <c r="P22" s="156">
        <v>46</v>
      </c>
      <c r="Q22" s="156"/>
      <c r="R22" s="81" t="s">
        <v>2004</v>
      </c>
      <c r="S22" s="83" t="s">
        <v>1269</v>
      </c>
      <c r="T22" s="158"/>
      <c r="U22" s="83"/>
      <c r="V22" s="85"/>
      <c r="W22" s="159"/>
      <c r="X22" s="159"/>
      <c r="Y22" s="159"/>
      <c r="Z22" s="159"/>
      <c r="AA22" s="159"/>
      <c r="AB22" s="81" t="s">
        <v>37</v>
      </c>
      <c r="AC22" s="83">
        <v>2</v>
      </c>
      <c r="AD22" s="157" t="s">
        <v>48</v>
      </c>
      <c r="AE22" s="175"/>
    </row>
    <row r="23" spans="1:32">
      <c r="A23" s="61">
        <v>18</v>
      </c>
      <c r="B23" s="62" t="s">
        <v>33</v>
      </c>
      <c r="C23" s="62" t="s">
        <v>2001</v>
      </c>
      <c r="D23" s="62" t="s">
        <v>2034</v>
      </c>
      <c r="E23" s="62" t="s">
        <v>2039</v>
      </c>
      <c r="F23" s="62" t="s">
        <v>2040</v>
      </c>
      <c r="G23" s="156">
        <v>152</v>
      </c>
      <c r="H23" s="156">
        <v>82</v>
      </c>
      <c r="I23" s="156">
        <v>360</v>
      </c>
      <c r="J23" s="156">
        <v>182</v>
      </c>
      <c r="K23" s="156">
        <v>178</v>
      </c>
      <c r="L23" s="156">
        <v>8</v>
      </c>
      <c r="M23" s="366">
        <f t="shared" si="0"/>
        <v>2.2222222222222223</v>
      </c>
      <c r="N23" s="156">
        <v>174</v>
      </c>
      <c r="O23" s="357">
        <f t="shared" si="1"/>
        <v>48.333333333333336</v>
      </c>
      <c r="P23" s="156">
        <v>0</v>
      </c>
      <c r="Q23" s="156"/>
      <c r="R23" s="81" t="s">
        <v>2004</v>
      </c>
      <c r="S23" s="83" t="s">
        <v>1269</v>
      </c>
      <c r="T23" s="160"/>
      <c r="U23" s="83">
        <v>9.5733999999999995</v>
      </c>
      <c r="V23" s="85"/>
      <c r="W23" s="159"/>
      <c r="X23" s="159"/>
      <c r="Y23" s="159"/>
      <c r="Z23" s="159"/>
      <c r="AA23" s="159"/>
      <c r="AB23" s="81" t="s">
        <v>37</v>
      </c>
      <c r="AC23" s="83">
        <v>9</v>
      </c>
      <c r="AD23" s="157" t="s">
        <v>48</v>
      </c>
      <c r="AE23" s="175"/>
    </row>
    <row r="24" spans="1:32">
      <c r="A24" s="61">
        <v>19</v>
      </c>
      <c r="B24" s="62" t="s">
        <v>33</v>
      </c>
      <c r="C24" s="62" t="s">
        <v>2001</v>
      </c>
      <c r="D24" s="62" t="s">
        <v>2034</v>
      </c>
      <c r="E24" s="62" t="s">
        <v>2041</v>
      </c>
      <c r="F24" s="62" t="s">
        <v>2042</v>
      </c>
      <c r="G24" s="156">
        <v>321</v>
      </c>
      <c r="H24" s="156">
        <v>49</v>
      </c>
      <c r="I24" s="156">
        <v>236</v>
      </c>
      <c r="J24" s="156">
        <v>124</v>
      </c>
      <c r="K24" s="156">
        <v>112</v>
      </c>
      <c r="L24" s="156">
        <v>18</v>
      </c>
      <c r="M24" s="366">
        <f t="shared" si="0"/>
        <v>7.6271186440677967</v>
      </c>
      <c r="N24" s="156">
        <v>103</v>
      </c>
      <c r="O24" s="357">
        <f t="shared" si="1"/>
        <v>43.644067796610173</v>
      </c>
      <c r="P24" s="156">
        <v>10</v>
      </c>
      <c r="Q24" s="156"/>
      <c r="R24" s="81" t="s">
        <v>2004</v>
      </c>
      <c r="S24" s="83" t="s">
        <v>1269</v>
      </c>
      <c r="T24" s="160"/>
      <c r="U24" s="83"/>
      <c r="V24" s="85"/>
      <c r="W24" s="159"/>
      <c r="X24" s="159"/>
      <c r="Y24" s="159"/>
      <c r="Z24" s="159"/>
      <c r="AA24" s="159"/>
      <c r="AB24" s="81"/>
      <c r="AC24" s="83"/>
      <c r="AD24" s="159"/>
      <c r="AE24" s="176">
        <v>9.5733999999999995</v>
      </c>
      <c r="AF24" s="162">
        <v>9.5733999999999995</v>
      </c>
    </row>
    <row r="25" spans="1:32">
      <c r="A25" s="61">
        <v>20</v>
      </c>
      <c r="B25" s="62" t="s">
        <v>33</v>
      </c>
      <c r="C25" s="62" t="s">
        <v>2001</v>
      </c>
      <c r="D25" s="63" t="s">
        <v>2043</v>
      </c>
      <c r="E25" s="63" t="s">
        <v>2044</v>
      </c>
      <c r="F25" s="62" t="s">
        <v>2045</v>
      </c>
      <c r="G25" s="156">
        <v>392</v>
      </c>
      <c r="H25" s="156">
        <v>220</v>
      </c>
      <c r="I25" s="156">
        <v>1086</v>
      </c>
      <c r="J25" s="156">
        <v>567</v>
      </c>
      <c r="K25" s="156">
        <v>519</v>
      </c>
      <c r="L25" s="156">
        <v>121</v>
      </c>
      <c r="M25" s="366">
        <f t="shared" si="0"/>
        <v>11.141804788213628</v>
      </c>
      <c r="N25" s="156">
        <v>88</v>
      </c>
      <c r="O25" s="357">
        <f t="shared" si="1"/>
        <v>8.1031307550644573</v>
      </c>
      <c r="P25" s="156">
        <v>27</v>
      </c>
      <c r="Q25" s="156"/>
      <c r="R25" s="81" t="s">
        <v>2004</v>
      </c>
      <c r="S25" s="83" t="s">
        <v>1269</v>
      </c>
      <c r="T25" s="160"/>
      <c r="U25" s="83">
        <v>24.86</v>
      </c>
      <c r="V25" s="85"/>
      <c r="W25" s="159"/>
      <c r="X25" s="159"/>
      <c r="Y25" s="159"/>
      <c r="Z25" s="159"/>
      <c r="AA25" s="159"/>
      <c r="AB25" s="81" t="s">
        <v>37</v>
      </c>
      <c r="AC25" s="83">
        <v>6</v>
      </c>
      <c r="AD25" s="157" t="s">
        <v>48</v>
      </c>
      <c r="AE25" s="176">
        <v>24.86</v>
      </c>
      <c r="AF25" s="162">
        <v>24.86</v>
      </c>
    </row>
    <row r="26" spans="1:32">
      <c r="A26" s="61" t="s">
        <v>51</v>
      </c>
      <c r="B26" s="62" t="s">
        <v>33</v>
      </c>
      <c r="C26" s="62" t="s">
        <v>2001</v>
      </c>
      <c r="D26" s="63" t="s">
        <v>2043</v>
      </c>
      <c r="E26" s="63" t="s">
        <v>2044</v>
      </c>
      <c r="F26" s="62"/>
      <c r="G26" s="156"/>
      <c r="H26" s="156"/>
      <c r="I26" s="156"/>
      <c r="J26" s="156"/>
      <c r="K26" s="156"/>
      <c r="L26" s="156"/>
      <c r="M26" s="366"/>
      <c r="N26" s="156"/>
      <c r="O26" s="357"/>
      <c r="P26" s="156"/>
      <c r="Q26" s="156"/>
      <c r="R26" s="81"/>
      <c r="S26" s="83"/>
      <c r="T26" s="160"/>
      <c r="U26" s="83"/>
      <c r="V26" s="85"/>
      <c r="W26" s="159"/>
      <c r="X26" s="159"/>
      <c r="Y26" s="159"/>
      <c r="Z26" s="159"/>
      <c r="AA26" s="159"/>
      <c r="AB26" s="81" t="s">
        <v>37</v>
      </c>
      <c r="AC26" s="83">
        <v>10</v>
      </c>
      <c r="AD26" s="157" t="s">
        <v>48</v>
      </c>
    </row>
    <row r="27" spans="1:32">
      <c r="A27" s="61">
        <v>21</v>
      </c>
      <c r="B27" s="62" t="s">
        <v>33</v>
      </c>
      <c r="C27" s="62" t="s">
        <v>2001</v>
      </c>
      <c r="D27" s="62" t="s">
        <v>2043</v>
      </c>
      <c r="E27" s="62" t="s">
        <v>264</v>
      </c>
      <c r="F27" s="62" t="s">
        <v>2046</v>
      </c>
      <c r="G27" s="156">
        <v>312</v>
      </c>
      <c r="H27" s="156">
        <v>172</v>
      </c>
      <c r="I27" s="156">
        <v>753</v>
      </c>
      <c r="J27" s="156">
        <v>410</v>
      </c>
      <c r="K27" s="156">
        <v>343</v>
      </c>
      <c r="L27" s="156">
        <v>114</v>
      </c>
      <c r="M27" s="366">
        <f t="shared" si="0"/>
        <v>15.139442231075698</v>
      </c>
      <c r="N27" s="156">
        <v>85</v>
      </c>
      <c r="O27" s="357">
        <f t="shared" si="1"/>
        <v>11.288180610889773</v>
      </c>
      <c r="P27" s="156">
        <v>24</v>
      </c>
      <c r="Q27" s="156"/>
      <c r="R27" s="81" t="s">
        <v>2004</v>
      </c>
      <c r="S27" s="83" t="s">
        <v>1269</v>
      </c>
      <c r="T27" s="160"/>
      <c r="U27" s="83">
        <v>24.15</v>
      </c>
      <c r="V27" s="85"/>
      <c r="W27" s="159"/>
      <c r="X27" s="159"/>
      <c r="Y27" s="159"/>
      <c r="Z27" s="159"/>
      <c r="AA27" s="159"/>
      <c r="AB27" s="81" t="s">
        <v>37</v>
      </c>
      <c r="AC27" s="83">
        <v>13</v>
      </c>
      <c r="AD27" s="157" t="s">
        <v>48</v>
      </c>
      <c r="AE27" s="176"/>
      <c r="AF27" s="162"/>
    </row>
    <row r="28" spans="1:32">
      <c r="A28" s="61">
        <v>22</v>
      </c>
      <c r="B28" s="62" t="s">
        <v>33</v>
      </c>
      <c r="C28" s="62" t="s">
        <v>2001</v>
      </c>
      <c r="D28" s="62" t="s">
        <v>2043</v>
      </c>
      <c r="E28" s="62" t="s">
        <v>2047</v>
      </c>
      <c r="F28" s="62" t="s">
        <v>2048</v>
      </c>
      <c r="G28" s="156">
        <v>203</v>
      </c>
      <c r="H28" s="156">
        <v>132</v>
      </c>
      <c r="I28" s="156">
        <v>714</v>
      </c>
      <c r="J28" s="156">
        <v>369</v>
      </c>
      <c r="K28" s="156">
        <v>345</v>
      </c>
      <c r="L28" s="156">
        <v>91</v>
      </c>
      <c r="M28" s="366">
        <f t="shared" si="0"/>
        <v>12.745098039215685</v>
      </c>
      <c r="N28" s="156">
        <v>52</v>
      </c>
      <c r="O28" s="357">
        <f t="shared" si="1"/>
        <v>7.2829131652661072</v>
      </c>
      <c r="P28" s="156">
        <v>28</v>
      </c>
      <c r="Q28" s="156"/>
      <c r="R28" s="81" t="s">
        <v>2004</v>
      </c>
      <c r="S28" s="83" t="s">
        <v>1269</v>
      </c>
      <c r="T28" s="163"/>
      <c r="U28" s="83">
        <v>22.96</v>
      </c>
      <c r="V28" s="85"/>
      <c r="W28" s="159"/>
      <c r="X28" s="159"/>
      <c r="Y28" s="159"/>
      <c r="Z28" s="159"/>
      <c r="AA28" s="159"/>
      <c r="AB28" s="85"/>
      <c r="AC28" s="83"/>
      <c r="AD28" s="159"/>
      <c r="AE28" s="176"/>
      <c r="AF28" s="162"/>
    </row>
    <row r="29" spans="1:32">
      <c r="A29" s="61">
        <v>23</v>
      </c>
      <c r="B29" s="62" t="s">
        <v>33</v>
      </c>
      <c r="C29" s="62" t="s">
        <v>2001</v>
      </c>
      <c r="D29" s="62" t="s">
        <v>2043</v>
      </c>
      <c r="E29" s="62" t="s">
        <v>2049</v>
      </c>
      <c r="F29" s="62" t="s">
        <v>2050</v>
      </c>
      <c r="G29" s="156">
        <v>210</v>
      </c>
      <c r="H29" s="156">
        <v>77</v>
      </c>
      <c r="I29" s="156">
        <v>439</v>
      </c>
      <c r="J29" s="156">
        <v>220</v>
      </c>
      <c r="K29" s="156">
        <v>219</v>
      </c>
      <c r="L29" s="156">
        <v>13</v>
      </c>
      <c r="M29" s="366">
        <f t="shared" si="0"/>
        <v>2.9612756264236904</v>
      </c>
      <c r="N29" s="156">
        <v>160</v>
      </c>
      <c r="O29" s="357">
        <f t="shared" si="1"/>
        <v>36.446469248291571</v>
      </c>
      <c r="P29" s="156">
        <v>0</v>
      </c>
      <c r="Q29" s="156"/>
      <c r="R29" s="81" t="s">
        <v>2004</v>
      </c>
      <c r="S29" s="83" t="s">
        <v>1269</v>
      </c>
      <c r="T29" s="161"/>
      <c r="U29" s="83"/>
      <c r="V29" s="85"/>
      <c r="W29" s="159"/>
      <c r="X29" s="159"/>
      <c r="Y29" s="159"/>
      <c r="Z29" s="159"/>
      <c r="AA29" s="159"/>
      <c r="AB29" s="81" t="s">
        <v>37</v>
      </c>
      <c r="AC29" s="83">
        <v>18</v>
      </c>
      <c r="AD29" s="157" t="s">
        <v>48</v>
      </c>
      <c r="AE29" s="175"/>
    </row>
    <row r="30" spans="1:32">
      <c r="A30" s="61">
        <v>24</v>
      </c>
      <c r="B30" s="62" t="s">
        <v>33</v>
      </c>
      <c r="C30" s="62" t="s">
        <v>2001</v>
      </c>
      <c r="D30" s="62" t="s">
        <v>2043</v>
      </c>
      <c r="E30" s="62" t="s">
        <v>2051</v>
      </c>
      <c r="F30" s="62" t="s">
        <v>2052</v>
      </c>
      <c r="G30" s="156">
        <v>169</v>
      </c>
      <c r="H30" s="156">
        <v>84</v>
      </c>
      <c r="I30" s="156">
        <v>446</v>
      </c>
      <c r="J30" s="156">
        <v>231</v>
      </c>
      <c r="K30" s="156">
        <v>215</v>
      </c>
      <c r="L30" s="156">
        <v>92</v>
      </c>
      <c r="M30" s="366">
        <f t="shared" si="0"/>
        <v>20.627802690582961</v>
      </c>
      <c r="N30" s="156">
        <v>0</v>
      </c>
      <c r="O30" s="357">
        <f t="shared" si="1"/>
        <v>0</v>
      </c>
      <c r="P30" s="156">
        <v>29</v>
      </c>
      <c r="Q30" s="156"/>
      <c r="R30" s="81" t="s">
        <v>2004</v>
      </c>
      <c r="S30" s="83" t="s">
        <v>1269</v>
      </c>
      <c r="T30" s="161"/>
      <c r="U30" s="83">
        <v>28.36</v>
      </c>
      <c r="V30" s="85"/>
      <c r="W30" s="159"/>
      <c r="X30" s="159"/>
      <c r="Y30" s="159"/>
      <c r="Z30" s="159"/>
      <c r="AA30" s="159"/>
      <c r="AB30" s="81" t="s">
        <v>37</v>
      </c>
      <c r="AC30" s="83">
        <v>13</v>
      </c>
      <c r="AD30" s="157" t="s">
        <v>48</v>
      </c>
      <c r="AE30" s="176"/>
      <c r="AF30" s="162"/>
    </row>
    <row r="31" spans="1:32">
      <c r="A31" s="61">
        <v>25</v>
      </c>
      <c r="B31" s="62" t="s">
        <v>33</v>
      </c>
      <c r="C31" s="62" t="s">
        <v>2001</v>
      </c>
      <c r="D31" s="62" t="s">
        <v>2043</v>
      </c>
      <c r="E31" s="62" t="s">
        <v>2053</v>
      </c>
      <c r="F31" s="62" t="s">
        <v>2054</v>
      </c>
      <c r="G31" s="156">
        <v>323</v>
      </c>
      <c r="H31" s="156">
        <v>164</v>
      </c>
      <c r="I31" s="156">
        <v>914</v>
      </c>
      <c r="J31" s="156">
        <v>466</v>
      </c>
      <c r="K31" s="156">
        <v>448</v>
      </c>
      <c r="L31" s="156">
        <v>180</v>
      </c>
      <c r="M31" s="366">
        <f t="shared" si="0"/>
        <v>19.693654266958426</v>
      </c>
      <c r="N31" s="156">
        <v>2</v>
      </c>
      <c r="O31" s="357">
        <f t="shared" si="1"/>
        <v>0.21881838074398249</v>
      </c>
      <c r="P31" s="156">
        <v>50</v>
      </c>
      <c r="Q31" s="156"/>
      <c r="R31" s="81" t="s">
        <v>2004</v>
      </c>
      <c r="S31" s="83" t="s">
        <v>2018</v>
      </c>
      <c r="T31" s="161"/>
      <c r="U31" s="83">
        <v>54.35</v>
      </c>
      <c r="V31" s="85"/>
      <c r="W31" s="159"/>
      <c r="X31" s="159"/>
      <c r="Y31" s="159"/>
      <c r="Z31" s="159"/>
      <c r="AA31" s="159"/>
      <c r="AB31" s="81" t="s">
        <v>37</v>
      </c>
      <c r="AC31" s="83">
        <v>13</v>
      </c>
      <c r="AD31" s="157" t="s">
        <v>48</v>
      </c>
      <c r="AE31" s="176"/>
      <c r="AF31" s="162"/>
    </row>
    <row r="32" spans="1:32">
      <c r="A32" s="61" t="s">
        <v>51</v>
      </c>
      <c r="B32" s="62" t="s">
        <v>33</v>
      </c>
      <c r="C32" s="62" t="s">
        <v>2001</v>
      </c>
      <c r="D32" s="62" t="s">
        <v>2043</v>
      </c>
      <c r="E32" s="62" t="s">
        <v>2053</v>
      </c>
      <c r="F32" s="62"/>
      <c r="G32" s="156"/>
      <c r="H32" s="156"/>
      <c r="I32" s="156"/>
      <c r="J32" s="156"/>
      <c r="K32" s="156"/>
      <c r="L32" s="156"/>
      <c r="M32" s="366"/>
      <c r="N32" s="156"/>
      <c r="O32" s="357"/>
      <c r="P32" s="156"/>
      <c r="Q32" s="156"/>
      <c r="R32" s="81"/>
      <c r="S32" s="83"/>
      <c r="T32" s="161"/>
      <c r="U32" s="83"/>
      <c r="V32" s="85"/>
      <c r="W32" s="159"/>
      <c r="X32" s="159"/>
      <c r="Y32" s="159"/>
      <c r="Z32" s="159"/>
      <c r="AA32" s="159"/>
      <c r="AB32" s="81" t="s">
        <v>37</v>
      </c>
      <c r="AC32" s="83">
        <v>13</v>
      </c>
      <c r="AD32" s="157" t="s">
        <v>48</v>
      </c>
      <c r="AE32" s="175"/>
      <c r="AF32" s="65"/>
    </row>
    <row r="33" spans="1:32">
      <c r="A33" s="61">
        <v>26</v>
      </c>
      <c r="B33" s="62" t="s">
        <v>33</v>
      </c>
      <c r="C33" s="62" t="s">
        <v>2001</v>
      </c>
      <c r="D33" s="63" t="s">
        <v>2055</v>
      </c>
      <c r="E33" s="63" t="s">
        <v>2056</v>
      </c>
      <c r="F33" s="62" t="s">
        <v>2057</v>
      </c>
      <c r="G33" s="156">
        <v>274</v>
      </c>
      <c r="H33" s="156">
        <v>140</v>
      </c>
      <c r="I33" s="156">
        <v>723</v>
      </c>
      <c r="J33" s="156">
        <v>373</v>
      </c>
      <c r="K33" s="156">
        <v>350</v>
      </c>
      <c r="L33" s="156">
        <v>46</v>
      </c>
      <c r="M33" s="366">
        <f t="shared" si="0"/>
        <v>6.3623789764868599</v>
      </c>
      <c r="N33" s="156">
        <v>83</v>
      </c>
      <c r="O33" s="357">
        <f t="shared" si="1"/>
        <v>11.479944674965422</v>
      </c>
      <c r="P33" s="156">
        <v>24</v>
      </c>
      <c r="Q33" s="156"/>
      <c r="R33" s="81" t="s">
        <v>2004</v>
      </c>
      <c r="S33" s="83" t="s">
        <v>2018</v>
      </c>
      <c r="T33" s="161"/>
      <c r="U33" s="83">
        <v>26.974900000000002</v>
      </c>
      <c r="V33" s="85"/>
      <c r="W33" s="159"/>
      <c r="X33" s="159"/>
      <c r="Y33" s="159"/>
      <c r="Z33" s="159"/>
      <c r="AA33" s="159"/>
      <c r="AB33" s="81" t="s">
        <v>37</v>
      </c>
      <c r="AC33" s="83">
        <v>9</v>
      </c>
      <c r="AD33" s="157" t="s">
        <v>48</v>
      </c>
    </row>
    <row r="34" spans="1:32">
      <c r="A34" s="61" t="s">
        <v>51</v>
      </c>
      <c r="B34" s="62" t="s">
        <v>33</v>
      </c>
      <c r="C34" s="62" t="s">
        <v>2001</v>
      </c>
      <c r="D34" s="63" t="s">
        <v>2055</v>
      </c>
      <c r="E34" s="63" t="s">
        <v>2056</v>
      </c>
      <c r="F34" s="62"/>
      <c r="G34" s="156"/>
      <c r="H34" s="156"/>
      <c r="I34" s="156"/>
      <c r="J34" s="156"/>
      <c r="K34" s="156"/>
      <c r="L34" s="156"/>
      <c r="M34" s="366"/>
      <c r="N34" s="156"/>
      <c r="O34" s="357"/>
      <c r="P34" s="156"/>
      <c r="Q34" s="156"/>
      <c r="R34" s="81"/>
      <c r="S34" s="83"/>
      <c r="T34" s="161"/>
      <c r="U34" s="83"/>
      <c r="V34" s="85"/>
      <c r="W34" s="159"/>
      <c r="X34" s="159"/>
      <c r="Y34" s="159"/>
      <c r="Z34" s="159"/>
      <c r="AA34" s="159"/>
      <c r="AB34" s="81" t="s">
        <v>37</v>
      </c>
      <c r="AC34" s="83">
        <v>14</v>
      </c>
      <c r="AD34" s="157" t="s">
        <v>48</v>
      </c>
      <c r="AE34" s="174">
        <v>24.706800000000001</v>
      </c>
      <c r="AF34" s="65">
        <v>76.529300000000006</v>
      </c>
    </row>
    <row r="35" spans="1:32">
      <c r="A35" s="61" t="s">
        <v>51</v>
      </c>
      <c r="B35" s="62" t="s">
        <v>33</v>
      </c>
      <c r="C35" s="62" t="s">
        <v>2001</v>
      </c>
      <c r="D35" s="63" t="s">
        <v>2055</v>
      </c>
      <c r="E35" s="63" t="s">
        <v>2056</v>
      </c>
      <c r="F35" s="62"/>
      <c r="G35" s="156"/>
      <c r="H35" s="156"/>
      <c r="I35" s="156"/>
      <c r="J35" s="156"/>
      <c r="K35" s="156"/>
      <c r="L35" s="156"/>
      <c r="M35" s="366"/>
      <c r="N35" s="156"/>
      <c r="O35" s="357"/>
      <c r="P35" s="156"/>
      <c r="Q35" s="156"/>
      <c r="R35" s="81"/>
      <c r="S35" s="83"/>
      <c r="T35" s="161"/>
      <c r="U35" s="83"/>
      <c r="V35" s="85"/>
      <c r="W35" s="159"/>
      <c r="X35" s="159"/>
      <c r="Y35" s="159"/>
      <c r="Z35" s="159"/>
      <c r="AA35" s="159"/>
      <c r="AB35" s="81" t="s">
        <v>55</v>
      </c>
      <c r="AC35" s="83">
        <v>8</v>
      </c>
      <c r="AD35" s="157" t="s">
        <v>48</v>
      </c>
    </row>
    <row r="36" spans="1:32">
      <c r="A36" s="61" t="s">
        <v>51</v>
      </c>
      <c r="B36" s="62" t="s">
        <v>33</v>
      </c>
      <c r="C36" s="62" t="s">
        <v>2001</v>
      </c>
      <c r="D36" s="63" t="s">
        <v>2397</v>
      </c>
      <c r="E36" s="63" t="s">
        <v>2056</v>
      </c>
      <c r="F36" s="62"/>
      <c r="G36" s="156"/>
      <c r="H36" s="156"/>
      <c r="I36" s="156"/>
      <c r="J36" s="156"/>
      <c r="K36" s="156"/>
      <c r="L36" s="156"/>
      <c r="M36" s="366"/>
      <c r="N36" s="156"/>
      <c r="O36" s="357"/>
      <c r="P36" s="156"/>
      <c r="Q36" s="156"/>
      <c r="R36" s="81"/>
      <c r="S36" s="83"/>
      <c r="T36" s="161"/>
      <c r="U36" s="83"/>
      <c r="V36" s="85"/>
      <c r="W36" s="159"/>
      <c r="X36" s="159"/>
      <c r="Y36" s="159"/>
      <c r="Z36" s="159"/>
      <c r="AA36" s="159"/>
      <c r="AB36" s="81" t="s">
        <v>55</v>
      </c>
      <c r="AC36" s="83">
        <v>11</v>
      </c>
      <c r="AD36" s="157" t="s">
        <v>48</v>
      </c>
      <c r="AE36" s="174">
        <v>24.734100000000002</v>
      </c>
      <c r="AF36" s="65">
        <v>76.885099999999994</v>
      </c>
    </row>
    <row r="37" spans="1:32">
      <c r="A37" s="61">
        <v>27</v>
      </c>
      <c r="B37" s="62" t="s">
        <v>33</v>
      </c>
      <c r="C37" s="62" t="s">
        <v>2001</v>
      </c>
      <c r="D37" s="62" t="s">
        <v>2055</v>
      </c>
      <c r="E37" s="62" t="s">
        <v>2058</v>
      </c>
      <c r="F37" s="62" t="s">
        <v>2059</v>
      </c>
      <c r="G37" s="156">
        <v>202</v>
      </c>
      <c r="H37" s="156">
        <v>1</v>
      </c>
      <c r="I37" s="156">
        <v>2</v>
      </c>
      <c r="J37" s="156">
        <v>2</v>
      </c>
      <c r="K37" s="156">
        <v>0</v>
      </c>
      <c r="L37" s="156">
        <v>0</v>
      </c>
      <c r="M37" s="366">
        <f t="shared" si="0"/>
        <v>0</v>
      </c>
      <c r="N37" s="156">
        <v>0</v>
      </c>
      <c r="O37" s="357">
        <f t="shared" si="1"/>
        <v>0</v>
      </c>
      <c r="P37" s="156">
        <v>0</v>
      </c>
      <c r="Q37" s="156"/>
      <c r="R37" s="81" t="s">
        <v>2004</v>
      </c>
      <c r="S37" s="83" t="s">
        <v>2018</v>
      </c>
      <c r="T37" s="161"/>
      <c r="U37" s="83">
        <v>4.6917999999999997</v>
      </c>
      <c r="V37" s="85"/>
      <c r="W37" s="159"/>
      <c r="X37" s="159"/>
      <c r="Y37" s="159"/>
      <c r="Z37" s="159"/>
      <c r="AA37" s="159"/>
      <c r="AB37" s="85"/>
      <c r="AC37" s="83"/>
      <c r="AD37" s="159"/>
      <c r="AE37" s="175"/>
    </row>
    <row r="38" spans="1:32">
      <c r="A38" s="61">
        <v>28</v>
      </c>
      <c r="B38" s="62" t="s">
        <v>33</v>
      </c>
      <c r="C38" s="62" t="s">
        <v>2001</v>
      </c>
      <c r="D38" s="62" t="s">
        <v>2055</v>
      </c>
      <c r="E38" s="62" t="s">
        <v>2060</v>
      </c>
      <c r="F38" s="62" t="s">
        <v>2061</v>
      </c>
      <c r="G38" s="156">
        <v>109</v>
      </c>
      <c r="H38" s="156">
        <v>28</v>
      </c>
      <c r="I38" s="156">
        <v>139</v>
      </c>
      <c r="J38" s="156">
        <v>77</v>
      </c>
      <c r="K38" s="156">
        <v>62</v>
      </c>
      <c r="L38" s="156">
        <v>0</v>
      </c>
      <c r="M38" s="366">
        <f t="shared" si="0"/>
        <v>0</v>
      </c>
      <c r="N38" s="156">
        <v>60</v>
      </c>
      <c r="O38" s="357">
        <f t="shared" si="1"/>
        <v>43.165467625899282</v>
      </c>
      <c r="P38" s="156">
        <v>4</v>
      </c>
      <c r="Q38" s="156"/>
      <c r="R38" s="81" t="s">
        <v>2004</v>
      </c>
      <c r="S38" s="83" t="s">
        <v>2018</v>
      </c>
      <c r="T38" s="161"/>
      <c r="U38" s="83">
        <v>48.688600000000001</v>
      </c>
      <c r="V38" s="85"/>
      <c r="W38" s="159"/>
      <c r="X38" s="159"/>
      <c r="Y38" s="159"/>
      <c r="Z38" s="159"/>
      <c r="AA38" s="159"/>
      <c r="AB38" s="81" t="s">
        <v>37</v>
      </c>
      <c r="AC38" s="83">
        <v>13</v>
      </c>
      <c r="AD38" s="157" t="s">
        <v>48</v>
      </c>
      <c r="AE38" s="175"/>
    </row>
    <row r="39" spans="1:32">
      <c r="A39" s="61">
        <v>29</v>
      </c>
      <c r="B39" s="62" t="s">
        <v>33</v>
      </c>
      <c r="C39" s="62" t="s">
        <v>2001</v>
      </c>
      <c r="D39" s="62" t="s">
        <v>2055</v>
      </c>
      <c r="E39" s="62" t="s">
        <v>2062</v>
      </c>
      <c r="F39" s="62" t="s">
        <v>2063</v>
      </c>
      <c r="G39" s="156">
        <v>918</v>
      </c>
      <c r="H39" s="156">
        <v>244</v>
      </c>
      <c r="I39" s="156">
        <v>1349</v>
      </c>
      <c r="J39" s="156">
        <v>699</v>
      </c>
      <c r="K39" s="156">
        <v>650</v>
      </c>
      <c r="L39" s="156">
        <v>181</v>
      </c>
      <c r="M39" s="366">
        <f t="shared" si="0"/>
        <v>13.417346182357301</v>
      </c>
      <c r="N39" s="156">
        <v>144</v>
      </c>
      <c r="O39" s="357">
        <f t="shared" si="1"/>
        <v>10.674573758339511</v>
      </c>
      <c r="P39" s="156">
        <v>46</v>
      </c>
      <c r="Q39" s="156"/>
      <c r="R39" s="81" t="s">
        <v>2004</v>
      </c>
      <c r="S39" s="83" t="s">
        <v>37</v>
      </c>
      <c r="T39" s="160"/>
      <c r="U39" s="83">
        <v>84.149199999999993</v>
      </c>
      <c r="V39" s="85"/>
      <c r="W39" s="159"/>
      <c r="X39" s="159"/>
      <c r="Y39" s="159"/>
      <c r="Z39" s="159"/>
      <c r="AA39" s="159"/>
      <c r="AB39" s="81" t="s">
        <v>37</v>
      </c>
      <c r="AC39" s="83">
        <v>4</v>
      </c>
      <c r="AD39" s="157" t="s">
        <v>48</v>
      </c>
      <c r="AE39" s="175"/>
    </row>
    <row r="40" spans="1:32">
      <c r="A40" s="61">
        <v>30</v>
      </c>
      <c r="B40" s="62" t="s">
        <v>33</v>
      </c>
      <c r="C40" s="62" t="s">
        <v>2001</v>
      </c>
      <c r="D40" s="62" t="s">
        <v>2055</v>
      </c>
      <c r="E40" s="62" t="s">
        <v>2064</v>
      </c>
      <c r="F40" s="62" t="s">
        <v>2065</v>
      </c>
      <c r="G40" s="156">
        <v>645</v>
      </c>
      <c r="H40" s="156">
        <v>261</v>
      </c>
      <c r="I40" s="156">
        <v>1436</v>
      </c>
      <c r="J40" s="156">
        <v>799</v>
      </c>
      <c r="K40" s="156">
        <v>637</v>
      </c>
      <c r="L40" s="156">
        <v>85</v>
      </c>
      <c r="M40" s="366">
        <f t="shared" si="0"/>
        <v>5.9192200557103067</v>
      </c>
      <c r="N40" s="156">
        <v>463</v>
      </c>
      <c r="O40" s="357">
        <f t="shared" si="1"/>
        <v>32.242339832869085</v>
      </c>
      <c r="P40" s="156">
        <v>58</v>
      </c>
      <c r="Q40" s="156"/>
      <c r="R40" s="81" t="s">
        <v>2004</v>
      </c>
      <c r="S40" s="83" t="s">
        <v>37</v>
      </c>
      <c r="T40" s="160"/>
      <c r="U40" s="83"/>
      <c r="V40" s="85"/>
      <c r="W40" s="159"/>
      <c r="X40" s="159"/>
      <c r="Y40" s="159"/>
      <c r="Z40" s="159"/>
      <c r="AA40" s="159"/>
      <c r="AB40" s="81"/>
      <c r="AC40" s="83"/>
      <c r="AD40" s="159"/>
      <c r="AE40" s="174">
        <v>24.724499999999999</v>
      </c>
      <c r="AF40" s="65">
        <v>76.9268</v>
      </c>
    </row>
    <row r="41" spans="1:32">
      <c r="A41" s="61">
        <v>31</v>
      </c>
      <c r="B41" s="62" t="s">
        <v>33</v>
      </c>
      <c r="C41" s="62" t="s">
        <v>2001</v>
      </c>
      <c r="D41" s="62" t="s">
        <v>2055</v>
      </c>
      <c r="E41" s="62" t="s">
        <v>2066</v>
      </c>
      <c r="F41" s="62" t="s">
        <v>2067</v>
      </c>
      <c r="G41" s="156">
        <v>263</v>
      </c>
      <c r="H41" s="156">
        <v>55</v>
      </c>
      <c r="I41" s="156">
        <v>304</v>
      </c>
      <c r="J41" s="156">
        <v>156</v>
      </c>
      <c r="K41" s="156">
        <v>148</v>
      </c>
      <c r="L41" s="156">
        <v>8</v>
      </c>
      <c r="M41" s="366">
        <f t="shared" si="0"/>
        <v>2.6315789473684208</v>
      </c>
      <c r="N41" s="156">
        <v>60</v>
      </c>
      <c r="O41" s="357">
        <f t="shared" si="1"/>
        <v>19.736842105263158</v>
      </c>
      <c r="P41" s="156">
        <v>0</v>
      </c>
      <c r="Q41" s="156"/>
      <c r="R41" s="81" t="s">
        <v>2004</v>
      </c>
      <c r="S41" s="83" t="s">
        <v>2018</v>
      </c>
      <c r="T41" s="160"/>
      <c r="U41" s="83">
        <v>27.7</v>
      </c>
      <c r="V41" s="85"/>
      <c r="W41" s="159"/>
      <c r="X41" s="159"/>
      <c r="Y41" s="159"/>
      <c r="Z41" s="159"/>
      <c r="AA41" s="159"/>
      <c r="AB41" s="81" t="s">
        <v>37</v>
      </c>
      <c r="AC41" s="83">
        <v>12</v>
      </c>
      <c r="AD41" s="157" t="s">
        <v>48</v>
      </c>
      <c r="AE41" s="177">
        <v>24.703900000000001</v>
      </c>
      <c r="AF41" s="82">
        <v>76.870800000000003</v>
      </c>
    </row>
    <row r="42" spans="1:32">
      <c r="A42" s="61">
        <v>32</v>
      </c>
      <c r="B42" s="62" t="s">
        <v>33</v>
      </c>
      <c r="C42" s="62" t="s">
        <v>2001</v>
      </c>
      <c r="D42" s="62" t="s">
        <v>2055</v>
      </c>
      <c r="E42" s="62" t="s">
        <v>2068</v>
      </c>
      <c r="F42" s="62" t="s">
        <v>2069</v>
      </c>
      <c r="G42" s="156">
        <v>408</v>
      </c>
      <c r="H42" s="156">
        <v>50</v>
      </c>
      <c r="I42" s="156">
        <v>279</v>
      </c>
      <c r="J42" s="156">
        <v>136</v>
      </c>
      <c r="K42" s="156">
        <v>143</v>
      </c>
      <c r="L42" s="156">
        <v>0</v>
      </c>
      <c r="M42" s="366">
        <f t="shared" si="0"/>
        <v>0</v>
      </c>
      <c r="N42" s="156">
        <v>14</v>
      </c>
      <c r="O42" s="357">
        <f t="shared" si="1"/>
        <v>5.0179211469534053</v>
      </c>
      <c r="P42" s="156">
        <v>26</v>
      </c>
      <c r="Q42" s="156"/>
      <c r="R42" s="81" t="s">
        <v>2004</v>
      </c>
      <c r="S42" s="83" t="s">
        <v>1269</v>
      </c>
      <c r="T42" s="160"/>
      <c r="U42" s="83"/>
      <c r="V42" s="85"/>
      <c r="W42" s="159"/>
      <c r="X42" s="159"/>
      <c r="Y42" s="159"/>
      <c r="Z42" s="159"/>
      <c r="AA42" s="159"/>
      <c r="AB42" s="81" t="s">
        <v>37</v>
      </c>
      <c r="AC42" s="83">
        <v>11</v>
      </c>
      <c r="AD42" s="157" t="s">
        <v>48</v>
      </c>
      <c r="AE42" s="177">
        <v>24.7196</v>
      </c>
      <c r="AF42" s="82">
        <v>76.896500000000003</v>
      </c>
    </row>
    <row r="43" spans="1:32">
      <c r="A43" s="61">
        <v>33</v>
      </c>
      <c r="B43" s="62" t="s">
        <v>33</v>
      </c>
      <c r="C43" s="62" t="s">
        <v>2001</v>
      </c>
      <c r="D43" s="62" t="s">
        <v>2055</v>
      </c>
      <c r="E43" s="62" t="s">
        <v>2070</v>
      </c>
      <c r="F43" s="62" t="s">
        <v>2071</v>
      </c>
      <c r="G43" s="156">
        <v>1164</v>
      </c>
      <c r="H43" s="156">
        <v>86</v>
      </c>
      <c r="I43" s="156">
        <v>420</v>
      </c>
      <c r="J43" s="156">
        <v>226</v>
      </c>
      <c r="K43" s="156">
        <v>194</v>
      </c>
      <c r="L43" s="156">
        <v>119</v>
      </c>
      <c r="M43" s="366">
        <f t="shared" si="0"/>
        <v>28.333333333333332</v>
      </c>
      <c r="N43" s="156">
        <v>81</v>
      </c>
      <c r="O43" s="357">
        <f t="shared" si="1"/>
        <v>19.285714285714288</v>
      </c>
      <c r="P43" s="156">
        <v>0</v>
      </c>
      <c r="Q43" s="156"/>
      <c r="R43" s="81" t="s">
        <v>2004</v>
      </c>
      <c r="S43" s="83" t="s">
        <v>1269</v>
      </c>
      <c r="T43" s="160"/>
      <c r="U43" s="85"/>
      <c r="V43" s="85"/>
      <c r="W43" s="159"/>
      <c r="X43" s="159"/>
      <c r="Y43" s="159"/>
      <c r="Z43" s="159"/>
      <c r="AA43" s="159"/>
      <c r="AB43" s="81" t="s">
        <v>37</v>
      </c>
      <c r="AC43" s="83">
        <v>16</v>
      </c>
      <c r="AD43" s="157" t="s">
        <v>48</v>
      </c>
      <c r="AE43" s="175"/>
    </row>
    <row r="44" spans="1:32">
      <c r="A44" s="61">
        <v>34</v>
      </c>
      <c r="B44" s="62" t="s">
        <v>33</v>
      </c>
      <c r="C44" s="62" t="s">
        <v>2001</v>
      </c>
      <c r="D44" s="63" t="s">
        <v>2072</v>
      </c>
      <c r="E44" s="63" t="s">
        <v>2073</v>
      </c>
      <c r="F44" s="62" t="s">
        <v>2074</v>
      </c>
      <c r="G44" s="156">
        <v>647.1</v>
      </c>
      <c r="H44" s="156">
        <v>266</v>
      </c>
      <c r="I44" s="156">
        <v>1276</v>
      </c>
      <c r="J44" s="156">
        <v>651</v>
      </c>
      <c r="K44" s="156">
        <v>625</v>
      </c>
      <c r="L44" s="156">
        <v>229</v>
      </c>
      <c r="M44" s="366">
        <f t="shared" si="0"/>
        <v>17.946708463949843</v>
      </c>
      <c r="N44" s="156">
        <v>183</v>
      </c>
      <c r="O44" s="357">
        <f t="shared" si="1"/>
        <v>14.341692789968652</v>
      </c>
      <c r="P44" s="156">
        <v>19</v>
      </c>
      <c r="Q44" s="156"/>
      <c r="R44" s="81" t="s">
        <v>2004</v>
      </c>
      <c r="S44" s="83" t="s">
        <v>1269</v>
      </c>
      <c r="T44" s="160"/>
      <c r="U44" s="83"/>
      <c r="V44" s="85"/>
      <c r="W44" s="159"/>
      <c r="X44" s="159"/>
      <c r="Y44" s="159"/>
      <c r="Z44" s="159"/>
      <c r="AA44" s="159"/>
      <c r="AB44" s="81" t="s">
        <v>37</v>
      </c>
      <c r="AC44" s="83">
        <v>16</v>
      </c>
      <c r="AD44" s="157" t="s">
        <v>48</v>
      </c>
      <c r="AE44" s="175"/>
    </row>
    <row r="45" spans="1:32">
      <c r="A45" s="61">
        <v>35</v>
      </c>
      <c r="B45" s="62" t="s">
        <v>33</v>
      </c>
      <c r="C45" s="62" t="s">
        <v>2001</v>
      </c>
      <c r="D45" s="62" t="s">
        <v>2072</v>
      </c>
      <c r="E45" s="62" t="s">
        <v>2075</v>
      </c>
      <c r="F45" s="62" t="s">
        <v>2076</v>
      </c>
      <c r="G45" s="156">
        <v>250.13</v>
      </c>
      <c r="H45" s="156">
        <v>137</v>
      </c>
      <c r="I45" s="156">
        <v>617</v>
      </c>
      <c r="J45" s="156">
        <v>346</v>
      </c>
      <c r="K45" s="156">
        <v>271</v>
      </c>
      <c r="L45" s="156">
        <v>4</v>
      </c>
      <c r="M45" s="366">
        <f t="shared" si="0"/>
        <v>0.64829821717990277</v>
      </c>
      <c r="N45" s="156">
        <v>212</v>
      </c>
      <c r="O45" s="357">
        <f t="shared" si="1"/>
        <v>34.359805510534848</v>
      </c>
      <c r="P45" s="156">
        <v>17.04</v>
      </c>
      <c r="Q45" s="156"/>
      <c r="R45" s="81" t="s">
        <v>2004</v>
      </c>
      <c r="S45" s="83" t="s">
        <v>1269</v>
      </c>
      <c r="T45" s="160"/>
      <c r="U45" s="83">
        <v>15.09</v>
      </c>
      <c r="V45" s="85"/>
      <c r="W45" s="159"/>
      <c r="X45" s="159"/>
      <c r="Y45" s="159"/>
      <c r="Z45" s="159"/>
      <c r="AA45" s="159"/>
      <c r="AB45" s="81" t="s">
        <v>37</v>
      </c>
      <c r="AC45" s="83">
        <v>0</v>
      </c>
      <c r="AD45" s="157" t="s">
        <v>48</v>
      </c>
      <c r="AE45" s="175"/>
    </row>
    <row r="46" spans="1:32">
      <c r="A46" s="61">
        <v>36</v>
      </c>
      <c r="B46" s="62" t="s">
        <v>33</v>
      </c>
      <c r="C46" s="62" t="s">
        <v>2001</v>
      </c>
      <c r="D46" s="62" t="s">
        <v>2072</v>
      </c>
      <c r="E46" s="62" t="s">
        <v>2077</v>
      </c>
      <c r="F46" s="62" t="s">
        <v>2078</v>
      </c>
      <c r="G46" s="156">
        <v>303</v>
      </c>
      <c r="H46" s="156">
        <v>148</v>
      </c>
      <c r="I46" s="156">
        <v>734</v>
      </c>
      <c r="J46" s="156">
        <v>391</v>
      </c>
      <c r="K46" s="156">
        <v>343</v>
      </c>
      <c r="L46" s="156">
        <v>244</v>
      </c>
      <c r="M46" s="366">
        <f t="shared" si="0"/>
        <v>33.242506811989102</v>
      </c>
      <c r="N46" s="156">
        <v>116</v>
      </c>
      <c r="O46" s="357">
        <f t="shared" si="1"/>
        <v>15.803814713896458</v>
      </c>
      <c r="P46" s="156">
        <v>22</v>
      </c>
      <c r="Q46" s="156"/>
      <c r="R46" s="81" t="s">
        <v>2004</v>
      </c>
      <c r="S46" s="83" t="s">
        <v>1269</v>
      </c>
      <c r="T46" s="160"/>
      <c r="U46" s="83">
        <v>28.47</v>
      </c>
      <c r="V46" s="85"/>
      <c r="W46" s="159"/>
      <c r="X46" s="159"/>
      <c r="Y46" s="159"/>
      <c r="Z46" s="159"/>
      <c r="AA46" s="159"/>
      <c r="AB46" s="81" t="s">
        <v>37</v>
      </c>
      <c r="AC46" s="83">
        <v>21</v>
      </c>
      <c r="AD46" s="157" t="s">
        <v>48</v>
      </c>
      <c r="AE46" s="175"/>
    </row>
    <row r="47" spans="1:32">
      <c r="A47" s="61">
        <v>37</v>
      </c>
      <c r="B47" s="62" t="s">
        <v>33</v>
      </c>
      <c r="C47" s="62" t="s">
        <v>2001</v>
      </c>
      <c r="D47" s="62" t="s">
        <v>2072</v>
      </c>
      <c r="E47" s="62" t="s">
        <v>2079</v>
      </c>
      <c r="F47" s="62" t="s">
        <v>2080</v>
      </c>
      <c r="G47" s="156">
        <v>350.22</v>
      </c>
      <c r="H47" s="156">
        <v>316</v>
      </c>
      <c r="I47" s="156">
        <v>1367</v>
      </c>
      <c r="J47" s="156">
        <v>650</v>
      </c>
      <c r="K47" s="156">
        <v>717</v>
      </c>
      <c r="L47" s="156">
        <v>1361</v>
      </c>
      <c r="M47" s="366">
        <f t="shared" si="0"/>
        <v>99.561082662765173</v>
      </c>
      <c r="N47" s="156">
        <v>0</v>
      </c>
      <c r="O47" s="357">
        <f t="shared" si="1"/>
        <v>0</v>
      </c>
      <c r="P47" s="156">
        <v>60.05</v>
      </c>
      <c r="Q47" s="156"/>
      <c r="R47" s="81" t="s">
        <v>2004</v>
      </c>
      <c r="S47" s="83" t="s">
        <v>1269</v>
      </c>
      <c r="T47" s="160"/>
      <c r="U47" s="83">
        <v>71.47</v>
      </c>
      <c r="V47" s="85"/>
      <c r="W47" s="159"/>
      <c r="X47" s="159"/>
      <c r="Y47" s="159"/>
      <c r="Z47" s="159"/>
      <c r="AA47" s="159"/>
      <c r="AB47" s="81" t="s">
        <v>37</v>
      </c>
      <c r="AC47" s="83">
        <v>14</v>
      </c>
      <c r="AD47" s="157" t="s">
        <v>48</v>
      </c>
      <c r="AE47" s="175"/>
      <c r="AF47" s="65"/>
    </row>
    <row r="48" spans="1:32">
      <c r="A48" s="61" t="s">
        <v>51</v>
      </c>
      <c r="B48" s="62" t="s">
        <v>33</v>
      </c>
      <c r="C48" s="62" t="s">
        <v>2001</v>
      </c>
      <c r="D48" s="62" t="s">
        <v>2072</v>
      </c>
      <c r="E48" s="62" t="s">
        <v>2079</v>
      </c>
      <c r="F48" s="62"/>
      <c r="G48" s="156"/>
      <c r="H48" s="156"/>
      <c r="I48" s="156"/>
      <c r="J48" s="156"/>
      <c r="K48" s="156"/>
      <c r="L48" s="156"/>
      <c r="M48" s="366"/>
      <c r="N48" s="156"/>
      <c r="O48" s="357"/>
      <c r="P48" s="156"/>
      <c r="Q48" s="156"/>
      <c r="R48" s="81"/>
      <c r="S48" s="83"/>
      <c r="T48" s="160"/>
      <c r="U48" s="83"/>
      <c r="V48" s="85"/>
      <c r="W48" s="159"/>
      <c r="X48" s="159"/>
      <c r="Y48" s="159"/>
      <c r="Z48" s="159"/>
      <c r="AA48" s="159"/>
      <c r="AB48" s="81" t="s">
        <v>37</v>
      </c>
      <c r="AC48" s="83">
        <v>10</v>
      </c>
      <c r="AD48" s="157" t="s">
        <v>48</v>
      </c>
      <c r="AE48" s="174">
        <v>24.857399999999998</v>
      </c>
      <c r="AF48" s="65">
        <v>76.498800000000003</v>
      </c>
    </row>
    <row r="49" spans="1:32">
      <c r="A49" s="61">
        <v>38</v>
      </c>
      <c r="B49" s="62" t="s">
        <v>33</v>
      </c>
      <c r="C49" s="62" t="s">
        <v>2001</v>
      </c>
      <c r="D49" s="62" t="s">
        <v>2072</v>
      </c>
      <c r="E49" s="62" t="s">
        <v>393</v>
      </c>
      <c r="F49" s="62" t="s">
        <v>2081</v>
      </c>
      <c r="G49" s="156">
        <v>552</v>
      </c>
      <c r="H49" s="156">
        <v>129</v>
      </c>
      <c r="I49" s="156">
        <v>654</v>
      </c>
      <c r="J49" s="156">
        <v>341</v>
      </c>
      <c r="K49" s="156">
        <v>313</v>
      </c>
      <c r="L49" s="156">
        <v>75</v>
      </c>
      <c r="M49" s="366">
        <f t="shared" si="0"/>
        <v>11.467889908256881</v>
      </c>
      <c r="N49" s="156">
        <v>19</v>
      </c>
      <c r="O49" s="357">
        <f t="shared" si="1"/>
        <v>2.90519877675841</v>
      </c>
      <c r="P49" s="156">
        <v>0</v>
      </c>
      <c r="Q49" s="156"/>
      <c r="R49" s="81" t="s">
        <v>2004</v>
      </c>
      <c r="S49" s="83" t="s">
        <v>1269</v>
      </c>
      <c r="T49" s="160"/>
      <c r="U49" s="83">
        <v>35.86</v>
      </c>
      <c r="V49" s="85"/>
      <c r="W49" s="159"/>
      <c r="X49" s="159"/>
      <c r="Y49" s="159"/>
      <c r="Z49" s="159"/>
      <c r="AA49" s="159"/>
      <c r="AB49" s="81" t="s">
        <v>37</v>
      </c>
      <c r="AC49" s="83">
        <v>24</v>
      </c>
      <c r="AD49" s="157" t="s">
        <v>48</v>
      </c>
    </row>
    <row r="50" spans="1:32">
      <c r="A50" s="61" t="s">
        <v>51</v>
      </c>
      <c r="B50" s="62" t="s">
        <v>33</v>
      </c>
      <c r="C50" s="62" t="s">
        <v>2001</v>
      </c>
      <c r="D50" s="62" t="s">
        <v>2072</v>
      </c>
      <c r="E50" s="62" t="s">
        <v>393</v>
      </c>
      <c r="F50" s="62"/>
      <c r="G50" s="156"/>
      <c r="H50" s="156"/>
      <c r="I50" s="156"/>
      <c r="J50" s="156"/>
      <c r="K50" s="156"/>
      <c r="L50" s="156"/>
      <c r="M50" s="366"/>
      <c r="N50" s="156"/>
      <c r="O50" s="357"/>
      <c r="P50" s="156"/>
      <c r="Q50" s="156"/>
      <c r="R50" s="81"/>
      <c r="S50" s="83"/>
      <c r="T50" s="160"/>
      <c r="U50" s="83"/>
      <c r="V50" s="85"/>
      <c r="W50" s="159"/>
      <c r="X50" s="159"/>
      <c r="Y50" s="159"/>
      <c r="Z50" s="159"/>
      <c r="AA50" s="159"/>
      <c r="AB50" s="81" t="s">
        <v>37</v>
      </c>
      <c r="AC50" s="83">
        <v>8</v>
      </c>
      <c r="AD50" s="157" t="s">
        <v>48</v>
      </c>
      <c r="AE50" s="174">
        <v>24.6753</v>
      </c>
      <c r="AF50" s="65">
        <v>76.891000000000005</v>
      </c>
    </row>
    <row r="51" spans="1:32">
      <c r="A51" s="61">
        <v>39</v>
      </c>
      <c r="B51" s="62" t="s">
        <v>33</v>
      </c>
      <c r="C51" s="62" t="s">
        <v>2001</v>
      </c>
      <c r="D51" s="62" t="s">
        <v>2072</v>
      </c>
      <c r="E51" s="62" t="s">
        <v>638</v>
      </c>
      <c r="F51" s="62" t="s">
        <v>2082</v>
      </c>
      <c r="G51" s="156">
        <v>438.8</v>
      </c>
      <c r="H51" s="156">
        <v>30</v>
      </c>
      <c r="I51" s="156">
        <v>152</v>
      </c>
      <c r="J51" s="156">
        <v>69</v>
      </c>
      <c r="K51" s="156">
        <v>83</v>
      </c>
      <c r="L51" s="156">
        <v>27</v>
      </c>
      <c r="M51" s="366">
        <f t="shared" si="0"/>
        <v>17.763157894736842</v>
      </c>
      <c r="N51" s="156">
        <v>16</v>
      </c>
      <c r="O51" s="357">
        <f t="shared" si="1"/>
        <v>10.526315789473683</v>
      </c>
      <c r="P51" s="156">
        <v>0</v>
      </c>
      <c r="Q51" s="156"/>
      <c r="R51" s="81" t="s">
        <v>2004</v>
      </c>
      <c r="S51" s="83" t="s">
        <v>240</v>
      </c>
      <c r="T51" s="161"/>
      <c r="U51" s="83"/>
      <c r="V51" s="85"/>
      <c r="W51" s="159"/>
      <c r="X51" s="159"/>
      <c r="Y51" s="159"/>
      <c r="Z51" s="159"/>
      <c r="AA51" s="159"/>
      <c r="AB51" s="85"/>
      <c r="AC51" s="83"/>
      <c r="AD51" s="159"/>
      <c r="AE51" s="175"/>
    </row>
    <row r="52" spans="1:32">
      <c r="A52" s="61">
        <v>40</v>
      </c>
      <c r="B52" s="62" t="s">
        <v>33</v>
      </c>
      <c r="C52" s="62" t="s">
        <v>2001</v>
      </c>
      <c r="D52" s="62" t="s">
        <v>2072</v>
      </c>
      <c r="E52" s="62" t="s">
        <v>2083</v>
      </c>
      <c r="F52" s="62" t="s">
        <v>2084</v>
      </c>
      <c r="G52" s="156">
        <v>215.15</v>
      </c>
      <c r="H52" s="156">
        <v>83</v>
      </c>
      <c r="I52" s="156">
        <v>450</v>
      </c>
      <c r="J52" s="156">
        <v>231</v>
      </c>
      <c r="K52" s="156">
        <v>219</v>
      </c>
      <c r="L52" s="156">
        <v>2</v>
      </c>
      <c r="M52" s="366">
        <f t="shared" si="0"/>
        <v>0.44444444444444442</v>
      </c>
      <c r="N52" s="156">
        <v>56</v>
      </c>
      <c r="O52" s="357">
        <f t="shared" si="1"/>
        <v>12.444444444444445</v>
      </c>
      <c r="P52" s="156">
        <v>13.02</v>
      </c>
      <c r="Q52" s="156"/>
      <c r="R52" s="81" t="s">
        <v>2004</v>
      </c>
      <c r="S52" s="83" t="s">
        <v>240</v>
      </c>
      <c r="T52" s="160"/>
      <c r="U52" s="83">
        <v>12.74</v>
      </c>
      <c r="V52" s="85"/>
      <c r="W52" s="159"/>
      <c r="X52" s="159"/>
      <c r="Y52" s="159"/>
      <c r="Z52" s="159"/>
      <c r="AA52" s="159"/>
      <c r="AB52" s="81" t="s">
        <v>37</v>
      </c>
      <c r="AC52" s="83">
        <v>10</v>
      </c>
      <c r="AD52" s="157" t="s">
        <v>48</v>
      </c>
      <c r="AE52" s="175"/>
    </row>
    <row r="53" spans="1:32">
      <c r="A53" s="61">
        <v>41</v>
      </c>
      <c r="B53" s="62" t="s">
        <v>33</v>
      </c>
      <c r="C53" s="62" t="s">
        <v>2001</v>
      </c>
      <c r="D53" s="63" t="s">
        <v>2085</v>
      </c>
      <c r="E53" s="63" t="s">
        <v>2086</v>
      </c>
      <c r="F53" s="62" t="s">
        <v>2087</v>
      </c>
      <c r="G53" s="156">
        <v>1935</v>
      </c>
      <c r="H53" s="156">
        <v>316</v>
      </c>
      <c r="I53" s="156">
        <v>1628</v>
      </c>
      <c r="J53" s="156">
        <v>815</v>
      </c>
      <c r="K53" s="156">
        <v>813</v>
      </c>
      <c r="L53" s="156">
        <v>370</v>
      </c>
      <c r="M53" s="366">
        <f t="shared" si="0"/>
        <v>22.727272727272727</v>
      </c>
      <c r="N53" s="156">
        <v>130</v>
      </c>
      <c r="O53" s="357">
        <f t="shared" si="1"/>
        <v>7.9852579852579844</v>
      </c>
      <c r="P53" s="156">
        <v>11</v>
      </c>
      <c r="Q53" s="156"/>
      <c r="R53" s="81" t="s">
        <v>2004</v>
      </c>
      <c r="S53" s="164" t="s">
        <v>240</v>
      </c>
      <c r="T53" s="160"/>
      <c r="U53" s="83"/>
      <c r="V53" s="85"/>
      <c r="W53" s="159"/>
      <c r="X53" s="159"/>
      <c r="Y53" s="159"/>
      <c r="Z53" s="159"/>
      <c r="AA53" s="159"/>
      <c r="AB53" s="81"/>
      <c r="AC53" s="83"/>
      <c r="AD53" s="159"/>
      <c r="AE53" s="175"/>
    </row>
    <row r="54" spans="1:32">
      <c r="A54" s="61">
        <v>42</v>
      </c>
      <c r="B54" s="62" t="s">
        <v>33</v>
      </c>
      <c r="C54" s="62" t="s">
        <v>2001</v>
      </c>
      <c r="D54" s="62" t="s">
        <v>2085</v>
      </c>
      <c r="E54" s="62" t="s">
        <v>671</v>
      </c>
      <c r="F54" s="62" t="s">
        <v>2088</v>
      </c>
      <c r="G54" s="156">
        <v>486</v>
      </c>
      <c r="H54" s="156">
        <v>208</v>
      </c>
      <c r="I54" s="156">
        <v>1128</v>
      </c>
      <c r="J54" s="156">
        <v>605</v>
      </c>
      <c r="K54" s="156">
        <v>523</v>
      </c>
      <c r="L54" s="156">
        <v>154</v>
      </c>
      <c r="M54" s="366">
        <f t="shared" si="0"/>
        <v>13.652482269503546</v>
      </c>
      <c r="N54" s="156">
        <v>28</v>
      </c>
      <c r="O54" s="357">
        <f t="shared" si="1"/>
        <v>2.4822695035460995</v>
      </c>
      <c r="P54" s="156">
        <v>26</v>
      </c>
      <c r="Q54" s="156"/>
      <c r="R54" s="81" t="s">
        <v>2004</v>
      </c>
      <c r="S54" s="83" t="s">
        <v>1269</v>
      </c>
      <c r="T54" s="160"/>
      <c r="U54" s="83"/>
      <c r="V54" s="85"/>
      <c r="W54" s="159"/>
      <c r="X54" s="159"/>
      <c r="Y54" s="159"/>
      <c r="Z54" s="159"/>
      <c r="AA54" s="159"/>
      <c r="AB54" s="81"/>
      <c r="AC54" s="83"/>
      <c r="AD54" s="159"/>
      <c r="AE54" s="175"/>
    </row>
    <row r="55" spans="1:32">
      <c r="A55" s="61">
        <v>43</v>
      </c>
      <c r="B55" s="62" t="s">
        <v>33</v>
      </c>
      <c r="C55" s="62" t="s">
        <v>2001</v>
      </c>
      <c r="D55" s="62" t="s">
        <v>2085</v>
      </c>
      <c r="E55" s="62" t="s">
        <v>575</v>
      </c>
      <c r="F55" s="62" t="s">
        <v>2089</v>
      </c>
      <c r="G55" s="156">
        <v>539</v>
      </c>
      <c r="H55" s="156">
        <v>147</v>
      </c>
      <c r="I55" s="156">
        <v>779</v>
      </c>
      <c r="J55" s="156">
        <v>395</v>
      </c>
      <c r="K55" s="156">
        <v>384</v>
      </c>
      <c r="L55" s="156">
        <v>377</v>
      </c>
      <c r="M55" s="366">
        <f t="shared" si="0"/>
        <v>48.395378690629009</v>
      </c>
      <c r="N55" s="156">
        <v>19</v>
      </c>
      <c r="O55" s="357">
        <f t="shared" si="1"/>
        <v>2.4390243902439024</v>
      </c>
      <c r="P55" s="156">
        <v>27</v>
      </c>
      <c r="Q55" s="156"/>
      <c r="R55" s="81" t="s">
        <v>2004</v>
      </c>
      <c r="S55" s="83" t="s">
        <v>1269</v>
      </c>
      <c r="T55" s="160"/>
      <c r="U55" s="164"/>
      <c r="V55" s="85"/>
      <c r="W55" s="159"/>
      <c r="X55" s="159"/>
      <c r="Y55" s="159"/>
      <c r="Z55" s="159"/>
      <c r="AA55" s="159"/>
      <c r="AB55" s="81"/>
      <c r="AC55" s="164"/>
      <c r="AD55" s="159"/>
      <c r="AE55" s="175"/>
    </row>
    <row r="56" spans="1:32">
      <c r="A56" s="61">
        <v>44</v>
      </c>
      <c r="B56" s="62" t="s">
        <v>33</v>
      </c>
      <c r="C56" s="62" t="s">
        <v>2001</v>
      </c>
      <c r="D56" s="62" t="s">
        <v>2085</v>
      </c>
      <c r="E56" s="62" t="s">
        <v>2090</v>
      </c>
      <c r="F56" s="62" t="s">
        <v>2091</v>
      </c>
      <c r="G56" s="156">
        <v>210</v>
      </c>
      <c r="H56" s="156">
        <v>103</v>
      </c>
      <c r="I56" s="156">
        <v>553</v>
      </c>
      <c r="J56" s="156">
        <v>291</v>
      </c>
      <c r="K56" s="156">
        <v>262</v>
      </c>
      <c r="L56" s="156">
        <v>266</v>
      </c>
      <c r="M56" s="366">
        <f t="shared" si="0"/>
        <v>48.101265822784811</v>
      </c>
      <c r="N56" s="156">
        <v>2</v>
      </c>
      <c r="O56" s="357">
        <f t="shared" si="1"/>
        <v>0.36166365280289331</v>
      </c>
      <c r="P56" s="156">
        <v>23</v>
      </c>
      <c r="Q56" s="156"/>
      <c r="R56" s="81" t="s">
        <v>2004</v>
      </c>
      <c r="S56" s="83" t="s">
        <v>1269</v>
      </c>
      <c r="T56" s="160"/>
      <c r="U56" s="83">
        <v>12.1279</v>
      </c>
      <c r="V56" s="85"/>
      <c r="W56" s="159"/>
      <c r="X56" s="159"/>
      <c r="Y56" s="159"/>
      <c r="Z56" s="159"/>
      <c r="AA56" s="159"/>
      <c r="AB56" s="81" t="s">
        <v>37</v>
      </c>
      <c r="AC56" s="83">
        <v>11</v>
      </c>
      <c r="AD56" s="157" t="s">
        <v>48</v>
      </c>
      <c r="AE56" s="175"/>
    </row>
    <row r="57" spans="1:32">
      <c r="A57" s="61">
        <v>45</v>
      </c>
      <c r="B57" s="62" t="s">
        <v>33</v>
      </c>
      <c r="C57" s="62" t="s">
        <v>2001</v>
      </c>
      <c r="D57" s="62" t="s">
        <v>2085</v>
      </c>
      <c r="E57" s="62" t="s">
        <v>2092</v>
      </c>
      <c r="F57" s="62" t="s">
        <v>2093</v>
      </c>
      <c r="G57" s="156">
        <v>235</v>
      </c>
      <c r="H57" s="156">
        <v>33</v>
      </c>
      <c r="I57" s="156">
        <v>180</v>
      </c>
      <c r="J57" s="156">
        <v>96</v>
      </c>
      <c r="K57" s="156">
        <v>84</v>
      </c>
      <c r="L57" s="156">
        <v>0</v>
      </c>
      <c r="M57" s="366">
        <f t="shared" si="0"/>
        <v>0</v>
      </c>
      <c r="N57" s="156">
        <v>3</v>
      </c>
      <c r="O57" s="357">
        <f t="shared" si="1"/>
        <v>1.6666666666666667</v>
      </c>
      <c r="P57" s="156">
        <v>0</v>
      </c>
      <c r="Q57" s="156"/>
      <c r="R57" s="81" t="s">
        <v>2004</v>
      </c>
      <c r="S57" s="83" t="s">
        <v>240</v>
      </c>
      <c r="T57" s="160"/>
      <c r="U57" s="83"/>
      <c r="V57" s="85"/>
      <c r="W57" s="159"/>
      <c r="X57" s="159"/>
      <c r="Y57" s="159"/>
      <c r="Z57" s="159"/>
      <c r="AA57" s="159"/>
      <c r="AB57" s="81"/>
      <c r="AC57" s="83"/>
      <c r="AD57" s="159"/>
      <c r="AE57" s="175"/>
    </row>
    <row r="58" spans="1:32">
      <c r="A58" s="61">
        <v>46</v>
      </c>
      <c r="B58" s="62" t="s">
        <v>33</v>
      </c>
      <c r="C58" s="62" t="s">
        <v>2001</v>
      </c>
      <c r="D58" s="62" t="s">
        <v>2085</v>
      </c>
      <c r="E58" s="62" t="s">
        <v>2094</v>
      </c>
      <c r="F58" s="62" t="s">
        <v>2095</v>
      </c>
      <c r="G58" s="156">
        <v>227</v>
      </c>
      <c r="H58" s="156">
        <v>37</v>
      </c>
      <c r="I58" s="156">
        <v>216</v>
      </c>
      <c r="J58" s="156">
        <v>113</v>
      </c>
      <c r="K58" s="156">
        <v>103</v>
      </c>
      <c r="L58" s="156">
        <v>37</v>
      </c>
      <c r="M58" s="366">
        <f t="shared" si="0"/>
        <v>17.12962962962963</v>
      </c>
      <c r="N58" s="156">
        <v>86</v>
      </c>
      <c r="O58" s="357">
        <f t="shared" si="1"/>
        <v>39.814814814814817</v>
      </c>
      <c r="P58" s="156">
        <v>0</v>
      </c>
      <c r="Q58" s="156"/>
      <c r="R58" s="81" t="s">
        <v>2004</v>
      </c>
      <c r="S58" s="83" t="s">
        <v>1269</v>
      </c>
      <c r="T58" s="160"/>
      <c r="U58" s="83"/>
      <c r="V58" s="85"/>
      <c r="W58" s="159"/>
      <c r="X58" s="159"/>
      <c r="Y58" s="159"/>
      <c r="Z58" s="159"/>
      <c r="AA58" s="159"/>
      <c r="AB58" s="81"/>
      <c r="AC58" s="83"/>
      <c r="AD58" s="159"/>
      <c r="AE58" s="175"/>
    </row>
    <row r="59" spans="1:32">
      <c r="A59" s="61">
        <v>47</v>
      </c>
      <c r="B59" s="62" t="s">
        <v>33</v>
      </c>
      <c r="C59" s="62" t="s">
        <v>2001</v>
      </c>
      <c r="D59" s="62" t="s">
        <v>2085</v>
      </c>
      <c r="E59" s="62" t="s">
        <v>2096</v>
      </c>
      <c r="F59" s="62" t="s">
        <v>2097</v>
      </c>
      <c r="G59" s="156">
        <v>341</v>
      </c>
      <c r="H59" s="156">
        <v>88</v>
      </c>
      <c r="I59" s="156">
        <v>445</v>
      </c>
      <c r="J59" s="156">
        <v>233</v>
      </c>
      <c r="K59" s="156">
        <v>212</v>
      </c>
      <c r="L59" s="156">
        <v>40</v>
      </c>
      <c r="M59" s="366">
        <f t="shared" si="0"/>
        <v>8.9887640449438209</v>
      </c>
      <c r="N59" s="156">
        <v>155</v>
      </c>
      <c r="O59" s="357">
        <f t="shared" si="1"/>
        <v>34.831460674157306</v>
      </c>
      <c r="P59" s="156">
        <v>8</v>
      </c>
      <c r="Q59" s="156"/>
      <c r="R59" s="81" t="s">
        <v>2004</v>
      </c>
      <c r="S59" s="83" t="s">
        <v>1269</v>
      </c>
      <c r="T59" s="161"/>
      <c r="U59" s="83"/>
      <c r="V59" s="85"/>
      <c r="W59" s="159"/>
      <c r="X59" s="159"/>
      <c r="Y59" s="159"/>
      <c r="Z59" s="159"/>
      <c r="AA59" s="159"/>
      <c r="AB59" s="81"/>
      <c r="AC59" s="83"/>
      <c r="AD59" s="159"/>
      <c r="AE59" s="175"/>
    </row>
    <row r="60" spans="1:32">
      <c r="A60" s="61">
        <v>48</v>
      </c>
      <c r="B60" s="62" t="s">
        <v>33</v>
      </c>
      <c r="C60" s="62" t="s">
        <v>2001</v>
      </c>
      <c r="D60" s="62" t="s">
        <v>2085</v>
      </c>
      <c r="E60" s="62" t="s">
        <v>2098</v>
      </c>
      <c r="F60" s="62" t="s">
        <v>2099</v>
      </c>
      <c r="G60" s="156">
        <v>523</v>
      </c>
      <c r="H60" s="156">
        <v>69</v>
      </c>
      <c r="I60" s="156">
        <v>363</v>
      </c>
      <c r="J60" s="156">
        <v>189</v>
      </c>
      <c r="K60" s="156">
        <v>174</v>
      </c>
      <c r="L60" s="156">
        <v>3</v>
      </c>
      <c r="M60" s="366">
        <f t="shared" si="0"/>
        <v>0.82644628099173556</v>
      </c>
      <c r="N60" s="156">
        <v>151</v>
      </c>
      <c r="O60" s="357">
        <f t="shared" si="1"/>
        <v>41.59779614325069</v>
      </c>
      <c r="P60" s="156">
        <v>0</v>
      </c>
      <c r="Q60" s="156"/>
      <c r="R60" s="81" t="s">
        <v>2004</v>
      </c>
      <c r="S60" s="83" t="s">
        <v>2100</v>
      </c>
      <c r="T60" s="161"/>
      <c r="U60" s="83"/>
      <c r="V60" s="85"/>
      <c r="W60" s="159"/>
      <c r="X60" s="159"/>
      <c r="Y60" s="159"/>
      <c r="Z60" s="159"/>
      <c r="AA60" s="159"/>
      <c r="AB60" s="81"/>
      <c r="AC60" s="83"/>
      <c r="AD60" s="159"/>
      <c r="AE60" s="175"/>
    </row>
    <row r="61" spans="1:32">
      <c r="A61" s="61">
        <v>49</v>
      </c>
      <c r="B61" s="62" t="s">
        <v>33</v>
      </c>
      <c r="C61" s="62" t="s">
        <v>2001</v>
      </c>
      <c r="D61" s="62" t="s">
        <v>2085</v>
      </c>
      <c r="E61" s="62" t="s">
        <v>2101</v>
      </c>
      <c r="F61" s="62" t="s">
        <v>2102</v>
      </c>
      <c r="G61" s="156">
        <v>663</v>
      </c>
      <c r="H61" s="156">
        <v>59</v>
      </c>
      <c r="I61" s="156">
        <v>312</v>
      </c>
      <c r="J61" s="156">
        <v>170</v>
      </c>
      <c r="K61" s="156">
        <v>142</v>
      </c>
      <c r="L61" s="156">
        <v>0</v>
      </c>
      <c r="M61" s="366">
        <f t="shared" si="0"/>
        <v>0</v>
      </c>
      <c r="N61" s="156">
        <v>33</v>
      </c>
      <c r="O61" s="357">
        <f t="shared" si="1"/>
        <v>10.576923076923077</v>
      </c>
      <c r="P61" s="156">
        <v>0</v>
      </c>
      <c r="Q61" s="156"/>
      <c r="R61" s="81" t="s">
        <v>2004</v>
      </c>
      <c r="S61" s="83" t="s">
        <v>2100</v>
      </c>
      <c r="T61" s="161"/>
      <c r="U61" s="83">
        <v>32.956400000000002</v>
      </c>
      <c r="V61" s="85"/>
      <c r="W61" s="159"/>
      <c r="X61" s="159"/>
      <c r="Y61" s="159"/>
      <c r="Z61" s="159"/>
      <c r="AA61" s="159"/>
      <c r="AB61" s="81" t="s">
        <v>37</v>
      </c>
      <c r="AC61" s="83">
        <v>17</v>
      </c>
      <c r="AD61" s="157" t="s">
        <v>48</v>
      </c>
      <c r="AE61" s="175"/>
    </row>
    <row r="62" spans="1:32">
      <c r="A62" s="61">
        <v>50</v>
      </c>
      <c r="B62" s="62" t="s">
        <v>33</v>
      </c>
      <c r="C62" s="62" t="s">
        <v>2001</v>
      </c>
      <c r="D62" s="63" t="s">
        <v>2103</v>
      </c>
      <c r="E62" s="63" t="s">
        <v>515</v>
      </c>
      <c r="F62" s="62" t="s">
        <v>2104</v>
      </c>
      <c r="G62" s="156">
        <v>856</v>
      </c>
      <c r="H62" s="156">
        <v>254</v>
      </c>
      <c r="I62" s="156">
        <v>1264</v>
      </c>
      <c r="J62" s="156">
        <v>664</v>
      </c>
      <c r="K62" s="156">
        <v>600</v>
      </c>
      <c r="L62" s="156">
        <v>168</v>
      </c>
      <c r="M62" s="366">
        <f t="shared" si="0"/>
        <v>13.291139240506327</v>
      </c>
      <c r="N62" s="156">
        <v>0</v>
      </c>
      <c r="O62" s="357">
        <f t="shared" si="1"/>
        <v>0</v>
      </c>
      <c r="P62" s="156">
        <v>35</v>
      </c>
      <c r="Q62" s="156"/>
      <c r="R62" s="81" t="s">
        <v>2004</v>
      </c>
      <c r="S62" s="83" t="s">
        <v>2100</v>
      </c>
      <c r="T62" s="161"/>
      <c r="U62" s="83">
        <v>36.105400000000003</v>
      </c>
      <c r="V62" s="85"/>
      <c r="W62" s="159"/>
      <c r="X62" s="159"/>
      <c r="Y62" s="159"/>
      <c r="Z62" s="159"/>
      <c r="AA62" s="159"/>
      <c r="AB62" s="81" t="s">
        <v>37</v>
      </c>
      <c r="AC62" s="83">
        <v>4</v>
      </c>
      <c r="AD62" s="157" t="s">
        <v>48</v>
      </c>
      <c r="AE62" s="175"/>
      <c r="AF62" s="65"/>
    </row>
    <row r="63" spans="1:32">
      <c r="A63" s="61" t="s">
        <v>51</v>
      </c>
      <c r="B63" s="62" t="s">
        <v>33</v>
      </c>
      <c r="C63" s="62" t="s">
        <v>2001</v>
      </c>
      <c r="D63" s="63" t="s">
        <v>2103</v>
      </c>
      <c r="E63" s="63" t="s">
        <v>515</v>
      </c>
      <c r="F63" s="62"/>
      <c r="G63" s="156"/>
      <c r="H63" s="156"/>
      <c r="I63" s="156"/>
      <c r="J63" s="156"/>
      <c r="K63" s="156"/>
      <c r="L63" s="156"/>
      <c r="M63" s="366"/>
      <c r="N63" s="156"/>
      <c r="O63" s="357"/>
      <c r="P63" s="156"/>
      <c r="Q63" s="156"/>
      <c r="R63" s="81"/>
      <c r="S63" s="83"/>
      <c r="T63" s="161"/>
      <c r="U63" s="83"/>
      <c r="V63" s="85"/>
      <c r="W63" s="159"/>
      <c r="X63" s="159"/>
      <c r="Y63" s="159"/>
      <c r="Z63" s="159"/>
      <c r="AA63" s="159"/>
      <c r="AB63" s="81" t="s">
        <v>37</v>
      </c>
      <c r="AC63" s="83">
        <v>11</v>
      </c>
      <c r="AD63" s="157" t="s">
        <v>48</v>
      </c>
      <c r="AE63" s="174">
        <v>24.559200000000001</v>
      </c>
      <c r="AF63" s="65">
        <v>77.005799999999994</v>
      </c>
    </row>
    <row r="64" spans="1:32">
      <c r="A64" s="61">
        <v>51</v>
      </c>
      <c r="B64" s="62" t="s">
        <v>33</v>
      </c>
      <c r="C64" s="62" t="s">
        <v>2001</v>
      </c>
      <c r="D64" s="62" t="s">
        <v>2103</v>
      </c>
      <c r="E64" s="62" t="s">
        <v>2105</v>
      </c>
      <c r="F64" s="62" t="s">
        <v>2106</v>
      </c>
      <c r="G64" s="156">
        <v>856</v>
      </c>
      <c r="H64" s="156">
        <v>166</v>
      </c>
      <c r="I64" s="156">
        <v>793</v>
      </c>
      <c r="J64" s="156">
        <v>400</v>
      </c>
      <c r="K64" s="156">
        <v>393</v>
      </c>
      <c r="L64" s="156">
        <v>136</v>
      </c>
      <c r="M64" s="366">
        <f t="shared" si="0"/>
        <v>17.150063051702396</v>
      </c>
      <c r="N64" s="156">
        <v>0</v>
      </c>
      <c r="O64" s="357">
        <f t="shared" si="1"/>
        <v>0</v>
      </c>
      <c r="P64" s="156">
        <v>30</v>
      </c>
      <c r="Q64" s="156"/>
      <c r="R64" s="81" t="s">
        <v>2004</v>
      </c>
      <c r="S64" s="83" t="s">
        <v>2100</v>
      </c>
      <c r="T64" s="161"/>
      <c r="U64" s="83">
        <v>30.5031</v>
      </c>
      <c r="V64" s="85"/>
      <c r="W64" s="159"/>
      <c r="X64" s="159"/>
      <c r="Y64" s="159"/>
      <c r="Z64" s="159"/>
      <c r="AA64" s="159"/>
      <c r="AB64" s="81" t="s">
        <v>37</v>
      </c>
      <c r="AC64" s="83">
        <v>4</v>
      </c>
      <c r="AD64" s="157" t="s">
        <v>48</v>
      </c>
      <c r="AE64" s="175"/>
    </row>
    <row r="65" spans="1:32">
      <c r="A65" s="61" t="s">
        <v>51</v>
      </c>
      <c r="B65" s="62" t="s">
        <v>33</v>
      </c>
      <c r="C65" s="62" t="s">
        <v>2001</v>
      </c>
      <c r="D65" s="62" t="s">
        <v>2103</v>
      </c>
      <c r="E65" s="62" t="s">
        <v>2105</v>
      </c>
      <c r="F65" s="62"/>
      <c r="G65" s="156"/>
      <c r="H65" s="156"/>
      <c r="I65" s="156"/>
      <c r="J65" s="156"/>
      <c r="K65" s="156"/>
      <c r="L65" s="156"/>
      <c r="M65" s="366"/>
      <c r="N65" s="156"/>
      <c r="O65" s="357"/>
      <c r="P65" s="156"/>
      <c r="Q65" s="156"/>
      <c r="R65" s="81"/>
      <c r="S65" s="83"/>
      <c r="T65" s="161"/>
      <c r="U65" s="83"/>
      <c r="V65" s="85"/>
      <c r="W65" s="159"/>
      <c r="X65" s="159"/>
      <c r="Y65" s="159"/>
      <c r="Z65" s="159"/>
      <c r="AA65" s="159"/>
      <c r="AB65" s="81" t="s">
        <v>37</v>
      </c>
      <c r="AC65" s="83">
        <v>8</v>
      </c>
      <c r="AD65" s="157" t="s">
        <v>48</v>
      </c>
      <c r="AE65" s="175"/>
    </row>
    <row r="66" spans="1:32">
      <c r="A66" s="61">
        <v>52</v>
      </c>
      <c r="B66" s="62" t="s">
        <v>33</v>
      </c>
      <c r="C66" s="62" t="s">
        <v>2001</v>
      </c>
      <c r="D66" s="62" t="s">
        <v>2103</v>
      </c>
      <c r="E66" s="62" t="s">
        <v>243</v>
      </c>
      <c r="F66" s="62" t="s">
        <v>2107</v>
      </c>
      <c r="G66" s="156">
        <v>586</v>
      </c>
      <c r="H66" s="156">
        <v>136</v>
      </c>
      <c r="I66" s="156">
        <v>663</v>
      </c>
      <c r="J66" s="156">
        <v>330</v>
      </c>
      <c r="K66" s="156">
        <v>333</v>
      </c>
      <c r="L66" s="156">
        <v>109</v>
      </c>
      <c r="M66" s="366">
        <f t="shared" si="0"/>
        <v>16.440422322775262</v>
      </c>
      <c r="N66" s="156">
        <v>0</v>
      </c>
      <c r="O66" s="357">
        <f t="shared" si="1"/>
        <v>0</v>
      </c>
      <c r="P66" s="156">
        <v>13</v>
      </c>
      <c r="Q66" s="156"/>
      <c r="R66" s="81" t="s">
        <v>2004</v>
      </c>
      <c r="S66" s="83" t="s">
        <v>37</v>
      </c>
      <c r="T66" s="161"/>
      <c r="U66" s="83">
        <v>14.4802</v>
      </c>
      <c r="V66" s="85"/>
      <c r="W66" s="159"/>
      <c r="X66" s="159"/>
      <c r="Y66" s="159"/>
      <c r="Z66" s="159"/>
      <c r="AA66" s="159"/>
      <c r="AB66" s="81" t="s">
        <v>37</v>
      </c>
      <c r="AC66" s="83">
        <v>3</v>
      </c>
      <c r="AD66" s="157" t="s">
        <v>48</v>
      </c>
      <c r="AE66" s="175"/>
      <c r="AF66" s="65"/>
    </row>
    <row r="67" spans="1:32">
      <c r="A67" s="61">
        <v>53</v>
      </c>
      <c r="B67" s="62" t="s">
        <v>33</v>
      </c>
      <c r="C67" s="62" t="s">
        <v>2001</v>
      </c>
      <c r="D67" s="62" t="s">
        <v>2103</v>
      </c>
      <c r="E67" s="62" t="s">
        <v>2108</v>
      </c>
      <c r="F67" s="62" t="s">
        <v>2109</v>
      </c>
      <c r="G67" s="156">
        <v>319</v>
      </c>
      <c r="H67" s="156">
        <v>132</v>
      </c>
      <c r="I67" s="156">
        <v>563</v>
      </c>
      <c r="J67" s="156">
        <v>297</v>
      </c>
      <c r="K67" s="156">
        <v>266</v>
      </c>
      <c r="L67" s="156">
        <v>15</v>
      </c>
      <c r="M67" s="366">
        <f t="shared" si="0"/>
        <v>2.6642984014209592</v>
      </c>
      <c r="N67" s="156">
        <v>0</v>
      </c>
      <c r="O67" s="357">
        <f t="shared" si="1"/>
        <v>0</v>
      </c>
      <c r="P67" s="156">
        <v>0</v>
      </c>
      <c r="Q67" s="156"/>
      <c r="R67" s="81" t="s">
        <v>2004</v>
      </c>
      <c r="S67" s="83" t="s">
        <v>2100</v>
      </c>
      <c r="T67" s="161"/>
      <c r="U67" s="83"/>
      <c r="V67" s="85"/>
      <c r="W67" s="159"/>
      <c r="X67" s="159"/>
      <c r="Y67" s="159"/>
      <c r="Z67" s="159"/>
      <c r="AA67" s="159"/>
      <c r="AB67" s="85"/>
      <c r="AC67" s="83"/>
      <c r="AD67" s="159"/>
      <c r="AE67" s="175"/>
    </row>
    <row r="68" spans="1:32">
      <c r="A68" s="61">
        <v>54</v>
      </c>
      <c r="B68" s="62" t="s">
        <v>33</v>
      </c>
      <c r="C68" s="62" t="s">
        <v>2001</v>
      </c>
      <c r="D68" s="62" t="s">
        <v>2103</v>
      </c>
      <c r="E68" s="62" t="s">
        <v>2110</v>
      </c>
      <c r="F68" s="62" t="s">
        <v>2111</v>
      </c>
      <c r="G68" s="156">
        <v>703</v>
      </c>
      <c r="H68" s="156">
        <v>218</v>
      </c>
      <c r="I68" s="156">
        <v>1028</v>
      </c>
      <c r="J68" s="156">
        <v>554</v>
      </c>
      <c r="K68" s="156">
        <v>474</v>
      </c>
      <c r="L68" s="156">
        <v>132</v>
      </c>
      <c r="M68" s="366">
        <f t="shared" si="0"/>
        <v>12.840466926070038</v>
      </c>
      <c r="N68" s="156">
        <v>22</v>
      </c>
      <c r="O68" s="357">
        <f t="shared" si="1"/>
        <v>2.1400778210116731</v>
      </c>
      <c r="P68" s="156">
        <v>81</v>
      </c>
      <c r="Q68" s="156"/>
      <c r="R68" s="81" t="s">
        <v>2004</v>
      </c>
      <c r="S68" s="83" t="s">
        <v>37</v>
      </c>
      <c r="T68" s="161"/>
      <c r="U68" s="165"/>
      <c r="V68" s="85"/>
      <c r="W68" s="159"/>
      <c r="X68" s="159"/>
      <c r="Y68" s="159"/>
      <c r="Z68" s="159"/>
      <c r="AA68" s="159"/>
      <c r="AB68" s="81"/>
      <c r="AC68" s="165"/>
      <c r="AD68" s="159"/>
      <c r="AE68" s="177">
        <v>24.746200000000002</v>
      </c>
      <c r="AF68" s="82">
        <v>76.912400000000005</v>
      </c>
    </row>
    <row r="69" spans="1:32">
      <c r="A69" s="61">
        <v>55</v>
      </c>
      <c r="B69" s="62" t="s">
        <v>33</v>
      </c>
      <c r="C69" s="62" t="s">
        <v>2001</v>
      </c>
      <c r="D69" s="62" t="s">
        <v>2103</v>
      </c>
      <c r="E69" s="62" t="s">
        <v>2112</v>
      </c>
      <c r="F69" s="62" t="s">
        <v>2113</v>
      </c>
      <c r="G69" s="156">
        <v>146</v>
      </c>
      <c r="H69" s="156">
        <v>32</v>
      </c>
      <c r="I69" s="156">
        <v>127</v>
      </c>
      <c r="J69" s="156">
        <v>68</v>
      </c>
      <c r="K69" s="156">
        <v>59</v>
      </c>
      <c r="L69" s="156">
        <v>0</v>
      </c>
      <c r="M69" s="366">
        <f t="shared" ref="M69:M132" si="2">L69/I69*100</f>
        <v>0</v>
      </c>
      <c r="N69" s="156">
        <v>0</v>
      </c>
      <c r="O69" s="357">
        <f t="shared" ref="O69:O132" si="3">N69/I69*100</f>
        <v>0</v>
      </c>
      <c r="P69" s="156">
        <v>17</v>
      </c>
      <c r="Q69" s="156"/>
      <c r="R69" s="81" t="s">
        <v>2004</v>
      </c>
      <c r="S69" s="83" t="s">
        <v>37</v>
      </c>
      <c r="T69" s="161"/>
      <c r="U69" s="83">
        <v>17.780899999999999</v>
      </c>
      <c r="V69" s="85"/>
      <c r="W69" s="159"/>
      <c r="X69" s="159"/>
      <c r="Y69" s="159"/>
      <c r="Z69" s="159"/>
      <c r="AA69" s="159"/>
      <c r="AB69" s="81" t="s">
        <v>37</v>
      </c>
      <c r="AC69" s="83">
        <v>11</v>
      </c>
      <c r="AD69" s="157" t="s">
        <v>48</v>
      </c>
    </row>
    <row r="70" spans="1:32">
      <c r="A70" s="61">
        <v>56</v>
      </c>
      <c r="B70" s="62" t="s">
        <v>33</v>
      </c>
      <c r="C70" s="62" t="s">
        <v>2001</v>
      </c>
      <c r="D70" s="62" t="s">
        <v>2103</v>
      </c>
      <c r="E70" s="62" t="s">
        <v>2114</v>
      </c>
      <c r="F70" s="62" t="s">
        <v>2115</v>
      </c>
      <c r="G70" s="156">
        <v>522</v>
      </c>
      <c r="H70" s="156">
        <v>73</v>
      </c>
      <c r="I70" s="156">
        <v>396</v>
      </c>
      <c r="J70" s="156">
        <v>210</v>
      </c>
      <c r="K70" s="156">
        <v>186</v>
      </c>
      <c r="L70" s="156">
        <v>41</v>
      </c>
      <c r="M70" s="366">
        <f t="shared" si="2"/>
        <v>10.353535353535353</v>
      </c>
      <c r="N70" s="156">
        <v>38</v>
      </c>
      <c r="O70" s="357">
        <f t="shared" si="3"/>
        <v>9.5959595959595951</v>
      </c>
      <c r="P70" s="156">
        <v>23</v>
      </c>
      <c r="Q70" s="156"/>
      <c r="R70" s="81" t="s">
        <v>2004</v>
      </c>
      <c r="S70" s="83" t="s">
        <v>1269</v>
      </c>
      <c r="T70" s="163"/>
      <c r="U70" s="165"/>
      <c r="V70" s="85"/>
      <c r="W70" s="159"/>
      <c r="X70" s="159"/>
      <c r="Y70" s="159"/>
      <c r="Z70" s="159"/>
      <c r="AA70" s="159"/>
      <c r="AB70" s="85"/>
      <c r="AC70" s="165"/>
      <c r="AD70" s="159"/>
      <c r="AE70" s="177">
        <v>24.738900000000001</v>
      </c>
      <c r="AF70" s="82">
        <v>76.927599999999998</v>
      </c>
    </row>
    <row r="71" spans="1:32">
      <c r="A71" s="61">
        <v>57</v>
      </c>
      <c r="B71" s="62" t="s">
        <v>33</v>
      </c>
      <c r="C71" s="62" t="s">
        <v>2001</v>
      </c>
      <c r="D71" s="62" t="s">
        <v>2103</v>
      </c>
      <c r="E71" s="62" t="s">
        <v>2116</v>
      </c>
      <c r="F71" s="62" t="s">
        <v>2117</v>
      </c>
      <c r="G71" s="156">
        <v>471</v>
      </c>
      <c r="H71" s="156">
        <v>52</v>
      </c>
      <c r="I71" s="156">
        <v>324</v>
      </c>
      <c r="J71" s="156">
        <v>174</v>
      </c>
      <c r="K71" s="156">
        <v>150</v>
      </c>
      <c r="L71" s="156">
        <v>40</v>
      </c>
      <c r="M71" s="366">
        <f t="shared" si="2"/>
        <v>12.345679012345679</v>
      </c>
      <c r="N71" s="156">
        <v>54</v>
      </c>
      <c r="O71" s="357">
        <f t="shared" si="3"/>
        <v>16.666666666666664</v>
      </c>
      <c r="P71" s="156">
        <v>18</v>
      </c>
      <c r="Q71" s="156"/>
      <c r="R71" s="81" t="s">
        <v>2004</v>
      </c>
      <c r="S71" s="83" t="s">
        <v>1269</v>
      </c>
      <c r="T71" s="160"/>
      <c r="U71" s="165"/>
      <c r="V71" s="85"/>
      <c r="W71" s="159"/>
      <c r="X71" s="159"/>
      <c r="Y71" s="159"/>
      <c r="Z71" s="159"/>
      <c r="AA71" s="159"/>
      <c r="AB71" s="85"/>
      <c r="AC71" s="165"/>
      <c r="AD71" s="159"/>
      <c r="AE71" s="177">
        <v>24.754799999999999</v>
      </c>
      <c r="AF71" s="82">
        <v>76.935100000000006</v>
      </c>
    </row>
    <row r="72" spans="1:32">
      <c r="A72" s="61">
        <v>58</v>
      </c>
      <c r="B72" s="62" t="s">
        <v>33</v>
      </c>
      <c r="C72" s="62" t="s">
        <v>2001</v>
      </c>
      <c r="D72" s="63" t="s">
        <v>2118</v>
      </c>
      <c r="E72" s="63" t="s">
        <v>2119</v>
      </c>
      <c r="F72" s="62" t="s">
        <v>2120</v>
      </c>
      <c r="G72" s="156">
        <v>585.20000000000005</v>
      </c>
      <c r="H72" s="156">
        <v>302</v>
      </c>
      <c r="I72" s="156">
        <v>1378</v>
      </c>
      <c r="J72" s="156">
        <v>706</v>
      </c>
      <c r="K72" s="156">
        <v>672</v>
      </c>
      <c r="L72" s="156">
        <v>328</v>
      </c>
      <c r="M72" s="366">
        <f t="shared" si="2"/>
        <v>23.802612481857764</v>
      </c>
      <c r="N72" s="156">
        <v>141</v>
      </c>
      <c r="O72" s="357">
        <f t="shared" si="3"/>
        <v>10.2322206095791</v>
      </c>
      <c r="P72" s="156">
        <v>0</v>
      </c>
      <c r="Q72" s="156"/>
      <c r="R72" s="81" t="s">
        <v>2004</v>
      </c>
      <c r="S72" s="83" t="s">
        <v>1269</v>
      </c>
      <c r="T72" s="160"/>
      <c r="U72" s="83"/>
      <c r="V72" s="85"/>
      <c r="W72" s="159"/>
      <c r="X72" s="159"/>
      <c r="Y72" s="159"/>
      <c r="Z72" s="159"/>
      <c r="AA72" s="159"/>
      <c r="AB72" s="81"/>
      <c r="AC72" s="83"/>
      <c r="AD72" s="159"/>
      <c r="AE72" s="175"/>
    </row>
    <row r="73" spans="1:32">
      <c r="A73" s="61">
        <v>59</v>
      </c>
      <c r="B73" s="62" t="s">
        <v>33</v>
      </c>
      <c r="C73" s="62" t="s">
        <v>2001</v>
      </c>
      <c r="D73" s="62" t="s">
        <v>2118</v>
      </c>
      <c r="E73" s="62" t="s">
        <v>2121</v>
      </c>
      <c r="F73" s="62" t="s">
        <v>2122</v>
      </c>
      <c r="G73" s="156">
        <v>267</v>
      </c>
      <c r="H73" s="156">
        <v>79</v>
      </c>
      <c r="I73" s="156">
        <v>350</v>
      </c>
      <c r="J73" s="156">
        <v>186</v>
      </c>
      <c r="K73" s="156">
        <v>164</v>
      </c>
      <c r="L73" s="156">
        <v>40</v>
      </c>
      <c r="M73" s="366">
        <f t="shared" si="2"/>
        <v>11.428571428571429</v>
      </c>
      <c r="N73" s="156">
        <v>143</v>
      </c>
      <c r="O73" s="357">
        <f t="shared" si="3"/>
        <v>40.857142857142861</v>
      </c>
      <c r="P73" s="156">
        <v>19</v>
      </c>
      <c r="Q73" s="156"/>
      <c r="R73" s="81" t="s">
        <v>2004</v>
      </c>
      <c r="S73" s="83" t="s">
        <v>1269</v>
      </c>
      <c r="T73" s="160"/>
      <c r="U73" s="83">
        <v>19.0075</v>
      </c>
      <c r="V73" s="85"/>
      <c r="W73" s="159"/>
      <c r="X73" s="159"/>
      <c r="Y73" s="159"/>
      <c r="Z73" s="159"/>
      <c r="AA73" s="159"/>
      <c r="AB73" s="81" t="s">
        <v>37</v>
      </c>
      <c r="AC73" s="83">
        <v>14</v>
      </c>
      <c r="AD73" s="157" t="s">
        <v>48</v>
      </c>
      <c r="AE73" s="175"/>
    </row>
    <row r="74" spans="1:32">
      <c r="A74" s="61">
        <v>60</v>
      </c>
      <c r="B74" s="62" t="s">
        <v>33</v>
      </c>
      <c r="C74" s="62" t="s">
        <v>2001</v>
      </c>
      <c r="D74" s="62" t="s">
        <v>2118</v>
      </c>
      <c r="E74" s="62" t="s">
        <v>505</v>
      </c>
      <c r="F74" s="62" t="s">
        <v>2123</v>
      </c>
      <c r="G74" s="156">
        <v>523</v>
      </c>
      <c r="H74" s="156">
        <v>115</v>
      </c>
      <c r="I74" s="156">
        <v>571</v>
      </c>
      <c r="J74" s="156">
        <v>321</v>
      </c>
      <c r="K74" s="156">
        <v>250</v>
      </c>
      <c r="L74" s="156">
        <v>129</v>
      </c>
      <c r="M74" s="366">
        <f t="shared" si="2"/>
        <v>22.591943957968478</v>
      </c>
      <c r="N74" s="156">
        <v>184</v>
      </c>
      <c r="O74" s="357">
        <f t="shared" si="3"/>
        <v>32.224168126094568</v>
      </c>
      <c r="P74" s="156">
        <v>24</v>
      </c>
      <c r="Q74" s="156"/>
      <c r="R74" s="81" t="s">
        <v>2004</v>
      </c>
      <c r="S74" s="83" t="s">
        <v>1269</v>
      </c>
      <c r="T74" s="163"/>
      <c r="U74" s="83">
        <v>27.417400000000001</v>
      </c>
      <c r="V74" s="85"/>
      <c r="W74" s="159"/>
      <c r="X74" s="159"/>
      <c r="Y74" s="159"/>
      <c r="Z74" s="159"/>
      <c r="AA74" s="159"/>
      <c r="AB74" s="81" t="s">
        <v>37</v>
      </c>
      <c r="AC74" s="83">
        <v>8</v>
      </c>
      <c r="AD74" s="157" t="s">
        <v>48</v>
      </c>
      <c r="AE74" s="175"/>
    </row>
    <row r="75" spans="1:32">
      <c r="A75" s="61">
        <v>61</v>
      </c>
      <c r="B75" s="62" t="s">
        <v>33</v>
      </c>
      <c r="C75" s="62" t="s">
        <v>2001</v>
      </c>
      <c r="D75" s="62" t="s">
        <v>2118</v>
      </c>
      <c r="E75" s="62" t="s">
        <v>2124</v>
      </c>
      <c r="F75" s="62" t="s">
        <v>2125</v>
      </c>
      <c r="G75" s="156">
        <v>311</v>
      </c>
      <c r="H75" s="156">
        <v>146</v>
      </c>
      <c r="I75" s="156">
        <v>669</v>
      </c>
      <c r="J75" s="156">
        <v>364</v>
      </c>
      <c r="K75" s="156">
        <v>305</v>
      </c>
      <c r="L75" s="156">
        <v>0</v>
      </c>
      <c r="M75" s="366">
        <f t="shared" si="2"/>
        <v>0</v>
      </c>
      <c r="N75" s="156">
        <v>303</v>
      </c>
      <c r="O75" s="357">
        <f t="shared" si="3"/>
        <v>45.291479820627799</v>
      </c>
      <c r="P75" s="156">
        <v>32</v>
      </c>
      <c r="Q75" s="156"/>
      <c r="R75" s="81" t="s">
        <v>2004</v>
      </c>
      <c r="S75" s="83" t="s">
        <v>37</v>
      </c>
      <c r="T75" s="161"/>
      <c r="U75" s="83">
        <v>39.924700000000001</v>
      </c>
      <c r="V75" s="85"/>
      <c r="W75" s="159"/>
      <c r="X75" s="159"/>
      <c r="Y75" s="159"/>
      <c r="Z75" s="159"/>
      <c r="AA75" s="159"/>
      <c r="AB75" s="81" t="s">
        <v>37</v>
      </c>
      <c r="AC75" s="83">
        <v>27</v>
      </c>
      <c r="AD75" s="157" t="s">
        <v>48</v>
      </c>
      <c r="AE75" s="175"/>
    </row>
    <row r="76" spans="1:32">
      <c r="A76" s="61">
        <v>62</v>
      </c>
      <c r="B76" s="62" t="s">
        <v>33</v>
      </c>
      <c r="C76" s="62" t="s">
        <v>2001</v>
      </c>
      <c r="D76" s="62" t="s">
        <v>2118</v>
      </c>
      <c r="E76" s="62" t="s">
        <v>2126</v>
      </c>
      <c r="F76" s="62" t="s">
        <v>2127</v>
      </c>
      <c r="G76" s="156">
        <v>258</v>
      </c>
      <c r="H76" s="156">
        <v>161</v>
      </c>
      <c r="I76" s="156">
        <v>800</v>
      </c>
      <c r="J76" s="156">
        <v>418</v>
      </c>
      <c r="K76" s="156">
        <v>382</v>
      </c>
      <c r="L76" s="156">
        <v>99</v>
      </c>
      <c r="M76" s="366">
        <f t="shared" si="2"/>
        <v>12.375</v>
      </c>
      <c r="N76" s="156">
        <v>13</v>
      </c>
      <c r="O76" s="357">
        <f t="shared" si="3"/>
        <v>1.625</v>
      </c>
      <c r="P76" s="156">
        <v>59</v>
      </c>
      <c r="Q76" s="156"/>
      <c r="R76" s="81" t="s">
        <v>2004</v>
      </c>
      <c r="S76" s="83" t="s">
        <v>2128</v>
      </c>
      <c r="T76" s="161"/>
      <c r="U76" s="83">
        <v>62.156999999999996</v>
      </c>
      <c r="V76" s="85"/>
      <c r="W76" s="159"/>
      <c r="X76" s="159"/>
      <c r="Y76" s="159"/>
      <c r="Z76" s="159"/>
      <c r="AA76" s="159"/>
      <c r="AB76" s="81" t="s">
        <v>37</v>
      </c>
      <c r="AC76" s="83">
        <v>13</v>
      </c>
      <c r="AD76" s="157" t="s">
        <v>48</v>
      </c>
      <c r="AE76" s="175"/>
    </row>
    <row r="77" spans="1:32">
      <c r="A77" s="61">
        <v>63</v>
      </c>
      <c r="B77" s="62" t="s">
        <v>33</v>
      </c>
      <c r="C77" s="62" t="s">
        <v>2001</v>
      </c>
      <c r="D77" s="62" t="s">
        <v>2118</v>
      </c>
      <c r="E77" s="62" t="s">
        <v>2129</v>
      </c>
      <c r="F77" s="62" t="s">
        <v>2130</v>
      </c>
      <c r="G77" s="156">
        <v>286</v>
      </c>
      <c r="H77" s="156">
        <v>63</v>
      </c>
      <c r="I77" s="156">
        <v>363</v>
      </c>
      <c r="J77" s="156">
        <v>194</v>
      </c>
      <c r="K77" s="156">
        <v>169</v>
      </c>
      <c r="L77" s="156">
        <v>0</v>
      </c>
      <c r="M77" s="366">
        <f t="shared" si="2"/>
        <v>0</v>
      </c>
      <c r="N77" s="156">
        <v>157</v>
      </c>
      <c r="O77" s="357">
        <f t="shared" si="3"/>
        <v>43.250688705234161</v>
      </c>
      <c r="P77" s="156">
        <v>25</v>
      </c>
      <c r="Q77" s="156"/>
      <c r="R77" s="81" t="s">
        <v>2004</v>
      </c>
      <c r="S77" s="83" t="s">
        <v>2128</v>
      </c>
      <c r="T77" s="160"/>
      <c r="U77" s="83"/>
      <c r="V77" s="85"/>
      <c r="W77" s="159"/>
      <c r="X77" s="159"/>
      <c r="Y77" s="159"/>
      <c r="Z77" s="159"/>
      <c r="AA77" s="159"/>
      <c r="AB77" s="81" t="s">
        <v>37</v>
      </c>
      <c r="AC77" s="83">
        <v>10</v>
      </c>
      <c r="AD77" s="157" t="s">
        <v>48</v>
      </c>
    </row>
    <row r="78" spans="1:32">
      <c r="A78" s="61" t="s">
        <v>51</v>
      </c>
      <c r="B78" s="62" t="s">
        <v>33</v>
      </c>
      <c r="C78" s="62" t="s">
        <v>2001</v>
      </c>
      <c r="D78" s="62" t="s">
        <v>2118</v>
      </c>
      <c r="E78" s="62" t="s">
        <v>2129</v>
      </c>
      <c r="F78" s="62"/>
      <c r="G78" s="156"/>
      <c r="H78" s="156"/>
      <c r="I78" s="156"/>
      <c r="J78" s="156"/>
      <c r="K78" s="156"/>
      <c r="L78" s="156"/>
      <c r="M78" s="366"/>
      <c r="N78" s="156"/>
      <c r="O78" s="357"/>
      <c r="P78" s="156"/>
      <c r="Q78" s="156"/>
      <c r="R78" s="81"/>
      <c r="S78" s="83"/>
      <c r="T78" s="160"/>
      <c r="U78" s="83"/>
      <c r="V78" s="85"/>
      <c r="W78" s="159"/>
      <c r="X78" s="159"/>
      <c r="Y78" s="159"/>
      <c r="Z78" s="159"/>
      <c r="AA78" s="159"/>
      <c r="AB78" s="81" t="s">
        <v>37</v>
      </c>
      <c r="AC78" s="83">
        <v>10</v>
      </c>
      <c r="AD78" s="157" t="s">
        <v>48</v>
      </c>
      <c r="AE78" s="174">
        <v>24.6891</v>
      </c>
      <c r="AF78" s="65">
        <v>76.865399999999994</v>
      </c>
    </row>
    <row r="79" spans="1:32">
      <c r="A79" s="61">
        <v>64</v>
      </c>
      <c r="B79" s="62" t="s">
        <v>33</v>
      </c>
      <c r="C79" s="62" t="s">
        <v>2001</v>
      </c>
      <c r="D79" s="63" t="s">
        <v>2131</v>
      </c>
      <c r="E79" s="63" t="s">
        <v>2132</v>
      </c>
      <c r="F79" s="62" t="s">
        <v>2133</v>
      </c>
      <c r="G79" s="156">
        <v>778</v>
      </c>
      <c r="H79" s="156">
        <v>301</v>
      </c>
      <c r="I79" s="156">
        <v>1538</v>
      </c>
      <c r="J79" s="156">
        <v>823</v>
      </c>
      <c r="K79" s="156">
        <v>715</v>
      </c>
      <c r="L79" s="156">
        <v>101</v>
      </c>
      <c r="M79" s="366">
        <f t="shared" si="2"/>
        <v>6.5669700910273079</v>
      </c>
      <c r="N79" s="156">
        <v>355</v>
      </c>
      <c r="O79" s="357">
        <f t="shared" si="3"/>
        <v>23.081924577373211</v>
      </c>
      <c r="P79" s="156">
        <v>116</v>
      </c>
      <c r="Q79" s="156"/>
      <c r="R79" s="81" t="s">
        <v>2004</v>
      </c>
      <c r="S79" s="83" t="s">
        <v>2128</v>
      </c>
      <c r="T79" s="160"/>
      <c r="U79" s="83">
        <v>119.1032</v>
      </c>
      <c r="V79" s="85"/>
      <c r="W79" s="159"/>
      <c r="X79" s="159"/>
      <c r="Y79" s="159"/>
      <c r="Z79" s="159"/>
      <c r="AA79" s="159"/>
      <c r="AB79" s="81" t="s">
        <v>37</v>
      </c>
      <c r="AC79" s="83">
        <v>21</v>
      </c>
      <c r="AD79" s="157" t="s">
        <v>48</v>
      </c>
      <c r="AE79" s="175"/>
    </row>
    <row r="80" spans="1:32">
      <c r="A80" s="61" t="s">
        <v>51</v>
      </c>
      <c r="B80" s="62" t="s">
        <v>33</v>
      </c>
      <c r="C80" s="62" t="s">
        <v>2001</v>
      </c>
      <c r="D80" s="63" t="s">
        <v>2131</v>
      </c>
      <c r="E80" s="63" t="s">
        <v>2132</v>
      </c>
      <c r="F80" s="62"/>
      <c r="G80" s="156"/>
      <c r="H80" s="156"/>
      <c r="I80" s="156"/>
      <c r="J80" s="156"/>
      <c r="K80" s="156"/>
      <c r="L80" s="156"/>
      <c r="M80" s="366"/>
      <c r="N80" s="156"/>
      <c r="O80" s="357"/>
      <c r="P80" s="156"/>
      <c r="Q80" s="156"/>
      <c r="R80" s="81"/>
      <c r="S80" s="83"/>
      <c r="T80" s="160"/>
      <c r="U80" s="83"/>
      <c r="V80" s="85"/>
      <c r="W80" s="159"/>
      <c r="X80" s="159"/>
      <c r="Y80" s="159"/>
      <c r="Z80" s="159"/>
      <c r="AA80" s="159"/>
      <c r="AB80" s="81" t="s">
        <v>37</v>
      </c>
      <c r="AC80" s="83">
        <v>18</v>
      </c>
      <c r="AD80" s="157" t="s">
        <v>48</v>
      </c>
      <c r="AE80" s="174">
        <v>24.723600000000001</v>
      </c>
      <c r="AF80" s="65">
        <v>76.885099999999994</v>
      </c>
    </row>
    <row r="81" spans="1:32">
      <c r="A81" s="61">
        <v>65</v>
      </c>
      <c r="B81" s="62" t="s">
        <v>33</v>
      </c>
      <c r="C81" s="62" t="s">
        <v>2001</v>
      </c>
      <c r="D81" s="62" t="s">
        <v>2131</v>
      </c>
      <c r="E81" s="62" t="s">
        <v>2134</v>
      </c>
      <c r="F81" s="62" t="s">
        <v>2135</v>
      </c>
      <c r="G81" s="156">
        <v>1010.13</v>
      </c>
      <c r="H81" s="156">
        <v>328</v>
      </c>
      <c r="I81" s="156">
        <v>1796</v>
      </c>
      <c r="J81" s="156">
        <v>949</v>
      </c>
      <c r="K81" s="156">
        <v>847</v>
      </c>
      <c r="L81" s="156">
        <v>431</v>
      </c>
      <c r="M81" s="366">
        <f t="shared" si="2"/>
        <v>23.997772828507795</v>
      </c>
      <c r="N81" s="156">
        <v>28</v>
      </c>
      <c r="O81" s="357">
        <f t="shared" si="3"/>
        <v>1.5590200445434299</v>
      </c>
      <c r="P81" s="156">
        <v>0</v>
      </c>
      <c r="Q81" s="156"/>
      <c r="R81" s="81" t="s">
        <v>2004</v>
      </c>
      <c r="S81" s="83" t="s">
        <v>607</v>
      </c>
      <c r="T81" s="160"/>
      <c r="U81" s="83"/>
      <c r="V81" s="85"/>
      <c r="W81" s="159"/>
      <c r="X81" s="159"/>
      <c r="Y81" s="159"/>
      <c r="Z81" s="159"/>
      <c r="AA81" s="159"/>
      <c r="AB81" s="81" t="s">
        <v>37</v>
      </c>
      <c r="AC81" s="83">
        <v>18</v>
      </c>
      <c r="AD81" s="157" t="s">
        <v>48</v>
      </c>
      <c r="AE81" s="175"/>
    </row>
    <row r="82" spans="1:32">
      <c r="A82" s="61">
        <v>66</v>
      </c>
      <c r="B82" s="62" t="s">
        <v>33</v>
      </c>
      <c r="C82" s="62" t="s">
        <v>2001</v>
      </c>
      <c r="D82" s="62" t="s">
        <v>2131</v>
      </c>
      <c r="E82" s="62" t="s">
        <v>2136</v>
      </c>
      <c r="F82" s="62" t="s">
        <v>2137</v>
      </c>
      <c r="G82" s="156">
        <v>379</v>
      </c>
      <c r="H82" s="156">
        <v>40</v>
      </c>
      <c r="I82" s="156">
        <v>283</v>
      </c>
      <c r="J82" s="156">
        <v>155</v>
      </c>
      <c r="K82" s="156">
        <v>128</v>
      </c>
      <c r="L82" s="156">
        <v>38</v>
      </c>
      <c r="M82" s="366">
        <f t="shared" si="2"/>
        <v>13.427561837455832</v>
      </c>
      <c r="N82" s="156">
        <v>110</v>
      </c>
      <c r="O82" s="357">
        <f t="shared" si="3"/>
        <v>38.869257950530034</v>
      </c>
      <c r="P82" s="156">
        <v>18</v>
      </c>
      <c r="Q82" s="156"/>
      <c r="R82" s="81" t="s">
        <v>2004</v>
      </c>
      <c r="S82" s="83" t="s">
        <v>1097</v>
      </c>
      <c r="T82" s="160"/>
      <c r="U82" s="83">
        <v>26.1372</v>
      </c>
      <c r="V82" s="85"/>
      <c r="W82" s="159"/>
      <c r="X82" s="159"/>
      <c r="Y82" s="159"/>
      <c r="Z82" s="159"/>
      <c r="AA82" s="159"/>
      <c r="AB82" s="81"/>
      <c r="AC82" s="83"/>
      <c r="AD82" s="159"/>
      <c r="AE82" s="175"/>
    </row>
    <row r="83" spans="1:32">
      <c r="A83" s="61">
        <v>67</v>
      </c>
      <c r="B83" s="62" t="s">
        <v>33</v>
      </c>
      <c r="C83" s="62" t="s">
        <v>2001</v>
      </c>
      <c r="D83" s="63" t="s">
        <v>2138</v>
      </c>
      <c r="E83" s="63" t="s">
        <v>2139</v>
      </c>
      <c r="F83" s="62" t="s">
        <v>2140</v>
      </c>
      <c r="G83" s="156">
        <v>1492</v>
      </c>
      <c r="H83" s="156">
        <v>208</v>
      </c>
      <c r="I83" s="156">
        <v>1192</v>
      </c>
      <c r="J83" s="156">
        <v>633</v>
      </c>
      <c r="K83" s="156">
        <v>559</v>
      </c>
      <c r="L83" s="156">
        <v>308</v>
      </c>
      <c r="M83" s="366">
        <f t="shared" si="2"/>
        <v>25.838926174496645</v>
      </c>
      <c r="N83" s="156">
        <v>109</v>
      </c>
      <c r="O83" s="357">
        <f t="shared" si="3"/>
        <v>9.1442953020134237</v>
      </c>
      <c r="P83" s="156">
        <v>27</v>
      </c>
      <c r="Q83" s="156"/>
      <c r="R83" s="81" t="s">
        <v>2004</v>
      </c>
      <c r="S83" s="83" t="s">
        <v>37</v>
      </c>
      <c r="T83" s="160"/>
      <c r="U83" s="83">
        <v>19.076799999999999</v>
      </c>
      <c r="V83" s="85"/>
      <c r="W83" s="159"/>
      <c r="X83" s="159"/>
      <c r="Y83" s="159"/>
      <c r="Z83" s="159"/>
      <c r="AA83" s="159"/>
      <c r="AB83" s="81" t="s">
        <v>37</v>
      </c>
      <c r="AC83" s="166">
        <v>7</v>
      </c>
      <c r="AD83" s="157" t="s">
        <v>48</v>
      </c>
      <c r="AE83" s="175"/>
    </row>
    <row r="84" spans="1:32">
      <c r="A84" s="61">
        <v>68</v>
      </c>
      <c r="B84" s="62" t="s">
        <v>33</v>
      </c>
      <c r="C84" s="62" t="s">
        <v>2001</v>
      </c>
      <c r="D84" s="62" t="s">
        <v>2138</v>
      </c>
      <c r="E84" s="62" t="s">
        <v>2141</v>
      </c>
      <c r="F84" s="62" t="s">
        <v>2142</v>
      </c>
      <c r="G84" s="156">
        <v>109</v>
      </c>
      <c r="H84" s="156">
        <v>94</v>
      </c>
      <c r="I84" s="156">
        <v>566</v>
      </c>
      <c r="J84" s="156">
        <v>303</v>
      </c>
      <c r="K84" s="156">
        <v>263</v>
      </c>
      <c r="L84" s="156">
        <v>367</v>
      </c>
      <c r="M84" s="366">
        <f t="shared" si="2"/>
        <v>64.840989399293292</v>
      </c>
      <c r="N84" s="156">
        <v>42</v>
      </c>
      <c r="O84" s="357">
        <f t="shared" si="3"/>
        <v>7.4204946996466434</v>
      </c>
      <c r="P84" s="156">
        <v>25</v>
      </c>
      <c r="Q84" s="156"/>
      <c r="R84" s="81" t="s">
        <v>2004</v>
      </c>
      <c r="S84" s="83" t="s">
        <v>37</v>
      </c>
      <c r="T84" s="161"/>
      <c r="U84" s="83">
        <v>27.06</v>
      </c>
      <c r="V84" s="85"/>
      <c r="W84" s="159"/>
      <c r="X84" s="159"/>
      <c r="Y84" s="159"/>
      <c r="Z84" s="159"/>
      <c r="AA84" s="159"/>
      <c r="AB84" s="81" t="s">
        <v>37</v>
      </c>
      <c r="AC84" s="83">
        <v>13</v>
      </c>
      <c r="AD84" s="157" t="s">
        <v>48</v>
      </c>
      <c r="AE84" s="177">
        <v>24.6768</v>
      </c>
      <c r="AF84" s="82">
        <v>76.874499999999998</v>
      </c>
    </row>
    <row r="85" spans="1:32">
      <c r="A85" s="61">
        <v>69</v>
      </c>
      <c r="B85" s="62" t="s">
        <v>33</v>
      </c>
      <c r="C85" s="62" t="s">
        <v>2001</v>
      </c>
      <c r="D85" s="62" t="s">
        <v>2138</v>
      </c>
      <c r="E85" s="62" t="s">
        <v>2143</v>
      </c>
      <c r="F85" s="62" t="s">
        <v>2144</v>
      </c>
      <c r="G85" s="156">
        <v>625</v>
      </c>
      <c r="H85" s="156">
        <v>105</v>
      </c>
      <c r="I85" s="156">
        <v>668</v>
      </c>
      <c r="J85" s="156">
        <v>383</v>
      </c>
      <c r="K85" s="156">
        <v>285</v>
      </c>
      <c r="L85" s="156">
        <v>149</v>
      </c>
      <c r="M85" s="366">
        <f t="shared" si="2"/>
        <v>22.305389221556887</v>
      </c>
      <c r="N85" s="156">
        <v>22</v>
      </c>
      <c r="O85" s="357">
        <f t="shared" si="3"/>
        <v>3.293413173652695</v>
      </c>
      <c r="P85" s="156">
        <v>0</v>
      </c>
      <c r="Q85" s="156"/>
      <c r="R85" s="81" t="s">
        <v>2004</v>
      </c>
      <c r="S85" s="83" t="s">
        <v>37</v>
      </c>
      <c r="T85" s="161"/>
      <c r="U85" s="83"/>
      <c r="V85" s="85"/>
      <c r="W85" s="159"/>
      <c r="X85" s="159"/>
      <c r="Y85" s="159"/>
      <c r="Z85" s="159"/>
      <c r="AA85" s="159"/>
      <c r="AB85" s="85"/>
      <c r="AC85" s="83"/>
      <c r="AD85" s="159"/>
      <c r="AE85" s="175"/>
    </row>
    <row r="86" spans="1:32">
      <c r="A86" s="61">
        <v>70</v>
      </c>
      <c r="B86" s="62" t="s">
        <v>33</v>
      </c>
      <c r="C86" s="62" t="s">
        <v>2001</v>
      </c>
      <c r="D86" s="62" t="s">
        <v>2138</v>
      </c>
      <c r="E86" s="62" t="s">
        <v>2145</v>
      </c>
      <c r="F86" s="62" t="s">
        <v>2146</v>
      </c>
      <c r="G86" s="156">
        <v>200</v>
      </c>
      <c r="H86" s="156">
        <v>150</v>
      </c>
      <c r="I86" s="156">
        <v>657</v>
      </c>
      <c r="J86" s="156">
        <v>340</v>
      </c>
      <c r="K86" s="156">
        <v>317</v>
      </c>
      <c r="L86" s="156">
        <v>642</v>
      </c>
      <c r="M86" s="366">
        <f t="shared" si="2"/>
        <v>97.716894977168948</v>
      </c>
      <c r="N86" s="156">
        <v>4</v>
      </c>
      <c r="O86" s="357">
        <f t="shared" si="3"/>
        <v>0.60882800608828003</v>
      </c>
      <c r="P86" s="156">
        <v>16</v>
      </c>
      <c r="Q86" s="156"/>
      <c r="R86" s="81" t="s">
        <v>2004</v>
      </c>
      <c r="S86" s="83" t="s">
        <v>37</v>
      </c>
      <c r="T86" s="167"/>
      <c r="U86" s="83">
        <v>15.4</v>
      </c>
      <c r="V86" s="85"/>
      <c r="W86" s="159"/>
      <c r="X86" s="159"/>
      <c r="Y86" s="159"/>
      <c r="Z86" s="159"/>
      <c r="AA86" s="159"/>
      <c r="AB86" s="81" t="s">
        <v>37</v>
      </c>
      <c r="AC86" s="83">
        <v>9</v>
      </c>
      <c r="AD86" s="157" t="s">
        <v>48</v>
      </c>
      <c r="AE86" s="177">
        <v>24.681899999999999</v>
      </c>
      <c r="AF86" s="82">
        <v>76.881200000000007</v>
      </c>
    </row>
    <row r="87" spans="1:32">
      <c r="A87" s="61">
        <v>71</v>
      </c>
      <c r="B87" s="62" t="s">
        <v>33</v>
      </c>
      <c r="C87" s="62" t="s">
        <v>2001</v>
      </c>
      <c r="D87" s="62" t="s">
        <v>2138</v>
      </c>
      <c r="E87" s="62" t="s">
        <v>2147</v>
      </c>
      <c r="F87" s="62" t="s">
        <v>2148</v>
      </c>
      <c r="G87" s="156">
        <v>208</v>
      </c>
      <c r="H87" s="156">
        <v>92</v>
      </c>
      <c r="I87" s="156">
        <v>491</v>
      </c>
      <c r="J87" s="156">
        <v>253</v>
      </c>
      <c r="K87" s="156">
        <v>238</v>
      </c>
      <c r="L87" s="156">
        <v>345</v>
      </c>
      <c r="M87" s="366">
        <f t="shared" si="2"/>
        <v>70.264765784114061</v>
      </c>
      <c r="N87" s="156">
        <v>6</v>
      </c>
      <c r="O87" s="357">
        <f t="shared" si="3"/>
        <v>1.2219959266802443</v>
      </c>
      <c r="P87" s="156">
        <v>0</v>
      </c>
      <c r="Q87" s="156"/>
      <c r="R87" s="81" t="s">
        <v>2004</v>
      </c>
      <c r="S87" s="83" t="s">
        <v>37</v>
      </c>
      <c r="T87" s="161"/>
      <c r="U87" s="83"/>
      <c r="V87" s="85"/>
      <c r="W87" s="159"/>
      <c r="X87" s="159"/>
      <c r="Y87" s="159"/>
      <c r="Z87" s="159"/>
      <c r="AA87" s="159"/>
      <c r="AB87" s="81"/>
      <c r="AC87" s="83"/>
      <c r="AD87" s="159"/>
      <c r="AE87" s="175"/>
    </row>
    <row r="88" spans="1:32">
      <c r="A88" s="61">
        <v>72</v>
      </c>
      <c r="B88" s="62" t="s">
        <v>33</v>
      </c>
      <c r="C88" s="62" t="s">
        <v>2001</v>
      </c>
      <c r="D88" s="62" t="s">
        <v>2138</v>
      </c>
      <c r="E88" s="62" t="s">
        <v>527</v>
      </c>
      <c r="F88" s="62" t="s">
        <v>2149</v>
      </c>
      <c r="G88" s="156">
        <v>196</v>
      </c>
      <c r="H88" s="156">
        <v>9</v>
      </c>
      <c r="I88" s="156">
        <v>50</v>
      </c>
      <c r="J88" s="156">
        <v>25</v>
      </c>
      <c r="K88" s="156">
        <v>25</v>
      </c>
      <c r="L88" s="156">
        <v>50</v>
      </c>
      <c r="M88" s="366">
        <f t="shared" si="2"/>
        <v>100</v>
      </c>
      <c r="N88" s="156">
        <v>0</v>
      </c>
      <c r="O88" s="357">
        <f t="shared" si="3"/>
        <v>0</v>
      </c>
      <c r="P88" s="156">
        <v>0</v>
      </c>
      <c r="Q88" s="156"/>
      <c r="R88" s="81" t="s">
        <v>2004</v>
      </c>
      <c r="S88" s="83" t="s">
        <v>37</v>
      </c>
      <c r="T88" s="161"/>
      <c r="U88" s="83"/>
      <c r="V88" s="85"/>
      <c r="W88" s="159"/>
      <c r="X88" s="159"/>
      <c r="Y88" s="159"/>
      <c r="Z88" s="159"/>
      <c r="AA88" s="159"/>
      <c r="AB88" s="85"/>
      <c r="AC88" s="83"/>
      <c r="AD88" s="159"/>
      <c r="AE88" s="175"/>
    </row>
    <row r="89" spans="1:32">
      <c r="A89" s="61">
        <v>73</v>
      </c>
      <c r="B89" s="62" t="s">
        <v>33</v>
      </c>
      <c r="C89" s="62" t="s">
        <v>2001</v>
      </c>
      <c r="D89" s="62" t="s">
        <v>2138</v>
      </c>
      <c r="E89" s="62" t="s">
        <v>2150</v>
      </c>
      <c r="F89" s="62" t="s">
        <v>2151</v>
      </c>
      <c r="G89" s="156">
        <v>400</v>
      </c>
      <c r="H89" s="156">
        <v>87</v>
      </c>
      <c r="I89" s="156">
        <v>426</v>
      </c>
      <c r="J89" s="156">
        <v>233</v>
      </c>
      <c r="K89" s="156">
        <v>193</v>
      </c>
      <c r="L89" s="156">
        <v>13</v>
      </c>
      <c r="M89" s="366">
        <f t="shared" si="2"/>
        <v>3.051643192488263</v>
      </c>
      <c r="N89" s="156">
        <v>134</v>
      </c>
      <c r="O89" s="357">
        <f t="shared" si="3"/>
        <v>31.455399061032864</v>
      </c>
      <c r="P89" s="156">
        <v>19</v>
      </c>
      <c r="Q89" s="156"/>
      <c r="R89" s="81" t="s">
        <v>2004</v>
      </c>
      <c r="S89" s="83" t="s">
        <v>221</v>
      </c>
      <c r="T89" s="160"/>
      <c r="U89" s="83"/>
      <c r="V89" s="85"/>
      <c r="W89" s="159"/>
      <c r="X89" s="159"/>
      <c r="Y89" s="159"/>
      <c r="Z89" s="159"/>
      <c r="AA89" s="159"/>
      <c r="AB89" s="85"/>
      <c r="AC89" s="83"/>
      <c r="AD89" s="159"/>
      <c r="AE89" s="177">
        <v>24.669499999999999</v>
      </c>
      <c r="AF89" s="82">
        <v>76.868099999999998</v>
      </c>
    </row>
    <row r="90" spans="1:32">
      <c r="A90" s="61">
        <v>74</v>
      </c>
      <c r="B90" s="62" t="s">
        <v>33</v>
      </c>
      <c r="C90" s="62" t="s">
        <v>2001</v>
      </c>
      <c r="D90" s="62" t="s">
        <v>2138</v>
      </c>
      <c r="E90" s="62" t="s">
        <v>2152</v>
      </c>
      <c r="F90" s="62" t="s">
        <v>2153</v>
      </c>
      <c r="G90" s="156">
        <v>380</v>
      </c>
      <c r="H90" s="156">
        <v>19</v>
      </c>
      <c r="I90" s="156">
        <v>109</v>
      </c>
      <c r="J90" s="156">
        <v>57</v>
      </c>
      <c r="K90" s="156">
        <v>52</v>
      </c>
      <c r="L90" s="156">
        <v>20</v>
      </c>
      <c r="M90" s="366">
        <f t="shared" si="2"/>
        <v>18.348623853211009</v>
      </c>
      <c r="N90" s="156">
        <v>29</v>
      </c>
      <c r="O90" s="357">
        <f t="shared" si="3"/>
        <v>26.605504587155966</v>
      </c>
      <c r="P90" s="156">
        <v>2</v>
      </c>
      <c r="Q90" s="156"/>
      <c r="R90" s="81" t="s">
        <v>2004</v>
      </c>
      <c r="S90" s="83" t="s">
        <v>1269</v>
      </c>
      <c r="T90" s="160"/>
      <c r="U90" s="83"/>
      <c r="V90" s="85"/>
      <c r="W90" s="159"/>
      <c r="X90" s="159"/>
      <c r="Y90" s="159"/>
      <c r="Z90" s="159"/>
      <c r="AA90" s="159"/>
      <c r="AB90" s="85"/>
      <c r="AC90" s="83"/>
      <c r="AD90" s="159"/>
      <c r="AE90" s="175"/>
    </row>
    <row r="91" spans="1:32">
      <c r="A91" s="61">
        <v>75</v>
      </c>
      <c r="B91" s="62" t="s">
        <v>33</v>
      </c>
      <c r="C91" s="62" t="s">
        <v>2001</v>
      </c>
      <c r="D91" s="62" t="s">
        <v>2138</v>
      </c>
      <c r="E91" s="62" t="s">
        <v>1109</v>
      </c>
      <c r="F91" s="62" t="s">
        <v>2154</v>
      </c>
      <c r="G91" s="156">
        <v>257</v>
      </c>
      <c r="H91" s="156">
        <v>48</v>
      </c>
      <c r="I91" s="156">
        <v>267</v>
      </c>
      <c r="J91" s="156">
        <v>144</v>
      </c>
      <c r="K91" s="156">
        <v>123</v>
      </c>
      <c r="L91" s="156">
        <v>10</v>
      </c>
      <c r="M91" s="366">
        <f t="shared" si="2"/>
        <v>3.7453183520599254</v>
      </c>
      <c r="N91" s="156">
        <v>2</v>
      </c>
      <c r="O91" s="357">
        <f t="shared" si="3"/>
        <v>0.74906367041198507</v>
      </c>
      <c r="P91" s="156">
        <v>7</v>
      </c>
      <c r="Q91" s="156"/>
      <c r="R91" s="81" t="s">
        <v>2004</v>
      </c>
      <c r="S91" s="83" t="s">
        <v>1269</v>
      </c>
      <c r="T91" s="160"/>
      <c r="U91" s="83">
        <v>4.3567999999999998</v>
      </c>
      <c r="V91" s="85"/>
      <c r="W91" s="159"/>
      <c r="X91" s="159"/>
      <c r="Y91" s="159"/>
      <c r="Z91" s="159"/>
      <c r="AA91" s="159"/>
      <c r="AB91" s="81" t="s">
        <v>37</v>
      </c>
      <c r="AC91" s="166">
        <v>2</v>
      </c>
      <c r="AD91" s="157" t="s">
        <v>48</v>
      </c>
      <c r="AE91" s="175"/>
    </row>
    <row r="92" spans="1:32">
      <c r="A92" s="61">
        <v>76</v>
      </c>
      <c r="B92" s="62" t="s">
        <v>33</v>
      </c>
      <c r="C92" s="62" t="s">
        <v>2001</v>
      </c>
      <c r="D92" s="63" t="s">
        <v>2155</v>
      </c>
      <c r="E92" s="63" t="s">
        <v>2156</v>
      </c>
      <c r="F92" s="62" t="s">
        <v>2157</v>
      </c>
      <c r="G92" s="156">
        <v>510</v>
      </c>
      <c r="H92" s="156">
        <v>243</v>
      </c>
      <c r="I92" s="156">
        <v>1287</v>
      </c>
      <c r="J92" s="156">
        <v>676</v>
      </c>
      <c r="K92" s="156">
        <v>611</v>
      </c>
      <c r="L92" s="156">
        <v>119</v>
      </c>
      <c r="M92" s="366">
        <f t="shared" si="2"/>
        <v>9.2463092463092469</v>
      </c>
      <c r="N92" s="156">
        <v>0</v>
      </c>
      <c r="O92" s="357">
        <f t="shared" si="3"/>
        <v>0</v>
      </c>
      <c r="P92" s="156">
        <v>11</v>
      </c>
      <c r="Q92" s="156"/>
      <c r="R92" s="81" t="s">
        <v>2004</v>
      </c>
      <c r="S92" s="162" t="s">
        <v>1269</v>
      </c>
      <c r="T92" s="160"/>
      <c r="U92" s="83">
        <v>10.210000000000001</v>
      </c>
      <c r="V92" s="85"/>
      <c r="W92" s="159"/>
      <c r="X92" s="159"/>
      <c r="Y92" s="159"/>
      <c r="Z92" s="159"/>
      <c r="AA92" s="159"/>
      <c r="AB92" s="81" t="s">
        <v>37</v>
      </c>
      <c r="AC92" s="83">
        <v>19</v>
      </c>
      <c r="AD92" s="157" t="s">
        <v>48</v>
      </c>
      <c r="AE92" s="175"/>
    </row>
    <row r="93" spans="1:32">
      <c r="A93" s="61">
        <v>77</v>
      </c>
      <c r="B93" s="62" t="s">
        <v>33</v>
      </c>
      <c r="C93" s="62" t="s">
        <v>2001</v>
      </c>
      <c r="D93" s="62" t="s">
        <v>2155</v>
      </c>
      <c r="E93" s="62" t="s">
        <v>2158</v>
      </c>
      <c r="F93" s="62" t="s">
        <v>2159</v>
      </c>
      <c r="G93" s="156">
        <v>758</v>
      </c>
      <c r="H93" s="156">
        <v>238</v>
      </c>
      <c r="I93" s="156">
        <v>1237</v>
      </c>
      <c r="J93" s="156">
        <v>655</v>
      </c>
      <c r="K93" s="156">
        <v>582</v>
      </c>
      <c r="L93" s="156">
        <v>205</v>
      </c>
      <c r="M93" s="366">
        <f t="shared" si="2"/>
        <v>16.572352465642684</v>
      </c>
      <c r="N93" s="156">
        <v>0</v>
      </c>
      <c r="O93" s="357">
        <f t="shared" si="3"/>
        <v>0</v>
      </c>
      <c r="P93" s="156">
        <v>72</v>
      </c>
      <c r="Q93" s="156"/>
      <c r="R93" s="81" t="s">
        <v>2004</v>
      </c>
      <c r="S93" s="162" t="s">
        <v>1269</v>
      </c>
      <c r="T93" s="160"/>
      <c r="U93" s="83">
        <v>71.349999999999994</v>
      </c>
      <c r="V93" s="85"/>
      <c r="W93" s="159"/>
      <c r="X93" s="159"/>
      <c r="Y93" s="159"/>
      <c r="Z93" s="159"/>
      <c r="AA93" s="159"/>
      <c r="AB93" s="81" t="s">
        <v>37</v>
      </c>
      <c r="AC93" s="83">
        <v>12</v>
      </c>
      <c r="AD93" s="157" t="s">
        <v>48</v>
      </c>
      <c r="AE93" s="175"/>
    </row>
    <row r="94" spans="1:32">
      <c r="A94" s="61">
        <v>78</v>
      </c>
      <c r="B94" s="62" t="s">
        <v>33</v>
      </c>
      <c r="C94" s="62" t="s">
        <v>2001</v>
      </c>
      <c r="D94" s="62" t="s">
        <v>2155</v>
      </c>
      <c r="E94" s="62" t="s">
        <v>2160</v>
      </c>
      <c r="F94" s="62" t="s">
        <v>2161</v>
      </c>
      <c r="G94" s="156">
        <v>261</v>
      </c>
      <c r="H94" s="156">
        <v>17</v>
      </c>
      <c r="I94" s="156">
        <v>90</v>
      </c>
      <c r="J94" s="156">
        <v>51</v>
      </c>
      <c r="K94" s="156">
        <v>39</v>
      </c>
      <c r="L94" s="156">
        <v>17</v>
      </c>
      <c r="M94" s="366">
        <f t="shared" si="2"/>
        <v>18.888888888888889</v>
      </c>
      <c r="N94" s="156">
        <v>30</v>
      </c>
      <c r="O94" s="357">
        <f t="shared" si="3"/>
        <v>33.333333333333329</v>
      </c>
      <c r="P94" s="156">
        <v>26</v>
      </c>
      <c r="Q94" s="156"/>
      <c r="R94" s="81" t="s">
        <v>2004</v>
      </c>
      <c r="S94" s="162" t="s">
        <v>1269</v>
      </c>
      <c r="T94" s="160"/>
      <c r="U94" s="83"/>
      <c r="V94" s="85"/>
      <c r="W94" s="159"/>
      <c r="X94" s="159"/>
      <c r="Y94" s="159"/>
      <c r="Z94" s="159"/>
      <c r="AA94" s="159"/>
      <c r="AB94" s="81"/>
      <c r="AC94" s="83"/>
      <c r="AD94" s="159"/>
      <c r="AE94" s="175"/>
    </row>
    <row r="95" spans="1:32">
      <c r="A95" s="61">
        <v>79</v>
      </c>
      <c r="B95" s="62" t="s">
        <v>33</v>
      </c>
      <c r="C95" s="62" t="s">
        <v>2001</v>
      </c>
      <c r="D95" s="62" t="s">
        <v>2155</v>
      </c>
      <c r="E95" s="62" t="s">
        <v>2162</v>
      </c>
      <c r="F95" s="62" t="s">
        <v>2163</v>
      </c>
      <c r="G95" s="156">
        <v>176</v>
      </c>
      <c r="H95" s="156">
        <v>103</v>
      </c>
      <c r="I95" s="156">
        <v>504</v>
      </c>
      <c r="J95" s="156">
        <v>263</v>
      </c>
      <c r="K95" s="156">
        <v>241</v>
      </c>
      <c r="L95" s="156">
        <v>79</v>
      </c>
      <c r="M95" s="366">
        <f t="shared" si="2"/>
        <v>15.674603174603174</v>
      </c>
      <c r="N95" s="156">
        <v>0</v>
      </c>
      <c r="O95" s="357">
        <f t="shared" si="3"/>
        <v>0</v>
      </c>
      <c r="P95" s="156">
        <v>0</v>
      </c>
      <c r="Q95" s="156"/>
      <c r="R95" s="81" t="s">
        <v>2004</v>
      </c>
      <c r="S95" s="162" t="s">
        <v>1269</v>
      </c>
      <c r="T95" s="160"/>
      <c r="U95" s="83">
        <v>2.6</v>
      </c>
      <c r="V95" s="85"/>
      <c r="W95" s="159"/>
      <c r="X95" s="159"/>
      <c r="Y95" s="159"/>
      <c r="Z95" s="159"/>
      <c r="AA95" s="159"/>
      <c r="AB95" s="81" t="s">
        <v>37</v>
      </c>
      <c r="AC95" s="83">
        <v>12</v>
      </c>
      <c r="AD95" s="157" t="s">
        <v>48</v>
      </c>
      <c r="AE95" s="175"/>
    </row>
    <row r="96" spans="1:32">
      <c r="A96" s="61">
        <v>80</v>
      </c>
      <c r="B96" s="62" t="s">
        <v>33</v>
      </c>
      <c r="C96" s="62" t="s">
        <v>2001</v>
      </c>
      <c r="D96" s="62" t="s">
        <v>2155</v>
      </c>
      <c r="E96" s="62" t="s">
        <v>2164</v>
      </c>
      <c r="F96" s="62" t="s">
        <v>2165</v>
      </c>
      <c r="G96" s="156">
        <v>182</v>
      </c>
      <c r="H96" s="156">
        <v>64</v>
      </c>
      <c r="I96" s="156">
        <v>352</v>
      </c>
      <c r="J96" s="156">
        <v>183</v>
      </c>
      <c r="K96" s="156">
        <v>169</v>
      </c>
      <c r="L96" s="156">
        <v>0</v>
      </c>
      <c r="M96" s="366">
        <f t="shared" si="2"/>
        <v>0</v>
      </c>
      <c r="N96" s="156">
        <v>150</v>
      </c>
      <c r="O96" s="357">
        <f t="shared" si="3"/>
        <v>42.613636363636367</v>
      </c>
      <c r="P96" s="156">
        <v>27</v>
      </c>
      <c r="Q96" s="156"/>
      <c r="R96" s="81" t="s">
        <v>2004</v>
      </c>
      <c r="S96" s="162" t="s">
        <v>1269</v>
      </c>
      <c r="T96" s="160"/>
      <c r="U96" s="83"/>
      <c r="V96" s="85"/>
      <c r="W96" s="159"/>
      <c r="X96" s="159"/>
      <c r="Y96" s="159"/>
      <c r="Z96" s="159"/>
      <c r="AA96" s="159"/>
      <c r="AB96" s="81" t="s">
        <v>37</v>
      </c>
      <c r="AC96" s="83">
        <v>20</v>
      </c>
      <c r="AD96" s="157" t="s">
        <v>48</v>
      </c>
      <c r="AE96" s="175"/>
      <c r="AF96" s="65"/>
    </row>
    <row r="97" spans="1:32">
      <c r="A97" s="61">
        <v>81</v>
      </c>
      <c r="B97" s="62" t="s">
        <v>33</v>
      </c>
      <c r="C97" s="62" t="s">
        <v>2001</v>
      </c>
      <c r="D97" s="62" t="s">
        <v>2155</v>
      </c>
      <c r="E97" s="62" t="s">
        <v>2166</v>
      </c>
      <c r="F97" s="62" t="s">
        <v>2167</v>
      </c>
      <c r="G97" s="156">
        <v>269.25</v>
      </c>
      <c r="H97" s="156">
        <v>132</v>
      </c>
      <c r="I97" s="156">
        <v>650</v>
      </c>
      <c r="J97" s="156">
        <v>346</v>
      </c>
      <c r="K97" s="156">
        <v>304</v>
      </c>
      <c r="L97" s="156">
        <v>58</v>
      </c>
      <c r="M97" s="366">
        <f t="shared" si="2"/>
        <v>8.9230769230769234</v>
      </c>
      <c r="N97" s="156">
        <v>2</v>
      </c>
      <c r="O97" s="357">
        <f t="shared" si="3"/>
        <v>0.30769230769230771</v>
      </c>
      <c r="P97" s="156">
        <v>0</v>
      </c>
      <c r="Q97" s="156"/>
      <c r="R97" s="81" t="s">
        <v>2004</v>
      </c>
      <c r="S97" s="162" t="s">
        <v>1269</v>
      </c>
      <c r="T97" s="160"/>
      <c r="U97" s="83"/>
      <c r="V97" s="85"/>
      <c r="W97" s="159"/>
      <c r="X97" s="159"/>
      <c r="Y97" s="159"/>
      <c r="Z97" s="159"/>
      <c r="AA97" s="159"/>
      <c r="AB97" s="81" t="s">
        <v>37</v>
      </c>
      <c r="AC97" s="83">
        <v>12</v>
      </c>
      <c r="AD97" s="157" t="s">
        <v>48</v>
      </c>
      <c r="AE97" s="175"/>
    </row>
    <row r="98" spans="1:32">
      <c r="A98" s="61">
        <v>82</v>
      </c>
      <c r="B98" s="62" t="s">
        <v>33</v>
      </c>
      <c r="C98" s="62" t="s">
        <v>2001</v>
      </c>
      <c r="D98" s="62" t="s">
        <v>2155</v>
      </c>
      <c r="E98" s="62" t="s">
        <v>2168</v>
      </c>
      <c r="F98" s="62" t="s">
        <v>2169</v>
      </c>
      <c r="G98" s="156">
        <v>270</v>
      </c>
      <c r="H98" s="156">
        <v>15</v>
      </c>
      <c r="I98" s="156">
        <v>67</v>
      </c>
      <c r="J98" s="156">
        <v>40</v>
      </c>
      <c r="K98" s="156">
        <v>27</v>
      </c>
      <c r="L98" s="156">
        <v>0</v>
      </c>
      <c r="M98" s="366">
        <f t="shared" si="2"/>
        <v>0</v>
      </c>
      <c r="N98" s="156">
        <v>27</v>
      </c>
      <c r="O98" s="357">
        <f t="shared" si="3"/>
        <v>40.298507462686565</v>
      </c>
      <c r="P98" s="156">
        <v>4</v>
      </c>
      <c r="Q98" s="156"/>
      <c r="R98" s="81" t="s">
        <v>2004</v>
      </c>
      <c r="S98" s="162" t="s">
        <v>1269</v>
      </c>
      <c r="T98" s="160"/>
      <c r="U98" s="83"/>
      <c r="V98" s="85"/>
      <c r="W98" s="159"/>
      <c r="X98" s="159"/>
      <c r="Y98" s="159"/>
      <c r="Z98" s="159"/>
      <c r="AA98" s="159"/>
      <c r="AB98" s="81"/>
      <c r="AC98" s="83"/>
      <c r="AD98" s="159"/>
      <c r="AE98" s="175"/>
      <c r="AF98" s="65"/>
    </row>
    <row r="99" spans="1:32">
      <c r="A99" s="61">
        <v>83</v>
      </c>
      <c r="B99" s="62" t="s">
        <v>33</v>
      </c>
      <c r="C99" s="62" t="s">
        <v>2001</v>
      </c>
      <c r="D99" s="63" t="s">
        <v>2170</v>
      </c>
      <c r="E99" s="63" t="s">
        <v>2171</v>
      </c>
      <c r="F99" s="62" t="s">
        <v>2172</v>
      </c>
      <c r="G99" s="156">
        <v>1348</v>
      </c>
      <c r="H99" s="156">
        <v>378</v>
      </c>
      <c r="I99" s="156">
        <v>1960</v>
      </c>
      <c r="J99" s="156">
        <v>1012</v>
      </c>
      <c r="K99" s="156">
        <v>948</v>
      </c>
      <c r="L99" s="156">
        <v>515</v>
      </c>
      <c r="M99" s="366">
        <f t="shared" si="2"/>
        <v>26.27551020408163</v>
      </c>
      <c r="N99" s="156">
        <v>42</v>
      </c>
      <c r="O99" s="357">
        <f t="shared" si="3"/>
        <v>2.1428571428571428</v>
      </c>
      <c r="P99" s="156">
        <v>107</v>
      </c>
      <c r="Q99" s="156"/>
      <c r="R99" s="81" t="s">
        <v>2004</v>
      </c>
      <c r="S99" s="168">
        <v>45317</v>
      </c>
      <c r="T99" s="160"/>
      <c r="U99" s="165">
        <v>113.21</v>
      </c>
      <c r="V99" s="85"/>
      <c r="W99" s="159"/>
      <c r="X99" s="159"/>
      <c r="Y99" s="159"/>
      <c r="Z99" s="159"/>
      <c r="AA99" s="159"/>
      <c r="AB99" s="81" t="s">
        <v>37</v>
      </c>
      <c r="AC99" s="165">
        <v>12</v>
      </c>
      <c r="AD99" s="157" t="s">
        <v>48</v>
      </c>
      <c r="AE99" s="175"/>
    </row>
    <row r="100" spans="1:32">
      <c r="A100" s="61" t="s">
        <v>51</v>
      </c>
      <c r="B100" s="62" t="s">
        <v>33</v>
      </c>
      <c r="C100" s="62" t="s">
        <v>2001</v>
      </c>
      <c r="D100" s="63" t="s">
        <v>2170</v>
      </c>
      <c r="E100" s="63" t="s">
        <v>2171</v>
      </c>
      <c r="F100" s="62"/>
      <c r="G100" s="156"/>
      <c r="H100" s="156"/>
      <c r="I100" s="156"/>
      <c r="J100" s="156"/>
      <c r="K100" s="156"/>
      <c r="L100" s="156"/>
      <c r="M100" s="366"/>
      <c r="N100" s="156"/>
      <c r="O100" s="357"/>
      <c r="P100" s="156"/>
      <c r="Q100" s="156"/>
      <c r="R100" s="81"/>
      <c r="S100" s="168"/>
      <c r="T100" s="160"/>
      <c r="U100" s="165"/>
      <c r="V100" s="85"/>
      <c r="W100" s="159"/>
      <c r="X100" s="159"/>
      <c r="Y100" s="159"/>
      <c r="Z100" s="159"/>
      <c r="AA100" s="159"/>
      <c r="AB100" s="81" t="s">
        <v>2173</v>
      </c>
      <c r="AC100" s="165">
        <v>12</v>
      </c>
      <c r="AD100" s="157" t="s">
        <v>48</v>
      </c>
      <c r="AE100" s="178">
        <v>24.664000000000001</v>
      </c>
      <c r="AF100" s="83">
        <v>76.846000000000004</v>
      </c>
    </row>
    <row r="101" spans="1:32">
      <c r="A101" s="61" t="s">
        <v>51</v>
      </c>
      <c r="B101" s="62" t="s">
        <v>33</v>
      </c>
      <c r="C101" s="62" t="s">
        <v>2001</v>
      </c>
      <c r="D101" s="63" t="s">
        <v>2170</v>
      </c>
      <c r="E101" s="63" t="s">
        <v>2171</v>
      </c>
      <c r="F101" s="62"/>
      <c r="G101" s="156"/>
      <c r="H101" s="156"/>
      <c r="I101" s="156"/>
      <c r="J101" s="156"/>
      <c r="K101" s="156"/>
      <c r="L101" s="156"/>
      <c r="M101" s="366"/>
      <c r="N101" s="156"/>
      <c r="O101" s="357"/>
      <c r="P101" s="156"/>
      <c r="Q101" s="156"/>
      <c r="R101" s="81"/>
      <c r="S101" s="168"/>
      <c r="T101" s="160"/>
      <c r="U101" s="165"/>
      <c r="V101" s="85"/>
      <c r="W101" s="159"/>
      <c r="X101" s="159"/>
      <c r="Y101" s="159"/>
      <c r="Z101" s="159"/>
      <c r="AA101" s="159"/>
      <c r="AB101" s="81"/>
      <c r="AC101" s="165">
        <v>10</v>
      </c>
      <c r="AD101" s="157" t="s">
        <v>48</v>
      </c>
      <c r="AE101" s="174">
        <v>24.67277</v>
      </c>
      <c r="AF101" s="65">
        <v>76.9465</v>
      </c>
    </row>
    <row r="102" spans="1:32">
      <c r="A102" s="61">
        <v>84</v>
      </c>
      <c r="B102" s="62" t="s">
        <v>33</v>
      </c>
      <c r="C102" s="62" t="s">
        <v>2001</v>
      </c>
      <c r="D102" s="62" t="s">
        <v>2170</v>
      </c>
      <c r="E102" s="62" t="s">
        <v>2174</v>
      </c>
      <c r="F102" s="62" t="s">
        <v>2175</v>
      </c>
      <c r="G102" s="156">
        <v>217</v>
      </c>
      <c r="H102" s="156">
        <v>2</v>
      </c>
      <c r="I102" s="156">
        <v>16</v>
      </c>
      <c r="J102" s="156">
        <v>7</v>
      </c>
      <c r="K102" s="156">
        <v>9</v>
      </c>
      <c r="L102" s="156">
        <v>0</v>
      </c>
      <c r="M102" s="366">
        <f t="shared" si="2"/>
        <v>0</v>
      </c>
      <c r="N102" s="156">
        <v>0</v>
      </c>
      <c r="O102" s="357">
        <f t="shared" si="3"/>
        <v>0</v>
      </c>
      <c r="P102" s="156">
        <v>0</v>
      </c>
      <c r="Q102" s="156"/>
      <c r="R102" s="81" t="s">
        <v>2004</v>
      </c>
      <c r="S102" s="168"/>
      <c r="T102" s="160"/>
      <c r="U102" s="83">
        <v>61.82</v>
      </c>
      <c r="V102" s="85"/>
      <c r="W102" s="159"/>
      <c r="X102" s="159"/>
      <c r="Y102" s="159"/>
      <c r="Z102" s="159"/>
      <c r="AA102" s="159"/>
      <c r="AB102" s="81" t="s">
        <v>37</v>
      </c>
      <c r="AC102" s="165">
        <v>11</v>
      </c>
      <c r="AD102" s="157" t="s">
        <v>48</v>
      </c>
      <c r="AE102" s="175"/>
    </row>
    <row r="103" spans="1:32">
      <c r="A103" s="61">
        <v>85</v>
      </c>
      <c r="B103" s="62" t="s">
        <v>33</v>
      </c>
      <c r="C103" s="62" t="s">
        <v>2001</v>
      </c>
      <c r="D103" s="62" t="s">
        <v>2170</v>
      </c>
      <c r="E103" s="62" t="s">
        <v>2176</v>
      </c>
      <c r="F103" s="62" t="s">
        <v>2177</v>
      </c>
      <c r="G103" s="156">
        <v>302</v>
      </c>
      <c r="H103" s="156">
        <v>0</v>
      </c>
      <c r="I103" s="156">
        <v>0</v>
      </c>
      <c r="J103" s="156">
        <v>0</v>
      </c>
      <c r="K103" s="156">
        <v>0</v>
      </c>
      <c r="L103" s="156">
        <v>0</v>
      </c>
      <c r="M103" s="366">
        <v>0</v>
      </c>
      <c r="N103" s="156">
        <v>0</v>
      </c>
      <c r="O103" s="357">
        <v>0</v>
      </c>
      <c r="P103" s="156">
        <v>0</v>
      </c>
      <c r="Q103" s="156"/>
      <c r="R103" s="81" t="s">
        <v>2004</v>
      </c>
      <c r="S103" s="165"/>
      <c r="T103" s="160"/>
      <c r="U103" s="83">
        <v>7.75</v>
      </c>
      <c r="V103" s="85"/>
      <c r="W103" s="159"/>
      <c r="X103" s="159"/>
      <c r="Y103" s="159"/>
      <c r="Z103" s="159"/>
      <c r="AA103" s="159"/>
      <c r="AB103" s="81" t="s">
        <v>37</v>
      </c>
      <c r="AC103" s="165">
        <v>11</v>
      </c>
      <c r="AD103" s="157" t="s">
        <v>48</v>
      </c>
      <c r="AE103" s="175"/>
    </row>
    <row r="104" spans="1:32">
      <c r="A104" s="61">
        <v>86</v>
      </c>
      <c r="B104" s="62" t="s">
        <v>33</v>
      </c>
      <c r="C104" s="62" t="s">
        <v>2001</v>
      </c>
      <c r="D104" s="62" t="s">
        <v>2170</v>
      </c>
      <c r="E104" s="62" t="s">
        <v>2178</v>
      </c>
      <c r="F104" s="62" t="s">
        <v>2179</v>
      </c>
      <c r="G104" s="156">
        <v>309</v>
      </c>
      <c r="H104" s="156">
        <v>188</v>
      </c>
      <c r="I104" s="156">
        <v>941</v>
      </c>
      <c r="J104" s="156">
        <v>486</v>
      </c>
      <c r="K104" s="156">
        <v>455</v>
      </c>
      <c r="L104" s="156">
        <v>134</v>
      </c>
      <c r="M104" s="366">
        <f t="shared" si="2"/>
        <v>14.240170031880977</v>
      </c>
      <c r="N104" s="156">
        <v>59</v>
      </c>
      <c r="O104" s="357">
        <f t="shared" si="3"/>
        <v>6.2699256110520727</v>
      </c>
      <c r="P104" s="156">
        <v>57</v>
      </c>
      <c r="Q104" s="156"/>
      <c r="R104" s="81" t="s">
        <v>2004</v>
      </c>
      <c r="S104" s="165" t="s">
        <v>37</v>
      </c>
      <c r="T104" s="160"/>
      <c r="U104" s="85"/>
      <c r="V104" s="85"/>
      <c r="W104" s="159"/>
      <c r="X104" s="159"/>
      <c r="Y104" s="159"/>
      <c r="Z104" s="159"/>
      <c r="AA104" s="159"/>
      <c r="AB104" s="81"/>
      <c r="AC104" s="165"/>
      <c r="AD104" s="159"/>
      <c r="AE104" s="175"/>
    </row>
    <row r="105" spans="1:32">
      <c r="A105" s="61">
        <v>87</v>
      </c>
      <c r="B105" s="62" t="s">
        <v>33</v>
      </c>
      <c r="C105" s="62" t="s">
        <v>2001</v>
      </c>
      <c r="D105" s="62" t="s">
        <v>2170</v>
      </c>
      <c r="E105" s="62" t="s">
        <v>2180</v>
      </c>
      <c r="F105" s="62" t="s">
        <v>2181</v>
      </c>
      <c r="G105" s="156">
        <v>149</v>
      </c>
      <c r="H105" s="156">
        <v>0</v>
      </c>
      <c r="I105" s="156">
        <v>0</v>
      </c>
      <c r="J105" s="156">
        <v>0</v>
      </c>
      <c r="K105" s="156">
        <v>0</v>
      </c>
      <c r="L105" s="156">
        <v>0</v>
      </c>
      <c r="M105" s="366">
        <v>0</v>
      </c>
      <c r="N105" s="156">
        <v>0</v>
      </c>
      <c r="O105" s="357">
        <v>0</v>
      </c>
      <c r="P105" s="156">
        <v>0</v>
      </c>
      <c r="Q105" s="156"/>
      <c r="R105" s="81" t="s">
        <v>2004</v>
      </c>
      <c r="S105" s="168"/>
      <c r="T105" s="160"/>
      <c r="U105" s="85"/>
      <c r="V105" s="85"/>
      <c r="W105" s="159"/>
      <c r="X105" s="159"/>
      <c r="Y105" s="159"/>
      <c r="Z105" s="159"/>
      <c r="AA105" s="159"/>
      <c r="AB105" s="85"/>
      <c r="AC105" s="165"/>
      <c r="AD105" s="159"/>
      <c r="AE105" s="175"/>
    </row>
    <row r="106" spans="1:32">
      <c r="A106" s="61">
        <v>88</v>
      </c>
      <c r="B106" s="62" t="s">
        <v>33</v>
      </c>
      <c r="C106" s="62" t="s">
        <v>2001</v>
      </c>
      <c r="D106" s="62" t="s">
        <v>2170</v>
      </c>
      <c r="E106" s="62" t="s">
        <v>2182</v>
      </c>
      <c r="F106" s="62" t="s">
        <v>2183</v>
      </c>
      <c r="G106" s="156">
        <v>643</v>
      </c>
      <c r="H106" s="156">
        <v>191</v>
      </c>
      <c r="I106" s="156">
        <v>949</v>
      </c>
      <c r="J106" s="156">
        <v>509</v>
      </c>
      <c r="K106" s="156">
        <v>440</v>
      </c>
      <c r="L106" s="156">
        <v>263</v>
      </c>
      <c r="M106" s="366">
        <f t="shared" si="2"/>
        <v>27.713382507903056</v>
      </c>
      <c r="N106" s="156">
        <v>169</v>
      </c>
      <c r="O106" s="357">
        <f t="shared" si="3"/>
        <v>17.80821917808219</v>
      </c>
      <c r="P106" s="156">
        <v>7</v>
      </c>
      <c r="Q106" s="156"/>
      <c r="R106" s="81" t="s">
        <v>2004</v>
      </c>
      <c r="S106" s="168">
        <v>45317</v>
      </c>
      <c r="T106" s="160"/>
      <c r="U106" s="85"/>
      <c r="V106" s="85"/>
      <c r="W106" s="159"/>
      <c r="X106" s="159"/>
      <c r="Y106" s="159"/>
      <c r="Z106" s="159"/>
      <c r="AA106" s="159"/>
      <c r="AB106" s="81"/>
      <c r="AC106" s="165"/>
      <c r="AD106" s="159"/>
      <c r="AE106" s="175"/>
    </row>
    <row r="107" spans="1:32">
      <c r="A107" s="61">
        <v>89</v>
      </c>
      <c r="B107" s="62" t="s">
        <v>33</v>
      </c>
      <c r="C107" s="62" t="s">
        <v>2001</v>
      </c>
      <c r="D107" s="63" t="s">
        <v>2184</v>
      </c>
      <c r="E107" s="63" t="s">
        <v>2185</v>
      </c>
      <c r="F107" s="62" t="s">
        <v>2186</v>
      </c>
      <c r="G107" s="156">
        <v>304.10000000000002</v>
      </c>
      <c r="H107" s="156">
        <v>62</v>
      </c>
      <c r="I107" s="156">
        <v>412</v>
      </c>
      <c r="J107" s="156">
        <v>222</v>
      </c>
      <c r="K107" s="156">
        <v>190</v>
      </c>
      <c r="L107" s="156">
        <v>15</v>
      </c>
      <c r="M107" s="366">
        <f t="shared" si="2"/>
        <v>3.6407766990291259</v>
      </c>
      <c r="N107" s="156">
        <v>101</v>
      </c>
      <c r="O107" s="357">
        <f t="shared" si="3"/>
        <v>24.514563106796118</v>
      </c>
      <c r="P107" s="156">
        <v>13</v>
      </c>
      <c r="Q107" s="156"/>
      <c r="R107" s="81" t="s">
        <v>2004</v>
      </c>
      <c r="S107" s="162" t="s">
        <v>1269</v>
      </c>
      <c r="T107" s="160"/>
      <c r="U107" s="165"/>
      <c r="V107" s="85"/>
      <c r="W107" s="159"/>
      <c r="X107" s="159"/>
      <c r="Y107" s="159"/>
      <c r="Z107" s="159"/>
      <c r="AA107" s="159"/>
      <c r="AB107" s="81" t="s">
        <v>37</v>
      </c>
      <c r="AC107" s="165">
        <v>10</v>
      </c>
      <c r="AD107" s="157" t="s">
        <v>48</v>
      </c>
      <c r="AE107" s="175"/>
    </row>
    <row r="108" spans="1:32">
      <c r="A108" s="61">
        <v>90</v>
      </c>
      <c r="B108" s="62" t="s">
        <v>33</v>
      </c>
      <c r="C108" s="62" t="s">
        <v>2001</v>
      </c>
      <c r="D108" s="62" t="s">
        <v>2184</v>
      </c>
      <c r="E108" s="62" t="s">
        <v>2187</v>
      </c>
      <c r="F108" s="62" t="s">
        <v>2188</v>
      </c>
      <c r="G108" s="156">
        <v>345</v>
      </c>
      <c r="H108" s="156">
        <v>114</v>
      </c>
      <c r="I108" s="156">
        <v>560</v>
      </c>
      <c r="J108" s="156">
        <v>304</v>
      </c>
      <c r="K108" s="156">
        <v>256</v>
      </c>
      <c r="L108" s="156">
        <v>31</v>
      </c>
      <c r="M108" s="366">
        <f t="shared" si="2"/>
        <v>5.5357142857142856</v>
      </c>
      <c r="N108" s="156">
        <v>151</v>
      </c>
      <c r="O108" s="357">
        <f t="shared" si="3"/>
        <v>26.964285714285712</v>
      </c>
      <c r="P108" s="156">
        <v>42</v>
      </c>
      <c r="Q108" s="156"/>
      <c r="R108" s="81" t="s">
        <v>2004</v>
      </c>
      <c r="S108" s="162" t="s">
        <v>1269</v>
      </c>
      <c r="T108" s="161"/>
      <c r="U108" s="165"/>
      <c r="V108" s="85"/>
      <c r="W108" s="159"/>
      <c r="X108" s="159"/>
      <c r="Y108" s="159"/>
      <c r="Z108" s="159"/>
      <c r="AA108" s="159"/>
      <c r="AB108" s="85"/>
      <c r="AC108" s="165"/>
      <c r="AD108" s="159"/>
      <c r="AE108" s="175"/>
    </row>
    <row r="109" spans="1:32">
      <c r="A109" s="61">
        <v>91</v>
      </c>
      <c r="B109" s="62" t="s">
        <v>33</v>
      </c>
      <c r="C109" s="62" t="s">
        <v>2001</v>
      </c>
      <c r="D109" s="62" t="s">
        <v>2184</v>
      </c>
      <c r="E109" s="62" t="s">
        <v>2189</v>
      </c>
      <c r="F109" s="62" t="s">
        <v>2190</v>
      </c>
      <c r="G109" s="156">
        <v>109.26</v>
      </c>
      <c r="H109" s="156">
        <v>30</v>
      </c>
      <c r="I109" s="156">
        <v>162</v>
      </c>
      <c r="J109" s="156">
        <v>81</v>
      </c>
      <c r="K109" s="156">
        <v>81</v>
      </c>
      <c r="L109" s="156">
        <v>13</v>
      </c>
      <c r="M109" s="366">
        <f t="shared" si="2"/>
        <v>8.0246913580246915</v>
      </c>
      <c r="N109" s="156">
        <v>0</v>
      </c>
      <c r="O109" s="357">
        <f t="shared" si="3"/>
        <v>0</v>
      </c>
      <c r="P109" s="156">
        <v>4.0999999999999996</v>
      </c>
      <c r="Q109" s="156"/>
      <c r="R109" s="81" t="s">
        <v>2004</v>
      </c>
      <c r="S109" s="162" t="s">
        <v>1269</v>
      </c>
      <c r="T109" s="161"/>
      <c r="U109" s="165"/>
      <c r="V109" s="85"/>
      <c r="W109" s="159"/>
      <c r="X109" s="159"/>
      <c r="Y109" s="159"/>
      <c r="Z109" s="159"/>
      <c r="AA109" s="159"/>
      <c r="AB109" s="81"/>
      <c r="AC109" s="165"/>
      <c r="AD109" s="159"/>
      <c r="AE109" s="175"/>
    </row>
    <row r="110" spans="1:32">
      <c r="A110" s="61">
        <v>92</v>
      </c>
      <c r="B110" s="62" t="s">
        <v>33</v>
      </c>
      <c r="C110" s="62" t="s">
        <v>2001</v>
      </c>
      <c r="D110" s="62" t="s">
        <v>2184</v>
      </c>
      <c r="E110" s="62" t="s">
        <v>2191</v>
      </c>
      <c r="F110" s="62" t="s">
        <v>2192</v>
      </c>
      <c r="G110" s="156">
        <v>294</v>
      </c>
      <c r="H110" s="156">
        <v>35</v>
      </c>
      <c r="I110" s="156">
        <v>210</v>
      </c>
      <c r="J110" s="156">
        <v>105</v>
      </c>
      <c r="K110" s="156">
        <v>105</v>
      </c>
      <c r="L110" s="156">
        <v>52</v>
      </c>
      <c r="M110" s="366">
        <f t="shared" si="2"/>
        <v>24.761904761904763</v>
      </c>
      <c r="N110" s="156">
        <v>16</v>
      </c>
      <c r="O110" s="357">
        <f t="shared" si="3"/>
        <v>7.6190476190476195</v>
      </c>
      <c r="P110" s="156">
        <v>0</v>
      </c>
      <c r="Q110" s="156"/>
      <c r="R110" s="81" t="s">
        <v>2004</v>
      </c>
      <c r="S110" s="162" t="s">
        <v>1269</v>
      </c>
      <c r="T110" s="161"/>
      <c r="U110" s="165"/>
      <c r="V110" s="85"/>
      <c r="W110" s="159"/>
      <c r="X110" s="159"/>
      <c r="Y110" s="159"/>
      <c r="Z110" s="159"/>
      <c r="AA110" s="159"/>
      <c r="AB110" s="81" t="s">
        <v>37</v>
      </c>
      <c r="AC110" s="165">
        <v>13</v>
      </c>
      <c r="AD110" s="157" t="s">
        <v>48</v>
      </c>
      <c r="AE110" s="175"/>
    </row>
    <row r="111" spans="1:32">
      <c r="A111" s="61">
        <v>93</v>
      </c>
      <c r="B111" s="62" t="s">
        <v>33</v>
      </c>
      <c r="C111" s="62" t="s">
        <v>2001</v>
      </c>
      <c r="D111" s="62" t="s">
        <v>2184</v>
      </c>
      <c r="E111" s="62" t="s">
        <v>2193</v>
      </c>
      <c r="F111" s="62" t="s">
        <v>2194</v>
      </c>
      <c r="G111" s="156">
        <v>210.34</v>
      </c>
      <c r="H111" s="156">
        <v>122</v>
      </c>
      <c r="I111" s="156">
        <v>509</v>
      </c>
      <c r="J111" s="156">
        <v>267</v>
      </c>
      <c r="K111" s="156">
        <v>242</v>
      </c>
      <c r="L111" s="156">
        <v>135</v>
      </c>
      <c r="M111" s="366">
        <f t="shared" si="2"/>
        <v>26.522593320235753</v>
      </c>
      <c r="N111" s="156">
        <v>58</v>
      </c>
      <c r="O111" s="357">
        <f t="shared" si="3"/>
        <v>11.394891944990176</v>
      </c>
      <c r="P111" s="156">
        <v>28.1</v>
      </c>
      <c r="Q111" s="156"/>
      <c r="R111" s="81" t="s">
        <v>2004</v>
      </c>
      <c r="S111" s="162" t="s">
        <v>1269</v>
      </c>
      <c r="T111" s="161"/>
      <c r="U111" s="165">
        <v>31.65</v>
      </c>
      <c r="V111" s="85"/>
      <c r="W111" s="159"/>
      <c r="X111" s="159"/>
      <c r="Y111" s="159"/>
      <c r="Z111" s="159"/>
      <c r="AA111" s="159"/>
      <c r="AB111" s="81"/>
      <c r="AC111" s="165"/>
      <c r="AD111" s="159"/>
      <c r="AE111" s="175"/>
    </row>
    <row r="112" spans="1:32">
      <c r="A112" s="61">
        <v>94</v>
      </c>
      <c r="B112" s="62" t="s">
        <v>33</v>
      </c>
      <c r="C112" s="62" t="s">
        <v>2001</v>
      </c>
      <c r="D112" s="62" t="s">
        <v>2184</v>
      </c>
      <c r="E112" s="62" t="s">
        <v>610</v>
      </c>
      <c r="F112" s="62" t="s">
        <v>2195</v>
      </c>
      <c r="G112" s="156">
        <v>177.37</v>
      </c>
      <c r="H112" s="156">
        <v>40</v>
      </c>
      <c r="I112" s="156">
        <v>288</v>
      </c>
      <c r="J112" s="156">
        <v>152</v>
      </c>
      <c r="K112" s="156">
        <v>136</v>
      </c>
      <c r="L112" s="156">
        <v>7</v>
      </c>
      <c r="M112" s="366">
        <f t="shared" si="2"/>
        <v>2.4305555555555558</v>
      </c>
      <c r="N112" s="156">
        <v>35</v>
      </c>
      <c r="O112" s="357">
        <f t="shared" si="3"/>
        <v>12.152777777777777</v>
      </c>
      <c r="P112" s="156">
        <v>22.02</v>
      </c>
      <c r="Q112" s="156"/>
      <c r="R112" s="81" t="s">
        <v>2004</v>
      </c>
      <c r="S112" s="162" t="s">
        <v>1269</v>
      </c>
      <c r="T112" s="161"/>
      <c r="U112" s="165"/>
      <c r="V112" s="85"/>
      <c r="W112" s="159"/>
      <c r="X112" s="159"/>
      <c r="Y112" s="159"/>
      <c r="Z112" s="159"/>
      <c r="AA112" s="159"/>
      <c r="AB112" s="81"/>
      <c r="AC112" s="165"/>
      <c r="AD112" s="159"/>
      <c r="AE112" s="175"/>
    </row>
    <row r="113" spans="1:32">
      <c r="A113" s="61">
        <v>95</v>
      </c>
      <c r="B113" s="62" t="s">
        <v>33</v>
      </c>
      <c r="C113" s="62" t="s">
        <v>2001</v>
      </c>
      <c r="D113" s="62" t="s">
        <v>2184</v>
      </c>
      <c r="E113" s="62" t="s">
        <v>1215</v>
      </c>
      <c r="F113" s="62" t="s">
        <v>2196</v>
      </c>
      <c r="G113" s="156">
        <v>228.25</v>
      </c>
      <c r="H113" s="156">
        <v>96</v>
      </c>
      <c r="I113" s="156">
        <v>493</v>
      </c>
      <c r="J113" s="156">
        <v>249</v>
      </c>
      <c r="K113" s="156">
        <v>244</v>
      </c>
      <c r="L113" s="156">
        <v>55</v>
      </c>
      <c r="M113" s="366">
        <f t="shared" si="2"/>
        <v>11.156186612576064</v>
      </c>
      <c r="N113" s="156">
        <v>50</v>
      </c>
      <c r="O113" s="357">
        <f t="shared" si="3"/>
        <v>10.141987829614605</v>
      </c>
      <c r="P113" s="156">
        <v>17.03</v>
      </c>
      <c r="Q113" s="156"/>
      <c r="R113" s="81" t="s">
        <v>2004</v>
      </c>
      <c r="S113" s="162" t="s">
        <v>1269</v>
      </c>
      <c r="T113" s="161"/>
      <c r="U113" s="159"/>
      <c r="V113" s="85"/>
      <c r="W113" s="159"/>
      <c r="X113" s="159"/>
      <c r="Y113" s="159"/>
      <c r="Z113" s="159"/>
      <c r="AA113" s="159"/>
      <c r="AB113" s="81" t="s">
        <v>37</v>
      </c>
      <c r="AC113" s="165">
        <v>8</v>
      </c>
      <c r="AD113" s="157" t="s">
        <v>48</v>
      </c>
      <c r="AE113" s="175"/>
    </row>
    <row r="114" spans="1:32">
      <c r="A114" s="61">
        <v>96</v>
      </c>
      <c r="B114" s="62" t="s">
        <v>33</v>
      </c>
      <c r="C114" s="62" t="s">
        <v>2001</v>
      </c>
      <c r="D114" s="62" t="s">
        <v>2184</v>
      </c>
      <c r="E114" s="62" t="s">
        <v>2197</v>
      </c>
      <c r="F114" s="62" t="s">
        <v>2198</v>
      </c>
      <c r="G114" s="156">
        <v>268.45</v>
      </c>
      <c r="H114" s="156">
        <v>80</v>
      </c>
      <c r="I114" s="156">
        <v>394</v>
      </c>
      <c r="J114" s="156">
        <v>214</v>
      </c>
      <c r="K114" s="156">
        <v>180</v>
      </c>
      <c r="L114" s="156">
        <v>39</v>
      </c>
      <c r="M114" s="366">
        <f t="shared" si="2"/>
        <v>9.8984771573604071</v>
      </c>
      <c r="N114" s="156">
        <v>41</v>
      </c>
      <c r="O114" s="357">
        <f t="shared" si="3"/>
        <v>10.406091370558377</v>
      </c>
      <c r="P114" s="156">
        <v>22.1</v>
      </c>
      <c r="Q114" s="156"/>
      <c r="R114" s="81" t="s">
        <v>2004</v>
      </c>
      <c r="S114" s="162" t="s">
        <v>1269</v>
      </c>
      <c r="T114" s="160"/>
      <c r="U114" s="165">
        <v>24.49</v>
      </c>
      <c r="V114" s="85"/>
      <c r="W114" s="159"/>
      <c r="X114" s="159"/>
      <c r="Y114" s="159"/>
      <c r="Z114" s="159"/>
      <c r="AA114" s="159"/>
      <c r="AB114" s="81" t="s">
        <v>37</v>
      </c>
      <c r="AC114" s="165">
        <v>7</v>
      </c>
      <c r="AD114" s="157" t="s">
        <v>48</v>
      </c>
      <c r="AE114" s="175"/>
    </row>
    <row r="115" spans="1:32">
      <c r="A115" s="61">
        <v>97</v>
      </c>
      <c r="B115" s="62" t="s">
        <v>33</v>
      </c>
      <c r="C115" s="62" t="s">
        <v>2001</v>
      </c>
      <c r="D115" s="62" t="s">
        <v>2184</v>
      </c>
      <c r="E115" s="62" t="s">
        <v>2199</v>
      </c>
      <c r="F115" s="62" t="s">
        <v>2200</v>
      </c>
      <c r="G115" s="156">
        <v>330.3</v>
      </c>
      <c r="H115" s="156">
        <v>110</v>
      </c>
      <c r="I115" s="156">
        <v>526</v>
      </c>
      <c r="J115" s="156">
        <v>279</v>
      </c>
      <c r="K115" s="156">
        <v>247</v>
      </c>
      <c r="L115" s="156">
        <v>29</v>
      </c>
      <c r="M115" s="366">
        <f t="shared" si="2"/>
        <v>5.5133079847908748</v>
      </c>
      <c r="N115" s="156">
        <v>21</v>
      </c>
      <c r="O115" s="357">
        <f t="shared" si="3"/>
        <v>3.9923954372623576</v>
      </c>
      <c r="P115" s="156">
        <v>35.020000000000003</v>
      </c>
      <c r="Q115" s="156"/>
      <c r="R115" s="81" t="s">
        <v>2004</v>
      </c>
      <c r="S115" s="168">
        <v>45317</v>
      </c>
      <c r="T115" s="161"/>
      <c r="U115" s="165">
        <v>39.69</v>
      </c>
      <c r="V115" s="85"/>
      <c r="W115" s="159"/>
      <c r="X115" s="159"/>
      <c r="Y115" s="159"/>
      <c r="Z115" s="159"/>
      <c r="AA115" s="159"/>
      <c r="AB115" s="81" t="s">
        <v>37</v>
      </c>
      <c r="AC115" s="165">
        <v>18</v>
      </c>
      <c r="AD115" s="157" t="s">
        <v>48</v>
      </c>
      <c r="AE115" s="175"/>
    </row>
    <row r="116" spans="1:32">
      <c r="A116" s="61">
        <v>98</v>
      </c>
      <c r="B116" s="62" t="s">
        <v>33</v>
      </c>
      <c r="C116" s="62" t="s">
        <v>2001</v>
      </c>
      <c r="D116" s="63" t="s">
        <v>2201</v>
      </c>
      <c r="E116" s="63" t="s">
        <v>2202</v>
      </c>
      <c r="F116" s="62" t="s">
        <v>2203</v>
      </c>
      <c r="G116" s="156">
        <v>986</v>
      </c>
      <c r="H116" s="156">
        <v>447</v>
      </c>
      <c r="I116" s="156">
        <v>2401</v>
      </c>
      <c r="J116" s="156">
        <v>1271</v>
      </c>
      <c r="K116" s="156">
        <v>1130</v>
      </c>
      <c r="L116" s="156">
        <v>554</v>
      </c>
      <c r="M116" s="366">
        <f t="shared" si="2"/>
        <v>23.073719283631817</v>
      </c>
      <c r="N116" s="156">
        <v>70</v>
      </c>
      <c r="O116" s="357">
        <f t="shared" si="3"/>
        <v>2.9154518950437316</v>
      </c>
      <c r="P116" s="156">
        <v>63</v>
      </c>
      <c r="Q116" s="156"/>
      <c r="R116" s="81" t="s">
        <v>2004</v>
      </c>
      <c r="S116" s="168">
        <v>45317</v>
      </c>
      <c r="T116" s="161"/>
      <c r="U116" s="83">
        <v>74.436800000000005</v>
      </c>
      <c r="V116" s="85"/>
      <c r="W116" s="159"/>
      <c r="X116" s="159"/>
      <c r="Y116" s="159"/>
      <c r="Z116" s="159"/>
      <c r="AA116" s="159"/>
      <c r="AB116" s="81" t="s">
        <v>37</v>
      </c>
      <c r="AC116" s="165">
        <v>29</v>
      </c>
      <c r="AD116" s="157" t="s">
        <v>48</v>
      </c>
      <c r="AE116" s="175"/>
    </row>
    <row r="117" spans="1:32">
      <c r="A117" s="61" t="s">
        <v>51</v>
      </c>
      <c r="B117" s="62" t="s">
        <v>33</v>
      </c>
      <c r="C117" s="62" t="s">
        <v>2001</v>
      </c>
      <c r="D117" s="63" t="s">
        <v>2201</v>
      </c>
      <c r="E117" s="63" t="s">
        <v>2202</v>
      </c>
      <c r="F117" s="62"/>
      <c r="G117" s="156"/>
      <c r="H117" s="156"/>
      <c r="I117" s="156"/>
      <c r="J117" s="156"/>
      <c r="K117" s="156"/>
      <c r="L117" s="156"/>
      <c r="M117" s="366"/>
      <c r="N117" s="156"/>
      <c r="O117" s="357"/>
      <c r="P117" s="156"/>
      <c r="Q117" s="156"/>
      <c r="R117" s="81"/>
      <c r="S117" s="168"/>
      <c r="T117" s="161"/>
      <c r="U117" s="83"/>
      <c r="V117" s="85"/>
      <c r="W117" s="159"/>
      <c r="X117" s="159"/>
      <c r="Y117" s="159"/>
      <c r="Z117" s="159"/>
      <c r="AA117" s="159"/>
      <c r="AB117" s="81" t="s">
        <v>37</v>
      </c>
      <c r="AC117" s="165">
        <v>13</v>
      </c>
      <c r="AD117" s="157" t="s">
        <v>48</v>
      </c>
      <c r="AE117" s="174">
        <v>24.682200000000002</v>
      </c>
      <c r="AF117" s="65">
        <v>76.824799999999996</v>
      </c>
    </row>
    <row r="118" spans="1:32">
      <c r="A118" s="61" t="s">
        <v>51</v>
      </c>
      <c r="B118" s="62" t="s">
        <v>33</v>
      </c>
      <c r="C118" s="62" t="s">
        <v>2001</v>
      </c>
      <c r="D118" s="63" t="s">
        <v>2201</v>
      </c>
      <c r="E118" s="63" t="s">
        <v>2202</v>
      </c>
      <c r="F118" s="62"/>
      <c r="G118" s="156"/>
      <c r="H118" s="156"/>
      <c r="I118" s="156"/>
      <c r="J118" s="156"/>
      <c r="K118" s="156"/>
      <c r="L118" s="156"/>
      <c r="M118" s="366"/>
      <c r="N118" s="156"/>
      <c r="O118" s="357"/>
      <c r="P118" s="156"/>
      <c r="Q118" s="156"/>
      <c r="R118" s="81"/>
      <c r="S118" s="168"/>
      <c r="T118" s="161"/>
      <c r="U118" s="83"/>
      <c r="V118" s="85"/>
      <c r="W118" s="159"/>
      <c r="X118" s="159"/>
      <c r="Y118" s="159"/>
      <c r="Z118" s="159"/>
      <c r="AA118" s="159"/>
      <c r="AB118" s="81" t="s">
        <v>37</v>
      </c>
      <c r="AC118" s="165">
        <v>11</v>
      </c>
      <c r="AD118" s="157" t="s">
        <v>48</v>
      </c>
      <c r="AE118" s="174">
        <v>24.709199999999999</v>
      </c>
      <c r="AF118" s="65">
        <v>76.814300000000003</v>
      </c>
    </row>
    <row r="119" spans="1:32">
      <c r="A119" s="61">
        <v>99</v>
      </c>
      <c r="B119" s="62" t="s">
        <v>33</v>
      </c>
      <c r="C119" s="62" t="s">
        <v>2001</v>
      </c>
      <c r="D119" s="62" t="s">
        <v>2201</v>
      </c>
      <c r="E119" s="62" t="s">
        <v>180</v>
      </c>
      <c r="F119" s="62" t="s">
        <v>2204</v>
      </c>
      <c r="G119" s="156">
        <v>431</v>
      </c>
      <c r="H119" s="156">
        <v>242</v>
      </c>
      <c r="I119" s="156">
        <v>1281</v>
      </c>
      <c r="J119" s="156">
        <v>692</v>
      </c>
      <c r="K119" s="156">
        <v>589</v>
      </c>
      <c r="L119" s="156">
        <v>449</v>
      </c>
      <c r="M119" s="366">
        <f t="shared" si="2"/>
        <v>35.050741608118656</v>
      </c>
      <c r="N119" s="156">
        <v>25</v>
      </c>
      <c r="O119" s="357">
        <f t="shared" si="3"/>
        <v>1.9516003122560501</v>
      </c>
      <c r="P119" s="156">
        <v>51</v>
      </c>
      <c r="Q119" s="156"/>
      <c r="R119" s="81" t="s">
        <v>2004</v>
      </c>
      <c r="S119" s="168">
        <v>45317</v>
      </c>
      <c r="T119" s="161"/>
      <c r="U119" s="83">
        <v>55.0625</v>
      </c>
      <c r="V119" s="85"/>
      <c r="W119" s="159"/>
      <c r="X119" s="159"/>
      <c r="Y119" s="159"/>
      <c r="Z119" s="159"/>
      <c r="AA119" s="159"/>
      <c r="AB119" s="81" t="s">
        <v>37</v>
      </c>
      <c r="AC119" s="165">
        <v>12</v>
      </c>
      <c r="AD119" s="157" t="s">
        <v>48</v>
      </c>
      <c r="AE119" s="175"/>
    </row>
    <row r="120" spans="1:32">
      <c r="A120" s="61">
        <v>100</v>
      </c>
      <c r="B120" s="62" t="s">
        <v>33</v>
      </c>
      <c r="C120" s="62" t="s">
        <v>2001</v>
      </c>
      <c r="D120" s="62" t="s">
        <v>2201</v>
      </c>
      <c r="E120" s="62" t="s">
        <v>2205</v>
      </c>
      <c r="F120" s="62" t="s">
        <v>2206</v>
      </c>
      <c r="G120" s="156">
        <v>310</v>
      </c>
      <c r="H120" s="156">
        <v>53</v>
      </c>
      <c r="I120" s="156">
        <v>287</v>
      </c>
      <c r="J120" s="156">
        <v>148</v>
      </c>
      <c r="K120" s="156">
        <v>139</v>
      </c>
      <c r="L120" s="156">
        <v>103</v>
      </c>
      <c r="M120" s="366">
        <f t="shared" si="2"/>
        <v>35.88850174216028</v>
      </c>
      <c r="N120" s="156">
        <v>5</v>
      </c>
      <c r="O120" s="357">
        <f t="shared" si="3"/>
        <v>1.7421602787456445</v>
      </c>
      <c r="P120" s="156">
        <v>26</v>
      </c>
      <c r="Q120" s="156"/>
      <c r="R120" s="81" t="s">
        <v>2004</v>
      </c>
      <c r="S120" s="168">
        <v>45317</v>
      </c>
      <c r="T120" s="160"/>
      <c r="U120" s="165">
        <v>24.92</v>
      </c>
      <c r="V120" s="85"/>
      <c r="W120" s="159"/>
      <c r="X120" s="159"/>
      <c r="Y120" s="159"/>
      <c r="Z120" s="159"/>
      <c r="AA120" s="159"/>
      <c r="AB120" s="81" t="s">
        <v>37</v>
      </c>
      <c r="AC120" s="165">
        <v>18</v>
      </c>
      <c r="AD120" s="157" t="s">
        <v>48</v>
      </c>
      <c r="AE120" s="175"/>
    </row>
    <row r="121" spans="1:32">
      <c r="A121" s="61">
        <v>101</v>
      </c>
      <c r="B121" s="62" t="s">
        <v>33</v>
      </c>
      <c r="C121" s="62" t="s">
        <v>2001</v>
      </c>
      <c r="D121" s="63" t="s">
        <v>2207</v>
      </c>
      <c r="E121" s="63" t="s">
        <v>2208</v>
      </c>
      <c r="F121" s="62" t="s">
        <v>2209</v>
      </c>
      <c r="G121" s="156">
        <v>822</v>
      </c>
      <c r="H121" s="156">
        <v>171</v>
      </c>
      <c r="I121" s="156">
        <v>896</v>
      </c>
      <c r="J121" s="156">
        <v>459</v>
      </c>
      <c r="K121" s="156">
        <v>437</v>
      </c>
      <c r="L121" s="156">
        <v>270</v>
      </c>
      <c r="M121" s="366">
        <f t="shared" si="2"/>
        <v>30.133928571428569</v>
      </c>
      <c r="N121" s="156">
        <v>33</v>
      </c>
      <c r="O121" s="357">
        <f t="shared" si="3"/>
        <v>3.6830357142857144</v>
      </c>
      <c r="P121" s="156">
        <v>48</v>
      </c>
      <c r="Q121" s="156"/>
      <c r="R121" s="81" t="s">
        <v>2004</v>
      </c>
      <c r="S121" s="168">
        <v>45317</v>
      </c>
      <c r="T121" s="160"/>
      <c r="U121" s="159"/>
      <c r="V121" s="85"/>
      <c r="W121" s="159"/>
      <c r="X121" s="159"/>
      <c r="Y121" s="159"/>
      <c r="Z121" s="159"/>
      <c r="AA121" s="159"/>
      <c r="AB121" s="81" t="s">
        <v>37</v>
      </c>
      <c r="AC121" s="165">
        <v>13</v>
      </c>
      <c r="AD121" s="157" t="s">
        <v>48</v>
      </c>
      <c r="AE121" s="175"/>
    </row>
    <row r="122" spans="1:32">
      <c r="A122" s="61" t="s">
        <v>51</v>
      </c>
      <c r="B122" s="62" t="s">
        <v>33</v>
      </c>
      <c r="C122" s="62" t="s">
        <v>2001</v>
      </c>
      <c r="D122" s="63" t="s">
        <v>2207</v>
      </c>
      <c r="E122" s="63" t="s">
        <v>2208</v>
      </c>
      <c r="F122" s="62"/>
      <c r="G122" s="156"/>
      <c r="H122" s="156"/>
      <c r="I122" s="156"/>
      <c r="J122" s="156"/>
      <c r="K122" s="156"/>
      <c r="L122" s="156"/>
      <c r="M122" s="366"/>
      <c r="N122" s="156"/>
      <c r="O122" s="357"/>
      <c r="P122" s="156"/>
      <c r="Q122" s="156"/>
      <c r="R122" s="81"/>
      <c r="S122" s="168"/>
      <c r="T122" s="160"/>
      <c r="U122" s="159"/>
      <c r="V122" s="85"/>
      <c r="W122" s="159"/>
      <c r="X122" s="159"/>
      <c r="Y122" s="159"/>
      <c r="Z122" s="159"/>
      <c r="AA122" s="159"/>
      <c r="AB122" s="81" t="s">
        <v>2173</v>
      </c>
      <c r="AC122" s="165">
        <v>11</v>
      </c>
      <c r="AD122" s="157" t="s">
        <v>48</v>
      </c>
      <c r="AE122" s="179">
        <v>24.60145</v>
      </c>
      <c r="AF122" s="65">
        <v>76.839100000000002</v>
      </c>
    </row>
    <row r="123" spans="1:32">
      <c r="A123" s="61">
        <v>102</v>
      </c>
      <c r="B123" s="62" t="s">
        <v>33</v>
      </c>
      <c r="C123" s="62" t="s">
        <v>2001</v>
      </c>
      <c r="D123" s="62" t="s">
        <v>2207</v>
      </c>
      <c r="E123" s="62" t="s">
        <v>2210</v>
      </c>
      <c r="F123" s="62" t="s">
        <v>2211</v>
      </c>
      <c r="G123" s="156">
        <v>237</v>
      </c>
      <c r="H123" s="156">
        <v>84</v>
      </c>
      <c r="I123" s="156">
        <v>380</v>
      </c>
      <c r="J123" s="156">
        <v>200</v>
      </c>
      <c r="K123" s="156">
        <v>180</v>
      </c>
      <c r="L123" s="156">
        <v>34</v>
      </c>
      <c r="M123" s="366">
        <f t="shared" si="2"/>
        <v>8.9473684210526319</v>
      </c>
      <c r="N123" s="156">
        <v>0</v>
      </c>
      <c r="O123" s="357">
        <f t="shared" si="3"/>
        <v>0</v>
      </c>
      <c r="P123" s="156">
        <v>24</v>
      </c>
      <c r="Q123" s="156"/>
      <c r="R123" s="81" t="s">
        <v>2004</v>
      </c>
      <c r="S123" s="168">
        <v>45317</v>
      </c>
      <c r="T123" s="161"/>
      <c r="U123" s="165"/>
      <c r="V123" s="85"/>
      <c r="W123" s="159"/>
      <c r="X123" s="159"/>
      <c r="Y123" s="159"/>
      <c r="Z123" s="159"/>
      <c r="AA123" s="159"/>
      <c r="AB123" s="81"/>
      <c r="AC123" s="165"/>
      <c r="AD123" s="159"/>
      <c r="AE123" s="175"/>
      <c r="AF123" s="83"/>
    </row>
    <row r="124" spans="1:32">
      <c r="A124" s="61">
        <v>103</v>
      </c>
      <c r="B124" s="62" t="s">
        <v>33</v>
      </c>
      <c r="C124" s="62" t="s">
        <v>2001</v>
      </c>
      <c r="D124" s="62" t="s">
        <v>2207</v>
      </c>
      <c r="E124" s="62" t="s">
        <v>2212</v>
      </c>
      <c r="F124" s="62" t="s">
        <v>2213</v>
      </c>
      <c r="G124" s="156">
        <v>295</v>
      </c>
      <c r="H124" s="156">
        <v>135</v>
      </c>
      <c r="I124" s="156">
        <v>732</v>
      </c>
      <c r="J124" s="156">
        <v>368</v>
      </c>
      <c r="K124" s="156">
        <v>364</v>
      </c>
      <c r="L124" s="156">
        <v>104</v>
      </c>
      <c r="M124" s="366">
        <f t="shared" si="2"/>
        <v>14.207650273224044</v>
      </c>
      <c r="N124" s="156">
        <v>0</v>
      </c>
      <c r="O124" s="357">
        <f t="shared" si="3"/>
        <v>0</v>
      </c>
      <c r="P124" s="156">
        <v>17</v>
      </c>
      <c r="Q124" s="156"/>
      <c r="R124" s="81" t="s">
        <v>2004</v>
      </c>
      <c r="S124" s="83" t="s">
        <v>1269</v>
      </c>
      <c r="T124" s="161"/>
      <c r="U124" s="165">
        <v>34.06</v>
      </c>
      <c r="V124" s="85"/>
      <c r="W124" s="159"/>
      <c r="X124" s="159"/>
      <c r="Y124" s="159"/>
      <c r="Z124" s="159"/>
      <c r="AA124" s="159"/>
      <c r="AB124" s="81" t="s">
        <v>37</v>
      </c>
      <c r="AC124" s="165">
        <v>10</v>
      </c>
      <c r="AD124" s="157" t="s">
        <v>48</v>
      </c>
      <c r="AE124" s="175"/>
      <c r="AF124" s="65"/>
    </row>
    <row r="125" spans="1:32">
      <c r="A125" s="61">
        <v>104</v>
      </c>
      <c r="B125" s="62" t="s">
        <v>33</v>
      </c>
      <c r="C125" s="62" t="s">
        <v>2001</v>
      </c>
      <c r="D125" s="62" t="s">
        <v>2207</v>
      </c>
      <c r="E125" s="62" t="s">
        <v>2214</v>
      </c>
      <c r="F125" s="62" t="s">
        <v>2215</v>
      </c>
      <c r="G125" s="156">
        <v>337</v>
      </c>
      <c r="H125" s="156">
        <v>30</v>
      </c>
      <c r="I125" s="156">
        <v>149</v>
      </c>
      <c r="J125" s="156">
        <v>72</v>
      </c>
      <c r="K125" s="156">
        <v>77</v>
      </c>
      <c r="L125" s="156">
        <v>0</v>
      </c>
      <c r="M125" s="366">
        <f t="shared" si="2"/>
        <v>0</v>
      </c>
      <c r="N125" s="156">
        <v>0</v>
      </c>
      <c r="O125" s="357">
        <f t="shared" si="3"/>
        <v>0</v>
      </c>
      <c r="P125" s="156">
        <v>10</v>
      </c>
      <c r="Q125" s="156"/>
      <c r="R125" s="81" t="s">
        <v>2004</v>
      </c>
      <c r="S125" s="83" t="s">
        <v>1269</v>
      </c>
      <c r="T125" s="161"/>
      <c r="U125" s="165"/>
      <c r="V125" s="85"/>
      <c r="W125" s="159"/>
      <c r="X125" s="159"/>
      <c r="Y125" s="159"/>
      <c r="Z125" s="159"/>
      <c r="AA125" s="159"/>
      <c r="AB125" s="85"/>
      <c r="AC125" s="165"/>
      <c r="AD125" s="159"/>
      <c r="AE125" s="175"/>
    </row>
    <row r="126" spans="1:32">
      <c r="A126" s="61">
        <v>105</v>
      </c>
      <c r="B126" s="62" t="s">
        <v>33</v>
      </c>
      <c r="C126" s="62" t="s">
        <v>2001</v>
      </c>
      <c r="D126" s="62" t="s">
        <v>2207</v>
      </c>
      <c r="E126" s="62" t="s">
        <v>2216</v>
      </c>
      <c r="F126" s="62" t="s">
        <v>2217</v>
      </c>
      <c r="G126" s="156">
        <v>352</v>
      </c>
      <c r="H126" s="156">
        <v>114</v>
      </c>
      <c r="I126" s="156">
        <v>603</v>
      </c>
      <c r="J126" s="156">
        <v>322</v>
      </c>
      <c r="K126" s="156">
        <v>281</v>
      </c>
      <c r="L126" s="156">
        <v>37</v>
      </c>
      <c r="M126" s="366">
        <f t="shared" si="2"/>
        <v>6.1359867330016584</v>
      </c>
      <c r="N126" s="156">
        <v>0</v>
      </c>
      <c r="O126" s="357">
        <f t="shared" si="3"/>
        <v>0</v>
      </c>
      <c r="P126" s="156">
        <v>50</v>
      </c>
      <c r="Q126" s="156"/>
      <c r="R126" s="81" t="s">
        <v>2004</v>
      </c>
      <c r="S126" s="83" t="s">
        <v>1269</v>
      </c>
      <c r="T126" s="160"/>
      <c r="U126" s="165">
        <v>46.41</v>
      </c>
      <c r="V126" s="85"/>
      <c r="W126" s="159"/>
      <c r="X126" s="159"/>
      <c r="Y126" s="159"/>
      <c r="Z126" s="159"/>
      <c r="AA126" s="159"/>
      <c r="AB126" s="85"/>
      <c r="AC126" s="165"/>
      <c r="AD126" s="159"/>
      <c r="AE126" s="175"/>
    </row>
    <row r="127" spans="1:32">
      <c r="A127" s="61">
        <v>106</v>
      </c>
      <c r="B127" s="62" t="s">
        <v>33</v>
      </c>
      <c r="C127" s="62" t="s">
        <v>2001</v>
      </c>
      <c r="D127" s="62" t="s">
        <v>2207</v>
      </c>
      <c r="E127" s="62" t="s">
        <v>2218</v>
      </c>
      <c r="F127" s="62" t="s">
        <v>2219</v>
      </c>
      <c r="G127" s="156">
        <v>235</v>
      </c>
      <c r="H127" s="156">
        <v>77</v>
      </c>
      <c r="I127" s="156">
        <v>450</v>
      </c>
      <c r="J127" s="156">
        <v>235</v>
      </c>
      <c r="K127" s="156">
        <v>215</v>
      </c>
      <c r="L127" s="156">
        <v>0</v>
      </c>
      <c r="M127" s="366">
        <f t="shared" si="2"/>
        <v>0</v>
      </c>
      <c r="N127" s="156">
        <v>0</v>
      </c>
      <c r="O127" s="357">
        <f t="shared" si="3"/>
        <v>0</v>
      </c>
      <c r="P127" s="156">
        <v>27</v>
      </c>
      <c r="Q127" s="156"/>
      <c r="R127" s="81" t="s">
        <v>2004</v>
      </c>
      <c r="S127" s="83" t="s">
        <v>1269</v>
      </c>
      <c r="T127" s="160"/>
      <c r="U127" s="165"/>
      <c r="V127" s="85"/>
      <c r="W127" s="159"/>
      <c r="X127" s="159"/>
      <c r="Y127" s="159"/>
      <c r="Z127" s="159"/>
      <c r="AA127" s="159"/>
      <c r="AB127" s="81"/>
      <c r="AC127" s="165"/>
      <c r="AD127" s="159"/>
      <c r="AE127" s="175"/>
    </row>
    <row r="128" spans="1:32">
      <c r="A128" s="61">
        <v>107</v>
      </c>
      <c r="B128" s="62" t="s">
        <v>33</v>
      </c>
      <c r="C128" s="62" t="s">
        <v>2001</v>
      </c>
      <c r="D128" s="62" t="s">
        <v>2207</v>
      </c>
      <c r="E128" s="62" t="s">
        <v>2220</v>
      </c>
      <c r="F128" s="62" t="s">
        <v>2221</v>
      </c>
      <c r="G128" s="156">
        <v>202</v>
      </c>
      <c r="H128" s="156">
        <v>44</v>
      </c>
      <c r="I128" s="156">
        <v>247</v>
      </c>
      <c r="J128" s="156">
        <v>133</v>
      </c>
      <c r="K128" s="156">
        <v>114</v>
      </c>
      <c r="L128" s="156">
        <v>74</v>
      </c>
      <c r="M128" s="366">
        <f t="shared" si="2"/>
        <v>29.959514170040485</v>
      </c>
      <c r="N128" s="156">
        <v>78</v>
      </c>
      <c r="O128" s="357">
        <f t="shared" si="3"/>
        <v>31.578947368421051</v>
      </c>
      <c r="P128" s="156">
        <v>15</v>
      </c>
      <c r="Q128" s="156"/>
      <c r="R128" s="81" t="s">
        <v>2004</v>
      </c>
      <c r="S128" s="83" t="s">
        <v>1269</v>
      </c>
      <c r="T128" s="163"/>
      <c r="U128" s="165"/>
      <c r="V128" s="85"/>
      <c r="W128" s="159"/>
      <c r="X128" s="159"/>
      <c r="Y128" s="159"/>
      <c r="Z128" s="159"/>
      <c r="AA128" s="159"/>
      <c r="AB128" s="85"/>
      <c r="AC128" s="165"/>
      <c r="AD128" s="159"/>
      <c r="AE128" s="175"/>
    </row>
    <row r="129" spans="1:32">
      <c r="A129" s="61">
        <v>108</v>
      </c>
      <c r="B129" s="62" t="s">
        <v>33</v>
      </c>
      <c r="C129" s="62" t="s">
        <v>2001</v>
      </c>
      <c r="D129" s="62" t="s">
        <v>2207</v>
      </c>
      <c r="E129" s="62" t="s">
        <v>2222</v>
      </c>
      <c r="F129" s="62" t="s">
        <v>2223</v>
      </c>
      <c r="G129" s="156">
        <v>263</v>
      </c>
      <c r="H129" s="156">
        <v>96</v>
      </c>
      <c r="I129" s="156">
        <v>499</v>
      </c>
      <c r="J129" s="156">
        <v>273</v>
      </c>
      <c r="K129" s="156">
        <v>226</v>
      </c>
      <c r="L129" s="156">
        <v>79</v>
      </c>
      <c r="M129" s="366">
        <f t="shared" si="2"/>
        <v>15.831663326653306</v>
      </c>
      <c r="N129" s="156">
        <v>0</v>
      </c>
      <c r="O129" s="357">
        <f t="shared" si="3"/>
        <v>0</v>
      </c>
      <c r="P129" s="156">
        <v>19</v>
      </c>
      <c r="Q129" s="156"/>
      <c r="R129" s="81" t="s">
        <v>2004</v>
      </c>
      <c r="S129" s="83" t="s">
        <v>1269</v>
      </c>
      <c r="T129" s="160"/>
      <c r="U129" s="85"/>
      <c r="V129" s="85"/>
      <c r="W129" s="159"/>
      <c r="X129" s="159"/>
      <c r="Y129" s="159"/>
      <c r="Z129" s="159"/>
      <c r="AA129" s="159"/>
      <c r="AB129" s="81"/>
      <c r="AC129" s="83"/>
      <c r="AD129" s="159"/>
      <c r="AE129" s="175"/>
    </row>
    <row r="130" spans="1:32">
      <c r="A130" s="61">
        <v>109</v>
      </c>
      <c r="B130" s="62" t="s">
        <v>33</v>
      </c>
      <c r="C130" s="62" t="s">
        <v>2001</v>
      </c>
      <c r="D130" s="63" t="s">
        <v>2224</v>
      </c>
      <c r="E130" s="63" t="s">
        <v>2225</v>
      </c>
      <c r="F130" s="62" t="s">
        <v>2226</v>
      </c>
      <c r="G130" s="156">
        <v>1208.8599999999999</v>
      </c>
      <c r="H130" s="156">
        <v>400</v>
      </c>
      <c r="I130" s="156">
        <v>2144</v>
      </c>
      <c r="J130" s="156">
        <v>1088</v>
      </c>
      <c r="K130" s="156">
        <v>1056</v>
      </c>
      <c r="L130" s="156">
        <v>355</v>
      </c>
      <c r="M130" s="366">
        <f t="shared" si="2"/>
        <v>16.557835820895523</v>
      </c>
      <c r="N130" s="156">
        <v>33</v>
      </c>
      <c r="O130" s="357">
        <f t="shared" si="3"/>
        <v>1.539179104477612</v>
      </c>
      <c r="P130" s="156">
        <v>50.51</v>
      </c>
      <c r="Q130" s="156"/>
      <c r="R130" s="81" t="s">
        <v>2004</v>
      </c>
      <c r="S130" s="83" t="s">
        <v>1269</v>
      </c>
      <c r="T130" s="160"/>
      <c r="U130" s="165"/>
      <c r="V130" s="85"/>
      <c r="W130" s="159"/>
      <c r="X130" s="159"/>
      <c r="Y130" s="159"/>
      <c r="Z130" s="159"/>
      <c r="AA130" s="159"/>
      <c r="AB130" s="81" t="s">
        <v>37</v>
      </c>
      <c r="AC130" s="165">
        <v>13</v>
      </c>
      <c r="AD130" s="157" t="s">
        <v>48</v>
      </c>
      <c r="AE130" s="175"/>
    </row>
    <row r="131" spans="1:32">
      <c r="A131" s="61">
        <v>110</v>
      </c>
      <c r="B131" s="62" t="s">
        <v>33</v>
      </c>
      <c r="C131" s="62" t="s">
        <v>2001</v>
      </c>
      <c r="D131" s="62" t="s">
        <v>2224</v>
      </c>
      <c r="E131" s="62" t="s">
        <v>2227</v>
      </c>
      <c r="F131" s="62" t="s">
        <v>2228</v>
      </c>
      <c r="G131" s="156">
        <v>318.33</v>
      </c>
      <c r="H131" s="156">
        <v>48</v>
      </c>
      <c r="I131" s="156">
        <v>239</v>
      </c>
      <c r="J131" s="156">
        <v>125</v>
      </c>
      <c r="K131" s="156">
        <v>114</v>
      </c>
      <c r="L131" s="156">
        <v>0</v>
      </c>
      <c r="M131" s="366">
        <f t="shared" si="2"/>
        <v>0</v>
      </c>
      <c r="N131" s="156">
        <v>114</v>
      </c>
      <c r="O131" s="357">
        <f t="shared" si="3"/>
        <v>47.69874476987448</v>
      </c>
      <c r="P131" s="156">
        <v>3.15</v>
      </c>
      <c r="Q131" s="156"/>
      <c r="R131" s="81" t="s">
        <v>2004</v>
      </c>
      <c r="S131" s="83" t="s">
        <v>1269</v>
      </c>
      <c r="T131" s="160"/>
      <c r="U131" s="83">
        <v>34.069299999999998</v>
      </c>
      <c r="V131" s="85"/>
      <c r="W131" s="159"/>
      <c r="X131" s="159"/>
      <c r="Y131" s="159"/>
      <c r="Z131" s="159"/>
      <c r="AA131" s="159"/>
      <c r="AB131" s="81" t="s">
        <v>37</v>
      </c>
      <c r="AC131" s="83">
        <v>13</v>
      </c>
      <c r="AD131" s="157" t="s">
        <v>48</v>
      </c>
      <c r="AE131" s="175"/>
    </row>
    <row r="132" spans="1:32">
      <c r="A132" s="61">
        <v>111</v>
      </c>
      <c r="B132" s="62" t="s">
        <v>33</v>
      </c>
      <c r="C132" s="62" t="s">
        <v>2001</v>
      </c>
      <c r="D132" s="62" t="s">
        <v>2224</v>
      </c>
      <c r="E132" s="62" t="s">
        <v>2229</v>
      </c>
      <c r="F132" s="62" t="s">
        <v>2230</v>
      </c>
      <c r="G132" s="156">
        <v>256.11</v>
      </c>
      <c r="H132" s="156">
        <v>69</v>
      </c>
      <c r="I132" s="156">
        <v>361</v>
      </c>
      <c r="J132" s="156">
        <v>200</v>
      </c>
      <c r="K132" s="156">
        <v>161</v>
      </c>
      <c r="L132" s="156">
        <v>0</v>
      </c>
      <c r="M132" s="366">
        <f t="shared" si="2"/>
        <v>0</v>
      </c>
      <c r="N132" s="156">
        <v>137</v>
      </c>
      <c r="O132" s="357">
        <f t="shared" si="3"/>
        <v>37.95013850415512</v>
      </c>
      <c r="P132" s="156">
        <v>17</v>
      </c>
      <c r="Q132" s="156"/>
      <c r="R132" s="81" t="s">
        <v>2004</v>
      </c>
      <c r="S132" s="83" t="s">
        <v>1269</v>
      </c>
      <c r="T132" s="160"/>
      <c r="U132" s="83">
        <v>25.229600000000001</v>
      </c>
      <c r="V132" s="85"/>
      <c r="W132" s="159"/>
      <c r="X132" s="159"/>
      <c r="Y132" s="159"/>
      <c r="Z132" s="159"/>
      <c r="AA132" s="159"/>
      <c r="AB132" s="81" t="s">
        <v>37</v>
      </c>
      <c r="AC132" s="83">
        <v>10</v>
      </c>
      <c r="AD132" s="157" t="s">
        <v>48</v>
      </c>
      <c r="AE132" s="175"/>
    </row>
    <row r="133" spans="1:32">
      <c r="A133" s="61">
        <v>112</v>
      </c>
      <c r="B133" s="62" t="s">
        <v>33</v>
      </c>
      <c r="C133" s="62" t="s">
        <v>2001</v>
      </c>
      <c r="D133" s="62" t="s">
        <v>2224</v>
      </c>
      <c r="E133" s="62" t="s">
        <v>2231</v>
      </c>
      <c r="F133" s="62" t="s">
        <v>2232</v>
      </c>
      <c r="G133" s="156">
        <v>326.27</v>
      </c>
      <c r="H133" s="156">
        <v>149</v>
      </c>
      <c r="I133" s="156">
        <v>783</v>
      </c>
      <c r="J133" s="156">
        <v>398</v>
      </c>
      <c r="K133" s="156">
        <v>385</v>
      </c>
      <c r="L133" s="156">
        <v>1</v>
      </c>
      <c r="M133" s="366">
        <f t="shared" ref="M133:M196" si="4">L133/I133*100</f>
        <v>0.1277139208173691</v>
      </c>
      <c r="N133" s="156">
        <v>382</v>
      </c>
      <c r="O133" s="357">
        <f t="shared" ref="O133:O196" si="5">N133/I133*100</f>
        <v>48.786717752234992</v>
      </c>
      <c r="P133" s="156">
        <v>19.07</v>
      </c>
      <c r="Q133" s="156"/>
      <c r="R133" s="81" t="s">
        <v>2004</v>
      </c>
      <c r="S133" s="83" t="s">
        <v>1269</v>
      </c>
      <c r="T133" s="160"/>
      <c r="U133" s="83">
        <v>19.9054</v>
      </c>
      <c r="V133" s="85"/>
      <c r="W133" s="159"/>
      <c r="X133" s="159"/>
      <c r="Y133" s="159"/>
      <c r="Z133" s="159"/>
      <c r="AA133" s="159"/>
      <c r="AB133" s="81" t="s">
        <v>37</v>
      </c>
      <c r="AC133" s="83">
        <v>13</v>
      </c>
      <c r="AD133" s="157" t="s">
        <v>48</v>
      </c>
      <c r="AE133" s="175"/>
    </row>
    <row r="134" spans="1:32">
      <c r="A134" s="61">
        <v>113</v>
      </c>
      <c r="B134" s="62" t="s">
        <v>33</v>
      </c>
      <c r="C134" s="62" t="s">
        <v>2001</v>
      </c>
      <c r="D134" s="62" t="s">
        <v>2224</v>
      </c>
      <c r="E134" s="62" t="s">
        <v>2233</v>
      </c>
      <c r="F134" s="62" t="s">
        <v>2234</v>
      </c>
      <c r="G134" s="156">
        <v>517.47</v>
      </c>
      <c r="H134" s="156">
        <v>117</v>
      </c>
      <c r="I134" s="156">
        <v>578</v>
      </c>
      <c r="J134" s="156">
        <v>299</v>
      </c>
      <c r="K134" s="156">
        <v>279</v>
      </c>
      <c r="L134" s="156">
        <v>1</v>
      </c>
      <c r="M134" s="366">
        <f t="shared" si="4"/>
        <v>0.17301038062283738</v>
      </c>
      <c r="N134" s="156">
        <v>232</v>
      </c>
      <c r="O134" s="357">
        <f t="shared" si="5"/>
        <v>40.13840830449827</v>
      </c>
      <c r="P134" s="156">
        <v>21.17</v>
      </c>
      <c r="Q134" s="156"/>
      <c r="R134" s="81" t="s">
        <v>2004</v>
      </c>
      <c r="S134" s="83" t="s">
        <v>1269</v>
      </c>
      <c r="T134" s="160"/>
      <c r="U134" s="83">
        <v>34.512</v>
      </c>
      <c r="V134" s="85"/>
      <c r="W134" s="159"/>
      <c r="X134" s="159"/>
      <c r="Y134" s="159"/>
      <c r="Z134" s="159"/>
      <c r="AA134" s="159"/>
      <c r="AB134" s="81" t="s">
        <v>37</v>
      </c>
      <c r="AC134" s="83">
        <v>10</v>
      </c>
      <c r="AD134" s="157" t="s">
        <v>48</v>
      </c>
      <c r="AE134" s="175"/>
    </row>
    <row r="135" spans="1:32">
      <c r="A135" s="61">
        <v>114</v>
      </c>
      <c r="B135" s="62" t="s">
        <v>33</v>
      </c>
      <c r="C135" s="62" t="s">
        <v>2001</v>
      </c>
      <c r="D135" s="62" t="s">
        <v>2224</v>
      </c>
      <c r="E135" s="62" t="s">
        <v>2235</v>
      </c>
      <c r="F135" s="62" t="s">
        <v>2236</v>
      </c>
      <c r="G135" s="156">
        <v>191.16</v>
      </c>
      <c r="H135" s="156">
        <v>0</v>
      </c>
      <c r="I135" s="156">
        <v>0</v>
      </c>
      <c r="J135" s="156">
        <v>0</v>
      </c>
      <c r="K135" s="156">
        <v>0</v>
      </c>
      <c r="L135" s="156">
        <v>0</v>
      </c>
      <c r="M135" s="156">
        <v>0</v>
      </c>
      <c r="N135" s="366">
        <v>0</v>
      </c>
      <c r="O135" s="156">
        <v>0</v>
      </c>
      <c r="P135" s="357">
        <v>0</v>
      </c>
      <c r="Q135" s="156"/>
      <c r="R135" s="81" t="s">
        <v>2004</v>
      </c>
      <c r="S135" s="83" t="s">
        <v>1269</v>
      </c>
      <c r="T135" s="161"/>
      <c r="U135" s="85"/>
      <c r="V135" s="85"/>
      <c r="W135" s="159"/>
      <c r="X135" s="159"/>
      <c r="Y135" s="159"/>
      <c r="Z135" s="159"/>
      <c r="AA135" s="159"/>
      <c r="AB135" s="85"/>
      <c r="AC135" s="83"/>
      <c r="AD135" s="159"/>
      <c r="AE135" s="175"/>
    </row>
    <row r="136" spans="1:32">
      <c r="A136" s="61">
        <v>115</v>
      </c>
      <c r="B136" s="62" t="s">
        <v>33</v>
      </c>
      <c r="C136" s="62" t="s">
        <v>2001</v>
      </c>
      <c r="D136" s="63" t="s">
        <v>2237</v>
      </c>
      <c r="E136" s="63" t="s">
        <v>2238</v>
      </c>
      <c r="F136" s="62" t="s">
        <v>2239</v>
      </c>
      <c r="G136" s="156">
        <v>643</v>
      </c>
      <c r="H136" s="156">
        <v>196</v>
      </c>
      <c r="I136" s="156">
        <v>994</v>
      </c>
      <c r="J136" s="156">
        <v>508</v>
      </c>
      <c r="K136" s="156">
        <v>486</v>
      </c>
      <c r="L136" s="156">
        <v>292</v>
      </c>
      <c r="M136" s="366">
        <f t="shared" si="4"/>
        <v>29.376257545271628</v>
      </c>
      <c r="N136" s="156">
        <v>0</v>
      </c>
      <c r="O136" s="357">
        <f t="shared" si="5"/>
        <v>0</v>
      </c>
      <c r="P136" s="156">
        <v>34</v>
      </c>
      <c r="Q136" s="156"/>
      <c r="R136" s="81" t="s">
        <v>2004</v>
      </c>
      <c r="S136" s="162" t="s">
        <v>1269</v>
      </c>
      <c r="T136" s="161"/>
      <c r="U136" s="83">
        <v>34.549900000000001</v>
      </c>
      <c r="V136" s="85"/>
      <c r="W136" s="159"/>
      <c r="X136" s="159"/>
      <c r="Y136" s="159"/>
      <c r="Z136" s="159"/>
      <c r="AA136" s="159"/>
      <c r="AB136" s="81" t="s">
        <v>37</v>
      </c>
      <c r="AC136" s="83">
        <v>3</v>
      </c>
      <c r="AD136" s="157" t="s">
        <v>48</v>
      </c>
      <c r="AE136" s="175"/>
    </row>
    <row r="137" spans="1:32">
      <c r="A137" s="61">
        <v>116</v>
      </c>
      <c r="B137" s="62" t="s">
        <v>33</v>
      </c>
      <c r="C137" s="62" t="s">
        <v>2001</v>
      </c>
      <c r="D137" s="62" t="s">
        <v>2237</v>
      </c>
      <c r="E137" s="62" t="s">
        <v>172</v>
      </c>
      <c r="F137" s="62" t="s">
        <v>2240</v>
      </c>
      <c r="G137" s="156">
        <v>272</v>
      </c>
      <c r="H137" s="156">
        <v>169</v>
      </c>
      <c r="I137" s="156">
        <v>951</v>
      </c>
      <c r="J137" s="156">
        <v>510</v>
      </c>
      <c r="K137" s="156">
        <v>441</v>
      </c>
      <c r="L137" s="156">
        <v>30</v>
      </c>
      <c r="M137" s="366">
        <f t="shared" si="4"/>
        <v>3.1545741324921135</v>
      </c>
      <c r="N137" s="156">
        <v>321</v>
      </c>
      <c r="O137" s="357">
        <f t="shared" si="5"/>
        <v>33.753943217665615</v>
      </c>
      <c r="P137" s="156">
        <v>19</v>
      </c>
      <c r="Q137" s="156"/>
      <c r="R137" s="81" t="s">
        <v>2004</v>
      </c>
      <c r="S137" s="162" t="s">
        <v>1269</v>
      </c>
      <c r="T137" s="161"/>
      <c r="U137" s="83">
        <v>19.500900000000001</v>
      </c>
      <c r="V137" s="85"/>
      <c r="W137" s="159"/>
      <c r="X137" s="159"/>
      <c r="Y137" s="159"/>
      <c r="Z137" s="159"/>
      <c r="AA137" s="159"/>
      <c r="AB137" s="81" t="s">
        <v>37</v>
      </c>
      <c r="AC137" s="83">
        <v>13</v>
      </c>
      <c r="AD137" s="157" t="s">
        <v>48</v>
      </c>
      <c r="AE137" s="175"/>
    </row>
    <row r="138" spans="1:32">
      <c r="A138" s="61">
        <v>117</v>
      </c>
      <c r="B138" s="62" t="s">
        <v>33</v>
      </c>
      <c r="C138" s="62" t="s">
        <v>2001</v>
      </c>
      <c r="D138" s="62" t="s">
        <v>2237</v>
      </c>
      <c r="E138" s="62" t="s">
        <v>1272</v>
      </c>
      <c r="F138" s="62" t="s">
        <v>2241</v>
      </c>
      <c r="G138" s="156">
        <v>171</v>
      </c>
      <c r="H138" s="156">
        <v>11</v>
      </c>
      <c r="I138" s="156">
        <v>78</v>
      </c>
      <c r="J138" s="156">
        <v>42</v>
      </c>
      <c r="K138" s="156">
        <v>36</v>
      </c>
      <c r="L138" s="156">
        <v>26</v>
      </c>
      <c r="M138" s="366">
        <f t="shared" si="4"/>
        <v>33.333333333333329</v>
      </c>
      <c r="N138" s="156">
        <v>11</v>
      </c>
      <c r="O138" s="357">
        <f t="shared" si="5"/>
        <v>14.102564102564102</v>
      </c>
      <c r="P138" s="156">
        <v>3</v>
      </c>
      <c r="Q138" s="156"/>
      <c r="R138" s="81" t="s">
        <v>2004</v>
      </c>
      <c r="S138" s="162" t="s">
        <v>1269</v>
      </c>
      <c r="T138" s="161"/>
      <c r="U138" s="83">
        <v>4.7545000000000002</v>
      </c>
      <c r="V138" s="85"/>
      <c r="W138" s="159"/>
      <c r="X138" s="159"/>
      <c r="Y138" s="159"/>
      <c r="Z138" s="159"/>
      <c r="AA138" s="159"/>
      <c r="AB138" s="81"/>
      <c r="AC138" s="83"/>
      <c r="AD138" s="159"/>
      <c r="AE138" s="175"/>
    </row>
    <row r="139" spans="1:32">
      <c r="A139" s="61">
        <v>118</v>
      </c>
      <c r="B139" s="62" t="s">
        <v>33</v>
      </c>
      <c r="C139" s="62" t="s">
        <v>2001</v>
      </c>
      <c r="D139" s="62" t="s">
        <v>2237</v>
      </c>
      <c r="E139" s="62" t="s">
        <v>2242</v>
      </c>
      <c r="F139" s="62" t="s">
        <v>2243</v>
      </c>
      <c r="G139" s="156">
        <v>161</v>
      </c>
      <c r="H139" s="156">
        <v>16</v>
      </c>
      <c r="I139" s="156">
        <v>109</v>
      </c>
      <c r="J139" s="156">
        <v>52</v>
      </c>
      <c r="K139" s="156">
        <v>57</v>
      </c>
      <c r="L139" s="156">
        <v>7</v>
      </c>
      <c r="M139" s="366">
        <f t="shared" si="4"/>
        <v>6.4220183486238538</v>
      </c>
      <c r="N139" s="156">
        <v>0</v>
      </c>
      <c r="O139" s="357">
        <f t="shared" si="5"/>
        <v>0</v>
      </c>
      <c r="P139" s="156">
        <v>4</v>
      </c>
      <c r="Q139" s="156"/>
      <c r="R139" s="81" t="s">
        <v>2004</v>
      </c>
      <c r="S139" s="162" t="s">
        <v>1269</v>
      </c>
      <c r="T139" s="160"/>
      <c r="U139" s="83">
        <v>5.0712000000000002</v>
      </c>
      <c r="V139" s="85"/>
      <c r="W139" s="159"/>
      <c r="X139" s="159"/>
      <c r="Y139" s="159"/>
      <c r="Z139" s="159"/>
      <c r="AA139" s="159"/>
      <c r="AB139" s="81"/>
      <c r="AC139" s="83"/>
      <c r="AD139" s="159"/>
      <c r="AE139" s="175"/>
    </row>
    <row r="140" spans="1:32">
      <c r="A140" s="61">
        <v>119</v>
      </c>
      <c r="B140" s="62" t="s">
        <v>33</v>
      </c>
      <c r="C140" s="62" t="s">
        <v>2001</v>
      </c>
      <c r="D140" s="62" t="s">
        <v>2237</v>
      </c>
      <c r="E140" s="62" t="s">
        <v>2244</v>
      </c>
      <c r="F140" s="62" t="s">
        <v>2245</v>
      </c>
      <c r="G140" s="156">
        <v>186</v>
      </c>
      <c r="H140" s="156">
        <v>102</v>
      </c>
      <c r="I140" s="156">
        <v>570</v>
      </c>
      <c r="J140" s="156">
        <v>295</v>
      </c>
      <c r="K140" s="156">
        <v>275</v>
      </c>
      <c r="L140" s="156">
        <v>150</v>
      </c>
      <c r="M140" s="366">
        <f t="shared" si="4"/>
        <v>26.315789473684209</v>
      </c>
      <c r="N140" s="156">
        <v>25</v>
      </c>
      <c r="O140" s="357">
        <f t="shared" si="5"/>
        <v>4.3859649122807012</v>
      </c>
      <c r="P140" s="156">
        <v>0</v>
      </c>
      <c r="Q140" s="156"/>
      <c r="R140" s="81" t="s">
        <v>2004</v>
      </c>
      <c r="S140" s="162" t="s">
        <v>1269</v>
      </c>
      <c r="T140" s="160"/>
      <c r="U140" s="83">
        <v>27.455300000000001</v>
      </c>
      <c r="V140" s="85"/>
      <c r="W140" s="159"/>
      <c r="X140" s="159"/>
      <c r="Y140" s="159"/>
      <c r="Z140" s="159"/>
      <c r="AA140" s="159"/>
      <c r="AB140" s="81"/>
      <c r="AC140" s="83"/>
      <c r="AD140" s="159"/>
      <c r="AE140" s="175"/>
      <c r="AF140" s="65"/>
    </row>
    <row r="141" spans="1:32">
      <c r="A141" s="61">
        <v>120</v>
      </c>
      <c r="B141" s="62" t="s">
        <v>33</v>
      </c>
      <c r="C141" s="62" t="s">
        <v>2001</v>
      </c>
      <c r="D141" s="62" t="s">
        <v>2237</v>
      </c>
      <c r="E141" s="62" t="s">
        <v>2246</v>
      </c>
      <c r="F141" s="62" t="s">
        <v>2247</v>
      </c>
      <c r="G141" s="156">
        <v>363</v>
      </c>
      <c r="H141" s="156">
        <v>59</v>
      </c>
      <c r="I141" s="156">
        <v>286</v>
      </c>
      <c r="J141" s="156">
        <v>151</v>
      </c>
      <c r="K141" s="156">
        <v>135</v>
      </c>
      <c r="L141" s="156">
        <v>69</v>
      </c>
      <c r="M141" s="366">
        <f t="shared" si="4"/>
        <v>24.125874125874127</v>
      </c>
      <c r="N141" s="156">
        <v>1</v>
      </c>
      <c r="O141" s="357">
        <f t="shared" si="5"/>
        <v>0.34965034965034963</v>
      </c>
      <c r="P141" s="156">
        <v>12</v>
      </c>
      <c r="Q141" s="156"/>
      <c r="R141" s="81" t="s">
        <v>2004</v>
      </c>
      <c r="S141" s="162" t="s">
        <v>1269</v>
      </c>
      <c r="T141" s="160"/>
      <c r="U141" s="83">
        <v>11.444900000000001</v>
      </c>
      <c r="V141" s="85"/>
      <c r="W141" s="159"/>
      <c r="X141" s="159"/>
      <c r="Y141" s="159"/>
      <c r="Z141" s="159"/>
      <c r="AA141" s="159"/>
      <c r="AB141" s="81" t="s">
        <v>37</v>
      </c>
      <c r="AC141" s="83">
        <v>3</v>
      </c>
      <c r="AD141" s="157" t="s">
        <v>48</v>
      </c>
      <c r="AE141" s="175"/>
      <c r="AF141" s="65"/>
    </row>
    <row r="142" spans="1:32">
      <c r="A142" s="61">
        <v>121</v>
      </c>
      <c r="B142" s="62" t="s">
        <v>33</v>
      </c>
      <c r="C142" s="62" t="s">
        <v>2001</v>
      </c>
      <c r="D142" s="62" t="s">
        <v>2237</v>
      </c>
      <c r="E142" s="62" t="s">
        <v>2248</v>
      </c>
      <c r="F142" s="62" t="s">
        <v>2249</v>
      </c>
      <c r="G142" s="156">
        <v>349</v>
      </c>
      <c r="H142" s="156">
        <v>183</v>
      </c>
      <c r="I142" s="156">
        <v>842</v>
      </c>
      <c r="J142" s="156">
        <v>430</v>
      </c>
      <c r="K142" s="156">
        <v>412</v>
      </c>
      <c r="L142" s="156">
        <v>206</v>
      </c>
      <c r="M142" s="366">
        <f t="shared" si="4"/>
        <v>24.465558194774349</v>
      </c>
      <c r="N142" s="156">
        <v>82</v>
      </c>
      <c r="O142" s="357">
        <f t="shared" si="5"/>
        <v>9.7387173396674598</v>
      </c>
      <c r="P142" s="156">
        <v>30</v>
      </c>
      <c r="Q142" s="156"/>
      <c r="R142" s="81" t="s">
        <v>2004</v>
      </c>
      <c r="S142" s="162" t="s">
        <v>1269</v>
      </c>
      <c r="T142" s="160"/>
      <c r="U142" s="83">
        <v>30.5031</v>
      </c>
      <c r="V142" s="85"/>
      <c r="W142" s="159"/>
      <c r="X142" s="159"/>
      <c r="Y142" s="159"/>
      <c r="Z142" s="159"/>
      <c r="AA142" s="159"/>
      <c r="AB142" s="81" t="s">
        <v>37</v>
      </c>
      <c r="AC142" s="83">
        <v>3</v>
      </c>
      <c r="AD142" s="157" t="s">
        <v>48</v>
      </c>
      <c r="AE142" s="175"/>
    </row>
    <row r="143" spans="1:32">
      <c r="A143" s="61">
        <v>122</v>
      </c>
      <c r="B143" s="62" t="s">
        <v>33</v>
      </c>
      <c r="C143" s="62" t="s">
        <v>2001</v>
      </c>
      <c r="D143" s="62" t="s">
        <v>2237</v>
      </c>
      <c r="E143" s="62" t="s">
        <v>2250</v>
      </c>
      <c r="F143" s="62" t="s">
        <v>2251</v>
      </c>
      <c r="G143" s="156">
        <v>134</v>
      </c>
      <c r="H143" s="156">
        <v>35</v>
      </c>
      <c r="I143" s="156">
        <v>148</v>
      </c>
      <c r="J143" s="156">
        <v>74</v>
      </c>
      <c r="K143" s="156">
        <v>74</v>
      </c>
      <c r="L143" s="156">
        <v>59</v>
      </c>
      <c r="M143" s="366">
        <f t="shared" si="4"/>
        <v>39.864864864864863</v>
      </c>
      <c r="N143" s="156">
        <v>0</v>
      </c>
      <c r="O143" s="357">
        <f t="shared" si="5"/>
        <v>0</v>
      </c>
      <c r="P143" s="156">
        <v>8</v>
      </c>
      <c r="Q143" s="156"/>
      <c r="R143" s="81" t="s">
        <v>2004</v>
      </c>
      <c r="S143" s="162" t="s">
        <v>1269</v>
      </c>
      <c r="T143" s="160"/>
      <c r="U143" s="83">
        <v>7.29</v>
      </c>
      <c r="V143" s="85"/>
      <c r="W143" s="159"/>
      <c r="X143" s="159"/>
      <c r="Y143" s="159"/>
      <c r="Z143" s="159"/>
      <c r="AA143" s="159"/>
      <c r="AB143" s="81" t="s">
        <v>37</v>
      </c>
      <c r="AC143" s="83">
        <v>13</v>
      </c>
      <c r="AD143" s="157" t="s">
        <v>48</v>
      </c>
      <c r="AE143" s="175"/>
    </row>
    <row r="144" spans="1:32">
      <c r="A144" s="61">
        <v>123</v>
      </c>
      <c r="B144" s="62" t="s">
        <v>33</v>
      </c>
      <c r="C144" s="62" t="s">
        <v>2001</v>
      </c>
      <c r="D144" s="62" t="s">
        <v>2237</v>
      </c>
      <c r="E144" s="62" t="s">
        <v>2252</v>
      </c>
      <c r="F144" s="62" t="s">
        <v>2253</v>
      </c>
      <c r="G144" s="156">
        <v>390</v>
      </c>
      <c r="H144" s="156">
        <v>87</v>
      </c>
      <c r="I144" s="156">
        <v>434</v>
      </c>
      <c r="J144" s="156">
        <v>228</v>
      </c>
      <c r="K144" s="156">
        <v>206</v>
      </c>
      <c r="L144" s="156">
        <v>135</v>
      </c>
      <c r="M144" s="366">
        <f t="shared" si="4"/>
        <v>31.105990783410135</v>
      </c>
      <c r="N144" s="156">
        <v>23</v>
      </c>
      <c r="O144" s="357">
        <f t="shared" si="5"/>
        <v>5.2995391705069128</v>
      </c>
      <c r="P144" s="156">
        <v>7</v>
      </c>
      <c r="Q144" s="156"/>
      <c r="R144" s="81" t="s">
        <v>2004</v>
      </c>
      <c r="S144" s="162" t="s">
        <v>1269</v>
      </c>
      <c r="T144" s="160"/>
      <c r="U144" s="83">
        <v>6.8037999999999998</v>
      </c>
      <c r="V144" s="85"/>
      <c r="W144" s="159"/>
      <c r="X144" s="159"/>
      <c r="Y144" s="159"/>
      <c r="Z144" s="159"/>
      <c r="AA144" s="159"/>
      <c r="AB144" s="81"/>
      <c r="AC144" s="83"/>
      <c r="AD144" s="159"/>
      <c r="AE144" s="175"/>
    </row>
    <row r="145" spans="1:32">
      <c r="A145" s="61">
        <v>124</v>
      </c>
      <c r="B145" s="62" t="s">
        <v>33</v>
      </c>
      <c r="C145" s="62" t="s">
        <v>2001</v>
      </c>
      <c r="D145" s="62" t="s">
        <v>2237</v>
      </c>
      <c r="E145" s="62" t="s">
        <v>2254</v>
      </c>
      <c r="F145" s="62" t="s">
        <v>2255</v>
      </c>
      <c r="G145" s="156">
        <v>356</v>
      </c>
      <c r="H145" s="156">
        <v>88</v>
      </c>
      <c r="I145" s="156">
        <v>387</v>
      </c>
      <c r="J145" s="156">
        <v>206</v>
      </c>
      <c r="K145" s="156">
        <v>181</v>
      </c>
      <c r="L145" s="156">
        <v>104</v>
      </c>
      <c r="M145" s="366">
        <f t="shared" si="4"/>
        <v>26.873385012919897</v>
      </c>
      <c r="N145" s="156">
        <v>24</v>
      </c>
      <c r="O145" s="357">
        <f t="shared" si="5"/>
        <v>6.2015503875968996</v>
      </c>
      <c r="P145" s="156">
        <v>4</v>
      </c>
      <c r="Q145" s="156"/>
      <c r="R145" s="81" t="s">
        <v>2004</v>
      </c>
      <c r="S145" s="162" t="s">
        <v>1269</v>
      </c>
      <c r="T145" s="160"/>
      <c r="U145" s="83">
        <v>3.6421999999999999</v>
      </c>
      <c r="V145" s="159"/>
      <c r="W145" s="159"/>
      <c r="X145" s="159"/>
      <c r="Y145" s="159"/>
      <c r="Z145" s="159"/>
      <c r="AA145" s="159"/>
      <c r="AB145" s="81" t="s">
        <v>37</v>
      </c>
      <c r="AC145" s="83">
        <v>11</v>
      </c>
      <c r="AD145" s="157" t="s">
        <v>48</v>
      </c>
      <c r="AE145" s="175"/>
      <c r="AF145" s="65"/>
    </row>
    <row r="146" spans="1:32">
      <c r="A146" s="61">
        <v>125</v>
      </c>
      <c r="B146" s="62" t="s">
        <v>33</v>
      </c>
      <c r="C146" s="62" t="s">
        <v>2001</v>
      </c>
      <c r="D146" s="62" t="s">
        <v>2237</v>
      </c>
      <c r="E146" s="62" t="s">
        <v>2256</v>
      </c>
      <c r="F146" s="62" t="s">
        <v>2257</v>
      </c>
      <c r="G146" s="156">
        <v>215</v>
      </c>
      <c r="H146" s="156">
        <v>41</v>
      </c>
      <c r="I146" s="156">
        <v>194</v>
      </c>
      <c r="J146" s="156">
        <v>107</v>
      </c>
      <c r="K146" s="156">
        <v>87</v>
      </c>
      <c r="L146" s="156">
        <v>68</v>
      </c>
      <c r="M146" s="366">
        <f t="shared" si="4"/>
        <v>35.051546391752574</v>
      </c>
      <c r="N146" s="156">
        <v>0</v>
      </c>
      <c r="O146" s="357">
        <f t="shared" si="5"/>
        <v>0</v>
      </c>
      <c r="P146" s="156">
        <v>9</v>
      </c>
      <c r="Q146" s="156"/>
      <c r="R146" s="81" t="s">
        <v>2004</v>
      </c>
      <c r="S146" s="162" t="s">
        <v>1269</v>
      </c>
      <c r="T146" s="160"/>
      <c r="U146" s="83">
        <v>7.5373000000000001</v>
      </c>
      <c r="V146" s="159"/>
      <c r="W146" s="159"/>
      <c r="X146" s="159"/>
      <c r="Y146" s="159"/>
      <c r="Z146" s="159"/>
      <c r="AA146" s="159"/>
      <c r="AB146" s="85"/>
      <c r="AC146" s="83"/>
      <c r="AD146" s="159"/>
      <c r="AE146" s="175"/>
    </row>
    <row r="147" spans="1:32">
      <c r="A147" s="61">
        <v>126</v>
      </c>
      <c r="B147" s="62" t="s">
        <v>33</v>
      </c>
      <c r="C147" s="62" t="s">
        <v>2001</v>
      </c>
      <c r="D147" s="63" t="s">
        <v>2258</v>
      </c>
      <c r="E147" s="63" t="s">
        <v>2259</v>
      </c>
      <c r="F147" s="62" t="s">
        <v>2260</v>
      </c>
      <c r="G147" s="156">
        <v>960</v>
      </c>
      <c r="H147" s="156">
        <v>339</v>
      </c>
      <c r="I147" s="156">
        <v>1647</v>
      </c>
      <c r="J147" s="156">
        <v>847</v>
      </c>
      <c r="K147" s="156">
        <v>800</v>
      </c>
      <c r="L147" s="156">
        <v>197</v>
      </c>
      <c r="M147" s="366">
        <f t="shared" si="4"/>
        <v>11.961141469338191</v>
      </c>
      <c r="N147" s="156">
        <v>110</v>
      </c>
      <c r="O147" s="357">
        <f t="shared" si="5"/>
        <v>6.6788099574984825</v>
      </c>
      <c r="P147" s="156">
        <v>0</v>
      </c>
      <c r="Q147" s="156"/>
      <c r="R147" s="81" t="s">
        <v>2004</v>
      </c>
      <c r="S147" s="169">
        <v>45317</v>
      </c>
      <c r="T147" s="160"/>
      <c r="U147" s="83"/>
      <c r="V147" s="159"/>
      <c r="W147" s="159"/>
      <c r="X147" s="159"/>
      <c r="Y147" s="159"/>
      <c r="Z147" s="159"/>
      <c r="AA147" s="159"/>
      <c r="AB147" s="81"/>
      <c r="AC147" s="83"/>
      <c r="AD147" s="159"/>
      <c r="AE147" s="175"/>
    </row>
    <row r="148" spans="1:32">
      <c r="A148" s="61">
        <v>127</v>
      </c>
      <c r="B148" s="62" t="s">
        <v>33</v>
      </c>
      <c r="C148" s="62" t="s">
        <v>2001</v>
      </c>
      <c r="D148" s="62" t="s">
        <v>2258</v>
      </c>
      <c r="E148" s="62" t="s">
        <v>2261</v>
      </c>
      <c r="F148" s="62" t="s">
        <v>2262</v>
      </c>
      <c r="G148" s="156">
        <v>296</v>
      </c>
      <c r="H148" s="156">
        <v>32</v>
      </c>
      <c r="I148" s="156">
        <v>174</v>
      </c>
      <c r="J148" s="156">
        <v>92</v>
      </c>
      <c r="K148" s="156">
        <v>82</v>
      </c>
      <c r="L148" s="156">
        <v>0</v>
      </c>
      <c r="M148" s="366">
        <f t="shared" si="4"/>
        <v>0</v>
      </c>
      <c r="N148" s="156">
        <v>0</v>
      </c>
      <c r="O148" s="357">
        <f t="shared" si="5"/>
        <v>0</v>
      </c>
      <c r="P148" s="156">
        <v>11</v>
      </c>
      <c r="Q148" s="156"/>
      <c r="R148" s="81" t="s">
        <v>2004</v>
      </c>
      <c r="S148" s="169">
        <v>45317</v>
      </c>
      <c r="T148" s="160"/>
      <c r="U148" s="83">
        <v>20.449300000000001</v>
      </c>
      <c r="V148" s="159"/>
      <c r="W148" s="159"/>
      <c r="X148" s="159"/>
      <c r="Y148" s="159"/>
      <c r="Z148" s="159"/>
      <c r="AA148" s="159"/>
      <c r="AB148" s="81" t="s">
        <v>37</v>
      </c>
      <c r="AC148" s="83">
        <v>9</v>
      </c>
      <c r="AD148" s="157" t="s">
        <v>48</v>
      </c>
      <c r="AE148" s="175"/>
    </row>
    <row r="149" spans="1:32">
      <c r="A149" s="61">
        <v>128</v>
      </c>
      <c r="B149" s="62" t="s">
        <v>33</v>
      </c>
      <c r="C149" s="62" t="s">
        <v>2001</v>
      </c>
      <c r="D149" s="62" t="s">
        <v>2258</v>
      </c>
      <c r="E149" s="62" t="s">
        <v>2263</v>
      </c>
      <c r="F149" s="62" t="s">
        <v>2264</v>
      </c>
      <c r="G149" s="156">
        <v>321</v>
      </c>
      <c r="H149" s="156">
        <v>149</v>
      </c>
      <c r="I149" s="156">
        <v>789</v>
      </c>
      <c r="J149" s="156">
        <v>420</v>
      </c>
      <c r="K149" s="156">
        <v>369</v>
      </c>
      <c r="L149" s="156">
        <v>213</v>
      </c>
      <c r="M149" s="366">
        <f t="shared" si="4"/>
        <v>26.996197718631176</v>
      </c>
      <c r="N149" s="156">
        <v>0</v>
      </c>
      <c r="O149" s="357">
        <f t="shared" si="5"/>
        <v>0</v>
      </c>
      <c r="P149" s="156">
        <v>43</v>
      </c>
      <c r="Q149" s="156"/>
      <c r="R149" s="81" t="s">
        <v>2004</v>
      </c>
      <c r="S149" s="169">
        <v>45317</v>
      </c>
      <c r="T149" s="160"/>
      <c r="U149" s="83">
        <v>47.851399999999998</v>
      </c>
      <c r="V149" s="159"/>
      <c r="W149" s="159"/>
      <c r="X149" s="159"/>
      <c r="Y149" s="159"/>
      <c r="Z149" s="159"/>
      <c r="AA149" s="159"/>
      <c r="AB149" s="81" t="s">
        <v>37</v>
      </c>
      <c r="AC149" s="83">
        <v>12</v>
      </c>
      <c r="AD149" s="157" t="s">
        <v>48</v>
      </c>
      <c r="AE149" s="175"/>
    </row>
    <row r="150" spans="1:32">
      <c r="A150" s="61">
        <v>129</v>
      </c>
      <c r="B150" s="62" t="s">
        <v>33</v>
      </c>
      <c r="C150" s="62" t="s">
        <v>2001</v>
      </c>
      <c r="D150" s="62" t="s">
        <v>2258</v>
      </c>
      <c r="E150" s="62" t="s">
        <v>2265</v>
      </c>
      <c r="F150" s="62" t="s">
        <v>2266</v>
      </c>
      <c r="G150" s="156">
        <v>600</v>
      </c>
      <c r="H150" s="156">
        <v>124</v>
      </c>
      <c r="I150" s="156">
        <v>516</v>
      </c>
      <c r="J150" s="156">
        <v>266</v>
      </c>
      <c r="K150" s="156">
        <v>250</v>
      </c>
      <c r="L150" s="156">
        <v>4</v>
      </c>
      <c r="M150" s="366">
        <f t="shared" si="4"/>
        <v>0.77519379844961245</v>
      </c>
      <c r="N150" s="156">
        <v>0</v>
      </c>
      <c r="O150" s="357">
        <f t="shared" si="5"/>
        <v>0</v>
      </c>
      <c r="P150" s="156">
        <v>38</v>
      </c>
      <c r="Q150" s="156"/>
      <c r="R150" s="81" t="s">
        <v>2004</v>
      </c>
      <c r="S150" s="169">
        <v>45317</v>
      </c>
      <c r="T150" s="160"/>
      <c r="U150" s="83">
        <v>37.091900000000003</v>
      </c>
      <c r="V150" s="159"/>
      <c r="W150" s="159"/>
      <c r="X150" s="159"/>
      <c r="Y150" s="159"/>
      <c r="Z150" s="159"/>
      <c r="AA150" s="159"/>
      <c r="AB150" s="81" t="s">
        <v>37</v>
      </c>
      <c r="AC150" s="83">
        <v>11</v>
      </c>
      <c r="AD150" s="157" t="s">
        <v>48</v>
      </c>
      <c r="AE150" s="175"/>
    </row>
    <row r="151" spans="1:32">
      <c r="A151" s="61">
        <v>130</v>
      </c>
      <c r="B151" s="62" t="s">
        <v>33</v>
      </c>
      <c r="C151" s="62" t="s">
        <v>2001</v>
      </c>
      <c r="D151" s="62" t="s">
        <v>2258</v>
      </c>
      <c r="E151" s="62" t="s">
        <v>2267</v>
      </c>
      <c r="F151" s="62" t="s">
        <v>2268</v>
      </c>
      <c r="G151" s="156">
        <v>376</v>
      </c>
      <c r="H151" s="156">
        <v>93</v>
      </c>
      <c r="I151" s="156">
        <v>429</v>
      </c>
      <c r="J151" s="156">
        <v>215</v>
      </c>
      <c r="K151" s="156">
        <v>214</v>
      </c>
      <c r="L151" s="156">
        <v>49</v>
      </c>
      <c r="M151" s="366">
        <f t="shared" si="4"/>
        <v>11.421911421911423</v>
      </c>
      <c r="N151" s="156">
        <v>7</v>
      </c>
      <c r="O151" s="357">
        <f t="shared" si="5"/>
        <v>1.6317016317016315</v>
      </c>
      <c r="P151" s="156">
        <v>13</v>
      </c>
      <c r="Q151" s="156"/>
      <c r="R151" s="81" t="s">
        <v>2004</v>
      </c>
      <c r="S151" s="169">
        <v>45317</v>
      </c>
      <c r="T151" s="160"/>
      <c r="U151" s="83"/>
      <c r="V151" s="159"/>
      <c r="W151" s="159"/>
      <c r="X151" s="159"/>
      <c r="Y151" s="159"/>
      <c r="Z151" s="159"/>
      <c r="AA151" s="159"/>
      <c r="AB151" s="85"/>
      <c r="AC151" s="83"/>
      <c r="AD151" s="159"/>
      <c r="AE151" s="175"/>
    </row>
    <row r="152" spans="1:32">
      <c r="A152" s="61">
        <v>131</v>
      </c>
      <c r="B152" s="62" t="s">
        <v>33</v>
      </c>
      <c r="C152" s="62" t="s">
        <v>2001</v>
      </c>
      <c r="D152" s="62" t="s">
        <v>2258</v>
      </c>
      <c r="E152" s="62" t="s">
        <v>2269</v>
      </c>
      <c r="F152" s="62" t="s">
        <v>2270</v>
      </c>
      <c r="G152" s="156">
        <v>275</v>
      </c>
      <c r="H152" s="156">
        <v>69</v>
      </c>
      <c r="I152" s="156">
        <v>301</v>
      </c>
      <c r="J152" s="156">
        <v>159</v>
      </c>
      <c r="K152" s="156">
        <v>142</v>
      </c>
      <c r="L152" s="156">
        <v>78</v>
      </c>
      <c r="M152" s="366">
        <f t="shared" si="4"/>
        <v>25.91362126245847</v>
      </c>
      <c r="N152" s="156">
        <v>26</v>
      </c>
      <c r="O152" s="357">
        <f t="shared" si="5"/>
        <v>8.6378737541528228</v>
      </c>
      <c r="P152" s="156">
        <v>23</v>
      </c>
      <c r="Q152" s="156"/>
      <c r="R152" s="81" t="s">
        <v>2004</v>
      </c>
      <c r="S152" s="169">
        <v>45317</v>
      </c>
      <c r="T152" s="160"/>
      <c r="U152" s="83">
        <v>29.984500000000001</v>
      </c>
      <c r="V152" s="159"/>
      <c r="W152" s="159"/>
      <c r="X152" s="159"/>
      <c r="Y152" s="159"/>
      <c r="Z152" s="159"/>
      <c r="AA152" s="159"/>
      <c r="AB152" s="81" t="s">
        <v>37</v>
      </c>
      <c r="AC152" s="83">
        <v>3</v>
      </c>
      <c r="AD152" s="157" t="s">
        <v>48</v>
      </c>
      <c r="AE152" s="175"/>
    </row>
    <row r="153" spans="1:32">
      <c r="A153" s="61" t="s">
        <v>51</v>
      </c>
      <c r="B153" s="62" t="s">
        <v>33</v>
      </c>
      <c r="C153" s="62" t="s">
        <v>2001</v>
      </c>
      <c r="D153" s="62" t="s">
        <v>2258</v>
      </c>
      <c r="E153" s="62" t="s">
        <v>2269</v>
      </c>
      <c r="F153" s="62"/>
      <c r="G153" s="156"/>
      <c r="H153" s="156"/>
      <c r="I153" s="156"/>
      <c r="J153" s="156"/>
      <c r="K153" s="156"/>
      <c r="L153" s="156"/>
      <c r="M153" s="366"/>
      <c r="N153" s="156"/>
      <c r="O153" s="357"/>
      <c r="P153" s="156"/>
      <c r="Q153" s="156"/>
      <c r="R153" s="81"/>
      <c r="S153" s="169"/>
      <c r="T153" s="160"/>
      <c r="U153" s="83"/>
      <c r="V153" s="159"/>
      <c r="W153" s="159"/>
      <c r="X153" s="159"/>
      <c r="Y153" s="159"/>
      <c r="Z153" s="159"/>
      <c r="AA153" s="159"/>
      <c r="AB153" s="81" t="s">
        <v>37</v>
      </c>
      <c r="AC153" s="83">
        <v>14</v>
      </c>
      <c r="AD153" s="157" t="s">
        <v>48</v>
      </c>
      <c r="AE153" s="174">
        <v>24.65</v>
      </c>
      <c r="AF153" s="65">
        <v>76.900000000000006</v>
      </c>
    </row>
    <row r="154" spans="1:32">
      <c r="A154" s="61">
        <v>132</v>
      </c>
      <c r="B154" s="62" t="s">
        <v>33</v>
      </c>
      <c r="C154" s="62" t="s">
        <v>2001</v>
      </c>
      <c r="D154" s="62" t="s">
        <v>2258</v>
      </c>
      <c r="E154" s="62" t="s">
        <v>2271</v>
      </c>
      <c r="F154" s="62" t="s">
        <v>2272</v>
      </c>
      <c r="G154" s="156">
        <v>367</v>
      </c>
      <c r="H154" s="156">
        <v>118</v>
      </c>
      <c r="I154" s="156">
        <v>521</v>
      </c>
      <c r="J154" s="156">
        <v>273</v>
      </c>
      <c r="K154" s="156">
        <v>248</v>
      </c>
      <c r="L154" s="156">
        <v>54</v>
      </c>
      <c r="M154" s="366">
        <f t="shared" si="4"/>
        <v>10.36468330134357</v>
      </c>
      <c r="N154" s="156">
        <v>0</v>
      </c>
      <c r="O154" s="357">
        <f t="shared" si="5"/>
        <v>0</v>
      </c>
      <c r="P154" s="156">
        <v>33</v>
      </c>
      <c r="Q154" s="156"/>
      <c r="R154" s="81" t="s">
        <v>2004</v>
      </c>
      <c r="S154" s="169">
        <v>45317</v>
      </c>
      <c r="T154" s="160"/>
      <c r="U154" s="83">
        <v>33.184100000000001</v>
      </c>
      <c r="V154" s="159"/>
      <c r="W154" s="159"/>
      <c r="X154" s="159"/>
      <c r="Y154" s="159"/>
      <c r="Z154" s="159"/>
      <c r="AA154" s="159"/>
      <c r="AB154" s="81" t="s">
        <v>37</v>
      </c>
      <c r="AC154" s="83">
        <v>4</v>
      </c>
      <c r="AD154" s="157" t="s">
        <v>48</v>
      </c>
      <c r="AE154" s="175"/>
    </row>
    <row r="155" spans="1:32">
      <c r="A155" s="61">
        <v>133</v>
      </c>
      <c r="B155" s="62" t="s">
        <v>33</v>
      </c>
      <c r="C155" s="62" t="s">
        <v>2001</v>
      </c>
      <c r="D155" s="63" t="s">
        <v>2273</v>
      </c>
      <c r="E155" s="63" t="s">
        <v>2274</v>
      </c>
      <c r="F155" s="62" t="s">
        <v>2275</v>
      </c>
      <c r="G155" s="156">
        <v>279.31</v>
      </c>
      <c r="H155" s="156">
        <v>228</v>
      </c>
      <c r="I155" s="156">
        <v>1129</v>
      </c>
      <c r="J155" s="156">
        <v>553</v>
      </c>
      <c r="K155" s="156">
        <v>576</v>
      </c>
      <c r="L155" s="156">
        <v>225</v>
      </c>
      <c r="M155" s="366">
        <f t="shared" si="4"/>
        <v>19.929140832595216</v>
      </c>
      <c r="N155" s="156">
        <v>0</v>
      </c>
      <c r="O155" s="357">
        <f t="shared" si="5"/>
        <v>0</v>
      </c>
      <c r="P155" s="156">
        <v>19.149999999999999</v>
      </c>
      <c r="Q155" s="156"/>
      <c r="R155" s="81" t="s">
        <v>2004</v>
      </c>
      <c r="S155" s="83" t="s">
        <v>2018</v>
      </c>
      <c r="T155" s="160"/>
      <c r="U155" s="83">
        <v>18.790400000000002</v>
      </c>
      <c r="V155" s="159"/>
      <c r="W155" s="159"/>
      <c r="X155" s="159"/>
      <c r="Y155" s="159"/>
      <c r="Z155" s="159"/>
      <c r="AA155" s="159"/>
      <c r="AB155" s="81" t="s">
        <v>37</v>
      </c>
      <c r="AC155" s="83">
        <v>39</v>
      </c>
      <c r="AD155" s="157" t="s">
        <v>48</v>
      </c>
      <c r="AE155" s="175"/>
    </row>
    <row r="156" spans="1:32">
      <c r="A156" s="61">
        <v>134</v>
      </c>
      <c r="B156" s="62" t="s">
        <v>33</v>
      </c>
      <c r="C156" s="62" t="s">
        <v>2001</v>
      </c>
      <c r="D156" s="62" t="s">
        <v>2273</v>
      </c>
      <c r="E156" s="62" t="s">
        <v>2276</v>
      </c>
      <c r="F156" s="62" t="s">
        <v>2277</v>
      </c>
      <c r="G156" s="156">
        <v>161</v>
      </c>
      <c r="H156" s="156">
        <v>38</v>
      </c>
      <c r="I156" s="156">
        <v>232</v>
      </c>
      <c r="J156" s="156">
        <v>127</v>
      </c>
      <c r="K156" s="156">
        <v>105</v>
      </c>
      <c r="L156" s="156">
        <v>17</v>
      </c>
      <c r="M156" s="366">
        <f t="shared" si="4"/>
        <v>7.3275862068965507</v>
      </c>
      <c r="N156" s="156">
        <v>1</v>
      </c>
      <c r="O156" s="357">
        <f t="shared" si="5"/>
        <v>0.43103448275862066</v>
      </c>
      <c r="P156" s="156">
        <v>22</v>
      </c>
      <c r="Q156" s="156"/>
      <c r="R156" s="81" t="s">
        <v>2004</v>
      </c>
      <c r="S156" s="83" t="s">
        <v>2018</v>
      </c>
      <c r="T156" s="160"/>
      <c r="U156" s="83">
        <v>21.660799999999998</v>
      </c>
      <c r="V156" s="159"/>
      <c r="W156" s="159"/>
      <c r="X156" s="159"/>
      <c r="Y156" s="159"/>
      <c r="Z156" s="159"/>
      <c r="AA156" s="159"/>
      <c r="AB156" s="81"/>
      <c r="AC156" s="83"/>
      <c r="AD156" s="159"/>
      <c r="AE156" s="175"/>
    </row>
    <row r="157" spans="1:32">
      <c r="A157" s="61">
        <v>135</v>
      </c>
      <c r="B157" s="62" t="s">
        <v>33</v>
      </c>
      <c r="C157" s="62" t="s">
        <v>2001</v>
      </c>
      <c r="D157" s="62" t="s">
        <v>2273</v>
      </c>
      <c r="E157" s="62" t="s">
        <v>2278</v>
      </c>
      <c r="F157" s="62" t="s">
        <v>2279</v>
      </c>
      <c r="G157" s="156">
        <v>364.67</v>
      </c>
      <c r="H157" s="156">
        <v>75</v>
      </c>
      <c r="I157" s="156">
        <v>402</v>
      </c>
      <c r="J157" s="156">
        <v>226</v>
      </c>
      <c r="K157" s="156">
        <v>176</v>
      </c>
      <c r="L157" s="156">
        <v>0</v>
      </c>
      <c r="M157" s="366">
        <f t="shared" si="4"/>
        <v>0</v>
      </c>
      <c r="N157" s="156">
        <v>165</v>
      </c>
      <c r="O157" s="357">
        <f t="shared" si="5"/>
        <v>41.044776119402989</v>
      </c>
      <c r="P157" s="156">
        <v>0</v>
      </c>
      <c r="Q157" s="156"/>
      <c r="R157" s="81" t="s">
        <v>2004</v>
      </c>
      <c r="S157" s="83" t="s">
        <v>2018</v>
      </c>
      <c r="T157" s="160"/>
      <c r="U157" s="83"/>
      <c r="V157" s="159"/>
      <c r="W157" s="159"/>
      <c r="X157" s="159"/>
      <c r="Y157" s="159"/>
      <c r="Z157" s="159"/>
      <c r="AA157" s="159"/>
      <c r="AB157" s="81" t="s">
        <v>37</v>
      </c>
      <c r="AC157" s="83">
        <v>25</v>
      </c>
      <c r="AD157" s="157" t="s">
        <v>48</v>
      </c>
      <c r="AE157" s="175"/>
    </row>
    <row r="158" spans="1:32">
      <c r="A158" s="61">
        <v>136</v>
      </c>
      <c r="B158" s="62" t="s">
        <v>33</v>
      </c>
      <c r="C158" s="62" t="s">
        <v>2001</v>
      </c>
      <c r="D158" s="62" t="s">
        <v>2273</v>
      </c>
      <c r="E158" s="62" t="s">
        <v>2280</v>
      </c>
      <c r="F158" s="62" t="s">
        <v>2281</v>
      </c>
      <c r="G158" s="156">
        <v>300.3</v>
      </c>
      <c r="H158" s="156">
        <v>83</v>
      </c>
      <c r="I158" s="156">
        <v>396</v>
      </c>
      <c r="J158" s="156">
        <v>214</v>
      </c>
      <c r="K158" s="156">
        <v>182</v>
      </c>
      <c r="L158" s="156">
        <v>156</v>
      </c>
      <c r="M158" s="366">
        <f t="shared" si="4"/>
        <v>39.393939393939391</v>
      </c>
      <c r="N158" s="156">
        <v>21</v>
      </c>
      <c r="O158" s="357">
        <f t="shared" si="5"/>
        <v>5.3030303030303028</v>
      </c>
      <c r="P158" s="156">
        <v>19.05</v>
      </c>
      <c r="Q158" s="156"/>
      <c r="R158" s="81" t="s">
        <v>2004</v>
      </c>
      <c r="S158" s="83" t="s">
        <v>2018</v>
      </c>
      <c r="T158" s="160"/>
      <c r="U158" s="83">
        <v>21.686199999999999</v>
      </c>
      <c r="V158" s="159"/>
      <c r="W158" s="159"/>
      <c r="X158" s="159"/>
      <c r="Y158" s="159"/>
      <c r="Z158" s="159"/>
      <c r="AA158" s="159"/>
      <c r="AB158" s="81" t="s">
        <v>37</v>
      </c>
      <c r="AC158" s="83">
        <v>18</v>
      </c>
      <c r="AD158" s="157" t="s">
        <v>48</v>
      </c>
      <c r="AE158" s="175"/>
    </row>
    <row r="159" spans="1:32">
      <c r="A159" s="61">
        <v>137</v>
      </c>
      <c r="B159" s="62" t="s">
        <v>33</v>
      </c>
      <c r="C159" s="62" t="s">
        <v>2001</v>
      </c>
      <c r="D159" s="62" t="s">
        <v>2273</v>
      </c>
      <c r="E159" s="62" t="s">
        <v>2282</v>
      </c>
      <c r="F159" s="62" t="s">
        <v>2283</v>
      </c>
      <c r="G159" s="156">
        <v>355.1</v>
      </c>
      <c r="H159" s="156">
        <v>144</v>
      </c>
      <c r="I159" s="156">
        <v>720</v>
      </c>
      <c r="J159" s="156">
        <v>355</v>
      </c>
      <c r="K159" s="156">
        <v>365</v>
      </c>
      <c r="L159" s="156">
        <v>81</v>
      </c>
      <c r="M159" s="366">
        <f t="shared" si="4"/>
        <v>11.25</v>
      </c>
      <c r="N159" s="156">
        <v>69</v>
      </c>
      <c r="O159" s="357">
        <f t="shared" si="5"/>
        <v>9.5833333333333339</v>
      </c>
      <c r="P159" s="156">
        <v>0</v>
      </c>
      <c r="Q159" s="156"/>
      <c r="R159" s="81" t="s">
        <v>2004</v>
      </c>
      <c r="S159" s="83" t="s">
        <v>37</v>
      </c>
      <c r="T159" s="160"/>
      <c r="U159" s="83"/>
      <c r="V159" s="159"/>
      <c r="W159" s="159"/>
      <c r="X159" s="159"/>
      <c r="Y159" s="159"/>
      <c r="Z159" s="159"/>
      <c r="AA159" s="159"/>
      <c r="AB159" s="81" t="s">
        <v>37</v>
      </c>
      <c r="AC159" s="83">
        <v>25</v>
      </c>
      <c r="AD159" s="157" t="s">
        <v>48</v>
      </c>
      <c r="AE159" s="175"/>
    </row>
    <row r="160" spans="1:32">
      <c r="A160" s="61">
        <v>138</v>
      </c>
      <c r="B160" s="62" t="s">
        <v>33</v>
      </c>
      <c r="C160" s="62" t="s">
        <v>2001</v>
      </c>
      <c r="D160" s="62" t="s">
        <v>2273</v>
      </c>
      <c r="E160" s="62" t="s">
        <v>2284</v>
      </c>
      <c r="F160" s="62" t="s">
        <v>2285</v>
      </c>
      <c r="G160" s="156">
        <v>624</v>
      </c>
      <c r="H160" s="156">
        <v>254</v>
      </c>
      <c r="I160" s="156">
        <v>1330</v>
      </c>
      <c r="J160" s="156">
        <v>707</v>
      </c>
      <c r="K160" s="156">
        <v>623</v>
      </c>
      <c r="L160" s="156">
        <v>161</v>
      </c>
      <c r="M160" s="366">
        <f t="shared" si="4"/>
        <v>12.105263157894736</v>
      </c>
      <c r="N160" s="156">
        <v>147</v>
      </c>
      <c r="O160" s="357">
        <f t="shared" si="5"/>
        <v>11.052631578947368</v>
      </c>
      <c r="P160" s="156">
        <v>54</v>
      </c>
      <c r="Q160" s="156"/>
      <c r="R160" s="81" t="s">
        <v>2004</v>
      </c>
      <c r="S160" s="169">
        <v>45337</v>
      </c>
      <c r="T160" s="160"/>
      <c r="U160" s="83">
        <v>66.462000000000003</v>
      </c>
      <c r="V160" s="159"/>
      <c r="W160" s="159"/>
      <c r="X160" s="159"/>
      <c r="Y160" s="159"/>
      <c r="Z160" s="159"/>
      <c r="AA160" s="159"/>
      <c r="AB160" s="81"/>
      <c r="AC160" s="83"/>
      <c r="AD160" s="159"/>
      <c r="AE160" s="175"/>
    </row>
    <row r="161" spans="1:32">
      <c r="A161" s="61">
        <v>139</v>
      </c>
      <c r="B161" s="62" t="s">
        <v>33</v>
      </c>
      <c r="C161" s="62" t="s">
        <v>2001</v>
      </c>
      <c r="D161" s="63" t="s">
        <v>2286</v>
      </c>
      <c r="E161" s="63" t="s">
        <v>951</v>
      </c>
      <c r="F161" s="62" t="s">
        <v>2287</v>
      </c>
      <c r="G161" s="156">
        <v>351</v>
      </c>
      <c r="H161" s="156">
        <v>172</v>
      </c>
      <c r="I161" s="156">
        <v>888</v>
      </c>
      <c r="J161" s="156">
        <v>459</v>
      </c>
      <c r="K161" s="156">
        <v>429</v>
      </c>
      <c r="L161" s="156">
        <v>296</v>
      </c>
      <c r="M161" s="366">
        <f t="shared" si="4"/>
        <v>33.333333333333329</v>
      </c>
      <c r="N161" s="156">
        <v>19</v>
      </c>
      <c r="O161" s="357">
        <f t="shared" si="5"/>
        <v>2.1396396396396398</v>
      </c>
      <c r="P161" s="156">
        <v>28</v>
      </c>
      <c r="Q161" s="156"/>
      <c r="R161" s="81" t="s">
        <v>2004</v>
      </c>
      <c r="S161" s="169">
        <v>45337</v>
      </c>
      <c r="T161" s="160"/>
      <c r="U161" s="83">
        <v>28.568200000000001</v>
      </c>
      <c r="V161" s="159"/>
      <c r="W161" s="159"/>
      <c r="X161" s="159"/>
      <c r="Y161" s="159"/>
      <c r="Z161" s="159"/>
      <c r="AA161" s="159"/>
      <c r="AB161" s="81" t="s">
        <v>37</v>
      </c>
      <c r="AC161" s="83">
        <v>5</v>
      </c>
      <c r="AD161" s="157" t="s">
        <v>48</v>
      </c>
      <c r="AE161" s="177">
        <v>24.733799999999999</v>
      </c>
      <c r="AF161" s="82">
        <v>76.918199999999999</v>
      </c>
    </row>
    <row r="162" spans="1:32">
      <c r="A162" s="61">
        <v>140</v>
      </c>
      <c r="B162" s="62" t="s">
        <v>33</v>
      </c>
      <c r="C162" s="62" t="s">
        <v>2001</v>
      </c>
      <c r="D162" s="62" t="s">
        <v>2286</v>
      </c>
      <c r="E162" s="62" t="s">
        <v>2288</v>
      </c>
      <c r="F162" s="62" t="s">
        <v>2289</v>
      </c>
      <c r="G162" s="156">
        <v>350</v>
      </c>
      <c r="H162" s="156">
        <v>129</v>
      </c>
      <c r="I162" s="156">
        <v>648</v>
      </c>
      <c r="J162" s="156">
        <v>346</v>
      </c>
      <c r="K162" s="156">
        <v>302</v>
      </c>
      <c r="L162" s="156">
        <v>121</v>
      </c>
      <c r="M162" s="366">
        <f t="shared" si="4"/>
        <v>18.672839506172838</v>
      </c>
      <c r="N162" s="156">
        <v>49</v>
      </c>
      <c r="O162" s="357">
        <f t="shared" si="5"/>
        <v>7.5617283950617287</v>
      </c>
      <c r="P162" s="156">
        <v>14</v>
      </c>
      <c r="Q162" s="156"/>
      <c r="R162" s="81" t="s">
        <v>2004</v>
      </c>
      <c r="S162" s="169">
        <v>45337</v>
      </c>
      <c r="T162" s="160"/>
      <c r="U162" s="83">
        <v>12.823399999999999</v>
      </c>
      <c r="V162" s="159"/>
      <c r="W162" s="159"/>
      <c r="X162" s="159"/>
      <c r="Y162" s="159"/>
      <c r="Z162" s="159"/>
      <c r="AA162" s="159"/>
      <c r="AB162" s="81" t="s">
        <v>37</v>
      </c>
      <c r="AC162" s="83">
        <v>12</v>
      </c>
      <c r="AD162" s="157" t="s">
        <v>48</v>
      </c>
      <c r="AE162" s="175"/>
    </row>
    <row r="163" spans="1:32">
      <c r="A163" s="61">
        <v>141</v>
      </c>
      <c r="B163" s="62" t="s">
        <v>33</v>
      </c>
      <c r="C163" s="62" t="s">
        <v>2001</v>
      </c>
      <c r="D163" s="62" t="s">
        <v>2286</v>
      </c>
      <c r="E163" s="62" t="s">
        <v>1656</v>
      </c>
      <c r="F163" s="62" t="s">
        <v>2290</v>
      </c>
      <c r="G163" s="156">
        <v>354</v>
      </c>
      <c r="H163" s="156">
        <v>95</v>
      </c>
      <c r="I163" s="156">
        <v>564</v>
      </c>
      <c r="J163" s="156">
        <v>299</v>
      </c>
      <c r="K163" s="156">
        <v>265</v>
      </c>
      <c r="L163" s="156">
        <v>217</v>
      </c>
      <c r="M163" s="366">
        <f t="shared" si="4"/>
        <v>38.475177304964539</v>
      </c>
      <c r="N163" s="156">
        <v>42</v>
      </c>
      <c r="O163" s="357">
        <f t="shared" si="5"/>
        <v>7.4468085106382977</v>
      </c>
      <c r="P163" s="156">
        <v>3</v>
      </c>
      <c r="Q163" s="156"/>
      <c r="R163" s="81" t="s">
        <v>2004</v>
      </c>
      <c r="S163" s="169">
        <v>45337</v>
      </c>
      <c r="T163" s="160"/>
      <c r="U163" s="83">
        <v>3.3765999999999998</v>
      </c>
      <c r="V163" s="159"/>
      <c r="W163" s="159"/>
      <c r="X163" s="159"/>
      <c r="Y163" s="159"/>
      <c r="Z163" s="159"/>
      <c r="AA163" s="159"/>
      <c r="AB163" s="81" t="s">
        <v>37</v>
      </c>
      <c r="AC163" s="83">
        <v>11</v>
      </c>
      <c r="AD163" s="157" t="s">
        <v>48</v>
      </c>
      <c r="AE163" s="175"/>
    </row>
    <row r="164" spans="1:32">
      <c r="A164" s="61">
        <v>142</v>
      </c>
      <c r="B164" s="62" t="s">
        <v>33</v>
      </c>
      <c r="C164" s="62" t="s">
        <v>2001</v>
      </c>
      <c r="D164" s="62" t="s">
        <v>2286</v>
      </c>
      <c r="E164" s="62" t="s">
        <v>77</v>
      </c>
      <c r="F164" s="62" t="s">
        <v>2291</v>
      </c>
      <c r="G164" s="156">
        <v>452</v>
      </c>
      <c r="H164" s="156">
        <v>86</v>
      </c>
      <c r="I164" s="156">
        <v>498</v>
      </c>
      <c r="J164" s="156">
        <v>266</v>
      </c>
      <c r="K164" s="156">
        <v>232</v>
      </c>
      <c r="L164" s="156">
        <v>23</v>
      </c>
      <c r="M164" s="366">
        <f t="shared" si="4"/>
        <v>4.618473895582329</v>
      </c>
      <c r="N164" s="156">
        <v>86</v>
      </c>
      <c r="O164" s="357">
        <f t="shared" si="5"/>
        <v>17.269076305220885</v>
      </c>
      <c r="P164" s="156">
        <v>1</v>
      </c>
      <c r="Q164" s="156"/>
      <c r="R164" s="81" t="s">
        <v>2004</v>
      </c>
      <c r="S164" s="169">
        <v>45337</v>
      </c>
      <c r="T164" s="160"/>
      <c r="U164" s="83">
        <v>5.7667000000000002</v>
      </c>
      <c r="V164" s="159"/>
      <c r="W164" s="159"/>
      <c r="X164" s="159"/>
      <c r="Y164" s="159"/>
      <c r="Z164" s="159"/>
      <c r="AA164" s="159"/>
      <c r="AB164" s="81" t="s">
        <v>37</v>
      </c>
      <c r="AC164" s="83">
        <v>25</v>
      </c>
      <c r="AD164" s="157" t="s">
        <v>48</v>
      </c>
      <c r="AE164" s="175"/>
    </row>
    <row r="165" spans="1:32">
      <c r="A165" s="61">
        <v>143</v>
      </c>
      <c r="B165" s="62" t="s">
        <v>33</v>
      </c>
      <c r="C165" s="62" t="s">
        <v>2001</v>
      </c>
      <c r="D165" s="62" t="s">
        <v>2286</v>
      </c>
      <c r="E165" s="62" t="s">
        <v>2292</v>
      </c>
      <c r="F165" s="62" t="s">
        <v>2293</v>
      </c>
      <c r="G165" s="156">
        <v>467</v>
      </c>
      <c r="H165" s="156">
        <v>132</v>
      </c>
      <c r="I165" s="156">
        <v>686</v>
      </c>
      <c r="J165" s="156">
        <v>353</v>
      </c>
      <c r="K165" s="156">
        <v>333</v>
      </c>
      <c r="L165" s="156">
        <v>136</v>
      </c>
      <c r="M165" s="366">
        <f t="shared" si="4"/>
        <v>19.825072886297377</v>
      </c>
      <c r="N165" s="156">
        <v>222</v>
      </c>
      <c r="O165" s="357">
        <f t="shared" si="5"/>
        <v>32.361516034985421</v>
      </c>
      <c r="P165" s="156">
        <v>51</v>
      </c>
      <c r="Q165" s="156"/>
      <c r="R165" s="81" t="s">
        <v>2004</v>
      </c>
      <c r="S165" s="169">
        <v>45337</v>
      </c>
      <c r="T165" s="160"/>
      <c r="U165" s="83">
        <v>50.6995</v>
      </c>
      <c r="V165" s="159"/>
      <c r="W165" s="159"/>
      <c r="X165" s="159"/>
      <c r="Y165" s="159"/>
      <c r="Z165" s="159"/>
      <c r="AA165" s="159"/>
      <c r="AB165" s="81" t="s">
        <v>37</v>
      </c>
      <c r="AC165" s="83">
        <v>15</v>
      </c>
      <c r="AD165" s="157" t="s">
        <v>48</v>
      </c>
      <c r="AE165" s="175"/>
    </row>
    <row r="166" spans="1:32">
      <c r="A166" s="61">
        <v>144</v>
      </c>
      <c r="B166" s="62" t="s">
        <v>33</v>
      </c>
      <c r="C166" s="62" t="s">
        <v>2001</v>
      </c>
      <c r="D166" s="62" t="s">
        <v>2286</v>
      </c>
      <c r="E166" s="62" t="s">
        <v>2294</v>
      </c>
      <c r="F166" s="62" t="s">
        <v>2295</v>
      </c>
      <c r="G166" s="156">
        <v>650</v>
      </c>
      <c r="H166" s="156">
        <v>140</v>
      </c>
      <c r="I166" s="156">
        <v>637</v>
      </c>
      <c r="J166" s="156">
        <v>338</v>
      </c>
      <c r="K166" s="156">
        <v>299</v>
      </c>
      <c r="L166" s="156">
        <v>143</v>
      </c>
      <c r="M166" s="366">
        <f t="shared" si="4"/>
        <v>22.448979591836736</v>
      </c>
      <c r="N166" s="156">
        <v>20</v>
      </c>
      <c r="O166" s="357">
        <f t="shared" si="5"/>
        <v>3.1397174254317108</v>
      </c>
      <c r="P166" s="156">
        <v>10</v>
      </c>
      <c r="Q166" s="156"/>
      <c r="R166" s="81" t="s">
        <v>2004</v>
      </c>
      <c r="S166" s="169">
        <v>45337</v>
      </c>
      <c r="T166" s="160"/>
      <c r="U166" s="83">
        <v>29.0962</v>
      </c>
      <c r="V166" s="159"/>
      <c r="W166" s="159"/>
      <c r="X166" s="159"/>
      <c r="Y166" s="159"/>
      <c r="Z166" s="159"/>
      <c r="AA166" s="159"/>
      <c r="AB166" s="81" t="s">
        <v>37</v>
      </c>
      <c r="AC166" s="83">
        <v>26</v>
      </c>
      <c r="AD166" s="157" t="s">
        <v>48</v>
      </c>
      <c r="AE166" s="175"/>
    </row>
    <row r="167" spans="1:32">
      <c r="A167" s="61">
        <v>145</v>
      </c>
      <c r="B167" s="62" t="s">
        <v>33</v>
      </c>
      <c r="C167" s="62" t="s">
        <v>2001</v>
      </c>
      <c r="D167" s="62" t="s">
        <v>2286</v>
      </c>
      <c r="E167" s="62" t="s">
        <v>2296</v>
      </c>
      <c r="F167" s="62" t="s">
        <v>2297</v>
      </c>
      <c r="G167" s="156">
        <v>451</v>
      </c>
      <c r="H167" s="156">
        <v>94</v>
      </c>
      <c r="I167" s="156">
        <v>506</v>
      </c>
      <c r="J167" s="156">
        <v>273</v>
      </c>
      <c r="K167" s="156">
        <v>233</v>
      </c>
      <c r="L167" s="156">
        <v>38</v>
      </c>
      <c r="M167" s="366">
        <f t="shared" si="4"/>
        <v>7.5098814229249005</v>
      </c>
      <c r="N167" s="156">
        <v>89</v>
      </c>
      <c r="O167" s="357">
        <f t="shared" si="5"/>
        <v>17.588932806324113</v>
      </c>
      <c r="P167" s="156">
        <v>21</v>
      </c>
      <c r="Q167" s="156"/>
      <c r="R167" s="81" t="s">
        <v>2004</v>
      </c>
      <c r="S167" s="169">
        <v>45337</v>
      </c>
      <c r="T167" s="160"/>
      <c r="U167" s="165"/>
      <c r="V167" s="159"/>
      <c r="W167" s="159"/>
      <c r="X167" s="159"/>
      <c r="Y167" s="159"/>
      <c r="Z167" s="159"/>
      <c r="AA167" s="159"/>
      <c r="AB167" s="81" t="s">
        <v>37</v>
      </c>
      <c r="AC167" s="83">
        <v>12</v>
      </c>
      <c r="AD167" s="157" t="s">
        <v>48</v>
      </c>
      <c r="AE167" s="175"/>
    </row>
    <row r="168" spans="1:32">
      <c r="A168" s="61">
        <v>146</v>
      </c>
      <c r="B168" s="62" t="s">
        <v>33</v>
      </c>
      <c r="C168" s="62" t="s">
        <v>2001</v>
      </c>
      <c r="D168" s="63" t="s">
        <v>2298</v>
      </c>
      <c r="E168" s="63" t="s">
        <v>2299</v>
      </c>
      <c r="F168" s="62" t="s">
        <v>2300</v>
      </c>
      <c r="G168" s="156">
        <v>1379.69</v>
      </c>
      <c r="H168" s="156">
        <v>368</v>
      </c>
      <c r="I168" s="156">
        <v>2093</v>
      </c>
      <c r="J168" s="156">
        <v>1090</v>
      </c>
      <c r="K168" s="156">
        <v>1003</v>
      </c>
      <c r="L168" s="156">
        <v>447</v>
      </c>
      <c r="M168" s="366">
        <f t="shared" si="4"/>
        <v>21.356903965599621</v>
      </c>
      <c r="N168" s="156">
        <v>86</v>
      </c>
      <c r="O168" s="357">
        <f t="shared" si="5"/>
        <v>4.1089345437171527</v>
      </c>
      <c r="P168" s="156">
        <v>162.25</v>
      </c>
      <c r="Q168" s="156"/>
      <c r="R168" s="81" t="s">
        <v>2004</v>
      </c>
      <c r="S168" s="83" t="s">
        <v>1269</v>
      </c>
      <c r="T168" s="160"/>
      <c r="U168" s="83">
        <v>190.56</v>
      </c>
      <c r="V168" s="159"/>
      <c r="W168" s="159"/>
      <c r="X168" s="159"/>
      <c r="Y168" s="159"/>
      <c r="Z168" s="159"/>
      <c r="AA168" s="159"/>
      <c r="AB168" s="81" t="s">
        <v>37</v>
      </c>
      <c r="AC168" s="83">
        <v>12</v>
      </c>
      <c r="AD168" s="157" t="s">
        <v>48</v>
      </c>
      <c r="AE168" s="175"/>
    </row>
    <row r="169" spans="1:32">
      <c r="A169" s="61" t="s">
        <v>51</v>
      </c>
      <c r="B169" s="62" t="s">
        <v>33</v>
      </c>
      <c r="C169" s="62" t="s">
        <v>2001</v>
      </c>
      <c r="D169" s="63" t="s">
        <v>2298</v>
      </c>
      <c r="E169" s="63" t="s">
        <v>2299</v>
      </c>
      <c r="F169" s="62"/>
      <c r="G169" s="156"/>
      <c r="H169" s="156"/>
      <c r="I169" s="156"/>
      <c r="J169" s="156"/>
      <c r="K169" s="156"/>
      <c r="L169" s="156"/>
      <c r="M169" s="366"/>
      <c r="N169" s="156"/>
      <c r="O169" s="357"/>
      <c r="P169" s="156"/>
      <c r="Q169" s="156"/>
      <c r="R169" s="81"/>
      <c r="S169" s="83"/>
      <c r="T169" s="160"/>
      <c r="U169" s="83"/>
      <c r="V169" s="159"/>
      <c r="W169" s="159"/>
      <c r="X169" s="159"/>
      <c r="Y169" s="159"/>
      <c r="Z169" s="159"/>
      <c r="AA169" s="159"/>
      <c r="AB169" s="81" t="s">
        <v>37</v>
      </c>
      <c r="AC169" s="83">
        <v>15</v>
      </c>
      <c r="AD169" s="157" t="s">
        <v>48</v>
      </c>
      <c r="AE169" s="178">
        <v>24.670999999999999</v>
      </c>
      <c r="AF169" s="83">
        <v>76.861999999999995</v>
      </c>
    </row>
    <row r="170" spans="1:32">
      <c r="A170" s="61" t="s">
        <v>51</v>
      </c>
      <c r="B170" s="62" t="s">
        <v>33</v>
      </c>
      <c r="C170" s="62" t="s">
        <v>2001</v>
      </c>
      <c r="D170" s="63" t="s">
        <v>2298</v>
      </c>
      <c r="E170" s="63" t="s">
        <v>2299</v>
      </c>
      <c r="F170" s="62"/>
      <c r="G170" s="156"/>
      <c r="H170" s="156"/>
      <c r="I170" s="156"/>
      <c r="J170" s="156"/>
      <c r="K170" s="156"/>
      <c r="L170" s="156"/>
      <c r="M170" s="366"/>
      <c r="N170" s="156"/>
      <c r="O170" s="357"/>
      <c r="P170" s="156"/>
      <c r="Q170" s="156"/>
      <c r="R170" s="81"/>
      <c r="S170" s="83"/>
      <c r="T170" s="160"/>
      <c r="U170" s="83"/>
      <c r="V170" s="159"/>
      <c r="W170" s="159"/>
      <c r="X170" s="159"/>
      <c r="Y170" s="159"/>
      <c r="Z170" s="159"/>
      <c r="AA170" s="159"/>
      <c r="AB170" s="81" t="s">
        <v>37</v>
      </c>
      <c r="AC170" s="83">
        <v>18</v>
      </c>
      <c r="AD170" s="157" t="s">
        <v>48</v>
      </c>
      <c r="AE170" s="178">
        <v>24.676300000000001</v>
      </c>
      <c r="AF170" s="83">
        <v>76.843100000000007</v>
      </c>
    </row>
    <row r="171" spans="1:32">
      <c r="A171" s="61">
        <v>147</v>
      </c>
      <c r="B171" s="62" t="s">
        <v>33</v>
      </c>
      <c r="C171" s="62" t="s">
        <v>2001</v>
      </c>
      <c r="D171" s="62" t="s">
        <v>2298</v>
      </c>
      <c r="E171" s="62" t="s">
        <v>2301</v>
      </c>
      <c r="F171" s="62" t="s">
        <v>2302</v>
      </c>
      <c r="G171" s="156">
        <v>342.97</v>
      </c>
      <c r="H171" s="156">
        <v>72</v>
      </c>
      <c r="I171" s="156">
        <v>419</v>
      </c>
      <c r="J171" s="156">
        <v>222</v>
      </c>
      <c r="K171" s="156">
        <v>197</v>
      </c>
      <c r="L171" s="156">
        <v>90</v>
      </c>
      <c r="M171" s="366">
        <f t="shared" si="4"/>
        <v>21.479713603818613</v>
      </c>
      <c r="N171" s="156">
        <v>114</v>
      </c>
      <c r="O171" s="357">
        <f t="shared" si="5"/>
        <v>27.207637231503579</v>
      </c>
      <c r="P171" s="156">
        <v>23.22</v>
      </c>
      <c r="Q171" s="156"/>
      <c r="R171" s="81" t="s">
        <v>2004</v>
      </c>
      <c r="S171" s="83" t="s">
        <v>1269</v>
      </c>
      <c r="T171" s="160"/>
      <c r="U171" s="83">
        <v>30.553699999999999</v>
      </c>
      <c r="V171" s="159"/>
      <c r="W171" s="159"/>
      <c r="X171" s="159"/>
      <c r="Y171" s="159"/>
      <c r="Z171" s="159"/>
      <c r="AA171" s="159"/>
      <c r="AB171" s="81" t="s">
        <v>37</v>
      </c>
      <c r="AC171" s="83">
        <v>4</v>
      </c>
      <c r="AD171" s="157" t="s">
        <v>48</v>
      </c>
      <c r="AE171" s="175"/>
    </row>
    <row r="172" spans="1:32">
      <c r="A172" s="61">
        <v>148</v>
      </c>
      <c r="B172" s="62" t="s">
        <v>33</v>
      </c>
      <c r="C172" s="62" t="s">
        <v>2001</v>
      </c>
      <c r="D172" s="62" t="s">
        <v>2298</v>
      </c>
      <c r="E172" s="62" t="s">
        <v>630</v>
      </c>
      <c r="F172" s="62" t="s">
        <v>2303</v>
      </c>
      <c r="G172" s="156">
        <v>397.54</v>
      </c>
      <c r="H172" s="156">
        <v>171</v>
      </c>
      <c r="I172" s="156">
        <v>875</v>
      </c>
      <c r="J172" s="156">
        <v>459</v>
      </c>
      <c r="K172" s="156">
        <v>416</v>
      </c>
      <c r="L172" s="156">
        <v>12</v>
      </c>
      <c r="M172" s="366">
        <f t="shared" si="4"/>
        <v>1.3714285714285714</v>
      </c>
      <c r="N172" s="156">
        <v>271</v>
      </c>
      <c r="O172" s="357">
        <f t="shared" si="5"/>
        <v>30.971428571428572</v>
      </c>
      <c r="P172" s="156">
        <v>14</v>
      </c>
      <c r="Q172" s="156"/>
      <c r="R172" s="81" t="s">
        <v>2004</v>
      </c>
      <c r="S172" s="83" t="s">
        <v>1269</v>
      </c>
      <c r="T172" s="160"/>
      <c r="U172" s="83">
        <v>23.1555</v>
      </c>
      <c r="V172" s="159"/>
      <c r="W172" s="159"/>
      <c r="X172" s="159"/>
      <c r="Y172" s="159"/>
      <c r="Z172" s="159"/>
      <c r="AA172" s="159"/>
      <c r="AB172" s="81"/>
      <c r="AC172" s="83"/>
      <c r="AD172" s="159"/>
      <c r="AE172" s="175"/>
    </row>
    <row r="173" spans="1:32">
      <c r="A173" s="61">
        <v>149</v>
      </c>
      <c r="B173" s="62" t="s">
        <v>33</v>
      </c>
      <c r="C173" s="62" t="s">
        <v>2001</v>
      </c>
      <c r="D173" s="62" t="s">
        <v>2298</v>
      </c>
      <c r="E173" s="62" t="s">
        <v>2304</v>
      </c>
      <c r="F173" s="62" t="s">
        <v>2305</v>
      </c>
      <c r="G173" s="156">
        <v>181.29</v>
      </c>
      <c r="H173" s="156">
        <v>89</v>
      </c>
      <c r="I173" s="156">
        <v>391</v>
      </c>
      <c r="J173" s="156">
        <v>213</v>
      </c>
      <c r="K173" s="156">
        <v>178</v>
      </c>
      <c r="L173" s="156">
        <v>55</v>
      </c>
      <c r="M173" s="366">
        <f t="shared" si="4"/>
        <v>14.066496163682865</v>
      </c>
      <c r="N173" s="156">
        <v>57</v>
      </c>
      <c r="O173" s="357">
        <f t="shared" si="5"/>
        <v>14.578005115089516</v>
      </c>
      <c r="P173" s="156">
        <v>8.1</v>
      </c>
      <c r="Q173" s="156"/>
      <c r="R173" s="81" t="s">
        <v>2004</v>
      </c>
      <c r="S173" s="83" t="s">
        <v>1269</v>
      </c>
      <c r="T173" s="160"/>
      <c r="U173" s="83">
        <v>9.9654000000000007</v>
      </c>
      <c r="V173" s="159"/>
      <c r="W173" s="159"/>
      <c r="X173" s="159"/>
      <c r="Y173" s="159"/>
      <c r="Z173" s="159"/>
      <c r="AA173" s="159"/>
      <c r="AB173" s="81" t="s">
        <v>37</v>
      </c>
      <c r="AC173" s="83">
        <v>13</v>
      </c>
      <c r="AD173" s="157" t="s">
        <v>48</v>
      </c>
      <c r="AE173" s="175"/>
    </row>
    <row r="174" spans="1:32">
      <c r="A174" s="61">
        <v>150</v>
      </c>
      <c r="B174" s="62" t="s">
        <v>33</v>
      </c>
      <c r="C174" s="62" t="s">
        <v>2001</v>
      </c>
      <c r="D174" s="63" t="s">
        <v>2306</v>
      </c>
      <c r="E174" s="63" t="s">
        <v>2307</v>
      </c>
      <c r="F174" s="62" t="s">
        <v>2308</v>
      </c>
      <c r="G174" s="156">
        <v>343</v>
      </c>
      <c r="H174" s="156">
        <v>133</v>
      </c>
      <c r="I174" s="156">
        <v>620</v>
      </c>
      <c r="J174" s="156">
        <v>322</v>
      </c>
      <c r="K174" s="156">
        <v>298</v>
      </c>
      <c r="L174" s="156">
        <v>81</v>
      </c>
      <c r="M174" s="366">
        <f t="shared" si="4"/>
        <v>13.064516129032258</v>
      </c>
      <c r="N174" s="156">
        <v>182</v>
      </c>
      <c r="O174" s="357">
        <f t="shared" si="5"/>
        <v>29.354838709677416</v>
      </c>
      <c r="P174" s="156">
        <v>21</v>
      </c>
      <c r="Q174" s="156"/>
      <c r="R174" s="81" t="s">
        <v>2004</v>
      </c>
      <c r="S174" s="162" t="s">
        <v>1269</v>
      </c>
      <c r="T174" s="160"/>
      <c r="U174" s="83">
        <v>22.49</v>
      </c>
      <c r="V174" s="159"/>
      <c r="W174" s="159"/>
      <c r="X174" s="159"/>
      <c r="Y174" s="159"/>
      <c r="Z174" s="159"/>
      <c r="AA174" s="159"/>
      <c r="AB174" s="81" t="s">
        <v>37</v>
      </c>
      <c r="AC174" s="83">
        <v>4</v>
      </c>
      <c r="AD174" s="157" t="s">
        <v>48</v>
      </c>
      <c r="AE174" s="175"/>
    </row>
    <row r="175" spans="1:32">
      <c r="A175" s="61">
        <v>151</v>
      </c>
      <c r="B175" s="62" t="s">
        <v>33</v>
      </c>
      <c r="C175" s="62" t="s">
        <v>2001</v>
      </c>
      <c r="D175" s="62" t="s">
        <v>2306</v>
      </c>
      <c r="E175" s="62" t="s">
        <v>2309</v>
      </c>
      <c r="F175" s="62" t="s">
        <v>2310</v>
      </c>
      <c r="G175" s="156">
        <v>179</v>
      </c>
      <c r="H175" s="156">
        <v>54</v>
      </c>
      <c r="I175" s="156">
        <v>301</v>
      </c>
      <c r="J175" s="156">
        <v>165</v>
      </c>
      <c r="K175" s="156">
        <v>136</v>
      </c>
      <c r="L175" s="156">
        <v>35</v>
      </c>
      <c r="M175" s="366">
        <f t="shared" si="4"/>
        <v>11.627906976744185</v>
      </c>
      <c r="N175" s="156">
        <v>113</v>
      </c>
      <c r="O175" s="357">
        <f t="shared" si="5"/>
        <v>37.541528239202663</v>
      </c>
      <c r="P175" s="156">
        <v>30</v>
      </c>
      <c r="Q175" s="156"/>
      <c r="R175" s="81" t="s">
        <v>2004</v>
      </c>
      <c r="S175" s="162" t="s">
        <v>1269</v>
      </c>
      <c r="T175" s="160"/>
      <c r="U175" s="83">
        <v>31.09</v>
      </c>
      <c r="V175" s="159"/>
      <c r="W175" s="159"/>
      <c r="X175" s="159"/>
      <c r="Y175" s="159"/>
      <c r="Z175" s="159"/>
      <c r="AA175" s="159"/>
      <c r="AB175" s="81" t="s">
        <v>37</v>
      </c>
      <c r="AC175" s="83">
        <v>7</v>
      </c>
      <c r="AD175" s="157" t="s">
        <v>48</v>
      </c>
      <c r="AE175" s="175"/>
    </row>
    <row r="176" spans="1:32">
      <c r="A176" s="61">
        <v>152</v>
      </c>
      <c r="B176" s="62" t="s">
        <v>33</v>
      </c>
      <c r="C176" s="62" t="s">
        <v>2001</v>
      </c>
      <c r="D176" s="62" t="s">
        <v>2306</v>
      </c>
      <c r="E176" s="62" t="s">
        <v>2311</v>
      </c>
      <c r="F176" s="62" t="s">
        <v>2312</v>
      </c>
      <c r="G176" s="156">
        <v>111</v>
      </c>
      <c r="H176" s="156">
        <v>41</v>
      </c>
      <c r="I176" s="156">
        <v>205</v>
      </c>
      <c r="J176" s="156">
        <v>113</v>
      </c>
      <c r="K176" s="156">
        <v>92</v>
      </c>
      <c r="L176" s="156">
        <v>0</v>
      </c>
      <c r="M176" s="366">
        <f t="shared" si="4"/>
        <v>0</v>
      </c>
      <c r="N176" s="156">
        <v>92</v>
      </c>
      <c r="O176" s="357">
        <f t="shared" si="5"/>
        <v>44.878048780487809</v>
      </c>
      <c r="P176" s="156">
        <v>9</v>
      </c>
      <c r="Q176" s="156"/>
      <c r="R176" s="81" t="s">
        <v>2004</v>
      </c>
      <c r="S176" s="162" t="s">
        <v>1269</v>
      </c>
      <c r="T176" s="160"/>
      <c r="U176" s="83">
        <v>16.71</v>
      </c>
      <c r="V176" s="159"/>
      <c r="W176" s="159"/>
      <c r="X176" s="159"/>
      <c r="Y176" s="159"/>
      <c r="Z176" s="159"/>
      <c r="AA176" s="159"/>
      <c r="AB176" s="81" t="s">
        <v>37</v>
      </c>
      <c r="AC176" s="83">
        <v>12</v>
      </c>
      <c r="AD176" s="157" t="s">
        <v>48</v>
      </c>
      <c r="AE176" s="175"/>
    </row>
    <row r="177" spans="1:32">
      <c r="A177" s="61">
        <v>153</v>
      </c>
      <c r="B177" s="62" t="s">
        <v>33</v>
      </c>
      <c r="C177" s="62" t="s">
        <v>2001</v>
      </c>
      <c r="D177" s="62" t="s">
        <v>2306</v>
      </c>
      <c r="E177" s="62" t="s">
        <v>2313</v>
      </c>
      <c r="F177" s="62" t="s">
        <v>2314</v>
      </c>
      <c r="G177" s="156">
        <v>307</v>
      </c>
      <c r="H177" s="156">
        <v>94</v>
      </c>
      <c r="I177" s="156">
        <v>460</v>
      </c>
      <c r="J177" s="156">
        <v>249</v>
      </c>
      <c r="K177" s="156">
        <v>211</v>
      </c>
      <c r="L177" s="156">
        <v>62</v>
      </c>
      <c r="M177" s="366">
        <f t="shared" si="4"/>
        <v>13.478260869565217</v>
      </c>
      <c r="N177" s="156">
        <v>173</v>
      </c>
      <c r="O177" s="357">
        <f t="shared" si="5"/>
        <v>37.608695652173914</v>
      </c>
      <c r="P177" s="156">
        <v>24</v>
      </c>
      <c r="Q177" s="156"/>
      <c r="R177" s="81" t="s">
        <v>2004</v>
      </c>
      <c r="S177" s="162" t="s">
        <v>1269</v>
      </c>
      <c r="T177" s="160"/>
      <c r="U177" s="83">
        <v>24.82</v>
      </c>
      <c r="V177" s="159"/>
      <c r="W177" s="159"/>
      <c r="X177" s="159"/>
      <c r="Y177" s="159"/>
      <c r="Z177" s="159"/>
      <c r="AA177" s="159"/>
      <c r="AB177" s="81" t="s">
        <v>37</v>
      </c>
      <c r="AC177" s="83">
        <v>10</v>
      </c>
      <c r="AD177" s="157" t="s">
        <v>48</v>
      </c>
      <c r="AE177" s="175"/>
    </row>
    <row r="178" spans="1:32">
      <c r="A178" s="61">
        <v>154</v>
      </c>
      <c r="B178" s="62" t="s">
        <v>33</v>
      </c>
      <c r="C178" s="62" t="s">
        <v>2001</v>
      </c>
      <c r="D178" s="62" t="s">
        <v>2306</v>
      </c>
      <c r="E178" s="62" t="s">
        <v>2315</v>
      </c>
      <c r="F178" s="62" t="s">
        <v>2316</v>
      </c>
      <c r="G178" s="156">
        <v>150</v>
      </c>
      <c r="H178" s="156">
        <v>26</v>
      </c>
      <c r="I178" s="156">
        <v>133</v>
      </c>
      <c r="J178" s="156">
        <v>57</v>
      </c>
      <c r="K178" s="156">
        <v>76</v>
      </c>
      <c r="L178" s="156">
        <v>126</v>
      </c>
      <c r="M178" s="366">
        <f t="shared" si="4"/>
        <v>94.73684210526315</v>
      </c>
      <c r="N178" s="156">
        <v>3</v>
      </c>
      <c r="O178" s="357">
        <f t="shared" si="5"/>
        <v>2.2556390977443606</v>
      </c>
      <c r="P178" s="156">
        <v>7</v>
      </c>
      <c r="Q178" s="156"/>
      <c r="R178" s="81" t="s">
        <v>2004</v>
      </c>
      <c r="S178" s="162" t="s">
        <v>1269</v>
      </c>
      <c r="T178" s="160"/>
      <c r="U178" s="83">
        <v>10.83</v>
      </c>
      <c r="V178" s="159"/>
      <c r="W178" s="159"/>
      <c r="X178" s="159"/>
      <c r="Y178" s="159"/>
      <c r="Z178" s="159"/>
      <c r="AA178" s="159"/>
      <c r="AB178" s="81" t="s">
        <v>37</v>
      </c>
      <c r="AC178" s="83">
        <v>13</v>
      </c>
      <c r="AD178" s="157" t="s">
        <v>48</v>
      </c>
      <c r="AE178" s="175"/>
    </row>
    <row r="179" spans="1:32">
      <c r="A179" s="61">
        <v>155</v>
      </c>
      <c r="B179" s="62" t="s">
        <v>33</v>
      </c>
      <c r="C179" s="62" t="s">
        <v>2001</v>
      </c>
      <c r="D179" s="62" t="s">
        <v>2306</v>
      </c>
      <c r="E179" s="62" t="s">
        <v>2317</v>
      </c>
      <c r="F179" s="62" t="s">
        <v>2318</v>
      </c>
      <c r="G179" s="156">
        <v>241</v>
      </c>
      <c r="H179" s="156">
        <v>90</v>
      </c>
      <c r="I179" s="156">
        <v>478</v>
      </c>
      <c r="J179" s="156">
        <v>254</v>
      </c>
      <c r="K179" s="156">
        <v>224</v>
      </c>
      <c r="L179" s="156">
        <v>0</v>
      </c>
      <c r="M179" s="366">
        <f t="shared" si="4"/>
        <v>0</v>
      </c>
      <c r="N179" s="156">
        <v>215</v>
      </c>
      <c r="O179" s="357">
        <f t="shared" si="5"/>
        <v>44.979079497907946</v>
      </c>
      <c r="P179" s="156">
        <v>40</v>
      </c>
      <c r="Q179" s="156"/>
      <c r="R179" s="81" t="s">
        <v>2004</v>
      </c>
      <c r="S179" s="162" t="s">
        <v>1269</v>
      </c>
      <c r="T179" s="160"/>
      <c r="U179" s="83">
        <v>24.83</v>
      </c>
      <c r="V179" s="159"/>
      <c r="W179" s="159"/>
      <c r="X179" s="159"/>
      <c r="Y179" s="159"/>
      <c r="Z179" s="159"/>
      <c r="AA179" s="159"/>
      <c r="AB179" s="81" t="s">
        <v>37</v>
      </c>
      <c r="AC179" s="83">
        <v>2</v>
      </c>
      <c r="AD179" s="157" t="s">
        <v>48</v>
      </c>
      <c r="AE179" s="175"/>
      <c r="AF179" s="65"/>
    </row>
    <row r="180" spans="1:32">
      <c r="A180" s="61">
        <v>156</v>
      </c>
      <c r="B180" s="62" t="s">
        <v>33</v>
      </c>
      <c r="C180" s="62" t="s">
        <v>2001</v>
      </c>
      <c r="D180" s="62" t="s">
        <v>2306</v>
      </c>
      <c r="E180" s="62" t="s">
        <v>2319</v>
      </c>
      <c r="F180" s="62" t="s">
        <v>2320</v>
      </c>
      <c r="G180" s="156">
        <v>105</v>
      </c>
      <c r="H180" s="156">
        <v>24</v>
      </c>
      <c r="I180" s="156">
        <v>97</v>
      </c>
      <c r="J180" s="156">
        <v>52</v>
      </c>
      <c r="K180" s="156">
        <v>45</v>
      </c>
      <c r="L180" s="156">
        <v>0</v>
      </c>
      <c r="M180" s="366">
        <f t="shared" si="4"/>
        <v>0</v>
      </c>
      <c r="N180" s="156">
        <v>45</v>
      </c>
      <c r="O180" s="357">
        <f t="shared" si="5"/>
        <v>46.391752577319586</v>
      </c>
      <c r="P180" s="156">
        <v>6</v>
      </c>
      <c r="Q180" s="156"/>
      <c r="R180" s="81" t="s">
        <v>2004</v>
      </c>
      <c r="S180" s="162" t="s">
        <v>1269</v>
      </c>
      <c r="T180" s="160"/>
      <c r="U180" s="83">
        <v>7.0053000000000001</v>
      </c>
      <c r="V180" s="159"/>
      <c r="W180" s="159"/>
      <c r="X180" s="159"/>
      <c r="Y180" s="159"/>
      <c r="Z180" s="159"/>
      <c r="AA180" s="159"/>
      <c r="AB180" s="81" t="s">
        <v>37</v>
      </c>
      <c r="AC180" s="83">
        <v>3</v>
      </c>
      <c r="AD180" s="157" t="s">
        <v>48</v>
      </c>
      <c r="AE180" s="175"/>
    </row>
    <row r="181" spans="1:32">
      <c r="A181" s="61">
        <v>157</v>
      </c>
      <c r="B181" s="62" t="s">
        <v>33</v>
      </c>
      <c r="C181" s="62" t="s">
        <v>2001</v>
      </c>
      <c r="D181" s="62" t="s">
        <v>2306</v>
      </c>
      <c r="E181" s="62" t="s">
        <v>2321</v>
      </c>
      <c r="F181" s="62" t="s">
        <v>2322</v>
      </c>
      <c r="G181" s="156">
        <v>397</v>
      </c>
      <c r="H181" s="156">
        <v>129</v>
      </c>
      <c r="I181" s="156">
        <v>596</v>
      </c>
      <c r="J181" s="156">
        <v>323</v>
      </c>
      <c r="K181" s="156">
        <v>273</v>
      </c>
      <c r="L181" s="156">
        <v>4</v>
      </c>
      <c r="M181" s="366">
        <f t="shared" si="4"/>
        <v>0.67114093959731547</v>
      </c>
      <c r="N181" s="156">
        <v>199</v>
      </c>
      <c r="O181" s="357">
        <f t="shared" si="5"/>
        <v>33.38926174496644</v>
      </c>
      <c r="P181" s="156">
        <v>17</v>
      </c>
      <c r="Q181" s="156"/>
      <c r="R181" s="81" t="s">
        <v>2004</v>
      </c>
      <c r="S181" s="162" t="s">
        <v>1269</v>
      </c>
      <c r="T181" s="160"/>
      <c r="U181" s="83">
        <v>17.171900000000001</v>
      </c>
      <c r="V181" s="159"/>
      <c r="W181" s="159"/>
      <c r="X181" s="159"/>
      <c r="Y181" s="159"/>
      <c r="Z181" s="159"/>
      <c r="AA181" s="159"/>
      <c r="AB181" s="81" t="s">
        <v>37</v>
      </c>
      <c r="AC181" s="83">
        <v>13</v>
      </c>
      <c r="AD181" s="157" t="s">
        <v>48</v>
      </c>
      <c r="AE181" s="175"/>
    </row>
    <row r="182" spans="1:32">
      <c r="A182" s="61">
        <v>158</v>
      </c>
      <c r="B182" s="62" t="s">
        <v>33</v>
      </c>
      <c r="C182" s="62" t="s">
        <v>2001</v>
      </c>
      <c r="D182" s="62" t="s">
        <v>2306</v>
      </c>
      <c r="E182" s="62" t="s">
        <v>2323</v>
      </c>
      <c r="F182" s="62" t="s">
        <v>2324</v>
      </c>
      <c r="G182" s="156">
        <v>291</v>
      </c>
      <c r="H182" s="156">
        <v>102</v>
      </c>
      <c r="I182" s="156">
        <v>548</v>
      </c>
      <c r="J182" s="156">
        <v>302</v>
      </c>
      <c r="K182" s="156">
        <v>246</v>
      </c>
      <c r="L182" s="156">
        <v>0</v>
      </c>
      <c r="M182" s="366">
        <f t="shared" si="4"/>
        <v>0</v>
      </c>
      <c r="N182" s="156">
        <v>246</v>
      </c>
      <c r="O182" s="357">
        <f t="shared" si="5"/>
        <v>44.89051094890511</v>
      </c>
      <c r="P182" s="156">
        <v>31</v>
      </c>
      <c r="Q182" s="156"/>
      <c r="R182" s="81" t="s">
        <v>2004</v>
      </c>
      <c r="S182" s="162" t="s">
        <v>1269</v>
      </c>
      <c r="T182" s="160"/>
      <c r="U182" s="83">
        <v>36.79</v>
      </c>
      <c r="V182" s="159"/>
      <c r="W182" s="159"/>
      <c r="X182" s="159"/>
      <c r="Y182" s="159"/>
      <c r="Z182" s="159"/>
      <c r="AA182" s="159"/>
      <c r="AB182" s="81" t="s">
        <v>37</v>
      </c>
      <c r="AC182" s="83">
        <v>7</v>
      </c>
      <c r="AD182" s="157" t="s">
        <v>48</v>
      </c>
      <c r="AE182" s="175"/>
    </row>
    <row r="183" spans="1:32">
      <c r="A183" s="61" t="s">
        <v>51</v>
      </c>
      <c r="B183" s="62" t="s">
        <v>33</v>
      </c>
      <c r="C183" s="62" t="s">
        <v>2001</v>
      </c>
      <c r="D183" s="62" t="s">
        <v>2306</v>
      </c>
      <c r="E183" s="62" t="s">
        <v>2323</v>
      </c>
      <c r="F183" s="62"/>
      <c r="G183" s="156"/>
      <c r="H183" s="156"/>
      <c r="I183" s="156"/>
      <c r="J183" s="156"/>
      <c r="K183" s="156"/>
      <c r="L183" s="156"/>
      <c r="M183" s="366"/>
      <c r="N183" s="156"/>
      <c r="O183" s="357"/>
      <c r="P183" s="156"/>
      <c r="Q183" s="156"/>
      <c r="R183" s="81"/>
      <c r="S183" s="162"/>
      <c r="T183" s="160"/>
      <c r="U183" s="83"/>
      <c r="V183" s="159"/>
      <c r="W183" s="159"/>
      <c r="X183" s="159"/>
      <c r="Y183" s="159"/>
      <c r="Z183" s="159"/>
      <c r="AA183" s="159"/>
      <c r="AB183" s="81" t="s">
        <v>37</v>
      </c>
      <c r="AC183" s="83">
        <v>13</v>
      </c>
      <c r="AD183" s="157" t="s">
        <v>48</v>
      </c>
      <c r="AE183" s="174">
        <v>24.758500000000002</v>
      </c>
      <c r="AF183" s="65">
        <v>76.841200000000001</v>
      </c>
    </row>
    <row r="184" spans="1:32">
      <c r="A184" s="61">
        <v>159</v>
      </c>
      <c r="B184" s="62" t="s">
        <v>33</v>
      </c>
      <c r="C184" s="62" t="s">
        <v>2001</v>
      </c>
      <c r="D184" s="63" t="s">
        <v>2325</v>
      </c>
      <c r="E184" s="63" t="s">
        <v>880</v>
      </c>
      <c r="F184" s="62" t="s">
        <v>2326</v>
      </c>
      <c r="G184" s="156">
        <v>498</v>
      </c>
      <c r="H184" s="156">
        <v>171</v>
      </c>
      <c r="I184" s="156">
        <v>844</v>
      </c>
      <c r="J184" s="156">
        <v>454</v>
      </c>
      <c r="K184" s="156">
        <v>390</v>
      </c>
      <c r="L184" s="156">
        <v>112</v>
      </c>
      <c r="M184" s="366">
        <f t="shared" si="4"/>
        <v>13.270142180094787</v>
      </c>
      <c r="N184" s="156">
        <v>123</v>
      </c>
      <c r="O184" s="357">
        <f t="shared" si="5"/>
        <v>14.57345971563981</v>
      </c>
      <c r="P184" s="156">
        <v>71</v>
      </c>
      <c r="Q184" s="156"/>
      <c r="R184" s="81" t="s">
        <v>2004</v>
      </c>
      <c r="S184" s="83" t="s">
        <v>2018</v>
      </c>
      <c r="T184" s="160"/>
      <c r="U184" s="83">
        <v>72.900000000000006</v>
      </c>
      <c r="V184" s="159"/>
      <c r="W184" s="159"/>
      <c r="X184" s="159"/>
      <c r="Y184" s="159"/>
      <c r="Z184" s="159"/>
      <c r="AA184" s="159"/>
      <c r="AB184" s="81" t="s">
        <v>37</v>
      </c>
      <c r="AC184" s="83">
        <v>11</v>
      </c>
      <c r="AD184" s="157" t="s">
        <v>48</v>
      </c>
      <c r="AE184" s="175"/>
    </row>
    <row r="185" spans="1:32">
      <c r="A185" s="61">
        <v>160</v>
      </c>
      <c r="B185" s="62" t="s">
        <v>33</v>
      </c>
      <c r="C185" s="62" t="s">
        <v>2001</v>
      </c>
      <c r="D185" s="62" t="s">
        <v>2325</v>
      </c>
      <c r="E185" s="62" t="s">
        <v>2327</v>
      </c>
      <c r="F185" s="62" t="s">
        <v>2328</v>
      </c>
      <c r="G185" s="156">
        <v>125</v>
      </c>
      <c r="H185" s="156">
        <v>74</v>
      </c>
      <c r="I185" s="156">
        <v>382</v>
      </c>
      <c r="J185" s="156">
        <v>197</v>
      </c>
      <c r="K185" s="156">
        <v>185</v>
      </c>
      <c r="L185" s="156">
        <v>9</v>
      </c>
      <c r="M185" s="366">
        <f t="shared" si="4"/>
        <v>2.3560209424083771</v>
      </c>
      <c r="N185" s="156">
        <v>128</v>
      </c>
      <c r="O185" s="357">
        <f t="shared" si="5"/>
        <v>33.507853403141361</v>
      </c>
      <c r="P185" s="156">
        <v>16</v>
      </c>
      <c r="Q185" s="156"/>
      <c r="R185" s="81" t="s">
        <v>2004</v>
      </c>
      <c r="S185" s="83" t="s">
        <v>2018</v>
      </c>
      <c r="T185" s="160"/>
      <c r="U185" s="83">
        <v>17.64</v>
      </c>
      <c r="V185" s="159"/>
      <c r="W185" s="159"/>
      <c r="X185" s="159"/>
      <c r="Y185" s="159"/>
      <c r="Z185" s="159"/>
      <c r="AA185" s="159"/>
      <c r="AB185" s="81"/>
      <c r="AC185" s="83"/>
      <c r="AD185" s="159"/>
      <c r="AE185" s="175"/>
    </row>
    <row r="186" spans="1:32">
      <c r="A186" s="61">
        <v>161</v>
      </c>
      <c r="B186" s="62" t="s">
        <v>33</v>
      </c>
      <c r="C186" s="62" t="s">
        <v>2001</v>
      </c>
      <c r="D186" s="62" t="s">
        <v>2325</v>
      </c>
      <c r="E186" s="62" t="s">
        <v>2329</v>
      </c>
      <c r="F186" s="62" t="s">
        <v>2330</v>
      </c>
      <c r="G186" s="156">
        <v>653.20000000000005</v>
      </c>
      <c r="H186" s="156">
        <v>114</v>
      </c>
      <c r="I186" s="156">
        <v>587</v>
      </c>
      <c r="J186" s="156">
        <v>318</v>
      </c>
      <c r="K186" s="156">
        <v>269</v>
      </c>
      <c r="L186" s="156">
        <v>66</v>
      </c>
      <c r="M186" s="366">
        <f t="shared" si="4"/>
        <v>11.243611584327088</v>
      </c>
      <c r="N186" s="156">
        <v>1</v>
      </c>
      <c r="O186" s="357">
        <f t="shared" si="5"/>
        <v>0.17035775127768313</v>
      </c>
      <c r="P186" s="156">
        <v>33</v>
      </c>
      <c r="Q186" s="156"/>
      <c r="R186" s="81" t="s">
        <v>2004</v>
      </c>
      <c r="S186" s="83" t="s">
        <v>2018</v>
      </c>
      <c r="T186" s="160"/>
      <c r="U186" s="83">
        <v>37.24</v>
      </c>
      <c r="V186" s="159"/>
      <c r="W186" s="159"/>
      <c r="X186" s="159"/>
      <c r="Y186" s="159"/>
      <c r="Z186" s="159"/>
      <c r="AA186" s="159"/>
      <c r="AB186" s="81" t="s">
        <v>37</v>
      </c>
      <c r="AC186" s="83">
        <v>19</v>
      </c>
      <c r="AD186" s="157" t="s">
        <v>48</v>
      </c>
      <c r="AE186" s="175"/>
    </row>
    <row r="187" spans="1:32">
      <c r="A187" s="61">
        <v>162</v>
      </c>
      <c r="B187" s="62" t="s">
        <v>33</v>
      </c>
      <c r="C187" s="62" t="s">
        <v>2001</v>
      </c>
      <c r="D187" s="62" t="s">
        <v>2325</v>
      </c>
      <c r="E187" s="62" t="s">
        <v>2331</v>
      </c>
      <c r="F187" s="62" t="s">
        <v>2332</v>
      </c>
      <c r="G187" s="156">
        <v>777</v>
      </c>
      <c r="H187" s="156">
        <v>374</v>
      </c>
      <c r="I187" s="156">
        <v>1835</v>
      </c>
      <c r="J187" s="156">
        <v>923</v>
      </c>
      <c r="K187" s="156">
        <v>912</v>
      </c>
      <c r="L187" s="156">
        <v>74</v>
      </c>
      <c r="M187" s="366">
        <f t="shared" si="4"/>
        <v>4.0326975476839237</v>
      </c>
      <c r="N187" s="156">
        <v>0</v>
      </c>
      <c r="O187" s="357">
        <f t="shared" si="5"/>
        <v>0</v>
      </c>
      <c r="P187" s="156">
        <v>60</v>
      </c>
      <c r="Q187" s="156"/>
      <c r="R187" s="81" t="s">
        <v>2004</v>
      </c>
      <c r="S187" s="83" t="s">
        <v>2018</v>
      </c>
      <c r="T187" s="160"/>
      <c r="U187" s="83">
        <v>62.01</v>
      </c>
      <c r="V187" s="159"/>
      <c r="W187" s="159"/>
      <c r="X187" s="159"/>
      <c r="Y187" s="159"/>
      <c r="Z187" s="159"/>
      <c r="AA187" s="159"/>
      <c r="AB187" s="81" t="s">
        <v>37</v>
      </c>
      <c r="AC187" s="83">
        <v>13</v>
      </c>
      <c r="AD187" s="157" t="s">
        <v>48</v>
      </c>
      <c r="AE187" s="180"/>
      <c r="AF187" s="160"/>
    </row>
    <row r="188" spans="1:32">
      <c r="A188" s="61">
        <v>163</v>
      </c>
      <c r="B188" s="62" t="s">
        <v>33</v>
      </c>
      <c r="C188" s="62" t="s">
        <v>2001</v>
      </c>
      <c r="D188" s="62" t="s">
        <v>2325</v>
      </c>
      <c r="E188" s="62" t="s">
        <v>2333</v>
      </c>
      <c r="F188" s="62" t="s">
        <v>2334</v>
      </c>
      <c r="G188" s="156">
        <v>692</v>
      </c>
      <c r="H188" s="156">
        <v>114</v>
      </c>
      <c r="I188" s="156">
        <v>523</v>
      </c>
      <c r="J188" s="156">
        <v>275</v>
      </c>
      <c r="K188" s="156">
        <v>248</v>
      </c>
      <c r="L188" s="156">
        <v>14</v>
      </c>
      <c r="M188" s="366">
        <f t="shared" si="4"/>
        <v>2.676864244741874</v>
      </c>
      <c r="N188" s="156">
        <v>11</v>
      </c>
      <c r="O188" s="357">
        <f t="shared" si="5"/>
        <v>2.1032504780114722</v>
      </c>
      <c r="P188" s="156">
        <v>46</v>
      </c>
      <c r="Q188" s="156"/>
      <c r="R188" s="81" t="s">
        <v>2004</v>
      </c>
      <c r="S188" s="83" t="s">
        <v>2018</v>
      </c>
      <c r="T188" s="160"/>
      <c r="U188" s="83">
        <v>46.76</v>
      </c>
      <c r="V188" s="159"/>
      <c r="W188" s="159"/>
      <c r="X188" s="159"/>
      <c r="Y188" s="159"/>
      <c r="Z188" s="159"/>
      <c r="AA188" s="159"/>
      <c r="AB188" s="81" t="s">
        <v>37</v>
      </c>
      <c r="AC188" s="83">
        <v>13</v>
      </c>
      <c r="AD188" s="157" t="s">
        <v>48</v>
      </c>
      <c r="AE188" s="180"/>
      <c r="AF188" s="160"/>
    </row>
    <row r="189" spans="1:32">
      <c r="A189" s="61">
        <v>164</v>
      </c>
      <c r="B189" s="62" t="s">
        <v>33</v>
      </c>
      <c r="C189" s="62" t="s">
        <v>2001</v>
      </c>
      <c r="D189" s="62" t="s">
        <v>2325</v>
      </c>
      <c r="E189" s="62" t="s">
        <v>2335</v>
      </c>
      <c r="F189" s="62" t="s">
        <v>2336</v>
      </c>
      <c r="G189" s="156">
        <v>133</v>
      </c>
      <c r="H189" s="156">
        <v>15</v>
      </c>
      <c r="I189" s="156">
        <v>92</v>
      </c>
      <c r="J189" s="156">
        <v>47</v>
      </c>
      <c r="K189" s="156">
        <v>45</v>
      </c>
      <c r="L189" s="156">
        <v>13</v>
      </c>
      <c r="M189" s="366">
        <f t="shared" si="4"/>
        <v>14.130434782608695</v>
      </c>
      <c r="N189" s="156">
        <v>38</v>
      </c>
      <c r="O189" s="357">
        <f t="shared" si="5"/>
        <v>41.304347826086953</v>
      </c>
      <c r="P189" s="156">
        <v>7</v>
      </c>
      <c r="Q189" s="156"/>
      <c r="R189" s="81" t="s">
        <v>2004</v>
      </c>
      <c r="S189" s="83" t="s">
        <v>2018</v>
      </c>
      <c r="T189" s="160"/>
      <c r="U189" s="83">
        <v>8.7100000000000009</v>
      </c>
      <c r="V189" s="159"/>
      <c r="W189" s="159"/>
      <c r="X189" s="159"/>
      <c r="Y189" s="159"/>
      <c r="Z189" s="159"/>
      <c r="AA189" s="159"/>
      <c r="AB189" s="81" t="s">
        <v>37</v>
      </c>
      <c r="AC189" s="83">
        <v>4</v>
      </c>
      <c r="AD189" s="157" t="s">
        <v>48</v>
      </c>
      <c r="AE189" s="180"/>
      <c r="AF189" s="160"/>
    </row>
    <row r="190" spans="1:32">
      <c r="A190" s="61">
        <v>165</v>
      </c>
      <c r="B190" s="62" t="s">
        <v>33</v>
      </c>
      <c r="C190" s="62" t="s">
        <v>2001</v>
      </c>
      <c r="D190" s="62" t="s">
        <v>2325</v>
      </c>
      <c r="E190" s="62" t="s">
        <v>2337</v>
      </c>
      <c r="F190" s="62" t="s">
        <v>2338</v>
      </c>
      <c r="G190" s="156">
        <v>211</v>
      </c>
      <c r="H190" s="156">
        <v>34</v>
      </c>
      <c r="I190" s="156">
        <v>164</v>
      </c>
      <c r="J190" s="156">
        <v>71</v>
      </c>
      <c r="K190" s="156">
        <v>93</v>
      </c>
      <c r="L190" s="156">
        <v>0</v>
      </c>
      <c r="M190" s="366">
        <f t="shared" si="4"/>
        <v>0</v>
      </c>
      <c r="N190" s="156">
        <v>0</v>
      </c>
      <c r="O190" s="357">
        <f t="shared" si="5"/>
        <v>0</v>
      </c>
      <c r="P190" s="156">
        <v>8</v>
      </c>
      <c r="Q190" s="156"/>
      <c r="R190" s="81" t="s">
        <v>2004</v>
      </c>
      <c r="S190" s="83" t="s">
        <v>2018</v>
      </c>
      <c r="T190" s="160"/>
      <c r="U190" s="83">
        <v>8.6999999999999993</v>
      </c>
      <c r="V190" s="159"/>
      <c r="W190" s="159"/>
      <c r="X190" s="159"/>
      <c r="Y190" s="159"/>
      <c r="Z190" s="159"/>
      <c r="AA190" s="159"/>
      <c r="AB190" s="81" t="s">
        <v>37</v>
      </c>
      <c r="AC190" s="83">
        <v>9</v>
      </c>
      <c r="AD190" s="157" t="s">
        <v>48</v>
      </c>
      <c r="AE190" s="180"/>
      <c r="AF190" s="160"/>
    </row>
    <row r="191" spans="1:32">
      <c r="A191" s="61">
        <v>166</v>
      </c>
      <c r="B191" s="62" t="s">
        <v>33</v>
      </c>
      <c r="C191" s="62" t="s">
        <v>2001</v>
      </c>
      <c r="D191" s="62" t="s">
        <v>2325</v>
      </c>
      <c r="E191" s="62" t="s">
        <v>2339</v>
      </c>
      <c r="F191" s="62" t="s">
        <v>2340</v>
      </c>
      <c r="G191" s="156">
        <v>401</v>
      </c>
      <c r="H191" s="156">
        <v>57</v>
      </c>
      <c r="I191" s="156">
        <v>295</v>
      </c>
      <c r="J191" s="156">
        <v>154</v>
      </c>
      <c r="K191" s="156">
        <v>141</v>
      </c>
      <c r="L191" s="156">
        <v>15</v>
      </c>
      <c r="M191" s="366">
        <f t="shared" si="4"/>
        <v>5.0847457627118651</v>
      </c>
      <c r="N191" s="156">
        <v>0</v>
      </c>
      <c r="O191" s="357">
        <f t="shared" si="5"/>
        <v>0</v>
      </c>
      <c r="P191" s="156">
        <v>38</v>
      </c>
      <c r="Q191" s="156"/>
      <c r="R191" s="81" t="s">
        <v>2004</v>
      </c>
      <c r="S191" s="83" t="s">
        <v>2018</v>
      </c>
      <c r="T191" s="160"/>
      <c r="U191" s="83">
        <v>15.23</v>
      </c>
      <c r="V191" s="159"/>
      <c r="W191" s="159"/>
      <c r="X191" s="159"/>
      <c r="Y191" s="159"/>
      <c r="Z191" s="159"/>
      <c r="AA191" s="159"/>
      <c r="AB191" s="81" t="s">
        <v>37</v>
      </c>
      <c r="AC191" s="83">
        <v>6</v>
      </c>
      <c r="AD191" s="157" t="s">
        <v>48</v>
      </c>
      <c r="AE191" s="180"/>
      <c r="AF191" s="160"/>
    </row>
    <row r="192" spans="1:32">
      <c r="A192" s="61">
        <v>167</v>
      </c>
      <c r="B192" s="62" t="s">
        <v>33</v>
      </c>
      <c r="C192" s="62" t="s">
        <v>2001</v>
      </c>
      <c r="D192" s="62" t="s">
        <v>2325</v>
      </c>
      <c r="E192" s="62" t="s">
        <v>2341</v>
      </c>
      <c r="F192" s="62" t="s">
        <v>2342</v>
      </c>
      <c r="G192" s="156">
        <v>93</v>
      </c>
      <c r="H192" s="156">
        <v>12</v>
      </c>
      <c r="I192" s="156">
        <v>55</v>
      </c>
      <c r="J192" s="156">
        <v>30</v>
      </c>
      <c r="K192" s="156">
        <v>25</v>
      </c>
      <c r="L192" s="156">
        <v>0</v>
      </c>
      <c r="M192" s="366">
        <f t="shared" si="4"/>
        <v>0</v>
      </c>
      <c r="N192" s="156">
        <v>25</v>
      </c>
      <c r="O192" s="357">
        <f t="shared" si="5"/>
        <v>45.454545454545453</v>
      </c>
      <c r="P192" s="156">
        <v>0</v>
      </c>
      <c r="Q192" s="156"/>
      <c r="R192" s="81" t="s">
        <v>2004</v>
      </c>
      <c r="S192" s="83" t="s">
        <v>2018</v>
      </c>
      <c r="T192" s="160"/>
      <c r="U192" s="83">
        <v>0.25</v>
      </c>
      <c r="V192" s="159"/>
      <c r="W192" s="159"/>
      <c r="X192" s="159"/>
      <c r="Y192" s="159"/>
      <c r="Z192" s="159"/>
      <c r="AA192" s="159"/>
      <c r="AB192" s="159"/>
      <c r="AC192" s="83"/>
      <c r="AD192" s="159"/>
      <c r="AE192" s="180"/>
      <c r="AF192" s="160"/>
    </row>
    <row r="193" spans="1:36">
      <c r="A193" s="61">
        <v>168</v>
      </c>
      <c r="B193" s="62" t="s">
        <v>33</v>
      </c>
      <c r="C193" s="62" t="s">
        <v>2001</v>
      </c>
      <c r="D193" s="62" t="s">
        <v>2325</v>
      </c>
      <c r="E193" s="62" t="s">
        <v>2343</v>
      </c>
      <c r="F193" s="62" t="s">
        <v>2344</v>
      </c>
      <c r="G193" s="156">
        <v>201</v>
      </c>
      <c r="H193" s="156">
        <v>59</v>
      </c>
      <c r="I193" s="156">
        <v>305</v>
      </c>
      <c r="J193" s="156">
        <v>173</v>
      </c>
      <c r="K193" s="156">
        <v>132</v>
      </c>
      <c r="L193" s="156">
        <v>24</v>
      </c>
      <c r="M193" s="366">
        <f t="shared" si="4"/>
        <v>7.8688524590163942</v>
      </c>
      <c r="N193" s="156">
        <v>0</v>
      </c>
      <c r="O193" s="357">
        <f t="shared" si="5"/>
        <v>0</v>
      </c>
      <c r="P193" s="156">
        <v>4</v>
      </c>
      <c r="Q193" s="156"/>
      <c r="R193" s="81" t="s">
        <v>2004</v>
      </c>
      <c r="S193" s="83" t="s">
        <v>2018</v>
      </c>
      <c r="T193" s="160"/>
      <c r="U193" s="83">
        <v>4.2300000000000004</v>
      </c>
      <c r="V193" s="159"/>
      <c r="W193" s="159"/>
      <c r="X193" s="159"/>
      <c r="Y193" s="159"/>
      <c r="Z193" s="159"/>
      <c r="AA193" s="159"/>
      <c r="AB193" s="81" t="s">
        <v>37</v>
      </c>
      <c r="AC193" s="83">
        <v>8</v>
      </c>
      <c r="AD193" s="157" t="s">
        <v>48</v>
      </c>
      <c r="AE193" s="180"/>
      <c r="AF193" s="160"/>
    </row>
    <row r="194" spans="1:36">
      <c r="A194" s="61">
        <v>169</v>
      </c>
      <c r="B194" s="62" t="s">
        <v>33</v>
      </c>
      <c r="C194" s="62" t="s">
        <v>2001</v>
      </c>
      <c r="D194" s="63" t="s">
        <v>2345</v>
      </c>
      <c r="E194" s="63" t="s">
        <v>2346</v>
      </c>
      <c r="F194" s="62" t="s">
        <v>2347</v>
      </c>
      <c r="G194" s="156">
        <v>518</v>
      </c>
      <c r="H194" s="156">
        <v>165</v>
      </c>
      <c r="I194" s="156">
        <v>811</v>
      </c>
      <c r="J194" s="156">
        <v>436</v>
      </c>
      <c r="K194" s="156">
        <v>375</v>
      </c>
      <c r="L194" s="156">
        <v>39</v>
      </c>
      <c r="M194" s="366">
        <f t="shared" si="4"/>
        <v>4.808877928483354</v>
      </c>
      <c r="N194" s="156">
        <v>122</v>
      </c>
      <c r="O194" s="357">
        <f t="shared" si="5"/>
        <v>15.043156596794081</v>
      </c>
      <c r="P194" s="156">
        <v>48</v>
      </c>
      <c r="Q194" s="156"/>
      <c r="R194" s="81" t="s">
        <v>2004</v>
      </c>
      <c r="S194" s="169">
        <v>45317</v>
      </c>
      <c r="T194" s="160"/>
      <c r="U194" s="83">
        <v>60.89</v>
      </c>
      <c r="V194" s="159"/>
      <c r="W194" s="159"/>
      <c r="X194" s="159"/>
      <c r="Y194" s="159"/>
      <c r="Z194" s="159"/>
      <c r="AA194" s="159"/>
      <c r="AB194" s="159"/>
      <c r="AC194" s="83"/>
      <c r="AD194" s="159"/>
      <c r="AE194" s="180"/>
      <c r="AF194" s="160"/>
    </row>
    <row r="195" spans="1:36">
      <c r="A195" s="61">
        <v>170</v>
      </c>
      <c r="B195" s="62" t="s">
        <v>33</v>
      </c>
      <c r="C195" s="62" t="s">
        <v>2001</v>
      </c>
      <c r="D195" s="62" t="s">
        <v>2345</v>
      </c>
      <c r="E195" s="62" t="s">
        <v>2348</v>
      </c>
      <c r="F195" s="62" t="s">
        <v>2349</v>
      </c>
      <c r="G195" s="156">
        <v>426</v>
      </c>
      <c r="H195" s="156">
        <v>94</v>
      </c>
      <c r="I195" s="156">
        <v>521</v>
      </c>
      <c r="J195" s="156">
        <v>262</v>
      </c>
      <c r="K195" s="156">
        <v>259</v>
      </c>
      <c r="L195" s="156">
        <v>44</v>
      </c>
      <c r="M195" s="366">
        <f t="shared" si="4"/>
        <v>8.4452975047984644</v>
      </c>
      <c r="N195" s="156">
        <v>0</v>
      </c>
      <c r="O195" s="357">
        <f t="shared" si="5"/>
        <v>0</v>
      </c>
      <c r="P195" s="156">
        <v>34</v>
      </c>
      <c r="Q195" s="156"/>
      <c r="R195" s="81" t="s">
        <v>2004</v>
      </c>
      <c r="S195" s="169">
        <v>45318</v>
      </c>
      <c r="T195" s="160"/>
      <c r="U195" s="83">
        <v>32.69</v>
      </c>
      <c r="V195" s="159"/>
      <c r="W195" s="159"/>
      <c r="X195" s="159"/>
      <c r="Y195" s="159"/>
      <c r="Z195" s="159"/>
      <c r="AA195" s="159"/>
      <c r="AB195" s="81" t="s">
        <v>37</v>
      </c>
      <c r="AC195" s="83">
        <v>8</v>
      </c>
      <c r="AD195" s="157" t="s">
        <v>48</v>
      </c>
      <c r="AE195" s="180"/>
      <c r="AF195" s="160"/>
    </row>
    <row r="196" spans="1:36">
      <c r="A196" s="61">
        <v>171</v>
      </c>
      <c r="B196" s="62" t="s">
        <v>33</v>
      </c>
      <c r="C196" s="62" t="s">
        <v>2001</v>
      </c>
      <c r="D196" s="62" t="s">
        <v>2345</v>
      </c>
      <c r="E196" s="62" t="s">
        <v>2350</v>
      </c>
      <c r="F196" s="62" t="s">
        <v>2351</v>
      </c>
      <c r="G196" s="156">
        <v>279</v>
      </c>
      <c r="H196" s="156">
        <v>121</v>
      </c>
      <c r="I196" s="156">
        <v>570</v>
      </c>
      <c r="J196" s="156">
        <v>292</v>
      </c>
      <c r="K196" s="156">
        <v>278</v>
      </c>
      <c r="L196" s="156">
        <v>54</v>
      </c>
      <c r="M196" s="366">
        <f t="shared" si="4"/>
        <v>9.4736842105263168</v>
      </c>
      <c r="N196" s="156">
        <v>18</v>
      </c>
      <c r="O196" s="357">
        <f t="shared" si="5"/>
        <v>3.1578947368421053</v>
      </c>
      <c r="P196" s="156">
        <v>41</v>
      </c>
      <c r="Q196" s="156"/>
      <c r="R196" s="81" t="s">
        <v>2004</v>
      </c>
      <c r="S196" s="169">
        <v>45319</v>
      </c>
      <c r="T196" s="160"/>
      <c r="U196" s="83">
        <v>53.53</v>
      </c>
      <c r="V196" s="159"/>
      <c r="W196" s="159"/>
      <c r="X196" s="159"/>
      <c r="Y196" s="159"/>
      <c r="Z196" s="159"/>
      <c r="AA196" s="159"/>
      <c r="AB196" s="81" t="s">
        <v>37</v>
      </c>
      <c r="AC196" s="83">
        <v>3</v>
      </c>
      <c r="AD196" s="157" t="s">
        <v>48</v>
      </c>
      <c r="AE196" s="180"/>
      <c r="AF196" s="160"/>
    </row>
    <row r="197" spans="1:36">
      <c r="A197" s="61">
        <v>172</v>
      </c>
      <c r="B197" s="62" t="s">
        <v>33</v>
      </c>
      <c r="C197" s="62" t="s">
        <v>2001</v>
      </c>
      <c r="D197" s="62" t="s">
        <v>2345</v>
      </c>
      <c r="E197" s="62" t="s">
        <v>2352</v>
      </c>
      <c r="F197" s="62" t="s">
        <v>2353</v>
      </c>
      <c r="G197" s="156">
        <v>319</v>
      </c>
      <c r="H197" s="156">
        <v>150</v>
      </c>
      <c r="I197" s="156">
        <v>698</v>
      </c>
      <c r="J197" s="156">
        <v>368</v>
      </c>
      <c r="K197" s="156">
        <v>330</v>
      </c>
      <c r="L197" s="156">
        <v>51</v>
      </c>
      <c r="M197" s="366">
        <f t="shared" ref="M197:M220" si="6">L197/I197*100</f>
        <v>7.3065902578796571</v>
      </c>
      <c r="N197" s="156">
        <v>101</v>
      </c>
      <c r="O197" s="357">
        <f t="shared" ref="O197:O220" si="7">N197/I197*100</f>
        <v>14.469914040114611</v>
      </c>
      <c r="P197" s="156">
        <v>35</v>
      </c>
      <c r="Q197" s="156"/>
      <c r="R197" s="81" t="s">
        <v>2004</v>
      </c>
      <c r="S197" s="169">
        <v>45320</v>
      </c>
      <c r="T197" s="160"/>
      <c r="U197" s="83">
        <v>37.49</v>
      </c>
      <c r="V197" s="159"/>
      <c r="W197" s="159"/>
      <c r="X197" s="159"/>
      <c r="Y197" s="159"/>
      <c r="Z197" s="159"/>
      <c r="AA197" s="159"/>
      <c r="AB197" s="81" t="s">
        <v>37</v>
      </c>
      <c r="AC197" s="83">
        <v>5</v>
      </c>
      <c r="AD197" s="157" t="s">
        <v>48</v>
      </c>
      <c r="AE197" s="180"/>
      <c r="AF197" s="160"/>
    </row>
    <row r="198" spans="1:36">
      <c r="A198" s="61">
        <v>173</v>
      </c>
      <c r="B198" s="62" t="s">
        <v>33</v>
      </c>
      <c r="C198" s="62" t="s">
        <v>2001</v>
      </c>
      <c r="D198" s="62" t="s">
        <v>2345</v>
      </c>
      <c r="E198" s="62" t="s">
        <v>2354</v>
      </c>
      <c r="F198" s="62" t="s">
        <v>2355</v>
      </c>
      <c r="G198" s="156">
        <v>348</v>
      </c>
      <c r="H198" s="156">
        <v>112</v>
      </c>
      <c r="I198" s="156">
        <v>554</v>
      </c>
      <c r="J198" s="156">
        <v>307</v>
      </c>
      <c r="K198" s="156">
        <v>247</v>
      </c>
      <c r="L198" s="156">
        <v>142</v>
      </c>
      <c r="M198" s="366">
        <f t="shared" si="6"/>
        <v>25.63176895306859</v>
      </c>
      <c r="N198" s="156">
        <v>113</v>
      </c>
      <c r="O198" s="357">
        <f t="shared" si="7"/>
        <v>20.397111913357403</v>
      </c>
      <c r="P198" s="156">
        <v>0</v>
      </c>
      <c r="Q198" s="156"/>
      <c r="R198" s="81" t="s">
        <v>2004</v>
      </c>
      <c r="S198" s="169">
        <v>45321</v>
      </c>
      <c r="T198" s="160"/>
      <c r="U198" s="83">
        <v>10</v>
      </c>
      <c r="V198" s="159"/>
      <c r="W198" s="159"/>
      <c r="X198" s="159"/>
      <c r="Y198" s="159"/>
      <c r="Z198" s="159"/>
      <c r="AA198" s="159"/>
      <c r="AB198" s="81" t="s">
        <v>37</v>
      </c>
      <c r="AC198" s="83">
        <v>10</v>
      </c>
      <c r="AD198" s="157" t="s">
        <v>48</v>
      </c>
      <c r="AE198" s="180"/>
      <c r="AF198" s="160"/>
    </row>
    <row r="199" spans="1:36">
      <c r="A199" s="61">
        <v>174</v>
      </c>
      <c r="B199" s="62" t="s">
        <v>33</v>
      </c>
      <c r="C199" s="62" t="s">
        <v>2001</v>
      </c>
      <c r="D199" s="63" t="s">
        <v>2356</v>
      </c>
      <c r="E199" s="63" t="s">
        <v>2357</v>
      </c>
      <c r="F199" s="62" t="s">
        <v>2358</v>
      </c>
      <c r="G199" s="156">
        <v>673</v>
      </c>
      <c r="H199" s="156">
        <v>355</v>
      </c>
      <c r="I199" s="156">
        <v>1939</v>
      </c>
      <c r="J199" s="156">
        <v>996</v>
      </c>
      <c r="K199" s="156">
        <v>943</v>
      </c>
      <c r="L199" s="156">
        <v>340</v>
      </c>
      <c r="M199" s="366">
        <f t="shared" si="6"/>
        <v>17.534811758638476</v>
      </c>
      <c r="N199" s="156">
        <v>86</v>
      </c>
      <c r="O199" s="357">
        <f t="shared" si="7"/>
        <v>4.4352759154203198</v>
      </c>
      <c r="P199" s="156">
        <v>18</v>
      </c>
      <c r="Q199" s="156"/>
      <c r="R199" s="81" t="s">
        <v>2004</v>
      </c>
      <c r="S199" s="83" t="s">
        <v>2359</v>
      </c>
      <c r="T199" s="160"/>
      <c r="U199" s="83"/>
      <c r="V199" s="159"/>
      <c r="W199" s="159"/>
      <c r="X199" s="159"/>
      <c r="Y199" s="159"/>
      <c r="Z199" s="159"/>
      <c r="AA199" s="159"/>
      <c r="AB199" s="81" t="s">
        <v>37</v>
      </c>
      <c r="AC199" s="83">
        <v>12</v>
      </c>
      <c r="AD199" s="157" t="s">
        <v>48</v>
      </c>
      <c r="AE199" s="180"/>
      <c r="AF199" s="160"/>
    </row>
    <row r="200" spans="1:36">
      <c r="A200" s="61">
        <v>175</v>
      </c>
      <c r="B200" s="62" t="s">
        <v>33</v>
      </c>
      <c r="C200" s="62" t="s">
        <v>2001</v>
      </c>
      <c r="D200" s="62" t="s">
        <v>2356</v>
      </c>
      <c r="E200" s="62" t="s">
        <v>2360</v>
      </c>
      <c r="F200" s="62" t="s">
        <v>2361</v>
      </c>
      <c r="G200" s="156">
        <v>439</v>
      </c>
      <c r="H200" s="156">
        <v>182</v>
      </c>
      <c r="I200" s="156">
        <v>851</v>
      </c>
      <c r="J200" s="156">
        <v>456</v>
      </c>
      <c r="K200" s="156">
        <v>395</v>
      </c>
      <c r="L200" s="156">
        <v>165</v>
      </c>
      <c r="M200" s="366">
        <f t="shared" si="6"/>
        <v>19.388954171562865</v>
      </c>
      <c r="N200" s="156">
        <v>168</v>
      </c>
      <c r="O200" s="357">
        <f t="shared" si="7"/>
        <v>19.741480611045827</v>
      </c>
      <c r="P200" s="156">
        <v>0</v>
      </c>
      <c r="Q200" s="156"/>
      <c r="R200" s="81" t="s">
        <v>2004</v>
      </c>
      <c r="S200" s="83" t="s">
        <v>2359</v>
      </c>
      <c r="T200" s="160"/>
      <c r="U200" s="83"/>
      <c r="V200" s="159"/>
      <c r="W200" s="159"/>
      <c r="X200" s="159"/>
      <c r="Y200" s="159"/>
      <c r="Z200" s="159"/>
      <c r="AA200" s="159"/>
      <c r="AB200" s="81" t="s">
        <v>37</v>
      </c>
      <c r="AC200" s="83">
        <v>6</v>
      </c>
      <c r="AD200" s="157" t="s">
        <v>48</v>
      </c>
      <c r="AE200" s="180"/>
      <c r="AF200" s="160"/>
      <c r="AJ200" t="s">
        <v>2010</v>
      </c>
    </row>
    <row r="201" spans="1:36">
      <c r="A201" s="61">
        <v>176</v>
      </c>
      <c r="B201" s="62" t="s">
        <v>33</v>
      </c>
      <c r="C201" s="62" t="s">
        <v>2001</v>
      </c>
      <c r="D201" s="62" t="s">
        <v>2356</v>
      </c>
      <c r="E201" s="62" t="s">
        <v>2362</v>
      </c>
      <c r="F201" s="62" t="s">
        <v>2363</v>
      </c>
      <c r="G201" s="156">
        <v>360</v>
      </c>
      <c r="H201" s="156">
        <v>187</v>
      </c>
      <c r="I201" s="156">
        <v>1068</v>
      </c>
      <c r="J201" s="156">
        <v>561</v>
      </c>
      <c r="K201" s="156">
        <v>507</v>
      </c>
      <c r="L201" s="156">
        <v>170</v>
      </c>
      <c r="M201" s="366">
        <f t="shared" si="6"/>
        <v>15.917602996254681</v>
      </c>
      <c r="N201" s="156">
        <v>16</v>
      </c>
      <c r="O201" s="357">
        <f t="shared" si="7"/>
        <v>1.4981273408239701</v>
      </c>
      <c r="P201" s="156">
        <v>1</v>
      </c>
      <c r="Q201" s="156"/>
      <c r="R201" s="81" t="s">
        <v>2004</v>
      </c>
      <c r="S201" s="83" t="s">
        <v>2359</v>
      </c>
      <c r="T201" s="160"/>
      <c r="U201" s="83">
        <v>4.57</v>
      </c>
      <c r="V201" s="159"/>
      <c r="W201" s="159"/>
      <c r="X201" s="159"/>
      <c r="Y201" s="159"/>
      <c r="Z201" s="159"/>
      <c r="AA201" s="159"/>
      <c r="AB201" s="159"/>
      <c r="AC201" s="83"/>
      <c r="AD201" s="159"/>
      <c r="AE201" s="180"/>
      <c r="AF201" s="160"/>
    </row>
    <row r="202" spans="1:36">
      <c r="A202" s="61">
        <v>177</v>
      </c>
      <c r="B202" s="62" t="s">
        <v>33</v>
      </c>
      <c r="C202" s="62" t="s">
        <v>2001</v>
      </c>
      <c r="D202" s="62" t="s">
        <v>2356</v>
      </c>
      <c r="E202" s="62" t="s">
        <v>2364</v>
      </c>
      <c r="F202" s="62" t="s">
        <v>2365</v>
      </c>
      <c r="G202" s="156">
        <v>225</v>
      </c>
      <c r="H202" s="156">
        <v>71</v>
      </c>
      <c r="I202" s="156">
        <v>404</v>
      </c>
      <c r="J202" s="156">
        <v>208</v>
      </c>
      <c r="K202" s="156">
        <v>196</v>
      </c>
      <c r="L202" s="156">
        <v>91</v>
      </c>
      <c r="M202" s="366">
        <f t="shared" si="6"/>
        <v>22.524752475247524</v>
      </c>
      <c r="N202" s="156">
        <v>16</v>
      </c>
      <c r="O202" s="357">
        <f t="shared" si="7"/>
        <v>3.9603960396039604</v>
      </c>
      <c r="P202" s="156">
        <v>0</v>
      </c>
      <c r="Q202" s="156"/>
      <c r="R202" s="81" t="s">
        <v>2004</v>
      </c>
      <c r="S202" s="83" t="s">
        <v>2359</v>
      </c>
      <c r="T202" s="160"/>
      <c r="U202" s="83">
        <v>2.99</v>
      </c>
      <c r="V202" s="159"/>
      <c r="W202" s="159"/>
      <c r="X202" s="159"/>
      <c r="Y202" s="159"/>
      <c r="Z202" s="159"/>
      <c r="AA202" s="159"/>
      <c r="AB202" s="159"/>
      <c r="AC202" s="83"/>
      <c r="AD202" s="159"/>
      <c r="AE202" s="180"/>
      <c r="AF202" s="160"/>
    </row>
    <row r="203" spans="1:36">
      <c r="A203" s="61">
        <v>178</v>
      </c>
      <c r="B203" s="62" t="s">
        <v>33</v>
      </c>
      <c r="C203" s="62" t="s">
        <v>2001</v>
      </c>
      <c r="D203" s="62" t="s">
        <v>2356</v>
      </c>
      <c r="E203" s="62" t="s">
        <v>2366</v>
      </c>
      <c r="F203" s="62" t="s">
        <v>2367</v>
      </c>
      <c r="G203" s="156">
        <v>142</v>
      </c>
      <c r="H203" s="156">
        <v>25</v>
      </c>
      <c r="I203" s="156">
        <v>195</v>
      </c>
      <c r="J203" s="156">
        <v>95</v>
      </c>
      <c r="K203" s="156">
        <v>100</v>
      </c>
      <c r="L203" s="156">
        <v>0</v>
      </c>
      <c r="M203" s="366">
        <f t="shared" si="6"/>
        <v>0</v>
      </c>
      <c r="N203" s="156">
        <v>0</v>
      </c>
      <c r="O203" s="357">
        <f t="shared" si="7"/>
        <v>0</v>
      </c>
      <c r="P203" s="156">
        <v>15</v>
      </c>
      <c r="Q203" s="156"/>
      <c r="R203" s="81" t="s">
        <v>2004</v>
      </c>
      <c r="S203" s="83" t="s">
        <v>2359</v>
      </c>
      <c r="T203" s="160"/>
      <c r="U203" s="83"/>
      <c r="V203" s="159"/>
      <c r="W203" s="159"/>
      <c r="X203" s="159"/>
      <c r="Y203" s="159"/>
      <c r="Z203" s="159"/>
      <c r="AA203" s="159"/>
      <c r="AB203" s="159"/>
      <c r="AC203" s="83"/>
      <c r="AD203" s="159"/>
      <c r="AE203" s="180"/>
      <c r="AF203" s="160"/>
    </row>
    <row r="204" spans="1:36">
      <c r="A204" s="61">
        <v>179</v>
      </c>
      <c r="B204" s="62" t="s">
        <v>33</v>
      </c>
      <c r="C204" s="62" t="s">
        <v>2001</v>
      </c>
      <c r="D204" s="62" t="s">
        <v>2356</v>
      </c>
      <c r="E204" s="62" t="s">
        <v>2368</v>
      </c>
      <c r="F204" s="62" t="s">
        <v>2369</v>
      </c>
      <c r="G204" s="156">
        <v>200</v>
      </c>
      <c r="H204" s="156">
        <v>40</v>
      </c>
      <c r="I204" s="156">
        <v>239</v>
      </c>
      <c r="J204" s="156">
        <v>125</v>
      </c>
      <c r="K204" s="156">
        <v>114</v>
      </c>
      <c r="L204" s="156">
        <v>48</v>
      </c>
      <c r="M204" s="366">
        <f t="shared" si="6"/>
        <v>20.0836820083682</v>
      </c>
      <c r="N204" s="156">
        <v>71</v>
      </c>
      <c r="O204" s="357">
        <f t="shared" si="7"/>
        <v>29.707112970711297</v>
      </c>
      <c r="P204" s="156">
        <v>16</v>
      </c>
      <c r="Q204" s="156"/>
      <c r="R204" s="81" t="s">
        <v>2004</v>
      </c>
      <c r="S204" s="83" t="s">
        <v>2359</v>
      </c>
      <c r="T204" s="160"/>
      <c r="U204" s="83">
        <v>2.27</v>
      </c>
      <c r="V204" s="159"/>
      <c r="W204" s="159"/>
      <c r="X204" s="159"/>
      <c r="Y204" s="159"/>
      <c r="Z204" s="159"/>
      <c r="AA204" s="159"/>
      <c r="AB204" s="159"/>
      <c r="AC204" s="83"/>
      <c r="AD204" s="159"/>
      <c r="AE204" s="180"/>
      <c r="AF204" s="160"/>
    </row>
    <row r="205" spans="1:36">
      <c r="A205" s="61">
        <v>180</v>
      </c>
      <c r="B205" s="62" t="s">
        <v>33</v>
      </c>
      <c r="C205" s="62" t="s">
        <v>2001</v>
      </c>
      <c r="D205" s="62" t="s">
        <v>2356</v>
      </c>
      <c r="E205" s="62" t="s">
        <v>2370</v>
      </c>
      <c r="F205" s="62" t="s">
        <v>2371</v>
      </c>
      <c r="G205" s="156">
        <v>305</v>
      </c>
      <c r="H205" s="156">
        <v>67</v>
      </c>
      <c r="I205" s="156">
        <v>448</v>
      </c>
      <c r="J205" s="156">
        <v>234</v>
      </c>
      <c r="K205" s="156">
        <v>214</v>
      </c>
      <c r="L205" s="156">
        <v>0</v>
      </c>
      <c r="M205" s="366">
        <f t="shared" si="6"/>
        <v>0</v>
      </c>
      <c r="N205" s="156">
        <v>0</v>
      </c>
      <c r="O205" s="357">
        <f t="shared" si="7"/>
        <v>0</v>
      </c>
      <c r="P205" s="156">
        <v>50</v>
      </c>
      <c r="Q205" s="156"/>
      <c r="R205" s="81" t="s">
        <v>2004</v>
      </c>
      <c r="S205" s="83" t="s">
        <v>2359</v>
      </c>
      <c r="T205" s="160"/>
      <c r="U205" s="83">
        <v>36.28</v>
      </c>
      <c r="V205" s="159"/>
      <c r="W205" s="159"/>
      <c r="X205" s="159"/>
      <c r="Y205" s="159"/>
      <c r="Z205" s="159"/>
      <c r="AA205" s="159"/>
      <c r="AB205" s="81" t="s">
        <v>37</v>
      </c>
      <c r="AC205" s="83">
        <v>5</v>
      </c>
      <c r="AD205" s="157" t="s">
        <v>48</v>
      </c>
      <c r="AE205" s="177">
        <v>24.741199999999999</v>
      </c>
      <c r="AF205" s="82">
        <v>76.904899999999998</v>
      </c>
    </row>
    <row r="206" spans="1:36">
      <c r="A206" s="61">
        <v>181</v>
      </c>
      <c r="B206" s="62" t="s">
        <v>33</v>
      </c>
      <c r="C206" s="62" t="s">
        <v>2001</v>
      </c>
      <c r="D206" s="62" t="s">
        <v>2356</v>
      </c>
      <c r="E206" s="62" t="s">
        <v>2372</v>
      </c>
      <c r="F206" s="62" t="s">
        <v>2373</v>
      </c>
      <c r="G206" s="156">
        <v>102</v>
      </c>
      <c r="H206" s="156">
        <v>0</v>
      </c>
      <c r="I206" s="156">
        <v>0</v>
      </c>
      <c r="J206" s="156">
        <v>0</v>
      </c>
      <c r="K206" s="156">
        <v>0</v>
      </c>
      <c r="L206" s="156">
        <v>0</v>
      </c>
      <c r="M206" s="366">
        <v>0</v>
      </c>
      <c r="N206" s="156">
        <v>0</v>
      </c>
      <c r="O206" s="366">
        <v>0</v>
      </c>
      <c r="P206" s="156">
        <v>0</v>
      </c>
      <c r="Q206" s="156"/>
      <c r="R206" s="81" t="s">
        <v>2004</v>
      </c>
      <c r="S206" s="83" t="s">
        <v>2359</v>
      </c>
      <c r="T206" s="160"/>
      <c r="U206" s="83">
        <v>26.25</v>
      </c>
      <c r="V206" s="159"/>
      <c r="W206" s="159"/>
      <c r="X206" s="159"/>
      <c r="Y206" s="159"/>
      <c r="Z206" s="159"/>
      <c r="AA206" s="159"/>
      <c r="AB206" s="81" t="s">
        <v>37</v>
      </c>
      <c r="AC206" s="83">
        <v>10</v>
      </c>
      <c r="AD206" s="157" t="s">
        <v>48</v>
      </c>
    </row>
    <row r="207" spans="1:36">
      <c r="A207" s="61">
        <v>182</v>
      </c>
      <c r="B207" s="62" t="s">
        <v>33</v>
      </c>
      <c r="C207" s="62" t="s">
        <v>2001</v>
      </c>
      <c r="D207" s="62" t="s">
        <v>2356</v>
      </c>
      <c r="E207" s="62" t="s">
        <v>2374</v>
      </c>
      <c r="F207" s="62" t="s">
        <v>2375</v>
      </c>
      <c r="G207" s="156">
        <v>238</v>
      </c>
      <c r="H207" s="156">
        <v>77</v>
      </c>
      <c r="I207" s="156">
        <v>453</v>
      </c>
      <c r="J207" s="156">
        <v>243</v>
      </c>
      <c r="K207" s="156">
        <v>210</v>
      </c>
      <c r="L207" s="156">
        <v>7</v>
      </c>
      <c r="M207" s="366">
        <f t="shared" si="6"/>
        <v>1.545253863134658</v>
      </c>
      <c r="N207" s="156">
        <v>0</v>
      </c>
      <c r="O207" s="357">
        <f t="shared" si="7"/>
        <v>0</v>
      </c>
      <c r="P207" s="156">
        <v>25</v>
      </c>
      <c r="Q207" s="156"/>
      <c r="R207" s="81" t="s">
        <v>2004</v>
      </c>
      <c r="S207" s="83" t="s">
        <v>2359</v>
      </c>
      <c r="T207" s="160"/>
      <c r="U207" s="83"/>
      <c r="V207" s="159"/>
      <c r="W207" s="159"/>
      <c r="X207" s="159"/>
      <c r="Y207" s="159"/>
      <c r="Z207" s="159"/>
      <c r="AA207" s="159"/>
      <c r="AB207" s="81" t="s">
        <v>37</v>
      </c>
      <c r="AC207" s="83">
        <v>13</v>
      </c>
      <c r="AD207" s="157" t="s">
        <v>48</v>
      </c>
      <c r="AE207" s="180"/>
      <c r="AF207" s="160"/>
    </row>
    <row r="208" spans="1:36">
      <c r="A208" s="61">
        <v>183</v>
      </c>
      <c r="B208" s="62" t="s">
        <v>33</v>
      </c>
      <c r="C208" s="62" t="s">
        <v>2001</v>
      </c>
      <c r="D208" s="62" t="s">
        <v>2356</v>
      </c>
      <c r="E208" s="62" t="s">
        <v>2376</v>
      </c>
      <c r="F208" s="62" t="s">
        <v>2377</v>
      </c>
      <c r="G208" s="156">
        <v>121</v>
      </c>
      <c r="H208" s="156">
        <v>0</v>
      </c>
      <c r="I208" s="156">
        <v>0</v>
      </c>
      <c r="J208" s="156">
        <v>0</v>
      </c>
      <c r="K208" s="156">
        <v>0</v>
      </c>
      <c r="L208" s="156">
        <v>0</v>
      </c>
      <c r="M208" s="366">
        <v>0</v>
      </c>
      <c r="N208" s="156">
        <v>0</v>
      </c>
      <c r="O208" s="366">
        <v>0</v>
      </c>
      <c r="P208" s="156">
        <v>0</v>
      </c>
      <c r="Q208" s="156"/>
      <c r="R208" s="81"/>
      <c r="S208" s="83"/>
      <c r="T208" s="160"/>
      <c r="U208" s="160"/>
      <c r="V208" s="159"/>
      <c r="W208" s="159"/>
      <c r="X208" s="159"/>
      <c r="Y208" s="159"/>
      <c r="Z208" s="159"/>
      <c r="AA208" s="159"/>
      <c r="AB208" s="81" t="s">
        <v>37</v>
      </c>
      <c r="AC208" s="83">
        <v>12</v>
      </c>
      <c r="AD208" s="157" t="s">
        <v>48</v>
      </c>
      <c r="AE208" s="180"/>
      <c r="AF208" s="160"/>
    </row>
    <row r="209" spans="1:32">
      <c r="A209" s="61">
        <v>184</v>
      </c>
      <c r="B209" s="62" t="s">
        <v>33</v>
      </c>
      <c r="C209" s="62" t="s">
        <v>2001</v>
      </c>
      <c r="D209" s="62" t="s">
        <v>2356</v>
      </c>
      <c r="E209" s="62" t="s">
        <v>2378</v>
      </c>
      <c r="F209" s="62" t="s">
        <v>2379</v>
      </c>
      <c r="G209" s="156">
        <v>238</v>
      </c>
      <c r="H209" s="156">
        <v>90</v>
      </c>
      <c r="I209" s="156">
        <v>461</v>
      </c>
      <c r="J209" s="156">
        <v>250</v>
      </c>
      <c r="K209" s="156">
        <v>211</v>
      </c>
      <c r="L209" s="156">
        <v>155</v>
      </c>
      <c r="M209" s="366">
        <f t="shared" si="6"/>
        <v>33.622559652928416</v>
      </c>
      <c r="N209" s="156">
        <v>11</v>
      </c>
      <c r="O209" s="357">
        <f t="shared" si="7"/>
        <v>2.3861171366594358</v>
      </c>
      <c r="P209" s="156">
        <v>33</v>
      </c>
      <c r="Q209" s="156"/>
      <c r="R209" s="81"/>
      <c r="S209" s="83"/>
      <c r="T209" s="160"/>
      <c r="U209" s="160"/>
      <c r="V209" s="159"/>
      <c r="W209" s="159"/>
      <c r="X209" s="159"/>
      <c r="Y209" s="159"/>
      <c r="Z209" s="159"/>
      <c r="AA209" s="159"/>
      <c r="AB209" s="81" t="s">
        <v>37</v>
      </c>
      <c r="AC209" s="83">
        <v>19</v>
      </c>
      <c r="AD209" s="157" t="s">
        <v>48</v>
      </c>
      <c r="AE209" s="180"/>
      <c r="AF209" s="160"/>
    </row>
    <row r="210" spans="1:32">
      <c r="A210" s="61">
        <v>185</v>
      </c>
      <c r="B210" s="62" t="s">
        <v>33</v>
      </c>
      <c r="C210" s="62" t="s">
        <v>2001</v>
      </c>
      <c r="D210" s="63" t="s">
        <v>2380</v>
      </c>
      <c r="E210" s="63" t="s">
        <v>1535</v>
      </c>
      <c r="F210" s="62" t="s">
        <v>2381</v>
      </c>
      <c r="G210" s="156">
        <v>404.77</v>
      </c>
      <c r="H210" s="156">
        <v>318</v>
      </c>
      <c r="I210" s="156">
        <v>1448</v>
      </c>
      <c r="J210" s="156">
        <v>739</v>
      </c>
      <c r="K210" s="156">
        <v>709</v>
      </c>
      <c r="L210" s="156">
        <v>0</v>
      </c>
      <c r="M210" s="366">
        <f t="shared" si="6"/>
        <v>0</v>
      </c>
      <c r="N210" s="156">
        <v>605</v>
      </c>
      <c r="O210" s="357">
        <f t="shared" si="7"/>
        <v>41.781767955801101</v>
      </c>
      <c r="P210" s="156">
        <v>74.099999999999994</v>
      </c>
      <c r="Q210" s="156"/>
      <c r="R210" s="81" t="s">
        <v>2004</v>
      </c>
      <c r="S210" s="170">
        <v>45317</v>
      </c>
      <c r="T210" s="160"/>
      <c r="U210" s="83"/>
      <c r="V210" s="159"/>
      <c r="W210" s="159"/>
      <c r="X210" s="159"/>
      <c r="Y210" s="159"/>
      <c r="Z210" s="159"/>
      <c r="AA210" s="159"/>
      <c r="AB210" s="81" t="s">
        <v>37</v>
      </c>
      <c r="AC210" s="83">
        <v>12</v>
      </c>
      <c r="AD210" s="157" t="s">
        <v>48</v>
      </c>
      <c r="AE210" s="180"/>
      <c r="AF210" s="160"/>
    </row>
    <row r="211" spans="1:32">
      <c r="A211" s="61" t="s">
        <v>51</v>
      </c>
      <c r="B211" s="62" t="s">
        <v>33</v>
      </c>
      <c r="C211" s="62" t="s">
        <v>2001</v>
      </c>
      <c r="D211" s="63" t="s">
        <v>2380</v>
      </c>
      <c r="E211" s="63" t="s">
        <v>1535</v>
      </c>
      <c r="F211" s="62"/>
      <c r="G211" s="156"/>
      <c r="H211" s="156"/>
      <c r="I211" s="156"/>
      <c r="J211" s="156"/>
      <c r="K211" s="156"/>
      <c r="L211" s="156"/>
      <c r="M211" s="366"/>
      <c r="N211" s="156"/>
      <c r="O211" s="357"/>
      <c r="P211" s="156"/>
      <c r="Q211" s="156"/>
      <c r="R211" s="81"/>
      <c r="S211" s="170"/>
      <c r="T211" s="160"/>
      <c r="U211" s="83"/>
      <c r="V211" s="159"/>
      <c r="W211" s="159"/>
      <c r="X211" s="159"/>
      <c r="Y211" s="159"/>
      <c r="Z211" s="159"/>
      <c r="AA211" s="159"/>
      <c r="AB211" s="81" t="s">
        <v>37</v>
      </c>
      <c r="AC211" s="83">
        <v>12</v>
      </c>
      <c r="AD211" s="157" t="s">
        <v>48</v>
      </c>
      <c r="AE211" s="177">
        <v>24.653500000000001</v>
      </c>
      <c r="AF211" s="82">
        <v>76.887799999999999</v>
      </c>
    </row>
    <row r="212" spans="1:32">
      <c r="A212" s="61">
        <v>186</v>
      </c>
      <c r="B212" s="62" t="s">
        <v>33</v>
      </c>
      <c r="C212" s="62" t="s">
        <v>2001</v>
      </c>
      <c r="D212" s="62" t="s">
        <v>2380</v>
      </c>
      <c r="E212" s="62" t="s">
        <v>2382</v>
      </c>
      <c r="F212" s="62" t="s">
        <v>2383</v>
      </c>
      <c r="G212" s="156">
        <v>156.97999999999999</v>
      </c>
      <c r="H212" s="156">
        <v>25</v>
      </c>
      <c r="I212" s="156">
        <v>134</v>
      </c>
      <c r="J212" s="156">
        <v>69</v>
      </c>
      <c r="K212" s="156">
        <v>65</v>
      </c>
      <c r="L212" s="156">
        <v>0</v>
      </c>
      <c r="M212" s="366">
        <f t="shared" si="6"/>
        <v>0</v>
      </c>
      <c r="N212" s="156">
        <v>0</v>
      </c>
      <c r="O212" s="357">
        <f t="shared" si="7"/>
        <v>0</v>
      </c>
      <c r="P212" s="156">
        <v>10</v>
      </c>
      <c r="Q212" s="156"/>
      <c r="R212" s="81" t="s">
        <v>2004</v>
      </c>
      <c r="S212" s="170">
        <v>45348</v>
      </c>
      <c r="T212" s="160"/>
      <c r="U212" s="83">
        <v>9.6113</v>
      </c>
      <c r="V212" s="159"/>
      <c r="W212" s="159"/>
      <c r="X212" s="159"/>
      <c r="Y212" s="159"/>
      <c r="Z212" s="159"/>
      <c r="AA212" s="159"/>
      <c r="AB212" s="81" t="s">
        <v>37</v>
      </c>
      <c r="AC212" s="83">
        <v>19</v>
      </c>
      <c r="AD212" s="157" t="s">
        <v>48</v>
      </c>
      <c r="AE212" s="180"/>
      <c r="AF212" s="160"/>
    </row>
    <row r="213" spans="1:32">
      <c r="A213" s="61">
        <v>187</v>
      </c>
      <c r="B213" s="62" t="s">
        <v>33</v>
      </c>
      <c r="C213" s="62" t="s">
        <v>2001</v>
      </c>
      <c r="D213" s="62" t="s">
        <v>2380</v>
      </c>
      <c r="E213" s="62" t="s">
        <v>2384</v>
      </c>
      <c r="F213" s="62" t="s">
        <v>2385</v>
      </c>
      <c r="G213" s="156">
        <v>899.31</v>
      </c>
      <c r="H213" s="156">
        <v>72</v>
      </c>
      <c r="I213" s="156">
        <v>355</v>
      </c>
      <c r="J213" s="156">
        <v>195</v>
      </c>
      <c r="K213" s="156">
        <v>160</v>
      </c>
      <c r="L213" s="156">
        <v>0</v>
      </c>
      <c r="M213" s="366">
        <f t="shared" si="6"/>
        <v>0</v>
      </c>
      <c r="N213" s="156">
        <v>110</v>
      </c>
      <c r="O213" s="357">
        <f t="shared" si="7"/>
        <v>30.985915492957744</v>
      </c>
      <c r="P213" s="156">
        <v>41.2</v>
      </c>
      <c r="Q213" s="156"/>
      <c r="R213" s="81" t="s">
        <v>2004</v>
      </c>
      <c r="S213" s="170">
        <v>45348</v>
      </c>
      <c r="T213" s="160"/>
      <c r="U213" s="83">
        <v>42.605699999999999</v>
      </c>
      <c r="V213" s="159"/>
      <c r="W213" s="159"/>
      <c r="X213" s="159"/>
      <c r="Y213" s="159"/>
      <c r="Z213" s="159"/>
      <c r="AA213" s="159"/>
      <c r="AB213" s="81" t="s">
        <v>37</v>
      </c>
      <c r="AC213" s="83">
        <v>11</v>
      </c>
      <c r="AD213" s="157" t="s">
        <v>48</v>
      </c>
      <c r="AE213" s="180"/>
      <c r="AF213" s="160"/>
    </row>
    <row r="214" spans="1:32">
      <c r="A214" s="61">
        <v>188</v>
      </c>
      <c r="B214" s="62" t="s">
        <v>33</v>
      </c>
      <c r="C214" s="62" t="s">
        <v>2001</v>
      </c>
      <c r="D214" s="62" t="s">
        <v>2380</v>
      </c>
      <c r="E214" s="62" t="s">
        <v>43</v>
      </c>
      <c r="F214" s="62" t="s">
        <v>2386</v>
      </c>
      <c r="G214" s="156">
        <v>390.87</v>
      </c>
      <c r="H214" s="156">
        <v>193</v>
      </c>
      <c r="I214" s="156">
        <v>966</v>
      </c>
      <c r="J214" s="156">
        <v>495</v>
      </c>
      <c r="K214" s="156">
        <v>471</v>
      </c>
      <c r="L214" s="156">
        <v>20</v>
      </c>
      <c r="M214" s="366">
        <f t="shared" si="6"/>
        <v>2.0703933747412009</v>
      </c>
      <c r="N214" s="156">
        <v>418</v>
      </c>
      <c r="O214" s="357">
        <f t="shared" si="7"/>
        <v>43.271221532091097</v>
      </c>
      <c r="P214" s="156">
        <v>42</v>
      </c>
      <c r="Q214" s="156"/>
      <c r="R214" s="81" t="s">
        <v>2004</v>
      </c>
      <c r="S214" s="170">
        <v>45348</v>
      </c>
      <c r="T214" s="160"/>
      <c r="U214" s="83">
        <v>74.133300000000006</v>
      </c>
      <c r="V214" s="159"/>
      <c r="W214" s="159"/>
      <c r="X214" s="159"/>
      <c r="Y214" s="159"/>
      <c r="Z214" s="159"/>
      <c r="AA214" s="159"/>
      <c r="AB214" s="81" t="s">
        <v>37</v>
      </c>
      <c r="AC214" s="83">
        <v>12</v>
      </c>
      <c r="AD214" s="157" t="s">
        <v>48</v>
      </c>
      <c r="AE214" s="180"/>
      <c r="AF214" s="160"/>
    </row>
    <row r="215" spans="1:32">
      <c r="A215" s="61">
        <v>189</v>
      </c>
      <c r="B215" s="62" t="s">
        <v>33</v>
      </c>
      <c r="C215" s="62" t="s">
        <v>2001</v>
      </c>
      <c r="D215" s="62" t="s">
        <v>2380</v>
      </c>
      <c r="E215" s="62" t="s">
        <v>2387</v>
      </c>
      <c r="F215" s="62" t="s">
        <v>2388</v>
      </c>
      <c r="G215" s="156">
        <v>310.24</v>
      </c>
      <c r="H215" s="156">
        <v>42</v>
      </c>
      <c r="I215" s="156">
        <v>214</v>
      </c>
      <c r="J215" s="156">
        <v>112</v>
      </c>
      <c r="K215" s="156">
        <v>102</v>
      </c>
      <c r="L215" s="156">
        <v>0</v>
      </c>
      <c r="M215" s="366">
        <f t="shared" si="6"/>
        <v>0</v>
      </c>
      <c r="N215" s="156">
        <v>65</v>
      </c>
      <c r="O215" s="357">
        <f t="shared" si="7"/>
        <v>30.373831775700932</v>
      </c>
      <c r="P215" s="156">
        <v>41.15</v>
      </c>
      <c r="Q215" s="156"/>
      <c r="R215" s="81" t="s">
        <v>2004</v>
      </c>
      <c r="S215" s="170">
        <v>45348</v>
      </c>
      <c r="T215" s="160"/>
      <c r="U215" s="83">
        <v>41.985999999999997</v>
      </c>
      <c r="V215" s="159"/>
      <c r="W215" s="159"/>
      <c r="X215" s="159"/>
      <c r="Y215" s="159"/>
      <c r="Z215" s="159"/>
      <c r="AA215" s="159"/>
      <c r="AB215" s="81" t="s">
        <v>37</v>
      </c>
      <c r="AC215" s="83">
        <v>10</v>
      </c>
      <c r="AD215" s="157" t="s">
        <v>48</v>
      </c>
      <c r="AE215" s="180"/>
      <c r="AF215" s="160"/>
    </row>
    <row r="216" spans="1:32">
      <c r="A216" s="61">
        <v>190</v>
      </c>
      <c r="B216" s="62" t="s">
        <v>33</v>
      </c>
      <c r="C216" s="62" t="s">
        <v>2001</v>
      </c>
      <c r="D216" s="62" t="s">
        <v>2380</v>
      </c>
      <c r="E216" s="62" t="s">
        <v>2389</v>
      </c>
      <c r="F216" s="62" t="s">
        <v>2390</v>
      </c>
      <c r="G216" s="156">
        <v>245.59</v>
      </c>
      <c r="H216" s="156">
        <v>77</v>
      </c>
      <c r="I216" s="156">
        <v>539</v>
      </c>
      <c r="J216" s="156">
        <v>267</v>
      </c>
      <c r="K216" s="156">
        <v>272</v>
      </c>
      <c r="L216" s="156">
        <v>43</v>
      </c>
      <c r="M216" s="366">
        <f t="shared" si="6"/>
        <v>7.9777365491651206</v>
      </c>
      <c r="N216" s="156">
        <v>0</v>
      </c>
      <c r="O216" s="357">
        <f t="shared" si="7"/>
        <v>0</v>
      </c>
      <c r="P216" s="156">
        <v>0</v>
      </c>
      <c r="Q216" s="156"/>
      <c r="R216" s="81" t="s">
        <v>2004</v>
      </c>
      <c r="S216" s="170">
        <v>45348</v>
      </c>
      <c r="T216" s="160"/>
      <c r="U216" s="83"/>
      <c r="V216" s="159"/>
      <c r="W216" s="159"/>
      <c r="X216" s="159"/>
      <c r="Y216" s="159"/>
      <c r="Z216" s="159"/>
      <c r="AA216" s="159"/>
      <c r="AB216" s="81" t="s">
        <v>37</v>
      </c>
      <c r="AC216" s="83">
        <v>12</v>
      </c>
      <c r="AD216" s="157" t="s">
        <v>48</v>
      </c>
      <c r="AE216" s="180"/>
      <c r="AF216" s="160"/>
    </row>
    <row r="217" spans="1:32">
      <c r="A217" s="61">
        <v>191</v>
      </c>
      <c r="B217" s="62" t="s">
        <v>33</v>
      </c>
      <c r="C217" s="62" t="s">
        <v>2001</v>
      </c>
      <c r="D217" s="62" t="s">
        <v>2380</v>
      </c>
      <c r="E217" s="62" t="s">
        <v>2391</v>
      </c>
      <c r="F217" s="62" t="s">
        <v>2392</v>
      </c>
      <c r="G217" s="156">
        <v>393</v>
      </c>
      <c r="H217" s="156">
        <v>177</v>
      </c>
      <c r="I217" s="156">
        <v>813</v>
      </c>
      <c r="J217" s="156">
        <v>431</v>
      </c>
      <c r="K217" s="156">
        <v>382</v>
      </c>
      <c r="L217" s="156">
        <v>98</v>
      </c>
      <c r="M217" s="366">
        <f t="shared" si="6"/>
        <v>12.054120541205412</v>
      </c>
      <c r="N217" s="156">
        <v>0</v>
      </c>
      <c r="O217" s="357">
        <f t="shared" si="7"/>
        <v>0</v>
      </c>
      <c r="P217" s="156">
        <v>52</v>
      </c>
      <c r="Q217" s="156"/>
      <c r="R217" s="81" t="s">
        <v>2004</v>
      </c>
      <c r="S217" s="170">
        <v>45348</v>
      </c>
      <c r="T217" s="160"/>
      <c r="U217" s="83">
        <v>54.611899999999999</v>
      </c>
      <c r="V217" s="159"/>
      <c r="W217" s="159"/>
      <c r="X217" s="159"/>
      <c r="Y217" s="159"/>
      <c r="Z217" s="159"/>
      <c r="AA217" s="159"/>
      <c r="AB217" s="81" t="s">
        <v>37</v>
      </c>
      <c r="AC217" s="83">
        <v>8</v>
      </c>
      <c r="AD217" s="157" t="s">
        <v>48</v>
      </c>
      <c r="AE217" s="180"/>
      <c r="AF217" s="160"/>
    </row>
    <row r="218" spans="1:32">
      <c r="A218" s="61">
        <v>192</v>
      </c>
      <c r="B218" s="62" t="s">
        <v>33</v>
      </c>
      <c r="C218" s="62" t="s">
        <v>2001</v>
      </c>
      <c r="D218" s="62" t="s">
        <v>2380</v>
      </c>
      <c r="E218" s="62" t="s">
        <v>396</v>
      </c>
      <c r="F218" s="62" t="s">
        <v>2393</v>
      </c>
      <c r="G218" s="156">
        <v>903.18</v>
      </c>
      <c r="H218" s="156">
        <v>67</v>
      </c>
      <c r="I218" s="156">
        <v>371</v>
      </c>
      <c r="J218" s="156">
        <v>191</v>
      </c>
      <c r="K218" s="156">
        <v>180</v>
      </c>
      <c r="L218" s="156">
        <v>8</v>
      </c>
      <c r="M218" s="366">
        <f t="shared" si="6"/>
        <v>2.1563342318059302</v>
      </c>
      <c r="N218" s="156">
        <v>0</v>
      </c>
      <c r="O218" s="357">
        <f t="shared" si="7"/>
        <v>0</v>
      </c>
      <c r="P218" s="156">
        <v>39.1</v>
      </c>
      <c r="Q218" s="156"/>
      <c r="R218" s="81" t="s">
        <v>2004</v>
      </c>
      <c r="S218" s="170">
        <v>45348</v>
      </c>
      <c r="T218" s="160"/>
      <c r="U218" s="83">
        <v>40.746699999999997</v>
      </c>
      <c r="V218" s="159"/>
      <c r="W218" s="159"/>
      <c r="X218" s="159"/>
      <c r="Y218" s="159"/>
      <c r="Z218" s="159"/>
      <c r="AA218" s="159"/>
      <c r="AB218" s="81" t="s">
        <v>37</v>
      </c>
      <c r="AC218" s="83">
        <v>13</v>
      </c>
      <c r="AD218" s="157" t="s">
        <v>48</v>
      </c>
      <c r="AE218" s="180"/>
      <c r="AF218" s="160"/>
    </row>
    <row r="219" spans="1:32">
      <c r="A219" s="61">
        <v>193</v>
      </c>
      <c r="B219" s="62" t="s">
        <v>33</v>
      </c>
      <c r="C219" s="62" t="s">
        <v>2001</v>
      </c>
      <c r="D219" s="62" t="s">
        <v>2380</v>
      </c>
      <c r="E219" s="62" t="s">
        <v>2394</v>
      </c>
      <c r="F219" s="62" t="s">
        <v>2395</v>
      </c>
      <c r="G219" s="156">
        <v>255.12</v>
      </c>
      <c r="H219" s="156">
        <v>96</v>
      </c>
      <c r="I219" s="156">
        <v>494</v>
      </c>
      <c r="J219" s="156">
        <v>252</v>
      </c>
      <c r="K219" s="156">
        <v>242</v>
      </c>
      <c r="L219" s="156">
        <v>4</v>
      </c>
      <c r="M219" s="366">
        <f t="shared" si="6"/>
        <v>0.80971659919028338</v>
      </c>
      <c r="N219" s="156">
        <v>0</v>
      </c>
      <c r="O219" s="357">
        <f t="shared" si="7"/>
        <v>0</v>
      </c>
      <c r="P219" s="156">
        <v>6</v>
      </c>
      <c r="Q219" s="156"/>
      <c r="R219" s="81" t="s">
        <v>2004</v>
      </c>
      <c r="S219" s="170">
        <v>45348</v>
      </c>
      <c r="T219" s="160"/>
      <c r="U219" s="83">
        <v>7.6890000000000001</v>
      </c>
      <c r="V219" s="159"/>
      <c r="W219" s="159"/>
      <c r="X219" s="159"/>
      <c r="Y219" s="159"/>
      <c r="Z219" s="159"/>
      <c r="AA219" s="159"/>
      <c r="AB219" s="81" t="s">
        <v>37</v>
      </c>
      <c r="AC219" s="83">
        <v>18</v>
      </c>
      <c r="AD219" s="157" t="s">
        <v>48</v>
      </c>
      <c r="AE219" s="180"/>
      <c r="AF219" s="160"/>
    </row>
    <row r="220" spans="1:32">
      <c r="A220" s="61">
        <v>194</v>
      </c>
      <c r="B220" s="62" t="s">
        <v>33</v>
      </c>
      <c r="C220" s="62" t="s">
        <v>2001</v>
      </c>
      <c r="D220" s="62" t="s">
        <v>2380</v>
      </c>
      <c r="E220" s="62" t="s">
        <v>573</v>
      </c>
      <c r="F220" s="62" t="s">
        <v>2396</v>
      </c>
      <c r="G220" s="156">
        <v>207</v>
      </c>
      <c r="H220" s="156">
        <v>28</v>
      </c>
      <c r="I220" s="156">
        <v>126</v>
      </c>
      <c r="J220" s="156">
        <v>67</v>
      </c>
      <c r="K220" s="156">
        <v>59</v>
      </c>
      <c r="L220" s="156">
        <v>2</v>
      </c>
      <c r="M220" s="366">
        <f t="shared" si="6"/>
        <v>1.5873015873015872</v>
      </c>
      <c r="N220" s="156">
        <v>34</v>
      </c>
      <c r="O220" s="357">
        <f t="shared" si="7"/>
        <v>26.984126984126984</v>
      </c>
      <c r="P220" s="156">
        <v>6</v>
      </c>
      <c r="Q220" s="156"/>
      <c r="R220" s="81" t="s">
        <v>2004</v>
      </c>
      <c r="S220" s="170">
        <v>45348</v>
      </c>
      <c r="T220" s="160"/>
      <c r="U220" s="83">
        <v>28.9603</v>
      </c>
      <c r="V220" s="159"/>
      <c r="W220" s="159"/>
      <c r="X220" s="159"/>
      <c r="Y220" s="159"/>
      <c r="Z220" s="159"/>
      <c r="AA220" s="159"/>
      <c r="AB220" s="81" t="s">
        <v>37</v>
      </c>
      <c r="AC220" s="83">
        <v>6</v>
      </c>
      <c r="AD220" s="157" t="s">
        <v>48</v>
      </c>
      <c r="AE220" s="180"/>
      <c r="AF220" s="160"/>
    </row>
  </sheetData>
  <mergeCells count="3">
    <mergeCell ref="L2:M2"/>
    <mergeCell ref="N2:O2"/>
    <mergeCell ref="AE2:AF2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97"/>
  <sheetViews>
    <sheetView topLeftCell="G1" workbookViewId="0">
      <selection activeCell="Z7" sqref="Z7"/>
    </sheetView>
  </sheetViews>
  <sheetFormatPr defaultColWidth="8.85546875" defaultRowHeight="15"/>
  <cols>
    <col min="1" max="2" width="8.85546875" style="12" customWidth="1"/>
    <col min="3" max="3" width="10" style="12" customWidth="1"/>
    <col min="4" max="4" width="15" style="12" customWidth="1"/>
    <col min="5" max="5" width="17.42578125" style="12" customWidth="1"/>
    <col min="6" max="6" width="17.140625" style="12" customWidth="1"/>
    <col min="7" max="12" width="8.85546875" style="12" customWidth="1"/>
    <col min="13" max="13" width="13.5703125" style="12" customWidth="1"/>
    <col min="14" max="15" width="8.85546875" style="12" customWidth="1"/>
    <col min="16" max="16" width="8.85546875" style="41" customWidth="1"/>
    <col min="17" max="18" width="8.85546875" style="12" customWidth="1"/>
    <col min="19" max="19" width="10.28515625" style="12" customWidth="1"/>
    <col min="20" max="28" width="8.85546875" style="12" customWidth="1"/>
    <col min="29" max="29" width="8.7109375" style="12" bestFit="1" customWidth="1"/>
    <col min="30" max="30" width="17.7109375" style="12" bestFit="1" customWidth="1"/>
    <col min="31" max="31" width="8.85546875" style="12" customWidth="1"/>
    <col min="32" max="16384" width="8.85546875" style="12"/>
  </cols>
  <sheetData>
    <row r="1" spans="1:32">
      <c r="A1" s="130"/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1"/>
      <c r="Q1" s="130"/>
      <c r="R1" s="132" t="s">
        <v>0</v>
      </c>
      <c r="S1" s="132" t="s">
        <v>0</v>
      </c>
      <c r="T1" s="132" t="s">
        <v>1</v>
      </c>
      <c r="U1" s="133" t="s">
        <v>2</v>
      </c>
      <c r="V1" s="132" t="s">
        <v>2</v>
      </c>
      <c r="W1" s="132" t="s">
        <v>2</v>
      </c>
      <c r="X1" s="132" t="s">
        <v>2</v>
      </c>
      <c r="Y1" s="132" t="s">
        <v>2</v>
      </c>
      <c r="Z1" s="132" t="s">
        <v>2</v>
      </c>
      <c r="AA1" s="134" t="s">
        <v>3</v>
      </c>
      <c r="AB1" s="134" t="s">
        <v>3</v>
      </c>
      <c r="AC1" s="134" t="s">
        <v>3</v>
      </c>
      <c r="AD1" s="134" t="s">
        <v>3</v>
      </c>
      <c r="AE1" s="134" t="s">
        <v>3</v>
      </c>
      <c r="AF1" s="134" t="s">
        <v>3</v>
      </c>
    </row>
    <row r="2" spans="1:32" ht="158.44999999999999" customHeight="1">
      <c r="A2" s="39" t="s">
        <v>4</v>
      </c>
      <c r="B2" s="56" t="s">
        <v>5</v>
      </c>
      <c r="C2" s="56" t="s">
        <v>6</v>
      </c>
      <c r="D2" s="56" t="s">
        <v>7</v>
      </c>
      <c r="E2" s="56" t="s">
        <v>8</v>
      </c>
      <c r="F2" s="56" t="s">
        <v>9</v>
      </c>
      <c r="G2" s="56" t="s">
        <v>10</v>
      </c>
      <c r="H2" s="56" t="s">
        <v>11</v>
      </c>
      <c r="I2" s="56" t="s">
        <v>12</v>
      </c>
      <c r="J2" s="56" t="s">
        <v>13</v>
      </c>
      <c r="K2" s="56" t="s">
        <v>14</v>
      </c>
      <c r="L2" s="382" t="s">
        <v>15</v>
      </c>
      <c r="M2" s="383"/>
      <c r="N2" s="382" t="s">
        <v>16</v>
      </c>
      <c r="O2" s="383"/>
      <c r="P2" s="40" t="s">
        <v>17</v>
      </c>
      <c r="Q2" s="56" t="s">
        <v>18</v>
      </c>
      <c r="R2" s="22" t="s">
        <v>19</v>
      </c>
      <c r="S2" s="22" t="s">
        <v>20</v>
      </c>
      <c r="T2" s="22" t="s">
        <v>21</v>
      </c>
      <c r="U2" s="22" t="s">
        <v>22</v>
      </c>
      <c r="V2" s="22" t="s">
        <v>23</v>
      </c>
      <c r="W2" s="22" t="s">
        <v>24</v>
      </c>
      <c r="X2" s="22" t="s">
        <v>25</v>
      </c>
      <c r="Y2" s="22" t="s">
        <v>26</v>
      </c>
      <c r="Z2" s="22" t="s">
        <v>27</v>
      </c>
      <c r="AA2" s="22" t="s">
        <v>28</v>
      </c>
      <c r="AB2" s="23" t="s">
        <v>29</v>
      </c>
      <c r="AC2" s="22" t="s">
        <v>30</v>
      </c>
      <c r="AD2" s="22" t="s">
        <v>31</v>
      </c>
      <c r="AE2" s="382" t="s">
        <v>32</v>
      </c>
      <c r="AF2" s="383"/>
    </row>
    <row r="3" spans="1:32" ht="16.149999999999999" customHeight="1">
      <c r="A3" s="39"/>
      <c r="B3" s="57"/>
      <c r="C3" s="57"/>
      <c r="D3" s="57"/>
      <c r="E3" s="58"/>
      <c r="F3" s="57"/>
      <c r="G3" s="57" t="s">
        <v>2398</v>
      </c>
      <c r="H3" s="57" t="s">
        <v>2399</v>
      </c>
      <c r="I3" s="57" t="s">
        <v>2399</v>
      </c>
      <c r="J3" s="57" t="s">
        <v>2399</v>
      </c>
      <c r="K3" s="57" t="s">
        <v>2399</v>
      </c>
      <c r="L3" s="57" t="s">
        <v>2399</v>
      </c>
      <c r="M3" s="57" t="s">
        <v>2400</v>
      </c>
      <c r="N3" s="57"/>
      <c r="O3" s="57" t="s">
        <v>2400</v>
      </c>
      <c r="P3" s="57" t="s">
        <v>2398</v>
      </c>
      <c r="Q3" s="57" t="s">
        <v>2398</v>
      </c>
      <c r="R3" s="57" t="s">
        <v>2401</v>
      </c>
      <c r="S3" s="57" t="s">
        <v>2402</v>
      </c>
      <c r="T3" s="57" t="s">
        <v>2398</v>
      </c>
      <c r="U3" s="8" t="s">
        <v>2398</v>
      </c>
      <c r="V3" s="57" t="s">
        <v>2398</v>
      </c>
      <c r="W3" s="57" t="s">
        <v>2401</v>
      </c>
      <c r="X3" s="8" t="s">
        <v>2401</v>
      </c>
      <c r="Y3" s="8" t="s">
        <v>2401</v>
      </c>
      <c r="Z3" s="8" t="s">
        <v>2398</v>
      </c>
      <c r="AA3" s="8" t="s">
        <v>2401</v>
      </c>
      <c r="AB3" s="8" t="s">
        <v>2401</v>
      </c>
      <c r="AC3" s="8" t="s">
        <v>2398</v>
      </c>
      <c r="AD3" s="57" t="s">
        <v>2403</v>
      </c>
      <c r="AE3" s="8" t="s">
        <v>2404</v>
      </c>
      <c r="AF3" s="8" t="s">
        <v>2405</v>
      </c>
    </row>
    <row r="4" spans="1:32">
      <c r="A4" s="135">
        <v>1</v>
      </c>
      <c r="B4" s="136" t="s">
        <v>33</v>
      </c>
      <c r="C4" s="136" t="s">
        <v>876</v>
      </c>
      <c r="D4" s="136" t="s">
        <v>877</v>
      </c>
      <c r="E4" s="137" t="s">
        <v>878</v>
      </c>
      <c r="F4" s="136" t="s">
        <v>879</v>
      </c>
      <c r="G4" s="136">
        <v>1660.84</v>
      </c>
      <c r="H4" s="136">
        <v>956</v>
      </c>
      <c r="I4" s="136">
        <v>4834</v>
      </c>
      <c r="J4" s="136">
        <v>2512</v>
      </c>
      <c r="K4" s="136">
        <v>2322</v>
      </c>
      <c r="L4" s="136">
        <v>1117</v>
      </c>
      <c r="M4" s="135">
        <f t="shared" ref="M4:M67" si="0">L4/I4*100</f>
        <v>23.107157633429871</v>
      </c>
      <c r="N4" s="136">
        <v>93</v>
      </c>
      <c r="O4" s="136">
        <f t="shared" ref="O4:O67" si="1">N4/I4*100</f>
        <v>1.9238725693007861</v>
      </c>
      <c r="P4" s="138">
        <v>82.91</v>
      </c>
      <c r="Q4" s="136">
        <v>0</v>
      </c>
      <c r="R4" s="135" t="s">
        <v>39</v>
      </c>
      <c r="S4" s="114" t="s">
        <v>313</v>
      </c>
      <c r="T4" s="135"/>
      <c r="U4" s="139">
        <v>82.91</v>
      </c>
      <c r="V4" s="135"/>
      <c r="W4" s="135"/>
      <c r="X4" s="135"/>
      <c r="Y4" s="135"/>
      <c r="Z4" s="135"/>
      <c r="AA4" s="135"/>
      <c r="AB4" s="135" t="s">
        <v>39</v>
      </c>
      <c r="AC4" s="139">
        <v>8</v>
      </c>
      <c r="AD4" s="135" t="s">
        <v>285</v>
      </c>
      <c r="AE4" s="135"/>
      <c r="AF4" s="135"/>
    </row>
    <row r="5" spans="1:32">
      <c r="A5" s="135" t="s">
        <v>51</v>
      </c>
      <c r="B5" s="136" t="s">
        <v>33</v>
      </c>
      <c r="C5" s="136" t="s">
        <v>876</v>
      </c>
      <c r="D5" s="136" t="s">
        <v>877</v>
      </c>
      <c r="E5" s="137" t="s">
        <v>878</v>
      </c>
      <c r="F5" s="136"/>
      <c r="G5" s="136"/>
      <c r="H5" s="136"/>
      <c r="I5" s="136"/>
      <c r="J5" s="136"/>
      <c r="K5" s="136"/>
      <c r="L5" s="136"/>
      <c r="M5" s="135"/>
      <c r="N5" s="136"/>
      <c r="O5" s="136" t="e">
        <f t="shared" si="1"/>
        <v>#DIV/0!</v>
      </c>
      <c r="P5" s="138"/>
      <c r="Q5" s="136">
        <v>0</v>
      </c>
      <c r="R5" s="135"/>
      <c r="S5" s="114"/>
      <c r="T5" s="135"/>
      <c r="U5" s="139"/>
      <c r="V5" s="135"/>
      <c r="W5" s="135"/>
      <c r="X5" s="135"/>
      <c r="Y5" s="135"/>
      <c r="Z5" s="135"/>
      <c r="AA5" s="135"/>
      <c r="AB5" s="135"/>
      <c r="AC5" s="139">
        <v>9</v>
      </c>
      <c r="AD5" s="135" t="s">
        <v>48</v>
      </c>
      <c r="AE5" s="140">
        <v>25.411100000000001</v>
      </c>
      <c r="AF5" s="140">
        <v>76.540270000000007</v>
      </c>
    </row>
    <row r="6" spans="1:32">
      <c r="A6" s="135">
        <v>2</v>
      </c>
      <c r="B6" s="136" t="s">
        <v>33</v>
      </c>
      <c r="C6" s="136" t="s">
        <v>876</v>
      </c>
      <c r="D6" s="136" t="s">
        <v>877</v>
      </c>
      <c r="E6" s="136" t="s">
        <v>880</v>
      </c>
      <c r="F6" s="136" t="s">
        <v>881</v>
      </c>
      <c r="G6" s="136">
        <v>50.85</v>
      </c>
      <c r="H6" s="136">
        <v>32</v>
      </c>
      <c r="I6" s="136">
        <v>141</v>
      </c>
      <c r="J6" s="136">
        <v>76</v>
      </c>
      <c r="K6" s="136">
        <v>65</v>
      </c>
      <c r="L6" s="136">
        <v>0</v>
      </c>
      <c r="M6" s="135">
        <f t="shared" si="0"/>
        <v>0</v>
      </c>
      <c r="N6" s="136">
        <v>133</v>
      </c>
      <c r="O6" s="136">
        <f t="shared" si="1"/>
        <v>94.326241134751783</v>
      </c>
      <c r="P6" s="138">
        <v>7.65</v>
      </c>
      <c r="Q6" s="136">
        <v>0</v>
      </c>
      <c r="R6" s="135"/>
      <c r="S6" s="141"/>
      <c r="T6" s="135"/>
      <c r="U6" s="141"/>
      <c r="V6" s="135"/>
      <c r="W6" s="135"/>
      <c r="X6" s="135"/>
      <c r="Y6" s="135"/>
      <c r="Z6" s="135"/>
      <c r="AA6" s="135"/>
      <c r="AB6" s="135"/>
      <c r="AC6" s="141">
        <v>11</v>
      </c>
      <c r="AD6" s="135"/>
      <c r="AE6" s="135"/>
      <c r="AF6" s="135"/>
    </row>
    <row r="7" spans="1:32">
      <c r="A7" s="135">
        <v>3</v>
      </c>
      <c r="B7" s="136" t="s">
        <v>33</v>
      </c>
      <c r="C7" s="136" t="s">
        <v>876</v>
      </c>
      <c r="D7" s="136" t="s">
        <v>877</v>
      </c>
      <c r="E7" s="136" t="s">
        <v>882</v>
      </c>
      <c r="F7" s="136" t="s">
        <v>883</v>
      </c>
      <c r="G7" s="136">
        <v>34.36</v>
      </c>
      <c r="H7" s="136">
        <v>0</v>
      </c>
      <c r="I7" s="136">
        <v>0</v>
      </c>
      <c r="J7" s="136">
        <v>0</v>
      </c>
      <c r="K7" s="136">
        <v>0</v>
      </c>
      <c r="L7" s="136">
        <v>0</v>
      </c>
      <c r="M7" s="135" t="e">
        <f t="shared" si="0"/>
        <v>#DIV/0!</v>
      </c>
      <c r="N7" s="136">
        <v>0</v>
      </c>
      <c r="O7" s="136" t="e">
        <f t="shared" si="1"/>
        <v>#DIV/0!</v>
      </c>
      <c r="P7" s="138">
        <v>0</v>
      </c>
      <c r="Q7" s="136">
        <v>0</v>
      </c>
      <c r="R7" s="135"/>
      <c r="S7" s="141"/>
      <c r="T7" s="135"/>
      <c r="U7" s="141"/>
      <c r="V7" s="135"/>
      <c r="W7" s="135"/>
      <c r="X7" s="135"/>
      <c r="Y7" s="135"/>
      <c r="Z7" s="135"/>
      <c r="AA7" s="135"/>
      <c r="AB7" s="135"/>
      <c r="AC7" s="141"/>
      <c r="AD7" s="135"/>
      <c r="AE7" s="135"/>
      <c r="AF7" s="135"/>
    </row>
    <row r="8" spans="1:32">
      <c r="A8" s="135">
        <v>4</v>
      </c>
      <c r="B8" s="136" t="s">
        <v>33</v>
      </c>
      <c r="C8" s="136" t="s">
        <v>876</v>
      </c>
      <c r="D8" s="136" t="s">
        <v>884</v>
      </c>
      <c r="E8" s="137" t="s">
        <v>885</v>
      </c>
      <c r="F8" s="136" t="s">
        <v>886</v>
      </c>
      <c r="G8" s="136">
        <v>1164.9000000000001</v>
      </c>
      <c r="H8" s="136">
        <v>585</v>
      </c>
      <c r="I8" s="136">
        <v>2918</v>
      </c>
      <c r="J8" s="136">
        <v>1519</v>
      </c>
      <c r="K8" s="136">
        <v>1399</v>
      </c>
      <c r="L8" s="136">
        <v>428</v>
      </c>
      <c r="M8" s="135">
        <f t="shared" si="0"/>
        <v>14.667580534612748</v>
      </c>
      <c r="N8" s="136">
        <v>392</v>
      </c>
      <c r="O8" s="136">
        <f t="shared" si="1"/>
        <v>13.433858807402329</v>
      </c>
      <c r="P8" s="138">
        <v>54.43</v>
      </c>
      <c r="Q8" s="136">
        <v>0</v>
      </c>
      <c r="R8" s="135" t="s">
        <v>39</v>
      </c>
      <c r="S8" s="114" t="s">
        <v>313</v>
      </c>
      <c r="T8" s="135"/>
      <c r="U8" s="142">
        <v>55.36</v>
      </c>
      <c r="V8" s="135"/>
      <c r="W8" s="135"/>
      <c r="X8" s="135"/>
      <c r="Y8" s="135"/>
      <c r="Z8" s="135"/>
      <c r="AA8" s="135"/>
      <c r="AB8" s="135" t="s">
        <v>39</v>
      </c>
      <c r="AC8" s="142">
        <v>14</v>
      </c>
      <c r="AD8" s="135" t="s">
        <v>285</v>
      </c>
      <c r="AE8" s="135"/>
      <c r="AF8" s="135"/>
    </row>
    <row r="9" spans="1:32">
      <c r="A9" s="135" t="s">
        <v>51</v>
      </c>
      <c r="B9" s="136" t="s">
        <v>33</v>
      </c>
      <c r="C9" s="136" t="s">
        <v>876</v>
      </c>
      <c r="D9" s="136" t="s">
        <v>884</v>
      </c>
      <c r="E9" s="137" t="s">
        <v>885</v>
      </c>
      <c r="F9" s="136"/>
      <c r="G9" s="136"/>
      <c r="H9" s="136"/>
      <c r="I9" s="136"/>
      <c r="J9" s="136"/>
      <c r="K9" s="136"/>
      <c r="L9" s="136"/>
      <c r="M9" s="135" t="e">
        <f t="shared" si="0"/>
        <v>#DIV/0!</v>
      </c>
      <c r="N9" s="136"/>
      <c r="O9" s="136" t="e">
        <f t="shared" si="1"/>
        <v>#DIV/0!</v>
      </c>
      <c r="P9" s="138"/>
      <c r="Q9" s="136">
        <v>0</v>
      </c>
      <c r="R9" s="135"/>
      <c r="S9" s="114"/>
      <c r="T9" s="135"/>
      <c r="U9" s="142"/>
      <c r="V9" s="135"/>
      <c r="W9" s="135"/>
      <c r="X9" s="135"/>
      <c r="Y9" s="135"/>
      <c r="Z9" s="135"/>
      <c r="AA9" s="135"/>
      <c r="AB9" s="135"/>
      <c r="AC9" s="142">
        <v>15</v>
      </c>
      <c r="AD9" s="135" t="s">
        <v>326</v>
      </c>
      <c r="AE9" s="135"/>
      <c r="AF9" s="135"/>
    </row>
    <row r="10" spans="1:32">
      <c r="A10" s="135">
        <v>5</v>
      </c>
      <c r="B10" s="136" t="s">
        <v>33</v>
      </c>
      <c r="C10" s="136" t="s">
        <v>876</v>
      </c>
      <c r="D10" s="136" t="s">
        <v>884</v>
      </c>
      <c r="E10" s="136" t="s">
        <v>887</v>
      </c>
      <c r="F10" s="136" t="s">
        <v>888</v>
      </c>
      <c r="G10" s="136">
        <v>243.57</v>
      </c>
      <c r="H10" s="136">
        <v>45</v>
      </c>
      <c r="I10" s="136">
        <v>225</v>
      </c>
      <c r="J10" s="136">
        <v>116</v>
      </c>
      <c r="K10" s="136">
        <v>109</v>
      </c>
      <c r="L10" s="136">
        <v>133</v>
      </c>
      <c r="M10" s="135">
        <f t="shared" si="0"/>
        <v>59.111111111111114</v>
      </c>
      <c r="N10" s="136">
        <v>18</v>
      </c>
      <c r="O10" s="136">
        <f t="shared" si="1"/>
        <v>8</v>
      </c>
      <c r="P10" s="138">
        <v>15.55</v>
      </c>
      <c r="Q10" s="136">
        <v>0</v>
      </c>
      <c r="R10" s="135"/>
      <c r="S10" s="141"/>
      <c r="T10" s="135"/>
      <c r="U10" s="141"/>
      <c r="V10" s="135"/>
      <c r="W10" s="135"/>
      <c r="X10" s="135"/>
      <c r="Y10" s="135"/>
      <c r="Z10" s="135"/>
      <c r="AA10" s="135"/>
      <c r="AB10" s="135"/>
      <c r="AC10" s="141"/>
      <c r="AD10" s="135"/>
      <c r="AE10" s="135"/>
      <c r="AF10" s="135"/>
    </row>
    <row r="11" spans="1:32">
      <c r="A11" s="135">
        <v>6</v>
      </c>
      <c r="B11" s="136" t="s">
        <v>33</v>
      </c>
      <c r="C11" s="136" t="s">
        <v>876</v>
      </c>
      <c r="D11" s="136" t="s">
        <v>884</v>
      </c>
      <c r="E11" s="136" t="s">
        <v>889</v>
      </c>
      <c r="F11" s="136" t="s">
        <v>890</v>
      </c>
      <c r="G11" s="136">
        <v>283.79000000000002</v>
      </c>
      <c r="H11" s="136">
        <v>114</v>
      </c>
      <c r="I11" s="136">
        <v>510</v>
      </c>
      <c r="J11" s="136">
        <v>265</v>
      </c>
      <c r="K11" s="136">
        <v>245</v>
      </c>
      <c r="L11" s="136">
        <v>233</v>
      </c>
      <c r="M11" s="135">
        <f t="shared" si="0"/>
        <v>45.686274509803923</v>
      </c>
      <c r="N11" s="136">
        <v>85</v>
      </c>
      <c r="O11" s="136">
        <f t="shared" si="1"/>
        <v>16.666666666666664</v>
      </c>
      <c r="P11" s="138">
        <v>11.19</v>
      </c>
      <c r="Q11" s="136">
        <v>0</v>
      </c>
      <c r="R11" s="135"/>
      <c r="S11" s="143"/>
      <c r="T11" s="135"/>
      <c r="U11" s="143"/>
      <c r="V11" s="135"/>
      <c r="W11" s="135"/>
      <c r="X11" s="135"/>
      <c r="Y11" s="135"/>
      <c r="Z11" s="135"/>
      <c r="AA11" s="135"/>
      <c r="AB11" s="135" t="s">
        <v>39</v>
      </c>
      <c r="AC11" s="143">
        <v>5</v>
      </c>
      <c r="AD11" s="135" t="s">
        <v>285</v>
      </c>
      <c r="AE11" s="135"/>
      <c r="AF11" s="135"/>
    </row>
    <row r="12" spans="1:32">
      <c r="A12" s="135" t="s">
        <v>51</v>
      </c>
      <c r="B12" s="136" t="s">
        <v>33</v>
      </c>
      <c r="C12" s="136" t="s">
        <v>876</v>
      </c>
      <c r="D12" s="136" t="s">
        <v>884</v>
      </c>
      <c r="E12" s="136" t="s">
        <v>889</v>
      </c>
      <c r="F12" s="136"/>
      <c r="G12" s="136"/>
      <c r="H12" s="136"/>
      <c r="I12" s="136"/>
      <c r="J12" s="136"/>
      <c r="K12" s="136"/>
      <c r="L12" s="136"/>
      <c r="M12" s="135" t="e">
        <f t="shared" si="0"/>
        <v>#DIV/0!</v>
      </c>
      <c r="N12" s="136"/>
      <c r="O12" s="136" t="e">
        <f t="shared" si="1"/>
        <v>#DIV/0!</v>
      </c>
      <c r="P12" s="138"/>
      <c r="Q12" s="136">
        <v>0</v>
      </c>
      <c r="R12" s="135"/>
      <c r="S12" s="143"/>
      <c r="T12" s="135"/>
      <c r="U12" s="143"/>
      <c r="V12" s="135"/>
      <c r="W12" s="135"/>
      <c r="X12" s="135"/>
      <c r="Y12" s="135"/>
      <c r="Z12" s="135"/>
      <c r="AA12" s="135"/>
      <c r="AB12" s="135"/>
      <c r="AC12" s="143">
        <v>5</v>
      </c>
      <c r="AD12" s="135" t="s">
        <v>400</v>
      </c>
      <c r="AE12" s="135"/>
      <c r="AF12" s="135"/>
    </row>
    <row r="13" spans="1:32">
      <c r="A13" s="135">
        <v>7</v>
      </c>
      <c r="B13" s="136" t="s">
        <v>33</v>
      </c>
      <c r="C13" s="136" t="s">
        <v>876</v>
      </c>
      <c r="D13" s="136" t="s">
        <v>891</v>
      </c>
      <c r="E13" s="137" t="s">
        <v>892</v>
      </c>
      <c r="F13" s="136" t="s">
        <v>893</v>
      </c>
      <c r="G13" s="136">
        <v>1940.02</v>
      </c>
      <c r="H13" s="136">
        <v>1086</v>
      </c>
      <c r="I13" s="136">
        <v>5415</v>
      </c>
      <c r="J13" s="136">
        <v>2827</v>
      </c>
      <c r="K13" s="136">
        <v>2588</v>
      </c>
      <c r="L13" s="136">
        <v>1625</v>
      </c>
      <c r="M13" s="135">
        <f t="shared" si="0"/>
        <v>30.009233610341646</v>
      </c>
      <c r="N13" s="136">
        <v>62</v>
      </c>
      <c r="O13" s="136">
        <f t="shared" si="1"/>
        <v>1.1449676823638042</v>
      </c>
      <c r="P13" s="138">
        <v>116.67</v>
      </c>
      <c r="Q13" s="136">
        <v>0</v>
      </c>
      <c r="R13" s="135"/>
      <c r="S13" s="142"/>
      <c r="T13" s="135"/>
      <c r="U13" s="142">
        <v>108.44</v>
      </c>
      <c r="V13" s="135"/>
      <c r="W13" s="135"/>
      <c r="X13" s="135"/>
      <c r="Y13" s="135"/>
      <c r="Z13" s="135"/>
      <c r="AA13" s="135"/>
      <c r="AB13" s="135" t="s">
        <v>39</v>
      </c>
      <c r="AC13" s="142">
        <v>13</v>
      </c>
      <c r="AD13" s="135" t="s">
        <v>285</v>
      </c>
      <c r="AE13" s="135"/>
      <c r="AF13" s="135"/>
    </row>
    <row r="14" spans="1:32">
      <c r="A14" s="135" t="s">
        <v>51</v>
      </c>
      <c r="B14" s="136" t="s">
        <v>33</v>
      </c>
      <c r="C14" s="136" t="s">
        <v>876</v>
      </c>
      <c r="D14" s="136" t="s">
        <v>891</v>
      </c>
      <c r="E14" s="137" t="s">
        <v>892</v>
      </c>
      <c r="F14" s="136"/>
      <c r="G14" s="136"/>
      <c r="H14" s="136"/>
      <c r="I14" s="136"/>
      <c r="J14" s="136"/>
      <c r="K14" s="136"/>
      <c r="L14" s="136"/>
      <c r="M14" s="135" t="e">
        <f t="shared" si="0"/>
        <v>#DIV/0!</v>
      </c>
      <c r="N14" s="140">
        <v>8</v>
      </c>
      <c r="O14" s="136" t="e">
        <f t="shared" si="1"/>
        <v>#DIV/0!</v>
      </c>
      <c r="P14" s="138"/>
      <c r="Q14" s="136">
        <v>0</v>
      </c>
      <c r="R14" s="135"/>
      <c r="S14" s="142"/>
      <c r="T14" s="135"/>
      <c r="U14" s="142"/>
      <c r="V14" s="135"/>
      <c r="W14" s="135"/>
      <c r="X14" s="135"/>
      <c r="Y14" s="135"/>
      <c r="Z14" s="135"/>
      <c r="AA14" s="135"/>
      <c r="AB14" s="135"/>
      <c r="AC14" s="142">
        <v>8</v>
      </c>
      <c r="AD14" s="135" t="s">
        <v>400</v>
      </c>
      <c r="AE14" s="140">
        <v>24.6355</v>
      </c>
      <c r="AF14" s="140">
        <v>76.482200000000006</v>
      </c>
    </row>
    <row r="15" spans="1:32">
      <c r="A15" s="135" t="s">
        <v>51</v>
      </c>
      <c r="B15" s="136" t="s">
        <v>33</v>
      </c>
      <c r="C15" s="136" t="s">
        <v>876</v>
      </c>
      <c r="D15" s="136" t="s">
        <v>891</v>
      </c>
      <c r="E15" s="137" t="s">
        <v>892</v>
      </c>
      <c r="F15" s="136"/>
      <c r="G15" s="136"/>
      <c r="H15" s="136"/>
      <c r="I15" s="136"/>
      <c r="J15" s="136"/>
      <c r="K15" s="136"/>
      <c r="L15" s="136"/>
      <c r="M15" s="135" t="e">
        <f t="shared" si="0"/>
        <v>#DIV/0!</v>
      </c>
      <c r="N15" s="140">
        <v>5</v>
      </c>
      <c r="O15" s="136" t="e">
        <f t="shared" si="1"/>
        <v>#DIV/0!</v>
      </c>
      <c r="P15" s="138"/>
      <c r="Q15" s="136">
        <v>0</v>
      </c>
      <c r="R15" s="135"/>
      <c r="S15" s="142"/>
      <c r="T15" s="135"/>
      <c r="U15" s="142"/>
      <c r="V15" s="135"/>
      <c r="W15" s="135"/>
      <c r="X15" s="135"/>
      <c r="Y15" s="135"/>
      <c r="Z15" s="135"/>
      <c r="AA15" s="135"/>
      <c r="AB15" s="135"/>
      <c r="AC15" s="142">
        <v>5</v>
      </c>
      <c r="AD15" s="135" t="s">
        <v>400</v>
      </c>
      <c r="AE15" s="140">
        <v>24.641200000000001</v>
      </c>
      <c r="AF15" s="140">
        <v>76.959999999999994</v>
      </c>
    </row>
    <row r="16" spans="1:32">
      <c r="A16" s="135" t="s">
        <v>51</v>
      </c>
      <c r="B16" s="136" t="s">
        <v>33</v>
      </c>
      <c r="C16" s="136" t="s">
        <v>876</v>
      </c>
      <c r="D16" s="136" t="s">
        <v>891</v>
      </c>
      <c r="E16" s="137" t="s">
        <v>892</v>
      </c>
      <c r="F16" s="136"/>
      <c r="G16" s="136"/>
      <c r="H16" s="136"/>
      <c r="I16" s="136"/>
      <c r="J16" s="136"/>
      <c r="K16" s="136"/>
      <c r="L16" s="136"/>
      <c r="M16" s="135" t="e">
        <f t="shared" si="0"/>
        <v>#DIV/0!</v>
      </c>
      <c r="N16" s="140">
        <v>9</v>
      </c>
      <c r="O16" s="136" t="e">
        <f t="shared" si="1"/>
        <v>#DIV/0!</v>
      </c>
      <c r="P16" s="138"/>
      <c r="Q16" s="136">
        <v>0</v>
      </c>
      <c r="R16" s="135"/>
      <c r="S16" s="142"/>
      <c r="T16" s="135"/>
      <c r="U16" s="142"/>
      <c r="V16" s="135"/>
      <c r="W16" s="135"/>
      <c r="X16" s="135"/>
      <c r="Y16" s="135"/>
      <c r="Z16" s="135"/>
      <c r="AA16" s="135"/>
      <c r="AB16" s="135"/>
      <c r="AC16" s="142">
        <v>9</v>
      </c>
      <c r="AD16" s="135" t="s">
        <v>400</v>
      </c>
      <c r="AE16" s="140">
        <v>24.621099999999998</v>
      </c>
      <c r="AF16" s="140">
        <v>76.739999999999995</v>
      </c>
    </row>
    <row r="17" spans="1:32">
      <c r="A17" s="135">
        <v>8</v>
      </c>
      <c r="B17" s="136" t="s">
        <v>33</v>
      </c>
      <c r="C17" s="136" t="s">
        <v>876</v>
      </c>
      <c r="D17" s="136" t="s">
        <v>891</v>
      </c>
      <c r="E17" s="136" t="s">
        <v>489</v>
      </c>
      <c r="F17" s="136" t="s">
        <v>894</v>
      </c>
      <c r="G17" s="136">
        <v>858.72</v>
      </c>
      <c r="H17" s="136">
        <v>165</v>
      </c>
      <c r="I17" s="136">
        <v>866</v>
      </c>
      <c r="J17" s="136">
        <v>471</v>
      </c>
      <c r="K17" s="136">
        <v>395</v>
      </c>
      <c r="L17" s="136">
        <v>143</v>
      </c>
      <c r="M17" s="135">
        <f t="shared" si="0"/>
        <v>16.51270207852194</v>
      </c>
      <c r="N17" s="136">
        <v>376</v>
      </c>
      <c r="O17" s="136">
        <f t="shared" si="1"/>
        <v>43.418013856812934</v>
      </c>
      <c r="P17" s="138">
        <v>49.55</v>
      </c>
      <c r="Q17" s="136">
        <v>0</v>
      </c>
      <c r="R17" s="135"/>
      <c r="S17" s="141"/>
      <c r="T17" s="135"/>
      <c r="U17" s="141"/>
      <c r="V17" s="135"/>
      <c r="W17" s="135"/>
      <c r="X17" s="135"/>
      <c r="Y17" s="135"/>
      <c r="Z17" s="135"/>
      <c r="AA17" s="135"/>
      <c r="AB17" s="135"/>
      <c r="AC17" s="141"/>
      <c r="AD17" s="135"/>
      <c r="AE17" s="135"/>
      <c r="AF17" s="135"/>
    </row>
    <row r="18" spans="1:32">
      <c r="A18" s="135">
        <v>9</v>
      </c>
      <c r="B18" s="136" t="s">
        <v>33</v>
      </c>
      <c r="C18" s="136" t="s">
        <v>876</v>
      </c>
      <c r="D18" s="136" t="s">
        <v>895</v>
      </c>
      <c r="E18" s="137" t="s">
        <v>896</v>
      </c>
      <c r="F18" s="136" t="s">
        <v>897</v>
      </c>
      <c r="G18" s="136">
        <v>895.05</v>
      </c>
      <c r="H18" s="136">
        <v>185</v>
      </c>
      <c r="I18" s="136">
        <v>1076</v>
      </c>
      <c r="J18" s="136">
        <v>548</v>
      </c>
      <c r="K18" s="136">
        <v>528</v>
      </c>
      <c r="L18" s="136">
        <v>134</v>
      </c>
      <c r="M18" s="135">
        <f t="shared" si="0"/>
        <v>12.453531598513012</v>
      </c>
      <c r="N18" s="136">
        <v>895</v>
      </c>
      <c r="O18" s="136">
        <f t="shared" si="1"/>
        <v>83.178438661710047</v>
      </c>
      <c r="P18" s="138">
        <v>15.01</v>
      </c>
      <c r="Q18" s="136">
        <v>0</v>
      </c>
      <c r="R18" s="135" t="s">
        <v>39</v>
      </c>
      <c r="S18" s="114" t="s">
        <v>313</v>
      </c>
      <c r="T18" s="135"/>
      <c r="U18" s="142">
        <v>27.98</v>
      </c>
      <c r="V18" s="135"/>
      <c r="W18" s="135"/>
      <c r="X18" s="135"/>
      <c r="Y18" s="135"/>
      <c r="Z18" s="135"/>
      <c r="AA18" s="135"/>
      <c r="AB18" s="135" t="s">
        <v>39</v>
      </c>
      <c r="AC18" s="142">
        <v>16</v>
      </c>
      <c r="AD18" s="135" t="s">
        <v>285</v>
      </c>
      <c r="AE18" s="135"/>
      <c r="AF18" s="135"/>
    </row>
    <row r="19" spans="1:32">
      <c r="A19" s="135">
        <v>10</v>
      </c>
      <c r="B19" s="136" t="s">
        <v>33</v>
      </c>
      <c r="C19" s="136" t="s">
        <v>876</v>
      </c>
      <c r="D19" s="136" t="s">
        <v>895</v>
      </c>
      <c r="E19" s="136" t="s">
        <v>898</v>
      </c>
      <c r="F19" s="136" t="s">
        <v>899</v>
      </c>
      <c r="G19" s="136">
        <v>458.43</v>
      </c>
      <c r="H19" s="136">
        <v>164</v>
      </c>
      <c r="I19" s="136">
        <v>742</v>
      </c>
      <c r="J19" s="136">
        <v>362</v>
      </c>
      <c r="K19" s="136">
        <v>380</v>
      </c>
      <c r="L19" s="136">
        <v>141</v>
      </c>
      <c r="M19" s="135">
        <f t="shared" si="0"/>
        <v>19.002695417789759</v>
      </c>
      <c r="N19" s="136">
        <v>333</v>
      </c>
      <c r="O19" s="136">
        <f t="shared" si="1"/>
        <v>44.878706199460915</v>
      </c>
      <c r="P19" s="138">
        <v>0</v>
      </c>
      <c r="Q19" s="136">
        <v>0</v>
      </c>
      <c r="R19" s="135" t="s">
        <v>39</v>
      </c>
      <c r="S19" s="114" t="s">
        <v>313</v>
      </c>
      <c r="T19" s="135"/>
      <c r="U19" s="142">
        <v>6.08</v>
      </c>
      <c r="V19" s="135"/>
      <c r="W19" s="135"/>
      <c r="X19" s="135"/>
      <c r="Y19" s="135"/>
      <c r="Z19" s="135"/>
      <c r="AA19" s="135"/>
      <c r="AB19" s="135" t="s">
        <v>39</v>
      </c>
      <c r="AC19" s="142">
        <v>2</v>
      </c>
      <c r="AD19" s="135" t="s">
        <v>285</v>
      </c>
      <c r="AE19" s="135"/>
      <c r="AF19" s="135"/>
    </row>
    <row r="20" spans="1:32">
      <c r="A20" s="135">
        <v>11</v>
      </c>
      <c r="B20" s="136" t="s">
        <v>33</v>
      </c>
      <c r="C20" s="136" t="s">
        <v>876</v>
      </c>
      <c r="D20" s="136" t="s">
        <v>895</v>
      </c>
      <c r="E20" s="136" t="s">
        <v>900</v>
      </c>
      <c r="F20" s="136" t="s">
        <v>901</v>
      </c>
      <c r="G20" s="136">
        <v>287.93</v>
      </c>
      <c r="H20" s="136">
        <v>82</v>
      </c>
      <c r="I20" s="136">
        <v>437</v>
      </c>
      <c r="J20" s="136">
        <v>224</v>
      </c>
      <c r="K20" s="136">
        <v>213</v>
      </c>
      <c r="L20" s="136">
        <v>62</v>
      </c>
      <c r="M20" s="135">
        <f t="shared" si="0"/>
        <v>14.187643020594965</v>
      </c>
      <c r="N20" s="136">
        <v>319</v>
      </c>
      <c r="O20" s="136">
        <f t="shared" si="1"/>
        <v>72.997711670480541</v>
      </c>
      <c r="P20" s="138">
        <v>15.01</v>
      </c>
      <c r="Q20" s="136">
        <v>0</v>
      </c>
      <c r="R20" s="135"/>
      <c r="S20" s="141"/>
      <c r="T20" s="135"/>
      <c r="U20" s="141"/>
      <c r="V20" s="135"/>
      <c r="W20" s="135"/>
      <c r="X20" s="135"/>
      <c r="Y20" s="135"/>
      <c r="Z20" s="135"/>
      <c r="AA20" s="135"/>
      <c r="AB20" s="135"/>
      <c r="AC20" s="141"/>
      <c r="AD20" s="135"/>
      <c r="AE20" s="135"/>
      <c r="AF20" s="135"/>
    </row>
    <row r="21" spans="1:32">
      <c r="A21" s="135">
        <v>12</v>
      </c>
      <c r="B21" s="136" t="s">
        <v>33</v>
      </c>
      <c r="C21" s="136" t="s">
        <v>876</v>
      </c>
      <c r="D21" s="136" t="s">
        <v>902</v>
      </c>
      <c r="E21" s="137" t="s">
        <v>903</v>
      </c>
      <c r="F21" s="136" t="s">
        <v>904</v>
      </c>
      <c r="G21" s="136">
        <v>293.33999999999997</v>
      </c>
      <c r="H21" s="136">
        <v>192</v>
      </c>
      <c r="I21" s="136">
        <v>1083</v>
      </c>
      <c r="J21" s="136">
        <v>591</v>
      </c>
      <c r="K21" s="136">
        <v>492</v>
      </c>
      <c r="L21" s="136">
        <v>155</v>
      </c>
      <c r="M21" s="135">
        <f t="shared" si="0"/>
        <v>14.312096029547552</v>
      </c>
      <c r="N21" s="136">
        <v>576</v>
      </c>
      <c r="O21" s="136">
        <f t="shared" si="1"/>
        <v>53.18559556786704</v>
      </c>
      <c r="P21" s="138">
        <v>34.15</v>
      </c>
      <c r="Q21" s="136">
        <v>0</v>
      </c>
      <c r="R21" s="135"/>
      <c r="S21" s="142"/>
      <c r="T21" s="135"/>
      <c r="U21" s="142">
        <v>33.42</v>
      </c>
      <c r="V21" s="135"/>
      <c r="W21" s="135"/>
      <c r="X21" s="135"/>
      <c r="Y21" s="135"/>
      <c r="Z21" s="135"/>
      <c r="AA21" s="135"/>
      <c r="AB21" s="135"/>
      <c r="AC21" s="142"/>
      <c r="AD21" s="135"/>
      <c r="AE21" s="135"/>
      <c r="AF21" s="135"/>
    </row>
    <row r="22" spans="1:32">
      <c r="A22" s="135">
        <v>13</v>
      </c>
      <c r="B22" s="136" t="s">
        <v>33</v>
      </c>
      <c r="C22" s="136" t="s">
        <v>876</v>
      </c>
      <c r="D22" s="136" t="s">
        <v>902</v>
      </c>
      <c r="E22" s="136" t="s">
        <v>905</v>
      </c>
      <c r="F22" s="136" t="s">
        <v>906</v>
      </c>
      <c r="G22" s="136">
        <v>332.08</v>
      </c>
      <c r="H22" s="136">
        <v>98</v>
      </c>
      <c r="I22" s="136">
        <v>544</v>
      </c>
      <c r="J22" s="136">
        <v>272</v>
      </c>
      <c r="K22" s="136">
        <v>272</v>
      </c>
      <c r="L22" s="136">
        <v>62</v>
      </c>
      <c r="M22" s="135">
        <f t="shared" si="0"/>
        <v>11.397058823529411</v>
      </c>
      <c r="N22" s="136">
        <v>408</v>
      </c>
      <c r="O22" s="136">
        <f t="shared" si="1"/>
        <v>75</v>
      </c>
      <c r="P22" s="138">
        <v>29.23</v>
      </c>
      <c r="Q22" s="136">
        <v>0</v>
      </c>
      <c r="R22" s="135" t="s">
        <v>39</v>
      </c>
      <c r="S22" s="144">
        <v>45959</v>
      </c>
      <c r="T22" s="135"/>
      <c r="U22" s="143">
        <v>29.23</v>
      </c>
      <c r="V22" s="135"/>
      <c r="W22" s="135"/>
      <c r="X22" s="135"/>
      <c r="Y22" s="135"/>
      <c r="Z22" s="135"/>
      <c r="AA22" s="135"/>
      <c r="AB22" s="135" t="s">
        <v>39</v>
      </c>
      <c r="AC22" s="143">
        <v>11</v>
      </c>
      <c r="AD22" s="135" t="s">
        <v>285</v>
      </c>
      <c r="AE22" s="135"/>
      <c r="AF22" s="135"/>
    </row>
    <row r="23" spans="1:32">
      <c r="A23" s="135">
        <v>14</v>
      </c>
      <c r="B23" s="136" t="s">
        <v>33</v>
      </c>
      <c r="C23" s="136" t="s">
        <v>876</v>
      </c>
      <c r="D23" s="136" t="s">
        <v>902</v>
      </c>
      <c r="E23" s="136" t="s">
        <v>907</v>
      </c>
      <c r="F23" s="136" t="s">
        <v>908</v>
      </c>
      <c r="G23" s="136">
        <v>361.51</v>
      </c>
      <c r="H23" s="136">
        <v>163</v>
      </c>
      <c r="I23" s="136">
        <v>816</v>
      </c>
      <c r="J23" s="136">
        <v>417</v>
      </c>
      <c r="K23" s="136">
        <v>399</v>
      </c>
      <c r="L23" s="136">
        <v>64</v>
      </c>
      <c r="M23" s="135">
        <f t="shared" si="0"/>
        <v>7.8431372549019605</v>
      </c>
      <c r="N23" s="136">
        <v>156</v>
      </c>
      <c r="O23" s="136">
        <f t="shared" si="1"/>
        <v>19.117647058823529</v>
      </c>
      <c r="P23" s="138">
        <v>23.67</v>
      </c>
      <c r="Q23" s="136">
        <v>0</v>
      </c>
      <c r="R23" s="135" t="s">
        <v>39</v>
      </c>
      <c r="S23" s="144">
        <v>45959</v>
      </c>
      <c r="T23" s="135"/>
      <c r="U23" s="143">
        <v>23.67</v>
      </c>
      <c r="V23" s="135"/>
      <c r="W23" s="135"/>
      <c r="X23" s="135"/>
      <c r="Y23" s="135"/>
      <c r="Z23" s="135"/>
      <c r="AA23" s="135"/>
      <c r="AB23" s="135" t="s">
        <v>39</v>
      </c>
      <c r="AC23" s="143">
        <v>12</v>
      </c>
      <c r="AD23" s="135" t="s">
        <v>285</v>
      </c>
      <c r="AE23" s="135"/>
      <c r="AF23" s="135"/>
    </row>
    <row r="24" spans="1:32">
      <c r="A24" s="135">
        <v>15</v>
      </c>
      <c r="B24" s="136" t="s">
        <v>33</v>
      </c>
      <c r="C24" s="136" t="s">
        <v>876</v>
      </c>
      <c r="D24" s="136" t="s">
        <v>902</v>
      </c>
      <c r="E24" s="136" t="s">
        <v>74</v>
      </c>
      <c r="F24" s="136" t="s">
        <v>909</v>
      </c>
      <c r="G24" s="136">
        <v>456.11</v>
      </c>
      <c r="H24" s="136">
        <v>68</v>
      </c>
      <c r="I24" s="136">
        <v>411</v>
      </c>
      <c r="J24" s="136">
        <v>224</v>
      </c>
      <c r="K24" s="136">
        <v>187</v>
      </c>
      <c r="L24" s="136">
        <v>10</v>
      </c>
      <c r="M24" s="135">
        <f t="shared" si="0"/>
        <v>2.4330900243309004</v>
      </c>
      <c r="N24" s="136">
        <v>379</v>
      </c>
      <c r="O24" s="136">
        <f t="shared" si="1"/>
        <v>92.214111922141115</v>
      </c>
      <c r="P24" s="138">
        <v>22.28</v>
      </c>
      <c r="Q24" s="136">
        <v>0</v>
      </c>
      <c r="R24" s="135" t="s">
        <v>39</v>
      </c>
      <c r="S24" s="144">
        <v>45959</v>
      </c>
      <c r="T24" s="135"/>
      <c r="U24" s="143">
        <v>21.86</v>
      </c>
      <c r="V24" s="135"/>
      <c r="W24" s="135"/>
      <c r="X24" s="135"/>
      <c r="Y24" s="135"/>
      <c r="Z24" s="135"/>
      <c r="AA24" s="135"/>
      <c r="AB24" s="135" t="s">
        <v>39</v>
      </c>
      <c r="AC24" s="143">
        <v>10</v>
      </c>
      <c r="AD24" s="135" t="s">
        <v>285</v>
      </c>
      <c r="AE24" s="135"/>
      <c r="AF24" s="135"/>
    </row>
    <row r="25" spans="1:32">
      <c r="A25" s="135">
        <v>16</v>
      </c>
      <c r="B25" s="136" t="s">
        <v>33</v>
      </c>
      <c r="C25" s="136" t="s">
        <v>876</v>
      </c>
      <c r="D25" s="136" t="s">
        <v>902</v>
      </c>
      <c r="E25" s="136" t="s">
        <v>910</v>
      </c>
      <c r="F25" s="136" t="s">
        <v>911</v>
      </c>
      <c r="G25" s="136">
        <v>937.46</v>
      </c>
      <c r="H25" s="136">
        <v>184</v>
      </c>
      <c r="I25" s="136">
        <v>1006</v>
      </c>
      <c r="J25" s="136">
        <v>537</v>
      </c>
      <c r="K25" s="136">
        <v>469</v>
      </c>
      <c r="L25" s="136">
        <v>289</v>
      </c>
      <c r="M25" s="135">
        <f t="shared" si="0"/>
        <v>28.727634194831015</v>
      </c>
      <c r="N25" s="136">
        <v>29</v>
      </c>
      <c r="O25" s="136">
        <f t="shared" si="1"/>
        <v>2.8827037773359843</v>
      </c>
      <c r="P25" s="138">
        <v>21</v>
      </c>
      <c r="Q25" s="136">
        <v>0</v>
      </c>
      <c r="R25" s="135" t="s">
        <v>39</v>
      </c>
      <c r="S25" s="144">
        <v>45959</v>
      </c>
      <c r="T25" s="135"/>
      <c r="U25" s="143">
        <v>21</v>
      </c>
      <c r="V25" s="135"/>
      <c r="W25" s="135"/>
      <c r="X25" s="135"/>
      <c r="Y25" s="135"/>
      <c r="Z25" s="135"/>
      <c r="AA25" s="135"/>
      <c r="AB25" s="135" t="s">
        <v>39</v>
      </c>
      <c r="AC25" s="143">
        <v>3</v>
      </c>
      <c r="AD25" s="135" t="s">
        <v>285</v>
      </c>
      <c r="AE25" s="135"/>
      <c r="AF25" s="135"/>
    </row>
    <row r="26" spans="1:32">
      <c r="A26" s="135">
        <v>17</v>
      </c>
      <c r="B26" s="136" t="s">
        <v>33</v>
      </c>
      <c r="C26" s="136" t="s">
        <v>876</v>
      </c>
      <c r="D26" s="136" t="s">
        <v>912</v>
      </c>
      <c r="E26" s="137" t="s">
        <v>913</v>
      </c>
      <c r="F26" s="136" t="s">
        <v>914</v>
      </c>
      <c r="G26" s="136">
        <v>732.67</v>
      </c>
      <c r="H26" s="136">
        <v>332</v>
      </c>
      <c r="I26" s="136">
        <v>1673</v>
      </c>
      <c r="J26" s="136">
        <v>848</v>
      </c>
      <c r="K26" s="136">
        <v>825</v>
      </c>
      <c r="L26" s="136">
        <v>427</v>
      </c>
      <c r="M26" s="135">
        <f t="shared" si="0"/>
        <v>25.523012552301257</v>
      </c>
      <c r="N26" s="136">
        <v>201</v>
      </c>
      <c r="O26" s="136">
        <f t="shared" si="1"/>
        <v>12.014345487148836</v>
      </c>
      <c r="P26" s="138">
        <v>86.53</v>
      </c>
      <c r="Q26" s="136">
        <v>0</v>
      </c>
      <c r="R26" s="135"/>
      <c r="S26" s="142"/>
      <c r="T26" s="135"/>
      <c r="U26" s="142">
        <v>84.82</v>
      </c>
      <c r="V26" s="135"/>
      <c r="W26" s="135"/>
      <c r="X26" s="135"/>
      <c r="Y26" s="135"/>
      <c r="Z26" s="135"/>
      <c r="AA26" s="135"/>
      <c r="AB26" s="135" t="s">
        <v>39</v>
      </c>
      <c r="AC26" s="142">
        <v>11</v>
      </c>
      <c r="AD26" s="135" t="s">
        <v>285</v>
      </c>
      <c r="AE26" s="135"/>
      <c r="AF26" s="135"/>
    </row>
    <row r="27" spans="1:32">
      <c r="A27" s="135" t="s">
        <v>51</v>
      </c>
      <c r="B27" s="136" t="s">
        <v>33</v>
      </c>
      <c r="C27" s="136" t="s">
        <v>876</v>
      </c>
      <c r="D27" s="136" t="s">
        <v>912</v>
      </c>
      <c r="E27" s="137" t="s">
        <v>913</v>
      </c>
      <c r="F27" s="136"/>
      <c r="G27" s="136"/>
      <c r="H27" s="136"/>
      <c r="I27" s="136"/>
      <c r="J27" s="136"/>
      <c r="K27" s="136"/>
      <c r="L27" s="136"/>
      <c r="M27" s="135" t="e">
        <f t="shared" si="0"/>
        <v>#DIV/0!</v>
      </c>
      <c r="N27" s="136"/>
      <c r="O27" s="136" t="e">
        <f t="shared" si="1"/>
        <v>#DIV/0!</v>
      </c>
      <c r="P27" s="138"/>
      <c r="Q27" s="136">
        <v>0</v>
      </c>
      <c r="R27" s="135"/>
      <c r="S27" s="142"/>
      <c r="T27" s="135"/>
      <c r="U27" s="142"/>
      <c r="V27" s="135"/>
      <c r="W27" s="135"/>
      <c r="X27" s="135"/>
      <c r="Y27" s="135"/>
      <c r="Z27" s="135"/>
      <c r="AA27" s="135"/>
      <c r="AB27" s="135"/>
      <c r="AC27" s="142">
        <v>18</v>
      </c>
      <c r="AD27" s="135" t="s">
        <v>326</v>
      </c>
      <c r="AE27" s="140">
        <v>24.550999999999998</v>
      </c>
      <c r="AF27" s="140">
        <v>76.281300000000002</v>
      </c>
    </row>
    <row r="28" spans="1:32">
      <c r="A28" s="135">
        <v>18</v>
      </c>
      <c r="B28" s="136" t="s">
        <v>33</v>
      </c>
      <c r="C28" s="136" t="s">
        <v>876</v>
      </c>
      <c r="D28" s="136" t="s">
        <v>912</v>
      </c>
      <c r="E28" s="136" t="s">
        <v>915</v>
      </c>
      <c r="F28" s="136" t="s">
        <v>916</v>
      </c>
      <c r="G28" s="136">
        <v>173.81</v>
      </c>
      <c r="H28" s="136">
        <v>2</v>
      </c>
      <c r="I28" s="136">
        <v>9</v>
      </c>
      <c r="J28" s="136">
        <v>4</v>
      </c>
      <c r="K28" s="136">
        <v>5</v>
      </c>
      <c r="L28" s="136">
        <v>9</v>
      </c>
      <c r="M28" s="135">
        <f t="shared" si="0"/>
        <v>100</v>
      </c>
      <c r="N28" s="136">
        <v>0</v>
      </c>
      <c r="O28" s="136">
        <f t="shared" si="1"/>
        <v>0</v>
      </c>
      <c r="P28" s="138">
        <v>0</v>
      </c>
      <c r="Q28" s="136">
        <v>0</v>
      </c>
      <c r="R28" s="135"/>
      <c r="S28" s="141"/>
      <c r="T28" s="135"/>
      <c r="U28" s="141"/>
      <c r="V28" s="135"/>
      <c r="W28" s="135"/>
      <c r="X28" s="135"/>
      <c r="Y28" s="135"/>
      <c r="Z28" s="135"/>
      <c r="AA28" s="135"/>
      <c r="AB28" s="135"/>
      <c r="AC28" s="141"/>
      <c r="AD28" s="135"/>
      <c r="AE28" s="135"/>
      <c r="AF28" s="135"/>
    </row>
    <row r="29" spans="1:32">
      <c r="A29" s="135">
        <v>19</v>
      </c>
      <c r="B29" s="136" t="s">
        <v>33</v>
      </c>
      <c r="C29" s="136" t="s">
        <v>876</v>
      </c>
      <c r="D29" s="136" t="s">
        <v>912</v>
      </c>
      <c r="E29" s="136" t="s">
        <v>290</v>
      </c>
      <c r="F29" s="136" t="s">
        <v>917</v>
      </c>
      <c r="G29" s="136">
        <v>192.62</v>
      </c>
      <c r="H29" s="136">
        <v>109</v>
      </c>
      <c r="I29" s="136">
        <v>633</v>
      </c>
      <c r="J29" s="136">
        <v>346</v>
      </c>
      <c r="K29" s="136">
        <v>287</v>
      </c>
      <c r="L29" s="136">
        <v>44</v>
      </c>
      <c r="M29" s="135">
        <f t="shared" si="0"/>
        <v>6.9510268562401265</v>
      </c>
      <c r="N29" s="136">
        <v>0</v>
      </c>
      <c r="O29" s="136">
        <f t="shared" si="1"/>
        <v>0</v>
      </c>
      <c r="P29" s="138">
        <v>27.16</v>
      </c>
      <c r="Q29" s="136">
        <v>0</v>
      </c>
      <c r="R29" s="135"/>
      <c r="S29" s="141"/>
      <c r="T29" s="135"/>
      <c r="U29" s="141"/>
      <c r="V29" s="135"/>
      <c r="W29" s="135"/>
      <c r="X29" s="135"/>
      <c r="Y29" s="135"/>
      <c r="Z29" s="135"/>
      <c r="AA29" s="135"/>
      <c r="AB29" s="135"/>
      <c r="AC29" s="141"/>
      <c r="AD29" s="135"/>
      <c r="AE29" s="135"/>
      <c r="AF29" s="135"/>
    </row>
    <row r="30" spans="1:32">
      <c r="A30" s="135">
        <v>20</v>
      </c>
      <c r="B30" s="136" t="s">
        <v>33</v>
      </c>
      <c r="C30" s="136" t="s">
        <v>876</v>
      </c>
      <c r="D30" s="136" t="s">
        <v>912</v>
      </c>
      <c r="E30" s="136" t="s">
        <v>918</v>
      </c>
      <c r="F30" s="136" t="s">
        <v>919</v>
      </c>
      <c r="G30" s="136">
        <v>156.08000000000001</v>
      </c>
      <c r="H30" s="136">
        <v>65</v>
      </c>
      <c r="I30" s="136">
        <v>320</v>
      </c>
      <c r="J30" s="136">
        <v>169</v>
      </c>
      <c r="K30" s="136">
        <v>151</v>
      </c>
      <c r="L30" s="136">
        <v>35</v>
      </c>
      <c r="M30" s="135">
        <f t="shared" si="0"/>
        <v>10.9375</v>
      </c>
      <c r="N30" s="136">
        <v>169</v>
      </c>
      <c r="O30" s="136">
        <f t="shared" si="1"/>
        <v>52.812499999999993</v>
      </c>
      <c r="P30" s="138">
        <v>10.93</v>
      </c>
      <c r="Q30" s="136">
        <v>0</v>
      </c>
      <c r="R30" s="135" t="s">
        <v>39</v>
      </c>
      <c r="S30" s="114" t="s">
        <v>313</v>
      </c>
      <c r="T30" s="135"/>
      <c r="U30" s="139">
        <v>10.93</v>
      </c>
      <c r="V30" s="135"/>
      <c r="W30" s="135"/>
      <c r="X30" s="135"/>
      <c r="Y30" s="135"/>
      <c r="Z30" s="135"/>
      <c r="AA30" s="135"/>
      <c r="AB30" s="135" t="s">
        <v>39</v>
      </c>
      <c r="AC30" s="139">
        <v>7</v>
      </c>
      <c r="AD30" s="135" t="s">
        <v>285</v>
      </c>
      <c r="AE30" s="135"/>
      <c r="AF30" s="135"/>
    </row>
    <row r="31" spans="1:32">
      <c r="A31" s="135">
        <v>21</v>
      </c>
      <c r="B31" s="136" t="s">
        <v>33</v>
      </c>
      <c r="C31" s="136" t="s">
        <v>876</v>
      </c>
      <c r="D31" s="136" t="s">
        <v>912</v>
      </c>
      <c r="E31" s="136" t="s">
        <v>920</v>
      </c>
      <c r="F31" s="136" t="s">
        <v>921</v>
      </c>
      <c r="G31" s="136">
        <v>717.17</v>
      </c>
      <c r="H31" s="136">
        <v>158</v>
      </c>
      <c r="I31" s="136">
        <v>920</v>
      </c>
      <c r="J31" s="136">
        <v>470</v>
      </c>
      <c r="K31" s="136">
        <v>450</v>
      </c>
      <c r="L31" s="136">
        <v>0</v>
      </c>
      <c r="M31" s="135">
        <f t="shared" si="0"/>
        <v>0</v>
      </c>
      <c r="N31" s="136">
        <v>637</v>
      </c>
      <c r="O31" s="136">
        <f t="shared" si="1"/>
        <v>69.239130434782609</v>
      </c>
      <c r="P31" s="138">
        <v>36.22</v>
      </c>
      <c r="Q31" s="136">
        <v>0</v>
      </c>
      <c r="R31" s="135"/>
      <c r="S31" s="141"/>
      <c r="T31" s="135"/>
      <c r="U31" s="141"/>
      <c r="V31" s="135"/>
      <c r="W31" s="135"/>
      <c r="X31" s="135"/>
      <c r="Y31" s="135"/>
      <c r="Z31" s="135"/>
      <c r="AA31" s="135"/>
      <c r="AB31" s="135"/>
      <c r="AC31" s="141"/>
      <c r="AD31" s="135"/>
      <c r="AE31" s="135"/>
      <c r="AF31" s="135"/>
    </row>
    <row r="32" spans="1:32">
      <c r="A32" s="135">
        <v>22</v>
      </c>
      <c r="B32" s="136" t="s">
        <v>33</v>
      </c>
      <c r="C32" s="136" t="s">
        <v>876</v>
      </c>
      <c r="D32" s="136" t="s">
        <v>912</v>
      </c>
      <c r="E32" s="136" t="s">
        <v>922</v>
      </c>
      <c r="F32" s="136" t="s">
        <v>923</v>
      </c>
      <c r="G32" s="136">
        <v>330.68</v>
      </c>
      <c r="H32" s="136">
        <v>8</v>
      </c>
      <c r="I32" s="136">
        <v>48</v>
      </c>
      <c r="J32" s="136">
        <v>28</v>
      </c>
      <c r="K32" s="136">
        <v>20</v>
      </c>
      <c r="L32" s="136">
        <v>0</v>
      </c>
      <c r="M32" s="135">
        <f t="shared" si="0"/>
        <v>0</v>
      </c>
      <c r="N32" s="136">
        <v>0</v>
      </c>
      <c r="O32" s="136">
        <f t="shared" si="1"/>
        <v>0</v>
      </c>
      <c r="P32" s="138">
        <v>7.74</v>
      </c>
      <c r="Q32" s="136">
        <v>0</v>
      </c>
      <c r="R32" s="135"/>
      <c r="S32" s="141"/>
      <c r="T32" s="135"/>
      <c r="U32" s="141"/>
      <c r="V32" s="135"/>
      <c r="W32" s="135"/>
      <c r="X32" s="135"/>
      <c r="Y32" s="135"/>
      <c r="Z32" s="135"/>
      <c r="AA32" s="135"/>
      <c r="AB32" s="135"/>
      <c r="AC32" s="141"/>
      <c r="AD32" s="135"/>
      <c r="AE32" s="135"/>
      <c r="AF32" s="135"/>
    </row>
    <row r="33" spans="1:32">
      <c r="A33" s="135">
        <v>23</v>
      </c>
      <c r="B33" s="136" t="s">
        <v>33</v>
      </c>
      <c r="C33" s="136" t="s">
        <v>876</v>
      </c>
      <c r="D33" s="136" t="s">
        <v>924</v>
      </c>
      <c r="E33" s="137" t="s">
        <v>925</v>
      </c>
      <c r="F33" s="136" t="s">
        <v>926</v>
      </c>
      <c r="G33" s="136">
        <v>740.53</v>
      </c>
      <c r="H33" s="136">
        <v>193</v>
      </c>
      <c r="I33" s="136">
        <v>1188</v>
      </c>
      <c r="J33" s="136">
        <v>604</v>
      </c>
      <c r="K33" s="136">
        <v>584</v>
      </c>
      <c r="L33" s="136">
        <v>109</v>
      </c>
      <c r="M33" s="135">
        <f t="shared" si="0"/>
        <v>9.1750841750841747</v>
      </c>
      <c r="N33" s="136">
        <v>653</v>
      </c>
      <c r="O33" s="136">
        <f t="shared" si="1"/>
        <v>54.966329966329965</v>
      </c>
      <c r="P33" s="138">
        <v>1</v>
      </c>
      <c r="Q33" s="136">
        <v>0</v>
      </c>
      <c r="R33" s="135" t="s">
        <v>39</v>
      </c>
      <c r="S33" s="114" t="s">
        <v>313</v>
      </c>
      <c r="T33" s="135"/>
      <c r="U33" s="142">
        <v>1.63</v>
      </c>
      <c r="V33" s="135"/>
      <c r="W33" s="135"/>
      <c r="X33" s="135"/>
      <c r="Y33" s="135"/>
      <c r="Z33" s="135"/>
      <c r="AA33" s="135"/>
      <c r="AB33" s="135" t="s">
        <v>39</v>
      </c>
      <c r="AC33" s="142">
        <v>4</v>
      </c>
      <c r="AD33" s="135" t="s">
        <v>285</v>
      </c>
      <c r="AE33" s="135"/>
      <c r="AF33" s="135"/>
    </row>
    <row r="34" spans="1:32">
      <c r="A34" s="135">
        <v>24</v>
      </c>
      <c r="B34" s="136" t="s">
        <v>33</v>
      </c>
      <c r="C34" s="136" t="s">
        <v>876</v>
      </c>
      <c r="D34" s="136" t="s">
        <v>924</v>
      </c>
      <c r="E34" s="136" t="s">
        <v>927</v>
      </c>
      <c r="F34" s="136" t="s">
        <v>928</v>
      </c>
      <c r="G34" s="136">
        <v>521.47</v>
      </c>
      <c r="H34" s="136">
        <v>191</v>
      </c>
      <c r="I34" s="136">
        <v>1056</v>
      </c>
      <c r="J34" s="136">
        <v>532</v>
      </c>
      <c r="K34" s="136">
        <v>524</v>
      </c>
      <c r="L34" s="136">
        <v>262</v>
      </c>
      <c r="M34" s="135">
        <f t="shared" si="0"/>
        <v>24.810606060606062</v>
      </c>
      <c r="N34" s="136">
        <v>654</v>
      </c>
      <c r="O34" s="136">
        <f t="shared" si="1"/>
        <v>61.93181818181818</v>
      </c>
      <c r="P34" s="138">
        <v>23.06</v>
      </c>
      <c r="Q34" s="136">
        <v>0</v>
      </c>
      <c r="R34" s="135"/>
      <c r="S34" s="141"/>
      <c r="T34" s="135"/>
      <c r="U34" s="141"/>
      <c r="V34" s="135"/>
      <c r="W34" s="135"/>
      <c r="X34" s="135"/>
      <c r="Y34" s="135"/>
      <c r="Z34" s="135"/>
      <c r="AA34" s="135"/>
      <c r="AB34" s="135"/>
      <c r="AC34" s="141"/>
      <c r="AD34" s="135"/>
      <c r="AE34" s="135"/>
      <c r="AF34" s="135"/>
    </row>
    <row r="35" spans="1:32">
      <c r="A35" s="135">
        <v>25</v>
      </c>
      <c r="B35" s="136" t="s">
        <v>33</v>
      </c>
      <c r="C35" s="136" t="s">
        <v>876</v>
      </c>
      <c r="D35" s="136" t="s">
        <v>924</v>
      </c>
      <c r="E35" s="136" t="s">
        <v>929</v>
      </c>
      <c r="F35" s="136" t="s">
        <v>930</v>
      </c>
      <c r="G35" s="136">
        <v>227.47</v>
      </c>
      <c r="H35" s="136">
        <v>94</v>
      </c>
      <c r="I35" s="136">
        <v>456</v>
      </c>
      <c r="J35" s="136">
        <v>235</v>
      </c>
      <c r="K35" s="136">
        <v>221</v>
      </c>
      <c r="L35" s="136">
        <v>99</v>
      </c>
      <c r="M35" s="135">
        <f t="shared" si="0"/>
        <v>21.710526315789476</v>
      </c>
      <c r="N35" s="136">
        <v>330</v>
      </c>
      <c r="O35" s="136">
        <f t="shared" si="1"/>
        <v>72.368421052631575</v>
      </c>
      <c r="P35" s="138">
        <v>11.88</v>
      </c>
      <c r="Q35" s="136">
        <v>0</v>
      </c>
      <c r="R35" s="135" t="s">
        <v>39</v>
      </c>
      <c r="S35" s="114" t="s">
        <v>313</v>
      </c>
      <c r="T35" s="135"/>
      <c r="U35" s="139">
        <v>11.88</v>
      </c>
      <c r="V35" s="135"/>
      <c r="W35" s="135"/>
      <c r="X35" s="135"/>
      <c r="Y35" s="135"/>
      <c r="Z35" s="135"/>
      <c r="AA35" s="135"/>
      <c r="AB35" s="135" t="s">
        <v>39</v>
      </c>
      <c r="AC35" s="139">
        <v>12</v>
      </c>
      <c r="AD35" s="135" t="s">
        <v>285</v>
      </c>
      <c r="AE35" s="135"/>
      <c r="AF35" s="135"/>
    </row>
    <row r="36" spans="1:32">
      <c r="A36" s="135">
        <v>26</v>
      </c>
      <c r="B36" s="136" t="s">
        <v>33</v>
      </c>
      <c r="C36" s="136" t="s">
        <v>876</v>
      </c>
      <c r="D36" s="136" t="s">
        <v>924</v>
      </c>
      <c r="E36" s="136" t="s">
        <v>931</v>
      </c>
      <c r="F36" s="136" t="s">
        <v>932</v>
      </c>
      <c r="G36" s="136">
        <v>330.15</v>
      </c>
      <c r="H36" s="136">
        <v>163</v>
      </c>
      <c r="I36" s="136">
        <v>751</v>
      </c>
      <c r="J36" s="136">
        <v>383</v>
      </c>
      <c r="K36" s="136">
        <v>368</v>
      </c>
      <c r="L36" s="136">
        <v>419</v>
      </c>
      <c r="M36" s="135">
        <f t="shared" si="0"/>
        <v>55.792276964047936</v>
      </c>
      <c r="N36" s="136">
        <v>280</v>
      </c>
      <c r="O36" s="136">
        <f t="shared" si="1"/>
        <v>37.283621837549937</v>
      </c>
      <c r="P36" s="138">
        <v>11</v>
      </c>
      <c r="Q36" s="136">
        <v>0</v>
      </c>
      <c r="R36" s="135"/>
      <c r="S36" s="141"/>
      <c r="T36" s="135"/>
      <c r="U36" s="141"/>
      <c r="V36" s="135"/>
      <c r="W36" s="135"/>
      <c r="X36" s="135"/>
      <c r="Y36" s="135"/>
      <c r="Z36" s="135"/>
      <c r="AA36" s="135"/>
      <c r="AB36" s="135"/>
      <c r="AC36" s="141"/>
      <c r="AD36" s="135"/>
      <c r="AE36" s="135"/>
      <c r="AF36" s="135"/>
    </row>
    <row r="37" spans="1:32">
      <c r="A37" s="135">
        <v>27</v>
      </c>
      <c r="B37" s="136" t="s">
        <v>33</v>
      </c>
      <c r="C37" s="136" t="s">
        <v>876</v>
      </c>
      <c r="D37" s="136" t="s">
        <v>924</v>
      </c>
      <c r="E37" s="136" t="s">
        <v>933</v>
      </c>
      <c r="F37" s="136" t="s">
        <v>934</v>
      </c>
      <c r="G37" s="136">
        <v>297.7</v>
      </c>
      <c r="H37" s="136">
        <v>27</v>
      </c>
      <c r="I37" s="136">
        <v>121</v>
      </c>
      <c r="J37" s="136">
        <v>64</v>
      </c>
      <c r="K37" s="136">
        <v>57</v>
      </c>
      <c r="L37" s="136">
        <v>6</v>
      </c>
      <c r="M37" s="135">
        <f t="shared" si="0"/>
        <v>4.9586776859504136</v>
      </c>
      <c r="N37" s="136">
        <v>34</v>
      </c>
      <c r="O37" s="136">
        <f t="shared" si="1"/>
        <v>28.099173553719009</v>
      </c>
      <c r="P37" s="138">
        <v>4.9800000000000004</v>
      </c>
      <c r="Q37" s="136">
        <v>0</v>
      </c>
      <c r="R37" s="135"/>
      <c r="S37" s="141"/>
      <c r="T37" s="135"/>
      <c r="U37" s="141"/>
      <c r="V37" s="135"/>
      <c r="W37" s="135"/>
      <c r="X37" s="135"/>
      <c r="Y37" s="135"/>
      <c r="Z37" s="135"/>
      <c r="AA37" s="135"/>
      <c r="AB37" s="135"/>
      <c r="AC37" s="141"/>
      <c r="AD37" s="135"/>
      <c r="AE37" s="135"/>
      <c r="AF37" s="135"/>
    </row>
    <row r="38" spans="1:32">
      <c r="A38" s="135">
        <v>28</v>
      </c>
      <c r="B38" s="136" t="s">
        <v>33</v>
      </c>
      <c r="C38" s="136" t="s">
        <v>876</v>
      </c>
      <c r="D38" s="136" t="s">
        <v>935</v>
      </c>
      <c r="E38" s="137" t="s">
        <v>936</v>
      </c>
      <c r="F38" s="136" t="s">
        <v>937</v>
      </c>
      <c r="G38" s="136">
        <v>327.95</v>
      </c>
      <c r="H38" s="136">
        <v>120</v>
      </c>
      <c r="I38" s="136">
        <v>632</v>
      </c>
      <c r="J38" s="136">
        <v>327</v>
      </c>
      <c r="K38" s="136">
        <v>305</v>
      </c>
      <c r="L38" s="136">
        <v>51</v>
      </c>
      <c r="M38" s="135">
        <f t="shared" si="0"/>
        <v>8.0696202531645564</v>
      </c>
      <c r="N38" s="136">
        <v>484</v>
      </c>
      <c r="O38" s="136">
        <f t="shared" si="1"/>
        <v>76.582278481012651</v>
      </c>
      <c r="P38" s="138">
        <v>25.26</v>
      </c>
      <c r="Q38" s="136">
        <v>0</v>
      </c>
      <c r="R38" s="135"/>
      <c r="S38" s="141"/>
      <c r="T38" s="135"/>
      <c r="U38" s="141"/>
      <c r="V38" s="135"/>
      <c r="W38" s="135"/>
      <c r="X38" s="135"/>
      <c r="Y38" s="135"/>
      <c r="Z38" s="135"/>
      <c r="AA38" s="135"/>
      <c r="AB38" s="135"/>
      <c r="AC38" s="141"/>
      <c r="AD38" s="135"/>
      <c r="AE38" s="135"/>
      <c r="AF38" s="135"/>
    </row>
    <row r="39" spans="1:32">
      <c r="A39" s="135">
        <v>29</v>
      </c>
      <c r="B39" s="136" t="s">
        <v>33</v>
      </c>
      <c r="C39" s="136" t="s">
        <v>876</v>
      </c>
      <c r="D39" s="136" t="s">
        <v>935</v>
      </c>
      <c r="E39" s="136" t="s">
        <v>938</v>
      </c>
      <c r="F39" s="136" t="s">
        <v>939</v>
      </c>
      <c r="G39" s="136">
        <v>659.92</v>
      </c>
      <c r="H39" s="136">
        <v>128</v>
      </c>
      <c r="I39" s="136">
        <v>688</v>
      </c>
      <c r="J39" s="136">
        <v>359</v>
      </c>
      <c r="K39" s="136">
        <v>329</v>
      </c>
      <c r="L39" s="136">
        <v>36</v>
      </c>
      <c r="M39" s="135">
        <f t="shared" si="0"/>
        <v>5.2325581395348841</v>
      </c>
      <c r="N39" s="136">
        <v>220</v>
      </c>
      <c r="O39" s="136">
        <f t="shared" si="1"/>
        <v>31.976744186046513</v>
      </c>
      <c r="P39" s="138">
        <v>40.47</v>
      </c>
      <c r="Q39" s="136">
        <v>0</v>
      </c>
      <c r="R39" s="135" t="s">
        <v>39</v>
      </c>
      <c r="S39" s="114" t="s">
        <v>313</v>
      </c>
      <c r="T39" s="135"/>
      <c r="U39" s="142">
        <v>40.47</v>
      </c>
      <c r="V39" s="135"/>
      <c r="W39" s="135"/>
      <c r="X39" s="135"/>
      <c r="Y39" s="135"/>
      <c r="Z39" s="135"/>
      <c r="AA39" s="135"/>
      <c r="AB39" s="135" t="s">
        <v>39</v>
      </c>
      <c r="AC39" s="142">
        <v>15</v>
      </c>
      <c r="AD39" s="135" t="s">
        <v>285</v>
      </c>
      <c r="AE39" s="135"/>
      <c r="AF39" s="135"/>
    </row>
    <row r="40" spans="1:32">
      <c r="A40" s="135">
        <v>30</v>
      </c>
      <c r="B40" s="136" t="s">
        <v>33</v>
      </c>
      <c r="C40" s="136" t="s">
        <v>876</v>
      </c>
      <c r="D40" s="136" t="s">
        <v>935</v>
      </c>
      <c r="E40" s="136" t="s">
        <v>940</v>
      </c>
      <c r="F40" s="136" t="s">
        <v>941</v>
      </c>
      <c r="G40" s="136">
        <v>152.33000000000001</v>
      </c>
      <c r="H40" s="136">
        <v>0</v>
      </c>
      <c r="I40" s="136">
        <v>0</v>
      </c>
      <c r="J40" s="136">
        <v>0</v>
      </c>
      <c r="K40" s="136">
        <v>0</v>
      </c>
      <c r="L40" s="136">
        <v>0</v>
      </c>
      <c r="M40" s="135" t="e">
        <f t="shared" si="0"/>
        <v>#DIV/0!</v>
      </c>
      <c r="N40" s="136">
        <v>0</v>
      </c>
      <c r="O40" s="136" t="e">
        <f t="shared" si="1"/>
        <v>#DIV/0!</v>
      </c>
      <c r="P40" s="138">
        <v>0</v>
      </c>
      <c r="Q40" s="136">
        <v>0</v>
      </c>
      <c r="R40" s="135"/>
      <c r="S40" s="141"/>
      <c r="T40" s="135"/>
      <c r="U40" s="141"/>
      <c r="V40" s="135"/>
      <c r="W40" s="135"/>
      <c r="X40" s="135"/>
      <c r="Y40" s="135"/>
      <c r="Z40" s="135"/>
      <c r="AA40" s="135"/>
      <c r="AB40" s="135"/>
      <c r="AC40" s="141"/>
      <c r="AD40" s="135"/>
      <c r="AE40" s="135"/>
      <c r="AF40" s="135"/>
    </row>
    <row r="41" spans="1:32">
      <c r="A41" s="135">
        <v>31</v>
      </c>
      <c r="B41" s="136" t="s">
        <v>33</v>
      </c>
      <c r="C41" s="136" t="s">
        <v>876</v>
      </c>
      <c r="D41" s="136" t="s">
        <v>935</v>
      </c>
      <c r="E41" s="136" t="s">
        <v>942</v>
      </c>
      <c r="F41" s="136" t="s">
        <v>943</v>
      </c>
      <c r="G41" s="136">
        <v>635.66999999999996</v>
      </c>
      <c r="H41" s="136">
        <v>177</v>
      </c>
      <c r="I41" s="136">
        <v>780</v>
      </c>
      <c r="J41" s="136">
        <v>411</v>
      </c>
      <c r="K41" s="136">
        <v>369</v>
      </c>
      <c r="L41" s="136">
        <v>86</v>
      </c>
      <c r="M41" s="135">
        <f t="shared" si="0"/>
        <v>11.025641025641026</v>
      </c>
      <c r="N41" s="136">
        <v>345</v>
      </c>
      <c r="O41" s="136">
        <f t="shared" si="1"/>
        <v>44.230769230769226</v>
      </c>
      <c r="P41" s="138">
        <v>0</v>
      </c>
      <c r="Q41" s="136">
        <v>104.31</v>
      </c>
      <c r="R41" s="135"/>
      <c r="S41" s="142"/>
      <c r="T41" s="135"/>
      <c r="U41" s="142"/>
      <c r="V41" s="135"/>
      <c r="W41" s="135"/>
      <c r="X41" s="135"/>
      <c r="Y41" s="135"/>
      <c r="Z41" s="135"/>
      <c r="AA41" s="135"/>
      <c r="AB41" s="135" t="s">
        <v>39</v>
      </c>
      <c r="AC41" s="142">
        <v>10</v>
      </c>
      <c r="AD41" s="135" t="s">
        <v>285</v>
      </c>
      <c r="AE41" s="135"/>
      <c r="AF41" s="135"/>
    </row>
    <row r="42" spans="1:32">
      <c r="A42" s="135">
        <v>32</v>
      </c>
      <c r="B42" s="136" t="s">
        <v>33</v>
      </c>
      <c r="C42" s="136" t="s">
        <v>876</v>
      </c>
      <c r="D42" s="136" t="s">
        <v>935</v>
      </c>
      <c r="E42" s="136" t="s">
        <v>944</v>
      </c>
      <c r="F42" s="136" t="s">
        <v>945</v>
      </c>
      <c r="G42" s="136">
        <v>380.41</v>
      </c>
      <c r="H42" s="136">
        <v>127</v>
      </c>
      <c r="I42" s="136">
        <v>698</v>
      </c>
      <c r="J42" s="136">
        <v>366</v>
      </c>
      <c r="K42" s="136">
        <v>332</v>
      </c>
      <c r="L42" s="136">
        <v>88</v>
      </c>
      <c r="M42" s="135">
        <f t="shared" si="0"/>
        <v>12.607449856733524</v>
      </c>
      <c r="N42" s="136">
        <v>508</v>
      </c>
      <c r="O42" s="136">
        <f t="shared" si="1"/>
        <v>72.779369627507165</v>
      </c>
      <c r="P42" s="138">
        <v>19.2</v>
      </c>
      <c r="Q42" s="136">
        <v>0</v>
      </c>
      <c r="R42" s="135"/>
      <c r="S42" s="143"/>
      <c r="T42" s="135"/>
      <c r="U42" s="143"/>
      <c r="V42" s="135"/>
      <c r="W42" s="135"/>
      <c r="X42" s="135"/>
      <c r="Y42" s="135"/>
      <c r="Z42" s="135"/>
      <c r="AA42" s="135"/>
      <c r="AB42" s="135"/>
      <c r="AC42" s="143"/>
      <c r="AD42" s="135"/>
      <c r="AE42" s="135"/>
      <c r="AF42" s="135"/>
    </row>
    <row r="43" spans="1:32">
      <c r="A43" s="135">
        <v>33</v>
      </c>
      <c r="B43" s="136" t="s">
        <v>33</v>
      </c>
      <c r="C43" s="136" t="s">
        <v>876</v>
      </c>
      <c r="D43" s="136" t="s">
        <v>935</v>
      </c>
      <c r="E43" s="136" t="s">
        <v>946</v>
      </c>
      <c r="F43" s="136" t="s">
        <v>947</v>
      </c>
      <c r="G43" s="136">
        <v>181.31</v>
      </c>
      <c r="H43" s="136">
        <v>72</v>
      </c>
      <c r="I43" s="136">
        <v>416</v>
      </c>
      <c r="J43" s="136">
        <v>212</v>
      </c>
      <c r="K43" s="136">
        <v>204</v>
      </c>
      <c r="L43" s="136">
        <v>6</v>
      </c>
      <c r="M43" s="135">
        <f t="shared" si="0"/>
        <v>1.4423076923076923</v>
      </c>
      <c r="N43" s="136">
        <v>201</v>
      </c>
      <c r="O43" s="136">
        <f t="shared" si="1"/>
        <v>48.317307692307693</v>
      </c>
      <c r="P43" s="138">
        <v>0</v>
      </c>
      <c r="Q43" s="136">
        <v>0</v>
      </c>
      <c r="R43" s="135"/>
      <c r="S43" s="143"/>
      <c r="T43" s="135"/>
      <c r="U43" s="143"/>
      <c r="V43" s="135"/>
      <c r="W43" s="135"/>
      <c r="X43" s="135"/>
      <c r="Y43" s="135"/>
      <c r="Z43" s="135"/>
      <c r="AA43" s="135"/>
      <c r="AB43" s="135"/>
      <c r="AC43" s="143"/>
      <c r="AD43" s="135"/>
      <c r="AE43" s="135"/>
      <c r="AF43" s="135"/>
    </row>
    <row r="44" spans="1:32">
      <c r="A44" s="135">
        <v>34</v>
      </c>
      <c r="B44" s="136" t="s">
        <v>33</v>
      </c>
      <c r="C44" s="136" t="s">
        <v>876</v>
      </c>
      <c r="D44" s="136" t="s">
        <v>948</v>
      </c>
      <c r="E44" s="137" t="s">
        <v>949</v>
      </c>
      <c r="F44" s="136" t="s">
        <v>950</v>
      </c>
      <c r="G44" s="136">
        <v>872.73</v>
      </c>
      <c r="H44" s="136">
        <v>130</v>
      </c>
      <c r="I44" s="136">
        <v>743</v>
      </c>
      <c r="J44" s="136">
        <v>371</v>
      </c>
      <c r="K44" s="136">
        <v>372</v>
      </c>
      <c r="L44" s="136">
        <v>251</v>
      </c>
      <c r="M44" s="135">
        <f t="shared" si="0"/>
        <v>33.781965006729479</v>
      </c>
      <c r="N44" s="136">
        <v>73</v>
      </c>
      <c r="O44" s="136">
        <f t="shared" si="1"/>
        <v>9.8250336473755038</v>
      </c>
      <c r="P44" s="138">
        <v>0</v>
      </c>
      <c r="Q44" s="136">
        <v>0</v>
      </c>
      <c r="R44" s="135"/>
      <c r="S44" s="142"/>
      <c r="T44" s="135"/>
      <c r="U44" s="142"/>
      <c r="V44" s="135"/>
      <c r="W44" s="135"/>
      <c r="X44" s="135"/>
      <c r="Y44" s="135"/>
      <c r="Z44" s="135"/>
      <c r="AA44" s="135"/>
      <c r="AB44" s="135" t="s">
        <v>39</v>
      </c>
      <c r="AC44" s="142">
        <v>2</v>
      </c>
      <c r="AD44" s="135" t="s">
        <v>285</v>
      </c>
      <c r="AE44" s="135"/>
      <c r="AF44" s="135"/>
    </row>
    <row r="45" spans="1:32">
      <c r="A45" s="135">
        <v>35</v>
      </c>
      <c r="B45" s="136" t="s">
        <v>33</v>
      </c>
      <c r="C45" s="136" t="s">
        <v>876</v>
      </c>
      <c r="D45" s="136" t="s">
        <v>948</v>
      </c>
      <c r="E45" s="136" t="s">
        <v>951</v>
      </c>
      <c r="F45" s="136" t="s">
        <v>952</v>
      </c>
      <c r="G45" s="136">
        <v>255.83</v>
      </c>
      <c r="H45" s="136">
        <v>77</v>
      </c>
      <c r="I45" s="136">
        <v>424</v>
      </c>
      <c r="J45" s="136">
        <v>210</v>
      </c>
      <c r="K45" s="136">
        <v>214</v>
      </c>
      <c r="L45" s="136">
        <v>60</v>
      </c>
      <c r="M45" s="135">
        <f t="shared" si="0"/>
        <v>14.150943396226415</v>
      </c>
      <c r="N45" s="136">
        <v>287</v>
      </c>
      <c r="O45" s="136">
        <f t="shared" si="1"/>
        <v>67.688679245283026</v>
      </c>
      <c r="P45" s="138">
        <v>4.1100000000000003</v>
      </c>
      <c r="Q45" s="136">
        <v>0</v>
      </c>
      <c r="R45" s="135"/>
      <c r="S45" s="142"/>
      <c r="T45" s="135"/>
      <c r="U45" s="142">
        <v>6.08</v>
      </c>
      <c r="V45" s="135"/>
      <c r="W45" s="135"/>
      <c r="X45" s="135"/>
      <c r="Y45" s="135"/>
      <c r="Z45" s="135"/>
      <c r="AA45" s="135"/>
      <c r="AB45" s="135" t="s">
        <v>39</v>
      </c>
      <c r="AC45" s="142">
        <v>2</v>
      </c>
      <c r="AD45" s="135" t="s">
        <v>285</v>
      </c>
      <c r="AE45" s="135"/>
      <c r="AF45" s="135"/>
    </row>
    <row r="46" spans="1:32">
      <c r="A46" s="135">
        <v>36</v>
      </c>
      <c r="B46" s="136" t="s">
        <v>33</v>
      </c>
      <c r="C46" s="136" t="s">
        <v>876</v>
      </c>
      <c r="D46" s="136" t="s">
        <v>948</v>
      </c>
      <c r="E46" s="136" t="s">
        <v>953</v>
      </c>
      <c r="F46" s="136" t="s">
        <v>954</v>
      </c>
      <c r="G46" s="136">
        <v>118.56</v>
      </c>
      <c r="H46" s="136">
        <v>2</v>
      </c>
      <c r="I46" s="136">
        <v>7</v>
      </c>
      <c r="J46" s="136">
        <v>4</v>
      </c>
      <c r="K46" s="136">
        <v>3</v>
      </c>
      <c r="L46" s="136">
        <v>0</v>
      </c>
      <c r="M46" s="135">
        <f t="shared" si="0"/>
        <v>0</v>
      </c>
      <c r="N46" s="136">
        <v>1</v>
      </c>
      <c r="O46" s="136">
        <f t="shared" si="1"/>
        <v>14.285714285714285</v>
      </c>
      <c r="P46" s="138">
        <v>0</v>
      </c>
      <c r="Q46" s="136">
        <v>0</v>
      </c>
      <c r="R46" s="135"/>
      <c r="S46" s="141"/>
      <c r="T46" s="135"/>
      <c r="U46" s="141"/>
      <c r="V46" s="135"/>
      <c r="W46" s="135"/>
      <c r="X46" s="135"/>
      <c r="Y46" s="135"/>
      <c r="Z46" s="135"/>
      <c r="AA46" s="135"/>
      <c r="AB46" s="135"/>
      <c r="AC46" s="141"/>
      <c r="AD46" s="135"/>
      <c r="AE46" s="135"/>
      <c r="AF46" s="135"/>
    </row>
    <row r="47" spans="1:32">
      <c r="A47" s="135">
        <v>37</v>
      </c>
      <c r="B47" s="136" t="s">
        <v>33</v>
      </c>
      <c r="C47" s="136" t="s">
        <v>876</v>
      </c>
      <c r="D47" s="136" t="s">
        <v>948</v>
      </c>
      <c r="E47" s="136" t="s">
        <v>274</v>
      </c>
      <c r="F47" s="136" t="s">
        <v>955</v>
      </c>
      <c r="G47" s="136">
        <v>710.53</v>
      </c>
      <c r="H47" s="136">
        <v>246</v>
      </c>
      <c r="I47" s="136">
        <v>1274</v>
      </c>
      <c r="J47" s="136">
        <v>665</v>
      </c>
      <c r="K47" s="136">
        <v>609</v>
      </c>
      <c r="L47" s="136">
        <v>287</v>
      </c>
      <c r="M47" s="135">
        <f t="shared" si="0"/>
        <v>22.527472527472529</v>
      </c>
      <c r="N47" s="136">
        <v>894</v>
      </c>
      <c r="O47" s="136">
        <f t="shared" si="1"/>
        <v>70.172684458398749</v>
      </c>
      <c r="P47" s="138">
        <v>27.01</v>
      </c>
      <c r="Q47" s="136">
        <v>0</v>
      </c>
      <c r="R47" s="135"/>
      <c r="S47" s="142"/>
      <c r="T47" s="135"/>
      <c r="U47" s="142">
        <v>42.96</v>
      </c>
      <c r="V47" s="135"/>
      <c r="W47" s="135"/>
      <c r="X47" s="135"/>
      <c r="Y47" s="135"/>
      <c r="Z47" s="135"/>
      <c r="AA47" s="135"/>
      <c r="AB47" s="135" t="s">
        <v>39</v>
      </c>
      <c r="AC47" s="142">
        <v>3</v>
      </c>
      <c r="AD47" s="135" t="s">
        <v>285</v>
      </c>
      <c r="AE47" s="135"/>
      <c r="AF47" s="135"/>
    </row>
    <row r="48" spans="1:32">
      <c r="A48" s="135" t="s">
        <v>51</v>
      </c>
      <c r="B48" s="136" t="s">
        <v>33</v>
      </c>
      <c r="C48" s="136" t="s">
        <v>876</v>
      </c>
      <c r="D48" s="136" t="s">
        <v>948</v>
      </c>
      <c r="E48" s="136" t="s">
        <v>274</v>
      </c>
      <c r="F48" s="136"/>
      <c r="G48" s="136"/>
      <c r="H48" s="136"/>
      <c r="I48" s="136"/>
      <c r="J48" s="136"/>
      <c r="K48" s="136"/>
      <c r="L48" s="136"/>
      <c r="M48" s="135" t="e">
        <f t="shared" si="0"/>
        <v>#DIV/0!</v>
      </c>
      <c r="N48" s="136"/>
      <c r="O48" s="136" t="e">
        <f t="shared" si="1"/>
        <v>#DIV/0!</v>
      </c>
      <c r="P48" s="138"/>
      <c r="Q48" s="136">
        <v>0</v>
      </c>
      <c r="R48" s="135"/>
      <c r="S48" s="142"/>
      <c r="T48" s="135"/>
      <c r="U48" s="142"/>
      <c r="V48" s="135"/>
      <c r="W48" s="135"/>
      <c r="X48" s="135"/>
      <c r="Y48" s="135"/>
      <c r="Z48" s="135"/>
      <c r="AA48" s="135"/>
      <c r="AB48" s="135"/>
      <c r="AC48" s="142">
        <v>7</v>
      </c>
      <c r="AD48" s="135" t="s">
        <v>956</v>
      </c>
      <c r="AE48" s="140">
        <v>24.584399999999999</v>
      </c>
      <c r="AF48" s="140">
        <v>76.126900000000006</v>
      </c>
    </row>
    <row r="49" spans="1:32">
      <c r="A49" s="135">
        <v>38</v>
      </c>
      <c r="B49" s="136" t="s">
        <v>33</v>
      </c>
      <c r="C49" s="136" t="s">
        <v>876</v>
      </c>
      <c r="D49" s="136" t="s">
        <v>957</v>
      </c>
      <c r="E49" s="137" t="s">
        <v>958</v>
      </c>
      <c r="F49" s="136" t="s">
        <v>959</v>
      </c>
      <c r="G49" s="136">
        <v>471.14</v>
      </c>
      <c r="H49" s="136">
        <v>76</v>
      </c>
      <c r="I49" s="136">
        <v>330</v>
      </c>
      <c r="J49" s="136">
        <v>179</v>
      </c>
      <c r="K49" s="136">
        <v>151</v>
      </c>
      <c r="L49" s="136">
        <v>0</v>
      </c>
      <c r="M49" s="135">
        <f t="shared" si="0"/>
        <v>0</v>
      </c>
      <c r="N49" s="136">
        <v>315</v>
      </c>
      <c r="O49" s="136">
        <f t="shared" si="1"/>
        <v>95.454545454545453</v>
      </c>
      <c r="P49" s="138">
        <v>9.74</v>
      </c>
      <c r="Q49" s="136">
        <v>90</v>
      </c>
      <c r="R49" s="135"/>
      <c r="S49" s="141"/>
      <c r="T49" s="135"/>
      <c r="U49" s="141"/>
      <c r="V49" s="135"/>
      <c r="W49" s="135"/>
      <c r="X49" s="135"/>
      <c r="Y49" s="135"/>
      <c r="Z49" s="135"/>
      <c r="AA49" s="135"/>
      <c r="AB49" s="135"/>
      <c r="AC49" s="141"/>
      <c r="AD49" s="135"/>
      <c r="AE49" s="135"/>
      <c r="AF49" s="135"/>
    </row>
    <row r="50" spans="1:32">
      <c r="A50" s="135">
        <v>39</v>
      </c>
      <c r="B50" s="136" t="s">
        <v>33</v>
      </c>
      <c r="C50" s="136" t="s">
        <v>876</v>
      </c>
      <c r="D50" s="136" t="s">
        <v>957</v>
      </c>
      <c r="E50" s="136" t="s">
        <v>960</v>
      </c>
      <c r="F50" s="136" t="s">
        <v>961</v>
      </c>
      <c r="G50" s="136">
        <v>341.75</v>
      </c>
      <c r="H50" s="136">
        <v>122</v>
      </c>
      <c r="I50" s="136">
        <v>646</v>
      </c>
      <c r="J50" s="136">
        <v>327</v>
      </c>
      <c r="K50" s="136">
        <v>319</v>
      </c>
      <c r="L50" s="136">
        <v>5</v>
      </c>
      <c r="M50" s="135">
        <f t="shared" si="0"/>
        <v>0.77399380804953566</v>
      </c>
      <c r="N50" s="136">
        <v>447</v>
      </c>
      <c r="O50" s="136">
        <f t="shared" si="1"/>
        <v>69.195046439628484</v>
      </c>
      <c r="P50" s="138">
        <v>0</v>
      </c>
      <c r="Q50" s="136">
        <v>63</v>
      </c>
      <c r="R50" s="135" t="s">
        <v>39</v>
      </c>
      <c r="S50" s="114" t="s">
        <v>313</v>
      </c>
      <c r="T50" s="135"/>
      <c r="U50" s="139"/>
      <c r="V50" s="135"/>
      <c r="W50" s="135"/>
      <c r="X50" s="135"/>
      <c r="Y50" s="135"/>
      <c r="Z50" s="135"/>
      <c r="AA50" s="135"/>
      <c r="AB50" s="135" t="s">
        <v>39</v>
      </c>
      <c r="AC50" s="139">
        <v>0</v>
      </c>
      <c r="AD50" s="135" t="s">
        <v>285</v>
      </c>
      <c r="AE50" s="135"/>
      <c r="AF50" s="135"/>
    </row>
    <row r="51" spans="1:32">
      <c r="A51" s="135">
        <v>40</v>
      </c>
      <c r="B51" s="136" t="s">
        <v>33</v>
      </c>
      <c r="C51" s="136" t="s">
        <v>876</v>
      </c>
      <c r="D51" s="136" t="s">
        <v>957</v>
      </c>
      <c r="E51" s="136" t="s">
        <v>962</v>
      </c>
      <c r="F51" s="136" t="s">
        <v>963</v>
      </c>
      <c r="G51" s="136">
        <v>448.14</v>
      </c>
      <c r="H51" s="136">
        <v>35</v>
      </c>
      <c r="I51" s="136">
        <v>150</v>
      </c>
      <c r="J51" s="136">
        <v>75</v>
      </c>
      <c r="K51" s="136">
        <v>75</v>
      </c>
      <c r="L51" s="136">
        <v>0</v>
      </c>
      <c r="M51" s="135">
        <f t="shared" si="0"/>
        <v>0</v>
      </c>
      <c r="N51" s="136">
        <v>0</v>
      </c>
      <c r="O51" s="136">
        <f t="shared" si="1"/>
        <v>0</v>
      </c>
      <c r="P51" s="138">
        <v>0</v>
      </c>
      <c r="Q51" s="136">
        <v>0</v>
      </c>
      <c r="R51" s="135"/>
      <c r="S51" s="141"/>
      <c r="T51" s="135"/>
      <c r="U51" s="141"/>
      <c r="V51" s="135"/>
      <c r="W51" s="135"/>
      <c r="X51" s="135"/>
      <c r="Y51" s="135"/>
      <c r="Z51" s="135"/>
      <c r="AA51" s="135"/>
      <c r="AB51" s="135"/>
      <c r="AC51" s="141"/>
      <c r="AD51" s="135"/>
      <c r="AE51" s="135"/>
      <c r="AF51" s="135"/>
    </row>
    <row r="52" spans="1:32">
      <c r="A52" s="135">
        <v>41</v>
      </c>
      <c r="B52" s="136" t="s">
        <v>33</v>
      </c>
      <c r="C52" s="136" t="s">
        <v>876</v>
      </c>
      <c r="D52" s="136" t="s">
        <v>957</v>
      </c>
      <c r="E52" s="136" t="s">
        <v>964</v>
      </c>
      <c r="F52" s="136" t="s">
        <v>965</v>
      </c>
      <c r="G52" s="136">
        <v>481.9</v>
      </c>
      <c r="H52" s="136">
        <v>150</v>
      </c>
      <c r="I52" s="136">
        <v>772</v>
      </c>
      <c r="J52" s="136">
        <v>419</v>
      </c>
      <c r="K52" s="136">
        <v>353</v>
      </c>
      <c r="L52" s="136">
        <v>10</v>
      </c>
      <c r="M52" s="135">
        <f t="shared" si="0"/>
        <v>1.2953367875647668</v>
      </c>
      <c r="N52" s="136">
        <v>187</v>
      </c>
      <c r="O52" s="136">
        <f t="shared" si="1"/>
        <v>24.222797927461141</v>
      </c>
      <c r="P52" s="138">
        <v>22.48</v>
      </c>
      <c r="Q52" s="136">
        <v>0</v>
      </c>
      <c r="R52" s="135" t="s">
        <v>39</v>
      </c>
      <c r="S52" s="114" t="s">
        <v>313</v>
      </c>
      <c r="T52" s="135"/>
      <c r="U52" s="139">
        <v>22.48</v>
      </c>
      <c r="V52" s="135"/>
      <c r="W52" s="135"/>
      <c r="X52" s="135"/>
      <c r="Y52" s="135"/>
      <c r="Z52" s="135"/>
      <c r="AA52" s="135"/>
      <c r="AB52" s="135" t="s">
        <v>39</v>
      </c>
      <c r="AC52" s="139">
        <v>4</v>
      </c>
      <c r="AD52" s="135" t="s">
        <v>285</v>
      </c>
      <c r="AE52" s="135"/>
      <c r="AF52" s="135"/>
    </row>
    <row r="53" spans="1:32">
      <c r="A53" s="135">
        <v>42</v>
      </c>
      <c r="B53" s="136" t="s">
        <v>33</v>
      </c>
      <c r="C53" s="136" t="s">
        <v>876</v>
      </c>
      <c r="D53" s="136" t="s">
        <v>957</v>
      </c>
      <c r="E53" s="136" t="s">
        <v>966</v>
      </c>
      <c r="F53" s="136" t="s">
        <v>967</v>
      </c>
      <c r="G53" s="136">
        <v>278.8</v>
      </c>
      <c r="H53" s="136">
        <v>94</v>
      </c>
      <c r="I53" s="136">
        <v>417</v>
      </c>
      <c r="J53" s="136">
        <v>227</v>
      </c>
      <c r="K53" s="136">
        <v>190</v>
      </c>
      <c r="L53" s="136">
        <v>9</v>
      </c>
      <c r="M53" s="135">
        <f t="shared" si="0"/>
        <v>2.1582733812949639</v>
      </c>
      <c r="N53" s="136">
        <v>278</v>
      </c>
      <c r="O53" s="136">
        <f t="shared" si="1"/>
        <v>66.666666666666657</v>
      </c>
      <c r="P53" s="138">
        <v>24.86</v>
      </c>
      <c r="Q53" s="136">
        <v>32.56</v>
      </c>
      <c r="R53" s="135" t="s">
        <v>39</v>
      </c>
      <c r="S53" s="114" t="s">
        <v>313</v>
      </c>
      <c r="T53" s="135"/>
      <c r="U53" s="139">
        <v>24.86</v>
      </c>
      <c r="V53" s="135"/>
      <c r="W53" s="135"/>
      <c r="X53" s="135"/>
      <c r="Y53" s="135"/>
      <c r="Z53" s="135"/>
      <c r="AA53" s="135"/>
      <c r="AB53" s="135" t="s">
        <v>39</v>
      </c>
      <c r="AC53" s="139">
        <v>13</v>
      </c>
      <c r="AD53" s="135" t="s">
        <v>285</v>
      </c>
      <c r="AE53" s="135"/>
      <c r="AF53" s="135"/>
    </row>
    <row r="54" spans="1:32">
      <c r="A54" s="135">
        <v>43</v>
      </c>
      <c r="B54" s="136" t="s">
        <v>33</v>
      </c>
      <c r="C54" s="136" t="s">
        <v>876</v>
      </c>
      <c r="D54" s="136" t="s">
        <v>957</v>
      </c>
      <c r="E54" s="136" t="s">
        <v>968</v>
      </c>
      <c r="F54" s="136" t="s">
        <v>969</v>
      </c>
      <c r="G54" s="136">
        <v>319.62</v>
      </c>
      <c r="H54" s="136">
        <v>57</v>
      </c>
      <c r="I54" s="136">
        <v>268</v>
      </c>
      <c r="J54" s="136">
        <v>136</v>
      </c>
      <c r="K54" s="136">
        <v>132</v>
      </c>
      <c r="L54" s="136">
        <v>187</v>
      </c>
      <c r="M54" s="135">
        <f t="shared" si="0"/>
        <v>69.776119402985074</v>
      </c>
      <c r="N54" s="136">
        <v>0</v>
      </c>
      <c r="O54" s="136">
        <f t="shared" si="1"/>
        <v>0</v>
      </c>
      <c r="P54" s="138">
        <v>3.42</v>
      </c>
      <c r="Q54" s="136">
        <v>138.22</v>
      </c>
      <c r="R54" s="135" t="s">
        <v>39</v>
      </c>
      <c r="S54" s="114" t="s">
        <v>313</v>
      </c>
      <c r="T54" s="135"/>
      <c r="U54" s="142">
        <v>3.42</v>
      </c>
      <c r="V54" s="135"/>
      <c r="W54" s="135"/>
      <c r="X54" s="135"/>
      <c r="Y54" s="135"/>
      <c r="Z54" s="135"/>
      <c r="AA54" s="135"/>
      <c r="AB54" s="135" t="s">
        <v>39</v>
      </c>
      <c r="AC54" s="142">
        <v>23</v>
      </c>
      <c r="AD54" s="135" t="s">
        <v>285</v>
      </c>
      <c r="AE54" s="135"/>
      <c r="AF54" s="135"/>
    </row>
    <row r="55" spans="1:32">
      <c r="A55" s="135">
        <v>44</v>
      </c>
      <c r="B55" s="136" t="s">
        <v>33</v>
      </c>
      <c r="C55" s="136" t="s">
        <v>876</v>
      </c>
      <c r="D55" s="136" t="s">
        <v>957</v>
      </c>
      <c r="E55" s="136" t="s">
        <v>970</v>
      </c>
      <c r="F55" s="136" t="s">
        <v>971</v>
      </c>
      <c r="G55" s="136">
        <v>591.36</v>
      </c>
      <c r="H55" s="136">
        <v>176</v>
      </c>
      <c r="I55" s="136">
        <v>806</v>
      </c>
      <c r="J55" s="136">
        <v>446</v>
      </c>
      <c r="K55" s="136">
        <v>360</v>
      </c>
      <c r="L55" s="136">
        <v>164</v>
      </c>
      <c r="M55" s="135">
        <f t="shared" si="0"/>
        <v>20.347394540942929</v>
      </c>
      <c r="N55" s="136">
        <v>24</v>
      </c>
      <c r="O55" s="136">
        <f t="shared" si="1"/>
        <v>2.9776674937965262</v>
      </c>
      <c r="P55" s="138">
        <v>0</v>
      </c>
      <c r="Q55" s="136">
        <v>0</v>
      </c>
      <c r="R55" s="135" t="s">
        <v>39</v>
      </c>
      <c r="S55" s="114" t="s">
        <v>313</v>
      </c>
      <c r="T55" s="135"/>
      <c r="U55" s="139"/>
      <c r="V55" s="135"/>
      <c r="W55" s="135"/>
      <c r="X55" s="135"/>
      <c r="Y55" s="135"/>
      <c r="Z55" s="135"/>
      <c r="AA55" s="135"/>
      <c r="AB55" s="135" t="s">
        <v>39</v>
      </c>
      <c r="AC55" s="139">
        <v>5</v>
      </c>
      <c r="AD55" s="135" t="s">
        <v>285</v>
      </c>
      <c r="AE55" s="135"/>
      <c r="AF55" s="135"/>
    </row>
    <row r="56" spans="1:32">
      <c r="A56" s="135">
        <v>45</v>
      </c>
      <c r="B56" s="136" t="s">
        <v>33</v>
      </c>
      <c r="C56" s="136" t="s">
        <v>876</v>
      </c>
      <c r="D56" s="136" t="s">
        <v>972</v>
      </c>
      <c r="E56" s="137" t="s">
        <v>973</v>
      </c>
      <c r="F56" s="136" t="s">
        <v>974</v>
      </c>
      <c r="G56" s="136">
        <v>845.35</v>
      </c>
      <c r="H56" s="136">
        <v>304</v>
      </c>
      <c r="I56" s="136">
        <v>1680</v>
      </c>
      <c r="J56" s="136">
        <v>849</v>
      </c>
      <c r="K56" s="136">
        <v>831</v>
      </c>
      <c r="L56" s="136">
        <v>506</v>
      </c>
      <c r="M56" s="135">
        <f t="shared" si="0"/>
        <v>30.119047619047617</v>
      </c>
      <c r="N56" s="136">
        <v>663</v>
      </c>
      <c r="O56" s="136">
        <f t="shared" si="1"/>
        <v>39.464285714285715</v>
      </c>
      <c r="P56" s="138">
        <v>92</v>
      </c>
      <c r="Q56" s="136">
        <v>0</v>
      </c>
      <c r="R56" s="135"/>
      <c r="S56" s="142"/>
      <c r="T56" s="135"/>
      <c r="U56" s="142">
        <v>13.75</v>
      </c>
      <c r="V56" s="135"/>
      <c r="W56" s="135"/>
      <c r="X56" s="135"/>
      <c r="Y56" s="135"/>
      <c r="Z56" s="135"/>
      <c r="AA56" s="135"/>
      <c r="AB56" s="135" t="s">
        <v>39</v>
      </c>
      <c r="AC56" s="142">
        <v>7</v>
      </c>
      <c r="AD56" s="135" t="s">
        <v>285</v>
      </c>
      <c r="AE56" s="135"/>
      <c r="AF56" s="135"/>
    </row>
    <row r="57" spans="1:32">
      <c r="A57" s="135">
        <v>46</v>
      </c>
      <c r="B57" s="136" t="s">
        <v>33</v>
      </c>
      <c r="C57" s="136" t="s">
        <v>876</v>
      </c>
      <c r="D57" s="136" t="s">
        <v>972</v>
      </c>
      <c r="E57" s="136" t="s">
        <v>975</v>
      </c>
      <c r="F57" s="136" t="s">
        <v>976</v>
      </c>
      <c r="G57" s="136">
        <v>485.84</v>
      </c>
      <c r="H57" s="136">
        <v>179</v>
      </c>
      <c r="I57" s="136">
        <v>960</v>
      </c>
      <c r="J57" s="136">
        <v>513</v>
      </c>
      <c r="K57" s="136">
        <v>447</v>
      </c>
      <c r="L57" s="136">
        <v>112</v>
      </c>
      <c r="M57" s="135">
        <f t="shared" si="0"/>
        <v>11.666666666666666</v>
      </c>
      <c r="N57" s="136">
        <v>468</v>
      </c>
      <c r="O57" s="136">
        <f t="shared" si="1"/>
        <v>48.75</v>
      </c>
      <c r="P57" s="138">
        <v>17</v>
      </c>
      <c r="Q57" s="136">
        <v>0</v>
      </c>
      <c r="R57" s="135"/>
      <c r="S57" s="141"/>
      <c r="T57" s="135"/>
      <c r="U57" s="141"/>
      <c r="V57" s="135"/>
      <c r="W57" s="135"/>
      <c r="X57" s="135"/>
      <c r="Y57" s="135"/>
      <c r="Z57" s="135"/>
      <c r="AA57" s="135"/>
      <c r="AB57" s="135"/>
      <c r="AC57" s="141"/>
      <c r="AD57" s="135"/>
      <c r="AE57" s="135"/>
      <c r="AF57" s="135"/>
    </row>
    <row r="58" spans="1:32">
      <c r="A58" s="135">
        <v>47</v>
      </c>
      <c r="B58" s="136" t="s">
        <v>33</v>
      </c>
      <c r="C58" s="136" t="s">
        <v>876</v>
      </c>
      <c r="D58" s="136" t="s">
        <v>972</v>
      </c>
      <c r="E58" s="136" t="s">
        <v>977</v>
      </c>
      <c r="F58" s="136" t="s">
        <v>978</v>
      </c>
      <c r="G58" s="136">
        <v>372.41</v>
      </c>
      <c r="H58" s="136">
        <v>104</v>
      </c>
      <c r="I58" s="136">
        <v>523</v>
      </c>
      <c r="J58" s="136">
        <v>286</v>
      </c>
      <c r="K58" s="136">
        <v>237</v>
      </c>
      <c r="L58" s="136">
        <v>136</v>
      </c>
      <c r="M58" s="135">
        <f t="shared" si="0"/>
        <v>26.003824091778206</v>
      </c>
      <c r="N58" s="136">
        <v>362</v>
      </c>
      <c r="O58" s="136">
        <f t="shared" si="1"/>
        <v>69.216061185468448</v>
      </c>
      <c r="P58" s="138">
        <v>11</v>
      </c>
      <c r="Q58" s="136">
        <v>0</v>
      </c>
      <c r="R58" s="135"/>
      <c r="S58" s="141"/>
      <c r="T58" s="135"/>
      <c r="U58" s="141"/>
      <c r="V58" s="135"/>
      <c r="W58" s="135"/>
      <c r="X58" s="135"/>
      <c r="Y58" s="135"/>
      <c r="Z58" s="135"/>
      <c r="AA58" s="135"/>
      <c r="AB58" s="135"/>
      <c r="AC58" s="141"/>
      <c r="AD58" s="135"/>
      <c r="AE58" s="135"/>
      <c r="AF58" s="135"/>
    </row>
    <row r="59" spans="1:32">
      <c r="A59" s="135">
        <v>48</v>
      </c>
      <c r="B59" s="136" t="s">
        <v>33</v>
      </c>
      <c r="C59" s="136" t="s">
        <v>876</v>
      </c>
      <c r="D59" s="136" t="s">
        <v>972</v>
      </c>
      <c r="E59" s="136" t="s">
        <v>979</v>
      </c>
      <c r="F59" s="136" t="s">
        <v>980</v>
      </c>
      <c r="G59" s="136">
        <v>538.4</v>
      </c>
      <c r="H59" s="136">
        <v>119</v>
      </c>
      <c r="I59" s="136">
        <v>632</v>
      </c>
      <c r="J59" s="136">
        <v>331</v>
      </c>
      <c r="K59" s="136">
        <v>301</v>
      </c>
      <c r="L59" s="136">
        <v>66</v>
      </c>
      <c r="M59" s="135">
        <f t="shared" si="0"/>
        <v>10.443037974683545</v>
      </c>
      <c r="N59" s="136">
        <v>503</v>
      </c>
      <c r="O59" s="136">
        <f t="shared" si="1"/>
        <v>79.588607594936718</v>
      </c>
      <c r="P59" s="138">
        <v>28</v>
      </c>
      <c r="Q59" s="136">
        <v>0</v>
      </c>
      <c r="R59" s="135"/>
      <c r="S59" s="141"/>
      <c r="T59" s="135"/>
      <c r="U59" s="141"/>
      <c r="V59" s="135"/>
      <c r="W59" s="135"/>
      <c r="X59" s="135"/>
      <c r="Y59" s="135"/>
      <c r="Z59" s="135"/>
      <c r="AA59" s="135"/>
      <c r="AB59" s="135"/>
      <c r="AC59" s="141"/>
      <c r="AD59" s="135"/>
      <c r="AE59" s="135"/>
      <c r="AF59" s="135"/>
    </row>
    <row r="60" spans="1:32">
      <c r="A60" s="135">
        <v>49</v>
      </c>
      <c r="B60" s="136" t="s">
        <v>33</v>
      </c>
      <c r="C60" s="136" t="s">
        <v>876</v>
      </c>
      <c r="D60" s="136" t="s">
        <v>981</v>
      </c>
      <c r="E60" s="137" t="s">
        <v>982</v>
      </c>
      <c r="F60" s="136" t="s">
        <v>983</v>
      </c>
      <c r="G60" s="136">
        <v>1080.93</v>
      </c>
      <c r="H60" s="136">
        <v>397</v>
      </c>
      <c r="I60" s="136">
        <v>2093</v>
      </c>
      <c r="J60" s="136">
        <v>1093</v>
      </c>
      <c r="K60" s="136">
        <v>1000</v>
      </c>
      <c r="L60" s="136">
        <v>728</v>
      </c>
      <c r="M60" s="135">
        <f t="shared" si="0"/>
        <v>34.782608695652172</v>
      </c>
      <c r="N60" s="136">
        <v>674</v>
      </c>
      <c r="O60" s="136">
        <f t="shared" si="1"/>
        <v>32.202580028666986</v>
      </c>
      <c r="P60" s="138">
        <v>14.08</v>
      </c>
      <c r="Q60" s="136">
        <v>0</v>
      </c>
      <c r="R60" s="135"/>
      <c r="S60" s="142"/>
      <c r="T60" s="135"/>
      <c r="U60" s="142">
        <v>14.12</v>
      </c>
      <c r="V60" s="135"/>
      <c r="W60" s="135"/>
      <c r="X60" s="135"/>
      <c r="Y60" s="135"/>
      <c r="Z60" s="135"/>
      <c r="AA60" s="135"/>
      <c r="AB60" s="135" t="s">
        <v>39</v>
      </c>
      <c r="AC60" s="142">
        <v>12</v>
      </c>
      <c r="AD60" s="135" t="s">
        <v>285</v>
      </c>
      <c r="AE60" s="135"/>
      <c r="AF60" s="135"/>
    </row>
    <row r="61" spans="1:32">
      <c r="A61" s="135">
        <v>50</v>
      </c>
      <c r="B61" s="136" t="s">
        <v>33</v>
      </c>
      <c r="C61" s="136" t="s">
        <v>876</v>
      </c>
      <c r="D61" s="136" t="s">
        <v>981</v>
      </c>
      <c r="E61" s="136" t="s">
        <v>624</v>
      </c>
      <c r="F61" s="136" t="s">
        <v>984</v>
      </c>
      <c r="G61" s="136">
        <v>630.48</v>
      </c>
      <c r="H61" s="136">
        <v>155</v>
      </c>
      <c r="I61" s="136">
        <v>815</v>
      </c>
      <c r="J61" s="136">
        <v>423</v>
      </c>
      <c r="K61" s="136">
        <v>392</v>
      </c>
      <c r="L61" s="136">
        <v>191</v>
      </c>
      <c r="M61" s="135">
        <f t="shared" si="0"/>
        <v>23.435582822085891</v>
      </c>
      <c r="N61" s="136">
        <v>558</v>
      </c>
      <c r="O61" s="136">
        <f t="shared" si="1"/>
        <v>68.466257668711663</v>
      </c>
      <c r="P61" s="138">
        <v>19.88</v>
      </c>
      <c r="Q61" s="136">
        <v>0</v>
      </c>
      <c r="R61" s="135"/>
      <c r="S61" s="141"/>
      <c r="T61" s="135"/>
      <c r="U61" s="141"/>
      <c r="V61" s="135"/>
      <c r="W61" s="135"/>
      <c r="X61" s="135"/>
      <c r="Y61" s="135"/>
      <c r="Z61" s="135"/>
      <c r="AA61" s="135"/>
      <c r="AB61" s="135"/>
      <c r="AC61" s="141"/>
      <c r="AD61" s="135"/>
      <c r="AE61" s="135"/>
      <c r="AF61" s="135"/>
    </row>
    <row r="62" spans="1:32">
      <c r="A62" s="135">
        <v>51</v>
      </c>
      <c r="B62" s="136" t="s">
        <v>33</v>
      </c>
      <c r="C62" s="136" t="s">
        <v>876</v>
      </c>
      <c r="D62" s="136" t="s">
        <v>981</v>
      </c>
      <c r="E62" s="136" t="s">
        <v>985</v>
      </c>
      <c r="F62" s="136" t="s">
        <v>986</v>
      </c>
      <c r="G62" s="136">
        <v>646.36</v>
      </c>
      <c r="H62" s="136">
        <v>118</v>
      </c>
      <c r="I62" s="136">
        <v>669</v>
      </c>
      <c r="J62" s="136">
        <v>355</v>
      </c>
      <c r="K62" s="136">
        <v>314</v>
      </c>
      <c r="L62" s="136">
        <v>98</v>
      </c>
      <c r="M62" s="135">
        <f t="shared" si="0"/>
        <v>14.648729446935723</v>
      </c>
      <c r="N62" s="136">
        <v>358</v>
      </c>
      <c r="O62" s="136">
        <f t="shared" si="1"/>
        <v>53.512705530642748</v>
      </c>
      <c r="P62" s="138">
        <v>30.18</v>
      </c>
      <c r="Q62" s="136">
        <v>0</v>
      </c>
      <c r="R62" s="135"/>
      <c r="S62" s="142"/>
      <c r="T62" s="135"/>
      <c r="U62" s="142">
        <v>30.47</v>
      </c>
      <c r="V62" s="135"/>
      <c r="W62" s="135"/>
      <c r="X62" s="135"/>
      <c r="Y62" s="135"/>
      <c r="Z62" s="135"/>
      <c r="AA62" s="135"/>
      <c r="AB62" s="135" t="s">
        <v>39</v>
      </c>
      <c r="AC62" s="142">
        <v>11</v>
      </c>
      <c r="AD62" s="135" t="s">
        <v>285</v>
      </c>
      <c r="AE62" s="135"/>
      <c r="AF62" s="135"/>
    </row>
    <row r="63" spans="1:32">
      <c r="A63" s="135">
        <v>52</v>
      </c>
      <c r="B63" s="136" t="s">
        <v>33</v>
      </c>
      <c r="C63" s="136" t="s">
        <v>876</v>
      </c>
      <c r="D63" s="136" t="s">
        <v>987</v>
      </c>
      <c r="E63" s="137" t="s">
        <v>988</v>
      </c>
      <c r="F63" s="136" t="s">
        <v>989</v>
      </c>
      <c r="G63" s="136">
        <v>1195.25</v>
      </c>
      <c r="H63" s="136">
        <v>485</v>
      </c>
      <c r="I63" s="136">
        <v>2592</v>
      </c>
      <c r="J63" s="136">
        <v>1327</v>
      </c>
      <c r="K63" s="136">
        <v>1265</v>
      </c>
      <c r="L63" s="136">
        <v>293</v>
      </c>
      <c r="M63" s="135">
        <f t="shared" si="0"/>
        <v>11.304012345679013</v>
      </c>
      <c r="N63" s="136">
        <v>731</v>
      </c>
      <c r="O63" s="136">
        <f t="shared" si="1"/>
        <v>28.202160493827162</v>
      </c>
      <c r="P63" s="138">
        <v>72.13</v>
      </c>
      <c r="Q63" s="136">
        <v>0</v>
      </c>
      <c r="R63" s="135"/>
      <c r="S63" s="142"/>
      <c r="T63" s="135"/>
      <c r="U63" s="142">
        <v>72.05</v>
      </c>
      <c r="V63" s="135"/>
      <c r="W63" s="135"/>
      <c r="X63" s="135"/>
      <c r="Y63" s="135"/>
      <c r="Z63" s="135"/>
      <c r="AA63" s="135"/>
      <c r="AB63" s="135" t="s">
        <v>39</v>
      </c>
      <c r="AC63" s="142">
        <v>11</v>
      </c>
      <c r="AD63" s="135" t="s">
        <v>285</v>
      </c>
      <c r="AE63" s="135"/>
      <c r="AF63" s="135"/>
    </row>
    <row r="64" spans="1:32">
      <c r="A64" s="135" t="s">
        <v>51</v>
      </c>
      <c r="B64" s="136" t="s">
        <v>33</v>
      </c>
      <c r="C64" s="136" t="s">
        <v>876</v>
      </c>
      <c r="D64" s="136" t="s">
        <v>987</v>
      </c>
      <c r="E64" s="137" t="s">
        <v>988</v>
      </c>
      <c r="F64" s="136"/>
      <c r="G64" s="136"/>
      <c r="H64" s="136"/>
      <c r="I64" s="136"/>
      <c r="J64" s="136"/>
      <c r="K64" s="136"/>
      <c r="L64" s="136"/>
      <c r="M64" s="135" t="e">
        <f t="shared" si="0"/>
        <v>#DIV/0!</v>
      </c>
      <c r="N64" s="136"/>
      <c r="O64" s="136" t="e">
        <f t="shared" si="1"/>
        <v>#DIV/0!</v>
      </c>
      <c r="P64" s="138"/>
      <c r="Q64" s="136">
        <v>0</v>
      </c>
      <c r="R64" s="135"/>
      <c r="S64" s="142"/>
      <c r="T64" s="135"/>
      <c r="U64" s="142"/>
      <c r="V64" s="135"/>
      <c r="W64" s="135"/>
      <c r="X64" s="135"/>
      <c r="Y64" s="135"/>
      <c r="Z64" s="135"/>
      <c r="AA64" s="135"/>
      <c r="AB64" s="135"/>
      <c r="AC64" s="142">
        <v>16</v>
      </c>
      <c r="AD64" s="135" t="s">
        <v>990</v>
      </c>
      <c r="AE64" s="140">
        <v>24.509599999999999</v>
      </c>
      <c r="AF64" s="140">
        <v>76.305099999999996</v>
      </c>
    </row>
    <row r="65" spans="1:32">
      <c r="A65" s="135">
        <v>53</v>
      </c>
      <c r="B65" s="136" t="s">
        <v>33</v>
      </c>
      <c r="C65" s="136" t="s">
        <v>876</v>
      </c>
      <c r="D65" s="136" t="s">
        <v>987</v>
      </c>
      <c r="E65" s="136" t="s">
        <v>991</v>
      </c>
      <c r="F65" s="136" t="s">
        <v>992</v>
      </c>
      <c r="G65" s="136">
        <v>429.53</v>
      </c>
      <c r="H65" s="136">
        <v>85</v>
      </c>
      <c r="I65" s="136">
        <v>440</v>
      </c>
      <c r="J65" s="136">
        <v>218</v>
      </c>
      <c r="K65" s="136">
        <v>222</v>
      </c>
      <c r="L65" s="136">
        <v>440</v>
      </c>
      <c r="M65" s="135">
        <f t="shared" si="0"/>
        <v>100</v>
      </c>
      <c r="N65" s="136">
        <v>0</v>
      </c>
      <c r="O65" s="136">
        <f t="shared" si="1"/>
        <v>0</v>
      </c>
      <c r="P65" s="138">
        <v>3.8</v>
      </c>
      <c r="Q65" s="136">
        <v>0</v>
      </c>
      <c r="R65" s="135"/>
      <c r="S65" s="141"/>
      <c r="T65" s="135"/>
      <c r="U65" s="141"/>
      <c r="V65" s="135"/>
      <c r="W65" s="135"/>
      <c r="X65" s="135"/>
      <c r="Y65" s="135"/>
      <c r="Z65" s="135"/>
      <c r="AA65" s="135"/>
      <c r="AB65" s="135"/>
      <c r="AC65" s="141">
        <v>10</v>
      </c>
      <c r="AD65" s="135"/>
      <c r="AE65" s="135"/>
      <c r="AF65" s="135"/>
    </row>
    <row r="66" spans="1:32">
      <c r="A66" s="135">
        <v>54</v>
      </c>
      <c r="B66" s="136" t="s">
        <v>33</v>
      </c>
      <c r="C66" s="136" t="s">
        <v>876</v>
      </c>
      <c r="D66" s="136" t="s">
        <v>987</v>
      </c>
      <c r="E66" s="136" t="s">
        <v>993</v>
      </c>
      <c r="F66" s="136" t="s">
        <v>994</v>
      </c>
      <c r="G66" s="136">
        <v>298.98</v>
      </c>
      <c r="H66" s="136">
        <v>213</v>
      </c>
      <c r="I66" s="136">
        <v>1136</v>
      </c>
      <c r="J66" s="136">
        <v>589</v>
      </c>
      <c r="K66" s="136">
        <v>547</v>
      </c>
      <c r="L66" s="136">
        <v>134</v>
      </c>
      <c r="M66" s="135">
        <f t="shared" si="0"/>
        <v>11.795774647887324</v>
      </c>
      <c r="N66" s="136">
        <v>25</v>
      </c>
      <c r="O66" s="136">
        <f t="shared" si="1"/>
        <v>2.2007042253521125</v>
      </c>
      <c r="P66" s="138">
        <v>14.05</v>
      </c>
      <c r="Q66" s="136">
        <v>0</v>
      </c>
      <c r="R66" s="135"/>
      <c r="S66" s="141"/>
      <c r="T66" s="135"/>
      <c r="U66" s="141"/>
      <c r="V66" s="135"/>
      <c r="W66" s="135"/>
      <c r="X66" s="135"/>
      <c r="Y66" s="135"/>
      <c r="Z66" s="135"/>
      <c r="AA66" s="135"/>
      <c r="AB66" s="135"/>
      <c r="AC66" s="141"/>
      <c r="AD66" s="135"/>
      <c r="AE66" s="135"/>
      <c r="AF66" s="135"/>
    </row>
    <row r="67" spans="1:32">
      <c r="A67" s="135">
        <v>55</v>
      </c>
      <c r="B67" s="136" t="s">
        <v>33</v>
      </c>
      <c r="C67" s="136" t="s">
        <v>876</v>
      </c>
      <c r="D67" s="136" t="s">
        <v>987</v>
      </c>
      <c r="E67" s="136" t="s">
        <v>995</v>
      </c>
      <c r="F67" s="136" t="s">
        <v>996</v>
      </c>
      <c r="G67" s="136">
        <v>263.39</v>
      </c>
      <c r="H67" s="136">
        <v>139</v>
      </c>
      <c r="I67" s="136">
        <v>697</v>
      </c>
      <c r="J67" s="136">
        <v>357</v>
      </c>
      <c r="K67" s="136">
        <v>340</v>
      </c>
      <c r="L67" s="136">
        <v>100</v>
      </c>
      <c r="M67" s="135">
        <f t="shared" si="0"/>
        <v>14.347202295552366</v>
      </c>
      <c r="N67" s="136">
        <v>455</v>
      </c>
      <c r="O67" s="136">
        <f t="shared" si="1"/>
        <v>65.279770444763273</v>
      </c>
      <c r="P67" s="138">
        <v>10.43</v>
      </c>
      <c r="Q67" s="136">
        <v>0</v>
      </c>
      <c r="R67" s="135"/>
      <c r="S67" s="141"/>
      <c r="T67" s="135"/>
      <c r="U67" s="141"/>
      <c r="V67" s="135"/>
      <c r="W67" s="135"/>
      <c r="X67" s="135"/>
      <c r="Y67" s="135"/>
      <c r="Z67" s="135"/>
      <c r="AA67" s="135"/>
      <c r="AB67" s="135"/>
      <c r="AC67" s="141"/>
      <c r="AD67" s="135"/>
      <c r="AE67" s="135"/>
      <c r="AF67" s="135"/>
    </row>
    <row r="68" spans="1:32">
      <c r="A68" s="135" t="s">
        <v>51</v>
      </c>
      <c r="B68" s="136" t="s">
        <v>33</v>
      </c>
      <c r="C68" s="136" t="s">
        <v>876</v>
      </c>
      <c r="D68" s="136" t="s">
        <v>987</v>
      </c>
      <c r="E68" s="136" t="s">
        <v>995</v>
      </c>
      <c r="F68" s="136"/>
      <c r="G68" s="136"/>
      <c r="H68" s="136"/>
      <c r="I68" s="136"/>
      <c r="J68" s="136"/>
      <c r="K68" s="136"/>
      <c r="L68" s="136"/>
      <c r="M68" s="135" t="e">
        <f t="shared" ref="M68:M96" si="2">L68/I68*100</f>
        <v>#DIV/0!</v>
      </c>
      <c r="N68" s="136"/>
      <c r="O68" s="136" t="e">
        <f t="shared" ref="O68:O96" si="3">N68/I68*100</f>
        <v>#DIV/0!</v>
      </c>
      <c r="P68" s="138"/>
      <c r="Q68" s="136">
        <v>0</v>
      </c>
      <c r="R68" s="135"/>
      <c r="S68" s="141"/>
      <c r="T68" s="135"/>
      <c r="U68" s="141"/>
      <c r="V68" s="135"/>
      <c r="W68" s="135"/>
      <c r="X68" s="135"/>
      <c r="Y68" s="135"/>
      <c r="Z68" s="135"/>
      <c r="AA68" s="135"/>
      <c r="AB68" s="135"/>
      <c r="AC68" s="141">
        <v>8</v>
      </c>
      <c r="AD68" s="135" t="s">
        <v>400</v>
      </c>
      <c r="AE68" s="140">
        <v>24.4877</v>
      </c>
      <c r="AF68" s="140">
        <v>76.412599999999998</v>
      </c>
    </row>
    <row r="69" spans="1:32">
      <c r="A69" s="135">
        <v>56</v>
      </c>
      <c r="B69" s="136" t="s">
        <v>33</v>
      </c>
      <c r="C69" s="136" t="s">
        <v>876</v>
      </c>
      <c r="D69" s="136" t="s">
        <v>987</v>
      </c>
      <c r="E69" s="136" t="s">
        <v>997</v>
      </c>
      <c r="F69" s="136" t="s">
        <v>998</v>
      </c>
      <c r="G69" s="136">
        <v>361.02</v>
      </c>
      <c r="H69" s="136">
        <v>108</v>
      </c>
      <c r="I69" s="136">
        <v>590</v>
      </c>
      <c r="J69" s="136">
        <v>300</v>
      </c>
      <c r="K69" s="136">
        <v>290</v>
      </c>
      <c r="L69" s="136">
        <v>143</v>
      </c>
      <c r="M69" s="135">
        <f t="shared" si="2"/>
        <v>24.237288135593221</v>
      </c>
      <c r="N69" s="136">
        <v>18</v>
      </c>
      <c r="O69" s="136">
        <f t="shared" si="3"/>
        <v>3.050847457627119</v>
      </c>
      <c r="P69" s="138">
        <v>0</v>
      </c>
      <c r="Q69" s="136">
        <v>0</v>
      </c>
      <c r="R69" s="135"/>
      <c r="S69" s="141"/>
      <c r="T69" s="135"/>
      <c r="U69" s="141"/>
      <c r="V69" s="135"/>
      <c r="W69" s="135"/>
      <c r="X69" s="135"/>
      <c r="Y69" s="135"/>
      <c r="Z69" s="135"/>
      <c r="AA69" s="135"/>
      <c r="AB69" s="135"/>
      <c r="AC69" s="141"/>
      <c r="AD69" s="135"/>
      <c r="AE69" s="135"/>
      <c r="AF69" s="135"/>
    </row>
    <row r="70" spans="1:32">
      <c r="A70" s="135">
        <v>57</v>
      </c>
      <c r="B70" s="136" t="s">
        <v>33</v>
      </c>
      <c r="C70" s="136" t="s">
        <v>876</v>
      </c>
      <c r="D70" s="136" t="s">
        <v>999</v>
      </c>
      <c r="E70" s="137" t="s">
        <v>1000</v>
      </c>
      <c r="F70" s="136" t="s">
        <v>1001</v>
      </c>
      <c r="G70" s="136">
        <v>1721</v>
      </c>
      <c r="H70" s="136">
        <v>648</v>
      </c>
      <c r="I70" s="136">
        <v>3288</v>
      </c>
      <c r="J70" s="136">
        <v>1719</v>
      </c>
      <c r="K70" s="136">
        <v>1569</v>
      </c>
      <c r="L70" s="136">
        <v>789</v>
      </c>
      <c r="M70" s="135">
        <f t="shared" si="2"/>
        <v>23.996350364963504</v>
      </c>
      <c r="N70" s="136">
        <v>70</v>
      </c>
      <c r="O70" s="136">
        <f t="shared" si="3"/>
        <v>2.1289537712895377</v>
      </c>
      <c r="P70" s="138">
        <v>63</v>
      </c>
      <c r="Q70" s="136">
        <v>0</v>
      </c>
      <c r="R70" s="135" t="s">
        <v>39</v>
      </c>
      <c r="S70" s="114" t="s">
        <v>313</v>
      </c>
      <c r="T70" s="135"/>
      <c r="U70" s="142">
        <v>73.12</v>
      </c>
      <c r="V70" s="135"/>
      <c r="W70" s="135"/>
      <c r="X70" s="135"/>
      <c r="Y70" s="135"/>
      <c r="Z70" s="135"/>
      <c r="AA70" s="135"/>
      <c r="AB70" s="135" t="s">
        <v>39</v>
      </c>
      <c r="AC70" s="142">
        <v>13</v>
      </c>
      <c r="AD70" s="135" t="s">
        <v>285</v>
      </c>
      <c r="AE70" s="135"/>
      <c r="AF70" s="135"/>
    </row>
    <row r="71" spans="1:32">
      <c r="A71" s="135" t="s">
        <v>51</v>
      </c>
      <c r="B71" s="136" t="s">
        <v>33</v>
      </c>
      <c r="C71" s="136" t="s">
        <v>876</v>
      </c>
      <c r="D71" s="136" t="s">
        <v>999</v>
      </c>
      <c r="E71" s="137" t="s">
        <v>1000</v>
      </c>
      <c r="F71" s="136"/>
      <c r="G71" s="136"/>
      <c r="H71" s="136"/>
      <c r="I71" s="136"/>
      <c r="J71" s="136"/>
      <c r="K71" s="136"/>
      <c r="L71" s="136"/>
      <c r="M71" s="135" t="e">
        <f t="shared" si="2"/>
        <v>#DIV/0!</v>
      </c>
      <c r="N71" s="136"/>
      <c r="O71" s="136" t="e">
        <f t="shared" si="3"/>
        <v>#DIV/0!</v>
      </c>
      <c r="P71" s="138"/>
      <c r="Q71" s="136">
        <v>0</v>
      </c>
      <c r="R71" s="135"/>
      <c r="S71" s="114"/>
      <c r="T71" s="135"/>
      <c r="U71" s="142"/>
      <c r="V71" s="135"/>
      <c r="W71" s="135"/>
      <c r="X71" s="135"/>
      <c r="Y71" s="135"/>
      <c r="Z71" s="135"/>
      <c r="AA71" s="135"/>
      <c r="AB71" s="135"/>
      <c r="AC71" s="142">
        <v>16</v>
      </c>
      <c r="AD71" s="135" t="s">
        <v>1002</v>
      </c>
      <c r="AE71" s="140">
        <v>24.762499999999999</v>
      </c>
      <c r="AF71" s="140">
        <v>76.907700000000006</v>
      </c>
    </row>
    <row r="72" spans="1:32">
      <c r="A72" s="135" t="s">
        <v>51</v>
      </c>
      <c r="B72" s="136" t="s">
        <v>33</v>
      </c>
      <c r="C72" s="136" t="s">
        <v>876</v>
      </c>
      <c r="D72" s="136" t="s">
        <v>999</v>
      </c>
      <c r="E72" s="137" t="s">
        <v>1000</v>
      </c>
      <c r="F72" s="136"/>
      <c r="G72" s="136"/>
      <c r="H72" s="136"/>
      <c r="I72" s="136"/>
      <c r="J72" s="136"/>
      <c r="K72" s="136"/>
      <c r="L72" s="136"/>
      <c r="M72" s="135" t="e">
        <f t="shared" si="2"/>
        <v>#DIV/0!</v>
      </c>
      <c r="N72" s="136"/>
      <c r="O72" s="136" t="e">
        <f t="shared" si="3"/>
        <v>#DIV/0!</v>
      </c>
      <c r="P72" s="138"/>
      <c r="Q72" s="136">
        <v>0</v>
      </c>
      <c r="R72" s="135"/>
      <c r="S72" s="114"/>
      <c r="T72" s="135"/>
      <c r="U72" s="142"/>
      <c r="V72" s="135"/>
      <c r="W72" s="135"/>
      <c r="X72" s="135"/>
      <c r="Y72" s="135"/>
      <c r="Z72" s="135"/>
      <c r="AA72" s="135"/>
      <c r="AB72" s="135"/>
      <c r="AC72" s="142">
        <v>14</v>
      </c>
      <c r="AD72" s="135" t="s">
        <v>326</v>
      </c>
      <c r="AE72" s="140">
        <v>24.7712</v>
      </c>
      <c r="AF72" s="140">
        <v>76.855900000000005</v>
      </c>
    </row>
    <row r="73" spans="1:32">
      <c r="A73" s="135" t="s">
        <v>51</v>
      </c>
      <c r="B73" s="136" t="s">
        <v>33</v>
      </c>
      <c r="C73" s="136" t="s">
        <v>876</v>
      </c>
      <c r="D73" s="136" t="s">
        <v>999</v>
      </c>
      <c r="E73" s="137" t="s">
        <v>1000</v>
      </c>
      <c r="F73" s="136"/>
      <c r="G73" s="136"/>
      <c r="H73" s="136"/>
      <c r="I73" s="136"/>
      <c r="J73" s="136"/>
      <c r="K73" s="136"/>
      <c r="L73" s="136"/>
      <c r="M73" s="135" t="e">
        <f t="shared" si="2"/>
        <v>#DIV/0!</v>
      </c>
      <c r="N73" s="136"/>
      <c r="O73" s="136" t="e">
        <f t="shared" si="3"/>
        <v>#DIV/0!</v>
      </c>
      <c r="P73" s="138"/>
      <c r="Q73" s="136">
        <v>0</v>
      </c>
      <c r="R73" s="135"/>
      <c r="S73" s="114"/>
      <c r="T73" s="135"/>
      <c r="U73" s="142"/>
      <c r="V73" s="135"/>
      <c r="W73" s="135"/>
      <c r="X73" s="135"/>
      <c r="Y73" s="135"/>
      <c r="Z73" s="135"/>
      <c r="AA73" s="135"/>
      <c r="AB73" s="135"/>
      <c r="AC73" s="142">
        <v>14</v>
      </c>
      <c r="AD73" s="135" t="s">
        <v>326</v>
      </c>
      <c r="AE73" s="140">
        <v>25.282699999999998</v>
      </c>
      <c r="AF73" s="140">
        <v>76.389899999999997</v>
      </c>
    </row>
    <row r="74" spans="1:32">
      <c r="A74" s="135">
        <v>58</v>
      </c>
      <c r="B74" s="136" t="s">
        <v>33</v>
      </c>
      <c r="C74" s="136" t="s">
        <v>876</v>
      </c>
      <c r="D74" s="136" t="s">
        <v>1003</v>
      </c>
      <c r="E74" s="137" t="s">
        <v>1004</v>
      </c>
      <c r="F74" s="136" t="s">
        <v>1005</v>
      </c>
      <c r="G74" s="136">
        <v>3174.53</v>
      </c>
      <c r="H74" s="136">
        <v>2938</v>
      </c>
      <c r="I74" s="136">
        <v>14991</v>
      </c>
      <c r="J74" s="136">
        <v>7809</v>
      </c>
      <c r="K74" s="136">
        <v>7182</v>
      </c>
      <c r="L74" s="136">
        <v>2905</v>
      </c>
      <c r="M74" s="135">
        <f t="shared" si="2"/>
        <v>19.37829364285238</v>
      </c>
      <c r="N74" s="136">
        <v>556</v>
      </c>
      <c r="O74" s="136">
        <f t="shared" si="3"/>
        <v>3.7088920018677878</v>
      </c>
      <c r="P74" s="138">
        <v>209.05</v>
      </c>
      <c r="Q74" s="136">
        <v>0</v>
      </c>
      <c r="R74" s="135"/>
      <c r="S74" s="142"/>
      <c r="T74" s="135"/>
      <c r="U74" s="142">
        <v>223.17</v>
      </c>
      <c r="V74" s="135"/>
      <c r="W74" s="135"/>
      <c r="X74" s="135"/>
      <c r="Y74" s="135"/>
      <c r="Z74" s="135"/>
      <c r="AA74" s="135"/>
      <c r="AB74" s="135" t="s">
        <v>39</v>
      </c>
      <c r="AC74" s="142">
        <v>20</v>
      </c>
      <c r="AD74" s="135" t="s">
        <v>285</v>
      </c>
      <c r="AE74" s="135"/>
      <c r="AF74" s="135"/>
    </row>
    <row r="75" spans="1:32">
      <c r="A75" s="135" t="s">
        <v>51</v>
      </c>
      <c r="B75" s="136" t="s">
        <v>33</v>
      </c>
      <c r="C75" s="136" t="s">
        <v>876</v>
      </c>
      <c r="D75" s="136" t="s">
        <v>1003</v>
      </c>
      <c r="E75" s="137" t="s">
        <v>1004</v>
      </c>
      <c r="F75" s="136"/>
      <c r="G75" s="136"/>
      <c r="H75" s="136"/>
      <c r="I75" s="136"/>
      <c r="J75" s="136"/>
      <c r="K75" s="136"/>
      <c r="L75" s="136"/>
      <c r="M75" s="135" t="e">
        <f t="shared" si="2"/>
        <v>#DIV/0!</v>
      </c>
      <c r="N75" s="136"/>
      <c r="O75" s="136" t="e">
        <f t="shared" si="3"/>
        <v>#DIV/0!</v>
      </c>
      <c r="P75" s="138"/>
      <c r="Q75" s="136">
        <v>73</v>
      </c>
      <c r="R75" s="135"/>
      <c r="S75" s="142"/>
      <c r="T75" s="135"/>
      <c r="U75" s="142"/>
      <c r="V75" s="135"/>
      <c r="W75" s="135"/>
      <c r="X75" s="135"/>
      <c r="Y75" s="135"/>
      <c r="Z75" s="135"/>
      <c r="AA75" s="135"/>
      <c r="AB75" s="135"/>
      <c r="AC75" s="142">
        <v>17</v>
      </c>
      <c r="AD75" s="135" t="s">
        <v>1006</v>
      </c>
      <c r="AE75" s="140">
        <v>24.596299999999999</v>
      </c>
      <c r="AF75" s="140">
        <v>76.667100000000005</v>
      </c>
    </row>
    <row r="76" spans="1:32">
      <c r="A76" s="135">
        <v>59</v>
      </c>
      <c r="B76" s="136" t="s">
        <v>33</v>
      </c>
      <c r="C76" s="136" t="s">
        <v>876</v>
      </c>
      <c r="D76" s="136" t="s">
        <v>1007</v>
      </c>
      <c r="E76" s="137" t="s">
        <v>1008</v>
      </c>
      <c r="F76" s="136" t="s">
        <v>1009</v>
      </c>
      <c r="G76" s="136">
        <v>699.98</v>
      </c>
      <c r="H76" s="136">
        <v>261</v>
      </c>
      <c r="I76" s="136">
        <v>1384</v>
      </c>
      <c r="J76" s="136">
        <v>710</v>
      </c>
      <c r="K76" s="136">
        <v>674</v>
      </c>
      <c r="L76" s="136">
        <v>257</v>
      </c>
      <c r="M76" s="135">
        <f t="shared" si="2"/>
        <v>18.569364161849713</v>
      </c>
      <c r="N76" s="136">
        <v>0</v>
      </c>
      <c r="O76" s="136">
        <f t="shared" si="3"/>
        <v>0</v>
      </c>
      <c r="P76" s="138">
        <v>14.75</v>
      </c>
      <c r="Q76" s="136">
        <v>0</v>
      </c>
      <c r="R76" s="135"/>
      <c r="S76" s="142"/>
      <c r="T76" s="135"/>
      <c r="U76" s="142">
        <v>15.01</v>
      </c>
      <c r="V76" s="135"/>
      <c r="W76" s="135"/>
      <c r="X76" s="135"/>
      <c r="Y76" s="135"/>
      <c r="Z76" s="135"/>
      <c r="AA76" s="135"/>
      <c r="AB76" s="135" t="s">
        <v>39</v>
      </c>
      <c r="AC76" s="142">
        <v>7</v>
      </c>
      <c r="AD76" s="135" t="s">
        <v>285</v>
      </c>
      <c r="AE76" s="135"/>
      <c r="AF76" s="135"/>
    </row>
    <row r="77" spans="1:32">
      <c r="A77" s="135">
        <v>60</v>
      </c>
      <c r="B77" s="136" t="s">
        <v>33</v>
      </c>
      <c r="C77" s="136" t="s">
        <v>876</v>
      </c>
      <c r="D77" s="136" t="s">
        <v>1007</v>
      </c>
      <c r="E77" s="136" t="s">
        <v>1010</v>
      </c>
      <c r="F77" s="136" t="s">
        <v>1011</v>
      </c>
      <c r="G77" s="136">
        <v>197.18</v>
      </c>
      <c r="H77" s="136">
        <v>192</v>
      </c>
      <c r="I77" s="136">
        <v>924</v>
      </c>
      <c r="J77" s="136">
        <v>484</v>
      </c>
      <c r="K77" s="136">
        <v>440</v>
      </c>
      <c r="L77" s="136">
        <v>260</v>
      </c>
      <c r="M77" s="135">
        <f t="shared" si="2"/>
        <v>28.138528138528141</v>
      </c>
      <c r="N77" s="136">
        <v>621</v>
      </c>
      <c r="O77" s="136">
        <f t="shared" si="3"/>
        <v>67.20779220779221</v>
      </c>
      <c r="P77" s="138">
        <v>5.03</v>
      </c>
      <c r="Q77" s="136">
        <v>0</v>
      </c>
      <c r="R77" s="135"/>
      <c r="S77" s="142"/>
      <c r="T77" s="135"/>
      <c r="U77" s="142">
        <v>14.02</v>
      </c>
      <c r="V77" s="135"/>
      <c r="W77" s="135"/>
      <c r="X77" s="135"/>
      <c r="Y77" s="135"/>
      <c r="Z77" s="135"/>
      <c r="AA77" s="135"/>
      <c r="AB77" s="135" t="s">
        <v>39</v>
      </c>
      <c r="AC77" s="142">
        <v>2</v>
      </c>
      <c r="AD77" s="135" t="s">
        <v>285</v>
      </c>
      <c r="AE77" s="135"/>
      <c r="AF77" s="135"/>
    </row>
    <row r="78" spans="1:32">
      <c r="A78" s="135">
        <v>61</v>
      </c>
      <c r="B78" s="136" t="s">
        <v>33</v>
      </c>
      <c r="C78" s="136" t="s">
        <v>876</v>
      </c>
      <c r="D78" s="136" t="s">
        <v>1007</v>
      </c>
      <c r="E78" s="136" t="s">
        <v>1012</v>
      </c>
      <c r="F78" s="136" t="s">
        <v>1013</v>
      </c>
      <c r="G78" s="136">
        <v>471.37</v>
      </c>
      <c r="H78" s="136">
        <v>77</v>
      </c>
      <c r="I78" s="136">
        <v>419</v>
      </c>
      <c r="J78" s="136">
        <v>230</v>
      </c>
      <c r="K78" s="136">
        <v>189</v>
      </c>
      <c r="L78" s="136">
        <v>37</v>
      </c>
      <c r="M78" s="135">
        <f t="shared" si="2"/>
        <v>8.8305489260143197</v>
      </c>
      <c r="N78" s="136">
        <v>362</v>
      </c>
      <c r="O78" s="136">
        <f t="shared" si="3"/>
        <v>86.396181384248209</v>
      </c>
      <c r="P78" s="138">
        <v>8.0299999999999994</v>
      </c>
      <c r="Q78" s="136">
        <v>0</v>
      </c>
      <c r="R78" s="135"/>
      <c r="S78" s="141"/>
      <c r="T78" s="135"/>
      <c r="U78" s="141"/>
      <c r="V78" s="135"/>
      <c r="W78" s="135"/>
      <c r="X78" s="135"/>
      <c r="Y78" s="135"/>
      <c r="Z78" s="135"/>
      <c r="AA78" s="135"/>
      <c r="AB78" s="135"/>
      <c r="AC78" s="141"/>
      <c r="AD78" s="135"/>
      <c r="AE78" s="135"/>
      <c r="AF78" s="135"/>
    </row>
    <row r="79" spans="1:32">
      <c r="A79" s="135">
        <v>62</v>
      </c>
      <c r="B79" s="136" t="s">
        <v>33</v>
      </c>
      <c r="C79" s="136" t="s">
        <v>876</v>
      </c>
      <c r="D79" s="136" t="s">
        <v>1007</v>
      </c>
      <c r="E79" s="136" t="s">
        <v>1014</v>
      </c>
      <c r="F79" s="136" t="s">
        <v>1015</v>
      </c>
      <c r="G79" s="136">
        <v>619.34</v>
      </c>
      <c r="H79" s="136">
        <v>239</v>
      </c>
      <c r="I79" s="136">
        <v>1293</v>
      </c>
      <c r="J79" s="136">
        <v>658</v>
      </c>
      <c r="K79" s="136">
        <v>635</v>
      </c>
      <c r="L79" s="136">
        <v>589</v>
      </c>
      <c r="M79" s="135">
        <f t="shared" si="2"/>
        <v>45.552977571539053</v>
      </c>
      <c r="N79" s="136">
        <v>0</v>
      </c>
      <c r="O79" s="136">
        <f t="shared" si="3"/>
        <v>0</v>
      </c>
      <c r="P79" s="138">
        <v>10.28</v>
      </c>
      <c r="Q79" s="136">
        <v>0</v>
      </c>
      <c r="R79" s="135"/>
      <c r="S79" s="141"/>
      <c r="T79" s="135"/>
      <c r="U79" s="141"/>
      <c r="V79" s="135"/>
      <c r="W79" s="135"/>
      <c r="X79" s="135"/>
      <c r="Y79" s="135"/>
      <c r="Z79" s="135"/>
      <c r="AA79" s="135"/>
      <c r="AB79" s="135"/>
      <c r="AC79" s="141"/>
      <c r="AD79" s="135"/>
      <c r="AE79" s="135"/>
      <c r="AF79" s="135"/>
    </row>
    <row r="80" spans="1:32">
      <c r="A80" s="135">
        <v>63</v>
      </c>
      <c r="B80" s="136" t="s">
        <v>33</v>
      </c>
      <c r="C80" s="136" t="s">
        <v>876</v>
      </c>
      <c r="D80" s="136" t="s">
        <v>1007</v>
      </c>
      <c r="E80" s="136" t="s">
        <v>1016</v>
      </c>
      <c r="F80" s="136" t="s">
        <v>1017</v>
      </c>
      <c r="G80" s="136">
        <v>240.6</v>
      </c>
      <c r="H80" s="136">
        <v>101</v>
      </c>
      <c r="I80" s="136">
        <v>499</v>
      </c>
      <c r="J80" s="136">
        <v>266</v>
      </c>
      <c r="K80" s="136">
        <v>233</v>
      </c>
      <c r="L80" s="136">
        <v>122</v>
      </c>
      <c r="M80" s="135">
        <f t="shared" si="2"/>
        <v>24.448897795591183</v>
      </c>
      <c r="N80" s="136">
        <v>229</v>
      </c>
      <c r="O80" s="136">
        <f t="shared" si="3"/>
        <v>45.891783567134269</v>
      </c>
      <c r="P80" s="138">
        <v>3.64</v>
      </c>
      <c r="Q80" s="136">
        <v>0</v>
      </c>
      <c r="R80" s="135"/>
      <c r="S80" s="142"/>
      <c r="T80" s="135"/>
      <c r="U80" s="142">
        <v>1.87</v>
      </c>
      <c r="V80" s="135"/>
      <c r="W80" s="135"/>
      <c r="X80" s="135"/>
      <c r="Y80" s="135"/>
      <c r="Z80" s="135"/>
      <c r="AA80" s="135"/>
      <c r="AB80" s="135" t="s">
        <v>39</v>
      </c>
      <c r="AC80" s="142">
        <v>5</v>
      </c>
      <c r="AD80" s="135" t="s">
        <v>285</v>
      </c>
      <c r="AE80" s="135"/>
      <c r="AF80" s="135"/>
    </row>
    <row r="81" spans="1:32">
      <c r="A81" s="135">
        <v>64</v>
      </c>
      <c r="B81" s="136" t="s">
        <v>33</v>
      </c>
      <c r="C81" s="136" t="s">
        <v>876</v>
      </c>
      <c r="D81" s="136" t="s">
        <v>1007</v>
      </c>
      <c r="E81" s="136" t="s">
        <v>1018</v>
      </c>
      <c r="F81" s="136" t="s">
        <v>1019</v>
      </c>
      <c r="G81" s="136">
        <v>461.25</v>
      </c>
      <c r="H81" s="136">
        <v>114</v>
      </c>
      <c r="I81" s="136">
        <v>511</v>
      </c>
      <c r="J81" s="136">
        <v>270</v>
      </c>
      <c r="K81" s="136">
        <v>241</v>
      </c>
      <c r="L81" s="136">
        <v>0</v>
      </c>
      <c r="M81" s="135">
        <f t="shared" si="2"/>
        <v>0</v>
      </c>
      <c r="N81" s="136">
        <v>477</v>
      </c>
      <c r="O81" s="136">
        <f t="shared" si="3"/>
        <v>93.346379647749515</v>
      </c>
      <c r="P81" s="138">
        <v>25.76</v>
      </c>
      <c r="Q81" s="136">
        <v>0</v>
      </c>
      <c r="R81" s="135"/>
      <c r="S81" s="142"/>
      <c r="T81" s="135"/>
      <c r="U81" s="142">
        <v>24.76</v>
      </c>
      <c r="V81" s="135"/>
      <c r="W81" s="135"/>
      <c r="X81" s="135"/>
      <c r="Y81" s="135"/>
      <c r="Z81" s="135"/>
      <c r="AA81" s="135"/>
      <c r="AB81" s="135" t="s">
        <v>39</v>
      </c>
      <c r="AC81" s="142">
        <v>3</v>
      </c>
      <c r="AD81" s="135" t="s">
        <v>285</v>
      </c>
      <c r="AE81" s="135"/>
      <c r="AF81" s="135"/>
    </row>
    <row r="82" spans="1:32">
      <c r="A82" s="135">
        <v>65</v>
      </c>
      <c r="B82" s="136" t="s">
        <v>33</v>
      </c>
      <c r="C82" s="136" t="s">
        <v>876</v>
      </c>
      <c r="D82" s="136" t="s">
        <v>256</v>
      </c>
      <c r="E82" s="137" t="s">
        <v>257</v>
      </c>
      <c r="F82" s="136" t="s">
        <v>1020</v>
      </c>
      <c r="G82" s="136">
        <v>864.04</v>
      </c>
      <c r="H82" s="136">
        <v>390</v>
      </c>
      <c r="I82" s="136">
        <v>1979</v>
      </c>
      <c r="J82" s="136">
        <v>1023</v>
      </c>
      <c r="K82" s="136">
        <v>956</v>
      </c>
      <c r="L82" s="136">
        <v>325</v>
      </c>
      <c r="M82" s="135">
        <f t="shared" si="2"/>
        <v>16.42243557352198</v>
      </c>
      <c r="N82" s="136">
        <v>1314</v>
      </c>
      <c r="O82" s="136">
        <f t="shared" si="3"/>
        <v>66.397170288024256</v>
      </c>
      <c r="P82" s="138">
        <v>42.38</v>
      </c>
      <c r="Q82" s="136">
        <v>0</v>
      </c>
      <c r="R82" s="135" t="s">
        <v>39</v>
      </c>
      <c r="S82" s="114" t="s">
        <v>313</v>
      </c>
      <c r="T82" s="135"/>
      <c r="U82" s="142">
        <v>42.38</v>
      </c>
      <c r="V82" s="135"/>
      <c r="W82" s="135"/>
      <c r="X82" s="135"/>
      <c r="Y82" s="135"/>
      <c r="Z82" s="135"/>
      <c r="AA82" s="135"/>
      <c r="AB82" s="135" t="s">
        <v>39</v>
      </c>
      <c r="AC82" s="142">
        <v>11</v>
      </c>
      <c r="AD82" s="135" t="s">
        <v>285</v>
      </c>
      <c r="AE82" s="135"/>
      <c r="AF82" s="135"/>
    </row>
    <row r="83" spans="1:32">
      <c r="A83" s="135">
        <v>66</v>
      </c>
      <c r="B83" s="136" t="s">
        <v>33</v>
      </c>
      <c r="C83" s="136" t="s">
        <v>876</v>
      </c>
      <c r="D83" s="136" t="s">
        <v>256</v>
      </c>
      <c r="E83" s="136" t="s">
        <v>1021</v>
      </c>
      <c r="F83" s="136" t="s">
        <v>1022</v>
      </c>
      <c r="G83" s="136">
        <v>362.85</v>
      </c>
      <c r="H83" s="136">
        <v>86</v>
      </c>
      <c r="I83" s="136">
        <v>422</v>
      </c>
      <c r="J83" s="136">
        <v>216</v>
      </c>
      <c r="K83" s="136">
        <v>206</v>
      </c>
      <c r="L83" s="136">
        <v>13</v>
      </c>
      <c r="M83" s="135">
        <f t="shared" si="2"/>
        <v>3.080568720379147</v>
      </c>
      <c r="N83" s="136">
        <v>355</v>
      </c>
      <c r="O83" s="136">
        <f t="shared" si="3"/>
        <v>84.123222748815166</v>
      </c>
      <c r="P83" s="138">
        <v>14.58</v>
      </c>
      <c r="Q83" s="136">
        <v>0</v>
      </c>
      <c r="R83" s="135"/>
      <c r="S83" s="141"/>
      <c r="T83" s="135"/>
      <c r="U83" s="141"/>
      <c r="V83" s="135"/>
      <c r="W83" s="135"/>
      <c r="X83" s="135"/>
      <c r="Y83" s="135"/>
      <c r="Z83" s="135"/>
      <c r="AA83" s="135"/>
      <c r="AB83" s="135"/>
      <c r="AC83" s="141"/>
      <c r="AD83" s="135"/>
      <c r="AE83" s="135"/>
      <c r="AF83" s="135"/>
    </row>
    <row r="84" spans="1:32">
      <c r="A84" s="135">
        <v>67</v>
      </c>
      <c r="B84" s="136" t="s">
        <v>33</v>
      </c>
      <c r="C84" s="136" t="s">
        <v>876</v>
      </c>
      <c r="D84" s="136" t="s">
        <v>256</v>
      </c>
      <c r="E84" s="136" t="s">
        <v>1023</v>
      </c>
      <c r="F84" s="136" t="s">
        <v>1024</v>
      </c>
      <c r="G84" s="136">
        <v>392.8</v>
      </c>
      <c r="H84" s="136">
        <v>96</v>
      </c>
      <c r="I84" s="136">
        <v>535</v>
      </c>
      <c r="J84" s="136">
        <v>276</v>
      </c>
      <c r="K84" s="136">
        <v>259</v>
      </c>
      <c r="L84" s="136">
        <v>115</v>
      </c>
      <c r="M84" s="135">
        <f t="shared" si="2"/>
        <v>21.495327102803738</v>
      </c>
      <c r="N84" s="136">
        <v>381</v>
      </c>
      <c r="O84" s="136">
        <f t="shared" si="3"/>
        <v>71.214953271028037</v>
      </c>
      <c r="P84" s="138">
        <v>17.93</v>
      </c>
      <c r="Q84" s="136">
        <v>0</v>
      </c>
      <c r="R84" s="135"/>
      <c r="S84" s="141"/>
      <c r="T84" s="135"/>
      <c r="U84" s="141"/>
      <c r="V84" s="135"/>
      <c r="W84" s="135"/>
      <c r="X84" s="135"/>
      <c r="Y84" s="135"/>
      <c r="Z84" s="135"/>
      <c r="AA84" s="135"/>
      <c r="AB84" s="135"/>
      <c r="AC84" s="141"/>
      <c r="AD84" s="135"/>
      <c r="AE84" s="135"/>
      <c r="AF84" s="135"/>
    </row>
    <row r="85" spans="1:32">
      <c r="A85" s="135">
        <v>68</v>
      </c>
      <c r="B85" s="136" t="s">
        <v>33</v>
      </c>
      <c r="C85" s="136" t="s">
        <v>876</v>
      </c>
      <c r="D85" s="136" t="s">
        <v>256</v>
      </c>
      <c r="E85" s="136" t="s">
        <v>1025</v>
      </c>
      <c r="F85" s="136" t="s">
        <v>1026</v>
      </c>
      <c r="G85" s="136">
        <v>325.43</v>
      </c>
      <c r="H85" s="136">
        <v>130</v>
      </c>
      <c r="I85" s="136">
        <v>562</v>
      </c>
      <c r="J85" s="136">
        <v>304</v>
      </c>
      <c r="K85" s="136">
        <v>258</v>
      </c>
      <c r="L85" s="136">
        <v>256</v>
      </c>
      <c r="M85" s="135">
        <f t="shared" si="2"/>
        <v>45.55160142348754</v>
      </c>
      <c r="N85" s="136">
        <v>119</v>
      </c>
      <c r="O85" s="136">
        <f t="shared" si="3"/>
        <v>21.17437722419929</v>
      </c>
      <c r="P85" s="138">
        <v>0</v>
      </c>
      <c r="Q85" s="136">
        <v>0</v>
      </c>
      <c r="R85" s="135" t="s">
        <v>39</v>
      </c>
      <c r="S85" s="114" t="s">
        <v>313</v>
      </c>
      <c r="T85" s="135"/>
      <c r="U85" s="139"/>
      <c r="V85" s="135"/>
      <c r="W85" s="135"/>
      <c r="X85" s="135"/>
      <c r="Y85" s="135"/>
      <c r="Z85" s="135"/>
      <c r="AA85" s="135"/>
      <c r="AB85" s="135" t="s">
        <v>39</v>
      </c>
      <c r="AC85" s="139">
        <v>8</v>
      </c>
      <c r="AD85" s="135" t="s">
        <v>285</v>
      </c>
      <c r="AE85" s="135"/>
      <c r="AF85" s="135"/>
    </row>
    <row r="86" spans="1:32">
      <c r="A86" s="135">
        <v>69</v>
      </c>
      <c r="B86" s="136" t="s">
        <v>33</v>
      </c>
      <c r="C86" s="136" t="s">
        <v>876</v>
      </c>
      <c r="D86" s="136" t="s">
        <v>256</v>
      </c>
      <c r="E86" s="136" t="s">
        <v>1027</v>
      </c>
      <c r="F86" s="136" t="s">
        <v>1028</v>
      </c>
      <c r="G86" s="136">
        <v>396.9</v>
      </c>
      <c r="H86" s="136">
        <v>71</v>
      </c>
      <c r="I86" s="136">
        <v>381</v>
      </c>
      <c r="J86" s="136">
        <v>195</v>
      </c>
      <c r="K86" s="136">
        <v>186</v>
      </c>
      <c r="L86" s="136">
        <v>13</v>
      </c>
      <c r="M86" s="135">
        <f t="shared" si="2"/>
        <v>3.4120734908136483</v>
      </c>
      <c r="N86" s="136">
        <v>363</v>
      </c>
      <c r="O86" s="136">
        <f t="shared" si="3"/>
        <v>95.275590551181097</v>
      </c>
      <c r="P86" s="138">
        <v>0.87</v>
      </c>
      <c r="Q86" s="136">
        <v>0</v>
      </c>
      <c r="R86" s="135"/>
      <c r="S86" s="141"/>
      <c r="T86" s="135"/>
      <c r="U86" s="141"/>
      <c r="V86" s="135"/>
      <c r="W86" s="135"/>
      <c r="X86" s="135"/>
      <c r="Y86" s="135"/>
      <c r="Z86" s="135"/>
      <c r="AA86" s="135"/>
      <c r="AB86" s="135"/>
      <c r="AC86" s="141"/>
      <c r="AD86" s="135"/>
      <c r="AE86" s="135"/>
      <c r="AF86" s="135"/>
    </row>
    <row r="87" spans="1:32">
      <c r="A87" s="135">
        <v>70</v>
      </c>
      <c r="B87" s="136" t="s">
        <v>33</v>
      </c>
      <c r="C87" s="136" t="s">
        <v>876</v>
      </c>
      <c r="D87" s="136" t="s">
        <v>256</v>
      </c>
      <c r="E87" s="136" t="s">
        <v>1029</v>
      </c>
      <c r="F87" s="136" t="s">
        <v>1030</v>
      </c>
      <c r="G87" s="136">
        <v>470.14</v>
      </c>
      <c r="H87" s="136">
        <v>176</v>
      </c>
      <c r="I87" s="136">
        <v>927</v>
      </c>
      <c r="J87" s="136">
        <v>471</v>
      </c>
      <c r="K87" s="136">
        <v>456</v>
      </c>
      <c r="L87" s="136">
        <v>220</v>
      </c>
      <c r="M87" s="135">
        <f t="shared" si="2"/>
        <v>23.732470334412081</v>
      </c>
      <c r="N87" s="136">
        <v>492</v>
      </c>
      <c r="O87" s="136">
        <f t="shared" si="3"/>
        <v>53.074433656957929</v>
      </c>
      <c r="P87" s="138">
        <v>19.73</v>
      </c>
      <c r="Q87" s="136">
        <v>0</v>
      </c>
      <c r="R87" s="135" t="s">
        <v>39</v>
      </c>
      <c r="S87" s="114" t="s">
        <v>313</v>
      </c>
      <c r="T87" s="135"/>
      <c r="U87" s="139">
        <v>19.57</v>
      </c>
      <c r="V87" s="135"/>
      <c r="W87" s="135"/>
      <c r="X87" s="135"/>
      <c r="Y87" s="135"/>
      <c r="Z87" s="135"/>
      <c r="AA87" s="135"/>
      <c r="AB87" s="135" t="s">
        <v>39</v>
      </c>
      <c r="AC87" s="139">
        <v>11</v>
      </c>
      <c r="AD87" s="135" t="s">
        <v>285</v>
      </c>
      <c r="AE87" s="135"/>
      <c r="AF87" s="135"/>
    </row>
    <row r="88" spans="1:32">
      <c r="A88" s="135">
        <v>71</v>
      </c>
      <c r="B88" s="136" t="s">
        <v>33</v>
      </c>
      <c r="C88" s="136" t="s">
        <v>876</v>
      </c>
      <c r="D88" s="136" t="s">
        <v>1031</v>
      </c>
      <c r="E88" s="137" t="s">
        <v>638</v>
      </c>
      <c r="F88" s="136" t="s">
        <v>1032</v>
      </c>
      <c r="G88" s="136">
        <v>682.95</v>
      </c>
      <c r="H88" s="136">
        <v>257</v>
      </c>
      <c r="I88" s="136">
        <v>1373</v>
      </c>
      <c r="J88" s="136">
        <v>705</v>
      </c>
      <c r="K88" s="136">
        <v>668</v>
      </c>
      <c r="L88" s="136">
        <v>375</v>
      </c>
      <c r="M88" s="135">
        <f t="shared" si="2"/>
        <v>27.312454479242536</v>
      </c>
      <c r="N88" s="136">
        <v>170</v>
      </c>
      <c r="O88" s="136">
        <f t="shared" si="3"/>
        <v>12.381646030589948</v>
      </c>
      <c r="P88" s="138">
        <v>48.4</v>
      </c>
      <c r="Q88" s="136">
        <v>83.64</v>
      </c>
      <c r="R88" s="135"/>
      <c r="S88" s="135"/>
      <c r="T88" s="135"/>
      <c r="U88" s="143">
        <v>44.69</v>
      </c>
      <c r="V88" s="135"/>
      <c r="W88" s="135"/>
      <c r="X88" s="135"/>
      <c r="Y88" s="135"/>
      <c r="Z88" s="135"/>
      <c r="AA88" s="135"/>
      <c r="AB88" s="135" t="s">
        <v>39</v>
      </c>
      <c r="AC88" s="143">
        <v>8</v>
      </c>
      <c r="AD88" s="135" t="s">
        <v>285</v>
      </c>
      <c r="AE88" s="135"/>
      <c r="AF88" s="135"/>
    </row>
    <row r="89" spans="1:32">
      <c r="A89" s="135">
        <v>72</v>
      </c>
      <c r="B89" s="136" t="s">
        <v>33</v>
      </c>
      <c r="C89" s="136" t="s">
        <v>876</v>
      </c>
      <c r="D89" s="136" t="s">
        <v>1031</v>
      </c>
      <c r="E89" s="136" t="s">
        <v>1033</v>
      </c>
      <c r="F89" s="136" t="s">
        <v>1034</v>
      </c>
      <c r="G89" s="136">
        <v>139.97</v>
      </c>
      <c r="H89" s="136">
        <v>20</v>
      </c>
      <c r="I89" s="136">
        <v>110</v>
      </c>
      <c r="J89" s="136">
        <v>58</v>
      </c>
      <c r="K89" s="136">
        <v>52</v>
      </c>
      <c r="L89" s="136">
        <v>0</v>
      </c>
      <c r="M89" s="135">
        <f t="shared" si="2"/>
        <v>0</v>
      </c>
      <c r="N89" s="136">
        <v>0</v>
      </c>
      <c r="O89" s="136">
        <f t="shared" si="3"/>
        <v>0</v>
      </c>
      <c r="P89" s="138">
        <v>0</v>
      </c>
      <c r="Q89" s="136">
        <v>91.04</v>
      </c>
      <c r="R89" s="135"/>
      <c r="S89" s="135"/>
      <c r="T89" s="135"/>
      <c r="U89" s="141"/>
      <c r="V89" s="135"/>
      <c r="W89" s="135"/>
      <c r="X89" s="135"/>
      <c r="Y89" s="135"/>
      <c r="Z89" s="135"/>
      <c r="AA89" s="135"/>
      <c r="AB89" s="135"/>
      <c r="AC89" s="141"/>
      <c r="AD89" s="135"/>
      <c r="AE89" s="135"/>
      <c r="AF89" s="135"/>
    </row>
    <row r="90" spans="1:32">
      <c r="A90" s="135">
        <v>73</v>
      </c>
      <c r="B90" s="136" t="s">
        <v>33</v>
      </c>
      <c r="C90" s="136" t="s">
        <v>876</v>
      </c>
      <c r="D90" s="136" t="s">
        <v>1031</v>
      </c>
      <c r="E90" s="136" t="s">
        <v>1035</v>
      </c>
      <c r="F90" s="136" t="s">
        <v>1036</v>
      </c>
      <c r="G90" s="136">
        <v>513.76</v>
      </c>
      <c r="H90" s="136">
        <v>69</v>
      </c>
      <c r="I90" s="136">
        <v>351</v>
      </c>
      <c r="J90" s="136">
        <v>172</v>
      </c>
      <c r="K90" s="136">
        <v>179</v>
      </c>
      <c r="L90" s="136">
        <v>48</v>
      </c>
      <c r="M90" s="135">
        <f t="shared" si="2"/>
        <v>13.675213675213676</v>
      </c>
      <c r="N90" s="136">
        <v>224</v>
      </c>
      <c r="O90" s="136">
        <f t="shared" si="3"/>
        <v>63.817663817663814</v>
      </c>
      <c r="P90" s="138">
        <v>8.1999999999999993</v>
      </c>
      <c r="Q90" s="135"/>
      <c r="R90" s="135"/>
      <c r="S90" s="135"/>
      <c r="T90" s="135"/>
      <c r="U90" s="143"/>
      <c r="V90" s="135"/>
      <c r="W90" s="135"/>
      <c r="X90" s="135"/>
      <c r="Y90" s="135"/>
      <c r="Z90" s="135"/>
      <c r="AA90" s="135"/>
      <c r="AB90" s="135"/>
      <c r="AC90" s="143"/>
      <c r="AD90" s="135"/>
      <c r="AE90" s="135"/>
      <c r="AF90" s="135"/>
    </row>
    <row r="91" spans="1:32">
      <c r="A91" s="135">
        <v>74</v>
      </c>
      <c r="B91" s="136" t="s">
        <v>33</v>
      </c>
      <c r="C91" s="136" t="s">
        <v>876</v>
      </c>
      <c r="D91" s="136" t="s">
        <v>1031</v>
      </c>
      <c r="E91" s="136" t="s">
        <v>1037</v>
      </c>
      <c r="F91" s="136" t="s">
        <v>1038</v>
      </c>
      <c r="G91" s="136">
        <v>468.95</v>
      </c>
      <c r="H91" s="136">
        <v>171</v>
      </c>
      <c r="I91" s="136">
        <v>804</v>
      </c>
      <c r="J91" s="136">
        <v>397</v>
      </c>
      <c r="K91" s="136">
        <v>407</v>
      </c>
      <c r="L91" s="136">
        <v>183</v>
      </c>
      <c r="M91" s="135">
        <f t="shared" si="2"/>
        <v>22.761194029850746</v>
      </c>
      <c r="N91" s="136">
        <v>418</v>
      </c>
      <c r="O91" s="136">
        <f t="shared" si="3"/>
        <v>51.990049751243781</v>
      </c>
      <c r="P91" s="138">
        <v>27.89</v>
      </c>
      <c r="Q91" s="135"/>
      <c r="R91" s="135"/>
      <c r="S91" s="135"/>
      <c r="T91" s="135"/>
      <c r="U91" s="143">
        <v>27.69</v>
      </c>
      <c r="V91" s="135"/>
      <c r="W91" s="135"/>
      <c r="X91" s="135"/>
      <c r="Y91" s="135"/>
      <c r="Z91" s="135"/>
      <c r="AA91" s="135"/>
      <c r="AB91" s="135" t="s">
        <v>39</v>
      </c>
      <c r="AC91" s="143">
        <v>5</v>
      </c>
      <c r="AD91" s="135" t="s">
        <v>285</v>
      </c>
      <c r="AE91" s="135"/>
      <c r="AF91" s="135"/>
    </row>
    <row r="92" spans="1:32">
      <c r="A92" s="135">
        <v>75</v>
      </c>
      <c r="B92" s="136" t="s">
        <v>33</v>
      </c>
      <c r="C92" s="136" t="s">
        <v>876</v>
      </c>
      <c r="D92" s="136" t="s">
        <v>1031</v>
      </c>
      <c r="E92" s="136" t="s">
        <v>624</v>
      </c>
      <c r="F92" s="136" t="s">
        <v>1039</v>
      </c>
      <c r="G92" s="136">
        <v>157.58000000000001</v>
      </c>
      <c r="H92" s="136">
        <v>0</v>
      </c>
      <c r="I92" s="136">
        <v>0</v>
      </c>
      <c r="J92" s="136">
        <v>0</v>
      </c>
      <c r="K92" s="136">
        <v>0</v>
      </c>
      <c r="L92" s="136">
        <v>0</v>
      </c>
      <c r="M92" s="135" t="e">
        <f t="shared" si="2"/>
        <v>#DIV/0!</v>
      </c>
      <c r="N92" s="136">
        <v>0</v>
      </c>
      <c r="O92" s="136" t="e">
        <f t="shared" si="3"/>
        <v>#DIV/0!</v>
      </c>
      <c r="P92" s="138">
        <v>0</v>
      </c>
      <c r="Q92" s="135"/>
      <c r="R92" s="135"/>
      <c r="S92" s="135"/>
      <c r="T92" s="135"/>
      <c r="U92" s="141"/>
      <c r="V92" s="135"/>
      <c r="W92" s="135"/>
      <c r="X92" s="135"/>
      <c r="Y92" s="135"/>
      <c r="Z92" s="135"/>
      <c r="AA92" s="135"/>
      <c r="AB92" s="135"/>
      <c r="AC92" s="141"/>
      <c r="AD92" s="135"/>
      <c r="AE92" s="135"/>
      <c r="AF92" s="135"/>
    </row>
    <row r="93" spans="1:32">
      <c r="A93" s="135">
        <v>76</v>
      </c>
      <c r="B93" s="136" t="s">
        <v>33</v>
      </c>
      <c r="C93" s="136" t="s">
        <v>876</v>
      </c>
      <c r="D93" s="136" t="s">
        <v>1031</v>
      </c>
      <c r="E93" s="136" t="s">
        <v>1040</v>
      </c>
      <c r="F93" s="136" t="s">
        <v>1041</v>
      </c>
      <c r="G93" s="136">
        <v>971.46</v>
      </c>
      <c r="H93" s="136">
        <v>192</v>
      </c>
      <c r="I93" s="136">
        <v>1060</v>
      </c>
      <c r="J93" s="136">
        <v>542</v>
      </c>
      <c r="K93" s="136">
        <v>518</v>
      </c>
      <c r="L93" s="136">
        <v>95</v>
      </c>
      <c r="M93" s="135">
        <f t="shared" si="2"/>
        <v>8.9622641509433958</v>
      </c>
      <c r="N93" s="136">
        <v>0</v>
      </c>
      <c r="O93" s="136">
        <f t="shared" si="3"/>
        <v>0</v>
      </c>
      <c r="P93" s="138">
        <v>37.22</v>
      </c>
      <c r="Q93" s="135"/>
      <c r="R93" s="135"/>
      <c r="S93" s="135"/>
      <c r="T93" s="135"/>
      <c r="U93" s="143">
        <v>30.84</v>
      </c>
      <c r="V93" s="135"/>
      <c r="W93" s="135"/>
      <c r="X93" s="135"/>
      <c r="Y93" s="135"/>
      <c r="Z93" s="135"/>
      <c r="AA93" s="135"/>
      <c r="AB93" s="135" t="s">
        <v>39</v>
      </c>
      <c r="AC93" s="143">
        <v>4</v>
      </c>
      <c r="AD93" s="135" t="s">
        <v>285</v>
      </c>
      <c r="AE93" s="135"/>
      <c r="AF93" s="135"/>
    </row>
    <row r="94" spans="1:32">
      <c r="A94" s="135">
        <v>77</v>
      </c>
      <c r="B94" s="136" t="s">
        <v>33</v>
      </c>
      <c r="C94" s="136" t="s">
        <v>876</v>
      </c>
      <c r="D94" s="136" t="s">
        <v>1031</v>
      </c>
      <c r="E94" s="136" t="s">
        <v>1042</v>
      </c>
      <c r="F94" s="136" t="s">
        <v>1043</v>
      </c>
      <c r="G94" s="136">
        <v>193.29</v>
      </c>
      <c r="H94" s="136">
        <v>0</v>
      </c>
      <c r="I94" s="136">
        <v>0</v>
      </c>
      <c r="J94" s="136">
        <v>0</v>
      </c>
      <c r="K94" s="136">
        <v>0</v>
      </c>
      <c r="L94" s="136">
        <v>0</v>
      </c>
      <c r="M94" s="135" t="e">
        <f t="shared" si="2"/>
        <v>#DIV/0!</v>
      </c>
      <c r="N94" s="136">
        <v>0</v>
      </c>
      <c r="O94" s="136" t="e">
        <f t="shared" si="3"/>
        <v>#DIV/0!</v>
      </c>
      <c r="P94" s="138">
        <v>0</v>
      </c>
      <c r="Q94" s="135"/>
      <c r="R94" s="135"/>
      <c r="S94" s="135"/>
      <c r="T94" s="135"/>
      <c r="U94" s="141"/>
      <c r="V94" s="135"/>
      <c r="W94" s="135"/>
      <c r="X94" s="135"/>
      <c r="Y94" s="135"/>
      <c r="Z94" s="135"/>
      <c r="AA94" s="135"/>
      <c r="AB94" s="135"/>
      <c r="AC94" s="141"/>
      <c r="AD94" s="135"/>
      <c r="AE94" s="135"/>
      <c r="AF94" s="135"/>
    </row>
    <row r="95" spans="1:32">
      <c r="A95" s="135">
        <v>78</v>
      </c>
      <c r="B95" s="136" t="s">
        <v>33</v>
      </c>
      <c r="C95" s="136" t="s">
        <v>876</v>
      </c>
      <c r="D95" s="136" t="s">
        <v>1031</v>
      </c>
      <c r="E95" s="136" t="s">
        <v>1044</v>
      </c>
      <c r="F95" s="136" t="s">
        <v>1045</v>
      </c>
      <c r="G95" s="136">
        <v>319.64</v>
      </c>
      <c r="H95" s="136">
        <v>0</v>
      </c>
      <c r="I95" s="136">
        <v>0</v>
      </c>
      <c r="J95" s="136">
        <v>0</v>
      </c>
      <c r="K95" s="136">
        <v>0</v>
      </c>
      <c r="L95" s="136">
        <v>0</v>
      </c>
      <c r="M95" s="135" t="e">
        <f t="shared" si="2"/>
        <v>#DIV/0!</v>
      </c>
      <c r="N95" s="136">
        <v>0</v>
      </c>
      <c r="O95" s="136" t="e">
        <f t="shared" si="3"/>
        <v>#DIV/0!</v>
      </c>
      <c r="P95" s="138">
        <v>0</v>
      </c>
      <c r="Q95" s="135"/>
      <c r="R95" s="135"/>
      <c r="S95" s="135"/>
      <c r="T95" s="135"/>
      <c r="U95" s="141"/>
      <c r="V95" s="135"/>
      <c r="W95" s="135"/>
      <c r="X95" s="135"/>
      <c r="Y95" s="135"/>
      <c r="Z95" s="135"/>
      <c r="AA95" s="135"/>
      <c r="AB95" s="135"/>
      <c r="AC95" s="141"/>
      <c r="AD95" s="135"/>
      <c r="AE95" s="135"/>
      <c r="AF95" s="135"/>
    </row>
    <row r="96" spans="1:32">
      <c r="A96" s="135">
        <v>79</v>
      </c>
      <c r="B96" s="136" t="s">
        <v>33</v>
      </c>
      <c r="C96" s="136" t="s">
        <v>876</v>
      </c>
      <c r="D96" s="136" t="s">
        <v>1031</v>
      </c>
      <c r="E96" s="136" t="s">
        <v>1046</v>
      </c>
      <c r="F96" s="136" t="s">
        <v>1047</v>
      </c>
      <c r="G96" s="136">
        <v>224.93</v>
      </c>
      <c r="H96" s="136">
        <v>0</v>
      </c>
      <c r="I96" s="136">
        <v>0</v>
      </c>
      <c r="J96" s="136">
        <v>0</v>
      </c>
      <c r="K96" s="136">
        <v>0</v>
      </c>
      <c r="L96" s="136">
        <v>0</v>
      </c>
      <c r="M96" s="135" t="e">
        <f t="shared" si="2"/>
        <v>#DIV/0!</v>
      </c>
      <c r="N96" s="136">
        <v>0</v>
      </c>
      <c r="O96" s="136" t="e">
        <f t="shared" si="3"/>
        <v>#DIV/0!</v>
      </c>
      <c r="P96" s="138">
        <v>0</v>
      </c>
      <c r="Q96" s="135"/>
      <c r="R96" s="135"/>
      <c r="S96" s="135"/>
      <c r="T96" s="135"/>
      <c r="U96" s="141"/>
      <c r="V96" s="135"/>
      <c r="W96" s="135"/>
      <c r="X96" s="135"/>
      <c r="Y96" s="135"/>
      <c r="Z96" s="135"/>
      <c r="AA96" s="135"/>
      <c r="AB96" s="135"/>
      <c r="AC96" s="141"/>
      <c r="AD96" s="135"/>
      <c r="AE96" s="135"/>
      <c r="AF96" s="135"/>
    </row>
    <row r="97" spans="1:32" s="33" customFormat="1">
      <c r="A97" s="145"/>
      <c r="B97" s="145"/>
      <c r="C97" s="145"/>
      <c r="D97" s="145"/>
      <c r="E97" s="145"/>
      <c r="F97" s="145"/>
      <c r="G97" s="146"/>
      <c r="H97" s="146"/>
      <c r="I97" s="146"/>
      <c r="J97" s="146"/>
      <c r="K97" s="146"/>
      <c r="L97" s="146"/>
      <c r="M97" s="145"/>
      <c r="N97" s="146"/>
      <c r="O97" s="145"/>
      <c r="P97" s="147"/>
      <c r="Q97" s="135"/>
      <c r="R97" s="145"/>
      <c r="S97" s="145"/>
      <c r="T97" s="145"/>
      <c r="U97" s="148"/>
      <c r="V97" s="145"/>
      <c r="W97" s="145"/>
      <c r="X97" s="145"/>
      <c r="Y97" s="145"/>
      <c r="Z97" s="145"/>
      <c r="AA97" s="145"/>
      <c r="AB97" s="145"/>
      <c r="AC97" s="149"/>
      <c r="AD97" s="145"/>
      <c r="AE97" s="145"/>
      <c r="AF97" s="145"/>
    </row>
  </sheetData>
  <mergeCells count="3">
    <mergeCell ref="L2:M2"/>
    <mergeCell ref="N2:O2"/>
    <mergeCell ref="AE2:AF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21"/>
  <sheetViews>
    <sheetView workbookViewId="0">
      <selection activeCell="A5" sqref="A5"/>
    </sheetView>
  </sheetViews>
  <sheetFormatPr defaultRowHeight="15"/>
  <cols>
    <col min="1" max="1" width="9.140625" bestFit="1" customWidth="1"/>
    <col min="4" max="4" width="12.42578125" customWidth="1"/>
    <col min="7" max="14" width="9.140625" bestFit="1" customWidth="1"/>
    <col min="15" max="15" width="12.7109375" bestFit="1" customWidth="1"/>
    <col min="16" max="16" width="9.140625" style="244" bestFit="1" customWidth="1"/>
    <col min="17" max="17" width="9.140625" bestFit="1" customWidth="1"/>
    <col min="19" max="19" width="14.7109375" customWidth="1"/>
    <col min="21" max="21" width="9.140625" bestFit="1" customWidth="1"/>
    <col min="29" max="29" width="9.140625" bestFit="1" customWidth="1"/>
    <col min="30" max="30" width="18.140625" style="246" customWidth="1"/>
    <col min="31" max="32" width="15.7109375" customWidth="1"/>
  </cols>
  <sheetData>
    <row r="1" spans="1:32">
      <c r="A1" s="90"/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1"/>
      <c r="Q1" s="91"/>
      <c r="R1" s="92" t="s">
        <v>0</v>
      </c>
      <c r="S1" s="92" t="s">
        <v>0</v>
      </c>
      <c r="T1" s="92" t="s">
        <v>1</v>
      </c>
      <c r="U1" s="93" t="s">
        <v>2</v>
      </c>
      <c r="V1" s="92" t="s">
        <v>2</v>
      </c>
      <c r="W1" s="92" t="s">
        <v>2</v>
      </c>
      <c r="X1" s="92" t="s">
        <v>2</v>
      </c>
      <c r="Y1" s="92" t="s">
        <v>2</v>
      </c>
      <c r="Z1" s="92" t="s">
        <v>2</v>
      </c>
      <c r="AA1" s="90" t="s">
        <v>3</v>
      </c>
      <c r="AB1" s="90" t="s">
        <v>3</v>
      </c>
      <c r="AC1" s="90" t="s">
        <v>3</v>
      </c>
      <c r="AD1" s="247" t="s">
        <v>3</v>
      </c>
      <c r="AE1" s="12" t="s">
        <v>3</v>
      </c>
      <c r="AF1" s="12" t="s">
        <v>3</v>
      </c>
    </row>
    <row r="2" spans="1:32" ht="127.5">
      <c r="A2" s="94" t="s">
        <v>4</v>
      </c>
      <c r="B2" s="95" t="s">
        <v>5</v>
      </c>
      <c r="C2" s="95" t="s">
        <v>6</v>
      </c>
      <c r="D2" s="95" t="s">
        <v>7</v>
      </c>
      <c r="E2" s="95" t="s">
        <v>8</v>
      </c>
      <c r="F2" s="95" t="s">
        <v>9</v>
      </c>
      <c r="G2" s="95" t="s">
        <v>10</v>
      </c>
      <c r="H2" s="95" t="s">
        <v>11</v>
      </c>
      <c r="I2" s="95" t="s">
        <v>12</v>
      </c>
      <c r="J2" s="95" t="s">
        <v>13</v>
      </c>
      <c r="K2" s="95" t="s">
        <v>14</v>
      </c>
      <c r="L2" s="384" t="s">
        <v>15</v>
      </c>
      <c r="M2" s="384"/>
      <c r="N2" s="384" t="s">
        <v>16</v>
      </c>
      <c r="O2" s="384"/>
      <c r="P2" s="96" t="s">
        <v>17</v>
      </c>
      <c r="Q2" s="95" t="s">
        <v>18</v>
      </c>
      <c r="R2" s="95" t="s">
        <v>19</v>
      </c>
      <c r="S2" s="95" t="s">
        <v>20</v>
      </c>
      <c r="T2" s="95" t="s">
        <v>21</v>
      </c>
      <c r="U2" s="97" t="s">
        <v>22</v>
      </c>
      <c r="V2" s="95" t="s">
        <v>23</v>
      </c>
      <c r="W2" s="97" t="s">
        <v>24</v>
      </c>
      <c r="X2" s="95" t="s">
        <v>25</v>
      </c>
      <c r="Y2" s="95" t="s">
        <v>26</v>
      </c>
      <c r="Z2" s="97" t="s">
        <v>27</v>
      </c>
      <c r="AA2" s="97" t="s">
        <v>28</v>
      </c>
      <c r="AB2" s="97" t="s">
        <v>29</v>
      </c>
      <c r="AC2" s="97" t="s">
        <v>30</v>
      </c>
      <c r="AD2" s="247" t="s">
        <v>31</v>
      </c>
      <c r="AE2" s="385" t="s">
        <v>32</v>
      </c>
      <c r="AF2" s="385"/>
    </row>
    <row r="3" spans="1:32">
      <c r="A3" s="94"/>
      <c r="B3" s="98"/>
      <c r="C3" s="98"/>
      <c r="D3" s="98"/>
      <c r="E3" s="99"/>
      <c r="F3" s="98"/>
      <c r="G3" s="98" t="s">
        <v>2398</v>
      </c>
      <c r="H3" s="98" t="s">
        <v>2399</v>
      </c>
      <c r="I3" s="98" t="s">
        <v>2399</v>
      </c>
      <c r="J3" s="98" t="s">
        <v>2399</v>
      </c>
      <c r="K3" s="98" t="s">
        <v>2399</v>
      </c>
      <c r="L3" s="98" t="s">
        <v>2399</v>
      </c>
      <c r="M3" s="98" t="s">
        <v>2400</v>
      </c>
      <c r="N3" s="98"/>
      <c r="O3" s="98" t="s">
        <v>2400</v>
      </c>
      <c r="P3" s="99" t="s">
        <v>2398</v>
      </c>
      <c r="Q3" s="98" t="s">
        <v>2398</v>
      </c>
      <c r="R3" s="98" t="s">
        <v>2401</v>
      </c>
      <c r="S3" s="98" t="s">
        <v>2402</v>
      </c>
      <c r="T3" s="98" t="s">
        <v>2398</v>
      </c>
      <c r="U3" s="100" t="s">
        <v>2398</v>
      </c>
      <c r="V3" s="98" t="s">
        <v>2398</v>
      </c>
      <c r="W3" s="98" t="s">
        <v>2401</v>
      </c>
      <c r="X3" s="100" t="s">
        <v>2401</v>
      </c>
      <c r="Y3" s="100" t="s">
        <v>2401</v>
      </c>
      <c r="Z3" s="100" t="s">
        <v>2398</v>
      </c>
      <c r="AA3" s="100" t="s">
        <v>2401</v>
      </c>
      <c r="AB3" s="100" t="s">
        <v>2401</v>
      </c>
      <c r="AC3" s="100" t="s">
        <v>2398</v>
      </c>
      <c r="AD3" s="247" t="s">
        <v>2403</v>
      </c>
      <c r="AE3" s="12" t="s">
        <v>2404</v>
      </c>
      <c r="AF3" s="12" t="s">
        <v>2405</v>
      </c>
    </row>
    <row r="4" spans="1:32">
      <c r="A4" s="101">
        <v>1</v>
      </c>
      <c r="B4" s="102" t="s">
        <v>33</v>
      </c>
      <c r="C4" s="103" t="s">
        <v>479</v>
      </c>
      <c r="D4" s="103" t="s">
        <v>480</v>
      </c>
      <c r="E4" s="104" t="s">
        <v>481</v>
      </c>
      <c r="F4" s="103" t="s">
        <v>482</v>
      </c>
      <c r="G4" s="103">
        <v>811</v>
      </c>
      <c r="H4" s="103">
        <v>449</v>
      </c>
      <c r="I4" s="103">
        <v>2087</v>
      </c>
      <c r="J4" s="103">
        <v>1107</v>
      </c>
      <c r="K4" s="103">
        <v>980</v>
      </c>
      <c r="L4" s="103">
        <v>307</v>
      </c>
      <c r="M4" s="105">
        <f>L4/I4*100</f>
        <v>14.710110206037374</v>
      </c>
      <c r="N4" s="103">
        <v>783</v>
      </c>
      <c r="O4" s="106">
        <f>N4/I4*100</f>
        <v>37.517968375658839</v>
      </c>
      <c r="P4" s="242">
        <v>98</v>
      </c>
      <c r="Q4" s="103">
        <v>0</v>
      </c>
      <c r="R4" s="100" t="s">
        <v>39</v>
      </c>
      <c r="S4" s="122">
        <v>45332</v>
      </c>
      <c r="T4" s="106"/>
      <c r="U4" s="79">
        <v>97.674700000000001</v>
      </c>
      <c r="V4" s="54" t="s">
        <v>483</v>
      </c>
      <c r="W4" s="106"/>
      <c r="X4" s="107"/>
      <c r="Y4" s="107"/>
      <c r="Z4" s="107"/>
      <c r="AA4" s="107"/>
      <c r="AB4" s="100" t="s">
        <v>39</v>
      </c>
      <c r="AC4" s="79">
        <v>8</v>
      </c>
      <c r="AD4" s="371" t="s">
        <v>484</v>
      </c>
      <c r="AE4" s="12">
        <v>24.654629</v>
      </c>
      <c r="AF4" s="12">
        <v>76.723203999999996</v>
      </c>
    </row>
    <row r="5" spans="1:32">
      <c r="A5" s="101">
        <v>2</v>
      </c>
      <c r="B5" s="108" t="s">
        <v>33</v>
      </c>
      <c r="C5" s="103" t="s">
        <v>479</v>
      </c>
      <c r="D5" s="103" t="s">
        <v>480</v>
      </c>
      <c r="E5" s="103" t="s">
        <v>485</v>
      </c>
      <c r="F5" s="103" t="s">
        <v>486</v>
      </c>
      <c r="G5" s="103">
        <v>295</v>
      </c>
      <c r="H5" s="103">
        <v>128</v>
      </c>
      <c r="I5" s="103">
        <v>639</v>
      </c>
      <c r="J5" s="103">
        <v>347</v>
      </c>
      <c r="K5" s="103">
        <v>292</v>
      </c>
      <c r="L5" s="103">
        <v>40</v>
      </c>
      <c r="M5" s="105">
        <f t="shared" ref="M5:M68" si="0">L5/I5*100</f>
        <v>6.2597809076682314</v>
      </c>
      <c r="N5" s="103">
        <v>108</v>
      </c>
      <c r="O5" s="106">
        <f t="shared" ref="O5:O68" si="1">N5/I5*100</f>
        <v>16.901408450704224</v>
      </c>
      <c r="P5" s="242">
        <v>48</v>
      </c>
      <c r="Q5" s="103">
        <v>0</v>
      </c>
      <c r="R5" s="100" t="s">
        <v>39</v>
      </c>
      <c r="S5" s="122">
        <v>45332</v>
      </c>
      <c r="T5" s="109"/>
      <c r="U5" s="79">
        <v>46.166499999999999</v>
      </c>
      <c r="V5" s="54" t="s">
        <v>483</v>
      </c>
      <c r="W5" s="110"/>
      <c r="X5" s="110"/>
      <c r="Y5" s="110"/>
      <c r="Z5" s="110"/>
      <c r="AA5" s="110"/>
      <c r="AB5" s="100"/>
      <c r="AC5" s="79">
        <v>7</v>
      </c>
      <c r="AD5" s="247"/>
      <c r="AE5" s="12"/>
      <c r="AF5" s="12"/>
    </row>
    <row r="6" spans="1:32">
      <c r="A6" s="101">
        <v>3</v>
      </c>
      <c r="B6" s="108" t="s">
        <v>33</v>
      </c>
      <c r="C6" s="103" t="s">
        <v>479</v>
      </c>
      <c r="D6" s="103" t="s">
        <v>480</v>
      </c>
      <c r="E6" s="103" t="s">
        <v>487</v>
      </c>
      <c r="F6" s="103" t="s">
        <v>488</v>
      </c>
      <c r="G6" s="103">
        <v>288</v>
      </c>
      <c r="H6" s="103">
        <v>0</v>
      </c>
      <c r="I6" s="103">
        <v>0</v>
      </c>
      <c r="J6" s="103">
        <v>0</v>
      </c>
      <c r="K6" s="103">
        <v>0</v>
      </c>
      <c r="L6" s="103">
        <v>0</v>
      </c>
      <c r="M6" s="105" t="e">
        <f t="shared" si="0"/>
        <v>#DIV/0!</v>
      </c>
      <c r="N6" s="103">
        <v>0</v>
      </c>
      <c r="O6" s="106" t="e">
        <f t="shared" si="1"/>
        <v>#DIV/0!</v>
      </c>
      <c r="P6" s="242">
        <v>0</v>
      </c>
      <c r="Q6" s="103">
        <v>0</v>
      </c>
      <c r="R6" s="100"/>
      <c r="S6" s="111"/>
      <c r="T6" s="112"/>
      <c r="U6" s="111"/>
      <c r="V6" s="54"/>
      <c r="W6" s="110"/>
      <c r="X6" s="110"/>
      <c r="Y6" s="110"/>
      <c r="Z6" s="110"/>
      <c r="AA6" s="110"/>
      <c r="AB6" s="100"/>
      <c r="AC6" s="111"/>
      <c r="AD6" s="247"/>
      <c r="AE6" s="12"/>
      <c r="AF6" s="12"/>
    </row>
    <row r="7" spans="1:32">
      <c r="A7" s="101">
        <v>4</v>
      </c>
      <c r="B7" s="108" t="s">
        <v>33</v>
      </c>
      <c r="C7" s="103" t="s">
        <v>479</v>
      </c>
      <c r="D7" s="103" t="s">
        <v>480</v>
      </c>
      <c r="E7" s="103" t="s">
        <v>489</v>
      </c>
      <c r="F7" s="103" t="s">
        <v>490</v>
      </c>
      <c r="G7" s="103">
        <v>319</v>
      </c>
      <c r="H7" s="103">
        <v>94</v>
      </c>
      <c r="I7" s="103">
        <v>550</v>
      </c>
      <c r="J7" s="103">
        <v>285</v>
      </c>
      <c r="K7" s="103">
        <v>265</v>
      </c>
      <c r="L7" s="103">
        <v>6</v>
      </c>
      <c r="M7" s="105">
        <f t="shared" si="0"/>
        <v>1.0909090909090911</v>
      </c>
      <c r="N7" s="103">
        <v>462</v>
      </c>
      <c r="O7" s="106">
        <f t="shared" si="1"/>
        <v>84</v>
      </c>
      <c r="P7" s="242">
        <v>25</v>
      </c>
      <c r="Q7" s="103">
        <v>0</v>
      </c>
      <c r="R7" s="100" t="s">
        <v>39</v>
      </c>
      <c r="S7" s="122">
        <v>45332</v>
      </c>
      <c r="T7" s="113"/>
      <c r="U7" s="79">
        <v>33.0062</v>
      </c>
      <c r="V7" s="54" t="s">
        <v>483</v>
      </c>
      <c r="W7" s="110"/>
      <c r="X7" s="110"/>
      <c r="Y7" s="110"/>
      <c r="Z7" s="110"/>
      <c r="AA7" s="110"/>
      <c r="AB7" s="54"/>
      <c r="AC7" s="79"/>
      <c r="AD7" s="247"/>
      <c r="AE7" s="12"/>
      <c r="AF7" s="12"/>
    </row>
    <row r="8" spans="1:32">
      <c r="A8" s="101">
        <v>5</v>
      </c>
      <c r="B8" s="108" t="s">
        <v>33</v>
      </c>
      <c r="C8" s="103" t="s">
        <v>479</v>
      </c>
      <c r="D8" s="103" t="s">
        <v>480</v>
      </c>
      <c r="E8" s="103" t="s">
        <v>398</v>
      </c>
      <c r="F8" s="103" t="s">
        <v>491</v>
      </c>
      <c r="G8" s="103">
        <v>305</v>
      </c>
      <c r="H8" s="103">
        <v>100</v>
      </c>
      <c r="I8" s="103">
        <v>523</v>
      </c>
      <c r="J8" s="103">
        <v>276</v>
      </c>
      <c r="K8" s="103">
        <v>247</v>
      </c>
      <c r="L8" s="103">
        <v>78</v>
      </c>
      <c r="M8" s="105">
        <f t="shared" si="0"/>
        <v>14.913957934990441</v>
      </c>
      <c r="N8" s="103">
        <v>299</v>
      </c>
      <c r="O8" s="106">
        <f t="shared" si="1"/>
        <v>57.170172084130023</v>
      </c>
      <c r="P8" s="242">
        <v>49</v>
      </c>
      <c r="Q8" s="103">
        <v>0</v>
      </c>
      <c r="R8" s="100" t="s">
        <v>39</v>
      </c>
      <c r="S8" s="122">
        <v>45332</v>
      </c>
      <c r="T8" s="109"/>
      <c r="U8" s="79">
        <v>50.674599999999998</v>
      </c>
      <c r="V8" s="54" t="s">
        <v>483</v>
      </c>
      <c r="W8" s="110"/>
      <c r="X8" s="110"/>
      <c r="Y8" s="110"/>
      <c r="Z8" s="110"/>
      <c r="AA8" s="110"/>
      <c r="AB8" s="100" t="s">
        <v>39</v>
      </c>
      <c r="AC8" s="79">
        <v>4</v>
      </c>
      <c r="AD8" s="247" t="s">
        <v>484</v>
      </c>
      <c r="AE8" s="12">
        <v>24.666865000000001</v>
      </c>
      <c r="AF8" s="12">
        <v>76.643348000000003</v>
      </c>
    </row>
    <row r="9" spans="1:32">
      <c r="A9" s="101" t="s">
        <v>51</v>
      </c>
      <c r="B9" s="108" t="s">
        <v>33</v>
      </c>
      <c r="C9" s="103" t="s">
        <v>479</v>
      </c>
      <c r="D9" s="103" t="s">
        <v>480</v>
      </c>
      <c r="E9" s="103" t="s">
        <v>398</v>
      </c>
      <c r="F9" s="103"/>
      <c r="G9" s="103"/>
      <c r="H9" s="103"/>
      <c r="I9" s="103"/>
      <c r="J9" s="103"/>
      <c r="K9" s="103"/>
      <c r="L9" s="103"/>
      <c r="M9" s="105" t="e">
        <f t="shared" si="0"/>
        <v>#DIV/0!</v>
      </c>
      <c r="N9" s="103"/>
      <c r="O9" s="106" t="e">
        <f t="shared" si="1"/>
        <v>#DIV/0!</v>
      </c>
      <c r="P9" s="242"/>
      <c r="Q9" s="103"/>
      <c r="R9" s="100"/>
      <c r="S9" s="122"/>
      <c r="T9" s="109"/>
      <c r="U9" s="79">
        <v>50.674599999999998</v>
      </c>
      <c r="V9" s="54" t="s">
        <v>483</v>
      </c>
      <c r="W9" s="110"/>
      <c r="X9" s="110"/>
      <c r="Y9" s="110"/>
      <c r="Z9" s="110"/>
      <c r="AA9" s="110"/>
      <c r="AB9" s="100" t="s">
        <v>39</v>
      </c>
      <c r="AC9" s="79">
        <v>5</v>
      </c>
      <c r="AD9" s="247" t="s">
        <v>48</v>
      </c>
      <c r="AE9" s="12">
        <v>24.916</v>
      </c>
      <c r="AF9" s="12">
        <v>76.2149</v>
      </c>
    </row>
    <row r="10" spans="1:32">
      <c r="A10" s="101">
        <v>6</v>
      </c>
      <c r="B10" s="108" t="s">
        <v>33</v>
      </c>
      <c r="C10" s="103" t="s">
        <v>479</v>
      </c>
      <c r="D10" s="103" t="s">
        <v>480</v>
      </c>
      <c r="E10" s="103" t="s">
        <v>492</v>
      </c>
      <c r="F10" s="103" t="s">
        <v>493</v>
      </c>
      <c r="G10" s="103">
        <v>194</v>
      </c>
      <c r="H10" s="103">
        <v>73</v>
      </c>
      <c r="I10" s="103">
        <v>436</v>
      </c>
      <c r="J10" s="103">
        <v>223</v>
      </c>
      <c r="K10" s="103">
        <v>213</v>
      </c>
      <c r="L10" s="103">
        <v>44</v>
      </c>
      <c r="M10" s="105">
        <f t="shared" si="0"/>
        <v>10.091743119266056</v>
      </c>
      <c r="N10" s="103">
        <v>5</v>
      </c>
      <c r="O10" s="106">
        <f t="shared" si="1"/>
        <v>1.1467889908256881</v>
      </c>
      <c r="P10" s="242">
        <v>17</v>
      </c>
      <c r="Q10" s="103"/>
      <c r="R10" s="100" t="s">
        <v>39</v>
      </c>
      <c r="S10" s="122">
        <v>45332</v>
      </c>
      <c r="T10" s="109"/>
      <c r="U10" s="79">
        <v>0.14499999999999999</v>
      </c>
      <c r="V10" s="54" t="s">
        <v>483</v>
      </c>
      <c r="W10" s="110"/>
      <c r="X10" s="110"/>
      <c r="Y10" s="110"/>
      <c r="Z10" s="110"/>
      <c r="AA10" s="110"/>
      <c r="AB10" s="100" t="s">
        <v>39</v>
      </c>
      <c r="AC10" s="79">
        <v>7</v>
      </c>
      <c r="AD10" s="247" t="s">
        <v>484</v>
      </c>
      <c r="AE10" s="12"/>
      <c r="AF10" s="12"/>
    </row>
    <row r="11" spans="1:32">
      <c r="A11" s="101">
        <v>7</v>
      </c>
      <c r="B11" s="108" t="s">
        <v>33</v>
      </c>
      <c r="C11" s="103" t="s">
        <v>479</v>
      </c>
      <c r="D11" s="103" t="s">
        <v>480</v>
      </c>
      <c r="E11" s="103" t="s">
        <v>494</v>
      </c>
      <c r="F11" s="103" t="s">
        <v>495</v>
      </c>
      <c r="G11" s="103">
        <v>126</v>
      </c>
      <c r="H11" s="103">
        <v>34</v>
      </c>
      <c r="I11" s="103">
        <v>175</v>
      </c>
      <c r="J11" s="103">
        <v>101</v>
      </c>
      <c r="K11" s="103">
        <v>74</v>
      </c>
      <c r="L11" s="103">
        <v>0</v>
      </c>
      <c r="M11" s="105">
        <f t="shared" si="0"/>
        <v>0</v>
      </c>
      <c r="N11" s="103">
        <v>0</v>
      </c>
      <c r="O11" s="106">
        <f t="shared" si="1"/>
        <v>0</v>
      </c>
      <c r="P11" s="242">
        <v>2</v>
      </c>
      <c r="Q11" s="103">
        <v>0</v>
      </c>
      <c r="R11" s="100" t="s">
        <v>39</v>
      </c>
      <c r="S11" s="122">
        <v>45332</v>
      </c>
      <c r="T11" s="109"/>
      <c r="U11" s="79">
        <v>3.2212999999999998</v>
      </c>
      <c r="V11" s="54" t="s">
        <v>483</v>
      </c>
      <c r="W11" s="110"/>
      <c r="X11" s="110"/>
      <c r="Y11" s="110"/>
      <c r="Z11" s="110"/>
      <c r="AA11" s="110"/>
      <c r="AB11" s="100"/>
      <c r="AC11" s="79"/>
      <c r="AD11" s="247"/>
      <c r="AE11" s="12"/>
      <c r="AF11" s="12"/>
    </row>
    <row r="12" spans="1:32">
      <c r="A12" s="101">
        <v>8</v>
      </c>
      <c r="B12" s="108" t="s">
        <v>33</v>
      </c>
      <c r="C12" s="103" t="s">
        <v>479</v>
      </c>
      <c r="D12" s="103" t="s">
        <v>480</v>
      </c>
      <c r="E12" s="103" t="s">
        <v>496</v>
      </c>
      <c r="F12" s="103" t="s">
        <v>497</v>
      </c>
      <c r="G12" s="103">
        <v>418</v>
      </c>
      <c r="H12" s="103">
        <v>182</v>
      </c>
      <c r="I12" s="103">
        <v>881</v>
      </c>
      <c r="J12" s="103">
        <v>467</v>
      </c>
      <c r="K12" s="103">
        <v>414</v>
      </c>
      <c r="L12" s="103">
        <v>328</v>
      </c>
      <c r="M12" s="105">
        <f t="shared" si="0"/>
        <v>37.230419977298524</v>
      </c>
      <c r="N12" s="103">
        <v>189</v>
      </c>
      <c r="O12" s="106">
        <f t="shared" si="1"/>
        <v>21.452894438138479</v>
      </c>
      <c r="P12" s="242">
        <v>49</v>
      </c>
      <c r="Q12" s="103">
        <v>0</v>
      </c>
      <c r="R12" s="54"/>
      <c r="S12" s="111"/>
      <c r="T12" s="109"/>
      <c r="U12" s="111"/>
      <c r="V12" s="54"/>
      <c r="W12" s="110"/>
      <c r="X12" s="110"/>
      <c r="Y12" s="110"/>
      <c r="Z12" s="110"/>
      <c r="AA12" s="110"/>
      <c r="AB12" s="54"/>
      <c r="AC12" s="111"/>
      <c r="AD12" s="247"/>
      <c r="AE12" s="12"/>
      <c r="AF12" s="12"/>
    </row>
    <row r="13" spans="1:32">
      <c r="A13" s="101">
        <v>9</v>
      </c>
      <c r="B13" s="108" t="s">
        <v>33</v>
      </c>
      <c r="C13" s="103" t="s">
        <v>479</v>
      </c>
      <c r="D13" s="103" t="s">
        <v>498</v>
      </c>
      <c r="E13" s="104" t="s">
        <v>499</v>
      </c>
      <c r="F13" s="103" t="s">
        <v>500</v>
      </c>
      <c r="G13" s="103">
        <v>1023</v>
      </c>
      <c r="H13" s="103">
        <v>314</v>
      </c>
      <c r="I13" s="103">
        <v>1594</v>
      </c>
      <c r="J13" s="103">
        <v>786</v>
      </c>
      <c r="K13" s="103">
        <v>808</v>
      </c>
      <c r="L13" s="103">
        <v>393</v>
      </c>
      <c r="M13" s="105">
        <f t="shared" si="0"/>
        <v>24.654956085319952</v>
      </c>
      <c r="N13" s="103">
        <v>205</v>
      </c>
      <c r="O13" s="106">
        <f t="shared" si="1"/>
        <v>12.86072772898369</v>
      </c>
      <c r="P13" s="242">
        <v>47</v>
      </c>
      <c r="Q13" s="103">
        <v>0</v>
      </c>
      <c r="R13" s="100" t="s">
        <v>39</v>
      </c>
      <c r="S13" s="122">
        <v>45332</v>
      </c>
      <c r="T13" s="115"/>
      <c r="U13" s="79">
        <v>49.905700000000003</v>
      </c>
      <c r="V13" s="54" t="s">
        <v>483</v>
      </c>
      <c r="W13" s="110"/>
      <c r="X13" s="110"/>
      <c r="Y13" s="110"/>
      <c r="Z13" s="110"/>
      <c r="AA13" s="110"/>
      <c r="AB13" s="100" t="s">
        <v>39</v>
      </c>
      <c r="AC13" s="79">
        <v>10</v>
      </c>
      <c r="AD13" s="247" t="s">
        <v>484</v>
      </c>
      <c r="AE13" s="12">
        <v>24.451730999999999</v>
      </c>
      <c r="AF13" s="12">
        <v>76.670821000000004</v>
      </c>
    </row>
    <row r="14" spans="1:32">
      <c r="A14" s="101">
        <v>10</v>
      </c>
      <c r="B14" s="108" t="s">
        <v>33</v>
      </c>
      <c r="C14" s="103" t="s">
        <v>479</v>
      </c>
      <c r="D14" s="103" t="s">
        <v>498</v>
      </c>
      <c r="E14" s="103" t="s">
        <v>501</v>
      </c>
      <c r="F14" s="103" t="s">
        <v>502</v>
      </c>
      <c r="G14" s="103">
        <v>517</v>
      </c>
      <c r="H14" s="103">
        <v>147</v>
      </c>
      <c r="I14" s="103">
        <v>713</v>
      </c>
      <c r="J14" s="103">
        <v>379</v>
      </c>
      <c r="K14" s="103">
        <v>334</v>
      </c>
      <c r="L14" s="103">
        <v>38</v>
      </c>
      <c r="M14" s="105">
        <f t="shared" si="0"/>
        <v>5.3295932678821876</v>
      </c>
      <c r="N14" s="103">
        <v>221</v>
      </c>
      <c r="O14" s="106">
        <f t="shared" si="1"/>
        <v>30.995792426367462</v>
      </c>
      <c r="P14" s="242">
        <v>32</v>
      </c>
      <c r="Q14" s="103">
        <v>770</v>
      </c>
      <c r="R14" s="100" t="s">
        <v>39</v>
      </c>
      <c r="S14" s="122">
        <v>45332</v>
      </c>
      <c r="T14" s="109"/>
      <c r="U14" s="79">
        <v>27.364899999999999</v>
      </c>
      <c r="V14" s="54" t="s">
        <v>483</v>
      </c>
      <c r="W14" s="110"/>
      <c r="X14" s="110"/>
      <c r="Y14" s="110"/>
      <c r="Z14" s="110"/>
      <c r="AA14" s="110"/>
      <c r="AB14" s="100" t="s">
        <v>39</v>
      </c>
      <c r="AC14" s="79">
        <v>10</v>
      </c>
      <c r="AD14" s="247" t="s">
        <v>484</v>
      </c>
      <c r="AE14" s="12"/>
      <c r="AF14" s="12"/>
    </row>
    <row r="15" spans="1:32">
      <c r="A15" s="101">
        <v>11</v>
      </c>
      <c r="B15" s="108" t="s">
        <v>33</v>
      </c>
      <c r="C15" s="103" t="s">
        <v>479</v>
      </c>
      <c r="D15" s="103" t="s">
        <v>498</v>
      </c>
      <c r="E15" s="103" t="s">
        <v>503</v>
      </c>
      <c r="F15" s="103" t="s">
        <v>504</v>
      </c>
      <c r="G15" s="103">
        <v>230</v>
      </c>
      <c r="H15" s="103">
        <v>73</v>
      </c>
      <c r="I15" s="103">
        <v>319</v>
      </c>
      <c r="J15" s="103">
        <v>164</v>
      </c>
      <c r="K15" s="103">
        <v>155</v>
      </c>
      <c r="L15" s="103">
        <v>0</v>
      </c>
      <c r="M15" s="105">
        <f t="shared" si="0"/>
        <v>0</v>
      </c>
      <c r="N15" s="103">
        <v>2</v>
      </c>
      <c r="O15" s="106">
        <f t="shared" si="1"/>
        <v>0.62695924764890276</v>
      </c>
      <c r="P15" s="242">
        <v>10</v>
      </c>
      <c r="Q15" s="103">
        <v>321</v>
      </c>
      <c r="R15" s="100" t="s">
        <v>39</v>
      </c>
      <c r="S15" s="122">
        <v>45332</v>
      </c>
      <c r="T15" s="109"/>
      <c r="U15" s="79">
        <v>9.7447999999999997</v>
      </c>
      <c r="V15" s="54" t="s">
        <v>483</v>
      </c>
      <c r="W15" s="110"/>
      <c r="X15" s="110"/>
      <c r="Y15" s="110"/>
      <c r="Z15" s="110"/>
      <c r="AA15" s="110"/>
      <c r="AB15" s="100"/>
      <c r="AC15" s="79"/>
      <c r="AD15" s="247"/>
      <c r="AE15" s="12"/>
      <c r="AF15" s="12"/>
    </row>
    <row r="16" spans="1:32">
      <c r="A16" s="101">
        <v>12</v>
      </c>
      <c r="B16" s="108" t="s">
        <v>33</v>
      </c>
      <c r="C16" s="103" t="s">
        <v>479</v>
      </c>
      <c r="D16" s="103" t="s">
        <v>498</v>
      </c>
      <c r="E16" s="103" t="s">
        <v>505</v>
      </c>
      <c r="F16" s="103" t="s">
        <v>506</v>
      </c>
      <c r="G16" s="103">
        <v>380</v>
      </c>
      <c r="H16" s="103">
        <v>131</v>
      </c>
      <c r="I16" s="103">
        <v>635</v>
      </c>
      <c r="J16" s="103">
        <v>330</v>
      </c>
      <c r="K16" s="103">
        <v>305</v>
      </c>
      <c r="L16" s="103">
        <v>5</v>
      </c>
      <c r="M16" s="105">
        <f t="shared" si="0"/>
        <v>0.78740157480314954</v>
      </c>
      <c r="N16" s="103">
        <v>630</v>
      </c>
      <c r="O16" s="106">
        <f t="shared" si="1"/>
        <v>99.212598425196859</v>
      </c>
      <c r="P16" s="242">
        <v>40</v>
      </c>
      <c r="Q16" s="103">
        <v>156</v>
      </c>
      <c r="R16" s="100" t="s">
        <v>39</v>
      </c>
      <c r="S16" s="122">
        <v>45332</v>
      </c>
      <c r="T16" s="109"/>
      <c r="U16" s="79">
        <v>4.0379500000000004</v>
      </c>
      <c r="V16" s="54" t="s">
        <v>483</v>
      </c>
      <c r="W16" s="110"/>
      <c r="X16" s="110"/>
      <c r="Y16" s="110"/>
      <c r="Z16" s="110"/>
      <c r="AA16" s="110"/>
      <c r="AB16" s="100" t="s">
        <v>39</v>
      </c>
      <c r="AC16" s="79">
        <v>10</v>
      </c>
      <c r="AD16" s="247" t="s">
        <v>484</v>
      </c>
      <c r="AE16" s="12">
        <v>24.534056</v>
      </c>
      <c r="AF16" s="12">
        <v>76.727303000000006</v>
      </c>
    </row>
    <row r="17" spans="1:32">
      <c r="A17" s="101">
        <v>13</v>
      </c>
      <c r="B17" s="108" t="s">
        <v>33</v>
      </c>
      <c r="C17" s="103" t="s">
        <v>479</v>
      </c>
      <c r="D17" s="103" t="s">
        <v>498</v>
      </c>
      <c r="E17" s="103" t="s">
        <v>507</v>
      </c>
      <c r="F17" s="103" t="s">
        <v>508</v>
      </c>
      <c r="G17" s="103">
        <v>600</v>
      </c>
      <c r="H17" s="103">
        <v>142</v>
      </c>
      <c r="I17" s="103">
        <v>754</v>
      </c>
      <c r="J17" s="103">
        <v>409</v>
      </c>
      <c r="K17" s="103">
        <v>345</v>
      </c>
      <c r="L17" s="103">
        <v>0</v>
      </c>
      <c r="M17" s="105">
        <f t="shared" si="0"/>
        <v>0</v>
      </c>
      <c r="N17" s="103">
        <v>669</v>
      </c>
      <c r="O17" s="106">
        <f t="shared" si="1"/>
        <v>88.726790450928377</v>
      </c>
      <c r="P17" s="242">
        <v>46</v>
      </c>
      <c r="Q17" s="103">
        <v>115</v>
      </c>
      <c r="R17" s="100" t="s">
        <v>39</v>
      </c>
      <c r="S17" s="122">
        <v>45332</v>
      </c>
      <c r="T17" s="109"/>
      <c r="U17" s="79">
        <v>46.805799999999998</v>
      </c>
      <c r="V17" s="54" t="s">
        <v>483</v>
      </c>
      <c r="W17" s="110"/>
      <c r="X17" s="110"/>
      <c r="Y17" s="110"/>
      <c r="Z17" s="110"/>
      <c r="AA17" s="110"/>
      <c r="AB17" s="100" t="s">
        <v>39</v>
      </c>
      <c r="AC17" s="79">
        <v>8</v>
      </c>
      <c r="AD17" s="247" t="s">
        <v>484</v>
      </c>
      <c r="AE17" s="12">
        <v>24.507925</v>
      </c>
      <c r="AF17" s="12">
        <v>76.723809000000003</v>
      </c>
    </row>
    <row r="18" spans="1:32">
      <c r="A18" s="101">
        <v>14</v>
      </c>
      <c r="B18" s="108" t="s">
        <v>33</v>
      </c>
      <c r="C18" s="103" t="s">
        <v>479</v>
      </c>
      <c r="D18" s="103" t="s">
        <v>498</v>
      </c>
      <c r="E18" s="103" t="s">
        <v>509</v>
      </c>
      <c r="F18" s="103" t="s">
        <v>510</v>
      </c>
      <c r="G18" s="103">
        <v>700</v>
      </c>
      <c r="H18" s="103">
        <v>60</v>
      </c>
      <c r="I18" s="103">
        <v>286</v>
      </c>
      <c r="J18" s="103">
        <v>145</v>
      </c>
      <c r="K18" s="103">
        <v>141</v>
      </c>
      <c r="L18" s="103">
        <v>15</v>
      </c>
      <c r="M18" s="105">
        <f t="shared" si="0"/>
        <v>5.244755244755245</v>
      </c>
      <c r="N18" s="103">
        <v>236</v>
      </c>
      <c r="O18" s="106">
        <f t="shared" si="1"/>
        <v>82.51748251748252</v>
      </c>
      <c r="P18" s="242">
        <v>57</v>
      </c>
      <c r="Q18" s="103">
        <v>326</v>
      </c>
      <c r="R18" s="100" t="s">
        <v>39</v>
      </c>
      <c r="S18" s="122">
        <v>45332</v>
      </c>
      <c r="T18" s="109"/>
      <c r="U18" s="79">
        <v>57.182000000000002</v>
      </c>
      <c r="V18" s="54" t="s">
        <v>483</v>
      </c>
      <c r="W18" s="110"/>
      <c r="X18" s="110"/>
      <c r="Y18" s="110"/>
      <c r="Z18" s="110"/>
      <c r="AA18" s="110"/>
      <c r="AB18" s="100" t="s">
        <v>39</v>
      </c>
      <c r="AC18" s="79">
        <v>2</v>
      </c>
      <c r="AD18" s="247" t="s">
        <v>484</v>
      </c>
      <c r="AE18" s="12"/>
      <c r="AF18" s="12"/>
    </row>
    <row r="19" spans="1:32">
      <c r="A19" s="101" t="s">
        <v>51</v>
      </c>
      <c r="B19" s="108" t="s">
        <v>33</v>
      </c>
      <c r="C19" s="103" t="s">
        <v>479</v>
      </c>
      <c r="D19" s="103" t="s">
        <v>498</v>
      </c>
      <c r="E19" s="103" t="s">
        <v>509</v>
      </c>
      <c r="F19" s="103"/>
      <c r="G19" s="103"/>
      <c r="H19" s="103"/>
      <c r="I19" s="103"/>
      <c r="J19" s="103"/>
      <c r="K19" s="103"/>
      <c r="L19" s="103"/>
      <c r="M19" s="105" t="e">
        <f t="shared" si="0"/>
        <v>#DIV/0!</v>
      </c>
      <c r="N19" s="103"/>
      <c r="O19" s="106" t="e">
        <f t="shared" si="1"/>
        <v>#DIV/0!</v>
      </c>
      <c r="P19" s="242"/>
      <c r="Q19" s="103"/>
      <c r="R19" s="100"/>
      <c r="S19" s="122"/>
      <c r="T19" s="109"/>
      <c r="U19" s="79">
        <v>57.182000000000002</v>
      </c>
      <c r="V19" s="54"/>
      <c r="W19" s="110"/>
      <c r="X19" s="110"/>
      <c r="Y19" s="110"/>
      <c r="Z19" s="110"/>
      <c r="AA19" s="110"/>
      <c r="AB19" s="100" t="s">
        <v>39</v>
      </c>
      <c r="AC19" s="79">
        <v>17</v>
      </c>
      <c r="AD19" s="247"/>
      <c r="AE19" s="12">
        <v>24.8048</v>
      </c>
      <c r="AF19" s="12">
        <v>76.669200000000004</v>
      </c>
    </row>
    <row r="20" spans="1:32">
      <c r="A20" s="101">
        <v>15</v>
      </c>
      <c r="B20" s="108" t="s">
        <v>33</v>
      </c>
      <c r="C20" s="103" t="s">
        <v>479</v>
      </c>
      <c r="D20" s="103" t="s">
        <v>498</v>
      </c>
      <c r="E20" s="103" t="s">
        <v>511</v>
      </c>
      <c r="F20" s="103" t="s">
        <v>512</v>
      </c>
      <c r="G20" s="103">
        <v>1703</v>
      </c>
      <c r="H20" s="103">
        <v>19</v>
      </c>
      <c r="I20" s="103">
        <v>136</v>
      </c>
      <c r="J20" s="103">
        <v>77</v>
      </c>
      <c r="K20" s="103">
        <v>59</v>
      </c>
      <c r="L20" s="103">
        <v>0</v>
      </c>
      <c r="M20" s="105">
        <f t="shared" si="0"/>
        <v>0</v>
      </c>
      <c r="N20" s="103">
        <v>0</v>
      </c>
      <c r="O20" s="106">
        <f t="shared" si="1"/>
        <v>0</v>
      </c>
      <c r="P20" s="242">
        <v>12</v>
      </c>
      <c r="Q20" s="103">
        <v>280</v>
      </c>
      <c r="R20" s="100" t="s">
        <v>39</v>
      </c>
      <c r="S20" s="111"/>
      <c r="T20" s="113"/>
      <c r="U20" s="111"/>
      <c r="V20" s="54"/>
      <c r="W20" s="110"/>
      <c r="X20" s="110"/>
      <c r="Y20" s="110"/>
      <c r="Z20" s="110"/>
      <c r="AA20" s="110"/>
      <c r="AB20" s="100"/>
      <c r="AC20" s="111"/>
      <c r="AD20" s="247"/>
      <c r="AE20" s="12"/>
      <c r="AF20" s="12"/>
    </row>
    <row r="21" spans="1:32">
      <c r="A21" s="101">
        <v>16</v>
      </c>
      <c r="B21" s="108" t="s">
        <v>33</v>
      </c>
      <c r="C21" s="103" t="s">
        <v>479</v>
      </c>
      <c r="D21" s="103" t="s">
        <v>498</v>
      </c>
      <c r="E21" s="103" t="s">
        <v>513</v>
      </c>
      <c r="F21" s="103" t="s">
        <v>514</v>
      </c>
      <c r="G21" s="103">
        <v>175</v>
      </c>
      <c r="H21" s="103">
        <v>24</v>
      </c>
      <c r="I21" s="103">
        <v>137</v>
      </c>
      <c r="J21" s="103">
        <v>64</v>
      </c>
      <c r="K21" s="103">
        <v>73</v>
      </c>
      <c r="L21" s="103">
        <v>0</v>
      </c>
      <c r="M21" s="105">
        <f t="shared" si="0"/>
        <v>0</v>
      </c>
      <c r="N21" s="103">
        <v>98</v>
      </c>
      <c r="O21" s="106">
        <f t="shared" si="1"/>
        <v>71.532846715328475</v>
      </c>
      <c r="P21" s="242">
        <v>4</v>
      </c>
      <c r="Q21" s="103">
        <v>1582</v>
      </c>
      <c r="R21" s="100" t="s">
        <v>39</v>
      </c>
      <c r="S21" s="122">
        <v>45332</v>
      </c>
      <c r="T21" s="109"/>
      <c r="U21" s="79">
        <v>3.8849999999999998</v>
      </c>
      <c r="V21" s="54" t="s">
        <v>483</v>
      </c>
      <c r="W21" s="110"/>
      <c r="X21" s="110"/>
      <c r="Y21" s="110"/>
      <c r="Z21" s="110"/>
      <c r="AA21" s="110"/>
      <c r="AB21" s="100" t="s">
        <v>39</v>
      </c>
      <c r="AC21" s="79">
        <v>8</v>
      </c>
      <c r="AD21" s="247" t="s">
        <v>484</v>
      </c>
      <c r="AE21" s="12"/>
      <c r="AF21" s="12"/>
    </row>
    <row r="22" spans="1:32">
      <c r="A22" s="101">
        <v>17</v>
      </c>
      <c r="B22" s="108" t="s">
        <v>33</v>
      </c>
      <c r="C22" s="103" t="s">
        <v>479</v>
      </c>
      <c r="D22" s="103" t="s">
        <v>498</v>
      </c>
      <c r="E22" s="103" t="s">
        <v>515</v>
      </c>
      <c r="F22" s="103" t="s">
        <v>516</v>
      </c>
      <c r="G22" s="103">
        <v>558</v>
      </c>
      <c r="H22" s="103">
        <v>184</v>
      </c>
      <c r="I22" s="103">
        <v>814</v>
      </c>
      <c r="J22" s="103">
        <v>435</v>
      </c>
      <c r="K22" s="103">
        <v>379</v>
      </c>
      <c r="L22" s="103">
        <v>80</v>
      </c>
      <c r="M22" s="105">
        <f t="shared" si="0"/>
        <v>9.8280098280098276</v>
      </c>
      <c r="N22" s="103">
        <v>133</v>
      </c>
      <c r="O22" s="106">
        <f t="shared" si="1"/>
        <v>16.339066339066338</v>
      </c>
      <c r="P22" s="242">
        <v>0</v>
      </c>
      <c r="Q22" s="103">
        <v>17</v>
      </c>
      <c r="R22" s="100" t="s">
        <v>39</v>
      </c>
      <c r="S22" s="111"/>
      <c r="T22" s="109"/>
      <c r="U22" s="111"/>
      <c r="V22" s="54"/>
      <c r="W22" s="110"/>
      <c r="X22" s="110"/>
      <c r="Y22" s="110"/>
      <c r="Z22" s="110"/>
      <c r="AA22" s="110"/>
      <c r="AB22" s="54"/>
      <c r="AC22" s="111"/>
      <c r="AD22" s="247"/>
      <c r="AE22" s="12"/>
      <c r="AF22" s="12"/>
    </row>
    <row r="23" spans="1:32">
      <c r="A23" s="101">
        <v>18</v>
      </c>
      <c r="B23" s="108" t="s">
        <v>33</v>
      </c>
      <c r="C23" s="103" t="s">
        <v>479</v>
      </c>
      <c r="D23" s="103" t="s">
        <v>498</v>
      </c>
      <c r="E23" s="103" t="s">
        <v>517</v>
      </c>
      <c r="F23" s="103" t="s">
        <v>518</v>
      </c>
      <c r="G23" s="103">
        <v>245</v>
      </c>
      <c r="H23" s="103">
        <v>9</v>
      </c>
      <c r="I23" s="103">
        <v>46</v>
      </c>
      <c r="J23" s="103">
        <v>25</v>
      </c>
      <c r="K23" s="103">
        <v>21</v>
      </c>
      <c r="L23" s="103">
        <v>0</v>
      </c>
      <c r="M23" s="105">
        <f t="shared" si="0"/>
        <v>0</v>
      </c>
      <c r="N23" s="103">
        <v>0</v>
      </c>
      <c r="O23" s="106">
        <f t="shared" si="1"/>
        <v>0</v>
      </c>
      <c r="P23" s="242">
        <v>5</v>
      </c>
      <c r="Q23" s="103">
        <v>425</v>
      </c>
      <c r="R23" s="100" t="s">
        <v>39</v>
      </c>
      <c r="S23" s="111"/>
      <c r="T23" s="113"/>
      <c r="U23" s="111"/>
      <c r="V23" s="54"/>
      <c r="W23" s="110"/>
      <c r="X23" s="110"/>
      <c r="Y23" s="110"/>
      <c r="Z23" s="110"/>
      <c r="AA23" s="110"/>
      <c r="AB23" s="54"/>
      <c r="AC23" s="111"/>
      <c r="AD23" s="247"/>
      <c r="AE23" s="12"/>
      <c r="AF23" s="12"/>
    </row>
    <row r="24" spans="1:32">
      <c r="A24" s="101">
        <v>19</v>
      </c>
      <c r="B24" s="108" t="s">
        <v>33</v>
      </c>
      <c r="C24" s="103" t="s">
        <v>479</v>
      </c>
      <c r="D24" s="103" t="s">
        <v>519</v>
      </c>
      <c r="E24" s="104" t="s">
        <v>520</v>
      </c>
      <c r="F24" s="103" t="s">
        <v>521</v>
      </c>
      <c r="G24" s="103">
        <v>836</v>
      </c>
      <c r="H24" s="103">
        <v>306</v>
      </c>
      <c r="I24" s="103">
        <v>1713</v>
      </c>
      <c r="J24" s="103">
        <v>891</v>
      </c>
      <c r="K24" s="103">
        <v>822</v>
      </c>
      <c r="L24" s="103">
        <v>365</v>
      </c>
      <c r="M24" s="105">
        <f t="shared" si="0"/>
        <v>21.307647402218329</v>
      </c>
      <c r="N24" s="103">
        <v>76</v>
      </c>
      <c r="O24" s="106">
        <f t="shared" si="1"/>
        <v>4.4366608289550493</v>
      </c>
      <c r="P24" s="242">
        <v>34</v>
      </c>
      <c r="Q24" s="103">
        <v>66</v>
      </c>
      <c r="R24" s="100" t="s">
        <v>39</v>
      </c>
      <c r="S24" s="76" t="s">
        <v>37</v>
      </c>
      <c r="T24" s="113"/>
      <c r="U24" s="111"/>
      <c r="V24" s="54" t="s">
        <v>483</v>
      </c>
      <c r="W24" s="110"/>
      <c r="X24" s="110"/>
      <c r="Y24" s="110"/>
      <c r="Z24" s="110"/>
      <c r="AA24" s="110"/>
      <c r="AB24" s="100"/>
      <c r="AC24" s="76"/>
      <c r="AD24" s="247"/>
      <c r="AE24" s="12"/>
      <c r="AF24" s="12"/>
    </row>
    <row r="25" spans="1:32">
      <c r="A25" s="101" t="s">
        <v>51</v>
      </c>
      <c r="B25" s="108" t="s">
        <v>33</v>
      </c>
      <c r="C25" s="103" t="s">
        <v>479</v>
      </c>
      <c r="D25" s="103" t="s">
        <v>519</v>
      </c>
      <c r="E25" s="104" t="s">
        <v>520</v>
      </c>
      <c r="F25" s="103"/>
      <c r="G25" s="103"/>
      <c r="H25" s="103"/>
      <c r="I25" s="103"/>
      <c r="J25" s="103"/>
      <c r="K25" s="103"/>
      <c r="L25" s="103"/>
      <c r="M25" s="105" t="e">
        <f t="shared" si="0"/>
        <v>#DIV/0!</v>
      </c>
      <c r="N25" s="103"/>
      <c r="O25" s="106" t="e">
        <f t="shared" si="1"/>
        <v>#DIV/0!</v>
      </c>
      <c r="P25" s="242"/>
      <c r="Q25" s="103"/>
      <c r="R25" s="100"/>
      <c r="S25" s="76"/>
      <c r="T25" s="113"/>
      <c r="U25" s="111"/>
      <c r="V25" s="54"/>
      <c r="W25" s="110"/>
      <c r="X25" s="110"/>
      <c r="Y25" s="110"/>
      <c r="Z25" s="110"/>
      <c r="AA25" s="110"/>
      <c r="AB25" s="100" t="s">
        <v>39</v>
      </c>
      <c r="AC25" s="76">
        <v>10</v>
      </c>
      <c r="AD25" s="247"/>
      <c r="AE25" s="12"/>
      <c r="AF25" s="12"/>
    </row>
    <row r="26" spans="1:32">
      <c r="A26" s="101">
        <v>20</v>
      </c>
      <c r="B26" s="108" t="s">
        <v>33</v>
      </c>
      <c r="C26" s="103" t="s">
        <v>479</v>
      </c>
      <c r="D26" s="103" t="s">
        <v>519</v>
      </c>
      <c r="E26" s="103" t="s">
        <v>87</v>
      </c>
      <c r="F26" s="103" t="s">
        <v>522</v>
      </c>
      <c r="G26" s="103">
        <v>172</v>
      </c>
      <c r="H26" s="103">
        <v>127</v>
      </c>
      <c r="I26" s="103">
        <v>561</v>
      </c>
      <c r="J26" s="103">
        <v>292</v>
      </c>
      <c r="K26" s="103">
        <v>269</v>
      </c>
      <c r="L26" s="103">
        <v>65</v>
      </c>
      <c r="M26" s="105">
        <f t="shared" si="0"/>
        <v>11.586452762923351</v>
      </c>
      <c r="N26" s="103">
        <v>183</v>
      </c>
      <c r="O26" s="106">
        <f t="shared" si="1"/>
        <v>32.620320855614978</v>
      </c>
      <c r="P26" s="242">
        <v>14</v>
      </c>
      <c r="Q26" s="103">
        <v>0</v>
      </c>
      <c r="R26" s="100" t="s">
        <v>39</v>
      </c>
      <c r="S26" s="126">
        <v>45907</v>
      </c>
      <c r="T26" s="113"/>
      <c r="U26" s="76">
        <v>17.409600000000001</v>
      </c>
      <c r="V26" s="54" t="s">
        <v>483</v>
      </c>
      <c r="W26" s="110"/>
      <c r="X26" s="110"/>
      <c r="Y26" s="110"/>
      <c r="Z26" s="110"/>
      <c r="AA26" s="110"/>
      <c r="AB26" s="100" t="s">
        <v>39</v>
      </c>
      <c r="AC26" s="76">
        <v>9</v>
      </c>
      <c r="AD26" s="247" t="s">
        <v>484</v>
      </c>
      <c r="AE26" s="12"/>
      <c r="AF26" s="12"/>
    </row>
    <row r="27" spans="1:32">
      <c r="A27" s="101">
        <v>21</v>
      </c>
      <c r="B27" s="108" t="s">
        <v>33</v>
      </c>
      <c r="C27" s="103" t="s">
        <v>479</v>
      </c>
      <c r="D27" s="103" t="s">
        <v>519</v>
      </c>
      <c r="E27" s="103" t="s">
        <v>302</v>
      </c>
      <c r="F27" s="103" t="s">
        <v>523</v>
      </c>
      <c r="G27" s="103">
        <v>361</v>
      </c>
      <c r="H27" s="103">
        <v>102</v>
      </c>
      <c r="I27" s="103">
        <v>558</v>
      </c>
      <c r="J27" s="103">
        <v>292</v>
      </c>
      <c r="K27" s="103">
        <v>266</v>
      </c>
      <c r="L27" s="103">
        <v>32</v>
      </c>
      <c r="M27" s="105">
        <f t="shared" si="0"/>
        <v>5.7347670250896057</v>
      </c>
      <c r="N27" s="103">
        <v>296</v>
      </c>
      <c r="O27" s="106">
        <f t="shared" si="1"/>
        <v>53.046594982078851</v>
      </c>
      <c r="P27" s="242">
        <v>14</v>
      </c>
      <c r="Q27" s="103">
        <v>0</v>
      </c>
      <c r="R27" s="100" t="s">
        <v>39</v>
      </c>
      <c r="S27" s="126">
        <v>45907</v>
      </c>
      <c r="T27" s="113"/>
      <c r="U27" s="76">
        <v>15.8231</v>
      </c>
      <c r="V27" s="54" t="s">
        <v>483</v>
      </c>
      <c r="W27" s="110"/>
      <c r="X27" s="110"/>
      <c r="Y27" s="110"/>
      <c r="Z27" s="110"/>
      <c r="AA27" s="110"/>
      <c r="AB27" s="100" t="s">
        <v>39</v>
      </c>
      <c r="AC27" s="76">
        <v>8</v>
      </c>
      <c r="AD27" s="247" t="s">
        <v>484</v>
      </c>
      <c r="AE27" s="12"/>
      <c r="AF27" s="12"/>
    </row>
    <row r="28" spans="1:32">
      <c r="A28" s="101">
        <v>22</v>
      </c>
      <c r="B28" s="108" t="s">
        <v>33</v>
      </c>
      <c r="C28" s="103" t="s">
        <v>479</v>
      </c>
      <c r="D28" s="103" t="s">
        <v>519</v>
      </c>
      <c r="E28" s="103" t="s">
        <v>524</v>
      </c>
      <c r="F28" s="103" t="s">
        <v>525</v>
      </c>
      <c r="G28" s="103">
        <v>612</v>
      </c>
      <c r="H28" s="103">
        <v>272</v>
      </c>
      <c r="I28" s="103">
        <v>1440</v>
      </c>
      <c r="J28" s="103">
        <v>769</v>
      </c>
      <c r="K28" s="103">
        <v>671</v>
      </c>
      <c r="L28" s="103">
        <v>234</v>
      </c>
      <c r="M28" s="105">
        <f t="shared" si="0"/>
        <v>16.25</v>
      </c>
      <c r="N28" s="103">
        <v>52</v>
      </c>
      <c r="O28" s="106">
        <f t="shared" si="1"/>
        <v>3.6111111111111107</v>
      </c>
      <c r="P28" s="242">
        <v>70</v>
      </c>
      <c r="Q28" s="103">
        <v>0</v>
      </c>
      <c r="R28" s="100" t="s">
        <v>39</v>
      </c>
      <c r="S28" s="126">
        <v>45907</v>
      </c>
      <c r="T28" s="116"/>
      <c r="U28" s="76"/>
      <c r="V28" s="54" t="s">
        <v>483</v>
      </c>
      <c r="W28" s="110"/>
      <c r="X28" s="110"/>
      <c r="Y28" s="110"/>
      <c r="Z28" s="110"/>
      <c r="AA28" s="110"/>
      <c r="AB28" s="54"/>
      <c r="AC28" s="76"/>
      <c r="AD28" s="247"/>
      <c r="AE28" s="12"/>
      <c r="AF28" s="12"/>
    </row>
    <row r="29" spans="1:32">
      <c r="A29" s="101" t="s">
        <v>51</v>
      </c>
      <c r="B29" s="108" t="s">
        <v>33</v>
      </c>
      <c r="C29" s="103" t="s">
        <v>479</v>
      </c>
      <c r="D29" s="103" t="s">
        <v>519</v>
      </c>
      <c r="E29" s="103" t="s">
        <v>524</v>
      </c>
      <c r="F29" s="103"/>
      <c r="G29" s="103"/>
      <c r="H29" s="103"/>
      <c r="I29" s="103"/>
      <c r="J29" s="103"/>
      <c r="K29" s="103"/>
      <c r="L29" s="103"/>
      <c r="M29" s="105" t="e">
        <f t="shared" si="0"/>
        <v>#DIV/0!</v>
      </c>
      <c r="N29" s="103"/>
      <c r="O29" s="106" t="e">
        <f t="shared" si="1"/>
        <v>#DIV/0!</v>
      </c>
      <c r="P29" s="242"/>
      <c r="Q29" s="103"/>
      <c r="R29" s="100"/>
      <c r="S29" s="126"/>
      <c r="T29" s="116"/>
      <c r="U29" s="76"/>
      <c r="V29" s="54"/>
      <c r="W29" s="110"/>
      <c r="X29" s="110"/>
      <c r="Y29" s="110"/>
      <c r="Z29" s="110"/>
      <c r="AA29" s="110"/>
      <c r="AB29" s="54" t="s">
        <v>39</v>
      </c>
      <c r="AC29" s="76">
        <v>12</v>
      </c>
      <c r="AD29" s="247"/>
      <c r="AE29" s="12">
        <v>24.6905</v>
      </c>
      <c r="AF29" s="12">
        <v>76.766000000000005</v>
      </c>
    </row>
    <row r="30" spans="1:32">
      <c r="A30" s="101">
        <v>23</v>
      </c>
      <c r="B30" s="108" t="s">
        <v>33</v>
      </c>
      <c r="C30" s="103" t="s">
        <v>479</v>
      </c>
      <c r="D30" s="103" t="s">
        <v>526</v>
      </c>
      <c r="E30" s="104" t="s">
        <v>527</v>
      </c>
      <c r="F30" s="103" t="s">
        <v>528</v>
      </c>
      <c r="G30" s="103">
        <v>575</v>
      </c>
      <c r="H30" s="103">
        <v>428</v>
      </c>
      <c r="I30" s="103">
        <v>1763</v>
      </c>
      <c r="J30" s="103">
        <v>921</v>
      </c>
      <c r="K30" s="103">
        <v>842</v>
      </c>
      <c r="L30" s="103">
        <v>348</v>
      </c>
      <c r="M30" s="105">
        <f t="shared" si="0"/>
        <v>19.739081111741349</v>
      </c>
      <c r="N30" s="103">
        <v>1141</v>
      </c>
      <c r="O30" s="106">
        <f t="shared" si="1"/>
        <v>64.719228587634717</v>
      </c>
      <c r="P30" s="242">
        <v>101</v>
      </c>
      <c r="Q30" s="103">
        <v>0</v>
      </c>
      <c r="R30" s="100" t="s">
        <v>39</v>
      </c>
      <c r="S30" s="79" t="s">
        <v>529</v>
      </c>
      <c r="T30" s="115"/>
      <c r="U30" s="80">
        <v>103.056</v>
      </c>
      <c r="V30" s="54" t="s">
        <v>483</v>
      </c>
      <c r="W30" s="110"/>
      <c r="X30" s="110"/>
      <c r="Y30" s="110"/>
      <c r="Z30" s="110" t="s">
        <v>39</v>
      </c>
      <c r="AA30" s="110"/>
      <c r="AB30" s="100"/>
      <c r="AC30" s="80"/>
      <c r="AD30" s="247"/>
      <c r="AE30" s="12"/>
      <c r="AF30" s="12"/>
    </row>
    <row r="31" spans="1:32">
      <c r="A31" s="101" t="s">
        <v>51</v>
      </c>
      <c r="B31" s="108" t="s">
        <v>33</v>
      </c>
      <c r="C31" s="103" t="s">
        <v>479</v>
      </c>
      <c r="D31" s="103" t="s">
        <v>526</v>
      </c>
      <c r="E31" s="104" t="s">
        <v>527</v>
      </c>
      <c r="F31" s="103"/>
      <c r="G31" s="103"/>
      <c r="H31" s="103"/>
      <c r="I31" s="103"/>
      <c r="J31" s="103"/>
      <c r="K31" s="103"/>
      <c r="L31" s="103"/>
      <c r="M31" s="105" t="e">
        <f t="shared" si="0"/>
        <v>#DIV/0!</v>
      </c>
      <c r="N31" s="103"/>
      <c r="O31" s="106" t="e">
        <f t="shared" si="1"/>
        <v>#DIV/0!</v>
      </c>
      <c r="P31" s="242"/>
      <c r="Q31" s="103"/>
      <c r="R31" s="100"/>
      <c r="S31" s="79"/>
      <c r="T31" s="115"/>
      <c r="U31" s="80"/>
      <c r="V31" s="54"/>
      <c r="W31" s="110"/>
      <c r="X31" s="110"/>
      <c r="Y31" s="110"/>
      <c r="Z31" s="110"/>
      <c r="AA31" s="110"/>
      <c r="AB31" s="100" t="s">
        <v>39</v>
      </c>
      <c r="AC31" s="80">
        <v>23</v>
      </c>
      <c r="AD31" s="247"/>
      <c r="AE31" s="12">
        <v>24.7896</v>
      </c>
      <c r="AF31" s="12">
        <v>76.641800000000003</v>
      </c>
    </row>
    <row r="32" spans="1:32">
      <c r="A32" s="101">
        <v>24</v>
      </c>
      <c r="B32" s="108" t="s">
        <v>33</v>
      </c>
      <c r="C32" s="103" t="s">
        <v>479</v>
      </c>
      <c r="D32" s="103" t="s">
        <v>526</v>
      </c>
      <c r="E32" s="103" t="s">
        <v>530</v>
      </c>
      <c r="F32" s="103" t="s">
        <v>531</v>
      </c>
      <c r="G32" s="103">
        <v>1187</v>
      </c>
      <c r="H32" s="103">
        <v>330</v>
      </c>
      <c r="I32" s="103">
        <v>1612</v>
      </c>
      <c r="J32" s="103">
        <v>849</v>
      </c>
      <c r="K32" s="103">
        <v>763</v>
      </c>
      <c r="L32" s="103">
        <v>73</v>
      </c>
      <c r="M32" s="105">
        <f t="shared" si="0"/>
        <v>4.5285359801488827</v>
      </c>
      <c r="N32" s="103">
        <v>972</v>
      </c>
      <c r="O32" s="106">
        <f t="shared" si="1"/>
        <v>60.297766749379655</v>
      </c>
      <c r="P32" s="242">
        <v>0</v>
      </c>
      <c r="Q32" s="103"/>
      <c r="R32" s="100" t="s">
        <v>39</v>
      </c>
      <c r="S32" s="126">
        <v>45918</v>
      </c>
      <c r="T32" s="115"/>
      <c r="U32" s="76"/>
      <c r="V32" s="54" t="s">
        <v>483</v>
      </c>
      <c r="W32" s="110"/>
      <c r="X32" s="110"/>
      <c r="Y32" s="110"/>
      <c r="Z32" s="110"/>
      <c r="AA32" s="110"/>
      <c r="AB32" s="100"/>
      <c r="AC32" s="76"/>
      <c r="AD32" s="247"/>
      <c r="AE32" s="12"/>
      <c r="AF32" s="12"/>
    </row>
    <row r="33" spans="1:32">
      <c r="A33" s="101">
        <v>25</v>
      </c>
      <c r="B33" s="108" t="s">
        <v>33</v>
      </c>
      <c r="C33" s="103" t="s">
        <v>479</v>
      </c>
      <c r="D33" s="103" t="s">
        <v>526</v>
      </c>
      <c r="E33" s="103" t="s">
        <v>532</v>
      </c>
      <c r="F33" s="103" t="s">
        <v>533</v>
      </c>
      <c r="G33" s="103">
        <v>151</v>
      </c>
      <c r="H33" s="103">
        <v>85</v>
      </c>
      <c r="I33" s="103">
        <v>340</v>
      </c>
      <c r="J33" s="103">
        <v>170</v>
      </c>
      <c r="K33" s="103">
        <v>170</v>
      </c>
      <c r="L33" s="103">
        <v>10</v>
      </c>
      <c r="M33" s="105">
        <f t="shared" si="0"/>
        <v>2.9411764705882351</v>
      </c>
      <c r="N33" s="103">
        <v>329</v>
      </c>
      <c r="O33" s="106">
        <f t="shared" si="1"/>
        <v>96.764705882352942</v>
      </c>
      <c r="P33" s="242">
        <v>10</v>
      </c>
      <c r="Q33" s="103">
        <v>154</v>
      </c>
      <c r="R33" s="100" t="s">
        <v>39</v>
      </c>
      <c r="S33" s="126">
        <v>45918</v>
      </c>
      <c r="T33" s="118"/>
      <c r="U33" s="76">
        <v>9.4210999999999991</v>
      </c>
      <c r="V33" s="54" t="s">
        <v>483</v>
      </c>
      <c r="W33" s="110"/>
      <c r="X33" s="110"/>
      <c r="Y33" s="110"/>
      <c r="Z33" s="110"/>
      <c r="AA33" s="110"/>
      <c r="AB33" s="100" t="s">
        <v>39</v>
      </c>
      <c r="AC33" s="76">
        <v>6</v>
      </c>
      <c r="AD33" s="247" t="s">
        <v>484</v>
      </c>
      <c r="AE33" s="12">
        <v>24.447375999999998</v>
      </c>
      <c r="AF33" s="12">
        <v>76.723665999999994</v>
      </c>
    </row>
    <row r="34" spans="1:32">
      <c r="A34" s="101">
        <v>26</v>
      </c>
      <c r="B34" s="108" t="s">
        <v>33</v>
      </c>
      <c r="C34" s="103" t="s">
        <v>479</v>
      </c>
      <c r="D34" s="103" t="s">
        <v>526</v>
      </c>
      <c r="E34" s="103" t="s">
        <v>534</v>
      </c>
      <c r="F34" s="103" t="s">
        <v>535</v>
      </c>
      <c r="G34" s="103">
        <v>147</v>
      </c>
      <c r="H34" s="103">
        <v>114</v>
      </c>
      <c r="I34" s="103">
        <v>535</v>
      </c>
      <c r="J34" s="103">
        <v>297</v>
      </c>
      <c r="K34" s="103">
        <v>238</v>
      </c>
      <c r="L34" s="103">
        <v>45</v>
      </c>
      <c r="M34" s="105">
        <f t="shared" si="0"/>
        <v>8.4112149532710276</v>
      </c>
      <c r="N34" s="103">
        <v>483</v>
      </c>
      <c r="O34" s="106">
        <f t="shared" si="1"/>
        <v>90.280373831775691</v>
      </c>
      <c r="P34" s="242">
        <v>44</v>
      </c>
      <c r="Q34" s="103">
        <v>780</v>
      </c>
      <c r="R34" s="100" t="s">
        <v>39</v>
      </c>
      <c r="S34" s="126">
        <v>45918</v>
      </c>
      <c r="T34" s="115"/>
      <c r="U34" s="76">
        <v>48.408299999999997</v>
      </c>
      <c r="V34" s="54" t="s">
        <v>483</v>
      </c>
      <c r="W34" s="110"/>
      <c r="X34" s="110"/>
      <c r="Y34" s="110"/>
      <c r="Z34" s="110"/>
      <c r="AA34" s="110"/>
      <c r="AB34" s="54"/>
      <c r="AC34" s="76"/>
      <c r="AD34" s="247"/>
      <c r="AE34" s="12"/>
      <c r="AF34" s="12"/>
    </row>
    <row r="35" spans="1:32">
      <c r="A35" s="101">
        <v>27</v>
      </c>
      <c r="B35" s="108" t="s">
        <v>33</v>
      </c>
      <c r="C35" s="103" t="s">
        <v>479</v>
      </c>
      <c r="D35" s="103" t="s">
        <v>526</v>
      </c>
      <c r="E35" s="103" t="s">
        <v>536</v>
      </c>
      <c r="F35" s="103" t="s">
        <v>537</v>
      </c>
      <c r="G35" s="103">
        <v>583</v>
      </c>
      <c r="H35" s="103">
        <v>186</v>
      </c>
      <c r="I35" s="103">
        <v>846</v>
      </c>
      <c r="J35" s="103">
        <v>453</v>
      </c>
      <c r="K35" s="103">
        <v>393</v>
      </c>
      <c r="L35" s="103">
        <v>1</v>
      </c>
      <c r="M35" s="105">
        <f t="shared" si="0"/>
        <v>0.1182033096926714</v>
      </c>
      <c r="N35" s="103">
        <v>548</v>
      </c>
      <c r="O35" s="106">
        <f t="shared" si="1"/>
        <v>64.775413711583923</v>
      </c>
      <c r="P35" s="242">
        <v>1</v>
      </c>
      <c r="Q35" s="103">
        <v>62</v>
      </c>
      <c r="R35" s="100" t="s">
        <v>39</v>
      </c>
      <c r="S35" s="126">
        <v>45918</v>
      </c>
      <c r="T35" s="115"/>
      <c r="U35" s="76">
        <v>1.3596999999999999</v>
      </c>
      <c r="V35" s="54" t="s">
        <v>483</v>
      </c>
      <c r="W35" s="110"/>
      <c r="X35" s="110"/>
      <c r="Y35" s="110"/>
      <c r="Z35" s="110"/>
      <c r="AA35" s="110"/>
      <c r="AB35" s="100" t="s">
        <v>39</v>
      </c>
      <c r="AC35" s="76">
        <v>8</v>
      </c>
      <c r="AD35" s="247" t="s">
        <v>484</v>
      </c>
      <c r="AE35" s="12"/>
      <c r="AF35" s="12"/>
    </row>
    <row r="36" spans="1:32">
      <c r="A36" s="101">
        <v>28</v>
      </c>
      <c r="B36" s="108" t="s">
        <v>33</v>
      </c>
      <c r="C36" s="103" t="s">
        <v>479</v>
      </c>
      <c r="D36" s="103" t="s">
        <v>526</v>
      </c>
      <c r="E36" s="103" t="s">
        <v>538</v>
      </c>
      <c r="F36" s="103" t="s">
        <v>539</v>
      </c>
      <c r="G36" s="103">
        <v>405</v>
      </c>
      <c r="H36" s="103">
        <v>314</v>
      </c>
      <c r="I36" s="103">
        <v>1422</v>
      </c>
      <c r="J36" s="103">
        <v>731</v>
      </c>
      <c r="K36" s="103">
        <v>691</v>
      </c>
      <c r="L36" s="103">
        <v>120</v>
      </c>
      <c r="M36" s="105">
        <f t="shared" si="0"/>
        <v>8.4388185654008439</v>
      </c>
      <c r="N36" s="103">
        <v>1235</v>
      </c>
      <c r="O36" s="106">
        <f t="shared" si="1"/>
        <v>86.849507735583686</v>
      </c>
      <c r="P36" s="242">
        <v>62</v>
      </c>
      <c r="Q36" s="103">
        <v>0</v>
      </c>
      <c r="R36" s="100" t="s">
        <v>39</v>
      </c>
      <c r="S36" s="79" t="s">
        <v>540</v>
      </c>
      <c r="T36" s="113"/>
      <c r="U36" s="80">
        <v>50</v>
      </c>
      <c r="V36" s="54" t="s">
        <v>483</v>
      </c>
      <c r="W36" s="110"/>
      <c r="X36" s="110"/>
      <c r="Y36" s="110"/>
      <c r="Z36" s="110"/>
      <c r="AA36" s="110"/>
      <c r="AB36" s="100"/>
      <c r="AC36" s="80">
        <v>10</v>
      </c>
      <c r="AD36" s="247"/>
      <c r="AE36" s="12"/>
      <c r="AF36" s="12"/>
    </row>
    <row r="37" spans="1:32">
      <c r="A37" s="101" t="s">
        <v>51</v>
      </c>
      <c r="B37" s="108" t="s">
        <v>33</v>
      </c>
      <c r="C37" s="103" t="s">
        <v>479</v>
      </c>
      <c r="D37" s="103" t="s">
        <v>526</v>
      </c>
      <c r="E37" s="103" t="s">
        <v>538</v>
      </c>
      <c r="F37" s="103"/>
      <c r="G37" s="103"/>
      <c r="H37" s="103"/>
      <c r="I37" s="103"/>
      <c r="J37" s="103"/>
      <c r="K37" s="103"/>
      <c r="L37" s="103"/>
      <c r="M37" s="105" t="e">
        <f t="shared" si="0"/>
        <v>#DIV/0!</v>
      </c>
      <c r="N37" s="103"/>
      <c r="O37" s="106" t="e">
        <f t="shared" si="1"/>
        <v>#DIV/0!</v>
      </c>
      <c r="P37" s="242"/>
      <c r="Q37" s="103"/>
      <c r="R37" s="100"/>
      <c r="S37" s="79"/>
      <c r="T37" s="113"/>
      <c r="U37" s="80"/>
      <c r="V37" s="54"/>
      <c r="W37" s="110"/>
      <c r="X37" s="110"/>
      <c r="Y37" s="110"/>
      <c r="Z37" s="110"/>
      <c r="AA37" s="110"/>
      <c r="AB37" s="100" t="s">
        <v>39</v>
      </c>
      <c r="AC37" s="80">
        <v>8</v>
      </c>
      <c r="AD37" s="247" t="s">
        <v>48</v>
      </c>
      <c r="AE37" s="12">
        <v>24.783899999999999</v>
      </c>
      <c r="AF37" s="12">
        <v>76.636499999999998</v>
      </c>
    </row>
    <row r="38" spans="1:32">
      <c r="A38" s="101">
        <v>29</v>
      </c>
      <c r="B38" s="108" t="s">
        <v>33</v>
      </c>
      <c r="C38" s="103" t="s">
        <v>479</v>
      </c>
      <c r="D38" s="103" t="s">
        <v>541</v>
      </c>
      <c r="E38" s="104" t="s">
        <v>542</v>
      </c>
      <c r="F38" s="103" t="s">
        <v>543</v>
      </c>
      <c r="G38" s="103">
        <v>956</v>
      </c>
      <c r="H38" s="103">
        <v>506</v>
      </c>
      <c r="I38" s="103">
        <v>2270</v>
      </c>
      <c r="J38" s="103">
        <v>1136</v>
      </c>
      <c r="K38" s="103">
        <v>1134</v>
      </c>
      <c r="L38" s="103">
        <v>47</v>
      </c>
      <c r="M38" s="105">
        <f t="shared" si="0"/>
        <v>2.0704845814977975</v>
      </c>
      <c r="N38" s="103">
        <v>0</v>
      </c>
      <c r="O38" s="106">
        <f t="shared" si="1"/>
        <v>0</v>
      </c>
      <c r="P38" s="242">
        <v>137</v>
      </c>
      <c r="Q38" s="103">
        <v>378</v>
      </c>
      <c r="R38" s="100" t="s">
        <v>39</v>
      </c>
      <c r="S38" s="126">
        <v>45905</v>
      </c>
      <c r="T38" s="113"/>
      <c r="U38" s="76">
        <v>144.46459999999999</v>
      </c>
      <c r="V38" s="54" t="s">
        <v>483</v>
      </c>
      <c r="W38" s="110"/>
      <c r="X38" s="110"/>
      <c r="Y38" s="110"/>
      <c r="Z38" s="110" t="s">
        <v>39</v>
      </c>
      <c r="AA38" s="110"/>
      <c r="AB38" s="100" t="s">
        <v>39</v>
      </c>
      <c r="AC38" s="76">
        <v>8</v>
      </c>
      <c r="AD38" s="247" t="s">
        <v>484</v>
      </c>
      <c r="AE38" s="12"/>
      <c r="AF38" s="12"/>
    </row>
    <row r="39" spans="1:32">
      <c r="A39" s="101" t="s">
        <v>51</v>
      </c>
      <c r="B39" s="108" t="s">
        <v>33</v>
      </c>
      <c r="C39" s="103" t="s">
        <v>479</v>
      </c>
      <c r="D39" s="103" t="s">
        <v>541</v>
      </c>
      <c r="E39" s="104" t="s">
        <v>542</v>
      </c>
      <c r="F39" s="103"/>
      <c r="G39" s="103"/>
      <c r="H39" s="103"/>
      <c r="I39" s="103"/>
      <c r="J39" s="103"/>
      <c r="K39" s="103"/>
      <c r="L39" s="103"/>
      <c r="M39" s="105" t="e">
        <f t="shared" si="0"/>
        <v>#DIV/0!</v>
      </c>
      <c r="N39" s="103"/>
      <c r="O39" s="106" t="e">
        <f t="shared" si="1"/>
        <v>#DIV/0!</v>
      </c>
      <c r="P39" s="242"/>
      <c r="Q39" s="103"/>
      <c r="R39" s="100"/>
      <c r="S39" s="126"/>
      <c r="T39" s="113"/>
      <c r="U39" s="76"/>
      <c r="V39" s="54"/>
      <c r="W39" s="110"/>
      <c r="X39" s="110"/>
      <c r="Y39" s="110"/>
      <c r="Z39" s="110"/>
      <c r="AA39" s="110"/>
      <c r="AB39" s="100" t="s">
        <v>39</v>
      </c>
      <c r="AC39" s="76">
        <v>19</v>
      </c>
      <c r="AD39" s="247"/>
      <c r="AE39" s="12">
        <v>24.7712</v>
      </c>
      <c r="AF39" s="12">
        <v>76.628900000000002</v>
      </c>
    </row>
    <row r="40" spans="1:32">
      <c r="A40" s="101">
        <v>30</v>
      </c>
      <c r="B40" s="108" t="s">
        <v>33</v>
      </c>
      <c r="C40" s="103" t="s">
        <v>479</v>
      </c>
      <c r="D40" s="103" t="s">
        <v>541</v>
      </c>
      <c r="E40" s="103" t="s">
        <v>544</v>
      </c>
      <c r="F40" s="103" t="s">
        <v>545</v>
      </c>
      <c r="G40" s="103">
        <v>308</v>
      </c>
      <c r="H40" s="103">
        <v>159</v>
      </c>
      <c r="I40" s="103">
        <v>910</v>
      </c>
      <c r="J40" s="103">
        <v>453</v>
      </c>
      <c r="K40" s="103">
        <v>457</v>
      </c>
      <c r="L40" s="103">
        <v>255</v>
      </c>
      <c r="M40" s="105">
        <f t="shared" si="0"/>
        <v>28.021978021978022</v>
      </c>
      <c r="N40" s="103">
        <v>208</v>
      </c>
      <c r="O40" s="106">
        <f t="shared" si="1"/>
        <v>22.857142857142858</v>
      </c>
      <c r="P40" s="242">
        <v>0</v>
      </c>
      <c r="Q40" s="103">
        <v>58</v>
      </c>
      <c r="R40" s="100" t="s">
        <v>39</v>
      </c>
      <c r="S40" s="126">
        <v>45905</v>
      </c>
      <c r="T40" s="113"/>
      <c r="U40" s="76">
        <v>45.95</v>
      </c>
      <c r="V40" s="54" t="s">
        <v>483</v>
      </c>
      <c r="W40" s="110"/>
      <c r="X40" s="110"/>
      <c r="Y40" s="110"/>
      <c r="Z40" s="110"/>
      <c r="AA40" s="110"/>
      <c r="AB40" s="54"/>
      <c r="AC40" s="76"/>
      <c r="AD40" s="247"/>
      <c r="AE40" s="12"/>
      <c r="AF40" s="12"/>
    </row>
    <row r="41" spans="1:32">
      <c r="A41" s="101">
        <v>31</v>
      </c>
      <c r="B41" s="108" t="s">
        <v>33</v>
      </c>
      <c r="C41" s="103" t="s">
        <v>479</v>
      </c>
      <c r="D41" s="103" t="s">
        <v>541</v>
      </c>
      <c r="E41" s="103" t="s">
        <v>546</v>
      </c>
      <c r="F41" s="103" t="s">
        <v>547</v>
      </c>
      <c r="G41" s="103">
        <v>185</v>
      </c>
      <c r="H41" s="103">
        <v>40</v>
      </c>
      <c r="I41" s="103">
        <v>228</v>
      </c>
      <c r="J41" s="103">
        <v>120</v>
      </c>
      <c r="K41" s="103">
        <v>108</v>
      </c>
      <c r="L41" s="103">
        <v>0</v>
      </c>
      <c r="M41" s="105">
        <f t="shared" si="0"/>
        <v>0</v>
      </c>
      <c r="N41" s="103">
        <v>0</v>
      </c>
      <c r="O41" s="106">
        <f t="shared" si="1"/>
        <v>0</v>
      </c>
      <c r="P41" s="242">
        <v>7</v>
      </c>
      <c r="Q41" s="103">
        <v>297</v>
      </c>
      <c r="R41" s="100" t="s">
        <v>39</v>
      </c>
      <c r="S41" s="126">
        <v>45905</v>
      </c>
      <c r="T41" s="113"/>
      <c r="U41" s="76"/>
      <c r="V41" s="54" t="s">
        <v>483</v>
      </c>
      <c r="W41" s="110"/>
      <c r="X41" s="110"/>
      <c r="Y41" s="110"/>
      <c r="Z41" s="110"/>
      <c r="AA41" s="110"/>
      <c r="AB41" s="100"/>
      <c r="AC41" s="76"/>
      <c r="AD41" s="247"/>
      <c r="AE41" s="12"/>
      <c r="AF41" s="12"/>
    </row>
    <row r="42" spans="1:32">
      <c r="A42" s="101">
        <v>32</v>
      </c>
      <c r="B42" s="108" t="s">
        <v>33</v>
      </c>
      <c r="C42" s="103" t="s">
        <v>479</v>
      </c>
      <c r="D42" s="103" t="s">
        <v>541</v>
      </c>
      <c r="E42" s="103" t="s">
        <v>548</v>
      </c>
      <c r="F42" s="103" t="s">
        <v>549</v>
      </c>
      <c r="G42" s="103">
        <v>608</v>
      </c>
      <c r="H42" s="103">
        <v>144</v>
      </c>
      <c r="I42" s="103">
        <v>616</v>
      </c>
      <c r="J42" s="103">
        <v>313</v>
      </c>
      <c r="K42" s="103">
        <v>303</v>
      </c>
      <c r="L42" s="103">
        <v>18</v>
      </c>
      <c r="M42" s="105">
        <f t="shared" si="0"/>
        <v>2.9220779220779218</v>
      </c>
      <c r="N42" s="103">
        <v>8</v>
      </c>
      <c r="O42" s="106">
        <f t="shared" si="1"/>
        <v>1.2987012987012987</v>
      </c>
      <c r="P42" s="242">
        <v>64</v>
      </c>
      <c r="Q42" s="103">
        <v>141</v>
      </c>
      <c r="R42" s="100" t="s">
        <v>39</v>
      </c>
      <c r="S42" s="126">
        <v>45905</v>
      </c>
      <c r="T42" s="113"/>
      <c r="U42" s="76">
        <v>4.6703000000000001</v>
      </c>
      <c r="V42" s="54" t="s">
        <v>483</v>
      </c>
      <c r="W42" s="110"/>
      <c r="X42" s="110"/>
      <c r="Y42" s="110"/>
      <c r="Z42" s="110"/>
      <c r="AA42" s="110"/>
      <c r="AB42" s="100" t="s">
        <v>39</v>
      </c>
      <c r="AC42" s="76">
        <v>9</v>
      </c>
      <c r="AD42" s="247" t="s">
        <v>484</v>
      </c>
      <c r="AE42" s="12">
        <v>24.653988999999999</v>
      </c>
      <c r="AF42" s="12">
        <v>76.723152999999996</v>
      </c>
    </row>
    <row r="43" spans="1:32">
      <c r="A43" s="101">
        <v>33</v>
      </c>
      <c r="B43" s="108" t="s">
        <v>33</v>
      </c>
      <c r="C43" s="103" t="s">
        <v>479</v>
      </c>
      <c r="D43" s="103" t="s">
        <v>541</v>
      </c>
      <c r="E43" s="103" t="s">
        <v>550</v>
      </c>
      <c r="F43" s="103" t="s">
        <v>551</v>
      </c>
      <c r="G43" s="103">
        <v>561</v>
      </c>
      <c r="H43" s="103">
        <v>252</v>
      </c>
      <c r="I43" s="103">
        <v>1276</v>
      </c>
      <c r="J43" s="103">
        <v>661</v>
      </c>
      <c r="K43" s="103">
        <v>615</v>
      </c>
      <c r="L43" s="103">
        <v>555</v>
      </c>
      <c r="M43" s="105">
        <f t="shared" si="0"/>
        <v>43.495297805642636</v>
      </c>
      <c r="N43" s="103">
        <v>0</v>
      </c>
      <c r="O43" s="106">
        <f t="shared" si="1"/>
        <v>0</v>
      </c>
      <c r="P43" s="242">
        <v>48</v>
      </c>
      <c r="Q43" s="103">
        <v>0</v>
      </c>
      <c r="R43" s="100" t="s">
        <v>39</v>
      </c>
      <c r="S43" s="126">
        <v>45905</v>
      </c>
      <c r="T43" s="113"/>
      <c r="U43" s="76">
        <v>28.878399999999999</v>
      </c>
      <c r="V43" s="54" t="s">
        <v>483</v>
      </c>
      <c r="W43" s="110"/>
      <c r="X43" s="110"/>
      <c r="Y43" s="110"/>
      <c r="Z43" s="110"/>
      <c r="AA43" s="110"/>
      <c r="AB43" s="100" t="s">
        <v>39</v>
      </c>
      <c r="AC43" s="76">
        <v>6</v>
      </c>
      <c r="AD43" s="247" t="s">
        <v>484</v>
      </c>
      <c r="AE43" s="12">
        <v>24.540955</v>
      </c>
      <c r="AF43" s="12">
        <v>76.698702999999995</v>
      </c>
    </row>
    <row r="44" spans="1:32">
      <c r="A44" s="101">
        <v>34</v>
      </c>
      <c r="B44" s="108" t="s">
        <v>33</v>
      </c>
      <c r="C44" s="103" t="s">
        <v>479</v>
      </c>
      <c r="D44" s="103" t="s">
        <v>552</v>
      </c>
      <c r="E44" s="104" t="s">
        <v>410</v>
      </c>
      <c r="F44" s="103" t="s">
        <v>553</v>
      </c>
      <c r="G44" s="103">
        <v>1458</v>
      </c>
      <c r="H44" s="103">
        <v>260</v>
      </c>
      <c r="I44" s="103">
        <v>1231</v>
      </c>
      <c r="J44" s="103">
        <v>655</v>
      </c>
      <c r="K44" s="103">
        <v>576</v>
      </c>
      <c r="L44" s="103">
        <v>196</v>
      </c>
      <c r="M44" s="105">
        <f t="shared" si="0"/>
        <v>15.922014622258326</v>
      </c>
      <c r="N44" s="103">
        <v>5</v>
      </c>
      <c r="O44" s="106">
        <f t="shared" si="1"/>
        <v>0.40617384240454912</v>
      </c>
      <c r="P44" s="242">
        <v>59</v>
      </c>
      <c r="Q44" s="103">
        <v>0</v>
      </c>
      <c r="R44" s="100" t="s">
        <v>39</v>
      </c>
      <c r="S44" s="111"/>
      <c r="T44" s="113"/>
      <c r="U44" s="111"/>
      <c r="V44" s="54"/>
      <c r="W44" s="110"/>
      <c r="X44" s="110"/>
      <c r="Y44" s="110"/>
      <c r="Z44" s="110"/>
      <c r="AA44" s="110"/>
      <c r="AB44" s="100"/>
      <c r="AC44" s="111"/>
      <c r="AD44" s="247"/>
      <c r="AE44" s="12"/>
      <c r="AF44" s="12"/>
    </row>
    <row r="45" spans="1:32">
      <c r="A45" s="101">
        <v>35</v>
      </c>
      <c r="B45" s="108" t="s">
        <v>33</v>
      </c>
      <c r="C45" s="103" t="s">
        <v>479</v>
      </c>
      <c r="D45" s="103" t="s">
        <v>552</v>
      </c>
      <c r="E45" s="103" t="s">
        <v>554</v>
      </c>
      <c r="F45" s="103" t="s">
        <v>555</v>
      </c>
      <c r="G45" s="103">
        <v>548</v>
      </c>
      <c r="H45" s="103">
        <v>188</v>
      </c>
      <c r="I45" s="103">
        <v>874</v>
      </c>
      <c r="J45" s="103">
        <v>439</v>
      </c>
      <c r="K45" s="103">
        <v>435</v>
      </c>
      <c r="L45" s="103">
        <v>315</v>
      </c>
      <c r="M45" s="105">
        <f t="shared" si="0"/>
        <v>36.041189931350118</v>
      </c>
      <c r="N45" s="103">
        <v>111</v>
      </c>
      <c r="O45" s="106">
        <f t="shared" si="1"/>
        <v>12.700228832951947</v>
      </c>
      <c r="P45" s="242">
        <v>81</v>
      </c>
      <c r="Q45" s="103">
        <v>150</v>
      </c>
      <c r="R45" s="100" t="s">
        <v>39</v>
      </c>
      <c r="S45" s="111"/>
      <c r="T45" s="113"/>
      <c r="U45" s="111"/>
      <c r="V45" s="54"/>
      <c r="W45" s="110"/>
      <c r="X45" s="110"/>
      <c r="Y45" s="110"/>
      <c r="Z45" s="110"/>
      <c r="AA45" s="110"/>
      <c r="AB45" s="100"/>
      <c r="AC45" s="111"/>
      <c r="AD45" s="247"/>
      <c r="AE45" s="12"/>
      <c r="AF45" s="12"/>
    </row>
    <row r="46" spans="1:32">
      <c r="A46" s="101">
        <v>36</v>
      </c>
      <c r="B46" s="108" t="s">
        <v>33</v>
      </c>
      <c r="C46" s="103" t="s">
        <v>479</v>
      </c>
      <c r="D46" s="103" t="s">
        <v>552</v>
      </c>
      <c r="E46" s="103" t="s">
        <v>274</v>
      </c>
      <c r="F46" s="103" t="s">
        <v>556</v>
      </c>
      <c r="G46" s="103">
        <v>569</v>
      </c>
      <c r="H46" s="103">
        <v>122</v>
      </c>
      <c r="I46" s="103">
        <v>572</v>
      </c>
      <c r="J46" s="103">
        <v>306</v>
      </c>
      <c r="K46" s="103">
        <v>266</v>
      </c>
      <c r="L46" s="103">
        <v>56</v>
      </c>
      <c r="M46" s="105">
        <f t="shared" si="0"/>
        <v>9.79020979020979</v>
      </c>
      <c r="N46" s="103">
        <v>304</v>
      </c>
      <c r="O46" s="106">
        <f t="shared" si="1"/>
        <v>53.146853146853147</v>
      </c>
      <c r="P46" s="242">
        <v>37</v>
      </c>
      <c r="Q46" s="103">
        <v>933</v>
      </c>
      <c r="R46" s="54"/>
      <c r="S46" s="111"/>
      <c r="T46" s="113"/>
      <c r="U46" s="111"/>
      <c r="V46" s="54"/>
      <c r="W46" s="110"/>
      <c r="X46" s="110"/>
      <c r="Y46" s="110"/>
      <c r="Z46" s="110"/>
      <c r="AA46" s="110"/>
      <c r="AB46" s="100"/>
      <c r="AC46" s="111"/>
      <c r="AD46" s="247"/>
      <c r="AE46" s="12"/>
      <c r="AF46" s="12"/>
    </row>
    <row r="47" spans="1:32">
      <c r="A47" s="101">
        <v>37</v>
      </c>
      <c r="B47" s="108" t="s">
        <v>33</v>
      </c>
      <c r="C47" s="103" t="s">
        <v>479</v>
      </c>
      <c r="D47" s="103" t="s">
        <v>552</v>
      </c>
      <c r="E47" s="103" t="s">
        <v>557</v>
      </c>
      <c r="F47" s="103" t="s">
        <v>558</v>
      </c>
      <c r="G47" s="103">
        <v>87</v>
      </c>
      <c r="H47" s="103">
        <v>99</v>
      </c>
      <c r="I47" s="103">
        <v>536</v>
      </c>
      <c r="J47" s="103">
        <v>263</v>
      </c>
      <c r="K47" s="103">
        <v>273</v>
      </c>
      <c r="L47" s="103">
        <v>40</v>
      </c>
      <c r="M47" s="105">
        <f t="shared" si="0"/>
        <v>7.4626865671641784</v>
      </c>
      <c r="N47" s="103">
        <v>0</v>
      </c>
      <c r="O47" s="106">
        <f t="shared" si="1"/>
        <v>0</v>
      </c>
      <c r="P47" s="242">
        <v>13</v>
      </c>
      <c r="Q47" s="103">
        <v>0</v>
      </c>
      <c r="R47" s="54"/>
      <c r="S47" s="111"/>
      <c r="T47" s="113"/>
      <c r="U47" s="111"/>
      <c r="V47" s="54"/>
      <c r="W47" s="110"/>
      <c r="X47" s="110"/>
      <c r="Y47" s="110"/>
      <c r="Z47" s="110"/>
      <c r="AA47" s="110"/>
      <c r="AB47" s="100"/>
      <c r="AC47" s="111"/>
      <c r="AD47" s="247"/>
      <c r="AE47" s="12"/>
      <c r="AF47" s="12"/>
    </row>
    <row r="48" spans="1:32">
      <c r="A48" s="101">
        <v>38</v>
      </c>
      <c r="B48" s="108" t="s">
        <v>33</v>
      </c>
      <c r="C48" s="103" t="s">
        <v>479</v>
      </c>
      <c r="D48" s="103" t="s">
        <v>552</v>
      </c>
      <c r="E48" s="103" t="s">
        <v>559</v>
      </c>
      <c r="F48" s="103" t="s">
        <v>560</v>
      </c>
      <c r="G48" s="103">
        <v>287</v>
      </c>
      <c r="H48" s="103">
        <v>248</v>
      </c>
      <c r="I48" s="103">
        <v>1285</v>
      </c>
      <c r="J48" s="103">
        <v>667</v>
      </c>
      <c r="K48" s="103">
        <v>618</v>
      </c>
      <c r="L48" s="103">
        <v>211</v>
      </c>
      <c r="M48" s="105">
        <f t="shared" si="0"/>
        <v>16.420233463035018</v>
      </c>
      <c r="N48" s="103">
        <v>46</v>
      </c>
      <c r="O48" s="106">
        <f t="shared" si="1"/>
        <v>3.5797665369649803</v>
      </c>
      <c r="P48" s="242">
        <v>69</v>
      </c>
      <c r="Q48" s="103">
        <v>317</v>
      </c>
      <c r="R48" s="100" t="s">
        <v>39</v>
      </c>
      <c r="S48" s="111"/>
      <c r="T48" s="115"/>
      <c r="U48" s="111"/>
      <c r="V48" s="54"/>
      <c r="W48" s="110"/>
      <c r="X48" s="110"/>
      <c r="Y48" s="110"/>
      <c r="Z48" s="110"/>
      <c r="AA48" s="110"/>
      <c r="AB48" s="54"/>
      <c r="AC48" s="111"/>
      <c r="AD48" s="247"/>
      <c r="AE48" s="12"/>
      <c r="AF48" s="12"/>
    </row>
    <row r="49" spans="1:32">
      <c r="A49" s="101">
        <v>39</v>
      </c>
      <c r="B49" s="108" t="s">
        <v>33</v>
      </c>
      <c r="C49" s="103" t="s">
        <v>479</v>
      </c>
      <c r="D49" s="103" t="s">
        <v>552</v>
      </c>
      <c r="E49" s="103" t="s">
        <v>561</v>
      </c>
      <c r="F49" s="103" t="s">
        <v>562</v>
      </c>
      <c r="G49" s="103">
        <v>843</v>
      </c>
      <c r="H49" s="103">
        <v>240</v>
      </c>
      <c r="I49" s="103">
        <v>1263</v>
      </c>
      <c r="J49" s="103">
        <v>647</v>
      </c>
      <c r="K49" s="103">
        <v>616</v>
      </c>
      <c r="L49" s="103">
        <v>230</v>
      </c>
      <c r="M49" s="105">
        <f t="shared" si="0"/>
        <v>18.210609659540776</v>
      </c>
      <c r="N49" s="103">
        <v>0</v>
      </c>
      <c r="O49" s="106">
        <f t="shared" si="1"/>
        <v>0</v>
      </c>
      <c r="P49" s="242">
        <v>61</v>
      </c>
      <c r="Q49" s="103">
        <v>0</v>
      </c>
      <c r="R49" s="100" t="s">
        <v>39</v>
      </c>
      <c r="S49" s="79" t="s">
        <v>37</v>
      </c>
      <c r="T49" s="113"/>
      <c r="U49" s="79">
        <v>60.99</v>
      </c>
      <c r="V49" s="54" t="s">
        <v>483</v>
      </c>
      <c r="W49" s="110"/>
      <c r="X49" s="110"/>
      <c r="Y49" s="110"/>
      <c r="Z49" s="110"/>
      <c r="AA49" s="110"/>
      <c r="AB49" s="100" t="s">
        <v>39</v>
      </c>
      <c r="AC49" s="79">
        <v>20</v>
      </c>
      <c r="AD49" s="247" t="s">
        <v>484</v>
      </c>
      <c r="AE49" s="12"/>
      <c r="AF49" s="12"/>
    </row>
    <row r="50" spans="1:32">
      <c r="A50" s="101">
        <v>40</v>
      </c>
      <c r="B50" s="108" t="s">
        <v>33</v>
      </c>
      <c r="C50" s="103" t="s">
        <v>479</v>
      </c>
      <c r="D50" s="103" t="s">
        <v>552</v>
      </c>
      <c r="E50" s="103" t="s">
        <v>563</v>
      </c>
      <c r="F50" s="103" t="s">
        <v>564</v>
      </c>
      <c r="G50" s="103">
        <v>185</v>
      </c>
      <c r="H50" s="103">
        <v>0</v>
      </c>
      <c r="I50" s="103">
        <v>0</v>
      </c>
      <c r="J50" s="103">
        <v>0</v>
      </c>
      <c r="K50" s="103">
        <v>0</v>
      </c>
      <c r="L50" s="103">
        <v>0</v>
      </c>
      <c r="M50" s="105" t="e">
        <f t="shared" si="0"/>
        <v>#DIV/0!</v>
      </c>
      <c r="N50" s="103">
        <v>0</v>
      </c>
      <c r="O50" s="106" t="e">
        <f t="shared" si="1"/>
        <v>#DIV/0!</v>
      </c>
      <c r="P50" s="242">
        <v>0</v>
      </c>
      <c r="Q50" s="103">
        <v>0</v>
      </c>
      <c r="R50" s="100" t="s">
        <v>39</v>
      </c>
      <c r="S50" s="111"/>
      <c r="T50" s="113"/>
      <c r="U50" s="111"/>
      <c r="V50" s="54"/>
      <c r="W50" s="110"/>
      <c r="X50" s="110"/>
      <c r="Y50" s="110"/>
      <c r="Z50" s="110"/>
      <c r="AA50" s="110"/>
      <c r="AB50" s="100"/>
      <c r="AC50" s="111"/>
      <c r="AD50" s="247"/>
      <c r="AE50" s="12"/>
      <c r="AF50" s="12"/>
    </row>
    <row r="51" spans="1:32">
      <c r="A51" s="101">
        <v>41</v>
      </c>
      <c r="B51" s="108" t="s">
        <v>33</v>
      </c>
      <c r="C51" s="103" t="s">
        <v>479</v>
      </c>
      <c r="D51" s="103" t="s">
        <v>552</v>
      </c>
      <c r="E51" s="103" t="s">
        <v>565</v>
      </c>
      <c r="F51" s="103" t="s">
        <v>566</v>
      </c>
      <c r="G51" s="103">
        <v>1374</v>
      </c>
      <c r="H51" s="103">
        <v>154</v>
      </c>
      <c r="I51" s="103">
        <v>811</v>
      </c>
      <c r="J51" s="103">
        <v>431</v>
      </c>
      <c r="K51" s="103">
        <v>380</v>
      </c>
      <c r="L51" s="103">
        <v>195</v>
      </c>
      <c r="M51" s="105">
        <f t="shared" si="0"/>
        <v>24.044389642416768</v>
      </c>
      <c r="N51" s="103">
        <v>162</v>
      </c>
      <c r="O51" s="106">
        <f t="shared" si="1"/>
        <v>19.975339087546239</v>
      </c>
      <c r="P51" s="242">
        <v>90</v>
      </c>
      <c r="Q51" s="103">
        <v>334</v>
      </c>
      <c r="R51" s="100" t="s">
        <v>39</v>
      </c>
      <c r="S51" s="111"/>
      <c r="T51" s="113"/>
      <c r="U51" s="111"/>
      <c r="V51" s="54"/>
      <c r="W51" s="110"/>
      <c r="X51" s="110"/>
      <c r="Y51" s="110"/>
      <c r="Z51" s="110"/>
      <c r="AA51" s="110"/>
      <c r="AB51" s="100"/>
      <c r="AC51" s="111"/>
      <c r="AD51" s="247"/>
      <c r="AE51" s="12"/>
      <c r="AF51" s="12"/>
    </row>
    <row r="52" spans="1:32">
      <c r="A52" s="101">
        <v>42</v>
      </c>
      <c r="B52" s="108" t="s">
        <v>33</v>
      </c>
      <c r="C52" s="103" t="s">
        <v>479</v>
      </c>
      <c r="D52" s="103" t="s">
        <v>479</v>
      </c>
      <c r="E52" s="104" t="s">
        <v>567</v>
      </c>
      <c r="F52" s="103" t="s">
        <v>568</v>
      </c>
      <c r="G52" s="103">
        <v>0</v>
      </c>
      <c r="H52" s="103">
        <v>0</v>
      </c>
      <c r="I52" s="103">
        <v>0</v>
      </c>
      <c r="J52" s="103">
        <v>0</v>
      </c>
      <c r="K52" s="103">
        <v>0</v>
      </c>
      <c r="L52" s="103">
        <v>0</v>
      </c>
      <c r="M52" s="105" t="e">
        <f t="shared" si="0"/>
        <v>#DIV/0!</v>
      </c>
      <c r="N52" s="103">
        <v>0</v>
      </c>
      <c r="O52" s="106" t="e">
        <f t="shared" si="1"/>
        <v>#DIV/0!</v>
      </c>
      <c r="P52" s="242">
        <v>0</v>
      </c>
      <c r="Q52" s="103">
        <v>132</v>
      </c>
      <c r="R52" s="100" t="s">
        <v>39</v>
      </c>
      <c r="S52" s="111"/>
      <c r="T52" s="115"/>
      <c r="U52" s="111"/>
      <c r="V52" s="54"/>
      <c r="W52" s="110"/>
      <c r="X52" s="110"/>
      <c r="Y52" s="110"/>
      <c r="Z52" s="110"/>
      <c r="AA52" s="110"/>
      <c r="AB52" s="100"/>
      <c r="AC52" s="111"/>
      <c r="AD52" s="247"/>
      <c r="AE52" s="12"/>
      <c r="AF52" s="12"/>
    </row>
    <row r="53" spans="1:32">
      <c r="A53" s="101">
        <v>43</v>
      </c>
      <c r="B53" s="108" t="s">
        <v>33</v>
      </c>
      <c r="C53" s="103" t="s">
        <v>479</v>
      </c>
      <c r="D53" s="103" t="s">
        <v>569</v>
      </c>
      <c r="E53" s="104" t="s">
        <v>570</v>
      </c>
      <c r="F53" s="103" t="s">
        <v>571</v>
      </c>
      <c r="G53" s="103">
        <v>824</v>
      </c>
      <c r="H53" s="103">
        <v>525</v>
      </c>
      <c r="I53" s="103">
        <v>2376</v>
      </c>
      <c r="J53" s="103">
        <v>1228</v>
      </c>
      <c r="K53" s="103">
        <v>1148</v>
      </c>
      <c r="L53" s="103">
        <v>321</v>
      </c>
      <c r="M53" s="105">
        <f t="shared" si="0"/>
        <v>13.51010101010101</v>
      </c>
      <c r="N53" s="103">
        <v>249</v>
      </c>
      <c r="O53" s="106">
        <f t="shared" si="1"/>
        <v>10.479797979797979</v>
      </c>
      <c r="P53" s="242">
        <v>53.6</v>
      </c>
      <c r="Q53" s="103">
        <v>829</v>
      </c>
      <c r="R53" s="100" t="s">
        <v>39</v>
      </c>
      <c r="S53" s="79" t="s">
        <v>572</v>
      </c>
      <c r="T53" s="115"/>
      <c r="U53" s="79">
        <v>20.98</v>
      </c>
      <c r="V53" s="54" t="s">
        <v>483</v>
      </c>
      <c r="W53" s="110"/>
      <c r="X53" s="110"/>
      <c r="Y53" s="110"/>
      <c r="Z53" s="110"/>
      <c r="AA53" s="110"/>
      <c r="AB53" s="100"/>
      <c r="AC53" s="80"/>
      <c r="AD53" s="247"/>
      <c r="AE53" s="12"/>
      <c r="AF53" s="12"/>
    </row>
    <row r="54" spans="1:32">
      <c r="A54" s="101">
        <v>44</v>
      </c>
      <c r="B54" s="108" t="s">
        <v>33</v>
      </c>
      <c r="C54" s="103" t="s">
        <v>479</v>
      </c>
      <c r="D54" s="103" t="s">
        <v>569</v>
      </c>
      <c r="E54" s="103" t="s">
        <v>573</v>
      </c>
      <c r="F54" s="103" t="s">
        <v>574</v>
      </c>
      <c r="G54" s="103">
        <v>177</v>
      </c>
      <c r="H54" s="103">
        <v>146</v>
      </c>
      <c r="I54" s="103">
        <v>741</v>
      </c>
      <c r="J54" s="103">
        <v>393</v>
      </c>
      <c r="K54" s="103">
        <v>348</v>
      </c>
      <c r="L54" s="103">
        <v>26</v>
      </c>
      <c r="M54" s="105">
        <f t="shared" si="0"/>
        <v>3.5087719298245612</v>
      </c>
      <c r="N54" s="103">
        <v>698</v>
      </c>
      <c r="O54" s="106">
        <f t="shared" si="1"/>
        <v>94.197031039136306</v>
      </c>
      <c r="P54" s="242">
        <v>26.9</v>
      </c>
      <c r="Q54" s="103">
        <v>0</v>
      </c>
      <c r="R54" s="100" t="s">
        <v>39</v>
      </c>
      <c r="S54" s="79" t="s">
        <v>572</v>
      </c>
      <c r="T54" s="115"/>
      <c r="U54" s="80">
        <v>26.74</v>
      </c>
      <c r="V54" s="54" t="s">
        <v>483</v>
      </c>
      <c r="W54" s="110"/>
      <c r="X54" s="110"/>
      <c r="Y54" s="110"/>
      <c r="Z54" s="110"/>
      <c r="AA54" s="110"/>
      <c r="AB54" s="100" t="s">
        <v>39</v>
      </c>
      <c r="AC54" s="80">
        <v>1</v>
      </c>
      <c r="AD54" s="247" t="s">
        <v>484</v>
      </c>
      <c r="AE54" s="12"/>
      <c r="AF54" s="12"/>
    </row>
    <row r="55" spans="1:32">
      <c r="A55" s="101">
        <v>45</v>
      </c>
      <c r="B55" s="108" t="s">
        <v>33</v>
      </c>
      <c r="C55" s="103" t="s">
        <v>479</v>
      </c>
      <c r="D55" s="103" t="s">
        <v>569</v>
      </c>
      <c r="E55" s="103" t="s">
        <v>575</v>
      </c>
      <c r="F55" s="103" t="s">
        <v>576</v>
      </c>
      <c r="G55" s="103">
        <v>153</v>
      </c>
      <c r="H55" s="103">
        <v>8</v>
      </c>
      <c r="I55" s="103">
        <v>24</v>
      </c>
      <c r="J55" s="103">
        <v>11</v>
      </c>
      <c r="K55" s="103">
        <v>13</v>
      </c>
      <c r="L55" s="103">
        <v>0</v>
      </c>
      <c r="M55" s="105">
        <f t="shared" si="0"/>
        <v>0</v>
      </c>
      <c r="N55" s="103">
        <v>19</v>
      </c>
      <c r="O55" s="106">
        <f t="shared" si="1"/>
        <v>79.166666666666657</v>
      </c>
      <c r="P55" s="242">
        <v>0</v>
      </c>
      <c r="Q55" s="103">
        <v>268.5</v>
      </c>
      <c r="R55" s="54"/>
      <c r="S55" s="111"/>
      <c r="T55" s="115"/>
      <c r="U55" s="111"/>
      <c r="V55" s="54"/>
      <c r="W55" s="110"/>
      <c r="X55" s="110"/>
      <c r="Y55" s="110"/>
      <c r="Z55" s="110"/>
      <c r="AA55" s="110"/>
      <c r="AB55" s="100"/>
      <c r="AC55" s="111"/>
      <c r="AD55" s="247"/>
      <c r="AE55" s="12"/>
      <c r="AF55" s="12"/>
    </row>
    <row r="56" spans="1:32">
      <c r="A56" s="101">
        <v>46</v>
      </c>
      <c r="B56" s="108" t="s">
        <v>33</v>
      </c>
      <c r="C56" s="103" t="s">
        <v>479</v>
      </c>
      <c r="D56" s="103" t="s">
        <v>569</v>
      </c>
      <c r="E56" s="103" t="s">
        <v>161</v>
      </c>
      <c r="F56" s="103" t="s">
        <v>577</v>
      </c>
      <c r="G56" s="103">
        <v>297</v>
      </c>
      <c r="H56" s="103">
        <v>105</v>
      </c>
      <c r="I56" s="103">
        <v>539</v>
      </c>
      <c r="J56" s="103">
        <v>276</v>
      </c>
      <c r="K56" s="103">
        <v>263</v>
      </c>
      <c r="L56" s="103">
        <v>143</v>
      </c>
      <c r="M56" s="105">
        <f t="shared" si="0"/>
        <v>26.530612244897959</v>
      </c>
      <c r="N56" s="103">
        <v>194</v>
      </c>
      <c r="O56" s="106">
        <f t="shared" si="1"/>
        <v>35.99257884972171</v>
      </c>
      <c r="P56" s="242">
        <v>8</v>
      </c>
      <c r="Q56" s="103">
        <v>0</v>
      </c>
      <c r="R56" s="100" t="s">
        <v>39</v>
      </c>
      <c r="S56" s="111"/>
      <c r="T56" s="115"/>
      <c r="U56" s="111"/>
      <c r="V56" s="54"/>
      <c r="W56" s="110"/>
      <c r="X56" s="110"/>
      <c r="Y56" s="110"/>
      <c r="Z56" s="110"/>
      <c r="AA56" s="110"/>
      <c r="AB56" s="100"/>
      <c r="AC56" s="111"/>
      <c r="AD56" s="247"/>
      <c r="AE56" s="12"/>
      <c r="AF56" s="12"/>
    </row>
    <row r="57" spans="1:32">
      <c r="A57" s="101">
        <v>47</v>
      </c>
      <c r="B57" s="108" t="s">
        <v>33</v>
      </c>
      <c r="C57" s="103" t="s">
        <v>479</v>
      </c>
      <c r="D57" s="103" t="s">
        <v>569</v>
      </c>
      <c r="E57" s="103" t="s">
        <v>578</v>
      </c>
      <c r="F57" s="103" t="s">
        <v>579</v>
      </c>
      <c r="G57" s="103">
        <v>214</v>
      </c>
      <c r="H57" s="103">
        <v>178</v>
      </c>
      <c r="I57" s="103">
        <v>889</v>
      </c>
      <c r="J57" s="103">
        <v>426</v>
      </c>
      <c r="K57" s="103">
        <v>463</v>
      </c>
      <c r="L57" s="103">
        <v>41</v>
      </c>
      <c r="M57" s="105">
        <f t="shared" si="0"/>
        <v>4.6119235095613043</v>
      </c>
      <c r="N57" s="103">
        <v>0</v>
      </c>
      <c r="O57" s="106">
        <f t="shared" si="1"/>
        <v>0</v>
      </c>
      <c r="P57" s="242">
        <v>12</v>
      </c>
      <c r="Q57" s="103">
        <v>54.9</v>
      </c>
      <c r="R57" s="100" t="s">
        <v>39</v>
      </c>
      <c r="S57" s="79" t="s">
        <v>572</v>
      </c>
      <c r="T57" s="115"/>
      <c r="U57" s="79">
        <v>19.71</v>
      </c>
      <c r="V57" s="54" t="s">
        <v>483</v>
      </c>
      <c r="W57" s="110"/>
      <c r="X57" s="110"/>
      <c r="Y57" s="110"/>
      <c r="Z57" s="110"/>
      <c r="AA57" s="110"/>
      <c r="AB57" s="100"/>
      <c r="AC57" s="80"/>
      <c r="AD57" s="247"/>
      <c r="AE57" s="12"/>
      <c r="AF57" s="12"/>
    </row>
    <row r="58" spans="1:32">
      <c r="A58" s="101">
        <v>48</v>
      </c>
      <c r="B58" s="108" t="s">
        <v>33</v>
      </c>
      <c r="C58" s="103" t="s">
        <v>479</v>
      </c>
      <c r="D58" s="103" t="s">
        <v>569</v>
      </c>
      <c r="E58" s="103" t="s">
        <v>580</v>
      </c>
      <c r="F58" s="103" t="s">
        <v>581</v>
      </c>
      <c r="G58" s="103">
        <v>338</v>
      </c>
      <c r="H58" s="103">
        <v>15</v>
      </c>
      <c r="I58" s="103">
        <v>87</v>
      </c>
      <c r="J58" s="103">
        <v>48</v>
      </c>
      <c r="K58" s="103">
        <v>39</v>
      </c>
      <c r="L58" s="103">
        <v>0</v>
      </c>
      <c r="M58" s="105">
        <f t="shared" si="0"/>
        <v>0</v>
      </c>
      <c r="N58" s="103">
        <v>0</v>
      </c>
      <c r="O58" s="106">
        <f t="shared" si="1"/>
        <v>0</v>
      </c>
      <c r="P58" s="242">
        <v>4.9000000000000004</v>
      </c>
      <c r="Q58" s="103">
        <v>72.099999999999994</v>
      </c>
      <c r="R58" s="100" t="s">
        <v>39</v>
      </c>
      <c r="S58" s="111"/>
      <c r="T58" s="115"/>
      <c r="U58" s="111"/>
      <c r="V58" s="54"/>
      <c r="W58" s="110"/>
      <c r="X58" s="110"/>
      <c r="Y58" s="110"/>
      <c r="Z58" s="110"/>
      <c r="AA58" s="110"/>
      <c r="AB58" s="54"/>
      <c r="AC58" s="111"/>
      <c r="AD58" s="247"/>
      <c r="AE58" s="12"/>
      <c r="AF58" s="12"/>
    </row>
    <row r="59" spans="1:32">
      <c r="A59" s="101">
        <v>49</v>
      </c>
      <c r="B59" s="108" t="s">
        <v>33</v>
      </c>
      <c r="C59" s="103" t="s">
        <v>479</v>
      </c>
      <c r="D59" s="103" t="s">
        <v>569</v>
      </c>
      <c r="E59" s="103" t="s">
        <v>582</v>
      </c>
      <c r="F59" s="103" t="s">
        <v>583</v>
      </c>
      <c r="G59" s="103">
        <v>696</v>
      </c>
      <c r="H59" s="103">
        <v>140</v>
      </c>
      <c r="I59" s="103">
        <v>701</v>
      </c>
      <c r="J59" s="103">
        <v>373</v>
      </c>
      <c r="K59" s="103">
        <v>328</v>
      </c>
      <c r="L59" s="103">
        <v>108</v>
      </c>
      <c r="M59" s="105">
        <f t="shared" si="0"/>
        <v>15.406562054208273</v>
      </c>
      <c r="N59" s="103">
        <v>11</v>
      </c>
      <c r="O59" s="106">
        <f t="shared" si="1"/>
        <v>1.5691868758915835</v>
      </c>
      <c r="P59" s="242">
        <v>0</v>
      </c>
      <c r="Q59" s="103">
        <v>112</v>
      </c>
      <c r="R59" s="100" t="s">
        <v>39</v>
      </c>
      <c r="S59" s="111"/>
      <c r="T59" s="115"/>
      <c r="U59" s="111"/>
      <c r="V59" s="54"/>
      <c r="W59" s="110"/>
      <c r="X59" s="110"/>
      <c r="Y59" s="110"/>
      <c r="Z59" s="110"/>
      <c r="AA59" s="110"/>
      <c r="AB59" s="100"/>
      <c r="AC59" s="111"/>
      <c r="AD59" s="247"/>
      <c r="AE59" s="12"/>
      <c r="AF59" s="12"/>
    </row>
    <row r="60" spans="1:32">
      <c r="A60" s="101">
        <v>50</v>
      </c>
      <c r="B60" s="108" t="s">
        <v>33</v>
      </c>
      <c r="C60" s="103" t="s">
        <v>479</v>
      </c>
      <c r="D60" s="103" t="s">
        <v>569</v>
      </c>
      <c r="E60" s="103" t="s">
        <v>584</v>
      </c>
      <c r="F60" s="103" t="s">
        <v>585</v>
      </c>
      <c r="G60" s="103">
        <v>865.1</v>
      </c>
      <c r="H60" s="103">
        <v>206</v>
      </c>
      <c r="I60" s="103">
        <v>986</v>
      </c>
      <c r="J60" s="103">
        <v>519</v>
      </c>
      <c r="K60" s="103">
        <v>467</v>
      </c>
      <c r="L60" s="103">
        <v>31</v>
      </c>
      <c r="M60" s="105">
        <f t="shared" si="0"/>
        <v>3.1440162271805274</v>
      </c>
      <c r="N60" s="103">
        <v>383</v>
      </c>
      <c r="O60" s="106">
        <f t="shared" si="1"/>
        <v>38.843813387423936</v>
      </c>
      <c r="P60" s="242">
        <v>49.03</v>
      </c>
      <c r="Q60" s="103">
        <v>196</v>
      </c>
      <c r="R60" s="100" t="s">
        <v>39</v>
      </c>
      <c r="S60" s="79" t="s">
        <v>572</v>
      </c>
      <c r="T60" s="115"/>
      <c r="U60" s="79">
        <v>54.5792</v>
      </c>
      <c r="V60" s="54" t="s">
        <v>483</v>
      </c>
      <c r="W60" s="110"/>
      <c r="X60" s="110"/>
      <c r="Y60" s="110"/>
      <c r="Z60" s="110"/>
      <c r="AA60" s="110"/>
      <c r="AB60" s="54"/>
      <c r="AC60" s="80"/>
      <c r="AD60" s="247"/>
      <c r="AE60" s="12"/>
      <c r="AF60" s="12"/>
    </row>
    <row r="61" spans="1:32">
      <c r="A61" s="101">
        <v>51</v>
      </c>
      <c r="B61" s="108" t="s">
        <v>33</v>
      </c>
      <c r="C61" s="103" t="s">
        <v>479</v>
      </c>
      <c r="D61" s="103" t="s">
        <v>569</v>
      </c>
      <c r="E61" s="103" t="s">
        <v>586</v>
      </c>
      <c r="F61" s="103" t="s">
        <v>587</v>
      </c>
      <c r="G61" s="103">
        <v>223</v>
      </c>
      <c r="H61" s="103">
        <v>77</v>
      </c>
      <c r="I61" s="103">
        <v>438</v>
      </c>
      <c r="J61" s="103">
        <v>242</v>
      </c>
      <c r="K61" s="103">
        <v>196</v>
      </c>
      <c r="L61" s="103">
        <v>0</v>
      </c>
      <c r="M61" s="105">
        <f t="shared" si="0"/>
        <v>0</v>
      </c>
      <c r="N61" s="103">
        <v>186</v>
      </c>
      <c r="O61" s="106">
        <f t="shared" si="1"/>
        <v>42.465753424657535</v>
      </c>
      <c r="P61" s="242">
        <v>51</v>
      </c>
      <c r="Q61" s="103">
        <v>550</v>
      </c>
      <c r="R61" s="100" t="s">
        <v>39</v>
      </c>
      <c r="S61" s="111"/>
      <c r="T61" s="116"/>
      <c r="U61" s="111"/>
      <c r="V61" s="54"/>
      <c r="W61" s="110"/>
      <c r="X61" s="110"/>
      <c r="Y61" s="110"/>
      <c r="Z61" s="110"/>
      <c r="AA61" s="110"/>
      <c r="AB61" s="54"/>
      <c r="AC61" s="111"/>
      <c r="AD61" s="247"/>
      <c r="AE61" s="12"/>
      <c r="AF61" s="12"/>
    </row>
    <row r="62" spans="1:32">
      <c r="A62" s="101">
        <v>52</v>
      </c>
      <c r="B62" s="108" t="s">
        <v>33</v>
      </c>
      <c r="C62" s="103" t="s">
        <v>479</v>
      </c>
      <c r="D62" s="103" t="s">
        <v>588</v>
      </c>
      <c r="E62" s="104" t="s">
        <v>589</v>
      </c>
      <c r="F62" s="103" t="s">
        <v>590</v>
      </c>
      <c r="G62" s="103">
        <v>295</v>
      </c>
      <c r="H62" s="103">
        <v>344</v>
      </c>
      <c r="I62" s="103">
        <v>1603</v>
      </c>
      <c r="J62" s="103">
        <v>842</v>
      </c>
      <c r="K62" s="103">
        <v>761</v>
      </c>
      <c r="L62" s="103">
        <v>127</v>
      </c>
      <c r="M62" s="105">
        <f t="shared" si="0"/>
        <v>7.9226450405489697</v>
      </c>
      <c r="N62" s="103">
        <v>112</v>
      </c>
      <c r="O62" s="106">
        <f t="shared" si="1"/>
        <v>6.9868995633187767</v>
      </c>
      <c r="P62" s="242">
        <v>27</v>
      </c>
      <c r="Q62" s="103">
        <v>515</v>
      </c>
      <c r="R62" s="100" t="s">
        <v>39</v>
      </c>
      <c r="S62" s="126">
        <v>45884</v>
      </c>
      <c r="T62" s="113"/>
      <c r="U62" s="76">
        <v>41.997999999999998</v>
      </c>
      <c r="V62" s="54" t="s">
        <v>483</v>
      </c>
      <c r="W62" s="110"/>
      <c r="X62" s="110"/>
      <c r="Y62" s="110"/>
      <c r="Z62" s="110"/>
      <c r="AA62" s="110"/>
      <c r="AB62" s="100" t="s">
        <v>39</v>
      </c>
      <c r="AC62" s="76">
        <v>10</v>
      </c>
      <c r="AD62" s="247" t="s">
        <v>484</v>
      </c>
      <c r="AE62" s="12"/>
      <c r="AF62" s="12"/>
    </row>
    <row r="63" spans="1:32">
      <c r="A63" s="101">
        <v>53</v>
      </c>
      <c r="B63" s="108" t="s">
        <v>33</v>
      </c>
      <c r="C63" s="103" t="s">
        <v>479</v>
      </c>
      <c r="D63" s="103" t="s">
        <v>588</v>
      </c>
      <c r="E63" s="103" t="s">
        <v>591</v>
      </c>
      <c r="F63" s="103" t="s">
        <v>592</v>
      </c>
      <c r="G63" s="103">
        <v>384.4</v>
      </c>
      <c r="H63" s="103">
        <v>117</v>
      </c>
      <c r="I63" s="103">
        <v>584</v>
      </c>
      <c r="J63" s="103">
        <v>304</v>
      </c>
      <c r="K63" s="103">
        <v>280</v>
      </c>
      <c r="L63" s="103">
        <v>67</v>
      </c>
      <c r="M63" s="105">
        <f t="shared" si="0"/>
        <v>11.472602739726028</v>
      </c>
      <c r="N63" s="103">
        <v>0</v>
      </c>
      <c r="O63" s="106">
        <f t="shared" si="1"/>
        <v>0</v>
      </c>
      <c r="P63" s="242">
        <v>33</v>
      </c>
      <c r="Q63" s="103">
        <v>33</v>
      </c>
      <c r="R63" s="100" t="s">
        <v>39</v>
      </c>
      <c r="S63" s="126">
        <v>45884</v>
      </c>
      <c r="T63" s="113"/>
      <c r="U63" s="76">
        <v>34.657200000000003</v>
      </c>
      <c r="V63" s="54" t="s">
        <v>483</v>
      </c>
      <c r="W63" s="110"/>
      <c r="X63" s="110"/>
      <c r="Y63" s="110"/>
      <c r="Z63" s="110"/>
      <c r="AA63" s="110"/>
      <c r="AB63" s="100"/>
      <c r="AC63" s="76"/>
      <c r="AD63" s="247"/>
      <c r="AE63" s="12"/>
      <c r="AF63" s="12"/>
    </row>
    <row r="64" spans="1:32">
      <c r="A64" s="101" t="s">
        <v>51</v>
      </c>
      <c r="B64" s="108" t="s">
        <v>33</v>
      </c>
      <c r="C64" s="103" t="s">
        <v>479</v>
      </c>
      <c r="D64" s="103" t="s">
        <v>588</v>
      </c>
      <c r="E64" s="103" t="s">
        <v>591</v>
      </c>
      <c r="F64" s="103"/>
      <c r="G64" s="103"/>
      <c r="H64" s="103"/>
      <c r="I64" s="103"/>
      <c r="J64" s="103"/>
      <c r="K64" s="103"/>
      <c r="L64" s="103"/>
      <c r="M64" s="105" t="e">
        <f t="shared" si="0"/>
        <v>#DIV/0!</v>
      </c>
      <c r="N64" s="103"/>
      <c r="O64" s="106" t="e">
        <f t="shared" si="1"/>
        <v>#DIV/0!</v>
      </c>
      <c r="P64" s="242"/>
      <c r="Q64" s="103"/>
      <c r="R64" s="100"/>
      <c r="S64" s="126"/>
      <c r="T64" s="113"/>
      <c r="U64" s="76"/>
      <c r="V64" s="54"/>
      <c r="W64" s="110"/>
      <c r="X64" s="110"/>
      <c r="Y64" s="110"/>
      <c r="Z64" s="110"/>
      <c r="AA64" s="110"/>
      <c r="AB64" s="100" t="s">
        <v>39</v>
      </c>
      <c r="AC64" s="76">
        <v>9</v>
      </c>
      <c r="AD64" s="247" t="s">
        <v>593</v>
      </c>
      <c r="AE64" s="12">
        <v>24.6511</v>
      </c>
      <c r="AF64" s="12">
        <v>76.491</v>
      </c>
    </row>
    <row r="65" spans="1:32">
      <c r="A65" s="101">
        <v>54</v>
      </c>
      <c r="B65" s="108" t="s">
        <v>33</v>
      </c>
      <c r="C65" s="103" t="s">
        <v>479</v>
      </c>
      <c r="D65" s="103" t="s">
        <v>588</v>
      </c>
      <c r="E65" s="103" t="s">
        <v>594</v>
      </c>
      <c r="F65" s="103" t="s">
        <v>595</v>
      </c>
      <c r="G65" s="103">
        <v>141.19999999999999</v>
      </c>
      <c r="H65" s="103">
        <v>88</v>
      </c>
      <c r="I65" s="103">
        <v>428</v>
      </c>
      <c r="J65" s="103">
        <v>225</v>
      </c>
      <c r="K65" s="103">
        <v>203</v>
      </c>
      <c r="L65" s="103">
        <v>43</v>
      </c>
      <c r="M65" s="105">
        <f t="shared" si="0"/>
        <v>10.046728971962617</v>
      </c>
      <c r="N65" s="103">
        <v>383</v>
      </c>
      <c r="O65" s="106">
        <f t="shared" si="1"/>
        <v>89.485981308411212</v>
      </c>
      <c r="P65" s="242">
        <v>24</v>
      </c>
      <c r="Q65" s="103">
        <v>0</v>
      </c>
      <c r="R65" s="100" t="s">
        <v>39</v>
      </c>
      <c r="S65" s="126">
        <v>45884</v>
      </c>
      <c r="T65" s="113"/>
      <c r="U65" s="76">
        <v>26.053799999999999</v>
      </c>
      <c r="V65" s="54" t="s">
        <v>483</v>
      </c>
      <c r="W65" s="110"/>
      <c r="X65" s="110"/>
      <c r="Y65" s="110"/>
      <c r="Z65" s="110"/>
      <c r="AA65" s="110"/>
      <c r="AB65" s="100" t="s">
        <v>39</v>
      </c>
      <c r="AC65" s="76">
        <v>8</v>
      </c>
      <c r="AD65" s="247" t="s">
        <v>484</v>
      </c>
      <c r="AE65" s="12"/>
      <c r="AF65" s="12"/>
    </row>
    <row r="66" spans="1:32">
      <c r="A66" s="101">
        <v>55</v>
      </c>
      <c r="B66" s="108" t="s">
        <v>33</v>
      </c>
      <c r="C66" s="103" t="s">
        <v>479</v>
      </c>
      <c r="D66" s="103" t="s">
        <v>588</v>
      </c>
      <c r="E66" s="103" t="s">
        <v>596</v>
      </c>
      <c r="F66" s="103" t="s">
        <v>597</v>
      </c>
      <c r="G66" s="103">
        <v>303</v>
      </c>
      <c r="H66" s="103">
        <v>156</v>
      </c>
      <c r="I66" s="103">
        <v>737</v>
      </c>
      <c r="J66" s="103">
        <v>382</v>
      </c>
      <c r="K66" s="103">
        <v>355</v>
      </c>
      <c r="L66" s="103">
        <v>7</v>
      </c>
      <c r="M66" s="105">
        <f t="shared" si="0"/>
        <v>0.94979647218453189</v>
      </c>
      <c r="N66" s="103">
        <v>564</v>
      </c>
      <c r="O66" s="106">
        <f t="shared" si="1"/>
        <v>76.526458616010856</v>
      </c>
      <c r="P66" s="242">
        <v>48</v>
      </c>
      <c r="Q66" s="103">
        <v>209.1</v>
      </c>
      <c r="R66" s="100" t="s">
        <v>39</v>
      </c>
      <c r="S66" s="126">
        <v>45884</v>
      </c>
      <c r="T66" s="120"/>
      <c r="U66" s="76">
        <v>53.046399999999998</v>
      </c>
      <c r="V66" s="54" t="s">
        <v>483</v>
      </c>
      <c r="W66" s="110"/>
      <c r="X66" s="110"/>
      <c r="Y66" s="110"/>
      <c r="Z66" s="110"/>
      <c r="AA66" s="110"/>
      <c r="AB66" s="100" t="s">
        <v>39</v>
      </c>
      <c r="AC66" s="76">
        <v>10</v>
      </c>
      <c r="AD66" s="247" t="s">
        <v>484</v>
      </c>
      <c r="AE66" s="12"/>
      <c r="AF66" s="12"/>
    </row>
    <row r="67" spans="1:32">
      <c r="A67" s="101">
        <v>56</v>
      </c>
      <c r="B67" s="108" t="s">
        <v>33</v>
      </c>
      <c r="C67" s="103" t="s">
        <v>479</v>
      </c>
      <c r="D67" s="103" t="s">
        <v>588</v>
      </c>
      <c r="E67" s="103" t="s">
        <v>598</v>
      </c>
      <c r="F67" s="103" t="s">
        <v>599</v>
      </c>
      <c r="G67" s="103">
        <v>333</v>
      </c>
      <c r="H67" s="103">
        <v>97</v>
      </c>
      <c r="I67" s="103">
        <v>534</v>
      </c>
      <c r="J67" s="103">
        <v>276</v>
      </c>
      <c r="K67" s="103">
        <v>258</v>
      </c>
      <c r="L67" s="103">
        <v>40</v>
      </c>
      <c r="M67" s="105">
        <f t="shared" si="0"/>
        <v>7.4906367041198507</v>
      </c>
      <c r="N67" s="103">
        <v>0</v>
      </c>
      <c r="O67" s="106">
        <f t="shared" si="1"/>
        <v>0</v>
      </c>
      <c r="P67" s="242">
        <v>51</v>
      </c>
      <c r="Q67" s="103">
        <v>24</v>
      </c>
      <c r="R67" s="100" t="s">
        <v>39</v>
      </c>
      <c r="S67" s="126">
        <v>45884</v>
      </c>
      <c r="T67" s="115"/>
      <c r="U67" s="76">
        <v>57.117199999999997</v>
      </c>
      <c r="V67" s="54" t="s">
        <v>483</v>
      </c>
      <c r="W67" s="110"/>
      <c r="X67" s="110"/>
      <c r="Y67" s="110"/>
      <c r="Z67" s="110"/>
      <c r="AA67" s="110"/>
      <c r="AB67" s="100" t="s">
        <v>39</v>
      </c>
      <c r="AC67" s="76">
        <v>10</v>
      </c>
      <c r="AD67" s="247" t="s">
        <v>484</v>
      </c>
      <c r="AE67" s="12"/>
      <c r="AF67" s="12"/>
    </row>
    <row r="68" spans="1:32">
      <c r="A68" s="101">
        <v>57</v>
      </c>
      <c r="B68" s="108" t="s">
        <v>33</v>
      </c>
      <c r="C68" s="103" t="s">
        <v>479</v>
      </c>
      <c r="D68" s="103" t="s">
        <v>588</v>
      </c>
      <c r="E68" s="103" t="s">
        <v>600</v>
      </c>
      <c r="F68" s="103" t="s">
        <v>601</v>
      </c>
      <c r="G68" s="103">
        <v>320</v>
      </c>
      <c r="H68" s="103">
        <v>155</v>
      </c>
      <c r="I68" s="103">
        <v>847</v>
      </c>
      <c r="J68" s="103">
        <v>436</v>
      </c>
      <c r="K68" s="103">
        <v>411</v>
      </c>
      <c r="L68" s="103">
        <v>337</v>
      </c>
      <c r="M68" s="105">
        <f t="shared" si="0"/>
        <v>39.787485242030698</v>
      </c>
      <c r="N68" s="103">
        <v>490</v>
      </c>
      <c r="O68" s="106">
        <f t="shared" si="1"/>
        <v>57.851239669421481</v>
      </c>
      <c r="P68" s="242">
        <v>17</v>
      </c>
      <c r="Q68" s="103">
        <v>31</v>
      </c>
      <c r="R68" s="100" t="s">
        <v>39</v>
      </c>
      <c r="S68" s="126">
        <v>45884</v>
      </c>
      <c r="T68" s="115"/>
      <c r="U68" s="76">
        <v>19.5059</v>
      </c>
      <c r="V68" s="54" t="s">
        <v>483</v>
      </c>
      <c r="W68" s="110"/>
      <c r="X68" s="110"/>
      <c r="Y68" s="110"/>
      <c r="Z68" s="110"/>
      <c r="AA68" s="110"/>
      <c r="AB68" s="100" t="s">
        <v>39</v>
      </c>
      <c r="AC68" s="76">
        <v>10</v>
      </c>
      <c r="AD68" s="247" t="s">
        <v>484</v>
      </c>
      <c r="AE68" s="12"/>
      <c r="AF68" s="12"/>
    </row>
    <row r="69" spans="1:32">
      <c r="A69" s="101" t="s">
        <v>51</v>
      </c>
      <c r="B69" s="108" t="s">
        <v>33</v>
      </c>
      <c r="C69" s="103" t="s">
        <v>479</v>
      </c>
      <c r="D69" s="103" t="s">
        <v>588</v>
      </c>
      <c r="E69" s="103" t="s">
        <v>600</v>
      </c>
      <c r="F69" s="103"/>
      <c r="G69" s="103"/>
      <c r="H69" s="103"/>
      <c r="I69" s="103"/>
      <c r="J69" s="103"/>
      <c r="K69" s="103"/>
      <c r="L69" s="103"/>
      <c r="M69" s="105" t="e">
        <f t="shared" ref="M69:M134" si="2">L69/I69*100</f>
        <v>#DIV/0!</v>
      </c>
      <c r="N69" s="103"/>
      <c r="O69" s="106" t="e">
        <f t="shared" ref="O69:O134" si="3">N69/I69*100</f>
        <v>#DIV/0!</v>
      </c>
      <c r="P69" s="242"/>
      <c r="Q69" s="103"/>
      <c r="R69" s="100"/>
      <c r="S69" s="126"/>
      <c r="T69" s="115"/>
      <c r="U69" s="76"/>
      <c r="V69" s="54"/>
      <c r="W69" s="110"/>
      <c r="X69" s="110"/>
      <c r="Y69" s="110"/>
      <c r="Z69" s="110"/>
      <c r="AA69" s="110"/>
      <c r="AB69" s="100" t="s">
        <v>39</v>
      </c>
      <c r="AC69" s="76">
        <v>8</v>
      </c>
      <c r="AD69" s="247" t="s">
        <v>48</v>
      </c>
      <c r="AE69" s="12">
        <v>24.592300000000002</v>
      </c>
      <c r="AF69" s="12">
        <v>76.624700000000004</v>
      </c>
    </row>
    <row r="70" spans="1:32">
      <c r="A70" s="101">
        <v>58</v>
      </c>
      <c r="B70" s="108" t="s">
        <v>33</v>
      </c>
      <c r="C70" s="103" t="s">
        <v>479</v>
      </c>
      <c r="D70" s="103" t="s">
        <v>588</v>
      </c>
      <c r="E70" s="103" t="s">
        <v>602</v>
      </c>
      <c r="F70" s="103" t="s">
        <v>603</v>
      </c>
      <c r="G70" s="103">
        <v>319.3</v>
      </c>
      <c r="H70" s="103">
        <v>163</v>
      </c>
      <c r="I70" s="103">
        <v>857</v>
      </c>
      <c r="J70" s="103">
        <v>458</v>
      </c>
      <c r="K70" s="103">
        <v>399</v>
      </c>
      <c r="L70" s="103">
        <v>43</v>
      </c>
      <c r="M70" s="105">
        <f t="shared" si="2"/>
        <v>5.0175029171528589</v>
      </c>
      <c r="N70" s="103">
        <v>96</v>
      </c>
      <c r="O70" s="106">
        <f t="shared" si="3"/>
        <v>11.201866977829638</v>
      </c>
      <c r="P70" s="242">
        <v>35.200000000000003</v>
      </c>
      <c r="Q70" s="103">
        <v>0</v>
      </c>
      <c r="R70" s="100" t="s">
        <v>39</v>
      </c>
      <c r="S70" s="126">
        <v>45884</v>
      </c>
      <c r="T70" s="113"/>
      <c r="U70" s="76">
        <v>43.398499999999999</v>
      </c>
      <c r="V70" s="54" t="s">
        <v>483</v>
      </c>
      <c r="W70" s="110"/>
      <c r="X70" s="110"/>
      <c r="Y70" s="110"/>
      <c r="Z70" s="110"/>
      <c r="AA70" s="110"/>
      <c r="AB70" s="100"/>
      <c r="AC70" s="76"/>
      <c r="AD70" s="247"/>
      <c r="AE70" s="12"/>
      <c r="AF70" s="12"/>
    </row>
    <row r="71" spans="1:32">
      <c r="A71" s="101">
        <v>59</v>
      </c>
      <c r="B71" s="108" t="s">
        <v>33</v>
      </c>
      <c r="C71" s="103" t="s">
        <v>479</v>
      </c>
      <c r="D71" s="103" t="s">
        <v>604</v>
      </c>
      <c r="E71" s="104" t="s">
        <v>605</v>
      </c>
      <c r="F71" s="103" t="s">
        <v>606</v>
      </c>
      <c r="G71" s="103">
        <v>1231.42</v>
      </c>
      <c r="H71" s="103">
        <v>784</v>
      </c>
      <c r="I71" s="103">
        <v>3611</v>
      </c>
      <c r="J71" s="103">
        <v>1886</v>
      </c>
      <c r="K71" s="103">
        <v>1725</v>
      </c>
      <c r="L71" s="103">
        <v>842</v>
      </c>
      <c r="M71" s="105">
        <f t="shared" si="2"/>
        <v>23.317640542785931</v>
      </c>
      <c r="N71" s="103">
        <v>212</v>
      </c>
      <c r="O71" s="106">
        <f t="shared" si="3"/>
        <v>5.8709498753807807</v>
      </c>
      <c r="P71" s="242">
        <v>129.15</v>
      </c>
      <c r="Q71" s="103">
        <v>81</v>
      </c>
      <c r="R71" s="100" t="s">
        <v>39</v>
      </c>
      <c r="S71" s="79" t="s">
        <v>607</v>
      </c>
      <c r="T71" s="113"/>
      <c r="U71" s="80"/>
      <c r="V71" s="54" t="s">
        <v>483</v>
      </c>
      <c r="W71" s="110"/>
      <c r="X71" s="110"/>
      <c r="Y71" s="110"/>
      <c r="Z71" s="110"/>
      <c r="AA71" s="110"/>
      <c r="AB71" s="100" t="s">
        <v>39</v>
      </c>
      <c r="AC71" s="80">
        <v>15</v>
      </c>
      <c r="AD71" s="247" t="s">
        <v>484</v>
      </c>
      <c r="AE71" s="12"/>
      <c r="AF71" s="12"/>
    </row>
    <row r="72" spans="1:32">
      <c r="A72" s="101" t="s">
        <v>51</v>
      </c>
      <c r="B72" s="108" t="s">
        <v>33</v>
      </c>
      <c r="C72" s="103" t="s">
        <v>479</v>
      </c>
      <c r="D72" s="103" t="s">
        <v>604</v>
      </c>
      <c r="E72" s="104" t="s">
        <v>605</v>
      </c>
      <c r="F72" s="103"/>
      <c r="G72" s="103"/>
      <c r="H72" s="103"/>
      <c r="I72" s="103"/>
      <c r="J72" s="103"/>
      <c r="K72" s="103"/>
      <c r="L72" s="103"/>
      <c r="M72" s="105" t="e">
        <f t="shared" si="2"/>
        <v>#DIV/0!</v>
      </c>
      <c r="N72" s="103"/>
      <c r="O72" s="106" t="e">
        <f t="shared" si="3"/>
        <v>#DIV/0!</v>
      </c>
      <c r="P72" s="242"/>
      <c r="Q72" s="103"/>
      <c r="R72" s="100"/>
      <c r="S72" s="79"/>
      <c r="T72" s="113"/>
      <c r="U72" s="80"/>
      <c r="V72" s="54"/>
      <c r="W72" s="110"/>
      <c r="X72" s="110"/>
      <c r="Y72" s="110"/>
      <c r="Z72" s="110"/>
      <c r="AA72" s="110"/>
      <c r="AB72" s="100" t="s">
        <v>39</v>
      </c>
      <c r="AC72" s="80">
        <v>9</v>
      </c>
      <c r="AD72" s="247" t="s">
        <v>484</v>
      </c>
      <c r="AE72" s="12">
        <v>24.972300000000001</v>
      </c>
      <c r="AF72" s="12">
        <v>76.301500000000004</v>
      </c>
    </row>
    <row r="73" spans="1:32">
      <c r="A73" s="101">
        <v>60</v>
      </c>
      <c r="B73" s="108" t="s">
        <v>33</v>
      </c>
      <c r="C73" s="103" t="s">
        <v>479</v>
      </c>
      <c r="D73" s="103" t="s">
        <v>604</v>
      </c>
      <c r="E73" s="103" t="s">
        <v>608</v>
      </c>
      <c r="F73" s="103" t="s">
        <v>609</v>
      </c>
      <c r="G73" s="103">
        <v>264.24</v>
      </c>
      <c r="H73" s="103">
        <v>166</v>
      </c>
      <c r="I73" s="103">
        <v>940</v>
      </c>
      <c r="J73" s="103">
        <v>478</v>
      </c>
      <c r="K73" s="103">
        <v>462</v>
      </c>
      <c r="L73" s="103">
        <v>94</v>
      </c>
      <c r="M73" s="105">
        <f t="shared" si="2"/>
        <v>10</v>
      </c>
      <c r="N73" s="103">
        <v>0</v>
      </c>
      <c r="O73" s="106">
        <f t="shared" si="3"/>
        <v>0</v>
      </c>
      <c r="P73" s="242">
        <v>32.06</v>
      </c>
      <c r="Q73" s="103">
        <v>13</v>
      </c>
      <c r="R73" s="100" t="s">
        <v>39</v>
      </c>
      <c r="S73" s="79" t="s">
        <v>607</v>
      </c>
      <c r="T73" s="113"/>
      <c r="U73" s="80"/>
      <c r="V73" s="54" t="s">
        <v>483</v>
      </c>
      <c r="W73" s="110"/>
      <c r="X73" s="110"/>
      <c r="Y73" s="110"/>
      <c r="Z73" s="110"/>
      <c r="AA73" s="110"/>
      <c r="AB73" s="100"/>
      <c r="AC73" s="80"/>
      <c r="AD73" s="247"/>
      <c r="AE73" s="12"/>
      <c r="AF73" s="12"/>
    </row>
    <row r="74" spans="1:32">
      <c r="A74" s="101">
        <v>61</v>
      </c>
      <c r="B74" s="108" t="s">
        <v>33</v>
      </c>
      <c r="C74" s="103" t="s">
        <v>479</v>
      </c>
      <c r="D74" s="103" t="s">
        <v>604</v>
      </c>
      <c r="E74" s="103" t="s">
        <v>610</v>
      </c>
      <c r="F74" s="103" t="s">
        <v>611</v>
      </c>
      <c r="G74" s="103">
        <v>153.83000000000001</v>
      </c>
      <c r="H74" s="103">
        <v>64</v>
      </c>
      <c r="I74" s="103">
        <v>296</v>
      </c>
      <c r="J74" s="103">
        <v>154</v>
      </c>
      <c r="K74" s="103">
        <v>142</v>
      </c>
      <c r="L74" s="103">
        <v>60</v>
      </c>
      <c r="M74" s="105">
        <f t="shared" si="2"/>
        <v>20.27027027027027</v>
      </c>
      <c r="N74" s="103">
        <v>81</v>
      </c>
      <c r="O74" s="106">
        <f t="shared" si="3"/>
        <v>27.364864864864863</v>
      </c>
      <c r="P74" s="242">
        <v>17.100000000000001</v>
      </c>
      <c r="Q74" s="103">
        <v>0</v>
      </c>
      <c r="R74" s="100" t="s">
        <v>39</v>
      </c>
      <c r="S74" s="111"/>
      <c r="T74" s="113"/>
      <c r="U74" s="111"/>
      <c r="V74" s="54"/>
      <c r="W74" s="110"/>
      <c r="X74" s="110"/>
      <c r="Y74" s="110"/>
      <c r="Z74" s="110"/>
      <c r="AA74" s="110"/>
      <c r="AB74" s="100"/>
      <c r="AC74" s="111"/>
      <c r="AD74" s="247"/>
      <c r="AE74" s="12"/>
      <c r="AF74" s="12"/>
    </row>
    <row r="75" spans="1:32">
      <c r="A75" s="101">
        <v>62</v>
      </c>
      <c r="B75" s="108" t="s">
        <v>33</v>
      </c>
      <c r="C75" s="103" t="s">
        <v>479</v>
      </c>
      <c r="D75" s="103" t="s">
        <v>604</v>
      </c>
      <c r="E75" s="103" t="s">
        <v>612</v>
      </c>
      <c r="F75" s="103" t="s">
        <v>613</v>
      </c>
      <c r="G75" s="103">
        <v>275.56</v>
      </c>
      <c r="H75" s="103">
        <v>73</v>
      </c>
      <c r="I75" s="103">
        <v>343</v>
      </c>
      <c r="J75" s="103">
        <v>171</v>
      </c>
      <c r="K75" s="103">
        <v>172</v>
      </c>
      <c r="L75" s="103">
        <v>164</v>
      </c>
      <c r="M75" s="105">
        <f t="shared" si="2"/>
        <v>47.813411078717202</v>
      </c>
      <c r="N75" s="103">
        <v>0</v>
      </c>
      <c r="O75" s="106">
        <f t="shared" si="3"/>
        <v>0</v>
      </c>
      <c r="P75" s="242">
        <v>22.15</v>
      </c>
      <c r="Q75" s="103">
        <v>0</v>
      </c>
      <c r="R75" s="100" t="s">
        <v>39</v>
      </c>
      <c r="S75" s="79" t="s">
        <v>614</v>
      </c>
      <c r="T75" s="113"/>
      <c r="U75" s="80"/>
      <c r="V75" s="54" t="s">
        <v>483</v>
      </c>
      <c r="W75" s="110"/>
      <c r="X75" s="110"/>
      <c r="Y75" s="110"/>
      <c r="Z75" s="110"/>
      <c r="AA75" s="110"/>
      <c r="AB75" s="100"/>
      <c r="AC75" s="80"/>
      <c r="AD75" s="247"/>
      <c r="AE75" s="12"/>
      <c r="AF75" s="12"/>
    </row>
    <row r="76" spans="1:32">
      <c r="A76" s="101">
        <v>63</v>
      </c>
      <c r="B76" s="108" t="s">
        <v>33</v>
      </c>
      <c r="C76" s="103" t="s">
        <v>479</v>
      </c>
      <c r="D76" s="103" t="s">
        <v>604</v>
      </c>
      <c r="E76" s="103" t="s">
        <v>615</v>
      </c>
      <c r="F76" s="103" t="s">
        <v>616</v>
      </c>
      <c r="G76" s="103">
        <v>371.33</v>
      </c>
      <c r="H76" s="103">
        <v>189</v>
      </c>
      <c r="I76" s="103">
        <v>912</v>
      </c>
      <c r="J76" s="103">
        <v>458</v>
      </c>
      <c r="K76" s="103">
        <v>454</v>
      </c>
      <c r="L76" s="103">
        <v>36</v>
      </c>
      <c r="M76" s="105">
        <f t="shared" si="2"/>
        <v>3.9473684210526314</v>
      </c>
      <c r="N76" s="103">
        <v>868</v>
      </c>
      <c r="O76" s="106">
        <f t="shared" si="3"/>
        <v>95.175438596491219</v>
      </c>
      <c r="P76" s="242">
        <v>29.09</v>
      </c>
      <c r="Q76" s="103">
        <v>0</v>
      </c>
      <c r="R76" s="100" t="s">
        <v>39</v>
      </c>
      <c r="S76" s="79" t="s">
        <v>607</v>
      </c>
      <c r="T76" s="115"/>
      <c r="U76" s="80"/>
      <c r="V76" s="54" t="s">
        <v>483</v>
      </c>
      <c r="W76" s="110"/>
      <c r="X76" s="110"/>
      <c r="Y76" s="110"/>
      <c r="Z76" s="110"/>
      <c r="AA76" s="110"/>
      <c r="AB76" s="100" t="s">
        <v>39</v>
      </c>
      <c r="AC76" s="80">
        <v>15</v>
      </c>
      <c r="AD76" s="247" t="s">
        <v>484</v>
      </c>
      <c r="AE76" s="12"/>
      <c r="AF76" s="12"/>
    </row>
    <row r="77" spans="1:32">
      <c r="A77" s="101">
        <v>64</v>
      </c>
      <c r="B77" s="108" t="s">
        <v>33</v>
      </c>
      <c r="C77" s="103" t="s">
        <v>479</v>
      </c>
      <c r="D77" s="103" t="s">
        <v>617</v>
      </c>
      <c r="E77" s="104" t="s">
        <v>618</v>
      </c>
      <c r="F77" s="103" t="s">
        <v>619</v>
      </c>
      <c r="G77" s="103">
        <v>1134.8399999999999</v>
      </c>
      <c r="H77" s="103">
        <v>474</v>
      </c>
      <c r="I77" s="103">
        <v>2014</v>
      </c>
      <c r="J77" s="103">
        <v>1040</v>
      </c>
      <c r="K77" s="103">
        <v>974</v>
      </c>
      <c r="L77" s="103">
        <v>301</v>
      </c>
      <c r="M77" s="105">
        <f t="shared" si="2"/>
        <v>14.945382323733863</v>
      </c>
      <c r="N77" s="103">
        <v>383</v>
      </c>
      <c r="O77" s="106">
        <f t="shared" si="3"/>
        <v>19.016881827209534</v>
      </c>
      <c r="P77" s="242">
        <v>65.05</v>
      </c>
      <c r="Q77" s="103">
        <v>0</v>
      </c>
      <c r="R77" s="100" t="s">
        <v>39</v>
      </c>
      <c r="S77" s="122">
        <v>45332</v>
      </c>
      <c r="T77" s="115"/>
      <c r="U77" s="79">
        <v>39.6755</v>
      </c>
      <c r="V77" s="54" t="s">
        <v>483</v>
      </c>
      <c r="W77" s="110"/>
      <c r="X77" s="110"/>
      <c r="Y77" s="110"/>
      <c r="Z77" s="110"/>
      <c r="AA77" s="110"/>
      <c r="AB77" s="54"/>
      <c r="AC77" s="79"/>
      <c r="AD77" s="247"/>
      <c r="AE77" s="12"/>
      <c r="AF77" s="12"/>
    </row>
    <row r="78" spans="1:32">
      <c r="A78" s="101">
        <v>65</v>
      </c>
      <c r="B78" s="108" t="s">
        <v>33</v>
      </c>
      <c r="C78" s="103" t="s">
        <v>479</v>
      </c>
      <c r="D78" s="103" t="s">
        <v>617</v>
      </c>
      <c r="E78" s="103" t="s">
        <v>620</v>
      </c>
      <c r="F78" s="103" t="s">
        <v>621</v>
      </c>
      <c r="G78" s="103">
        <v>477.65</v>
      </c>
      <c r="H78" s="103">
        <v>362</v>
      </c>
      <c r="I78" s="103">
        <v>1604</v>
      </c>
      <c r="J78" s="103">
        <v>818</v>
      </c>
      <c r="K78" s="103">
        <v>786</v>
      </c>
      <c r="L78" s="103">
        <v>160</v>
      </c>
      <c r="M78" s="105">
        <f t="shared" si="2"/>
        <v>9.9750623441396513</v>
      </c>
      <c r="N78" s="103">
        <v>65</v>
      </c>
      <c r="O78" s="106">
        <f t="shared" si="3"/>
        <v>4.0523690773067331</v>
      </c>
      <c r="P78" s="242">
        <v>75.900000000000006</v>
      </c>
      <c r="Q78" s="103">
        <v>3.06</v>
      </c>
      <c r="R78" s="100" t="s">
        <v>39</v>
      </c>
      <c r="S78" s="122">
        <v>45332</v>
      </c>
      <c r="T78" s="121"/>
      <c r="U78" s="79">
        <v>29.0806</v>
      </c>
      <c r="V78" s="54" t="s">
        <v>483</v>
      </c>
      <c r="W78" s="110"/>
      <c r="X78" s="110"/>
      <c r="Y78" s="110"/>
      <c r="Z78" s="110"/>
      <c r="AA78" s="110"/>
      <c r="AB78" s="54"/>
      <c r="AC78" s="79"/>
      <c r="AD78" s="247"/>
      <c r="AE78" s="12"/>
      <c r="AF78" s="12"/>
    </row>
    <row r="79" spans="1:32">
      <c r="A79" s="101">
        <v>66</v>
      </c>
      <c r="B79" s="108" t="s">
        <v>33</v>
      </c>
      <c r="C79" s="103" t="s">
        <v>479</v>
      </c>
      <c r="D79" s="103" t="s">
        <v>617</v>
      </c>
      <c r="E79" s="103" t="s">
        <v>622</v>
      </c>
      <c r="F79" s="103" t="s">
        <v>623</v>
      </c>
      <c r="G79" s="103">
        <v>377.06</v>
      </c>
      <c r="H79" s="103">
        <v>21</v>
      </c>
      <c r="I79" s="103">
        <v>126</v>
      </c>
      <c r="J79" s="103">
        <v>70</v>
      </c>
      <c r="K79" s="103">
        <v>56</v>
      </c>
      <c r="L79" s="103">
        <v>0</v>
      </c>
      <c r="M79" s="105">
        <f t="shared" si="2"/>
        <v>0</v>
      </c>
      <c r="N79" s="103">
        <v>126</v>
      </c>
      <c r="O79" s="106">
        <f t="shared" si="3"/>
        <v>100</v>
      </c>
      <c r="P79" s="242">
        <v>0</v>
      </c>
      <c r="Q79" s="103">
        <v>313.38</v>
      </c>
      <c r="R79" s="100" t="s">
        <v>39</v>
      </c>
      <c r="S79" s="122">
        <v>45332</v>
      </c>
      <c r="T79" s="115"/>
      <c r="U79" s="79"/>
      <c r="V79" s="54" t="s">
        <v>483</v>
      </c>
      <c r="W79" s="110"/>
      <c r="X79" s="110"/>
      <c r="Y79" s="110"/>
      <c r="Z79" s="110"/>
      <c r="AA79" s="110"/>
      <c r="AB79" s="100" t="s">
        <v>39</v>
      </c>
      <c r="AC79" s="79">
        <v>15</v>
      </c>
      <c r="AD79" s="247" t="s">
        <v>484</v>
      </c>
      <c r="AE79" s="12"/>
      <c r="AF79" s="12"/>
    </row>
    <row r="80" spans="1:32">
      <c r="A80" s="101">
        <v>67</v>
      </c>
      <c r="B80" s="108" t="s">
        <v>33</v>
      </c>
      <c r="C80" s="103" t="s">
        <v>479</v>
      </c>
      <c r="D80" s="103" t="s">
        <v>617</v>
      </c>
      <c r="E80" s="103" t="s">
        <v>624</v>
      </c>
      <c r="F80" s="103" t="s">
        <v>625</v>
      </c>
      <c r="G80" s="103">
        <v>65.66</v>
      </c>
      <c r="H80" s="103">
        <v>39</v>
      </c>
      <c r="I80" s="103">
        <v>194</v>
      </c>
      <c r="J80" s="103">
        <v>107</v>
      </c>
      <c r="K80" s="103">
        <v>87</v>
      </c>
      <c r="L80" s="103">
        <v>0</v>
      </c>
      <c r="M80" s="105">
        <f t="shared" si="2"/>
        <v>0</v>
      </c>
      <c r="N80" s="103">
        <v>0</v>
      </c>
      <c r="O80" s="106">
        <f t="shared" si="3"/>
        <v>0</v>
      </c>
      <c r="P80" s="242">
        <v>0</v>
      </c>
      <c r="Q80" s="103">
        <v>116.83</v>
      </c>
      <c r="R80" s="100" t="s">
        <v>39</v>
      </c>
      <c r="S80" s="122">
        <v>45332</v>
      </c>
      <c r="T80" s="115"/>
      <c r="U80" s="79"/>
      <c r="V80" s="54" t="s">
        <v>483</v>
      </c>
      <c r="W80" s="110"/>
      <c r="X80" s="110"/>
      <c r="Y80" s="110"/>
      <c r="Z80" s="110"/>
      <c r="AA80" s="110"/>
      <c r="AB80" s="54"/>
      <c r="AC80" s="79"/>
      <c r="AD80" s="247"/>
      <c r="AE80" s="12"/>
      <c r="AF80" s="12"/>
    </row>
    <row r="81" spans="1:32">
      <c r="A81" s="101">
        <v>68</v>
      </c>
      <c r="B81" s="108" t="s">
        <v>33</v>
      </c>
      <c r="C81" s="103" t="s">
        <v>479</v>
      </c>
      <c r="D81" s="103" t="s">
        <v>617</v>
      </c>
      <c r="E81" s="103" t="s">
        <v>626</v>
      </c>
      <c r="F81" s="103" t="s">
        <v>627</v>
      </c>
      <c r="G81" s="103">
        <v>184.3</v>
      </c>
      <c r="H81" s="103">
        <v>105</v>
      </c>
      <c r="I81" s="103">
        <v>495</v>
      </c>
      <c r="J81" s="103">
        <v>258</v>
      </c>
      <c r="K81" s="103">
        <v>237</v>
      </c>
      <c r="L81" s="103">
        <v>35</v>
      </c>
      <c r="M81" s="105">
        <f t="shared" si="2"/>
        <v>7.0707070707070701</v>
      </c>
      <c r="N81" s="103">
        <v>440</v>
      </c>
      <c r="O81" s="106">
        <f t="shared" si="3"/>
        <v>88.888888888888886</v>
      </c>
      <c r="P81" s="242">
        <v>20.41</v>
      </c>
      <c r="Q81" s="103">
        <v>370.02</v>
      </c>
      <c r="R81" s="100" t="s">
        <v>39</v>
      </c>
      <c r="S81" s="122">
        <v>45332</v>
      </c>
      <c r="T81" s="113"/>
      <c r="U81" s="79">
        <v>20.444299999999998</v>
      </c>
      <c r="V81" s="54" t="s">
        <v>483</v>
      </c>
      <c r="W81" s="110"/>
      <c r="X81" s="110"/>
      <c r="Y81" s="110"/>
      <c r="Z81" s="110"/>
      <c r="AA81" s="110"/>
      <c r="AB81" s="54"/>
      <c r="AC81" s="79"/>
      <c r="AD81" s="247"/>
      <c r="AE81" s="12"/>
      <c r="AF81" s="12"/>
    </row>
    <row r="82" spans="1:32">
      <c r="A82" s="101">
        <v>69</v>
      </c>
      <c r="B82" s="108" t="s">
        <v>33</v>
      </c>
      <c r="C82" s="103" t="s">
        <v>479</v>
      </c>
      <c r="D82" s="103" t="s">
        <v>617</v>
      </c>
      <c r="E82" s="103" t="s">
        <v>628</v>
      </c>
      <c r="F82" s="103" t="s">
        <v>629</v>
      </c>
      <c r="G82" s="103">
        <v>508.88</v>
      </c>
      <c r="H82" s="103">
        <v>210</v>
      </c>
      <c r="I82" s="103">
        <v>957</v>
      </c>
      <c r="J82" s="103">
        <v>500</v>
      </c>
      <c r="K82" s="103">
        <v>457</v>
      </c>
      <c r="L82" s="103">
        <v>156</v>
      </c>
      <c r="M82" s="105">
        <f t="shared" si="2"/>
        <v>16.300940438871471</v>
      </c>
      <c r="N82" s="103">
        <v>0</v>
      </c>
      <c r="O82" s="106">
        <f t="shared" si="3"/>
        <v>0</v>
      </c>
      <c r="P82" s="242">
        <v>77.28</v>
      </c>
      <c r="Q82" s="103">
        <v>0</v>
      </c>
      <c r="R82" s="100" t="s">
        <v>39</v>
      </c>
      <c r="S82" s="122">
        <v>45332</v>
      </c>
      <c r="T82" s="113"/>
      <c r="U82" s="79">
        <v>77.248699999999999</v>
      </c>
      <c r="V82" s="54" t="s">
        <v>483</v>
      </c>
      <c r="W82" s="110"/>
      <c r="X82" s="110"/>
      <c r="Y82" s="110"/>
      <c r="Z82" s="110"/>
      <c r="AA82" s="110"/>
      <c r="AB82" s="100" t="s">
        <v>39</v>
      </c>
      <c r="AC82" s="79">
        <v>9</v>
      </c>
      <c r="AD82" s="247" t="s">
        <v>484</v>
      </c>
      <c r="AE82" s="12"/>
      <c r="AF82" s="12"/>
    </row>
    <row r="83" spans="1:32">
      <c r="A83" s="101" t="s">
        <v>51</v>
      </c>
      <c r="B83" s="108" t="s">
        <v>33</v>
      </c>
      <c r="C83" s="103" t="s">
        <v>479</v>
      </c>
      <c r="D83" s="103" t="s">
        <v>617</v>
      </c>
      <c r="E83" s="103" t="s">
        <v>628</v>
      </c>
      <c r="F83" s="103"/>
      <c r="G83" s="103"/>
      <c r="H83" s="103"/>
      <c r="I83" s="103"/>
      <c r="J83" s="103"/>
      <c r="K83" s="103"/>
      <c r="L83" s="103"/>
      <c r="M83" s="105" t="e">
        <f t="shared" si="2"/>
        <v>#DIV/0!</v>
      </c>
      <c r="N83" s="103"/>
      <c r="O83" s="106" t="e">
        <f t="shared" si="3"/>
        <v>#DIV/0!</v>
      </c>
      <c r="P83" s="242"/>
      <c r="Q83" s="103"/>
      <c r="R83" s="100"/>
      <c r="S83" s="122"/>
      <c r="T83" s="113"/>
      <c r="U83" s="79"/>
      <c r="V83" s="54"/>
      <c r="W83" s="110"/>
      <c r="X83" s="110"/>
      <c r="Y83" s="110"/>
      <c r="Z83" s="110"/>
      <c r="AA83" s="110"/>
      <c r="AB83" s="100" t="s">
        <v>39</v>
      </c>
      <c r="AC83" s="79">
        <v>12</v>
      </c>
      <c r="AD83" s="247" t="s">
        <v>48</v>
      </c>
      <c r="AE83" s="12">
        <v>24.758400000000002</v>
      </c>
      <c r="AF83" s="12">
        <v>76.620699999999999</v>
      </c>
    </row>
    <row r="84" spans="1:32">
      <c r="A84" s="101">
        <v>70</v>
      </c>
      <c r="B84" s="108" t="s">
        <v>33</v>
      </c>
      <c r="C84" s="103" t="s">
        <v>479</v>
      </c>
      <c r="D84" s="103" t="s">
        <v>617</v>
      </c>
      <c r="E84" s="103" t="s">
        <v>630</v>
      </c>
      <c r="F84" s="103" t="s">
        <v>631</v>
      </c>
      <c r="G84" s="103">
        <v>157.94</v>
      </c>
      <c r="H84" s="103">
        <v>76</v>
      </c>
      <c r="I84" s="103">
        <v>344</v>
      </c>
      <c r="J84" s="103">
        <v>187</v>
      </c>
      <c r="K84" s="103">
        <v>157</v>
      </c>
      <c r="L84" s="103">
        <v>144</v>
      </c>
      <c r="M84" s="105">
        <f t="shared" si="2"/>
        <v>41.860465116279073</v>
      </c>
      <c r="N84" s="103">
        <v>69</v>
      </c>
      <c r="O84" s="106">
        <f t="shared" si="3"/>
        <v>20.058139534883722</v>
      </c>
      <c r="P84" s="242">
        <v>20.73</v>
      </c>
      <c r="Q84" s="103">
        <v>0</v>
      </c>
      <c r="R84" s="100" t="s">
        <v>39</v>
      </c>
      <c r="S84" s="122">
        <v>45332</v>
      </c>
      <c r="T84" s="113"/>
      <c r="U84" s="79">
        <v>20.7361</v>
      </c>
      <c r="V84" s="54" t="s">
        <v>483</v>
      </c>
      <c r="W84" s="110"/>
      <c r="X84" s="110"/>
      <c r="Y84" s="110"/>
      <c r="Z84" s="110"/>
      <c r="AA84" s="110"/>
      <c r="AB84" s="100"/>
      <c r="AC84" s="79"/>
      <c r="AD84" s="247"/>
      <c r="AE84" s="12"/>
      <c r="AF84" s="12"/>
    </row>
    <row r="85" spans="1:32">
      <c r="A85" s="101">
        <v>71</v>
      </c>
      <c r="B85" s="108" t="s">
        <v>33</v>
      </c>
      <c r="C85" s="103" t="s">
        <v>479</v>
      </c>
      <c r="D85" s="103" t="s">
        <v>632</v>
      </c>
      <c r="E85" s="104" t="s">
        <v>633</v>
      </c>
      <c r="F85" s="103" t="s">
        <v>634</v>
      </c>
      <c r="G85" s="103">
        <v>686</v>
      </c>
      <c r="H85" s="103">
        <v>349</v>
      </c>
      <c r="I85" s="103">
        <v>1558</v>
      </c>
      <c r="J85" s="103">
        <v>796</v>
      </c>
      <c r="K85" s="103">
        <v>762</v>
      </c>
      <c r="L85" s="103">
        <v>279</v>
      </c>
      <c r="M85" s="105">
        <f t="shared" si="2"/>
        <v>17.907573812580228</v>
      </c>
      <c r="N85" s="103">
        <v>3</v>
      </c>
      <c r="O85" s="106">
        <f t="shared" si="3"/>
        <v>0.19255455712451863</v>
      </c>
      <c r="P85" s="242">
        <v>37</v>
      </c>
      <c r="Q85" s="103">
        <v>84.5</v>
      </c>
      <c r="R85" s="100" t="s">
        <v>39</v>
      </c>
      <c r="S85" s="127" t="s">
        <v>635</v>
      </c>
      <c r="T85" s="113"/>
      <c r="U85" s="127"/>
      <c r="V85" s="54" t="s">
        <v>483</v>
      </c>
      <c r="W85" s="110"/>
      <c r="X85" s="110"/>
      <c r="Y85" s="110"/>
      <c r="Z85" s="110"/>
      <c r="AA85" s="110"/>
      <c r="AB85" s="100" t="s">
        <v>39</v>
      </c>
      <c r="AC85" s="127">
        <v>5</v>
      </c>
      <c r="AD85" s="247" t="s">
        <v>484</v>
      </c>
      <c r="AE85" s="12"/>
      <c r="AF85" s="12"/>
    </row>
    <row r="86" spans="1:32">
      <c r="A86" s="101">
        <v>72</v>
      </c>
      <c r="B86" s="108" t="s">
        <v>33</v>
      </c>
      <c r="C86" s="103" t="s">
        <v>479</v>
      </c>
      <c r="D86" s="103" t="s">
        <v>632</v>
      </c>
      <c r="E86" s="103" t="s">
        <v>636</v>
      </c>
      <c r="F86" s="103" t="s">
        <v>637</v>
      </c>
      <c r="G86" s="103">
        <v>287</v>
      </c>
      <c r="H86" s="103">
        <v>100</v>
      </c>
      <c r="I86" s="103">
        <v>529</v>
      </c>
      <c r="J86" s="103">
        <v>286</v>
      </c>
      <c r="K86" s="103">
        <v>243</v>
      </c>
      <c r="L86" s="103">
        <v>82</v>
      </c>
      <c r="M86" s="105">
        <f t="shared" si="2"/>
        <v>15.500945179584122</v>
      </c>
      <c r="N86" s="103">
        <v>23</v>
      </c>
      <c r="O86" s="106">
        <f t="shared" si="3"/>
        <v>4.3478260869565215</v>
      </c>
      <c r="P86" s="242">
        <v>24</v>
      </c>
      <c r="Q86" s="103">
        <v>0</v>
      </c>
      <c r="R86" s="100" t="s">
        <v>39</v>
      </c>
      <c r="S86" s="111" t="s">
        <v>37</v>
      </c>
      <c r="T86" s="113"/>
      <c r="U86" s="111"/>
      <c r="V86" s="54" t="s">
        <v>483</v>
      </c>
      <c r="W86" s="110"/>
      <c r="X86" s="110"/>
      <c r="Y86" s="110"/>
      <c r="Z86" s="110"/>
      <c r="AA86" s="110"/>
      <c r="AB86" s="100"/>
      <c r="AC86" s="111"/>
      <c r="AD86" s="247"/>
      <c r="AE86" s="12"/>
      <c r="AF86" s="12"/>
    </row>
    <row r="87" spans="1:32">
      <c r="A87" s="101">
        <v>73</v>
      </c>
      <c r="B87" s="108" t="s">
        <v>33</v>
      </c>
      <c r="C87" s="103" t="s">
        <v>479</v>
      </c>
      <c r="D87" s="103" t="s">
        <v>632</v>
      </c>
      <c r="E87" s="103" t="s">
        <v>638</v>
      </c>
      <c r="F87" s="103" t="s">
        <v>639</v>
      </c>
      <c r="G87" s="103">
        <v>284</v>
      </c>
      <c r="H87" s="103">
        <v>210</v>
      </c>
      <c r="I87" s="103">
        <v>970</v>
      </c>
      <c r="J87" s="103">
        <v>509</v>
      </c>
      <c r="K87" s="103">
        <v>461</v>
      </c>
      <c r="L87" s="103">
        <v>194</v>
      </c>
      <c r="M87" s="105">
        <f t="shared" si="2"/>
        <v>20</v>
      </c>
      <c r="N87" s="103">
        <v>1</v>
      </c>
      <c r="O87" s="106">
        <f t="shared" si="3"/>
        <v>0.10309278350515465</v>
      </c>
      <c r="P87" s="242">
        <v>16</v>
      </c>
      <c r="Q87" s="103">
        <v>12</v>
      </c>
      <c r="R87" s="100" t="s">
        <v>39</v>
      </c>
      <c r="S87" s="111" t="s">
        <v>37</v>
      </c>
      <c r="T87" s="113"/>
      <c r="U87" s="111"/>
      <c r="V87" s="54" t="s">
        <v>483</v>
      </c>
      <c r="W87" s="110"/>
      <c r="X87" s="110"/>
      <c r="Y87" s="110"/>
      <c r="Z87" s="110"/>
      <c r="AA87" s="110"/>
      <c r="AB87" s="100"/>
      <c r="AC87" s="111"/>
      <c r="AD87" s="247"/>
      <c r="AE87" s="12"/>
      <c r="AF87" s="12"/>
    </row>
    <row r="88" spans="1:32">
      <c r="A88" s="101">
        <v>74</v>
      </c>
      <c r="B88" s="108" t="s">
        <v>33</v>
      </c>
      <c r="C88" s="103" t="s">
        <v>479</v>
      </c>
      <c r="D88" s="103" t="s">
        <v>632</v>
      </c>
      <c r="E88" s="103" t="s">
        <v>402</v>
      </c>
      <c r="F88" s="103" t="s">
        <v>640</v>
      </c>
      <c r="G88" s="103">
        <v>304</v>
      </c>
      <c r="H88" s="103">
        <v>175</v>
      </c>
      <c r="I88" s="103">
        <v>948</v>
      </c>
      <c r="J88" s="103">
        <v>502</v>
      </c>
      <c r="K88" s="103">
        <v>446</v>
      </c>
      <c r="L88" s="103">
        <v>325</v>
      </c>
      <c r="M88" s="105">
        <f t="shared" si="2"/>
        <v>34.282700421940923</v>
      </c>
      <c r="N88" s="103">
        <v>2</v>
      </c>
      <c r="O88" s="106">
        <f t="shared" si="3"/>
        <v>0.21097046413502107</v>
      </c>
      <c r="P88" s="242">
        <v>13</v>
      </c>
      <c r="Q88" s="103">
        <v>46</v>
      </c>
      <c r="R88" s="100" t="s">
        <v>39</v>
      </c>
      <c r="S88" s="128" t="s">
        <v>635</v>
      </c>
      <c r="T88" s="113"/>
      <c r="U88" s="79"/>
      <c r="V88" s="54" t="s">
        <v>483</v>
      </c>
      <c r="W88" s="110"/>
      <c r="X88" s="110"/>
      <c r="Y88" s="110"/>
      <c r="Z88" s="110"/>
      <c r="AA88" s="110"/>
      <c r="AB88" s="100" t="s">
        <v>39</v>
      </c>
      <c r="AC88" s="79">
        <v>3</v>
      </c>
      <c r="AD88" s="247" t="s">
        <v>484</v>
      </c>
      <c r="AE88" s="12"/>
      <c r="AF88" s="12"/>
    </row>
    <row r="89" spans="1:32">
      <c r="A89" s="101">
        <v>75</v>
      </c>
      <c r="B89" s="108" t="s">
        <v>33</v>
      </c>
      <c r="C89" s="103" t="s">
        <v>479</v>
      </c>
      <c r="D89" s="103" t="s">
        <v>641</v>
      </c>
      <c r="E89" s="104" t="s">
        <v>642</v>
      </c>
      <c r="F89" s="103" t="s">
        <v>643</v>
      </c>
      <c r="G89" s="103">
        <v>672.26</v>
      </c>
      <c r="H89" s="103">
        <v>514</v>
      </c>
      <c r="I89" s="103">
        <v>2582</v>
      </c>
      <c r="J89" s="103">
        <v>1321</v>
      </c>
      <c r="K89" s="103">
        <v>1261</v>
      </c>
      <c r="L89" s="103">
        <v>511</v>
      </c>
      <c r="M89" s="105">
        <f t="shared" si="2"/>
        <v>19.79085979860573</v>
      </c>
      <c r="N89" s="103">
        <v>308</v>
      </c>
      <c r="O89" s="106">
        <f t="shared" si="3"/>
        <v>11.928737412858249</v>
      </c>
      <c r="P89" s="242">
        <v>116.07</v>
      </c>
      <c r="Q89" s="103">
        <v>18</v>
      </c>
      <c r="R89" s="100" t="s">
        <v>39</v>
      </c>
      <c r="S89" s="79" t="s">
        <v>644</v>
      </c>
      <c r="T89" s="113"/>
      <c r="U89" s="79">
        <v>57.69</v>
      </c>
      <c r="V89" s="54" t="s">
        <v>37</v>
      </c>
      <c r="W89" s="110"/>
      <c r="X89" s="110"/>
      <c r="Y89" s="110"/>
      <c r="Z89" s="110" t="s">
        <v>39</v>
      </c>
      <c r="AA89" s="110"/>
      <c r="AB89" s="100" t="s">
        <v>39</v>
      </c>
      <c r="AC89" s="79">
        <v>21</v>
      </c>
      <c r="AD89" s="247" t="s">
        <v>484</v>
      </c>
      <c r="AE89" s="12"/>
      <c r="AF89" s="12"/>
    </row>
    <row r="90" spans="1:32">
      <c r="A90" s="101" t="s">
        <v>51</v>
      </c>
      <c r="B90" s="108" t="s">
        <v>33</v>
      </c>
      <c r="C90" s="103" t="s">
        <v>479</v>
      </c>
      <c r="D90" s="103" t="s">
        <v>641</v>
      </c>
      <c r="E90" s="104" t="s">
        <v>642</v>
      </c>
      <c r="F90" s="103"/>
      <c r="G90" s="103"/>
      <c r="H90" s="103"/>
      <c r="I90" s="103"/>
      <c r="J90" s="103"/>
      <c r="K90" s="103"/>
      <c r="L90" s="103"/>
      <c r="M90" s="105"/>
      <c r="N90" s="103"/>
      <c r="O90" s="106"/>
      <c r="P90" s="242"/>
      <c r="Q90" s="103"/>
      <c r="R90" s="100"/>
      <c r="S90" s="79"/>
      <c r="T90" s="113"/>
      <c r="U90" s="79"/>
      <c r="V90" s="54"/>
      <c r="W90" s="110"/>
      <c r="X90" s="110"/>
      <c r="Y90" s="110"/>
      <c r="Z90" s="110"/>
      <c r="AA90" s="110"/>
      <c r="AB90" s="100" t="s">
        <v>39</v>
      </c>
      <c r="AC90" s="119">
        <v>10</v>
      </c>
      <c r="AD90" s="247" t="s">
        <v>484</v>
      </c>
      <c r="AE90" s="12"/>
      <c r="AF90" s="12"/>
    </row>
    <row r="91" spans="1:32">
      <c r="A91" s="101" t="s">
        <v>51</v>
      </c>
      <c r="B91" s="108" t="s">
        <v>33</v>
      </c>
      <c r="C91" s="103" t="s">
        <v>479</v>
      </c>
      <c r="D91" s="103" t="s">
        <v>641</v>
      </c>
      <c r="E91" s="104" t="s">
        <v>642</v>
      </c>
      <c r="F91" s="103"/>
      <c r="G91" s="103"/>
      <c r="H91" s="103"/>
      <c r="I91" s="103"/>
      <c r="J91" s="103"/>
      <c r="K91" s="103"/>
      <c r="L91" s="103"/>
      <c r="M91" s="105"/>
      <c r="N91" s="103"/>
      <c r="O91" s="106"/>
      <c r="P91" s="242"/>
      <c r="Q91" s="103"/>
      <c r="R91" s="100"/>
      <c r="S91" s="79"/>
      <c r="T91" s="113"/>
      <c r="U91" s="79"/>
      <c r="V91" s="54"/>
      <c r="W91" s="110"/>
      <c r="X91" s="110"/>
      <c r="Y91" s="110"/>
      <c r="Z91" s="110"/>
      <c r="AA91" s="110"/>
      <c r="AB91" s="100" t="s">
        <v>39</v>
      </c>
      <c r="AC91" s="117">
        <v>9</v>
      </c>
      <c r="AD91" s="247" t="s">
        <v>484</v>
      </c>
      <c r="AE91" s="12"/>
      <c r="AF91" s="12"/>
    </row>
    <row r="92" spans="1:32">
      <c r="A92" s="101" t="s">
        <v>51</v>
      </c>
      <c r="B92" s="108" t="s">
        <v>33</v>
      </c>
      <c r="C92" s="103" t="s">
        <v>479</v>
      </c>
      <c r="D92" s="103" t="s">
        <v>641</v>
      </c>
      <c r="E92" s="104" t="s">
        <v>642</v>
      </c>
      <c r="F92" s="103"/>
      <c r="G92" s="103"/>
      <c r="H92" s="103"/>
      <c r="I92" s="103"/>
      <c r="J92" s="103"/>
      <c r="K92" s="103"/>
      <c r="L92" s="103"/>
      <c r="M92" s="105"/>
      <c r="N92" s="103"/>
      <c r="O92" s="106"/>
      <c r="P92" s="242"/>
      <c r="Q92" s="103"/>
      <c r="R92" s="100"/>
      <c r="S92" s="79"/>
      <c r="T92" s="113"/>
      <c r="U92" s="79"/>
      <c r="V92" s="54"/>
      <c r="W92" s="110"/>
      <c r="X92" s="110"/>
      <c r="Y92" s="110"/>
      <c r="Z92" s="110"/>
      <c r="AA92" s="110"/>
      <c r="AB92" s="100" t="s">
        <v>39</v>
      </c>
      <c r="AC92" s="117">
        <v>12</v>
      </c>
      <c r="AD92" s="247" t="s">
        <v>484</v>
      </c>
      <c r="AE92" s="12"/>
      <c r="AF92" s="12"/>
    </row>
    <row r="93" spans="1:32">
      <c r="A93" s="101">
        <v>76</v>
      </c>
      <c r="B93" s="108" t="s">
        <v>33</v>
      </c>
      <c r="C93" s="103" t="s">
        <v>479</v>
      </c>
      <c r="D93" s="103" t="s">
        <v>641</v>
      </c>
      <c r="E93" s="103" t="s">
        <v>645</v>
      </c>
      <c r="F93" s="103" t="s">
        <v>646</v>
      </c>
      <c r="G93" s="103">
        <v>461.04</v>
      </c>
      <c r="H93" s="103">
        <v>308</v>
      </c>
      <c r="I93" s="103">
        <v>1379</v>
      </c>
      <c r="J93" s="103">
        <v>690</v>
      </c>
      <c r="K93" s="103">
        <v>689</v>
      </c>
      <c r="L93" s="103">
        <v>59</v>
      </c>
      <c r="M93" s="105">
        <f t="shared" si="2"/>
        <v>4.2784626540971722</v>
      </c>
      <c r="N93" s="103">
        <v>49</v>
      </c>
      <c r="O93" s="106">
        <f t="shared" si="3"/>
        <v>3.5532994923857872</v>
      </c>
      <c r="P93" s="242">
        <v>51</v>
      </c>
      <c r="Q93" s="103">
        <v>0</v>
      </c>
      <c r="R93" s="100" t="s">
        <v>39</v>
      </c>
      <c r="S93" s="122">
        <v>45957</v>
      </c>
      <c r="T93" s="113"/>
      <c r="U93" s="79">
        <v>58.478999999999999</v>
      </c>
      <c r="V93" s="54" t="s">
        <v>37</v>
      </c>
      <c r="W93" s="110"/>
      <c r="X93" s="110"/>
      <c r="Y93" s="110"/>
      <c r="Z93" s="110"/>
      <c r="AA93" s="110"/>
      <c r="AB93" s="100" t="s">
        <v>39</v>
      </c>
      <c r="AC93" s="79">
        <v>10</v>
      </c>
      <c r="AD93" s="247" t="s">
        <v>484</v>
      </c>
      <c r="AE93" s="12"/>
      <c r="AF93" s="12"/>
    </row>
    <row r="94" spans="1:32">
      <c r="A94" s="101">
        <v>77</v>
      </c>
      <c r="B94" s="108" t="s">
        <v>33</v>
      </c>
      <c r="C94" s="103" t="s">
        <v>479</v>
      </c>
      <c r="D94" s="103" t="s">
        <v>641</v>
      </c>
      <c r="E94" s="103" t="s">
        <v>243</v>
      </c>
      <c r="F94" s="103" t="s">
        <v>647</v>
      </c>
      <c r="G94" s="103">
        <v>643.14</v>
      </c>
      <c r="H94" s="103">
        <v>186</v>
      </c>
      <c r="I94" s="103">
        <v>870</v>
      </c>
      <c r="J94" s="103">
        <v>436</v>
      </c>
      <c r="K94" s="103">
        <v>434</v>
      </c>
      <c r="L94" s="103">
        <v>89</v>
      </c>
      <c r="M94" s="105">
        <f t="shared" si="2"/>
        <v>10.229885057471265</v>
      </c>
      <c r="N94" s="103">
        <v>45</v>
      </c>
      <c r="O94" s="106">
        <f t="shared" si="3"/>
        <v>5.1724137931034484</v>
      </c>
      <c r="P94" s="242">
        <v>50.02</v>
      </c>
      <c r="Q94" s="103">
        <v>0</v>
      </c>
      <c r="R94" s="100" t="s">
        <v>39</v>
      </c>
      <c r="S94" s="122">
        <v>45957</v>
      </c>
      <c r="T94" s="113"/>
      <c r="U94" s="79">
        <v>55.320599999999999</v>
      </c>
      <c r="V94" s="54" t="s">
        <v>37</v>
      </c>
      <c r="W94" s="110"/>
      <c r="X94" s="110"/>
      <c r="Y94" s="110"/>
      <c r="Z94" s="110"/>
      <c r="AA94" s="110"/>
      <c r="AB94" s="100" t="s">
        <v>39</v>
      </c>
      <c r="AC94" s="79">
        <v>10</v>
      </c>
      <c r="AD94" s="247" t="s">
        <v>484</v>
      </c>
      <c r="AE94" s="12"/>
      <c r="AF94" s="12"/>
    </row>
    <row r="95" spans="1:32">
      <c r="A95" s="101" t="s">
        <v>51</v>
      </c>
      <c r="B95" s="108" t="s">
        <v>33</v>
      </c>
      <c r="C95" s="103" t="s">
        <v>479</v>
      </c>
      <c r="D95" s="103" t="s">
        <v>641</v>
      </c>
      <c r="E95" s="103" t="s">
        <v>243</v>
      </c>
      <c r="F95" s="103"/>
      <c r="G95" s="103"/>
      <c r="H95" s="103"/>
      <c r="I95" s="103"/>
      <c r="J95" s="103"/>
      <c r="K95" s="103"/>
      <c r="L95" s="103"/>
      <c r="M95" s="105"/>
      <c r="N95" s="103"/>
      <c r="O95" s="106"/>
      <c r="P95" s="242"/>
      <c r="Q95" s="103"/>
      <c r="R95" s="100"/>
      <c r="S95" s="122"/>
      <c r="T95" s="113"/>
      <c r="U95" s="79"/>
      <c r="V95" s="54"/>
      <c r="W95" s="110"/>
      <c r="X95" s="110"/>
      <c r="Y95" s="110"/>
      <c r="Z95" s="110"/>
      <c r="AA95" s="110"/>
      <c r="AB95" s="100" t="s">
        <v>39</v>
      </c>
      <c r="AC95" s="79">
        <v>14</v>
      </c>
      <c r="AD95" s="247" t="s">
        <v>648</v>
      </c>
      <c r="AE95" s="12">
        <v>24.569500000000001</v>
      </c>
      <c r="AF95" s="12">
        <v>76.672899999999998</v>
      </c>
    </row>
    <row r="96" spans="1:32">
      <c r="A96" s="101" t="s">
        <v>51</v>
      </c>
      <c r="B96" s="108" t="s">
        <v>33</v>
      </c>
      <c r="C96" s="103" t="s">
        <v>479</v>
      </c>
      <c r="D96" s="103" t="s">
        <v>641</v>
      </c>
      <c r="E96" s="103" t="s">
        <v>243</v>
      </c>
      <c r="F96" s="103"/>
      <c r="G96" s="103"/>
      <c r="H96" s="103"/>
      <c r="I96" s="103"/>
      <c r="J96" s="103"/>
      <c r="K96" s="103"/>
      <c r="L96" s="103"/>
      <c r="M96" s="105"/>
      <c r="N96" s="103"/>
      <c r="O96" s="106"/>
      <c r="P96" s="242"/>
      <c r="Q96" s="103"/>
      <c r="R96" s="100"/>
      <c r="S96" s="122"/>
      <c r="T96" s="113"/>
      <c r="U96" s="79"/>
      <c r="V96" s="54"/>
      <c r="W96" s="110"/>
      <c r="X96" s="110"/>
      <c r="Y96" s="110"/>
      <c r="Z96" s="110"/>
      <c r="AA96" s="110"/>
      <c r="AB96" s="100" t="s">
        <v>39</v>
      </c>
      <c r="AC96" s="79">
        <v>17</v>
      </c>
      <c r="AD96" s="247" t="s">
        <v>648</v>
      </c>
      <c r="AE96" s="12">
        <v>24.5776</v>
      </c>
      <c r="AF96" s="12">
        <v>76.675399999999996</v>
      </c>
    </row>
    <row r="97" spans="1:32">
      <c r="A97" s="101">
        <v>78</v>
      </c>
      <c r="B97" s="108" t="s">
        <v>33</v>
      </c>
      <c r="C97" s="103" t="s">
        <v>479</v>
      </c>
      <c r="D97" s="103" t="s">
        <v>641</v>
      </c>
      <c r="E97" s="103" t="s">
        <v>649</v>
      </c>
      <c r="F97" s="103" t="s">
        <v>650</v>
      </c>
      <c r="G97" s="103">
        <v>363.02</v>
      </c>
      <c r="H97" s="103">
        <v>181</v>
      </c>
      <c r="I97" s="103">
        <v>901</v>
      </c>
      <c r="J97" s="103">
        <v>488</v>
      </c>
      <c r="K97" s="103">
        <v>413</v>
      </c>
      <c r="L97" s="103">
        <v>205</v>
      </c>
      <c r="M97" s="105">
        <f t="shared" si="2"/>
        <v>22.752497225305216</v>
      </c>
      <c r="N97" s="103">
        <v>527</v>
      </c>
      <c r="O97" s="106">
        <f t="shared" si="3"/>
        <v>58.490566037735846</v>
      </c>
      <c r="P97" s="242">
        <v>57</v>
      </c>
      <c r="Q97" s="103">
        <v>191.01</v>
      </c>
      <c r="R97" s="100" t="s">
        <v>39</v>
      </c>
      <c r="S97" s="122">
        <v>45957</v>
      </c>
      <c r="T97" s="113"/>
      <c r="U97" s="79">
        <v>60.613599999999998</v>
      </c>
      <c r="V97" s="54" t="s">
        <v>37</v>
      </c>
      <c r="W97" s="110"/>
      <c r="X97" s="110"/>
      <c r="Y97" s="110"/>
      <c r="Z97" s="110"/>
      <c r="AA97" s="110"/>
      <c r="AB97" s="100" t="s">
        <v>39</v>
      </c>
      <c r="AC97" s="79">
        <v>11</v>
      </c>
      <c r="AD97" s="247" t="s">
        <v>484</v>
      </c>
      <c r="AE97" s="12"/>
      <c r="AF97" s="12"/>
    </row>
    <row r="98" spans="1:32">
      <c r="A98" s="101">
        <v>79</v>
      </c>
      <c r="B98" s="108" t="s">
        <v>33</v>
      </c>
      <c r="C98" s="103" t="s">
        <v>479</v>
      </c>
      <c r="D98" s="103" t="s">
        <v>651</v>
      </c>
      <c r="E98" s="104" t="s">
        <v>652</v>
      </c>
      <c r="F98" s="103" t="s">
        <v>653</v>
      </c>
      <c r="G98" s="103">
        <v>2071</v>
      </c>
      <c r="H98" s="103">
        <v>2027</v>
      </c>
      <c r="I98" s="103">
        <v>9303</v>
      </c>
      <c r="J98" s="103">
        <v>4775</v>
      </c>
      <c r="K98" s="103">
        <v>4528</v>
      </c>
      <c r="L98" s="103">
        <v>1682</v>
      </c>
      <c r="M98" s="105">
        <f t="shared" si="2"/>
        <v>18.080189186283992</v>
      </c>
      <c r="N98" s="103">
        <v>507</v>
      </c>
      <c r="O98" s="106">
        <f t="shared" si="3"/>
        <v>5.4498548855208</v>
      </c>
      <c r="P98" s="242">
        <v>213</v>
      </c>
      <c r="Q98" s="103">
        <v>149.03</v>
      </c>
      <c r="R98" s="100" t="s">
        <v>39</v>
      </c>
      <c r="S98" s="79" t="s">
        <v>654</v>
      </c>
      <c r="T98" s="113"/>
      <c r="U98" s="79">
        <v>50</v>
      </c>
      <c r="V98" s="54" t="s">
        <v>483</v>
      </c>
      <c r="W98" s="110"/>
      <c r="X98" s="110"/>
      <c r="Y98" s="110"/>
      <c r="Z98" s="110"/>
      <c r="AA98" s="110"/>
      <c r="AB98" s="100" t="s">
        <v>39</v>
      </c>
      <c r="AC98" s="79">
        <v>12</v>
      </c>
      <c r="AD98" s="247" t="s">
        <v>484</v>
      </c>
      <c r="AE98" s="12"/>
      <c r="AF98" s="12"/>
    </row>
    <row r="99" spans="1:32">
      <c r="A99" s="101" t="s">
        <v>51</v>
      </c>
      <c r="B99" s="108" t="s">
        <v>33</v>
      </c>
      <c r="C99" s="103" t="s">
        <v>479</v>
      </c>
      <c r="D99" s="103" t="s">
        <v>651</v>
      </c>
      <c r="E99" s="104" t="s">
        <v>655</v>
      </c>
      <c r="F99" s="103"/>
      <c r="G99" s="103"/>
      <c r="H99" s="103"/>
      <c r="I99" s="103"/>
      <c r="J99" s="103"/>
      <c r="K99" s="103"/>
      <c r="L99" s="103"/>
      <c r="M99" s="105"/>
      <c r="N99" s="103"/>
      <c r="O99" s="106"/>
      <c r="P99" s="242"/>
      <c r="Q99" s="103"/>
      <c r="R99" s="100"/>
      <c r="S99" s="79"/>
      <c r="T99" s="113"/>
      <c r="U99" s="79"/>
      <c r="V99" s="54"/>
      <c r="W99" s="110"/>
      <c r="X99" s="110"/>
      <c r="Y99" s="110"/>
      <c r="Z99" s="110"/>
      <c r="AA99" s="110"/>
      <c r="AB99" s="100"/>
      <c r="AC99" s="79">
        <v>10</v>
      </c>
      <c r="AD99" s="247"/>
      <c r="AE99" s="12"/>
      <c r="AF99" s="12"/>
    </row>
    <row r="100" spans="1:32">
      <c r="A100" s="101" t="s">
        <v>51</v>
      </c>
      <c r="B100" s="108" t="s">
        <v>33</v>
      </c>
      <c r="C100" s="103" t="s">
        <v>479</v>
      </c>
      <c r="D100" s="103" t="s">
        <v>651</v>
      </c>
      <c r="E100" s="104" t="s">
        <v>652</v>
      </c>
      <c r="F100" s="103"/>
      <c r="G100" s="103"/>
      <c r="H100" s="103"/>
      <c r="I100" s="103"/>
      <c r="J100" s="103"/>
      <c r="K100" s="103"/>
      <c r="L100" s="103"/>
      <c r="M100" s="105"/>
      <c r="N100" s="103"/>
      <c r="O100" s="106"/>
      <c r="P100" s="242"/>
      <c r="Q100" s="103"/>
      <c r="R100" s="100"/>
      <c r="S100" s="79"/>
      <c r="T100" s="113"/>
      <c r="U100" s="79"/>
      <c r="V100" s="54"/>
      <c r="W100" s="110"/>
      <c r="X100" s="110"/>
      <c r="Y100" s="110"/>
      <c r="Z100" s="110"/>
      <c r="AA100" s="110"/>
      <c r="AB100" s="100" t="s">
        <v>39</v>
      </c>
      <c r="AC100" s="79">
        <v>15</v>
      </c>
      <c r="AD100" s="247" t="s">
        <v>648</v>
      </c>
      <c r="AE100" s="12">
        <v>25.134599999999999</v>
      </c>
      <c r="AF100" s="12">
        <v>76.650899999999993</v>
      </c>
    </row>
    <row r="101" spans="1:32">
      <c r="A101" s="101">
        <v>80</v>
      </c>
      <c r="B101" s="108" t="s">
        <v>33</v>
      </c>
      <c r="C101" s="103" t="s">
        <v>479</v>
      </c>
      <c r="D101" s="103" t="s">
        <v>656</v>
      </c>
      <c r="E101" s="104" t="s">
        <v>657</v>
      </c>
      <c r="F101" s="103" t="s">
        <v>658</v>
      </c>
      <c r="G101" s="103">
        <v>802</v>
      </c>
      <c r="H101" s="103">
        <v>328</v>
      </c>
      <c r="I101" s="103">
        <v>1470</v>
      </c>
      <c r="J101" s="103">
        <v>745</v>
      </c>
      <c r="K101" s="103">
        <v>725</v>
      </c>
      <c r="L101" s="103">
        <v>63</v>
      </c>
      <c r="M101" s="105">
        <f t="shared" si="2"/>
        <v>4.2857142857142856</v>
      </c>
      <c r="N101" s="103">
        <v>68</v>
      </c>
      <c r="O101" s="106">
        <f t="shared" si="3"/>
        <v>4.6258503401360542</v>
      </c>
      <c r="P101" s="242">
        <v>121</v>
      </c>
      <c r="Q101" s="103">
        <v>0</v>
      </c>
      <c r="R101" s="100" t="s">
        <v>39</v>
      </c>
      <c r="S101" s="126">
        <v>45918</v>
      </c>
      <c r="T101" s="113"/>
      <c r="U101" s="76">
        <v>120.9529</v>
      </c>
      <c r="V101" s="54" t="s">
        <v>483</v>
      </c>
      <c r="W101" s="110"/>
      <c r="X101" s="110"/>
      <c r="Y101" s="110"/>
      <c r="Z101" s="110"/>
      <c r="AA101" s="110"/>
      <c r="AB101" s="100" t="s">
        <v>39</v>
      </c>
      <c r="AC101" s="76">
        <v>4</v>
      </c>
      <c r="AD101" s="247" t="s">
        <v>484</v>
      </c>
      <c r="AE101" s="12"/>
      <c r="AF101" s="12"/>
    </row>
    <row r="102" spans="1:32">
      <c r="A102" s="101" t="s">
        <v>51</v>
      </c>
      <c r="B102" s="108" t="s">
        <v>33</v>
      </c>
      <c r="C102" s="103" t="s">
        <v>479</v>
      </c>
      <c r="D102" s="103" t="s">
        <v>656</v>
      </c>
      <c r="E102" s="104" t="s">
        <v>657</v>
      </c>
      <c r="F102" s="103"/>
      <c r="G102" s="103"/>
      <c r="H102" s="103"/>
      <c r="I102" s="103"/>
      <c r="J102" s="103"/>
      <c r="K102" s="103"/>
      <c r="L102" s="103"/>
      <c r="M102" s="105"/>
      <c r="N102" s="103"/>
      <c r="O102" s="106"/>
      <c r="P102" s="242"/>
      <c r="Q102" s="103"/>
      <c r="R102" s="100"/>
      <c r="S102" s="126"/>
      <c r="T102" s="113"/>
      <c r="U102" s="76"/>
      <c r="V102" s="54"/>
      <c r="W102" s="110"/>
      <c r="X102" s="110"/>
      <c r="Y102" s="110"/>
      <c r="Z102" s="110"/>
      <c r="AA102" s="110"/>
      <c r="AB102" s="100" t="s">
        <v>39</v>
      </c>
      <c r="AC102" s="76">
        <v>16</v>
      </c>
      <c r="AD102" s="247" t="s">
        <v>648</v>
      </c>
      <c r="AE102" s="12">
        <v>24.986899999999999</v>
      </c>
      <c r="AF102" s="12">
        <v>76.296400000000006</v>
      </c>
    </row>
    <row r="103" spans="1:32">
      <c r="A103" s="101">
        <v>81</v>
      </c>
      <c r="B103" s="108" t="s">
        <v>33</v>
      </c>
      <c r="C103" s="103" t="s">
        <v>479</v>
      </c>
      <c r="D103" s="103" t="s">
        <v>656</v>
      </c>
      <c r="E103" s="103" t="s">
        <v>659</v>
      </c>
      <c r="F103" s="103" t="s">
        <v>660</v>
      </c>
      <c r="G103" s="103">
        <v>103</v>
      </c>
      <c r="H103" s="103">
        <v>20</v>
      </c>
      <c r="I103" s="103">
        <v>93</v>
      </c>
      <c r="J103" s="103">
        <v>49</v>
      </c>
      <c r="K103" s="103">
        <v>44</v>
      </c>
      <c r="L103" s="103">
        <v>0</v>
      </c>
      <c r="M103" s="105">
        <f t="shared" si="2"/>
        <v>0</v>
      </c>
      <c r="N103" s="103">
        <v>93</v>
      </c>
      <c r="O103" s="106">
        <f t="shared" si="3"/>
        <v>100</v>
      </c>
      <c r="P103" s="242">
        <v>6</v>
      </c>
      <c r="Q103" s="103">
        <v>698</v>
      </c>
      <c r="R103" s="100" t="s">
        <v>39</v>
      </c>
      <c r="S103" s="111"/>
      <c r="T103" s="113"/>
      <c r="U103" s="111"/>
      <c r="V103" s="54"/>
      <c r="W103" s="110"/>
      <c r="X103" s="110"/>
      <c r="Y103" s="110"/>
      <c r="Z103" s="110"/>
      <c r="AA103" s="110"/>
      <c r="AB103" s="100"/>
      <c r="AC103" s="111"/>
      <c r="AD103" s="247"/>
      <c r="AE103" s="12"/>
      <c r="AF103" s="12"/>
    </row>
    <row r="104" spans="1:32">
      <c r="A104" s="101">
        <v>82</v>
      </c>
      <c r="B104" s="108" t="s">
        <v>33</v>
      </c>
      <c r="C104" s="103" t="s">
        <v>479</v>
      </c>
      <c r="D104" s="103" t="s">
        <v>656</v>
      </c>
      <c r="E104" s="103" t="s">
        <v>661</v>
      </c>
      <c r="F104" s="103" t="s">
        <v>662</v>
      </c>
      <c r="G104" s="103">
        <v>309</v>
      </c>
      <c r="H104" s="103">
        <v>210</v>
      </c>
      <c r="I104" s="103">
        <v>809</v>
      </c>
      <c r="J104" s="103">
        <v>417</v>
      </c>
      <c r="K104" s="103">
        <v>392</v>
      </c>
      <c r="L104" s="103">
        <v>1</v>
      </c>
      <c r="M104" s="105">
        <f t="shared" si="2"/>
        <v>0.12360939431396785</v>
      </c>
      <c r="N104" s="103">
        <v>585</v>
      </c>
      <c r="O104" s="106">
        <f t="shared" si="3"/>
        <v>72.311495673671203</v>
      </c>
      <c r="P104" s="242">
        <v>47</v>
      </c>
      <c r="Q104" s="103">
        <v>363</v>
      </c>
      <c r="R104" s="100" t="s">
        <v>39</v>
      </c>
      <c r="S104" s="126">
        <v>45918</v>
      </c>
      <c r="T104" s="113"/>
      <c r="U104" s="76">
        <v>36.648299999999999</v>
      </c>
      <c r="V104" s="54" t="s">
        <v>483</v>
      </c>
      <c r="W104" s="110"/>
      <c r="X104" s="110"/>
      <c r="Y104" s="110"/>
      <c r="Z104" s="110"/>
      <c r="AA104" s="110"/>
      <c r="AB104" s="54"/>
      <c r="AC104" s="76"/>
      <c r="AD104" s="247"/>
      <c r="AE104" s="12"/>
      <c r="AF104" s="12"/>
    </row>
    <row r="105" spans="1:32">
      <c r="A105" s="101">
        <v>83</v>
      </c>
      <c r="B105" s="108" t="s">
        <v>33</v>
      </c>
      <c r="C105" s="103" t="s">
        <v>479</v>
      </c>
      <c r="D105" s="103" t="s">
        <v>656</v>
      </c>
      <c r="E105" s="103" t="s">
        <v>663</v>
      </c>
      <c r="F105" s="103" t="s">
        <v>664</v>
      </c>
      <c r="G105" s="103">
        <v>262</v>
      </c>
      <c r="H105" s="103">
        <v>99</v>
      </c>
      <c r="I105" s="103">
        <v>385</v>
      </c>
      <c r="J105" s="103">
        <v>196</v>
      </c>
      <c r="K105" s="103">
        <v>189</v>
      </c>
      <c r="L105" s="103">
        <v>9</v>
      </c>
      <c r="M105" s="105">
        <f t="shared" si="2"/>
        <v>2.3376623376623376</v>
      </c>
      <c r="N105" s="103">
        <v>371</v>
      </c>
      <c r="O105" s="106">
        <f t="shared" si="3"/>
        <v>96.36363636363636</v>
      </c>
      <c r="P105" s="242">
        <v>20</v>
      </c>
      <c r="Q105" s="103">
        <v>28</v>
      </c>
      <c r="R105" s="100" t="s">
        <v>39</v>
      </c>
      <c r="S105" s="126">
        <v>45918</v>
      </c>
      <c r="T105" s="113"/>
      <c r="U105" s="76">
        <v>32.771299999999997</v>
      </c>
      <c r="V105" s="54" t="s">
        <v>483</v>
      </c>
      <c r="W105" s="110"/>
      <c r="X105" s="110"/>
      <c r="Y105" s="110"/>
      <c r="Z105" s="110"/>
      <c r="AA105" s="110"/>
      <c r="AB105" s="100" t="s">
        <v>39</v>
      </c>
      <c r="AC105" s="76">
        <v>7</v>
      </c>
      <c r="AD105" s="247" t="s">
        <v>484</v>
      </c>
      <c r="AE105" s="12"/>
      <c r="AF105" s="12"/>
    </row>
    <row r="106" spans="1:32">
      <c r="A106" s="101">
        <v>84</v>
      </c>
      <c r="B106" s="108" t="s">
        <v>33</v>
      </c>
      <c r="C106" s="103" t="s">
        <v>479</v>
      </c>
      <c r="D106" s="103" t="s">
        <v>656</v>
      </c>
      <c r="E106" s="103" t="s">
        <v>665</v>
      </c>
      <c r="F106" s="103" t="s">
        <v>666</v>
      </c>
      <c r="G106" s="103">
        <v>151</v>
      </c>
      <c r="H106" s="103">
        <v>66</v>
      </c>
      <c r="I106" s="103">
        <v>293</v>
      </c>
      <c r="J106" s="103">
        <v>156</v>
      </c>
      <c r="K106" s="103">
        <v>137</v>
      </c>
      <c r="L106" s="103">
        <v>5</v>
      </c>
      <c r="M106" s="105">
        <f t="shared" si="2"/>
        <v>1.7064846416382253</v>
      </c>
      <c r="N106" s="103">
        <v>282</v>
      </c>
      <c r="O106" s="106">
        <f t="shared" si="3"/>
        <v>96.24573378839591</v>
      </c>
      <c r="P106" s="242">
        <v>0</v>
      </c>
      <c r="Q106" s="103">
        <v>61</v>
      </c>
      <c r="R106" s="100" t="s">
        <v>39</v>
      </c>
      <c r="S106" s="126">
        <v>45918</v>
      </c>
      <c r="T106" s="113"/>
      <c r="U106" s="76">
        <v>10.36</v>
      </c>
      <c r="V106" s="54" t="s">
        <v>483</v>
      </c>
      <c r="W106" s="110"/>
      <c r="X106" s="110"/>
      <c r="Y106" s="110"/>
      <c r="Z106" s="110"/>
      <c r="AA106" s="110"/>
      <c r="AB106" s="100" t="s">
        <v>39</v>
      </c>
      <c r="AC106" s="76">
        <v>8</v>
      </c>
      <c r="AD106" s="247" t="s">
        <v>484</v>
      </c>
      <c r="AE106" s="12" t="s">
        <v>667</v>
      </c>
      <c r="AF106" s="12"/>
    </row>
    <row r="107" spans="1:32">
      <c r="A107" s="101">
        <v>85</v>
      </c>
      <c r="B107" s="108" t="s">
        <v>33</v>
      </c>
      <c r="C107" s="103" t="s">
        <v>479</v>
      </c>
      <c r="D107" s="103" t="s">
        <v>656</v>
      </c>
      <c r="E107" s="103" t="s">
        <v>144</v>
      </c>
      <c r="F107" s="103" t="s">
        <v>668</v>
      </c>
      <c r="G107" s="103">
        <v>327</v>
      </c>
      <c r="H107" s="103">
        <v>152</v>
      </c>
      <c r="I107" s="103">
        <v>756</v>
      </c>
      <c r="J107" s="103">
        <v>373</v>
      </c>
      <c r="K107" s="103">
        <v>383</v>
      </c>
      <c r="L107" s="103">
        <v>61</v>
      </c>
      <c r="M107" s="105">
        <f t="shared" si="2"/>
        <v>8.0687830687830679</v>
      </c>
      <c r="N107" s="103">
        <v>596</v>
      </c>
      <c r="O107" s="106">
        <f t="shared" si="3"/>
        <v>78.835978835978835</v>
      </c>
      <c r="P107" s="242">
        <v>46</v>
      </c>
      <c r="Q107" s="103">
        <v>147</v>
      </c>
      <c r="R107" s="100" t="s">
        <v>39</v>
      </c>
      <c r="S107" s="126">
        <v>45918</v>
      </c>
      <c r="T107" s="115"/>
      <c r="U107" s="76">
        <v>47.882399999999997</v>
      </c>
      <c r="V107" s="54" t="s">
        <v>483</v>
      </c>
      <c r="W107" s="110"/>
      <c r="X107" s="110"/>
      <c r="Y107" s="110"/>
      <c r="Z107" s="110"/>
      <c r="AA107" s="110"/>
      <c r="AB107" s="54"/>
      <c r="AC107" s="76"/>
      <c r="AD107" s="247"/>
      <c r="AE107" s="12"/>
      <c r="AF107" s="12"/>
    </row>
    <row r="108" spans="1:32">
      <c r="A108" s="101">
        <v>86</v>
      </c>
      <c r="B108" s="108" t="s">
        <v>33</v>
      </c>
      <c r="C108" s="103" t="s">
        <v>479</v>
      </c>
      <c r="D108" s="103" t="s">
        <v>656</v>
      </c>
      <c r="E108" s="103" t="s">
        <v>669</v>
      </c>
      <c r="F108" s="103" t="s">
        <v>670</v>
      </c>
      <c r="G108" s="103">
        <v>390</v>
      </c>
      <c r="H108" s="103">
        <v>115</v>
      </c>
      <c r="I108" s="103">
        <v>460</v>
      </c>
      <c r="J108" s="103">
        <v>258</v>
      </c>
      <c r="K108" s="103">
        <v>202</v>
      </c>
      <c r="L108" s="103">
        <v>10</v>
      </c>
      <c r="M108" s="105">
        <f t="shared" si="2"/>
        <v>2.1739130434782608</v>
      </c>
      <c r="N108" s="103">
        <v>433</v>
      </c>
      <c r="O108" s="106">
        <f t="shared" si="3"/>
        <v>94.130434782608702</v>
      </c>
      <c r="P108" s="242">
        <v>45</v>
      </c>
      <c r="Q108" s="103">
        <v>63</v>
      </c>
      <c r="R108" s="100" t="s">
        <v>39</v>
      </c>
      <c r="S108" s="126">
        <v>45918</v>
      </c>
      <c r="T108" s="115"/>
      <c r="U108" s="76">
        <v>48.368099999999998</v>
      </c>
      <c r="V108" s="54" t="s">
        <v>483</v>
      </c>
      <c r="W108" s="110"/>
      <c r="X108" s="110"/>
      <c r="Y108" s="110"/>
      <c r="Z108" s="110"/>
      <c r="AA108" s="110"/>
      <c r="AB108" s="100" t="s">
        <v>39</v>
      </c>
      <c r="AC108" s="76">
        <v>10</v>
      </c>
      <c r="AD108" s="247" t="s">
        <v>484</v>
      </c>
      <c r="AE108" s="12"/>
      <c r="AF108" s="12"/>
    </row>
    <row r="109" spans="1:32">
      <c r="A109" s="101">
        <v>87</v>
      </c>
      <c r="B109" s="108" t="s">
        <v>33</v>
      </c>
      <c r="C109" s="103" t="s">
        <v>479</v>
      </c>
      <c r="D109" s="103" t="s">
        <v>656</v>
      </c>
      <c r="E109" s="103" t="s">
        <v>671</v>
      </c>
      <c r="F109" s="103" t="s">
        <v>672</v>
      </c>
      <c r="G109" s="103">
        <v>585</v>
      </c>
      <c r="H109" s="103">
        <v>137</v>
      </c>
      <c r="I109" s="103">
        <v>638</v>
      </c>
      <c r="J109" s="103">
        <v>339</v>
      </c>
      <c r="K109" s="103">
        <v>299</v>
      </c>
      <c r="L109" s="103">
        <v>86</v>
      </c>
      <c r="M109" s="105">
        <f t="shared" si="2"/>
        <v>13.479623824451412</v>
      </c>
      <c r="N109" s="103">
        <v>525</v>
      </c>
      <c r="O109" s="106">
        <f t="shared" si="3"/>
        <v>82.288401253918494</v>
      </c>
      <c r="P109" s="242">
        <v>27</v>
      </c>
      <c r="Q109" s="103">
        <v>33</v>
      </c>
      <c r="R109" s="100" t="s">
        <v>39</v>
      </c>
      <c r="S109" s="126">
        <v>45918</v>
      </c>
      <c r="T109" s="115"/>
      <c r="U109" s="76">
        <v>62.799199999999999</v>
      </c>
      <c r="V109" s="54" t="s">
        <v>483</v>
      </c>
      <c r="W109" s="110"/>
      <c r="X109" s="110"/>
      <c r="Y109" s="110"/>
      <c r="Z109" s="110"/>
      <c r="AA109" s="110"/>
      <c r="AB109" s="100" t="s">
        <v>39</v>
      </c>
      <c r="AC109" s="76">
        <v>10</v>
      </c>
      <c r="AD109" s="247" t="s">
        <v>484</v>
      </c>
      <c r="AE109" s="12"/>
      <c r="AF109" s="12"/>
    </row>
    <row r="110" spans="1:32">
      <c r="A110" s="101">
        <v>88</v>
      </c>
      <c r="B110" s="108" t="s">
        <v>33</v>
      </c>
      <c r="C110" s="103" t="s">
        <v>479</v>
      </c>
      <c r="D110" s="103" t="s">
        <v>673</v>
      </c>
      <c r="E110" s="104" t="s">
        <v>674</v>
      </c>
      <c r="F110" s="103" t="s">
        <v>675</v>
      </c>
      <c r="G110" s="103">
        <v>851</v>
      </c>
      <c r="H110" s="103">
        <v>330</v>
      </c>
      <c r="I110" s="103">
        <v>1571</v>
      </c>
      <c r="J110" s="103">
        <v>830</v>
      </c>
      <c r="K110" s="103">
        <v>741</v>
      </c>
      <c r="L110" s="103">
        <v>164</v>
      </c>
      <c r="M110" s="105">
        <f t="shared" si="2"/>
        <v>10.439210693825588</v>
      </c>
      <c r="N110" s="103">
        <v>290</v>
      </c>
      <c r="O110" s="106">
        <f t="shared" si="3"/>
        <v>18.459579885423295</v>
      </c>
      <c r="P110" s="242">
        <v>0</v>
      </c>
      <c r="Q110" s="103">
        <v>107</v>
      </c>
      <c r="R110" s="100" t="s">
        <v>39</v>
      </c>
      <c r="S110" s="79" t="s">
        <v>37</v>
      </c>
      <c r="T110" s="115"/>
      <c r="U110" s="79"/>
      <c r="V110" s="54" t="s">
        <v>483</v>
      </c>
      <c r="W110" s="110"/>
      <c r="X110" s="110"/>
      <c r="Y110" s="110"/>
      <c r="Z110" s="110"/>
      <c r="AA110" s="110"/>
      <c r="AB110" s="100" t="s">
        <v>39</v>
      </c>
      <c r="AC110" s="79">
        <v>10</v>
      </c>
      <c r="AD110" s="247" t="s">
        <v>484</v>
      </c>
      <c r="AE110" s="12">
        <v>24.792999999999999</v>
      </c>
      <c r="AF110" s="12">
        <v>76.747</v>
      </c>
    </row>
    <row r="111" spans="1:32">
      <c r="A111" s="101">
        <v>89</v>
      </c>
      <c r="B111" s="108" t="s">
        <v>33</v>
      </c>
      <c r="C111" s="103" t="s">
        <v>479</v>
      </c>
      <c r="D111" s="103" t="s">
        <v>673</v>
      </c>
      <c r="E111" s="103" t="s">
        <v>676</v>
      </c>
      <c r="F111" s="103" t="s">
        <v>677</v>
      </c>
      <c r="G111" s="103">
        <v>1056</v>
      </c>
      <c r="H111" s="103">
        <v>206</v>
      </c>
      <c r="I111" s="103">
        <v>978</v>
      </c>
      <c r="J111" s="103">
        <v>504</v>
      </c>
      <c r="K111" s="103">
        <v>474</v>
      </c>
      <c r="L111" s="103">
        <v>24</v>
      </c>
      <c r="M111" s="105">
        <f t="shared" si="2"/>
        <v>2.4539877300613497</v>
      </c>
      <c r="N111" s="103">
        <v>320</v>
      </c>
      <c r="O111" s="106">
        <f t="shared" si="3"/>
        <v>32.719836400817996</v>
      </c>
      <c r="P111" s="242">
        <v>63</v>
      </c>
      <c r="Q111" s="103">
        <v>227</v>
      </c>
      <c r="R111" s="100" t="s">
        <v>39</v>
      </c>
      <c r="S111" s="122">
        <v>45959</v>
      </c>
      <c r="T111" s="115"/>
      <c r="U111" s="79"/>
      <c r="V111" s="54" t="s">
        <v>483</v>
      </c>
      <c r="W111" s="110"/>
      <c r="X111" s="110"/>
      <c r="Y111" s="110"/>
      <c r="Z111" s="110"/>
      <c r="AA111" s="110"/>
      <c r="AB111" s="100" t="s">
        <v>39</v>
      </c>
      <c r="AC111" s="79">
        <v>10</v>
      </c>
      <c r="AD111" s="247" t="s">
        <v>484</v>
      </c>
      <c r="AE111" s="12">
        <v>24.800999999999998</v>
      </c>
      <c r="AF111" s="12">
        <v>76.733999999999995</v>
      </c>
    </row>
    <row r="112" spans="1:32">
      <c r="A112" s="101" t="s">
        <v>51</v>
      </c>
      <c r="B112" s="108" t="s">
        <v>33</v>
      </c>
      <c r="C112" s="103" t="s">
        <v>479</v>
      </c>
      <c r="D112" s="103" t="s">
        <v>673</v>
      </c>
      <c r="E112" s="103" t="s">
        <v>676</v>
      </c>
      <c r="F112" s="103"/>
      <c r="G112" s="103"/>
      <c r="H112" s="103"/>
      <c r="I112" s="103"/>
      <c r="J112" s="103"/>
      <c r="K112" s="103"/>
      <c r="L112" s="103"/>
      <c r="M112" s="105"/>
      <c r="N112" s="103"/>
      <c r="O112" s="106"/>
      <c r="P112" s="242"/>
      <c r="Q112" s="103"/>
      <c r="R112" s="100"/>
      <c r="S112" s="122"/>
      <c r="T112" s="115"/>
      <c r="U112" s="79"/>
      <c r="V112" s="54"/>
      <c r="W112" s="110"/>
      <c r="X112" s="110"/>
      <c r="Y112" s="110"/>
      <c r="Z112" s="110"/>
      <c r="AA112" s="110"/>
      <c r="AB112" s="100" t="s">
        <v>39</v>
      </c>
      <c r="AC112" s="79">
        <v>9</v>
      </c>
      <c r="AD112" s="247"/>
      <c r="AE112" s="12"/>
      <c r="AF112" s="12"/>
    </row>
    <row r="113" spans="1:32">
      <c r="A113" s="101">
        <v>90</v>
      </c>
      <c r="B113" s="108" t="s">
        <v>33</v>
      </c>
      <c r="C113" s="103" t="s">
        <v>479</v>
      </c>
      <c r="D113" s="103" t="s">
        <v>673</v>
      </c>
      <c r="E113" s="103" t="s">
        <v>678</v>
      </c>
      <c r="F113" s="103" t="s">
        <v>679</v>
      </c>
      <c r="G113" s="103">
        <v>207</v>
      </c>
      <c r="H113" s="103">
        <v>146</v>
      </c>
      <c r="I113" s="103">
        <v>598</v>
      </c>
      <c r="J113" s="103">
        <v>311</v>
      </c>
      <c r="K113" s="103">
        <v>287</v>
      </c>
      <c r="L113" s="103">
        <v>6</v>
      </c>
      <c r="M113" s="105">
        <f t="shared" si="2"/>
        <v>1.0033444816053512</v>
      </c>
      <c r="N113" s="103">
        <v>582</v>
      </c>
      <c r="O113" s="106">
        <f t="shared" si="3"/>
        <v>97.324414715719058</v>
      </c>
      <c r="P113" s="242">
        <v>0</v>
      </c>
      <c r="Q113" s="103">
        <v>602</v>
      </c>
      <c r="R113" s="100" t="s">
        <v>39</v>
      </c>
      <c r="S113" s="111"/>
      <c r="T113" s="115"/>
      <c r="U113" s="111"/>
      <c r="V113" s="54"/>
      <c r="W113" s="110"/>
      <c r="X113" s="110"/>
      <c r="Y113" s="110"/>
      <c r="Z113" s="110"/>
      <c r="AA113" s="110"/>
      <c r="AB113" s="100"/>
      <c r="AC113" s="111"/>
      <c r="AD113" s="247"/>
      <c r="AE113" s="12"/>
      <c r="AF113" s="12"/>
    </row>
    <row r="114" spans="1:32">
      <c r="A114" s="101">
        <v>91</v>
      </c>
      <c r="B114" s="108" t="s">
        <v>33</v>
      </c>
      <c r="C114" s="103" t="s">
        <v>479</v>
      </c>
      <c r="D114" s="103" t="s">
        <v>673</v>
      </c>
      <c r="E114" s="103" t="s">
        <v>680</v>
      </c>
      <c r="F114" s="103" t="s">
        <v>681</v>
      </c>
      <c r="G114" s="103">
        <v>307</v>
      </c>
      <c r="H114" s="103">
        <v>291</v>
      </c>
      <c r="I114" s="103">
        <v>1303</v>
      </c>
      <c r="J114" s="103">
        <v>634</v>
      </c>
      <c r="K114" s="103">
        <v>669</v>
      </c>
      <c r="L114" s="103">
        <v>46</v>
      </c>
      <c r="M114" s="105">
        <f t="shared" si="2"/>
        <v>3.5303146584804295</v>
      </c>
      <c r="N114" s="103">
        <v>174</v>
      </c>
      <c r="O114" s="106">
        <f t="shared" si="3"/>
        <v>13.35379892555641</v>
      </c>
      <c r="P114" s="242">
        <v>10</v>
      </c>
      <c r="Q114" s="103">
        <v>651</v>
      </c>
      <c r="R114" s="100" t="s">
        <v>39</v>
      </c>
      <c r="S114" s="122">
        <v>45959</v>
      </c>
      <c r="T114" s="113"/>
      <c r="U114" s="79">
        <v>13.0631</v>
      </c>
      <c r="V114" s="54" t="s">
        <v>483</v>
      </c>
      <c r="W114" s="110"/>
      <c r="X114" s="110"/>
      <c r="Y114" s="110"/>
      <c r="Z114" s="110"/>
      <c r="AA114" s="110"/>
      <c r="AB114" s="100" t="s">
        <v>39</v>
      </c>
      <c r="AC114" s="79">
        <v>12</v>
      </c>
      <c r="AD114" s="247" t="s">
        <v>484</v>
      </c>
      <c r="AE114" s="12">
        <v>24.812000000000001</v>
      </c>
      <c r="AF114" s="12">
        <v>76.738</v>
      </c>
    </row>
    <row r="115" spans="1:32">
      <c r="A115" s="101">
        <v>92</v>
      </c>
      <c r="B115" s="108" t="s">
        <v>33</v>
      </c>
      <c r="C115" s="103" t="s">
        <v>479</v>
      </c>
      <c r="D115" s="103" t="s">
        <v>682</v>
      </c>
      <c r="E115" s="104" t="s">
        <v>683</v>
      </c>
      <c r="F115" s="103" t="s">
        <v>684</v>
      </c>
      <c r="G115" s="103">
        <v>244</v>
      </c>
      <c r="H115" s="103">
        <v>175</v>
      </c>
      <c r="I115" s="103">
        <v>933</v>
      </c>
      <c r="J115" s="103">
        <v>484</v>
      </c>
      <c r="K115" s="103">
        <v>449</v>
      </c>
      <c r="L115" s="103">
        <v>21</v>
      </c>
      <c r="M115" s="105">
        <f t="shared" si="2"/>
        <v>2.2508038585209005</v>
      </c>
      <c r="N115" s="103">
        <v>824</v>
      </c>
      <c r="O115" s="106">
        <f t="shared" si="3"/>
        <v>88.317256162915328</v>
      </c>
      <c r="P115" s="242">
        <v>5</v>
      </c>
      <c r="Q115" s="103">
        <v>123</v>
      </c>
      <c r="R115" s="100" t="s">
        <v>39</v>
      </c>
      <c r="S115" s="122">
        <v>45958</v>
      </c>
      <c r="T115" s="115"/>
      <c r="U115" s="79">
        <v>7.39</v>
      </c>
      <c r="V115" s="54" t="s">
        <v>483</v>
      </c>
      <c r="W115" s="110"/>
      <c r="X115" s="110"/>
      <c r="Y115" s="110"/>
      <c r="Z115" s="110"/>
      <c r="AA115" s="110"/>
      <c r="AB115" s="100" t="s">
        <v>39</v>
      </c>
      <c r="AC115" s="79">
        <v>5</v>
      </c>
      <c r="AD115" s="247" t="s">
        <v>484</v>
      </c>
      <c r="AE115" s="12">
        <v>24.923999999999999</v>
      </c>
      <c r="AF115" s="12">
        <v>76.680000000000007</v>
      </c>
    </row>
    <row r="116" spans="1:32">
      <c r="A116" s="101">
        <v>93</v>
      </c>
      <c r="B116" s="108" t="s">
        <v>33</v>
      </c>
      <c r="C116" s="103" t="s">
        <v>479</v>
      </c>
      <c r="D116" s="103" t="s">
        <v>682</v>
      </c>
      <c r="E116" s="103" t="s">
        <v>685</v>
      </c>
      <c r="F116" s="103" t="s">
        <v>686</v>
      </c>
      <c r="G116" s="103">
        <v>75</v>
      </c>
      <c r="H116" s="103">
        <v>76</v>
      </c>
      <c r="I116" s="103">
        <v>368</v>
      </c>
      <c r="J116" s="103">
        <v>183</v>
      </c>
      <c r="K116" s="103">
        <v>185</v>
      </c>
      <c r="L116" s="103">
        <v>36</v>
      </c>
      <c r="M116" s="105">
        <f t="shared" si="2"/>
        <v>9.7826086956521738</v>
      </c>
      <c r="N116" s="103">
        <v>208</v>
      </c>
      <c r="O116" s="106">
        <f t="shared" si="3"/>
        <v>56.521739130434781</v>
      </c>
      <c r="P116" s="242">
        <v>0</v>
      </c>
      <c r="Q116" s="103">
        <v>83</v>
      </c>
      <c r="R116" s="100" t="s">
        <v>39</v>
      </c>
      <c r="S116" s="123">
        <v>45958</v>
      </c>
      <c r="T116" s="115"/>
      <c r="U116" s="111"/>
      <c r="V116" s="54" t="s">
        <v>483</v>
      </c>
      <c r="W116" s="110"/>
      <c r="X116" s="110"/>
      <c r="Y116" s="110"/>
      <c r="Z116" s="110"/>
      <c r="AA116" s="110"/>
      <c r="AB116" s="100"/>
      <c r="AC116" s="111"/>
      <c r="AD116" s="247"/>
      <c r="AE116" s="12"/>
      <c r="AF116" s="12"/>
    </row>
    <row r="117" spans="1:32">
      <c r="A117" s="101">
        <v>94</v>
      </c>
      <c r="B117" s="108" t="s">
        <v>33</v>
      </c>
      <c r="C117" s="103" t="s">
        <v>479</v>
      </c>
      <c r="D117" s="103" t="s">
        <v>682</v>
      </c>
      <c r="E117" s="103" t="s">
        <v>687</v>
      </c>
      <c r="F117" s="103" t="s">
        <v>688</v>
      </c>
      <c r="G117" s="103">
        <v>149</v>
      </c>
      <c r="H117" s="103">
        <v>0</v>
      </c>
      <c r="I117" s="103">
        <v>0</v>
      </c>
      <c r="J117" s="103">
        <v>0</v>
      </c>
      <c r="K117" s="103">
        <v>0</v>
      </c>
      <c r="L117" s="103">
        <v>0</v>
      </c>
      <c r="M117" s="105">
        <v>0</v>
      </c>
      <c r="N117" s="103">
        <v>0</v>
      </c>
      <c r="O117" s="106">
        <v>0</v>
      </c>
      <c r="P117" s="242">
        <v>0</v>
      </c>
      <c r="Q117" s="103">
        <v>48</v>
      </c>
      <c r="R117" s="100" t="s">
        <v>39</v>
      </c>
      <c r="S117" s="123">
        <v>45958</v>
      </c>
      <c r="T117" s="115"/>
      <c r="U117" s="111"/>
      <c r="V117" s="54" t="s">
        <v>483</v>
      </c>
      <c r="W117" s="110"/>
      <c r="X117" s="110"/>
      <c r="Y117" s="110"/>
      <c r="Z117" s="110"/>
      <c r="AA117" s="110"/>
      <c r="AB117" s="100"/>
      <c r="AC117" s="111"/>
      <c r="AD117" s="247"/>
      <c r="AE117" s="12"/>
      <c r="AF117" s="12"/>
    </row>
    <row r="118" spans="1:32">
      <c r="A118" s="101">
        <v>95</v>
      </c>
      <c r="B118" s="108" t="s">
        <v>33</v>
      </c>
      <c r="C118" s="103" t="s">
        <v>479</v>
      </c>
      <c r="D118" s="103" t="s">
        <v>682</v>
      </c>
      <c r="E118" s="103" t="s">
        <v>689</v>
      </c>
      <c r="F118" s="103" t="s">
        <v>690</v>
      </c>
      <c r="G118" s="103">
        <v>197</v>
      </c>
      <c r="H118" s="103">
        <v>145</v>
      </c>
      <c r="I118" s="103">
        <v>744</v>
      </c>
      <c r="J118" s="103">
        <v>384</v>
      </c>
      <c r="K118" s="103">
        <v>360</v>
      </c>
      <c r="L118" s="103">
        <v>12</v>
      </c>
      <c r="M118" s="105">
        <f t="shared" si="2"/>
        <v>1.6129032258064515</v>
      </c>
      <c r="N118" s="103">
        <v>636</v>
      </c>
      <c r="O118" s="106">
        <f t="shared" si="3"/>
        <v>85.483870967741936</v>
      </c>
      <c r="P118" s="242">
        <v>21</v>
      </c>
      <c r="Q118" s="103">
        <v>0</v>
      </c>
      <c r="R118" s="100" t="s">
        <v>39</v>
      </c>
      <c r="S118" s="122">
        <v>45958</v>
      </c>
      <c r="T118" s="113"/>
      <c r="U118" s="79">
        <v>25.57</v>
      </c>
      <c r="V118" s="54" t="s">
        <v>483</v>
      </c>
      <c r="W118" s="110"/>
      <c r="X118" s="110"/>
      <c r="Y118" s="110"/>
      <c r="Z118" s="110"/>
      <c r="AA118" s="110"/>
      <c r="AB118" s="100" t="s">
        <v>39</v>
      </c>
      <c r="AC118" s="79">
        <v>10</v>
      </c>
      <c r="AD118" s="247" t="s">
        <v>484</v>
      </c>
      <c r="AE118" s="12">
        <v>24.874500000000001</v>
      </c>
      <c r="AF118" s="12">
        <v>76.635199999999998</v>
      </c>
    </row>
    <row r="119" spans="1:32">
      <c r="A119" s="101">
        <v>96</v>
      </c>
      <c r="B119" s="108" t="s">
        <v>33</v>
      </c>
      <c r="C119" s="103" t="s">
        <v>479</v>
      </c>
      <c r="D119" s="103" t="s">
        <v>682</v>
      </c>
      <c r="E119" s="103" t="s">
        <v>691</v>
      </c>
      <c r="F119" s="103" t="s">
        <v>692</v>
      </c>
      <c r="G119" s="103">
        <v>208</v>
      </c>
      <c r="H119" s="103">
        <v>85</v>
      </c>
      <c r="I119" s="103">
        <v>409</v>
      </c>
      <c r="J119" s="103">
        <v>215</v>
      </c>
      <c r="K119" s="103">
        <v>194</v>
      </c>
      <c r="L119" s="103">
        <v>16</v>
      </c>
      <c r="M119" s="105">
        <f t="shared" si="2"/>
        <v>3.9119804400977993</v>
      </c>
      <c r="N119" s="103">
        <v>379</v>
      </c>
      <c r="O119" s="106">
        <f t="shared" si="3"/>
        <v>92.665036674816619</v>
      </c>
      <c r="P119" s="242">
        <v>11</v>
      </c>
      <c r="Q119" s="103">
        <v>0</v>
      </c>
      <c r="R119" s="100" t="s">
        <v>39</v>
      </c>
      <c r="S119" s="122">
        <v>45958</v>
      </c>
      <c r="T119" s="113"/>
      <c r="U119" s="79">
        <v>13.9</v>
      </c>
      <c r="V119" s="54" t="s">
        <v>483</v>
      </c>
      <c r="W119" s="110"/>
      <c r="X119" s="110"/>
      <c r="Y119" s="110"/>
      <c r="Z119" s="110"/>
      <c r="AA119" s="110"/>
      <c r="AB119" s="100" t="s">
        <v>39</v>
      </c>
      <c r="AC119" s="79">
        <v>6</v>
      </c>
      <c r="AD119" s="247" t="s">
        <v>484</v>
      </c>
      <c r="AE119" s="12">
        <v>24.795999999999999</v>
      </c>
      <c r="AF119" s="12">
        <v>76.759</v>
      </c>
    </row>
    <row r="120" spans="1:32">
      <c r="A120" s="101">
        <v>97</v>
      </c>
      <c r="B120" s="108" t="s">
        <v>33</v>
      </c>
      <c r="C120" s="103" t="s">
        <v>479</v>
      </c>
      <c r="D120" s="103" t="s">
        <v>682</v>
      </c>
      <c r="E120" s="103" t="s">
        <v>693</v>
      </c>
      <c r="F120" s="103" t="s">
        <v>694</v>
      </c>
      <c r="G120" s="103">
        <v>295</v>
      </c>
      <c r="H120" s="103">
        <v>169</v>
      </c>
      <c r="I120" s="103">
        <v>866</v>
      </c>
      <c r="J120" s="103">
        <v>450</v>
      </c>
      <c r="K120" s="103">
        <v>416</v>
      </c>
      <c r="L120" s="103">
        <v>65</v>
      </c>
      <c r="M120" s="105">
        <f t="shared" si="2"/>
        <v>7.5057736720554269</v>
      </c>
      <c r="N120" s="103">
        <v>730</v>
      </c>
      <c r="O120" s="106">
        <f t="shared" si="3"/>
        <v>84.295612009237871</v>
      </c>
      <c r="P120" s="242">
        <v>31</v>
      </c>
      <c r="Q120" s="103">
        <v>33</v>
      </c>
      <c r="R120" s="100" t="s">
        <v>39</v>
      </c>
      <c r="S120" s="122">
        <v>45958</v>
      </c>
      <c r="T120" s="115"/>
      <c r="U120" s="79">
        <v>39.47</v>
      </c>
      <c r="V120" s="54" t="s">
        <v>483</v>
      </c>
      <c r="W120" s="110"/>
      <c r="X120" s="110"/>
      <c r="Y120" s="110"/>
      <c r="Z120" s="110"/>
      <c r="AA120" s="110"/>
      <c r="AB120" s="100" t="s">
        <v>39</v>
      </c>
      <c r="AC120" s="79">
        <v>12</v>
      </c>
      <c r="AD120" s="247" t="s">
        <v>484</v>
      </c>
      <c r="AE120" s="12">
        <v>24.824999999999999</v>
      </c>
      <c r="AF120" s="12">
        <v>76.72</v>
      </c>
    </row>
    <row r="121" spans="1:32">
      <c r="A121" s="101" t="s">
        <v>51</v>
      </c>
      <c r="B121" s="108" t="s">
        <v>33</v>
      </c>
      <c r="C121" s="103" t="s">
        <v>479</v>
      </c>
      <c r="D121" s="103" t="s">
        <v>682</v>
      </c>
      <c r="E121" s="103" t="s">
        <v>693</v>
      </c>
      <c r="F121" s="103"/>
      <c r="G121" s="103"/>
      <c r="H121" s="103"/>
      <c r="I121" s="103"/>
      <c r="J121" s="103"/>
      <c r="K121" s="103"/>
      <c r="L121" s="103"/>
      <c r="M121" s="105"/>
      <c r="N121" s="103"/>
      <c r="O121" s="106"/>
      <c r="P121" s="242"/>
      <c r="Q121" s="103"/>
      <c r="R121" s="100"/>
      <c r="S121" s="122"/>
      <c r="T121" s="115"/>
      <c r="U121" s="79"/>
      <c r="V121" s="54"/>
      <c r="W121" s="110"/>
      <c r="X121" s="110"/>
      <c r="Y121" s="110"/>
      <c r="Z121" s="110"/>
      <c r="AA121" s="110"/>
      <c r="AB121" s="100" t="s">
        <v>39</v>
      </c>
      <c r="AC121" s="79">
        <v>8</v>
      </c>
      <c r="AD121" s="247" t="s">
        <v>648</v>
      </c>
      <c r="AE121" s="12">
        <v>24.953499999999998</v>
      </c>
      <c r="AF121" s="12">
        <v>76.775599999999997</v>
      </c>
    </row>
    <row r="122" spans="1:32">
      <c r="A122" s="101">
        <v>98</v>
      </c>
      <c r="B122" s="108" t="s">
        <v>33</v>
      </c>
      <c r="C122" s="103" t="s">
        <v>479</v>
      </c>
      <c r="D122" s="103" t="s">
        <v>682</v>
      </c>
      <c r="E122" s="103" t="s">
        <v>695</v>
      </c>
      <c r="F122" s="103" t="s">
        <v>696</v>
      </c>
      <c r="G122" s="103">
        <v>244</v>
      </c>
      <c r="H122" s="103">
        <v>59</v>
      </c>
      <c r="I122" s="103">
        <v>384</v>
      </c>
      <c r="J122" s="103">
        <v>186</v>
      </c>
      <c r="K122" s="103">
        <v>198</v>
      </c>
      <c r="L122" s="103">
        <v>46</v>
      </c>
      <c r="M122" s="105">
        <f t="shared" si="2"/>
        <v>11.979166666666668</v>
      </c>
      <c r="N122" s="103">
        <v>294</v>
      </c>
      <c r="O122" s="106">
        <f t="shared" si="3"/>
        <v>76.5625</v>
      </c>
      <c r="P122" s="242">
        <v>11</v>
      </c>
      <c r="Q122" s="103">
        <v>34</v>
      </c>
      <c r="R122" s="100" t="s">
        <v>39</v>
      </c>
      <c r="S122" s="123">
        <v>45958</v>
      </c>
      <c r="T122" s="115"/>
      <c r="U122" s="111"/>
      <c r="V122" s="54" t="s">
        <v>483</v>
      </c>
      <c r="W122" s="110"/>
      <c r="X122" s="110"/>
      <c r="Y122" s="110"/>
      <c r="Z122" s="110"/>
      <c r="AA122" s="110"/>
      <c r="AB122" s="100"/>
      <c r="AC122" s="111"/>
      <c r="AD122" s="247"/>
      <c r="AE122" s="12"/>
      <c r="AF122" s="12"/>
    </row>
    <row r="123" spans="1:32">
      <c r="A123" s="101">
        <v>99</v>
      </c>
      <c r="B123" s="108" t="s">
        <v>33</v>
      </c>
      <c r="C123" s="103" t="s">
        <v>479</v>
      </c>
      <c r="D123" s="103" t="s">
        <v>682</v>
      </c>
      <c r="E123" s="103" t="s">
        <v>697</v>
      </c>
      <c r="F123" s="103" t="s">
        <v>698</v>
      </c>
      <c r="G123" s="103">
        <v>448</v>
      </c>
      <c r="H123" s="103">
        <v>223</v>
      </c>
      <c r="I123" s="103">
        <v>1078</v>
      </c>
      <c r="J123" s="103">
        <v>542</v>
      </c>
      <c r="K123" s="103">
        <v>536</v>
      </c>
      <c r="L123" s="103">
        <v>46</v>
      </c>
      <c r="M123" s="105">
        <f t="shared" si="2"/>
        <v>4.2671614100185531</v>
      </c>
      <c r="N123" s="103">
        <v>416</v>
      </c>
      <c r="O123" s="106">
        <f t="shared" si="3"/>
        <v>38.589981447124302</v>
      </c>
      <c r="P123" s="242">
        <v>10</v>
      </c>
      <c r="Q123" s="103">
        <v>9</v>
      </c>
      <c r="R123" s="100" t="s">
        <v>39</v>
      </c>
      <c r="S123" s="122">
        <v>45958</v>
      </c>
      <c r="T123" s="115"/>
      <c r="U123" s="79"/>
      <c r="V123" s="54" t="s">
        <v>483</v>
      </c>
      <c r="W123" s="110"/>
      <c r="X123" s="110"/>
      <c r="Y123" s="110"/>
      <c r="Z123" s="110"/>
      <c r="AA123" s="110"/>
      <c r="AB123" s="54"/>
      <c r="AC123" s="79"/>
      <c r="AD123" s="247"/>
      <c r="AE123" s="12"/>
      <c r="AF123" s="12"/>
    </row>
    <row r="124" spans="1:32">
      <c r="A124" s="101">
        <v>100</v>
      </c>
      <c r="B124" s="108" t="s">
        <v>33</v>
      </c>
      <c r="C124" s="103" t="s">
        <v>479</v>
      </c>
      <c r="D124" s="103" t="s">
        <v>682</v>
      </c>
      <c r="E124" s="103" t="s">
        <v>699</v>
      </c>
      <c r="F124" s="103" t="s">
        <v>700</v>
      </c>
      <c r="G124" s="103">
        <v>210</v>
      </c>
      <c r="H124" s="103">
        <v>111</v>
      </c>
      <c r="I124" s="103">
        <v>572</v>
      </c>
      <c r="J124" s="103">
        <v>286</v>
      </c>
      <c r="K124" s="103">
        <v>286</v>
      </c>
      <c r="L124" s="103">
        <v>0</v>
      </c>
      <c r="M124" s="105">
        <f t="shared" si="2"/>
        <v>0</v>
      </c>
      <c r="N124" s="103">
        <v>459</v>
      </c>
      <c r="O124" s="106">
        <f t="shared" si="3"/>
        <v>80.24475524475524</v>
      </c>
      <c r="P124" s="242">
        <v>18</v>
      </c>
      <c r="Q124" s="103">
        <v>24</v>
      </c>
      <c r="R124" s="100" t="s">
        <v>39</v>
      </c>
      <c r="S124" s="122">
        <v>45958</v>
      </c>
      <c r="T124" s="113"/>
      <c r="U124" s="79">
        <v>18.16</v>
      </c>
      <c r="V124" s="54" t="s">
        <v>483</v>
      </c>
      <c r="W124" s="110"/>
      <c r="X124" s="110"/>
      <c r="Y124" s="110"/>
      <c r="Z124" s="110"/>
      <c r="AA124" s="110"/>
      <c r="AB124" s="100" t="s">
        <v>39</v>
      </c>
      <c r="AC124" s="79">
        <v>11</v>
      </c>
      <c r="AD124" s="247" t="s">
        <v>484</v>
      </c>
      <c r="AE124" s="12">
        <v>24.789000000000001</v>
      </c>
      <c r="AF124" s="12">
        <v>76.751000000000005</v>
      </c>
    </row>
    <row r="125" spans="1:32">
      <c r="A125" s="101">
        <v>101</v>
      </c>
      <c r="B125" s="108" t="s">
        <v>33</v>
      </c>
      <c r="C125" s="103" t="s">
        <v>479</v>
      </c>
      <c r="D125" s="103" t="s">
        <v>682</v>
      </c>
      <c r="E125" s="103" t="s">
        <v>158</v>
      </c>
      <c r="F125" s="103" t="s">
        <v>701</v>
      </c>
      <c r="G125" s="103">
        <v>500</v>
      </c>
      <c r="H125" s="103">
        <v>61</v>
      </c>
      <c r="I125" s="103">
        <v>316</v>
      </c>
      <c r="J125" s="103">
        <v>166</v>
      </c>
      <c r="K125" s="103">
        <v>150</v>
      </c>
      <c r="L125" s="103">
        <v>18</v>
      </c>
      <c r="M125" s="105">
        <f t="shared" si="2"/>
        <v>5.6962025316455698</v>
      </c>
      <c r="N125" s="103">
        <v>61</v>
      </c>
      <c r="O125" s="106">
        <f t="shared" si="3"/>
        <v>19.303797468354432</v>
      </c>
      <c r="P125" s="242">
        <v>0</v>
      </c>
      <c r="Q125" s="103">
        <v>152</v>
      </c>
      <c r="R125" s="100" t="s">
        <v>39</v>
      </c>
      <c r="S125" s="111" t="s">
        <v>37</v>
      </c>
      <c r="T125" s="113"/>
      <c r="U125" s="111"/>
      <c r="V125" s="54" t="s">
        <v>483</v>
      </c>
      <c r="W125" s="110"/>
      <c r="X125" s="110"/>
      <c r="Y125" s="110"/>
      <c r="Z125" s="110"/>
      <c r="AA125" s="110"/>
      <c r="AB125" s="100"/>
      <c r="AC125" s="111"/>
      <c r="AD125" s="247"/>
      <c r="AE125" s="12"/>
      <c r="AF125" s="12"/>
    </row>
    <row r="126" spans="1:32">
      <c r="A126" s="101">
        <v>102</v>
      </c>
      <c r="B126" s="108" t="s">
        <v>33</v>
      </c>
      <c r="C126" s="103" t="s">
        <v>479</v>
      </c>
      <c r="D126" s="103" t="s">
        <v>702</v>
      </c>
      <c r="E126" s="104" t="s">
        <v>703</v>
      </c>
      <c r="F126" s="103" t="s">
        <v>704</v>
      </c>
      <c r="G126" s="103">
        <v>754.83</v>
      </c>
      <c r="H126" s="103">
        <v>313</v>
      </c>
      <c r="I126" s="103">
        <v>1414</v>
      </c>
      <c r="J126" s="103">
        <v>728</v>
      </c>
      <c r="K126" s="103">
        <v>686</v>
      </c>
      <c r="L126" s="103">
        <v>124</v>
      </c>
      <c r="M126" s="105">
        <f t="shared" si="2"/>
        <v>8.7694483734087694</v>
      </c>
      <c r="N126" s="103">
        <v>0</v>
      </c>
      <c r="O126" s="106">
        <f t="shared" si="3"/>
        <v>0</v>
      </c>
      <c r="P126" s="242">
        <v>26</v>
      </c>
      <c r="Q126" s="103">
        <v>48</v>
      </c>
      <c r="R126" s="54"/>
      <c r="S126" s="122"/>
      <c r="T126" s="116"/>
      <c r="U126" s="79"/>
      <c r="V126" s="54"/>
      <c r="W126" s="110"/>
      <c r="X126" s="110"/>
      <c r="Y126" s="110"/>
      <c r="Z126" s="110"/>
      <c r="AA126" s="110"/>
      <c r="AB126" s="54"/>
      <c r="AC126" s="79"/>
      <c r="AD126" s="247"/>
      <c r="AE126" s="12"/>
      <c r="AF126" s="12"/>
    </row>
    <row r="127" spans="1:32">
      <c r="A127" s="101" t="s">
        <v>51</v>
      </c>
      <c r="B127" s="108" t="s">
        <v>33</v>
      </c>
      <c r="C127" s="103" t="s">
        <v>479</v>
      </c>
      <c r="D127" s="103" t="s">
        <v>702</v>
      </c>
      <c r="E127" s="104" t="s">
        <v>703</v>
      </c>
      <c r="F127" s="103"/>
      <c r="G127" s="103"/>
      <c r="H127" s="103"/>
      <c r="I127" s="103"/>
      <c r="J127" s="103"/>
      <c r="K127" s="103"/>
      <c r="L127" s="103"/>
      <c r="M127" s="105"/>
      <c r="N127" s="103"/>
      <c r="O127" s="106"/>
      <c r="P127" s="242"/>
      <c r="Q127" s="103"/>
      <c r="R127" s="54"/>
      <c r="S127" s="122"/>
      <c r="T127" s="116"/>
      <c r="U127" s="79"/>
      <c r="V127" s="54"/>
      <c r="W127" s="110"/>
      <c r="X127" s="110"/>
      <c r="Y127" s="110"/>
      <c r="Z127" s="110"/>
      <c r="AA127" s="110"/>
      <c r="AB127" s="54" t="s">
        <v>39</v>
      </c>
      <c r="AC127" s="79">
        <v>12</v>
      </c>
      <c r="AD127" s="247" t="s">
        <v>48</v>
      </c>
      <c r="AE127" s="12">
        <v>24.584499999999998</v>
      </c>
      <c r="AF127" s="12">
        <v>76.606399999999994</v>
      </c>
    </row>
    <row r="128" spans="1:32">
      <c r="A128" s="101">
        <v>103</v>
      </c>
      <c r="B128" s="108" t="s">
        <v>33</v>
      </c>
      <c r="C128" s="103" t="s">
        <v>479</v>
      </c>
      <c r="D128" s="103" t="s">
        <v>702</v>
      </c>
      <c r="E128" s="103" t="s">
        <v>705</v>
      </c>
      <c r="F128" s="103" t="s">
        <v>706</v>
      </c>
      <c r="G128" s="103">
        <v>429.8</v>
      </c>
      <c r="H128" s="103">
        <v>58</v>
      </c>
      <c r="I128" s="103">
        <v>257</v>
      </c>
      <c r="J128" s="103">
        <v>134</v>
      </c>
      <c r="K128" s="103">
        <v>123</v>
      </c>
      <c r="L128" s="103">
        <v>0</v>
      </c>
      <c r="M128" s="105">
        <f t="shared" si="2"/>
        <v>0</v>
      </c>
      <c r="N128" s="103">
        <v>0</v>
      </c>
      <c r="O128" s="106">
        <f t="shared" si="3"/>
        <v>0</v>
      </c>
      <c r="P128" s="242">
        <v>26</v>
      </c>
      <c r="Q128" s="103">
        <v>292</v>
      </c>
      <c r="R128" s="54"/>
      <c r="S128" s="122"/>
      <c r="T128" s="113"/>
      <c r="U128" s="79"/>
      <c r="V128" s="54"/>
      <c r="W128" s="110"/>
      <c r="X128" s="110"/>
      <c r="Y128" s="110"/>
      <c r="Z128" s="110"/>
      <c r="AA128" s="110"/>
      <c r="AB128" s="100"/>
      <c r="AC128" s="79"/>
      <c r="AD128" s="247"/>
      <c r="AE128" s="12"/>
      <c r="AF128" s="12"/>
    </row>
    <row r="129" spans="1:32">
      <c r="A129" s="101">
        <v>104</v>
      </c>
      <c r="B129" s="108" t="s">
        <v>33</v>
      </c>
      <c r="C129" s="103" t="s">
        <v>479</v>
      </c>
      <c r="D129" s="103" t="s">
        <v>702</v>
      </c>
      <c r="E129" s="103" t="s">
        <v>172</v>
      </c>
      <c r="F129" s="103" t="s">
        <v>707</v>
      </c>
      <c r="G129" s="103">
        <v>770</v>
      </c>
      <c r="H129" s="103">
        <v>69</v>
      </c>
      <c r="I129" s="103">
        <v>356</v>
      </c>
      <c r="J129" s="103">
        <v>185</v>
      </c>
      <c r="K129" s="103">
        <v>171</v>
      </c>
      <c r="L129" s="103">
        <v>0</v>
      </c>
      <c r="M129" s="105">
        <f t="shared" si="2"/>
        <v>0</v>
      </c>
      <c r="N129" s="103">
        <v>64</v>
      </c>
      <c r="O129" s="106">
        <f t="shared" si="3"/>
        <v>17.977528089887642</v>
      </c>
      <c r="P129" s="242">
        <v>8</v>
      </c>
      <c r="Q129" s="103">
        <v>258.10000000000002</v>
      </c>
      <c r="R129" s="100" t="s">
        <v>39</v>
      </c>
      <c r="S129" s="122" t="s">
        <v>37</v>
      </c>
      <c r="T129" s="113"/>
      <c r="U129" s="79"/>
      <c r="V129" s="54" t="s">
        <v>483</v>
      </c>
      <c r="W129" s="110"/>
      <c r="X129" s="110"/>
      <c r="Y129" s="110"/>
      <c r="Z129" s="110"/>
      <c r="AA129" s="110"/>
      <c r="AB129" s="100"/>
      <c r="AC129" s="79"/>
      <c r="AD129" s="247"/>
      <c r="AE129" s="12"/>
      <c r="AF129" s="12"/>
    </row>
    <row r="130" spans="1:32">
      <c r="A130" s="101">
        <v>105</v>
      </c>
      <c r="B130" s="108" t="s">
        <v>33</v>
      </c>
      <c r="C130" s="103" t="s">
        <v>479</v>
      </c>
      <c r="D130" s="103" t="s">
        <v>702</v>
      </c>
      <c r="E130" s="103" t="s">
        <v>708</v>
      </c>
      <c r="F130" s="103" t="s">
        <v>709</v>
      </c>
      <c r="G130" s="103">
        <v>423.3</v>
      </c>
      <c r="H130" s="103">
        <v>111</v>
      </c>
      <c r="I130" s="103">
        <v>612</v>
      </c>
      <c r="J130" s="103">
        <v>313</v>
      </c>
      <c r="K130" s="103">
        <v>299</v>
      </c>
      <c r="L130" s="103">
        <v>0</v>
      </c>
      <c r="M130" s="105">
        <f t="shared" si="2"/>
        <v>0</v>
      </c>
      <c r="N130" s="103">
        <v>612</v>
      </c>
      <c r="O130" s="106">
        <f t="shared" si="3"/>
        <v>100</v>
      </c>
      <c r="P130" s="242">
        <v>22.6</v>
      </c>
      <c r="Q130" s="103">
        <v>336</v>
      </c>
      <c r="R130" s="54"/>
      <c r="S130" s="111"/>
      <c r="T130" s="113"/>
      <c r="U130" s="111"/>
      <c r="V130" s="54"/>
      <c r="W130" s="110"/>
      <c r="X130" s="110"/>
      <c r="Y130" s="110"/>
      <c r="Z130" s="110"/>
      <c r="AA130" s="110"/>
      <c r="AB130" s="54"/>
      <c r="AC130" s="111"/>
      <c r="AD130" s="247"/>
      <c r="AE130" s="12"/>
      <c r="AF130" s="12"/>
    </row>
    <row r="131" spans="1:32">
      <c r="A131" s="101">
        <v>106</v>
      </c>
      <c r="B131" s="108" t="s">
        <v>33</v>
      </c>
      <c r="C131" s="103" t="s">
        <v>479</v>
      </c>
      <c r="D131" s="103" t="s">
        <v>702</v>
      </c>
      <c r="E131" s="103" t="s">
        <v>710</v>
      </c>
      <c r="F131" s="103" t="s">
        <v>711</v>
      </c>
      <c r="G131" s="103">
        <v>535.70000000000005</v>
      </c>
      <c r="H131" s="103">
        <v>236</v>
      </c>
      <c r="I131" s="103">
        <v>1019</v>
      </c>
      <c r="J131" s="103">
        <v>522</v>
      </c>
      <c r="K131" s="103">
        <v>497</v>
      </c>
      <c r="L131" s="103">
        <v>42</v>
      </c>
      <c r="M131" s="105">
        <f t="shared" si="2"/>
        <v>4.1216879293424924</v>
      </c>
      <c r="N131" s="103">
        <v>0</v>
      </c>
      <c r="O131" s="106">
        <f t="shared" si="3"/>
        <v>0</v>
      </c>
      <c r="P131" s="242">
        <v>20.100000000000001</v>
      </c>
      <c r="Q131" s="103">
        <v>680</v>
      </c>
      <c r="R131" s="100" t="s">
        <v>39</v>
      </c>
      <c r="S131" s="111" t="s">
        <v>37</v>
      </c>
      <c r="T131" s="113"/>
      <c r="U131" s="111"/>
      <c r="V131" s="54" t="s">
        <v>483</v>
      </c>
      <c r="W131" s="110"/>
      <c r="X131" s="110"/>
      <c r="Y131" s="110"/>
      <c r="Z131" s="110"/>
      <c r="AA131" s="110"/>
      <c r="AB131" s="54"/>
      <c r="AC131" s="111"/>
      <c r="AD131" s="247"/>
      <c r="AE131" s="12"/>
      <c r="AF131" s="12"/>
    </row>
    <row r="132" spans="1:32">
      <c r="A132" s="101">
        <v>107</v>
      </c>
      <c r="B132" s="108" t="s">
        <v>33</v>
      </c>
      <c r="C132" s="103" t="s">
        <v>479</v>
      </c>
      <c r="D132" s="103" t="s">
        <v>702</v>
      </c>
      <c r="E132" s="103" t="s">
        <v>712</v>
      </c>
      <c r="F132" s="103" t="s">
        <v>713</v>
      </c>
      <c r="G132" s="103">
        <v>1018.8</v>
      </c>
      <c r="H132" s="103">
        <v>331</v>
      </c>
      <c r="I132" s="103">
        <v>1711</v>
      </c>
      <c r="J132" s="103">
        <v>893</v>
      </c>
      <c r="K132" s="103">
        <v>818</v>
      </c>
      <c r="L132" s="103">
        <v>222</v>
      </c>
      <c r="M132" s="105">
        <f t="shared" si="2"/>
        <v>12.974868497954411</v>
      </c>
      <c r="N132" s="103">
        <v>78</v>
      </c>
      <c r="O132" s="106">
        <f t="shared" si="3"/>
        <v>4.5587375803623615</v>
      </c>
      <c r="P132" s="242">
        <v>87</v>
      </c>
      <c r="Q132" s="103">
        <v>311</v>
      </c>
      <c r="R132" s="100" t="s">
        <v>39</v>
      </c>
      <c r="S132" s="79" t="s">
        <v>607</v>
      </c>
      <c r="T132" s="113"/>
      <c r="U132" s="79">
        <v>94.89</v>
      </c>
      <c r="V132" s="54" t="s">
        <v>483</v>
      </c>
      <c r="W132" s="110"/>
      <c r="X132" s="110"/>
      <c r="Y132" s="110"/>
      <c r="Z132" s="110"/>
      <c r="AA132" s="110"/>
      <c r="AB132" s="54"/>
      <c r="AC132" s="79"/>
      <c r="AD132" s="247"/>
      <c r="AE132" s="12"/>
      <c r="AF132" s="12"/>
    </row>
    <row r="133" spans="1:32">
      <c r="A133" s="101" t="s">
        <v>51</v>
      </c>
      <c r="B133" s="108" t="s">
        <v>33</v>
      </c>
      <c r="C133" s="103" t="s">
        <v>479</v>
      </c>
      <c r="D133" s="103" t="s">
        <v>702</v>
      </c>
      <c r="E133" s="103" t="s">
        <v>712</v>
      </c>
      <c r="F133" s="103"/>
      <c r="G133" s="103"/>
      <c r="H133" s="103"/>
      <c r="I133" s="103"/>
      <c r="J133" s="103"/>
      <c r="K133" s="103"/>
      <c r="L133" s="103"/>
      <c r="M133" s="105"/>
      <c r="N133" s="103"/>
      <c r="O133" s="106"/>
      <c r="P133" s="242"/>
      <c r="Q133" s="103"/>
      <c r="R133" s="100"/>
      <c r="S133" s="79"/>
      <c r="T133" s="113"/>
      <c r="U133" s="79"/>
      <c r="V133" s="54"/>
      <c r="W133" s="110"/>
      <c r="X133" s="110"/>
      <c r="Y133" s="110"/>
      <c r="Z133" s="110"/>
      <c r="AA133" s="110"/>
      <c r="AB133" s="54" t="s">
        <v>39</v>
      </c>
      <c r="AC133" s="79">
        <v>9</v>
      </c>
      <c r="AD133" s="247" t="s">
        <v>648</v>
      </c>
      <c r="AE133" s="12">
        <v>24.596</v>
      </c>
      <c r="AF133" s="12">
        <v>76.64</v>
      </c>
    </row>
    <row r="134" spans="1:32">
      <c r="A134" s="101">
        <v>108</v>
      </c>
      <c r="B134" s="108" t="s">
        <v>33</v>
      </c>
      <c r="C134" s="103" t="s">
        <v>479</v>
      </c>
      <c r="D134" s="103" t="s">
        <v>702</v>
      </c>
      <c r="E134" s="103" t="s">
        <v>714</v>
      </c>
      <c r="F134" s="103" t="s">
        <v>715</v>
      </c>
      <c r="G134" s="103">
        <v>300</v>
      </c>
      <c r="H134" s="103">
        <v>189</v>
      </c>
      <c r="I134" s="103">
        <v>910</v>
      </c>
      <c r="J134" s="103">
        <v>462</v>
      </c>
      <c r="K134" s="103">
        <v>448</v>
      </c>
      <c r="L134" s="103">
        <v>73</v>
      </c>
      <c r="M134" s="105">
        <f t="shared" si="2"/>
        <v>8.0219780219780219</v>
      </c>
      <c r="N134" s="103">
        <v>136</v>
      </c>
      <c r="O134" s="106">
        <f t="shared" si="3"/>
        <v>14.945054945054945</v>
      </c>
      <c r="P134" s="242">
        <v>20.7</v>
      </c>
      <c r="Q134" s="103">
        <v>350</v>
      </c>
      <c r="R134" s="100" t="s">
        <v>39</v>
      </c>
      <c r="S134" s="111" t="s">
        <v>37</v>
      </c>
      <c r="T134" s="113"/>
      <c r="U134" s="111"/>
      <c r="V134" s="54" t="s">
        <v>483</v>
      </c>
      <c r="W134" s="110"/>
      <c r="X134" s="110"/>
      <c r="Y134" s="110"/>
      <c r="Z134" s="110"/>
      <c r="AA134" s="110"/>
      <c r="AB134" s="100"/>
      <c r="AC134" s="111"/>
      <c r="AD134" s="247"/>
      <c r="AE134" s="12"/>
      <c r="AF134" s="12"/>
    </row>
    <row r="135" spans="1:32">
      <c r="A135" s="101">
        <v>109</v>
      </c>
      <c r="B135" s="108" t="s">
        <v>33</v>
      </c>
      <c r="C135" s="103" t="s">
        <v>479</v>
      </c>
      <c r="D135" s="103" t="s">
        <v>702</v>
      </c>
      <c r="E135" s="103" t="s">
        <v>716</v>
      </c>
      <c r="F135" s="103" t="s">
        <v>717</v>
      </c>
      <c r="G135" s="103">
        <v>302.2</v>
      </c>
      <c r="H135" s="103">
        <v>42</v>
      </c>
      <c r="I135" s="103">
        <v>203</v>
      </c>
      <c r="J135" s="103">
        <v>112</v>
      </c>
      <c r="K135" s="103">
        <v>91</v>
      </c>
      <c r="L135" s="103">
        <v>0</v>
      </c>
      <c r="M135" s="105">
        <f t="shared" ref="M135:M201" si="4">L135/I135*100</f>
        <v>0</v>
      </c>
      <c r="N135" s="103">
        <v>0</v>
      </c>
      <c r="O135" s="106">
        <f t="shared" ref="O135:O201" si="5">N135/I135*100</f>
        <v>0</v>
      </c>
      <c r="P135" s="242">
        <v>19.2</v>
      </c>
      <c r="Q135" s="103">
        <v>638.20000000000005</v>
      </c>
      <c r="R135" s="100" t="s">
        <v>39</v>
      </c>
      <c r="S135" s="79" t="s">
        <v>718</v>
      </c>
      <c r="T135" s="115"/>
      <c r="U135" s="79">
        <v>20</v>
      </c>
      <c r="V135" s="54" t="s">
        <v>483</v>
      </c>
      <c r="W135" s="110"/>
      <c r="X135" s="110"/>
      <c r="Y135" s="110"/>
      <c r="Z135" s="110"/>
      <c r="AA135" s="110"/>
      <c r="AB135" s="54"/>
      <c r="AC135" s="79"/>
      <c r="AD135" s="247"/>
      <c r="AE135" s="12"/>
      <c r="AF135" s="12"/>
    </row>
    <row r="136" spans="1:32">
      <c r="A136" s="101" t="s">
        <v>51</v>
      </c>
      <c r="B136" s="108" t="s">
        <v>33</v>
      </c>
      <c r="C136" s="103" t="s">
        <v>479</v>
      </c>
      <c r="D136" s="103" t="s">
        <v>702</v>
      </c>
      <c r="E136" s="103" t="s">
        <v>716</v>
      </c>
      <c r="F136" s="103"/>
      <c r="G136" s="103"/>
      <c r="H136" s="103"/>
      <c r="I136" s="103"/>
      <c r="J136" s="103"/>
      <c r="K136" s="103"/>
      <c r="L136" s="103"/>
      <c r="M136" s="105"/>
      <c r="N136" s="103"/>
      <c r="O136" s="106"/>
      <c r="P136" s="242"/>
      <c r="Q136" s="103"/>
      <c r="R136" s="100"/>
      <c r="S136" s="79"/>
      <c r="T136" s="115"/>
      <c r="U136" s="79"/>
      <c r="V136" s="54"/>
      <c r="W136" s="110"/>
      <c r="X136" s="110"/>
      <c r="Y136" s="110"/>
      <c r="Z136" s="110"/>
      <c r="AA136" s="110"/>
      <c r="AB136" s="54" t="s">
        <v>39</v>
      </c>
      <c r="AC136" s="79">
        <v>6</v>
      </c>
      <c r="AD136" s="247" t="s">
        <v>648</v>
      </c>
      <c r="AE136" s="12">
        <v>24.617000000000001</v>
      </c>
      <c r="AF136" s="12">
        <v>76.614999999999995</v>
      </c>
    </row>
    <row r="137" spans="1:32">
      <c r="A137" s="101">
        <v>110</v>
      </c>
      <c r="B137" s="108" t="s">
        <v>33</v>
      </c>
      <c r="C137" s="103" t="s">
        <v>479</v>
      </c>
      <c r="D137" s="103" t="s">
        <v>719</v>
      </c>
      <c r="E137" s="104" t="s">
        <v>720</v>
      </c>
      <c r="F137" s="103" t="s">
        <v>721</v>
      </c>
      <c r="G137" s="103">
        <v>283</v>
      </c>
      <c r="H137" s="103">
        <v>231</v>
      </c>
      <c r="I137" s="103">
        <v>1131</v>
      </c>
      <c r="J137" s="103">
        <v>584</v>
      </c>
      <c r="K137" s="103">
        <v>547</v>
      </c>
      <c r="L137" s="103">
        <v>350</v>
      </c>
      <c r="M137" s="105">
        <f t="shared" si="4"/>
        <v>30.946065428824049</v>
      </c>
      <c r="N137" s="103">
        <v>615</v>
      </c>
      <c r="O137" s="106">
        <f t="shared" si="5"/>
        <v>54.37665782493368</v>
      </c>
      <c r="P137" s="242">
        <v>34</v>
      </c>
      <c r="Q137" s="103">
        <v>119</v>
      </c>
      <c r="R137" s="100" t="s">
        <v>39</v>
      </c>
      <c r="S137" s="111" t="s">
        <v>37</v>
      </c>
      <c r="T137" s="115"/>
      <c r="U137" s="79"/>
      <c r="V137" s="54" t="s">
        <v>483</v>
      </c>
      <c r="W137" s="110"/>
      <c r="X137" s="110"/>
      <c r="Y137" s="110"/>
      <c r="Z137" s="110"/>
      <c r="AA137" s="110"/>
      <c r="AB137" s="54"/>
      <c r="AC137" s="79"/>
      <c r="AD137" s="247"/>
      <c r="AE137" s="12"/>
      <c r="AF137" s="12"/>
    </row>
    <row r="138" spans="1:32">
      <c r="A138" s="101">
        <v>111</v>
      </c>
      <c r="B138" s="108" t="s">
        <v>33</v>
      </c>
      <c r="C138" s="103" t="s">
        <v>479</v>
      </c>
      <c r="D138" s="103" t="s">
        <v>719</v>
      </c>
      <c r="E138" s="103" t="s">
        <v>722</v>
      </c>
      <c r="F138" s="103" t="s">
        <v>723</v>
      </c>
      <c r="G138" s="103">
        <v>615</v>
      </c>
      <c r="H138" s="103">
        <v>73</v>
      </c>
      <c r="I138" s="103">
        <v>359</v>
      </c>
      <c r="J138" s="103">
        <v>189</v>
      </c>
      <c r="K138" s="103">
        <v>170</v>
      </c>
      <c r="L138" s="103">
        <v>3</v>
      </c>
      <c r="M138" s="105">
        <f t="shared" si="4"/>
        <v>0.83565459610027859</v>
      </c>
      <c r="N138" s="103">
        <v>0</v>
      </c>
      <c r="O138" s="106">
        <f t="shared" si="5"/>
        <v>0</v>
      </c>
      <c r="P138" s="242">
        <v>6</v>
      </c>
      <c r="Q138" s="103">
        <v>76</v>
      </c>
      <c r="R138" s="100" t="s">
        <v>39</v>
      </c>
      <c r="S138" s="111" t="s">
        <v>37</v>
      </c>
      <c r="T138" s="115"/>
      <c r="U138" s="111"/>
      <c r="V138" s="54" t="s">
        <v>483</v>
      </c>
      <c r="W138" s="110"/>
      <c r="X138" s="110"/>
      <c r="Y138" s="110"/>
      <c r="Z138" s="110"/>
      <c r="AA138" s="110"/>
      <c r="AB138" s="100"/>
      <c r="AC138" s="111"/>
      <c r="AD138" s="247"/>
      <c r="AE138" s="12"/>
      <c r="AF138" s="12"/>
    </row>
    <row r="139" spans="1:32">
      <c r="A139" s="101">
        <v>112</v>
      </c>
      <c r="B139" s="108" t="s">
        <v>33</v>
      </c>
      <c r="C139" s="103" t="s">
        <v>479</v>
      </c>
      <c r="D139" s="103" t="s">
        <v>719</v>
      </c>
      <c r="E139" s="103" t="s">
        <v>724</v>
      </c>
      <c r="F139" s="103" t="s">
        <v>725</v>
      </c>
      <c r="G139" s="103">
        <v>536</v>
      </c>
      <c r="H139" s="103">
        <v>26</v>
      </c>
      <c r="I139" s="103">
        <v>129</v>
      </c>
      <c r="J139" s="103">
        <v>64</v>
      </c>
      <c r="K139" s="103">
        <v>65</v>
      </c>
      <c r="L139" s="103">
        <v>0</v>
      </c>
      <c r="M139" s="105">
        <f t="shared" si="4"/>
        <v>0</v>
      </c>
      <c r="N139" s="103">
        <v>0</v>
      </c>
      <c r="O139" s="106">
        <f t="shared" si="5"/>
        <v>0</v>
      </c>
      <c r="P139" s="242">
        <v>6</v>
      </c>
      <c r="Q139" s="103">
        <v>9</v>
      </c>
      <c r="R139" s="100" t="s">
        <v>39</v>
      </c>
      <c r="S139" s="111" t="s">
        <v>37</v>
      </c>
      <c r="T139" s="115"/>
      <c r="U139" s="79"/>
      <c r="V139" s="54" t="s">
        <v>483</v>
      </c>
      <c r="W139" s="110"/>
      <c r="X139" s="110"/>
      <c r="Y139" s="110"/>
      <c r="Z139" s="110"/>
      <c r="AA139" s="110"/>
      <c r="AB139" s="100"/>
      <c r="AC139" s="79"/>
      <c r="AD139" s="247"/>
      <c r="AE139" s="12"/>
      <c r="AF139" s="12"/>
    </row>
    <row r="140" spans="1:32">
      <c r="A140" s="101">
        <v>113</v>
      </c>
      <c r="B140" s="108" t="s">
        <v>33</v>
      </c>
      <c r="C140" s="103" t="s">
        <v>479</v>
      </c>
      <c r="D140" s="103" t="s">
        <v>719</v>
      </c>
      <c r="E140" s="103" t="s">
        <v>726</v>
      </c>
      <c r="F140" s="103" t="s">
        <v>727</v>
      </c>
      <c r="G140" s="103">
        <v>440</v>
      </c>
      <c r="H140" s="103">
        <v>180</v>
      </c>
      <c r="I140" s="103">
        <v>913</v>
      </c>
      <c r="J140" s="103">
        <v>439</v>
      </c>
      <c r="K140" s="103">
        <v>474</v>
      </c>
      <c r="L140" s="103">
        <v>265</v>
      </c>
      <c r="M140" s="105">
        <f t="shared" si="4"/>
        <v>29.025191675794087</v>
      </c>
      <c r="N140" s="103">
        <v>103</v>
      </c>
      <c r="O140" s="106">
        <f t="shared" si="5"/>
        <v>11.281489594742606</v>
      </c>
      <c r="P140" s="242">
        <v>19</v>
      </c>
      <c r="Q140" s="103">
        <v>363</v>
      </c>
      <c r="R140" s="100" t="s">
        <v>39</v>
      </c>
      <c r="S140" s="111" t="s">
        <v>37</v>
      </c>
      <c r="T140" s="113"/>
      <c r="U140" s="79"/>
      <c r="V140" s="54" t="s">
        <v>483</v>
      </c>
      <c r="W140" s="110"/>
      <c r="X140" s="110"/>
      <c r="Y140" s="110"/>
      <c r="Z140" s="110"/>
      <c r="AA140" s="110"/>
      <c r="AB140" s="100"/>
      <c r="AC140" s="79"/>
      <c r="AD140" s="247"/>
      <c r="AE140" s="12"/>
      <c r="AF140" s="12"/>
    </row>
    <row r="141" spans="1:32">
      <c r="A141" s="101">
        <v>114</v>
      </c>
      <c r="B141" s="108" t="s">
        <v>33</v>
      </c>
      <c r="C141" s="103" t="s">
        <v>479</v>
      </c>
      <c r="D141" s="103" t="s">
        <v>719</v>
      </c>
      <c r="E141" s="103" t="s">
        <v>77</v>
      </c>
      <c r="F141" s="103" t="s">
        <v>728</v>
      </c>
      <c r="G141" s="103">
        <v>395</v>
      </c>
      <c r="H141" s="103">
        <v>292</v>
      </c>
      <c r="I141" s="103">
        <v>1436</v>
      </c>
      <c r="J141" s="103">
        <v>747</v>
      </c>
      <c r="K141" s="103">
        <v>689</v>
      </c>
      <c r="L141" s="103">
        <v>96</v>
      </c>
      <c r="M141" s="105">
        <f t="shared" si="4"/>
        <v>6.6852367688022287</v>
      </c>
      <c r="N141" s="103">
        <v>611</v>
      </c>
      <c r="O141" s="106">
        <f t="shared" si="5"/>
        <v>42.548746518105851</v>
      </c>
      <c r="P141" s="242">
        <v>14</v>
      </c>
      <c r="Q141" s="103">
        <v>484</v>
      </c>
      <c r="R141" s="100" t="s">
        <v>39</v>
      </c>
      <c r="S141" s="111" t="s">
        <v>37</v>
      </c>
      <c r="T141" s="113"/>
      <c r="U141" s="79"/>
      <c r="V141" s="54" t="s">
        <v>483</v>
      </c>
      <c r="W141" s="110"/>
      <c r="X141" s="110"/>
      <c r="Y141" s="110"/>
      <c r="Z141" s="110"/>
      <c r="AA141" s="110"/>
      <c r="AB141" s="100"/>
      <c r="AC141" s="79"/>
      <c r="AD141" s="247"/>
      <c r="AE141" s="12"/>
      <c r="AF141" s="12"/>
    </row>
    <row r="142" spans="1:32">
      <c r="A142" s="101">
        <v>115</v>
      </c>
      <c r="B142" s="108" t="s">
        <v>33</v>
      </c>
      <c r="C142" s="103" t="s">
        <v>479</v>
      </c>
      <c r="D142" s="103" t="s">
        <v>729</v>
      </c>
      <c r="E142" s="104" t="s">
        <v>730</v>
      </c>
      <c r="F142" s="103" t="s">
        <v>731</v>
      </c>
      <c r="G142" s="103">
        <v>543</v>
      </c>
      <c r="H142" s="103">
        <v>258</v>
      </c>
      <c r="I142" s="103">
        <v>1217</v>
      </c>
      <c r="J142" s="103">
        <v>638</v>
      </c>
      <c r="K142" s="103">
        <v>579</v>
      </c>
      <c r="L142" s="103">
        <v>85</v>
      </c>
      <c r="M142" s="105">
        <f t="shared" si="4"/>
        <v>6.9843878389482335</v>
      </c>
      <c r="N142" s="103">
        <v>868</v>
      </c>
      <c r="O142" s="106">
        <f t="shared" si="5"/>
        <v>71.322925225965491</v>
      </c>
      <c r="P142" s="242">
        <v>0</v>
      </c>
      <c r="Q142" s="103">
        <v>172</v>
      </c>
      <c r="R142" s="100" t="s">
        <v>39</v>
      </c>
      <c r="S142" s="122">
        <v>45332</v>
      </c>
      <c r="T142" s="113"/>
      <c r="U142" s="79"/>
      <c r="V142" s="54" t="s">
        <v>483</v>
      </c>
      <c r="W142" s="110"/>
      <c r="X142" s="110"/>
      <c r="Y142" s="110"/>
      <c r="Z142" s="110"/>
      <c r="AA142" s="110"/>
      <c r="AB142" s="100" t="s">
        <v>39</v>
      </c>
      <c r="AC142" s="79">
        <v>7</v>
      </c>
      <c r="AD142" s="247" t="s">
        <v>484</v>
      </c>
      <c r="AE142" s="12">
        <v>25.736499999999999</v>
      </c>
      <c r="AF142" s="12">
        <v>76.519800000000004</v>
      </c>
    </row>
    <row r="143" spans="1:32">
      <c r="A143" s="101">
        <v>116</v>
      </c>
      <c r="B143" s="108" t="s">
        <v>33</v>
      </c>
      <c r="C143" s="103" t="s">
        <v>479</v>
      </c>
      <c r="D143" s="103" t="s">
        <v>729</v>
      </c>
      <c r="E143" s="103" t="s">
        <v>732</v>
      </c>
      <c r="F143" s="103" t="s">
        <v>733</v>
      </c>
      <c r="G143" s="103">
        <v>431</v>
      </c>
      <c r="H143" s="103">
        <v>207</v>
      </c>
      <c r="I143" s="103">
        <v>937</v>
      </c>
      <c r="J143" s="103">
        <v>480</v>
      </c>
      <c r="K143" s="103">
        <v>457</v>
      </c>
      <c r="L143" s="103">
        <v>75</v>
      </c>
      <c r="M143" s="105">
        <f t="shared" si="4"/>
        <v>8.0042689434364984</v>
      </c>
      <c r="N143" s="103">
        <v>148</v>
      </c>
      <c r="O143" s="106">
        <f t="shared" si="5"/>
        <v>15.795090715048026</v>
      </c>
      <c r="P143" s="242">
        <v>24</v>
      </c>
      <c r="Q143" s="103">
        <v>90</v>
      </c>
      <c r="R143" s="100" t="s">
        <v>39</v>
      </c>
      <c r="S143" s="122">
        <v>45332</v>
      </c>
      <c r="T143" s="113"/>
      <c r="U143" s="79">
        <v>29.2668</v>
      </c>
      <c r="V143" s="54" t="s">
        <v>483</v>
      </c>
      <c r="W143" s="110"/>
      <c r="X143" s="110"/>
      <c r="Y143" s="110"/>
      <c r="Z143" s="110"/>
      <c r="AA143" s="110"/>
      <c r="AB143" s="100" t="s">
        <v>39</v>
      </c>
      <c r="AC143" s="79">
        <v>3</v>
      </c>
      <c r="AD143" s="247" t="s">
        <v>484</v>
      </c>
      <c r="AE143" s="12">
        <v>25.751999999999999</v>
      </c>
      <c r="AF143" s="12">
        <v>76.513499999999993</v>
      </c>
    </row>
    <row r="144" spans="1:32">
      <c r="A144" s="101">
        <v>117</v>
      </c>
      <c r="B144" s="108" t="s">
        <v>33</v>
      </c>
      <c r="C144" s="103" t="s">
        <v>479</v>
      </c>
      <c r="D144" s="103" t="s">
        <v>729</v>
      </c>
      <c r="E144" s="103" t="s">
        <v>734</v>
      </c>
      <c r="F144" s="103" t="s">
        <v>735</v>
      </c>
      <c r="G144" s="103">
        <v>260</v>
      </c>
      <c r="H144" s="103">
        <v>144</v>
      </c>
      <c r="I144" s="103">
        <v>758</v>
      </c>
      <c r="J144" s="103">
        <v>404</v>
      </c>
      <c r="K144" s="103">
        <v>354</v>
      </c>
      <c r="L144" s="103">
        <v>2</v>
      </c>
      <c r="M144" s="105">
        <f t="shared" si="4"/>
        <v>0.26385224274406333</v>
      </c>
      <c r="N144" s="103">
        <v>674</v>
      </c>
      <c r="O144" s="106">
        <f t="shared" si="5"/>
        <v>88.918205804749334</v>
      </c>
      <c r="P144" s="242">
        <v>0</v>
      </c>
      <c r="Q144" s="103">
        <v>318</v>
      </c>
      <c r="R144" s="100" t="s">
        <v>39</v>
      </c>
      <c r="S144" s="122">
        <v>45332</v>
      </c>
      <c r="T144" s="113"/>
      <c r="U144" s="79">
        <v>8.1906999999999996</v>
      </c>
      <c r="V144" s="54" t="s">
        <v>483</v>
      </c>
      <c r="W144" s="110"/>
      <c r="X144" s="110"/>
      <c r="Y144" s="110"/>
      <c r="Z144" s="110"/>
      <c r="AA144" s="110"/>
      <c r="AB144" s="100" t="s">
        <v>39</v>
      </c>
      <c r="AC144" s="79">
        <v>5</v>
      </c>
      <c r="AD144" s="247" t="s">
        <v>484</v>
      </c>
      <c r="AE144" s="12">
        <v>24.792000000000002</v>
      </c>
      <c r="AF144" s="12">
        <v>76.763999999999996</v>
      </c>
    </row>
    <row r="145" spans="1:32">
      <c r="A145" s="101">
        <v>118</v>
      </c>
      <c r="B145" s="108" t="s">
        <v>33</v>
      </c>
      <c r="C145" s="103" t="s">
        <v>479</v>
      </c>
      <c r="D145" s="103" t="s">
        <v>729</v>
      </c>
      <c r="E145" s="103" t="s">
        <v>736</v>
      </c>
      <c r="F145" s="103" t="s">
        <v>737</v>
      </c>
      <c r="G145" s="103">
        <v>626</v>
      </c>
      <c r="H145" s="103">
        <v>231</v>
      </c>
      <c r="I145" s="103">
        <v>1128</v>
      </c>
      <c r="J145" s="103">
        <v>580</v>
      </c>
      <c r="K145" s="103">
        <v>548</v>
      </c>
      <c r="L145" s="103">
        <v>20</v>
      </c>
      <c r="M145" s="105">
        <f t="shared" si="4"/>
        <v>1.773049645390071</v>
      </c>
      <c r="N145" s="103">
        <v>203</v>
      </c>
      <c r="O145" s="106">
        <f t="shared" si="5"/>
        <v>17.99645390070922</v>
      </c>
      <c r="P145" s="242">
        <v>68</v>
      </c>
      <c r="Q145" s="103">
        <v>136</v>
      </c>
      <c r="R145" s="100" t="s">
        <v>39</v>
      </c>
      <c r="S145" s="122">
        <v>45332</v>
      </c>
      <c r="T145" s="113"/>
      <c r="U145" s="79">
        <v>67.832999999999998</v>
      </c>
      <c r="V145" s="54" t="s">
        <v>483</v>
      </c>
      <c r="W145" s="110"/>
      <c r="X145" s="110"/>
      <c r="Y145" s="110"/>
      <c r="Z145" s="110"/>
      <c r="AA145" s="110"/>
      <c r="AB145" s="100"/>
      <c r="AC145" s="79"/>
      <c r="AD145" s="247"/>
      <c r="AE145" s="12"/>
      <c r="AF145" s="12"/>
    </row>
    <row r="146" spans="1:32">
      <c r="A146" s="101">
        <v>119</v>
      </c>
      <c r="B146" s="108" t="s">
        <v>33</v>
      </c>
      <c r="C146" s="103" t="s">
        <v>479</v>
      </c>
      <c r="D146" s="103" t="s">
        <v>729</v>
      </c>
      <c r="E146" s="103" t="s">
        <v>738</v>
      </c>
      <c r="F146" s="103" t="s">
        <v>739</v>
      </c>
      <c r="G146" s="103">
        <v>478</v>
      </c>
      <c r="H146" s="103">
        <v>155</v>
      </c>
      <c r="I146" s="103">
        <v>773</v>
      </c>
      <c r="J146" s="103">
        <v>390</v>
      </c>
      <c r="K146" s="103">
        <v>383</v>
      </c>
      <c r="L146" s="103">
        <v>111</v>
      </c>
      <c r="M146" s="105">
        <f t="shared" si="4"/>
        <v>14.359637774902975</v>
      </c>
      <c r="N146" s="103">
        <v>645</v>
      </c>
      <c r="O146" s="106">
        <f t="shared" si="5"/>
        <v>83.441138421733513</v>
      </c>
      <c r="P146" s="242">
        <v>71</v>
      </c>
      <c r="Q146" s="103">
        <v>105</v>
      </c>
      <c r="R146" s="100" t="s">
        <v>39</v>
      </c>
      <c r="S146" s="122">
        <v>45332</v>
      </c>
      <c r="T146" s="113"/>
      <c r="U146" s="79">
        <v>72.146900000000002</v>
      </c>
      <c r="V146" s="54" t="s">
        <v>483</v>
      </c>
      <c r="W146" s="110"/>
      <c r="X146" s="110"/>
      <c r="Y146" s="110"/>
      <c r="Z146" s="110"/>
      <c r="AA146" s="110"/>
      <c r="AB146" s="100"/>
      <c r="AC146" s="79"/>
      <c r="AD146" s="247"/>
      <c r="AE146" s="12"/>
      <c r="AF146" s="12"/>
    </row>
    <row r="147" spans="1:32">
      <c r="A147" s="101">
        <v>120</v>
      </c>
      <c r="B147" s="108" t="s">
        <v>33</v>
      </c>
      <c r="C147" s="103" t="s">
        <v>479</v>
      </c>
      <c r="D147" s="103" t="s">
        <v>729</v>
      </c>
      <c r="E147" s="103" t="s">
        <v>740</v>
      </c>
      <c r="F147" s="103" t="s">
        <v>741</v>
      </c>
      <c r="G147" s="103">
        <v>523</v>
      </c>
      <c r="H147" s="103">
        <v>200</v>
      </c>
      <c r="I147" s="103">
        <v>818</v>
      </c>
      <c r="J147" s="103">
        <v>430</v>
      </c>
      <c r="K147" s="103">
        <v>388</v>
      </c>
      <c r="L147" s="103">
        <v>49</v>
      </c>
      <c r="M147" s="105">
        <f t="shared" si="4"/>
        <v>5.9902200488997552</v>
      </c>
      <c r="N147" s="103">
        <v>732</v>
      </c>
      <c r="O147" s="106">
        <f t="shared" si="5"/>
        <v>89.486552567237169</v>
      </c>
      <c r="P147" s="242">
        <v>24</v>
      </c>
      <c r="Q147" s="103">
        <v>363</v>
      </c>
      <c r="R147" s="100" t="s">
        <v>39</v>
      </c>
      <c r="S147" s="111" t="s">
        <v>37</v>
      </c>
      <c r="T147" s="113"/>
      <c r="U147" s="111"/>
      <c r="V147" s="54" t="s">
        <v>483</v>
      </c>
      <c r="W147" s="110"/>
      <c r="X147" s="110"/>
      <c r="Y147" s="110"/>
      <c r="Z147" s="110"/>
      <c r="AA147" s="110"/>
      <c r="AB147" s="54"/>
      <c r="AC147" s="111"/>
      <c r="AD147" s="247"/>
      <c r="AE147" s="12"/>
      <c r="AF147" s="12"/>
    </row>
    <row r="148" spans="1:32">
      <c r="A148" s="101">
        <v>121</v>
      </c>
      <c r="B148" s="108" t="s">
        <v>33</v>
      </c>
      <c r="C148" s="103" t="s">
        <v>479</v>
      </c>
      <c r="D148" s="103" t="s">
        <v>729</v>
      </c>
      <c r="E148" s="103" t="s">
        <v>742</v>
      </c>
      <c r="F148" s="103" t="s">
        <v>743</v>
      </c>
      <c r="G148" s="103">
        <v>152.6</v>
      </c>
      <c r="H148" s="103">
        <v>52</v>
      </c>
      <c r="I148" s="103">
        <v>210</v>
      </c>
      <c r="J148" s="103">
        <v>106</v>
      </c>
      <c r="K148" s="103">
        <v>104</v>
      </c>
      <c r="L148" s="103">
        <v>0</v>
      </c>
      <c r="M148" s="105">
        <f t="shared" si="4"/>
        <v>0</v>
      </c>
      <c r="N148" s="103">
        <v>202</v>
      </c>
      <c r="O148" s="106">
        <f t="shared" si="5"/>
        <v>96.19047619047619</v>
      </c>
      <c r="P148" s="242">
        <v>15</v>
      </c>
      <c r="Q148" s="103">
        <v>281</v>
      </c>
      <c r="R148" s="100" t="s">
        <v>39</v>
      </c>
      <c r="S148" s="122">
        <v>45332</v>
      </c>
      <c r="T148" s="113"/>
      <c r="U148" s="79">
        <v>32.552900000000001</v>
      </c>
      <c r="V148" s="54" t="s">
        <v>483</v>
      </c>
      <c r="W148" s="110"/>
      <c r="X148" s="110"/>
      <c r="Y148" s="110"/>
      <c r="Z148" s="110"/>
      <c r="AA148" s="110"/>
      <c r="AB148" s="100" t="s">
        <v>39</v>
      </c>
      <c r="AC148" s="79">
        <v>2</v>
      </c>
      <c r="AD148" s="247" t="s">
        <v>484</v>
      </c>
      <c r="AE148" s="12">
        <v>25.7502</v>
      </c>
      <c r="AF148" s="12">
        <v>76.526799999999994</v>
      </c>
    </row>
    <row r="149" spans="1:32">
      <c r="A149" s="101">
        <v>122</v>
      </c>
      <c r="B149" s="108" t="s">
        <v>33</v>
      </c>
      <c r="C149" s="103" t="s">
        <v>479</v>
      </c>
      <c r="D149" s="103" t="s">
        <v>744</v>
      </c>
      <c r="E149" s="104" t="s">
        <v>264</v>
      </c>
      <c r="F149" s="103" t="s">
        <v>745</v>
      </c>
      <c r="G149" s="103">
        <v>919</v>
      </c>
      <c r="H149" s="103">
        <v>326</v>
      </c>
      <c r="I149" s="103">
        <v>1314</v>
      </c>
      <c r="J149" s="103">
        <v>643</v>
      </c>
      <c r="K149" s="103">
        <v>671</v>
      </c>
      <c r="L149" s="103">
        <v>412</v>
      </c>
      <c r="M149" s="105">
        <f t="shared" si="4"/>
        <v>31.354642313546421</v>
      </c>
      <c r="N149" s="103">
        <v>608</v>
      </c>
      <c r="O149" s="106">
        <f t="shared" si="5"/>
        <v>46.270928462709279</v>
      </c>
      <c r="P149" s="242">
        <v>37</v>
      </c>
      <c r="Q149" s="103">
        <v>318</v>
      </c>
      <c r="R149" s="100" t="s">
        <v>39</v>
      </c>
      <c r="S149" s="122">
        <v>45959</v>
      </c>
      <c r="T149" s="113"/>
      <c r="U149" s="79">
        <v>40.9</v>
      </c>
      <c r="V149" s="54" t="s">
        <v>483</v>
      </c>
      <c r="W149" s="110"/>
      <c r="X149" s="110"/>
      <c r="Y149" s="110"/>
      <c r="Z149" s="110"/>
      <c r="AA149" s="110"/>
      <c r="AB149" s="100" t="s">
        <v>39</v>
      </c>
      <c r="AC149" s="79">
        <v>14</v>
      </c>
      <c r="AD149" s="247" t="s">
        <v>484</v>
      </c>
      <c r="AE149" s="12">
        <v>25.74</v>
      </c>
      <c r="AF149" s="12">
        <v>76.516499999999994</v>
      </c>
    </row>
    <row r="150" spans="1:32">
      <c r="A150" s="101">
        <v>123</v>
      </c>
      <c r="B150" s="108" t="s">
        <v>33</v>
      </c>
      <c r="C150" s="103" t="s">
        <v>479</v>
      </c>
      <c r="D150" s="103" t="s">
        <v>744</v>
      </c>
      <c r="E150" s="103" t="s">
        <v>746</v>
      </c>
      <c r="F150" s="103" t="s">
        <v>747</v>
      </c>
      <c r="G150" s="103">
        <v>67</v>
      </c>
      <c r="H150" s="103">
        <v>72</v>
      </c>
      <c r="I150" s="103">
        <v>274</v>
      </c>
      <c r="J150" s="103">
        <v>131</v>
      </c>
      <c r="K150" s="103">
        <v>143</v>
      </c>
      <c r="L150" s="103">
        <v>36</v>
      </c>
      <c r="M150" s="105">
        <f t="shared" si="4"/>
        <v>13.138686131386862</v>
      </c>
      <c r="N150" s="103">
        <v>208</v>
      </c>
      <c r="O150" s="106">
        <f t="shared" si="5"/>
        <v>75.912408759124077</v>
      </c>
      <c r="P150" s="242">
        <v>0</v>
      </c>
      <c r="Q150" s="103">
        <v>48.55</v>
      </c>
      <c r="R150" s="100" t="s">
        <v>39</v>
      </c>
      <c r="S150" s="122">
        <v>45959</v>
      </c>
      <c r="T150" s="113"/>
      <c r="U150" s="111"/>
      <c r="V150" s="54" t="s">
        <v>483</v>
      </c>
      <c r="W150" s="110"/>
      <c r="X150" s="110"/>
      <c r="Y150" s="110"/>
      <c r="Z150" s="110"/>
      <c r="AA150" s="110"/>
      <c r="AB150" s="54"/>
      <c r="AC150" s="111"/>
      <c r="AD150" s="247"/>
      <c r="AE150" s="12"/>
      <c r="AF150" s="12"/>
    </row>
    <row r="151" spans="1:32">
      <c r="A151" s="101">
        <v>124</v>
      </c>
      <c r="B151" s="108" t="s">
        <v>33</v>
      </c>
      <c r="C151" s="103" t="s">
        <v>479</v>
      </c>
      <c r="D151" s="103" t="s">
        <v>744</v>
      </c>
      <c r="E151" s="103" t="s">
        <v>748</v>
      </c>
      <c r="F151" s="103" t="s">
        <v>749</v>
      </c>
      <c r="G151" s="103">
        <v>78</v>
      </c>
      <c r="H151" s="103">
        <v>75</v>
      </c>
      <c r="I151" s="103">
        <v>378</v>
      </c>
      <c r="J151" s="103">
        <v>198</v>
      </c>
      <c r="K151" s="103">
        <v>180</v>
      </c>
      <c r="L151" s="103">
        <v>40</v>
      </c>
      <c r="M151" s="105">
        <f t="shared" si="4"/>
        <v>10.582010582010582</v>
      </c>
      <c r="N151" s="103">
        <v>326</v>
      </c>
      <c r="O151" s="106">
        <f t="shared" si="5"/>
        <v>86.24338624338624</v>
      </c>
      <c r="P151" s="242">
        <v>20</v>
      </c>
      <c r="Q151" s="103">
        <v>705</v>
      </c>
      <c r="R151" s="100" t="s">
        <v>39</v>
      </c>
      <c r="S151" s="122">
        <v>45959</v>
      </c>
      <c r="T151" s="113"/>
      <c r="U151" s="111"/>
      <c r="V151" s="54" t="s">
        <v>483</v>
      </c>
      <c r="W151" s="110"/>
      <c r="X151" s="110"/>
      <c r="Y151" s="110"/>
      <c r="Z151" s="110"/>
      <c r="AA151" s="110"/>
      <c r="AB151" s="54"/>
      <c r="AC151" s="111"/>
      <c r="AD151" s="247"/>
      <c r="AE151" s="12"/>
      <c r="AF151" s="12"/>
    </row>
    <row r="152" spans="1:32">
      <c r="A152" s="101">
        <v>125</v>
      </c>
      <c r="B152" s="108" t="s">
        <v>33</v>
      </c>
      <c r="C152" s="103" t="s">
        <v>479</v>
      </c>
      <c r="D152" s="103" t="s">
        <v>744</v>
      </c>
      <c r="E152" s="103" t="s">
        <v>750</v>
      </c>
      <c r="F152" s="103" t="s">
        <v>751</v>
      </c>
      <c r="G152" s="103">
        <v>273</v>
      </c>
      <c r="H152" s="103">
        <v>95</v>
      </c>
      <c r="I152" s="103">
        <v>341</v>
      </c>
      <c r="J152" s="103">
        <v>166</v>
      </c>
      <c r="K152" s="103">
        <v>175</v>
      </c>
      <c r="L152" s="103">
        <v>117</v>
      </c>
      <c r="M152" s="105">
        <f t="shared" si="4"/>
        <v>34.310850439882692</v>
      </c>
      <c r="N152" s="103">
        <v>56</v>
      </c>
      <c r="O152" s="106">
        <f t="shared" si="5"/>
        <v>16.422287390029325</v>
      </c>
      <c r="P152" s="242">
        <v>36</v>
      </c>
      <c r="Q152" s="103">
        <v>26</v>
      </c>
      <c r="R152" s="100" t="s">
        <v>39</v>
      </c>
      <c r="S152" s="122">
        <v>45959</v>
      </c>
      <c r="T152" s="113"/>
      <c r="U152" s="79">
        <v>40.299999999999997</v>
      </c>
      <c r="V152" s="54" t="s">
        <v>483</v>
      </c>
      <c r="W152" s="110"/>
      <c r="X152" s="110"/>
      <c r="Y152" s="110"/>
      <c r="Z152" s="110"/>
      <c r="AA152" s="110"/>
      <c r="AB152" s="100" t="s">
        <v>39</v>
      </c>
      <c r="AC152" s="79">
        <v>12</v>
      </c>
      <c r="AD152" s="247" t="s">
        <v>484</v>
      </c>
      <c r="AE152" s="12">
        <v>25.745000000000001</v>
      </c>
      <c r="AF152" s="12">
        <v>76.521500000000003</v>
      </c>
    </row>
    <row r="153" spans="1:32">
      <c r="A153" s="101">
        <v>126</v>
      </c>
      <c r="B153" s="108" t="s">
        <v>33</v>
      </c>
      <c r="C153" s="103" t="s">
        <v>479</v>
      </c>
      <c r="D153" s="103" t="s">
        <v>744</v>
      </c>
      <c r="E153" s="103" t="s">
        <v>233</v>
      </c>
      <c r="F153" s="103" t="s">
        <v>752</v>
      </c>
      <c r="G153" s="103">
        <v>104</v>
      </c>
      <c r="H153" s="103">
        <v>20</v>
      </c>
      <c r="I153" s="103">
        <v>87</v>
      </c>
      <c r="J153" s="103">
        <v>43</v>
      </c>
      <c r="K153" s="103">
        <v>44</v>
      </c>
      <c r="L153" s="103">
        <v>0</v>
      </c>
      <c r="M153" s="105">
        <f t="shared" si="4"/>
        <v>0</v>
      </c>
      <c r="N153" s="103">
        <v>87</v>
      </c>
      <c r="O153" s="106">
        <f t="shared" si="5"/>
        <v>100</v>
      </c>
      <c r="P153" s="242">
        <v>0</v>
      </c>
      <c r="Q153" s="103">
        <v>9</v>
      </c>
      <c r="R153" s="100" t="s">
        <v>39</v>
      </c>
      <c r="S153" s="122">
        <v>45959</v>
      </c>
      <c r="T153" s="113"/>
      <c r="U153" s="79"/>
      <c r="V153" s="54" t="s">
        <v>483</v>
      </c>
      <c r="W153" s="110"/>
      <c r="X153" s="110"/>
      <c r="Y153" s="110"/>
      <c r="Z153" s="110"/>
      <c r="AA153" s="110"/>
      <c r="AB153" s="54"/>
      <c r="AC153" s="79"/>
      <c r="AD153" s="247"/>
      <c r="AE153" s="12"/>
      <c r="AF153" s="12"/>
    </row>
    <row r="154" spans="1:32">
      <c r="A154" s="101">
        <v>127</v>
      </c>
      <c r="B154" s="108" t="s">
        <v>33</v>
      </c>
      <c r="C154" s="103" t="s">
        <v>479</v>
      </c>
      <c r="D154" s="103" t="s">
        <v>744</v>
      </c>
      <c r="E154" s="103" t="s">
        <v>753</v>
      </c>
      <c r="F154" s="103" t="s">
        <v>754</v>
      </c>
      <c r="G154" s="103">
        <v>151</v>
      </c>
      <c r="H154" s="103">
        <v>24</v>
      </c>
      <c r="I154" s="103">
        <v>103</v>
      </c>
      <c r="J154" s="103">
        <v>51</v>
      </c>
      <c r="K154" s="103">
        <v>52</v>
      </c>
      <c r="L154" s="103">
        <v>43</v>
      </c>
      <c r="M154" s="105">
        <f t="shared" si="4"/>
        <v>41.747572815533978</v>
      </c>
      <c r="N154" s="103">
        <v>60</v>
      </c>
      <c r="O154" s="106">
        <f t="shared" si="5"/>
        <v>58.252427184466015</v>
      </c>
      <c r="P154" s="242">
        <v>0</v>
      </c>
      <c r="Q154" s="103">
        <v>120</v>
      </c>
      <c r="R154" s="100" t="s">
        <v>39</v>
      </c>
      <c r="S154" s="122">
        <v>45959</v>
      </c>
      <c r="T154" s="113"/>
      <c r="U154" s="79"/>
      <c r="V154" s="54" t="s">
        <v>483</v>
      </c>
      <c r="W154" s="110"/>
      <c r="X154" s="110"/>
      <c r="Y154" s="110"/>
      <c r="Z154" s="110"/>
      <c r="AA154" s="110"/>
      <c r="AB154" s="100"/>
      <c r="AC154" s="79"/>
      <c r="AD154" s="247"/>
      <c r="AE154" s="12"/>
      <c r="AF154" s="12"/>
    </row>
    <row r="155" spans="1:32">
      <c r="A155" s="101">
        <v>128</v>
      </c>
      <c r="B155" s="108" t="s">
        <v>33</v>
      </c>
      <c r="C155" s="103" t="s">
        <v>479</v>
      </c>
      <c r="D155" s="103" t="s">
        <v>744</v>
      </c>
      <c r="E155" s="103" t="s">
        <v>755</v>
      </c>
      <c r="F155" s="103" t="s">
        <v>756</v>
      </c>
      <c r="G155" s="103">
        <v>215</v>
      </c>
      <c r="H155" s="103">
        <v>94</v>
      </c>
      <c r="I155" s="103">
        <v>433</v>
      </c>
      <c r="J155" s="103">
        <v>216</v>
      </c>
      <c r="K155" s="103">
        <v>217</v>
      </c>
      <c r="L155" s="103">
        <v>236</v>
      </c>
      <c r="M155" s="105">
        <f t="shared" si="4"/>
        <v>54.503464203233257</v>
      </c>
      <c r="N155" s="103">
        <v>0</v>
      </c>
      <c r="O155" s="106">
        <f t="shared" si="5"/>
        <v>0</v>
      </c>
      <c r="P155" s="242">
        <v>35</v>
      </c>
      <c r="Q155" s="103">
        <v>33</v>
      </c>
      <c r="R155" s="100" t="s">
        <v>39</v>
      </c>
      <c r="S155" s="122">
        <v>45959</v>
      </c>
      <c r="T155" s="113"/>
      <c r="U155" s="79">
        <v>36.340000000000003</v>
      </c>
      <c r="V155" s="54" t="s">
        <v>483</v>
      </c>
      <c r="W155" s="110"/>
      <c r="X155" s="110"/>
      <c r="Y155" s="110"/>
      <c r="Z155" s="110"/>
      <c r="AA155" s="110"/>
      <c r="AB155" s="100" t="s">
        <v>39</v>
      </c>
      <c r="AC155" s="79">
        <v>12</v>
      </c>
      <c r="AD155" s="247" t="s">
        <v>484</v>
      </c>
      <c r="AE155" s="12">
        <v>25.728000000000002</v>
      </c>
      <c r="AF155" s="12">
        <v>76.541499999999999</v>
      </c>
    </row>
    <row r="156" spans="1:32">
      <c r="A156" s="101">
        <v>129</v>
      </c>
      <c r="B156" s="108" t="s">
        <v>33</v>
      </c>
      <c r="C156" s="103" t="s">
        <v>479</v>
      </c>
      <c r="D156" s="103" t="s">
        <v>744</v>
      </c>
      <c r="E156" s="103" t="s">
        <v>757</v>
      </c>
      <c r="F156" s="103" t="s">
        <v>758</v>
      </c>
      <c r="G156" s="103">
        <v>234</v>
      </c>
      <c r="H156" s="103">
        <v>38</v>
      </c>
      <c r="I156" s="103">
        <v>176</v>
      </c>
      <c r="J156" s="103">
        <v>92</v>
      </c>
      <c r="K156" s="103">
        <v>84</v>
      </c>
      <c r="L156" s="103">
        <v>9</v>
      </c>
      <c r="M156" s="105">
        <f t="shared" si="4"/>
        <v>5.1136363636363642</v>
      </c>
      <c r="N156" s="103">
        <v>167</v>
      </c>
      <c r="O156" s="106">
        <f t="shared" si="5"/>
        <v>94.88636363636364</v>
      </c>
      <c r="P156" s="242">
        <v>18</v>
      </c>
      <c r="Q156" s="103">
        <v>52</v>
      </c>
      <c r="R156" s="100" t="s">
        <v>39</v>
      </c>
      <c r="S156" s="122">
        <v>45959</v>
      </c>
      <c r="T156" s="113"/>
      <c r="U156" s="79">
        <v>19.18</v>
      </c>
      <c r="V156" s="54" t="s">
        <v>483</v>
      </c>
      <c r="W156" s="110"/>
      <c r="X156" s="110"/>
      <c r="Y156" s="110"/>
      <c r="Z156" s="110"/>
      <c r="AA156" s="110"/>
      <c r="AB156" s="100" t="s">
        <v>39</v>
      </c>
      <c r="AC156" s="79">
        <v>9</v>
      </c>
      <c r="AD156" s="247" t="s">
        <v>484</v>
      </c>
      <c r="AE156" s="12">
        <v>25.732199999999999</v>
      </c>
      <c r="AF156" s="12">
        <v>761.54600000000005</v>
      </c>
    </row>
    <row r="157" spans="1:32">
      <c r="A157" s="101">
        <v>130</v>
      </c>
      <c r="B157" s="108" t="s">
        <v>33</v>
      </c>
      <c r="C157" s="103" t="s">
        <v>479</v>
      </c>
      <c r="D157" s="103" t="s">
        <v>744</v>
      </c>
      <c r="E157" s="103" t="s">
        <v>180</v>
      </c>
      <c r="F157" s="103" t="s">
        <v>759</v>
      </c>
      <c r="G157" s="103">
        <v>141</v>
      </c>
      <c r="H157" s="103">
        <v>78</v>
      </c>
      <c r="I157" s="103">
        <v>365</v>
      </c>
      <c r="J157" s="103">
        <v>196</v>
      </c>
      <c r="K157" s="103">
        <v>169</v>
      </c>
      <c r="L157" s="103">
        <v>201</v>
      </c>
      <c r="M157" s="105">
        <f t="shared" si="4"/>
        <v>55.06849315068493</v>
      </c>
      <c r="N157" s="103">
        <v>3</v>
      </c>
      <c r="O157" s="106">
        <f t="shared" si="5"/>
        <v>0.82191780821917804</v>
      </c>
      <c r="P157" s="242">
        <v>23</v>
      </c>
      <c r="Q157" s="103">
        <v>66</v>
      </c>
      <c r="R157" s="100" t="s">
        <v>39</v>
      </c>
      <c r="S157" s="122">
        <v>45959</v>
      </c>
      <c r="T157" s="113"/>
      <c r="U157" s="79">
        <v>35.61</v>
      </c>
      <c r="V157" s="54" t="s">
        <v>483</v>
      </c>
      <c r="W157" s="110"/>
      <c r="X157" s="110"/>
      <c r="Y157" s="110"/>
      <c r="Z157" s="110"/>
      <c r="AA157" s="110"/>
      <c r="AB157" s="100" t="s">
        <v>39</v>
      </c>
      <c r="AC157" s="79">
        <v>13</v>
      </c>
      <c r="AD157" s="247" t="s">
        <v>484</v>
      </c>
      <c r="AE157" s="12">
        <v>25.735499999999998</v>
      </c>
      <c r="AF157" s="12">
        <v>76.538799999999995</v>
      </c>
    </row>
    <row r="158" spans="1:32">
      <c r="A158" s="101">
        <v>131</v>
      </c>
      <c r="B158" s="108" t="s">
        <v>33</v>
      </c>
      <c r="C158" s="103" t="s">
        <v>479</v>
      </c>
      <c r="D158" s="103" t="s">
        <v>744</v>
      </c>
      <c r="E158" s="103" t="s">
        <v>760</v>
      </c>
      <c r="F158" s="103" t="s">
        <v>761</v>
      </c>
      <c r="G158" s="103">
        <v>170</v>
      </c>
      <c r="H158" s="103">
        <v>51</v>
      </c>
      <c r="I158" s="103">
        <v>207</v>
      </c>
      <c r="J158" s="103">
        <v>110</v>
      </c>
      <c r="K158" s="103">
        <v>97</v>
      </c>
      <c r="L158" s="103">
        <v>116</v>
      </c>
      <c r="M158" s="105">
        <f t="shared" si="4"/>
        <v>56.038647342995176</v>
      </c>
      <c r="N158" s="103">
        <v>0</v>
      </c>
      <c r="O158" s="106">
        <f t="shared" si="5"/>
        <v>0</v>
      </c>
      <c r="P158" s="242">
        <v>20</v>
      </c>
      <c r="Q158" s="103">
        <v>82</v>
      </c>
      <c r="R158" s="100" t="s">
        <v>39</v>
      </c>
      <c r="S158" s="122">
        <v>45959</v>
      </c>
      <c r="T158" s="113"/>
      <c r="U158" s="79">
        <v>20.61</v>
      </c>
      <c r="V158" s="54" t="s">
        <v>483</v>
      </c>
      <c r="W158" s="110"/>
      <c r="X158" s="110"/>
      <c r="Y158" s="110"/>
      <c r="Z158" s="110"/>
      <c r="AA158" s="110"/>
      <c r="AB158" s="100" t="s">
        <v>39</v>
      </c>
      <c r="AC158" s="79">
        <v>10</v>
      </c>
      <c r="AD158" s="247" t="s">
        <v>484</v>
      </c>
      <c r="AE158" s="12">
        <v>24.823799999999999</v>
      </c>
      <c r="AF158" s="12">
        <v>76.635900000000007</v>
      </c>
    </row>
    <row r="159" spans="1:32">
      <c r="A159" s="101">
        <v>132</v>
      </c>
      <c r="B159" s="108" t="s">
        <v>33</v>
      </c>
      <c r="C159" s="103" t="s">
        <v>479</v>
      </c>
      <c r="D159" s="103" t="s">
        <v>762</v>
      </c>
      <c r="E159" s="104" t="s">
        <v>763</v>
      </c>
      <c r="F159" s="103" t="s">
        <v>764</v>
      </c>
      <c r="G159" s="103">
        <v>2724</v>
      </c>
      <c r="H159" s="103">
        <v>300</v>
      </c>
      <c r="I159" s="103">
        <v>1563</v>
      </c>
      <c r="J159" s="103">
        <v>830</v>
      </c>
      <c r="K159" s="103">
        <v>733</v>
      </c>
      <c r="L159" s="103">
        <v>188</v>
      </c>
      <c r="M159" s="105">
        <f t="shared" si="4"/>
        <v>12.028150991682661</v>
      </c>
      <c r="N159" s="103">
        <v>67</v>
      </c>
      <c r="O159" s="106">
        <f t="shared" si="5"/>
        <v>4.2866282789507357</v>
      </c>
      <c r="P159" s="242">
        <v>80</v>
      </c>
      <c r="Q159" s="103">
        <v>49</v>
      </c>
      <c r="R159" s="100" t="s">
        <v>39</v>
      </c>
      <c r="S159" s="122">
        <v>45332</v>
      </c>
      <c r="T159" s="113"/>
      <c r="U159" s="79">
        <v>90.082899999999995</v>
      </c>
      <c r="V159" s="54" t="s">
        <v>483</v>
      </c>
      <c r="W159" s="110"/>
      <c r="X159" s="110"/>
      <c r="Y159" s="110"/>
      <c r="Z159" s="110"/>
      <c r="AA159" s="110"/>
      <c r="AB159" s="100" t="s">
        <v>39</v>
      </c>
      <c r="AC159" s="79">
        <v>9</v>
      </c>
      <c r="AD159" s="247" t="s">
        <v>484</v>
      </c>
      <c r="AE159" s="12">
        <v>25.145499999999998</v>
      </c>
      <c r="AF159" s="12">
        <v>76.595299999999995</v>
      </c>
    </row>
    <row r="160" spans="1:32">
      <c r="A160" s="101">
        <v>133</v>
      </c>
      <c r="B160" s="108" t="s">
        <v>33</v>
      </c>
      <c r="C160" s="103" t="s">
        <v>479</v>
      </c>
      <c r="D160" s="103" t="s">
        <v>762</v>
      </c>
      <c r="E160" s="103" t="s">
        <v>765</v>
      </c>
      <c r="F160" s="103" t="s">
        <v>766</v>
      </c>
      <c r="G160" s="103">
        <v>234</v>
      </c>
      <c r="H160" s="103">
        <v>140</v>
      </c>
      <c r="I160" s="103">
        <v>661</v>
      </c>
      <c r="J160" s="103">
        <v>343</v>
      </c>
      <c r="K160" s="103">
        <v>318</v>
      </c>
      <c r="L160" s="103">
        <v>0</v>
      </c>
      <c r="M160" s="105">
        <f t="shared" si="4"/>
        <v>0</v>
      </c>
      <c r="N160" s="103">
        <v>657</v>
      </c>
      <c r="O160" s="106">
        <f t="shared" si="5"/>
        <v>99.39485627836612</v>
      </c>
      <c r="P160" s="242">
        <v>0</v>
      </c>
      <c r="Q160" s="103">
        <v>82</v>
      </c>
      <c r="R160" s="100" t="s">
        <v>39</v>
      </c>
      <c r="S160" s="122">
        <v>45332</v>
      </c>
      <c r="T160" s="113"/>
      <c r="U160" s="79"/>
      <c r="V160" s="54" t="s">
        <v>483</v>
      </c>
      <c r="W160" s="110"/>
      <c r="X160" s="110"/>
      <c r="Y160" s="110"/>
      <c r="Z160" s="110"/>
      <c r="AA160" s="110"/>
      <c r="AB160" s="100" t="s">
        <v>39</v>
      </c>
      <c r="AC160" s="79">
        <v>5</v>
      </c>
      <c r="AD160" s="247" t="s">
        <v>484</v>
      </c>
      <c r="AE160" s="12">
        <v>25.145499999999998</v>
      </c>
      <c r="AF160" s="12">
        <v>76.595299999999995</v>
      </c>
    </row>
    <row r="161" spans="1:32">
      <c r="A161" s="101">
        <v>134</v>
      </c>
      <c r="B161" s="108" t="s">
        <v>33</v>
      </c>
      <c r="C161" s="103" t="s">
        <v>479</v>
      </c>
      <c r="D161" s="103" t="s">
        <v>762</v>
      </c>
      <c r="E161" s="103" t="s">
        <v>767</v>
      </c>
      <c r="F161" s="103" t="s">
        <v>768</v>
      </c>
      <c r="G161" s="103">
        <v>433</v>
      </c>
      <c r="H161" s="103">
        <v>53</v>
      </c>
      <c r="I161" s="103">
        <v>265</v>
      </c>
      <c r="J161" s="103">
        <v>134</v>
      </c>
      <c r="K161" s="103">
        <v>131</v>
      </c>
      <c r="L161" s="103">
        <v>0</v>
      </c>
      <c r="M161" s="105">
        <f t="shared" si="4"/>
        <v>0</v>
      </c>
      <c r="N161" s="103">
        <v>9</v>
      </c>
      <c r="O161" s="106">
        <f t="shared" si="5"/>
        <v>3.3962264150943398</v>
      </c>
      <c r="P161" s="242">
        <v>0</v>
      </c>
      <c r="Q161" s="103">
        <v>2149</v>
      </c>
      <c r="R161" s="100" t="s">
        <v>39</v>
      </c>
      <c r="S161" s="111" t="s">
        <v>37</v>
      </c>
      <c r="T161" s="113"/>
      <c r="U161" s="111"/>
      <c r="V161" s="54" t="s">
        <v>483</v>
      </c>
      <c r="W161" s="110"/>
      <c r="X161" s="110"/>
      <c r="Y161" s="110"/>
      <c r="Z161" s="110"/>
      <c r="AA161" s="110"/>
      <c r="AB161" s="100"/>
      <c r="AC161" s="111"/>
      <c r="AD161" s="247"/>
      <c r="AE161" s="12"/>
      <c r="AF161" s="12"/>
    </row>
    <row r="162" spans="1:32">
      <c r="A162" s="101">
        <v>135</v>
      </c>
      <c r="B162" s="108" t="s">
        <v>33</v>
      </c>
      <c r="C162" s="103" t="s">
        <v>479</v>
      </c>
      <c r="D162" s="103" t="s">
        <v>762</v>
      </c>
      <c r="E162" s="103" t="s">
        <v>769</v>
      </c>
      <c r="F162" s="103" t="s">
        <v>770</v>
      </c>
      <c r="G162" s="103">
        <v>472</v>
      </c>
      <c r="H162" s="103">
        <v>71</v>
      </c>
      <c r="I162" s="103">
        <v>297</v>
      </c>
      <c r="J162" s="103">
        <v>158</v>
      </c>
      <c r="K162" s="103">
        <v>139</v>
      </c>
      <c r="L162" s="103">
        <v>7</v>
      </c>
      <c r="M162" s="105">
        <f t="shared" si="4"/>
        <v>2.3569023569023568</v>
      </c>
      <c r="N162" s="103">
        <v>0</v>
      </c>
      <c r="O162" s="106">
        <f t="shared" si="5"/>
        <v>0</v>
      </c>
      <c r="P162" s="242">
        <v>32</v>
      </c>
      <c r="Q162" s="103">
        <v>180</v>
      </c>
      <c r="R162" s="100" t="s">
        <v>39</v>
      </c>
      <c r="S162" s="122">
        <v>45332</v>
      </c>
      <c r="T162" s="113"/>
      <c r="U162" s="79">
        <v>34.640999999999998</v>
      </c>
      <c r="V162" s="54" t="s">
        <v>483</v>
      </c>
      <c r="W162" s="110"/>
      <c r="X162" s="110"/>
      <c r="Y162" s="110"/>
      <c r="Z162" s="110"/>
      <c r="AA162" s="110"/>
      <c r="AB162" s="54"/>
      <c r="AC162" s="79"/>
      <c r="AD162" s="247"/>
      <c r="AE162" s="12"/>
      <c r="AF162" s="12"/>
    </row>
    <row r="163" spans="1:32">
      <c r="A163" s="101">
        <v>136</v>
      </c>
      <c r="B163" s="108" t="s">
        <v>33</v>
      </c>
      <c r="C163" s="103" t="s">
        <v>479</v>
      </c>
      <c r="D163" s="103" t="s">
        <v>762</v>
      </c>
      <c r="E163" s="103" t="s">
        <v>771</v>
      </c>
      <c r="F163" s="103" t="s">
        <v>772</v>
      </c>
      <c r="G163" s="103">
        <v>976</v>
      </c>
      <c r="H163" s="103">
        <v>77</v>
      </c>
      <c r="I163" s="103">
        <v>484</v>
      </c>
      <c r="J163" s="103">
        <v>256</v>
      </c>
      <c r="K163" s="103">
        <v>228</v>
      </c>
      <c r="L163" s="103">
        <v>10</v>
      </c>
      <c r="M163" s="105">
        <f t="shared" si="4"/>
        <v>2.0661157024793391</v>
      </c>
      <c r="N163" s="103">
        <v>1</v>
      </c>
      <c r="O163" s="106">
        <f t="shared" si="5"/>
        <v>0.20661157024793389</v>
      </c>
      <c r="P163" s="242">
        <v>0</v>
      </c>
      <c r="Q163" s="103">
        <v>385</v>
      </c>
      <c r="R163" s="100" t="s">
        <v>39</v>
      </c>
      <c r="S163" s="123">
        <v>45332</v>
      </c>
      <c r="T163" s="113"/>
      <c r="U163" s="111"/>
      <c r="V163" s="54" t="s">
        <v>483</v>
      </c>
      <c r="W163" s="110"/>
      <c r="X163" s="110"/>
      <c r="Y163" s="110"/>
      <c r="Z163" s="110"/>
      <c r="AA163" s="110"/>
      <c r="AB163" s="100"/>
      <c r="AC163" s="111"/>
      <c r="AD163" s="247"/>
      <c r="AE163" s="12"/>
      <c r="AF163" s="12"/>
    </row>
    <row r="164" spans="1:32">
      <c r="A164" s="101">
        <v>137</v>
      </c>
      <c r="B164" s="108" t="s">
        <v>33</v>
      </c>
      <c r="C164" s="103" t="s">
        <v>479</v>
      </c>
      <c r="D164" s="103" t="s">
        <v>762</v>
      </c>
      <c r="E164" s="103" t="s">
        <v>363</v>
      </c>
      <c r="F164" s="103" t="s">
        <v>773</v>
      </c>
      <c r="G164" s="103">
        <v>164</v>
      </c>
      <c r="H164" s="103">
        <v>110</v>
      </c>
      <c r="I164" s="103">
        <v>524</v>
      </c>
      <c r="J164" s="103">
        <v>244</v>
      </c>
      <c r="K164" s="103">
        <v>280</v>
      </c>
      <c r="L164" s="103">
        <v>0</v>
      </c>
      <c r="M164" s="105">
        <f t="shared" si="4"/>
        <v>0</v>
      </c>
      <c r="N164" s="103">
        <v>524</v>
      </c>
      <c r="O164" s="106">
        <f t="shared" si="5"/>
        <v>100</v>
      </c>
      <c r="P164" s="242">
        <v>17</v>
      </c>
      <c r="Q164" s="103">
        <v>306</v>
      </c>
      <c r="R164" s="100" t="s">
        <v>39</v>
      </c>
      <c r="S164" s="122">
        <v>45332</v>
      </c>
      <c r="T164" s="113"/>
      <c r="U164" s="79">
        <v>22.055299999999999</v>
      </c>
      <c r="V164" s="54" t="s">
        <v>483</v>
      </c>
      <c r="W164" s="110"/>
      <c r="X164" s="110"/>
      <c r="Y164" s="110"/>
      <c r="Z164" s="110"/>
      <c r="AA164" s="110"/>
      <c r="AB164" s="100" t="s">
        <v>39</v>
      </c>
      <c r="AC164" s="79">
        <v>10</v>
      </c>
      <c r="AD164" s="247" t="s">
        <v>484</v>
      </c>
      <c r="AE164" s="12"/>
      <c r="AF164" s="12"/>
    </row>
    <row r="165" spans="1:32">
      <c r="A165" s="101">
        <v>138</v>
      </c>
      <c r="B165" s="108" t="s">
        <v>33</v>
      </c>
      <c r="C165" s="103" t="s">
        <v>479</v>
      </c>
      <c r="D165" s="103" t="s">
        <v>762</v>
      </c>
      <c r="E165" s="103" t="s">
        <v>774</v>
      </c>
      <c r="F165" s="103" t="s">
        <v>775</v>
      </c>
      <c r="G165" s="103">
        <v>156</v>
      </c>
      <c r="H165" s="103">
        <v>64</v>
      </c>
      <c r="I165" s="103">
        <v>293</v>
      </c>
      <c r="J165" s="103">
        <v>155</v>
      </c>
      <c r="K165" s="103">
        <v>138</v>
      </c>
      <c r="L165" s="103">
        <v>0</v>
      </c>
      <c r="M165" s="105">
        <f t="shared" si="4"/>
        <v>0</v>
      </c>
      <c r="N165" s="103">
        <v>9</v>
      </c>
      <c r="O165" s="106">
        <f t="shared" si="5"/>
        <v>3.0716723549488054</v>
      </c>
      <c r="P165" s="242">
        <v>20</v>
      </c>
      <c r="Q165" s="103">
        <v>880</v>
      </c>
      <c r="R165" s="100" t="s">
        <v>39</v>
      </c>
      <c r="S165" s="122">
        <v>45332</v>
      </c>
      <c r="T165" s="113"/>
      <c r="U165" s="79">
        <v>19.392499999999998</v>
      </c>
      <c r="V165" s="54" t="s">
        <v>483</v>
      </c>
      <c r="W165" s="110"/>
      <c r="X165" s="110"/>
      <c r="Y165" s="110"/>
      <c r="Z165" s="110"/>
      <c r="AA165" s="110"/>
      <c r="AB165" s="100" t="s">
        <v>39</v>
      </c>
      <c r="AC165" s="79">
        <v>2</v>
      </c>
      <c r="AD165" s="247" t="s">
        <v>484</v>
      </c>
      <c r="AE165" s="12"/>
      <c r="AF165" s="12"/>
    </row>
    <row r="166" spans="1:32">
      <c r="A166" s="101">
        <v>139</v>
      </c>
      <c r="B166" s="108" t="s">
        <v>33</v>
      </c>
      <c r="C166" s="103" t="s">
        <v>479</v>
      </c>
      <c r="D166" s="103" t="s">
        <v>762</v>
      </c>
      <c r="E166" s="103" t="s">
        <v>776</v>
      </c>
      <c r="F166" s="103" t="s">
        <v>777</v>
      </c>
      <c r="G166" s="103">
        <v>302</v>
      </c>
      <c r="H166" s="103">
        <v>113</v>
      </c>
      <c r="I166" s="103">
        <v>549</v>
      </c>
      <c r="J166" s="103">
        <v>289</v>
      </c>
      <c r="K166" s="103">
        <v>260</v>
      </c>
      <c r="L166" s="103">
        <v>99</v>
      </c>
      <c r="M166" s="105">
        <f t="shared" si="4"/>
        <v>18.032786885245901</v>
      </c>
      <c r="N166" s="103">
        <v>307</v>
      </c>
      <c r="O166" s="106">
        <f t="shared" si="5"/>
        <v>55.919854280510016</v>
      </c>
      <c r="P166" s="242">
        <v>13</v>
      </c>
      <c r="Q166" s="103">
        <v>53</v>
      </c>
      <c r="R166" s="100" t="s">
        <v>39</v>
      </c>
      <c r="S166" s="122">
        <v>45332</v>
      </c>
      <c r="T166" s="113"/>
      <c r="U166" s="79">
        <v>71.0304</v>
      </c>
      <c r="V166" s="54" t="s">
        <v>483</v>
      </c>
      <c r="W166" s="110"/>
      <c r="X166" s="110"/>
      <c r="Y166" s="110"/>
      <c r="Z166" s="110"/>
      <c r="AA166" s="110"/>
      <c r="AB166" s="100" t="s">
        <v>39</v>
      </c>
      <c r="AC166" s="79">
        <v>7</v>
      </c>
      <c r="AD166" s="247" t="s">
        <v>484</v>
      </c>
      <c r="AE166" s="12"/>
      <c r="AF166" s="12"/>
    </row>
    <row r="167" spans="1:32">
      <c r="A167" s="101">
        <v>140</v>
      </c>
      <c r="B167" s="108" t="s">
        <v>33</v>
      </c>
      <c r="C167" s="103" t="s">
        <v>479</v>
      </c>
      <c r="D167" s="103" t="s">
        <v>762</v>
      </c>
      <c r="E167" s="103" t="s">
        <v>778</v>
      </c>
      <c r="F167" s="103" t="s">
        <v>779</v>
      </c>
      <c r="G167" s="103">
        <v>562</v>
      </c>
      <c r="H167" s="103">
        <v>144</v>
      </c>
      <c r="I167" s="103">
        <v>685</v>
      </c>
      <c r="J167" s="103">
        <v>349</v>
      </c>
      <c r="K167" s="103">
        <v>336</v>
      </c>
      <c r="L167" s="103">
        <v>114</v>
      </c>
      <c r="M167" s="105">
        <f t="shared" si="4"/>
        <v>16.642335766423358</v>
      </c>
      <c r="N167" s="103">
        <v>297</v>
      </c>
      <c r="O167" s="106">
        <f t="shared" si="5"/>
        <v>43.357664233576642</v>
      </c>
      <c r="P167" s="242">
        <v>12</v>
      </c>
      <c r="Q167" s="103">
        <v>27</v>
      </c>
      <c r="R167" s="100" t="s">
        <v>39</v>
      </c>
      <c r="S167" s="122">
        <v>45332</v>
      </c>
      <c r="T167" s="113"/>
      <c r="U167" s="79">
        <v>36.227400000000003</v>
      </c>
      <c r="V167" s="54" t="s">
        <v>483</v>
      </c>
      <c r="W167" s="110"/>
      <c r="X167" s="110"/>
      <c r="Y167" s="110"/>
      <c r="Z167" s="110"/>
      <c r="AA167" s="110"/>
      <c r="AB167" s="54"/>
      <c r="AC167" s="79"/>
      <c r="AD167" s="247"/>
      <c r="AE167" s="12"/>
      <c r="AF167" s="12"/>
    </row>
    <row r="168" spans="1:32">
      <c r="A168" s="101">
        <v>141</v>
      </c>
      <c r="B168" s="108" t="s">
        <v>33</v>
      </c>
      <c r="C168" s="103" t="s">
        <v>479</v>
      </c>
      <c r="D168" s="103" t="s">
        <v>780</v>
      </c>
      <c r="E168" s="104" t="s">
        <v>781</v>
      </c>
      <c r="F168" s="103" t="s">
        <v>782</v>
      </c>
      <c r="G168" s="103">
        <v>857.41</v>
      </c>
      <c r="H168" s="103">
        <v>255</v>
      </c>
      <c r="I168" s="103">
        <v>1312</v>
      </c>
      <c r="J168" s="103">
        <v>699</v>
      </c>
      <c r="K168" s="103">
        <v>613</v>
      </c>
      <c r="L168" s="103">
        <v>200</v>
      </c>
      <c r="M168" s="105">
        <f t="shared" si="4"/>
        <v>15.24390243902439</v>
      </c>
      <c r="N168" s="103">
        <v>68</v>
      </c>
      <c r="O168" s="106">
        <f t="shared" si="5"/>
        <v>5.1829268292682924</v>
      </c>
      <c r="P168" s="242">
        <v>80.03</v>
      </c>
      <c r="Q168" s="103">
        <v>195</v>
      </c>
      <c r="R168" s="100" t="s">
        <v>39</v>
      </c>
      <c r="S168" s="111" t="s">
        <v>37</v>
      </c>
      <c r="T168" s="113"/>
      <c r="U168" s="111"/>
      <c r="V168" s="54" t="s">
        <v>483</v>
      </c>
      <c r="W168" s="110"/>
      <c r="X168" s="110"/>
      <c r="Y168" s="110"/>
      <c r="Z168" s="110"/>
      <c r="AA168" s="110"/>
      <c r="AB168" s="100"/>
      <c r="AC168" s="111"/>
      <c r="AD168" s="247"/>
      <c r="AE168" s="12"/>
      <c r="AF168" s="12"/>
    </row>
    <row r="169" spans="1:32">
      <c r="A169" s="101">
        <v>142</v>
      </c>
      <c r="B169" s="108" t="s">
        <v>33</v>
      </c>
      <c r="C169" s="103" t="s">
        <v>479</v>
      </c>
      <c r="D169" s="103" t="s">
        <v>780</v>
      </c>
      <c r="E169" s="103" t="s">
        <v>783</v>
      </c>
      <c r="F169" s="103" t="s">
        <v>784</v>
      </c>
      <c r="G169" s="103">
        <v>61.86</v>
      </c>
      <c r="H169" s="103">
        <v>0</v>
      </c>
      <c r="I169" s="103">
        <v>0</v>
      </c>
      <c r="J169" s="103">
        <v>0</v>
      </c>
      <c r="K169" s="103">
        <v>0</v>
      </c>
      <c r="L169" s="103">
        <v>0</v>
      </c>
      <c r="M169" s="105">
        <v>0</v>
      </c>
      <c r="N169" s="103">
        <v>0</v>
      </c>
      <c r="O169" s="106">
        <v>0</v>
      </c>
      <c r="P169" s="242">
        <v>0</v>
      </c>
      <c r="Q169" s="103">
        <v>303</v>
      </c>
      <c r="R169" s="54"/>
      <c r="S169" s="111"/>
      <c r="T169" s="113"/>
      <c r="U169" s="111"/>
      <c r="V169" s="110"/>
      <c r="W169" s="110"/>
      <c r="X169" s="110"/>
      <c r="Y169" s="110"/>
      <c r="Z169" s="110"/>
      <c r="AA169" s="110"/>
      <c r="AB169" s="100"/>
      <c r="AC169" s="111"/>
      <c r="AD169" s="247"/>
      <c r="AE169" s="12"/>
      <c r="AF169" s="12"/>
    </row>
    <row r="170" spans="1:32">
      <c r="A170" s="101">
        <v>143</v>
      </c>
      <c r="B170" s="108" t="s">
        <v>33</v>
      </c>
      <c r="C170" s="103" t="s">
        <v>479</v>
      </c>
      <c r="D170" s="103" t="s">
        <v>780</v>
      </c>
      <c r="E170" s="103" t="s">
        <v>152</v>
      </c>
      <c r="F170" s="103" t="s">
        <v>785</v>
      </c>
      <c r="G170" s="103">
        <v>244.37</v>
      </c>
      <c r="H170" s="103">
        <v>128</v>
      </c>
      <c r="I170" s="103">
        <v>618</v>
      </c>
      <c r="J170" s="103">
        <v>305</v>
      </c>
      <c r="K170" s="103">
        <v>313</v>
      </c>
      <c r="L170" s="103">
        <v>42</v>
      </c>
      <c r="M170" s="105">
        <f t="shared" si="4"/>
        <v>6.7961165048543686</v>
      </c>
      <c r="N170" s="103">
        <v>438</v>
      </c>
      <c r="O170" s="106">
        <f t="shared" si="5"/>
        <v>70.873786407766985</v>
      </c>
      <c r="P170" s="242">
        <v>25.34</v>
      </c>
      <c r="Q170" s="103">
        <v>0</v>
      </c>
      <c r="R170" s="54"/>
      <c r="S170" s="111"/>
      <c r="T170" s="113"/>
      <c r="U170" s="111"/>
      <c r="V170" s="110"/>
      <c r="W170" s="110"/>
      <c r="X170" s="110"/>
      <c r="Y170" s="110"/>
      <c r="Z170" s="110"/>
      <c r="AA170" s="110"/>
      <c r="AB170" s="100"/>
      <c r="AC170" s="111"/>
      <c r="AD170" s="247"/>
      <c r="AE170" s="12"/>
      <c r="AF170" s="12"/>
    </row>
    <row r="171" spans="1:32">
      <c r="A171" s="101">
        <v>144</v>
      </c>
      <c r="B171" s="108" t="s">
        <v>33</v>
      </c>
      <c r="C171" s="103" t="s">
        <v>479</v>
      </c>
      <c r="D171" s="103" t="s">
        <v>780</v>
      </c>
      <c r="E171" s="103" t="s">
        <v>786</v>
      </c>
      <c r="F171" s="103" t="s">
        <v>787</v>
      </c>
      <c r="G171" s="103">
        <v>283.32</v>
      </c>
      <c r="H171" s="103">
        <v>132</v>
      </c>
      <c r="I171" s="103">
        <v>665</v>
      </c>
      <c r="J171" s="103">
        <v>343</v>
      </c>
      <c r="K171" s="103">
        <v>322</v>
      </c>
      <c r="L171" s="103">
        <v>97</v>
      </c>
      <c r="M171" s="105">
        <f t="shared" si="4"/>
        <v>14.586466165413533</v>
      </c>
      <c r="N171" s="103">
        <v>12</v>
      </c>
      <c r="O171" s="106">
        <f t="shared" si="5"/>
        <v>1.8045112781954888</v>
      </c>
      <c r="P171" s="242">
        <v>39.31</v>
      </c>
      <c r="Q171" s="103">
        <v>0</v>
      </c>
      <c r="R171" s="100" t="s">
        <v>39</v>
      </c>
      <c r="S171" s="111" t="s">
        <v>37</v>
      </c>
      <c r="T171" s="113"/>
      <c r="U171" s="111"/>
      <c r="V171" s="54" t="s">
        <v>483</v>
      </c>
      <c r="W171" s="110"/>
      <c r="X171" s="110"/>
      <c r="Y171" s="110"/>
      <c r="Z171" s="110"/>
      <c r="AA171" s="110"/>
      <c r="AB171" s="54"/>
      <c r="AC171" s="111"/>
      <c r="AD171" s="247"/>
      <c r="AE171" s="12"/>
      <c r="AF171" s="12"/>
    </row>
    <row r="172" spans="1:32">
      <c r="A172" s="101">
        <v>145</v>
      </c>
      <c r="B172" s="108" t="s">
        <v>33</v>
      </c>
      <c r="C172" s="103" t="s">
        <v>479</v>
      </c>
      <c r="D172" s="103" t="s">
        <v>780</v>
      </c>
      <c r="E172" s="103" t="s">
        <v>788</v>
      </c>
      <c r="F172" s="103" t="s">
        <v>789</v>
      </c>
      <c r="G172" s="103">
        <v>305.73</v>
      </c>
      <c r="H172" s="103">
        <v>188</v>
      </c>
      <c r="I172" s="103">
        <v>922</v>
      </c>
      <c r="J172" s="103">
        <v>467</v>
      </c>
      <c r="K172" s="103">
        <v>455</v>
      </c>
      <c r="L172" s="103">
        <v>116</v>
      </c>
      <c r="M172" s="105">
        <f t="shared" si="4"/>
        <v>12.581344902386119</v>
      </c>
      <c r="N172" s="103">
        <v>55</v>
      </c>
      <c r="O172" s="106">
        <f t="shared" si="5"/>
        <v>5.9652928416485906</v>
      </c>
      <c r="P172" s="242">
        <v>20.48</v>
      </c>
      <c r="Q172" s="103">
        <v>41.96</v>
      </c>
      <c r="R172" s="100" t="s">
        <v>39</v>
      </c>
      <c r="S172" s="111" t="s">
        <v>37</v>
      </c>
      <c r="T172" s="113"/>
      <c r="U172" s="111"/>
      <c r="V172" s="54" t="s">
        <v>483</v>
      </c>
      <c r="W172" s="110"/>
      <c r="X172" s="110"/>
      <c r="Y172" s="110"/>
      <c r="Z172" s="110"/>
      <c r="AA172" s="110"/>
      <c r="AB172" s="100"/>
      <c r="AC172" s="111"/>
      <c r="AD172" s="247"/>
      <c r="AE172" s="12"/>
      <c r="AF172" s="12"/>
    </row>
    <row r="173" spans="1:32">
      <c r="A173" s="101">
        <v>146</v>
      </c>
      <c r="B173" s="108" t="s">
        <v>33</v>
      </c>
      <c r="C173" s="103" t="s">
        <v>479</v>
      </c>
      <c r="D173" s="103" t="s">
        <v>780</v>
      </c>
      <c r="E173" s="103" t="s">
        <v>790</v>
      </c>
      <c r="F173" s="103" t="s">
        <v>791</v>
      </c>
      <c r="G173" s="103">
        <v>542.30999999999995</v>
      </c>
      <c r="H173" s="103">
        <v>289</v>
      </c>
      <c r="I173" s="103">
        <v>1420</v>
      </c>
      <c r="J173" s="103">
        <v>750</v>
      </c>
      <c r="K173" s="103">
        <v>670</v>
      </c>
      <c r="L173" s="103">
        <v>266</v>
      </c>
      <c r="M173" s="105">
        <f t="shared" si="4"/>
        <v>18.732394366197184</v>
      </c>
      <c r="N173" s="103">
        <v>17</v>
      </c>
      <c r="O173" s="106">
        <f t="shared" si="5"/>
        <v>1.1971830985915493</v>
      </c>
      <c r="P173" s="242">
        <v>70.180000000000007</v>
      </c>
      <c r="Q173" s="103">
        <v>0</v>
      </c>
      <c r="R173" s="100" t="s">
        <v>39</v>
      </c>
      <c r="S173" s="111" t="s">
        <v>792</v>
      </c>
      <c r="T173" s="113"/>
      <c r="U173" s="129"/>
      <c r="V173" s="54" t="s">
        <v>483</v>
      </c>
      <c r="W173" s="110"/>
      <c r="X173" s="110"/>
      <c r="Y173" s="110"/>
      <c r="Z173" s="110"/>
      <c r="AA173" s="110"/>
      <c r="AB173" s="100" t="s">
        <v>39</v>
      </c>
      <c r="AC173" s="129">
        <v>4.29</v>
      </c>
      <c r="AD173" s="247" t="s">
        <v>484</v>
      </c>
      <c r="AE173" s="12">
        <v>24.836099999999998</v>
      </c>
      <c r="AF173" s="12">
        <v>76.864900000000006</v>
      </c>
    </row>
    <row r="174" spans="1:32">
      <c r="A174" s="101">
        <v>147</v>
      </c>
      <c r="B174" s="108" t="s">
        <v>33</v>
      </c>
      <c r="C174" s="103" t="s">
        <v>479</v>
      </c>
      <c r="D174" s="103" t="s">
        <v>793</v>
      </c>
      <c r="E174" s="104" t="s">
        <v>794</v>
      </c>
      <c r="F174" s="103" t="s">
        <v>795</v>
      </c>
      <c r="G174" s="103">
        <v>825.35</v>
      </c>
      <c r="H174" s="103">
        <v>381</v>
      </c>
      <c r="I174" s="103">
        <v>1913</v>
      </c>
      <c r="J174" s="103">
        <v>963</v>
      </c>
      <c r="K174" s="103">
        <v>950</v>
      </c>
      <c r="L174" s="103">
        <v>33</v>
      </c>
      <c r="M174" s="105">
        <f t="shared" si="4"/>
        <v>1.7250392054364874</v>
      </c>
      <c r="N174" s="103">
        <v>1722</v>
      </c>
      <c r="O174" s="106">
        <f t="shared" si="5"/>
        <v>90.015682174594886</v>
      </c>
      <c r="P174" s="242">
        <v>47</v>
      </c>
      <c r="Q174" s="103">
        <v>0</v>
      </c>
      <c r="R174" s="100" t="s">
        <v>39</v>
      </c>
      <c r="S174" s="126">
        <v>45884</v>
      </c>
      <c r="T174" s="113"/>
      <c r="U174" s="76">
        <v>49.331099999999999</v>
      </c>
      <c r="V174" s="54" t="s">
        <v>483</v>
      </c>
      <c r="W174" s="110"/>
      <c r="X174" s="110"/>
      <c r="Y174" s="110"/>
      <c r="Z174" s="110"/>
      <c r="AA174" s="110"/>
      <c r="AB174" s="100" t="s">
        <v>39</v>
      </c>
      <c r="AC174" s="76">
        <v>15</v>
      </c>
      <c r="AD174" s="247" t="s">
        <v>484</v>
      </c>
      <c r="AE174" s="12">
        <v>24.872499999999999</v>
      </c>
      <c r="AF174" s="12">
        <v>76.846199999999996</v>
      </c>
    </row>
    <row r="175" spans="1:32">
      <c r="A175" s="101">
        <v>148</v>
      </c>
      <c r="B175" s="108" t="s">
        <v>33</v>
      </c>
      <c r="C175" s="103" t="s">
        <v>479</v>
      </c>
      <c r="D175" s="103" t="s">
        <v>793</v>
      </c>
      <c r="E175" s="103" t="s">
        <v>796</v>
      </c>
      <c r="F175" s="103" t="s">
        <v>797</v>
      </c>
      <c r="G175" s="103">
        <v>265</v>
      </c>
      <c r="H175" s="103">
        <v>106</v>
      </c>
      <c r="I175" s="103">
        <v>452</v>
      </c>
      <c r="J175" s="103">
        <v>233</v>
      </c>
      <c r="K175" s="103">
        <v>219</v>
      </c>
      <c r="L175" s="103">
        <v>84</v>
      </c>
      <c r="M175" s="105">
        <f t="shared" si="4"/>
        <v>18.584070796460178</v>
      </c>
      <c r="N175" s="103">
        <v>4</v>
      </c>
      <c r="O175" s="106">
        <f t="shared" si="5"/>
        <v>0.88495575221238942</v>
      </c>
      <c r="P175" s="242">
        <v>43</v>
      </c>
      <c r="Q175" s="103">
        <v>0</v>
      </c>
      <c r="R175" s="100" t="s">
        <v>39</v>
      </c>
      <c r="S175" s="126">
        <v>45884</v>
      </c>
      <c r="T175" s="113"/>
      <c r="U175" s="76">
        <v>46.1907</v>
      </c>
      <c r="V175" s="54" t="s">
        <v>483</v>
      </c>
      <c r="W175" s="110"/>
      <c r="X175" s="110"/>
      <c r="Y175" s="110"/>
      <c r="Z175" s="110"/>
      <c r="AA175" s="110"/>
      <c r="AB175" s="100" t="s">
        <v>39</v>
      </c>
      <c r="AC175" s="76">
        <v>5</v>
      </c>
      <c r="AD175" s="247" t="s">
        <v>484</v>
      </c>
      <c r="AE175" s="12"/>
      <c r="AF175" s="12"/>
    </row>
    <row r="176" spans="1:32">
      <c r="A176" s="101">
        <v>149</v>
      </c>
      <c r="B176" s="108" t="s">
        <v>33</v>
      </c>
      <c r="C176" s="103" t="s">
        <v>479</v>
      </c>
      <c r="D176" s="103" t="s">
        <v>793</v>
      </c>
      <c r="E176" s="103" t="s">
        <v>798</v>
      </c>
      <c r="F176" s="103" t="s">
        <v>799</v>
      </c>
      <c r="G176" s="103">
        <v>242</v>
      </c>
      <c r="H176" s="103">
        <v>78</v>
      </c>
      <c r="I176" s="103">
        <v>412</v>
      </c>
      <c r="J176" s="103">
        <v>213</v>
      </c>
      <c r="K176" s="103">
        <v>199</v>
      </c>
      <c r="L176" s="103">
        <v>29</v>
      </c>
      <c r="M176" s="105">
        <f t="shared" si="4"/>
        <v>7.0388349514563107</v>
      </c>
      <c r="N176" s="103">
        <v>0</v>
      </c>
      <c r="O176" s="106">
        <f t="shared" si="5"/>
        <v>0</v>
      </c>
      <c r="P176" s="242">
        <v>12</v>
      </c>
      <c r="Q176" s="103">
        <v>437.1</v>
      </c>
      <c r="R176" s="100" t="s">
        <v>39</v>
      </c>
      <c r="S176" s="111" t="s">
        <v>37</v>
      </c>
      <c r="T176" s="113"/>
      <c r="U176" s="111"/>
      <c r="V176" s="54" t="s">
        <v>483</v>
      </c>
      <c r="W176" s="110"/>
      <c r="X176" s="110"/>
      <c r="Y176" s="110"/>
      <c r="Z176" s="110"/>
      <c r="AA176" s="110"/>
      <c r="AB176" s="100"/>
      <c r="AC176" s="111"/>
      <c r="AD176" s="247"/>
      <c r="AE176" s="12"/>
      <c r="AF176" s="12"/>
    </row>
    <row r="177" spans="1:32">
      <c r="A177" s="101">
        <v>150</v>
      </c>
      <c r="B177" s="108" t="s">
        <v>33</v>
      </c>
      <c r="C177" s="103" t="s">
        <v>479</v>
      </c>
      <c r="D177" s="103" t="s">
        <v>793</v>
      </c>
      <c r="E177" s="103" t="s">
        <v>800</v>
      </c>
      <c r="F177" s="103" t="s">
        <v>801</v>
      </c>
      <c r="G177" s="103">
        <v>232</v>
      </c>
      <c r="H177" s="103">
        <v>106</v>
      </c>
      <c r="I177" s="103">
        <v>491</v>
      </c>
      <c r="J177" s="103">
        <v>265</v>
      </c>
      <c r="K177" s="103">
        <v>226</v>
      </c>
      <c r="L177" s="103">
        <v>83</v>
      </c>
      <c r="M177" s="105">
        <f t="shared" si="4"/>
        <v>16.90427698574338</v>
      </c>
      <c r="N177" s="103">
        <v>114</v>
      </c>
      <c r="O177" s="106">
        <f t="shared" si="5"/>
        <v>23.217922606924642</v>
      </c>
      <c r="P177" s="242">
        <v>19</v>
      </c>
      <c r="Q177" s="103">
        <v>20</v>
      </c>
      <c r="R177" s="100" t="s">
        <v>39</v>
      </c>
      <c r="S177" s="126">
        <v>45884</v>
      </c>
      <c r="T177" s="113"/>
      <c r="U177" s="76">
        <v>24.361999999999998</v>
      </c>
      <c r="V177" s="54" t="s">
        <v>483</v>
      </c>
      <c r="W177" s="110"/>
      <c r="X177" s="110"/>
      <c r="Y177" s="110"/>
      <c r="Z177" s="110"/>
      <c r="AA177" s="110"/>
      <c r="AB177" s="100" t="s">
        <v>39</v>
      </c>
      <c r="AC177" s="76">
        <v>9</v>
      </c>
      <c r="AD177" s="247" t="s">
        <v>484</v>
      </c>
      <c r="AE177" s="12">
        <v>24.9558</v>
      </c>
      <c r="AF177" s="12">
        <v>76.828999999999994</v>
      </c>
    </row>
    <row r="178" spans="1:32">
      <c r="A178" s="101">
        <v>151</v>
      </c>
      <c r="B178" s="108" t="s">
        <v>33</v>
      </c>
      <c r="C178" s="103" t="s">
        <v>479</v>
      </c>
      <c r="D178" s="103" t="s">
        <v>793</v>
      </c>
      <c r="E178" s="103" t="s">
        <v>802</v>
      </c>
      <c r="F178" s="103" t="s">
        <v>803</v>
      </c>
      <c r="G178" s="103">
        <v>101</v>
      </c>
      <c r="H178" s="103">
        <v>39</v>
      </c>
      <c r="I178" s="103">
        <v>226</v>
      </c>
      <c r="J178" s="103">
        <v>121</v>
      </c>
      <c r="K178" s="103">
        <v>105</v>
      </c>
      <c r="L178" s="103">
        <v>7</v>
      </c>
      <c r="M178" s="105">
        <f t="shared" si="4"/>
        <v>3.0973451327433628</v>
      </c>
      <c r="N178" s="103">
        <v>0</v>
      </c>
      <c r="O178" s="106">
        <f t="shared" si="5"/>
        <v>0</v>
      </c>
      <c r="P178" s="242">
        <v>33</v>
      </c>
      <c r="Q178" s="103">
        <v>0</v>
      </c>
      <c r="R178" s="100" t="s">
        <v>39</v>
      </c>
      <c r="S178" s="126">
        <v>45884</v>
      </c>
      <c r="T178" s="113"/>
      <c r="U178" s="76"/>
      <c r="V178" s="54" t="s">
        <v>483</v>
      </c>
      <c r="W178" s="110"/>
      <c r="X178" s="110"/>
      <c r="Y178" s="110"/>
      <c r="Z178" s="110"/>
      <c r="AA178" s="110"/>
      <c r="AB178" s="100"/>
      <c r="AC178" s="76"/>
      <c r="AD178" s="247"/>
      <c r="AE178" s="12"/>
      <c r="AF178" s="12"/>
    </row>
    <row r="179" spans="1:32">
      <c r="A179" s="101">
        <v>152</v>
      </c>
      <c r="B179" s="108" t="s">
        <v>33</v>
      </c>
      <c r="C179" s="103" t="s">
        <v>479</v>
      </c>
      <c r="D179" s="103" t="s">
        <v>793</v>
      </c>
      <c r="E179" s="103" t="s">
        <v>804</v>
      </c>
      <c r="F179" s="103" t="s">
        <v>805</v>
      </c>
      <c r="G179" s="103">
        <v>217</v>
      </c>
      <c r="H179" s="103">
        <v>13</v>
      </c>
      <c r="I179" s="103">
        <v>51</v>
      </c>
      <c r="J179" s="103">
        <v>32</v>
      </c>
      <c r="K179" s="103">
        <v>19</v>
      </c>
      <c r="L179" s="103">
        <v>0</v>
      </c>
      <c r="M179" s="105">
        <f t="shared" si="4"/>
        <v>0</v>
      </c>
      <c r="N179" s="103">
        <v>31</v>
      </c>
      <c r="O179" s="106">
        <f t="shared" si="5"/>
        <v>60.784313725490193</v>
      </c>
      <c r="P179" s="242">
        <v>0</v>
      </c>
      <c r="Q179" s="103">
        <v>46</v>
      </c>
      <c r="R179" s="100" t="s">
        <v>39</v>
      </c>
      <c r="S179" s="126">
        <v>45884</v>
      </c>
      <c r="T179" s="113"/>
      <c r="U179" s="76"/>
      <c r="V179" s="54" t="s">
        <v>483</v>
      </c>
      <c r="W179" s="110"/>
      <c r="X179" s="110"/>
      <c r="Y179" s="110"/>
      <c r="Z179" s="110"/>
      <c r="AA179" s="110"/>
      <c r="AB179" s="100"/>
      <c r="AC179" s="76"/>
      <c r="AD179" s="247"/>
      <c r="AE179" s="12"/>
      <c r="AF179" s="12"/>
    </row>
    <row r="180" spans="1:32">
      <c r="A180" s="101">
        <v>153</v>
      </c>
      <c r="B180" s="108" t="s">
        <v>33</v>
      </c>
      <c r="C180" s="103" t="s">
        <v>479</v>
      </c>
      <c r="D180" s="103" t="s">
        <v>793</v>
      </c>
      <c r="E180" s="103" t="s">
        <v>806</v>
      </c>
      <c r="F180" s="103" t="s">
        <v>807</v>
      </c>
      <c r="G180" s="103">
        <v>390</v>
      </c>
      <c r="H180" s="103">
        <v>144</v>
      </c>
      <c r="I180" s="103">
        <v>666</v>
      </c>
      <c r="J180" s="103">
        <v>352</v>
      </c>
      <c r="K180" s="103">
        <v>314</v>
      </c>
      <c r="L180" s="103">
        <v>46</v>
      </c>
      <c r="M180" s="105">
        <f t="shared" si="4"/>
        <v>6.9069069069069062</v>
      </c>
      <c r="N180" s="103">
        <v>188</v>
      </c>
      <c r="O180" s="106">
        <f t="shared" si="5"/>
        <v>28.228228228228229</v>
      </c>
      <c r="P180" s="242">
        <v>113</v>
      </c>
      <c r="Q180" s="103">
        <v>17</v>
      </c>
      <c r="R180" s="100" t="s">
        <v>39</v>
      </c>
      <c r="S180" s="111" t="s">
        <v>37</v>
      </c>
      <c r="T180" s="113"/>
      <c r="U180" s="76"/>
      <c r="V180" s="54" t="s">
        <v>483</v>
      </c>
      <c r="W180" s="110"/>
      <c r="X180" s="110"/>
      <c r="Y180" s="110"/>
      <c r="Z180" s="110"/>
      <c r="AA180" s="110"/>
      <c r="AB180" s="100" t="s">
        <v>39</v>
      </c>
      <c r="AC180" s="76">
        <v>9</v>
      </c>
      <c r="AD180" s="247" t="s">
        <v>484</v>
      </c>
      <c r="AE180" s="12">
        <v>24.927600000000002</v>
      </c>
      <c r="AF180" s="12">
        <v>76.823499999999996</v>
      </c>
    </row>
    <row r="181" spans="1:32">
      <c r="A181" s="101" t="s">
        <v>51</v>
      </c>
      <c r="B181" s="108" t="s">
        <v>33</v>
      </c>
      <c r="C181" s="103" t="s">
        <v>479</v>
      </c>
      <c r="D181" s="103" t="s">
        <v>793</v>
      </c>
      <c r="E181" s="103" t="s">
        <v>806</v>
      </c>
      <c r="F181" s="103"/>
      <c r="G181" s="103"/>
      <c r="H181" s="103"/>
      <c r="I181" s="103"/>
      <c r="J181" s="103"/>
      <c r="K181" s="103"/>
      <c r="L181" s="103"/>
      <c r="M181" s="105"/>
      <c r="N181" s="103"/>
      <c r="O181" s="106"/>
      <c r="P181" s="242"/>
      <c r="Q181" s="103"/>
      <c r="R181" s="100"/>
      <c r="S181" s="111"/>
      <c r="T181" s="113"/>
      <c r="U181" s="76"/>
      <c r="V181" s="54"/>
      <c r="W181" s="110"/>
      <c r="X181" s="110"/>
      <c r="Y181" s="110"/>
      <c r="Z181" s="110"/>
      <c r="AA181" s="110"/>
      <c r="AB181" s="100" t="s">
        <v>39</v>
      </c>
      <c r="AC181" s="76">
        <v>10</v>
      </c>
      <c r="AD181" s="247"/>
      <c r="AE181" s="12"/>
      <c r="AF181" s="12"/>
    </row>
    <row r="182" spans="1:32">
      <c r="A182" s="101">
        <v>154</v>
      </c>
      <c r="B182" s="108" t="s">
        <v>33</v>
      </c>
      <c r="C182" s="103" t="s">
        <v>479</v>
      </c>
      <c r="D182" s="103" t="s">
        <v>808</v>
      </c>
      <c r="E182" s="104" t="s">
        <v>809</v>
      </c>
      <c r="F182" s="103" t="s">
        <v>810</v>
      </c>
      <c r="G182" s="103">
        <v>877</v>
      </c>
      <c r="H182" s="103">
        <v>325</v>
      </c>
      <c r="I182" s="103">
        <v>1699</v>
      </c>
      <c r="J182" s="103">
        <v>846</v>
      </c>
      <c r="K182" s="103">
        <v>853</v>
      </c>
      <c r="L182" s="103">
        <v>178</v>
      </c>
      <c r="M182" s="105">
        <f t="shared" si="4"/>
        <v>10.476751030017658</v>
      </c>
      <c r="N182" s="103">
        <v>62</v>
      </c>
      <c r="O182" s="106">
        <f t="shared" si="5"/>
        <v>3.6492054149499706</v>
      </c>
      <c r="P182" s="242">
        <v>37</v>
      </c>
      <c r="Q182" s="103">
        <v>168</v>
      </c>
      <c r="R182" s="100" t="s">
        <v>39</v>
      </c>
      <c r="S182" s="79" t="s">
        <v>811</v>
      </c>
      <c r="T182" s="113"/>
      <c r="U182" s="79">
        <v>37.376600000000003</v>
      </c>
      <c r="V182" s="54" t="s">
        <v>483</v>
      </c>
      <c r="W182" s="110"/>
      <c r="X182" s="110"/>
      <c r="Y182" s="110"/>
      <c r="Z182" s="110"/>
      <c r="AA182" s="110"/>
      <c r="AB182" s="100" t="s">
        <v>39</v>
      </c>
      <c r="AC182" s="79">
        <v>12</v>
      </c>
      <c r="AD182" s="247" t="s">
        <v>484</v>
      </c>
      <c r="AE182" s="12"/>
      <c r="AF182" s="12"/>
    </row>
    <row r="183" spans="1:32">
      <c r="A183" s="101">
        <v>155</v>
      </c>
      <c r="B183" s="108" t="s">
        <v>33</v>
      </c>
      <c r="C183" s="103" t="s">
        <v>479</v>
      </c>
      <c r="D183" s="103" t="s">
        <v>808</v>
      </c>
      <c r="E183" s="103" t="s">
        <v>812</v>
      </c>
      <c r="F183" s="103" t="s">
        <v>813</v>
      </c>
      <c r="G183" s="103">
        <v>153</v>
      </c>
      <c r="H183" s="103">
        <v>82</v>
      </c>
      <c r="I183" s="103">
        <v>376</v>
      </c>
      <c r="J183" s="103">
        <v>190</v>
      </c>
      <c r="K183" s="103">
        <v>186</v>
      </c>
      <c r="L183" s="103">
        <v>86</v>
      </c>
      <c r="M183" s="105">
        <f t="shared" si="4"/>
        <v>22.872340425531913</v>
      </c>
      <c r="N183" s="103">
        <v>144</v>
      </c>
      <c r="O183" s="106">
        <f t="shared" si="5"/>
        <v>38.297872340425535</v>
      </c>
      <c r="P183" s="242">
        <v>9</v>
      </c>
      <c r="Q183" s="103">
        <v>20</v>
      </c>
      <c r="R183" s="100" t="s">
        <v>39</v>
      </c>
      <c r="S183" s="79" t="s">
        <v>811</v>
      </c>
      <c r="T183" s="113"/>
      <c r="U183" s="79">
        <v>9.0810999999999993</v>
      </c>
      <c r="V183" s="54" t="s">
        <v>483</v>
      </c>
      <c r="W183" s="110"/>
      <c r="X183" s="110"/>
      <c r="Y183" s="110"/>
      <c r="Z183" s="110"/>
      <c r="AA183" s="110"/>
      <c r="AB183" s="100" t="s">
        <v>39</v>
      </c>
      <c r="AC183" s="79">
        <v>12</v>
      </c>
      <c r="AD183" s="247" t="s">
        <v>484</v>
      </c>
      <c r="AE183" s="12">
        <v>24.948899999999998</v>
      </c>
      <c r="AF183" s="12">
        <v>76.802599999999998</v>
      </c>
    </row>
    <row r="184" spans="1:32">
      <c r="A184" s="101">
        <v>156</v>
      </c>
      <c r="B184" s="108" t="s">
        <v>33</v>
      </c>
      <c r="C184" s="103" t="s">
        <v>479</v>
      </c>
      <c r="D184" s="103" t="s">
        <v>808</v>
      </c>
      <c r="E184" s="103" t="s">
        <v>814</v>
      </c>
      <c r="F184" s="103" t="s">
        <v>815</v>
      </c>
      <c r="G184" s="103">
        <v>523</v>
      </c>
      <c r="H184" s="103">
        <v>230</v>
      </c>
      <c r="I184" s="103">
        <v>1060</v>
      </c>
      <c r="J184" s="103">
        <v>552</v>
      </c>
      <c r="K184" s="103">
        <v>508</v>
      </c>
      <c r="L184" s="103">
        <v>439</v>
      </c>
      <c r="M184" s="105">
        <f t="shared" si="4"/>
        <v>41.415094339622641</v>
      </c>
      <c r="N184" s="103">
        <v>11</v>
      </c>
      <c r="O184" s="106">
        <f t="shared" si="5"/>
        <v>1.0377358490566038</v>
      </c>
      <c r="P184" s="242">
        <v>47</v>
      </c>
      <c r="Q184" s="103">
        <v>154</v>
      </c>
      <c r="R184" s="100" t="s">
        <v>39</v>
      </c>
      <c r="S184" s="79" t="s">
        <v>811</v>
      </c>
      <c r="T184" s="113"/>
      <c r="U184" s="79">
        <v>48.813200000000002</v>
      </c>
      <c r="V184" s="54" t="s">
        <v>483</v>
      </c>
      <c r="W184" s="110"/>
      <c r="X184" s="110"/>
      <c r="Y184" s="110"/>
      <c r="Z184" s="110"/>
      <c r="AA184" s="110"/>
      <c r="AB184" s="100" t="s">
        <v>39</v>
      </c>
      <c r="AC184" s="79">
        <v>12</v>
      </c>
      <c r="AD184" s="247" t="s">
        <v>484</v>
      </c>
      <c r="AE184" s="12"/>
      <c r="AF184" s="12"/>
    </row>
    <row r="185" spans="1:32">
      <c r="A185" s="101">
        <v>157</v>
      </c>
      <c r="B185" s="108" t="s">
        <v>33</v>
      </c>
      <c r="C185" s="103" t="s">
        <v>479</v>
      </c>
      <c r="D185" s="103" t="s">
        <v>808</v>
      </c>
      <c r="E185" s="103" t="s">
        <v>816</v>
      </c>
      <c r="F185" s="103" t="s">
        <v>817</v>
      </c>
      <c r="G185" s="103">
        <v>252</v>
      </c>
      <c r="H185" s="103">
        <v>100</v>
      </c>
      <c r="I185" s="103">
        <v>491</v>
      </c>
      <c r="J185" s="103">
        <v>254</v>
      </c>
      <c r="K185" s="103">
        <v>237</v>
      </c>
      <c r="L185" s="103">
        <v>162</v>
      </c>
      <c r="M185" s="105">
        <f t="shared" si="4"/>
        <v>32.993890020366599</v>
      </c>
      <c r="N185" s="103">
        <v>47</v>
      </c>
      <c r="O185" s="106">
        <f t="shared" si="5"/>
        <v>9.5723014256619141</v>
      </c>
      <c r="P185" s="242">
        <v>26</v>
      </c>
      <c r="Q185" s="103">
        <v>0</v>
      </c>
      <c r="R185" s="100" t="s">
        <v>39</v>
      </c>
      <c r="S185" s="79" t="s">
        <v>811</v>
      </c>
      <c r="T185" s="113"/>
      <c r="U185" s="79">
        <v>26.158799999999999</v>
      </c>
      <c r="V185" s="54" t="s">
        <v>483</v>
      </c>
      <c r="W185" s="110"/>
      <c r="X185" s="110"/>
      <c r="Y185" s="110"/>
      <c r="Z185" s="110"/>
      <c r="AA185" s="110"/>
      <c r="AB185" s="100" t="s">
        <v>39</v>
      </c>
      <c r="AC185" s="79">
        <v>11</v>
      </c>
      <c r="AD185" s="247" t="s">
        <v>484</v>
      </c>
      <c r="AE185" s="12"/>
      <c r="AF185" s="12"/>
    </row>
    <row r="186" spans="1:32">
      <c r="A186" s="101">
        <v>158</v>
      </c>
      <c r="B186" s="108" t="s">
        <v>33</v>
      </c>
      <c r="C186" s="103" t="s">
        <v>479</v>
      </c>
      <c r="D186" s="103" t="s">
        <v>818</v>
      </c>
      <c r="E186" s="104" t="s">
        <v>819</v>
      </c>
      <c r="F186" s="103" t="s">
        <v>820</v>
      </c>
      <c r="G186" s="103">
        <v>868</v>
      </c>
      <c r="H186" s="103">
        <v>209</v>
      </c>
      <c r="I186" s="103">
        <v>1091</v>
      </c>
      <c r="J186" s="103">
        <v>584</v>
      </c>
      <c r="K186" s="103">
        <v>507</v>
      </c>
      <c r="L186" s="103">
        <v>223</v>
      </c>
      <c r="M186" s="105">
        <f t="shared" si="4"/>
        <v>20.439963336388633</v>
      </c>
      <c r="N186" s="103">
        <v>370</v>
      </c>
      <c r="O186" s="106">
        <f t="shared" si="5"/>
        <v>33.913840513290559</v>
      </c>
      <c r="P186" s="242">
        <v>37</v>
      </c>
      <c r="Q186" s="103">
        <v>0</v>
      </c>
      <c r="R186" s="100" t="s">
        <v>39</v>
      </c>
      <c r="S186" s="126">
        <v>45917</v>
      </c>
      <c r="T186" s="113"/>
      <c r="U186" s="76">
        <v>39.286900000000003</v>
      </c>
      <c r="V186" s="54" t="s">
        <v>483</v>
      </c>
      <c r="W186" s="110"/>
      <c r="X186" s="110"/>
      <c r="Y186" s="110"/>
      <c r="Z186" s="110"/>
      <c r="AA186" s="110"/>
      <c r="AB186" s="100" t="s">
        <v>39</v>
      </c>
      <c r="AC186" s="76">
        <v>10</v>
      </c>
      <c r="AD186" s="247" t="s">
        <v>484</v>
      </c>
      <c r="AE186" s="12"/>
      <c r="AF186" s="12"/>
    </row>
    <row r="187" spans="1:32">
      <c r="A187" s="101">
        <v>159</v>
      </c>
      <c r="B187" s="108" t="s">
        <v>33</v>
      </c>
      <c r="C187" s="103" t="s">
        <v>479</v>
      </c>
      <c r="D187" s="103" t="s">
        <v>818</v>
      </c>
      <c r="E187" s="103" t="s">
        <v>821</v>
      </c>
      <c r="F187" s="103" t="s">
        <v>822</v>
      </c>
      <c r="G187" s="103">
        <v>188</v>
      </c>
      <c r="H187" s="103">
        <v>0</v>
      </c>
      <c r="I187" s="103">
        <v>0</v>
      </c>
      <c r="J187" s="103">
        <v>0</v>
      </c>
      <c r="K187" s="103">
        <v>0</v>
      </c>
      <c r="L187" s="103">
        <v>0</v>
      </c>
      <c r="M187" s="105">
        <v>0</v>
      </c>
      <c r="N187" s="103">
        <v>0</v>
      </c>
      <c r="O187" s="106">
        <v>0</v>
      </c>
      <c r="P187" s="242">
        <v>0</v>
      </c>
      <c r="Q187" s="103">
        <v>0</v>
      </c>
      <c r="R187" s="124"/>
      <c r="S187" s="111"/>
      <c r="T187" s="113"/>
      <c r="U187" s="111"/>
      <c r="V187" s="110"/>
      <c r="W187" s="110"/>
      <c r="X187" s="110"/>
      <c r="Y187" s="110"/>
      <c r="Z187" s="110"/>
      <c r="AA187" s="110"/>
      <c r="AB187" s="110"/>
      <c r="AC187" s="111"/>
      <c r="AD187" s="247"/>
      <c r="AE187" s="12"/>
      <c r="AF187" s="12"/>
    </row>
    <row r="188" spans="1:32">
      <c r="A188" s="101">
        <v>160</v>
      </c>
      <c r="B188" s="108" t="s">
        <v>33</v>
      </c>
      <c r="C188" s="103" t="s">
        <v>479</v>
      </c>
      <c r="D188" s="103" t="s">
        <v>818</v>
      </c>
      <c r="E188" s="103" t="s">
        <v>823</v>
      </c>
      <c r="F188" s="103" t="s">
        <v>824</v>
      </c>
      <c r="G188" s="103">
        <v>513</v>
      </c>
      <c r="H188" s="103">
        <v>253</v>
      </c>
      <c r="I188" s="103">
        <v>1250</v>
      </c>
      <c r="J188" s="103">
        <v>680</v>
      </c>
      <c r="K188" s="103">
        <v>570</v>
      </c>
      <c r="L188" s="103">
        <v>155</v>
      </c>
      <c r="M188" s="105">
        <f t="shared" si="4"/>
        <v>12.4</v>
      </c>
      <c r="N188" s="103">
        <v>424</v>
      </c>
      <c r="O188" s="106">
        <f t="shared" si="5"/>
        <v>33.92</v>
      </c>
      <c r="P188" s="242">
        <v>53</v>
      </c>
      <c r="Q188" s="103">
        <v>294</v>
      </c>
      <c r="R188" s="100" t="s">
        <v>39</v>
      </c>
      <c r="S188" s="126">
        <v>45917</v>
      </c>
      <c r="T188" s="113"/>
      <c r="U188" s="76">
        <v>55.975999999999999</v>
      </c>
      <c r="V188" s="54" t="s">
        <v>483</v>
      </c>
      <c r="W188" s="110"/>
      <c r="X188" s="110"/>
      <c r="Y188" s="110"/>
      <c r="Z188" s="110"/>
      <c r="AA188" s="110"/>
      <c r="AB188" s="100" t="s">
        <v>39</v>
      </c>
      <c r="AC188" s="76">
        <v>6</v>
      </c>
      <c r="AD188" s="247" t="s">
        <v>484</v>
      </c>
      <c r="AE188" s="12"/>
      <c r="AF188" s="12"/>
    </row>
    <row r="189" spans="1:32">
      <c r="A189" s="101">
        <v>161</v>
      </c>
      <c r="B189" s="108" t="s">
        <v>33</v>
      </c>
      <c r="C189" s="103" t="s">
        <v>479</v>
      </c>
      <c r="D189" s="103" t="s">
        <v>818</v>
      </c>
      <c r="E189" s="103" t="s">
        <v>825</v>
      </c>
      <c r="F189" s="103" t="s">
        <v>826</v>
      </c>
      <c r="G189" s="103">
        <v>551</v>
      </c>
      <c r="H189" s="103">
        <v>31</v>
      </c>
      <c r="I189" s="103">
        <v>143</v>
      </c>
      <c r="J189" s="103">
        <v>69</v>
      </c>
      <c r="K189" s="103">
        <v>74</v>
      </c>
      <c r="L189" s="103">
        <v>13</v>
      </c>
      <c r="M189" s="105">
        <f t="shared" si="4"/>
        <v>9.0909090909090917</v>
      </c>
      <c r="N189" s="103">
        <v>3</v>
      </c>
      <c r="O189" s="106">
        <f t="shared" si="5"/>
        <v>2.0979020979020979</v>
      </c>
      <c r="P189" s="242">
        <v>21</v>
      </c>
      <c r="Q189" s="103">
        <v>0</v>
      </c>
      <c r="R189" s="100" t="s">
        <v>39</v>
      </c>
      <c r="S189" s="126">
        <v>45917</v>
      </c>
      <c r="T189" s="113"/>
      <c r="U189" s="76">
        <v>22.014399999999998</v>
      </c>
      <c r="V189" s="54" t="s">
        <v>483</v>
      </c>
      <c r="W189" s="110"/>
      <c r="X189" s="110"/>
      <c r="Y189" s="110"/>
      <c r="Z189" s="110"/>
      <c r="AA189" s="110"/>
      <c r="AB189" s="110"/>
      <c r="AC189" s="76"/>
      <c r="AD189" s="247"/>
      <c r="AE189" s="12"/>
      <c r="AF189" s="12"/>
    </row>
    <row r="190" spans="1:32">
      <c r="A190" s="101">
        <v>162</v>
      </c>
      <c r="B190" s="108" t="s">
        <v>33</v>
      </c>
      <c r="C190" s="103" t="s">
        <v>479</v>
      </c>
      <c r="D190" s="103" t="s">
        <v>827</v>
      </c>
      <c r="E190" s="104" t="s">
        <v>828</v>
      </c>
      <c r="F190" s="103" t="s">
        <v>829</v>
      </c>
      <c r="G190" s="103">
        <v>1080</v>
      </c>
      <c r="H190" s="103">
        <v>1087</v>
      </c>
      <c r="I190" s="103">
        <v>5214</v>
      </c>
      <c r="J190" s="103">
        <v>2686</v>
      </c>
      <c r="K190" s="103">
        <v>2528</v>
      </c>
      <c r="L190" s="103">
        <v>1004</v>
      </c>
      <c r="M190" s="105">
        <f t="shared" si="4"/>
        <v>19.255849635596469</v>
      </c>
      <c r="N190" s="103">
        <v>118</v>
      </c>
      <c r="O190" s="106">
        <f t="shared" si="5"/>
        <v>2.263137706175681</v>
      </c>
      <c r="P190" s="242">
        <v>70</v>
      </c>
      <c r="Q190" s="103">
        <v>63</v>
      </c>
      <c r="R190" s="100" t="s">
        <v>39</v>
      </c>
      <c r="S190" s="126">
        <v>45908</v>
      </c>
      <c r="T190" s="113"/>
      <c r="U190" s="76">
        <v>67.493300000000005</v>
      </c>
      <c r="V190" s="54" t="s">
        <v>483</v>
      </c>
      <c r="W190" s="110"/>
      <c r="X190" s="110"/>
      <c r="Y190" s="110"/>
      <c r="Z190" s="110"/>
      <c r="AA190" s="110"/>
      <c r="AB190" s="100" t="s">
        <v>39</v>
      </c>
      <c r="AC190" s="76">
        <v>12</v>
      </c>
      <c r="AD190" s="247" t="s">
        <v>484</v>
      </c>
      <c r="AE190" s="12"/>
      <c r="AF190" s="12"/>
    </row>
    <row r="191" spans="1:32">
      <c r="A191" s="101">
        <v>163</v>
      </c>
      <c r="B191" s="108" t="s">
        <v>33</v>
      </c>
      <c r="C191" s="103" t="s">
        <v>479</v>
      </c>
      <c r="D191" s="103" t="s">
        <v>830</v>
      </c>
      <c r="E191" s="104" t="s">
        <v>831</v>
      </c>
      <c r="F191" s="103" t="s">
        <v>832</v>
      </c>
      <c r="G191" s="103">
        <v>620</v>
      </c>
      <c r="H191" s="103">
        <v>241</v>
      </c>
      <c r="I191" s="103">
        <v>1389</v>
      </c>
      <c r="J191" s="103">
        <v>736</v>
      </c>
      <c r="K191" s="103">
        <v>653</v>
      </c>
      <c r="L191" s="103">
        <v>171</v>
      </c>
      <c r="M191" s="105">
        <f t="shared" si="4"/>
        <v>12.311015118790497</v>
      </c>
      <c r="N191" s="103">
        <v>6</v>
      </c>
      <c r="O191" s="106">
        <f t="shared" si="5"/>
        <v>0.43196544276457888</v>
      </c>
      <c r="P191" s="242">
        <v>32</v>
      </c>
      <c r="Q191" s="103">
        <v>210</v>
      </c>
      <c r="R191" s="100" t="s">
        <v>39</v>
      </c>
      <c r="S191" s="122">
        <v>45783</v>
      </c>
      <c r="T191" s="113"/>
      <c r="U191" s="79">
        <v>39.880000000000003</v>
      </c>
      <c r="V191" s="54" t="s">
        <v>483</v>
      </c>
      <c r="W191" s="110"/>
      <c r="X191" s="110"/>
      <c r="Y191" s="110"/>
      <c r="Z191" s="110"/>
      <c r="AA191" s="110"/>
      <c r="AB191" s="100" t="s">
        <v>39</v>
      </c>
      <c r="AC191" s="79">
        <v>6</v>
      </c>
      <c r="AD191" s="247" t="s">
        <v>484</v>
      </c>
      <c r="AE191" s="12"/>
      <c r="AF191" s="12"/>
    </row>
    <row r="192" spans="1:32">
      <c r="A192" s="101">
        <v>164</v>
      </c>
      <c r="B192" s="108" t="s">
        <v>33</v>
      </c>
      <c r="C192" s="103" t="s">
        <v>479</v>
      </c>
      <c r="D192" s="103" t="s">
        <v>830</v>
      </c>
      <c r="E192" s="103" t="s">
        <v>833</v>
      </c>
      <c r="F192" s="103" t="s">
        <v>834</v>
      </c>
      <c r="G192" s="103">
        <v>500</v>
      </c>
      <c r="H192" s="103">
        <v>122</v>
      </c>
      <c r="I192" s="103">
        <v>629</v>
      </c>
      <c r="J192" s="103">
        <v>339</v>
      </c>
      <c r="K192" s="103">
        <v>290</v>
      </c>
      <c r="L192" s="103">
        <v>161</v>
      </c>
      <c r="M192" s="105">
        <f t="shared" si="4"/>
        <v>25.596184419713829</v>
      </c>
      <c r="N192" s="103">
        <v>239</v>
      </c>
      <c r="O192" s="106">
        <f t="shared" si="5"/>
        <v>37.996820349761528</v>
      </c>
      <c r="P192" s="242">
        <v>27</v>
      </c>
      <c r="Q192" s="103">
        <v>202</v>
      </c>
      <c r="R192" s="100" t="s">
        <v>39</v>
      </c>
      <c r="S192" s="122">
        <v>45783</v>
      </c>
      <c r="T192" s="113"/>
      <c r="U192" s="79">
        <v>26.44</v>
      </c>
      <c r="V192" s="54" t="s">
        <v>483</v>
      </c>
      <c r="W192" s="110"/>
      <c r="X192" s="110"/>
      <c r="Y192" s="110"/>
      <c r="Z192" s="110"/>
      <c r="AA192" s="110"/>
      <c r="AB192" s="110"/>
      <c r="AC192" s="79"/>
      <c r="AD192" s="247"/>
      <c r="AE192" s="12"/>
      <c r="AF192" s="12"/>
    </row>
    <row r="193" spans="1:32">
      <c r="A193" s="101">
        <v>165</v>
      </c>
      <c r="B193" s="108" t="s">
        <v>33</v>
      </c>
      <c r="C193" s="103" t="s">
        <v>479</v>
      </c>
      <c r="D193" s="103" t="s">
        <v>830</v>
      </c>
      <c r="E193" s="103" t="s">
        <v>835</v>
      </c>
      <c r="F193" s="103" t="s">
        <v>836</v>
      </c>
      <c r="G193" s="103">
        <v>220</v>
      </c>
      <c r="H193" s="103">
        <v>132</v>
      </c>
      <c r="I193" s="103">
        <v>634</v>
      </c>
      <c r="J193" s="103">
        <v>311</v>
      </c>
      <c r="K193" s="103">
        <v>323</v>
      </c>
      <c r="L193" s="103">
        <v>18</v>
      </c>
      <c r="M193" s="105">
        <f t="shared" si="4"/>
        <v>2.8391167192429023</v>
      </c>
      <c r="N193" s="103">
        <v>225</v>
      </c>
      <c r="O193" s="106">
        <f t="shared" si="5"/>
        <v>35.488958990536275</v>
      </c>
      <c r="P193" s="242">
        <v>0</v>
      </c>
      <c r="Q193" s="103">
        <v>296</v>
      </c>
      <c r="R193" s="100" t="s">
        <v>39</v>
      </c>
      <c r="S193" s="122" t="s">
        <v>37</v>
      </c>
      <c r="T193" s="113"/>
      <c r="U193" s="79"/>
      <c r="V193" s="54" t="s">
        <v>483</v>
      </c>
      <c r="W193" s="110"/>
      <c r="X193" s="110"/>
      <c r="Y193" s="110"/>
      <c r="Z193" s="110"/>
      <c r="AA193" s="110"/>
      <c r="AB193" s="110"/>
      <c r="AC193" s="79"/>
      <c r="AD193" s="247"/>
      <c r="AE193" s="12"/>
      <c r="AF193" s="12"/>
    </row>
    <row r="194" spans="1:32">
      <c r="A194" s="101">
        <v>166</v>
      </c>
      <c r="B194" s="108" t="s">
        <v>33</v>
      </c>
      <c r="C194" s="103" t="s">
        <v>479</v>
      </c>
      <c r="D194" s="103" t="s">
        <v>830</v>
      </c>
      <c r="E194" s="103" t="s">
        <v>837</v>
      </c>
      <c r="F194" s="103" t="s">
        <v>838</v>
      </c>
      <c r="G194" s="103">
        <v>649</v>
      </c>
      <c r="H194" s="103">
        <v>26</v>
      </c>
      <c r="I194" s="103">
        <v>127</v>
      </c>
      <c r="J194" s="103">
        <v>61</v>
      </c>
      <c r="K194" s="103">
        <v>66</v>
      </c>
      <c r="L194" s="103">
        <v>0</v>
      </c>
      <c r="M194" s="105">
        <f t="shared" si="4"/>
        <v>0</v>
      </c>
      <c r="N194" s="103">
        <v>0</v>
      </c>
      <c r="O194" s="106">
        <f t="shared" si="5"/>
        <v>0</v>
      </c>
      <c r="P194" s="242">
        <v>0</v>
      </c>
      <c r="Q194" s="103">
        <v>271</v>
      </c>
      <c r="R194" s="100" t="s">
        <v>39</v>
      </c>
      <c r="S194" s="111" t="s">
        <v>37</v>
      </c>
      <c r="T194" s="113"/>
      <c r="U194" s="111"/>
      <c r="V194" s="54" t="s">
        <v>483</v>
      </c>
      <c r="W194" s="110"/>
      <c r="X194" s="110"/>
      <c r="Y194" s="110"/>
      <c r="Z194" s="110"/>
      <c r="AA194" s="110"/>
      <c r="AB194" s="110"/>
      <c r="AC194" s="111"/>
      <c r="AD194" s="247"/>
      <c r="AE194" s="12"/>
      <c r="AF194" s="12"/>
    </row>
    <row r="195" spans="1:32">
      <c r="A195" s="101">
        <v>167</v>
      </c>
      <c r="B195" s="108" t="s">
        <v>33</v>
      </c>
      <c r="C195" s="103" t="s">
        <v>479</v>
      </c>
      <c r="D195" s="103" t="s">
        <v>830</v>
      </c>
      <c r="E195" s="103" t="s">
        <v>839</v>
      </c>
      <c r="F195" s="103" t="s">
        <v>840</v>
      </c>
      <c r="G195" s="103">
        <v>66</v>
      </c>
      <c r="H195" s="103">
        <v>46</v>
      </c>
      <c r="I195" s="103">
        <v>205</v>
      </c>
      <c r="J195" s="103">
        <v>103</v>
      </c>
      <c r="K195" s="103">
        <v>102</v>
      </c>
      <c r="L195" s="103">
        <v>0</v>
      </c>
      <c r="M195" s="105">
        <f t="shared" si="4"/>
        <v>0</v>
      </c>
      <c r="N195" s="103">
        <v>0</v>
      </c>
      <c r="O195" s="106">
        <f t="shared" si="5"/>
        <v>0</v>
      </c>
      <c r="P195" s="242">
        <v>16</v>
      </c>
      <c r="Q195" s="103">
        <v>119</v>
      </c>
      <c r="R195" s="124"/>
      <c r="S195" s="111"/>
      <c r="T195" s="113"/>
      <c r="U195" s="111"/>
      <c r="V195" s="110"/>
      <c r="W195" s="110"/>
      <c r="X195" s="110"/>
      <c r="Y195" s="110"/>
      <c r="Z195" s="110"/>
      <c r="AA195" s="110"/>
      <c r="AB195" s="110"/>
      <c r="AC195" s="111"/>
      <c r="AD195" s="247"/>
      <c r="AE195" s="12"/>
      <c r="AF195" s="12"/>
    </row>
    <row r="196" spans="1:32">
      <c r="A196" s="101">
        <v>168</v>
      </c>
      <c r="B196" s="108" t="s">
        <v>33</v>
      </c>
      <c r="C196" s="103" t="s">
        <v>479</v>
      </c>
      <c r="D196" s="103" t="s">
        <v>830</v>
      </c>
      <c r="E196" s="103" t="s">
        <v>841</v>
      </c>
      <c r="F196" s="103" t="s">
        <v>842</v>
      </c>
      <c r="G196" s="103">
        <v>416</v>
      </c>
      <c r="H196" s="103">
        <v>139</v>
      </c>
      <c r="I196" s="103">
        <v>770</v>
      </c>
      <c r="J196" s="103">
        <v>394</v>
      </c>
      <c r="K196" s="103">
        <v>376</v>
      </c>
      <c r="L196" s="103">
        <v>200</v>
      </c>
      <c r="M196" s="105">
        <f t="shared" si="4"/>
        <v>25.97402597402597</v>
      </c>
      <c r="N196" s="103">
        <v>0</v>
      </c>
      <c r="O196" s="106">
        <f t="shared" si="5"/>
        <v>0</v>
      </c>
      <c r="P196" s="242">
        <v>57</v>
      </c>
      <c r="Q196" s="103">
        <v>590</v>
      </c>
      <c r="R196" s="100" t="s">
        <v>39</v>
      </c>
      <c r="S196" s="122">
        <v>45783</v>
      </c>
      <c r="T196" s="113"/>
      <c r="U196" s="79">
        <v>71.73</v>
      </c>
      <c r="V196" s="54" t="s">
        <v>483</v>
      </c>
      <c r="W196" s="110"/>
      <c r="X196" s="110"/>
      <c r="Y196" s="110"/>
      <c r="Z196" s="110"/>
      <c r="AA196" s="110"/>
      <c r="AB196" s="100" t="s">
        <v>39</v>
      </c>
      <c r="AC196" s="79">
        <v>6</v>
      </c>
      <c r="AD196" s="247" t="s">
        <v>484</v>
      </c>
      <c r="AE196" s="12"/>
      <c r="AF196" s="12"/>
    </row>
    <row r="197" spans="1:32">
      <c r="A197" s="101" t="s">
        <v>51</v>
      </c>
      <c r="B197" s="108" t="s">
        <v>33</v>
      </c>
      <c r="C197" s="103" t="s">
        <v>479</v>
      </c>
      <c r="D197" s="103" t="s">
        <v>830</v>
      </c>
      <c r="E197" s="103" t="s">
        <v>841</v>
      </c>
      <c r="F197" s="103"/>
      <c r="G197" s="103"/>
      <c r="H197" s="103"/>
      <c r="I197" s="103"/>
      <c r="J197" s="103"/>
      <c r="K197" s="103"/>
      <c r="L197" s="103"/>
      <c r="M197" s="105"/>
      <c r="N197" s="103"/>
      <c r="O197" s="106"/>
      <c r="P197" s="242"/>
      <c r="Q197" s="103"/>
      <c r="R197" s="100"/>
      <c r="S197" s="122"/>
      <c r="T197" s="113"/>
      <c r="U197" s="79"/>
      <c r="V197" s="54"/>
      <c r="W197" s="110"/>
      <c r="X197" s="110"/>
      <c r="Y197" s="110"/>
      <c r="Z197" s="110"/>
      <c r="AA197" s="110"/>
      <c r="AB197" s="100" t="s">
        <v>39</v>
      </c>
      <c r="AC197" s="79">
        <v>8</v>
      </c>
      <c r="AD197" s="247"/>
      <c r="AE197" s="12"/>
      <c r="AF197" s="12"/>
    </row>
    <row r="198" spans="1:32">
      <c r="A198" s="101" t="s">
        <v>51</v>
      </c>
      <c r="B198" s="108" t="s">
        <v>33</v>
      </c>
      <c r="C198" s="103" t="s">
        <v>479</v>
      </c>
      <c r="D198" s="103" t="s">
        <v>830</v>
      </c>
      <c r="E198" s="103" t="s">
        <v>841</v>
      </c>
      <c r="F198" s="103"/>
      <c r="G198" s="103"/>
      <c r="H198" s="103"/>
      <c r="I198" s="103"/>
      <c r="J198" s="103"/>
      <c r="K198" s="103"/>
      <c r="L198" s="103"/>
      <c r="M198" s="105"/>
      <c r="N198" s="103"/>
      <c r="O198" s="106"/>
      <c r="P198" s="242"/>
      <c r="Q198" s="103"/>
      <c r="R198" s="100"/>
      <c r="S198" s="122"/>
      <c r="T198" s="113"/>
      <c r="U198" s="79"/>
      <c r="V198" s="54"/>
      <c r="W198" s="110"/>
      <c r="X198" s="110"/>
      <c r="Y198" s="110"/>
      <c r="Z198" s="110"/>
      <c r="AA198" s="110"/>
      <c r="AB198" s="100" t="s">
        <v>39</v>
      </c>
      <c r="AC198" s="79">
        <v>9</v>
      </c>
      <c r="AD198" s="247"/>
      <c r="AE198" s="12"/>
      <c r="AF198" s="12"/>
    </row>
    <row r="199" spans="1:32">
      <c r="A199" s="101">
        <v>169</v>
      </c>
      <c r="B199" s="108" t="s">
        <v>33</v>
      </c>
      <c r="C199" s="103" t="s">
        <v>479</v>
      </c>
      <c r="D199" s="103" t="s">
        <v>830</v>
      </c>
      <c r="E199" s="103" t="s">
        <v>843</v>
      </c>
      <c r="F199" s="103" t="s">
        <v>844</v>
      </c>
      <c r="G199" s="103">
        <v>79</v>
      </c>
      <c r="H199" s="103">
        <v>0</v>
      </c>
      <c r="I199" s="103">
        <v>0</v>
      </c>
      <c r="J199" s="103">
        <v>0</v>
      </c>
      <c r="K199" s="103">
        <v>0</v>
      </c>
      <c r="L199" s="103">
        <v>0</v>
      </c>
      <c r="M199" s="105" t="e">
        <f t="shared" si="4"/>
        <v>#DIV/0!</v>
      </c>
      <c r="N199" s="103">
        <v>0</v>
      </c>
      <c r="O199" s="106" t="e">
        <f t="shared" si="5"/>
        <v>#DIV/0!</v>
      </c>
      <c r="P199" s="242">
        <v>0</v>
      </c>
      <c r="Q199" s="103">
        <v>26</v>
      </c>
      <c r="R199" s="100" t="s">
        <v>39</v>
      </c>
      <c r="S199" s="111" t="s">
        <v>37</v>
      </c>
      <c r="T199" s="113"/>
      <c r="U199" s="111"/>
      <c r="V199" s="54" t="s">
        <v>483</v>
      </c>
      <c r="W199" s="110"/>
      <c r="X199" s="110"/>
      <c r="Y199" s="110"/>
      <c r="Z199" s="110"/>
      <c r="AA199" s="110"/>
      <c r="AB199" s="110"/>
      <c r="AC199" s="111"/>
      <c r="AD199" s="247"/>
      <c r="AE199" s="12"/>
      <c r="AF199" s="12"/>
    </row>
    <row r="200" spans="1:32">
      <c r="A200" s="101">
        <v>170</v>
      </c>
      <c r="B200" s="108" t="s">
        <v>33</v>
      </c>
      <c r="C200" s="103" t="s">
        <v>479</v>
      </c>
      <c r="D200" s="103" t="s">
        <v>830</v>
      </c>
      <c r="E200" s="103" t="s">
        <v>845</v>
      </c>
      <c r="F200" s="103" t="s">
        <v>846</v>
      </c>
      <c r="G200" s="103">
        <v>280</v>
      </c>
      <c r="H200" s="103">
        <v>63</v>
      </c>
      <c r="I200" s="103">
        <v>302</v>
      </c>
      <c r="J200" s="103">
        <v>153</v>
      </c>
      <c r="K200" s="103">
        <v>149</v>
      </c>
      <c r="L200" s="103">
        <v>0</v>
      </c>
      <c r="M200" s="105">
        <f t="shared" si="4"/>
        <v>0</v>
      </c>
      <c r="N200" s="103">
        <v>0</v>
      </c>
      <c r="O200" s="106">
        <f t="shared" si="5"/>
        <v>0</v>
      </c>
      <c r="P200" s="242">
        <v>38</v>
      </c>
      <c r="Q200" s="103">
        <v>28</v>
      </c>
      <c r="R200" s="100" t="s">
        <v>39</v>
      </c>
      <c r="S200" s="122">
        <v>45783</v>
      </c>
      <c r="T200" s="113"/>
      <c r="U200" s="79">
        <v>50.45</v>
      </c>
      <c r="V200" s="54" t="s">
        <v>483</v>
      </c>
      <c r="W200" s="110"/>
      <c r="X200" s="110"/>
      <c r="Y200" s="110"/>
      <c r="Z200" s="110"/>
      <c r="AA200" s="110"/>
      <c r="AB200" s="100" t="s">
        <v>39</v>
      </c>
      <c r="AC200" s="79">
        <v>2</v>
      </c>
      <c r="AD200" s="247" t="s">
        <v>484</v>
      </c>
      <c r="AE200" s="12"/>
      <c r="AF200" s="12"/>
    </row>
    <row r="201" spans="1:32">
      <c r="A201" s="101">
        <v>171</v>
      </c>
      <c r="B201" s="108" t="s">
        <v>33</v>
      </c>
      <c r="C201" s="103" t="s">
        <v>479</v>
      </c>
      <c r="D201" s="103" t="s">
        <v>847</v>
      </c>
      <c r="E201" s="104" t="s">
        <v>848</v>
      </c>
      <c r="F201" s="103" t="s">
        <v>849</v>
      </c>
      <c r="G201" s="103">
        <v>819.88</v>
      </c>
      <c r="H201" s="103">
        <v>555</v>
      </c>
      <c r="I201" s="103">
        <v>2372</v>
      </c>
      <c r="J201" s="103">
        <v>1229</v>
      </c>
      <c r="K201" s="103">
        <v>1143</v>
      </c>
      <c r="L201" s="103">
        <v>310</v>
      </c>
      <c r="M201" s="105">
        <f t="shared" si="4"/>
        <v>13.069139966273188</v>
      </c>
      <c r="N201" s="103">
        <v>546</v>
      </c>
      <c r="O201" s="106">
        <f t="shared" si="5"/>
        <v>23.018549747048901</v>
      </c>
      <c r="P201" s="242">
        <v>106.09</v>
      </c>
      <c r="Q201" s="103">
        <v>7</v>
      </c>
      <c r="R201" s="100" t="s">
        <v>39</v>
      </c>
      <c r="S201" s="111" t="s">
        <v>37</v>
      </c>
      <c r="T201" s="113"/>
      <c r="U201" s="79">
        <v>81.760000000000005</v>
      </c>
      <c r="V201" s="54" t="s">
        <v>483</v>
      </c>
      <c r="W201" s="110"/>
      <c r="X201" s="110"/>
      <c r="Y201" s="110"/>
      <c r="Z201" s="110"/>
      <c r="AA201" s="110"/>
      <c r="AB201" s="110"/>
      <c r="AC201" s="79">
        <v>25</v>
      </c>
      <c r="AD201" s="247"/>
      <c r="AE201" s="12"/>
      <c r="AF201" s="12"/>
    </row>
    <row r="202" spans="1:32">
      <c r="A202" s="101">
        <v>172</v>
      </c>
      <c r="B202" s="108" t="s">
        <v>33</v>
      </c>
      <c r="C202" s="103" t="s">
        <v>479</v>
      </c>
      <c r="D202" s="103" t="s">
        <v>847</v>
      </c>
      <c r="E202" s="103" t="s">
        <v>850</v>
      </c>
      <c r="F202" s="103" t="s">
        <v>851</v>
      </c>
      <c r="G202" s="103">
        <v>261</v>
      </c>
      <c r="H202" s="103">
        <v>160</v>
      </c>
      <c r="I202" s="103">
        <v>804</v>
      </c>
      <c r="J202" s="103">
        <v>426</v>
      </c>
      <c r="K202" s="103">
        <v>378</v>
      </c>
      <c r="L202" s="103">
        <v>1</v>
      </c>
      <c r="M202" s="105">
        <f t="shared" ref="M202:M218" si="6">L202/I202*100</f>
        <v>0.12437810945273632</v>
      </c>
      <c r="N202" s="103">
        <v>755</v>
      </c>
      <c r="O202" s="106">
        <f t="shared" ref="O202:O218" si="7">N202/I202*100</f>
        <v>93.905472636815929</v>
      </c>
      <c r="P202" s="242">
        <v>31</v>
      </c>
      <c r="Q202" s="103">
        <v>144</v>
      </c>
      <c r="R202" s="100" t="s">
        <v>39</v>
      </c>
      <c r="S202" s="111" t="s">
        <v>37</v>
      </c>
      <c r="T202" s="113"/>
      <c r="U202" s="79">
        <v>14.88</v>
      </c>
      <c r="V202" s="54" t="s">
        <v>483</v>
      </c>
      <c r="W202" s="110"/>
      <c r="X202" s="110"/>
      <c r="Y202" s="110"/>
      <c r="Z202" s="110"/>
      <c r="AA202" s="110"/>
      <c r="AB202" s="110"/>
      <c r="AC202" s="79"/>
      <c r="AD202" s="247"/>
      <c r="AE202" s="12"/>
      <c r="AF202" s="12"/>
    </row>
    <row r="203" spans="1:32">
      <c r="A203" s="101">
        <v>173</v>
      </c>
      <c r="B203" s="108" t="s">
        <v>33</v>
      </c>
      <c r="C203" s="103" t="s">
        <v>479</v>
      </c>
      <c r="D203" s="103" t="s">
        <v>847</v>
      </c>
      <c r="E203" s="103" t="s">
        <v>852</v>
      </c>
      <c r="F203" s="103" t="s">
        <v>853</v>
      </c>
      <c r="G203" s="103">
        <v>358.38</v>
      </c>
      <c r="H203" s="103">
        <v>66</v>
      </c>
      <c r="I203" s="103">
        <v>310</v>
      </c>
      <c r="J203" s="103">
        <v>156</v>
      </c>
      <c r="K203" s="103">
        <v>154</v>
      </c>
      <c r="L203" s="103">
        <v>0</v>
      </c>
      <c r="M203" s="105">
        <f t="shared" si="6"/>
        <v>0</v>
      </c>
      <c r="N203" s="103">
        <v>305</v>
      </c>
      <c r="O203" s="106">
        <f t="shared" si="7"/>
        <v>98.387096774193552</v>
      </c>
      <c r="P203" s="242">
        <v>18.03</v>
      </c>
      <c r="Q203" s="103">
        <v>361.63</v>
      </c>
      <c r="R203" s="100" t="s">
        <v>39</v>
      </c>
      <c r="S203" s="111" t="s">
        <v>37</v>
      </c>
      <c r="T203" s="113"/>
      <c r="U203" s="79">
        <v>18.239999999999998</v>
      </c>
      <c r="V203" s="54" t="s">
        <v>483</v>
      </c>
      <c r="W203" s="110"/>
      <c r="X203" s="110"/>
      <c r="Y203" s="110"/>
      <c r="Z203" s="110"/>
      <c r="AA203" s="110"/>
      <c r="AB203" s="110"/>
      <c r="AC203" s="79"/>
      <c r="AD203" s="247"/>
      <c r="AE203" s="12"/>
      <c r="AF203" s="12"/>
    </row>
    <row r="204" spans="1:32">
      <c r="A204" s="101">
        <v>174</v>
      </c>
      <c r="B204" s="108" t="s">
        <v>33</v>
      </c>
      <c r="C204" s="103" t="s">
        <v>479</v>
      </c>
      <c r="D204" s="103" t="s">
        <v>847</v>
      </c>
      <c r="E204" s="103" t="s">
        <v>854</v>
      </c>
      <c r="F204" s="103" t="s">
        <v>855</v>
      </c>
      <c r="G204" s="103">
        <v>376.75</v>
      </c>
      <c r="H204" s="103">
        <v>53</v>
      </c>
      <c r="I204" s="103">
        <v>223</v>
      </c>
      <c r="J204" s="103">
        <v>116</v>
      </c>
      <c r="K204" s="103">
        <v>107</v>
      </c>
      <c r="L204" s="103">
        <v>0</v>
      </c>
      <c r="M204" s="105">
        <f t="shared" si="6"/>
        <v>0</v>
      </c>
      <c r="N204" s="103">
        <v>0</v>
      </c>
      <c r="O204" s="106">
        <f t="shared" si="7"/>
        <v>0</v>
      </c>
      <c r="P204" s="242">
        <v>15.01</v>
      </c>
      <c r="Q204" s="103">
        <v>108</v>
      </c>
      <c r="R204" s="100" t="s">
        <v>39</v>
      </c>
      <c r="S204" s="111" t="s">
        <v>37</v>
      </c>
      <c r="T204" s="113"/>
      <c r="U204" s="79">
        <v>14.24</v>
      </c>
      <c r="V204" s="54" t="s">
        <v>483</v>
      </c>
      <c r="W204" s="110"/>
      <c r="X204" s="110"/>
      <c r="Y204" s="110"/>
      <c r="Z204" s="110"/>
      <c r="AA204" s="110"/>
      <c r="AB204" s="110"/>
      <c r="AC204" s="79"/>
      <c r="AD204" s="247"/>
      <c r="AE204" s="12"/>
      <c r="AF204" s="12"/>
    </row>
    <row r="205" spans="1:32">
      <c r="A205" s="101">
        <v>175</v>
      </c>
      <c r="B205" s="108" t="s">
        <v>33</v>
      </c>
      <c r="C205" s="103" t="s">
        <v>479</v>
      </c>
      <c r="D205" s="103" t="s">
        <v>847</v>
      </c>
      <c r="E205" s="103" t="s">
        <v>856</v>
      </c>
      <c r="F205" s="103" t="s">
        <v>857</v>
      </c>
      <c r="G205" s="103">
        <v>100.22</v>
      </c>
      <c r="H205" s="103">
        <v>93</v>
      </c>
      <c r="I205" s="103">
        <v>382</v>
      </c>
      <c r="J205" s="103">
        <v>193</v>
      </c>
      <c r="K205" s="103">
        <v>189</v>
      </c>
      <c r="L205" s="103">
        <v>3</v>
      </c>
      <c r="M205" s="105">
        <f t="shared" si="6"/>
        <v>0.78534031413612559</v>
      </c>
      <c r="N205" s="103">
        <v>367</v>
      </c>
      <c r="O205" s="106">
        <f t="shared" si="7"/>
        <v>96.073298429319379</v>
      </c>
      <c r="P205" s="242">
        <v>11.03</v>
      </c>
      <c r="Q205" s="103">
        <v>284.12</v>
      </c>
      <c r="R205" s="100" t="s">
        <v>39</v>
      </c>
      <c r="S205" s="111" t="s">
        <v>37</v>
      </c>
      <c r="T205" s="113"/>
      <c r="U205" s="79">
        <v>13.92</v>
      </c>
      <c r="V205" s="54" t="s">
        <v>483</v>
      </c>
      <c r="W205" s="110"/>
      <c r="X205" s="110"/>
      <c r="Y205" s="110"/>
      <c r="Z205" s="110"/>
      <c r="AA205" s="110"/>
      <c r="AB205" s="110"/>
      <c r="AC205" s="79"/>
      <c r="AD205" s="247"/>
      <c r="AE205" s="12"/>
      <c r="AF205" s="12"/>
    </row>
    <row r="206" spans="1:32">
      <c r="A206" s="101">
        <v>176</v>
      </c>
      <c r="B206" s="108" t="s">
        <v>33</v>
      </c>
      <c r="C206" s="103" t="s">
        <v>479</v>
      </c>
      <c r="D206" s="103" t="s">
        <v>847</v>
      </c>
      <c r="E206" s="103" t="s">
        <v>858</v>
      </c>
      <c r="F206" s="103" t="s">
        <v>859</v>
      </c>
      <c r="G206" s="103">
        <v>271.75</v>
      </c>
      <c r="H206" s="103">
        <v>112</v>
      </c>
      <c r="I206" s="103">
        <v>448</v>
      </c>
      <c r="J206" s="103">
        <v>237</v>
      </c>
      <c r="K206" s="103">
        <v>211</v>
      </c>
      <c r="L206" s="103">
        <v>0</v>
      </c>
      <c r="M206" s="105">
        <f t="shared" si="6"/>
        <v>0</v>
      </c>
      <c r="N206" s="103">
        <v>446</v>
      </c>
      <c r="O206" s="106">
        <f t="shared" si="7"/>
        <v>99.553571428571431</v>
      </c>
      <c r="P206" s="242">
        <v>22.04</v>
      </c>
      <c r="Q206" s="103">
        <v>312.02999999999997</v>
      </c>
      <c r="R206" s="100" t="s">
        <v>39</v>
      </c>
      <c r="S206" s="111" t="s">
        <v>37</v>
      </c>
      <c r="T206" s="113"/>
      <c r="U206" s="79">
        <v>17.12</v>
      </c>
      <c r="V206" s="54" t="s">
        <v>483</v>
      </c>
      <c r="W206" s="110"/>
      <c r="X206" s="110"/>
      <c r="Y206" s="110"/>
      <c r="Z206" s="110"/>
      <c r="AA206" s="110"/>
      <c r="AB206" s="110"/>
      <c r="AC206" s="79"/>
      <c r="AD206" s="247"/>
      <c r="AE206" s="12"/>
      <c r="AF206" s="12"/>
    </row>
    <row r="207" spans="1:32">
      <c r="A207" s="101">
        <v>177</v>
      </c>
      <c r="B207" s="108" t="s">
        <v>33</v>
      </c>
      <c r="C207" s="103" t="s">
        <v>479</v>
      </c>
      <c r="D207" s="103" t="s">
        <v>847</v>
      </c>
      <c r="E207" s="103" t="s">
        <v>860</v>
      </c>
      <c r="F207" s="103" t="s">
        <v>861</v>
      </c>
      <c r="G207" s="103">
        <v>119.2</v>
      </c>
      <c r="H207" s="103">
        <v>35</v>
      </c>
      <c r="I207" s="103">
        <v>172</v>
      </c>
      <c r="J207" s="103">
        <v>81</v>
      </c>
      <c r="K207" s="103">
        <v>91</v>
      </c>
      <c r="L207" s="103">
        <v>1</v>
      </c>
      <c r="M207" s="105">
        <f t="shared" si="6"/>
        <v>0.58139534883720934</v>
      </c>
      <c r="N207" s="103">
        <v>166</v>
      </c>
      <c r="O207" s="106">
        <f t="shared" si="7"/>
        <v>96.511627906976756</v>
      </c>
      <c r="P207" s="242">
        <v>12</v>
      </c>
      <c r="Q207" s="103">
        <v>21.08</v>
      </c>
      <c r="R207" s="100" t="s">
        <v>39</v>
      </c>
      <c r="S207" s="111" t="s">
        <v>37</v>
      </c>
      <c r="T207" s="113"/>
      <c r="U207" s="79">
        <v>5.92</v>
      </c>
      <c r="V207" s="54" t="s">
        <v>483</v>
      </c>
      <c r="W207" s="110"/>
      <c r="X207" s="110"/>
      <c r="Y207" s="110"/>
      <c r="Z207" s="110"/>
      <c r="AA207" s="110"/>
      <c r="AB207" s="110"/>
      <c r="AC207" s="79"/>
      <c r="AD207" s="247"/>
      <c r="AE207" s="12"/>
      <c r="AF207" s="12"/>
    </row>
    <row r="208" spans="1:32">
      <c r="A208" s="101">
        <v>178</v>
      </c>
      <c r="B208" s="108" t="s">
        <v>33</v>
      </c>
      <c r="C208" s="103" t="s">
        <v>479</v>
      </c>
      <c r="D208" s="103" t="s">
        <v>847</v>
      </c>
      <c r="E208" s="103" t="s">
        <v>862</v>
      </c>
      <c r="F208" s="103" t="s">
        <v>863</v>
      </c>
      <c r="G208" s="103">
        <v>340.22</v>
      </c>
      <c r="H208" s="103">
        <v>183</v>
      </c>
      <c r="I208" s="103">
        <v>759</v>
      </c>
      <c r="J208" s="103">
        <v>379</v>
      </c>
      <c r="K208" s="103">
        <v>380</v>
      </c>
      <c r="L208" s="103">
        <v>24</v>
      </c>
      <c r="M208" s="105">
        <f t="shared" si="6"/>
        <v>3.1620553359683794</v>
      </c>
      <c r="N208" s="103">
        <v>13</v>
      </c>
      <c r="O208" s="106">
        <f t="shared" si="7"/>
        <v>1.7127799736495388</v>
      </c>
      <c r="P208" s="242">
        <v>61.02</v>
      </c>
      <c r="Q208" s="103">
        <v>67.02</v>
      </c>
      <c r="R208" s="100" t="s">
        <v>39</v>
      </c>
      <c r="S208" s="111" t="s">
        <v>37</v>
      </c>
      <c r="T208" s="113"/>
      <c r="U208" s="111"/>
      <c r="V208" s="54" t="s">
        <v>483</v>
      </c>
      <c r="W208" s="110"/>
      <c r="X208" s="110"/>
      <c r="Y208" s="110"/>
      <c r="Z208" s="110"/>
      <c r="AA208" s="110"/>
      <c r="AB208" s="110"/>
      <c r="AC208" s="111"/>
      <c r="AD208" s="247"/>
      <c r="AE208" s="12"/>
      <c r="AF208" s="12"/>
    </row>
    <row r="209" spans="1:32">
      <c r="A209" s="101">
        <v>179</v>
      </c>
      <c r="B209" s="108" t="s">
        <v>33</v>
      </c>
      <c r="C209" s="103" t="s">
        <v>479</v>
      </c>
      <c r="D209" s="103" t="s">
        <v>847</v>
      </c>
      <c r="E209" s="103" t="s">
        <v>864</v>
      </c>
      <c r="F209" s="103" t="s">
        <v>865</v>
      </c>
      <c r="G209" s="103">
        <v>297.60000000000002</v>
      </c>
      <c r="H209" s="103">
        <v>102</v>
      </c>
      <c r="I209" s="103">
        <v>427</v>
      </c>
      <c r="J209" s="103">
        <v>220</v>
      </c>
      <c r="K209" s="103">
        <v>207</v>
      </c>
      <c r="L209" s="103">
        <v>30</v>
      </c>
      <c r="M209" s="105">
        <f t="shared" si="6"/>
        <v>7.0257611241217797</v>
      </c>
      <c r="N209" s="103">
        <v>396</v>
      </c>
      <c r="O209" s="106">
        <f t="shared" si="7"/>
        <v>92.740046838407494</v>
      </c>
      <c r="P209" s="242">
        <v>35</v>
      </c>
      <c r="Q209" s="103">
        <v>20.03</v>
      </c>
      <c r="R209" s="100" t="s">
        <v>39</v>
      </c>
      <c r="S209" s="111" t="s">
        <v>37</v>
      </c>
      <c r="T209" s="113"/>
      <c r="U209" s="79">
        <v>15.68</v>
      </c>
      <c r="V209" s="54" t="s">
        <v>483</v>
      </c>
      <c r="W209" s="110"/>
      <c r="X209" s="110"/>
      <c r="Y209" s="110"/>
      <c r="Z209" s="110"/>
      <c r="AA209" s="110"/>
      <c r="AB209" s="110"/>
      <c r="AC209" s="79"/>
      <c r="AD209" s="247"/>
      <c r="AE209" s="12"/>
      <c r="AF209" s="12"/>
    </row>
    <row r="210" spans="1:32">
      <c r="A210" s="101">
        <v>180</v>
      </c>
      <c r="B210" s="108" t="s">
        <v>33</v>
      </c>
      <c r="C210" s="103" t="s">
        <v>479</v>
      </c>
      <c r="D210" s="103" t="s">
        <v>847</v>
      </c>
      <c r="E210" s="103" t="s">
        <v>866</v>
      </c>
      <c r="F210" s="103" t="s">
        <v>867</v>
      </c>
      <c r="G210" s="103">
        <v>433.87</v>
      </c>
      <c r="H210" s="103">
        <v>178</v>
      </c>
      <c r="I210" s="103">
        <v>870</v>
      </c>
      <c r="J210" s="103">
        <v>441</v>
      </c>
      <c r="K210" s="103">
        <v>429</v>
      </c>
      <c r="L210" s="103">
        <v>107</v>
      </c>
      <c r="M210" s="105">
        <f t="shared" si="6"/>
        <v>12.298850574712644</v>
      </c>
      <c r="N210" s="103">
        <v>21</v>
      </c>
      <c r="O210" s="106">
        <f t="shared" si="7"/>
        <v>2.4137931034482758</v>
      </c>
      <c r="P210" s="242">
        <v>55.02</v>
      </c>
      <c r="Q210" s="103">
        <v>107.08</v>
      </c>
      <c r="R210" s="100" t="s">
        <v>39</v>
      </c>
      <c r="S210" s="79" t="s">
        <v>868</v>
      </c>
      <c r="T210" s="113"/>
      <c r="U210" s="79">
        <v>57.45</v>
      </c>
      <c r="V210" s="54" t="s">
        <v>483</v>
      </c>
      <c r="W210" s="110"/>
      <c r="X210" s="110"/>
      <c r="Y210" s="110"/>
      <c r="Z210" s="110"/>
      <c r="AA210" s="110"/>
      <c r="AB210" s="110"/>
      <c r="AC210" s="79"/>
      <c r="AD210" s="247"/>
      <c r="AE210" s="12"/>
      <c r="AF210" s="12"/>
    </row>
    <row r="211" spans="1:32">
      <c r="A211" s="101">
        <v>181</v>
      </c>
      <c r="B211" s="108" t="s">
        <v>33</v>
      </c>
      <c r="C211" s="103" t="s">
        <v>479</v>
      </c>
      <c r="D211" s="103" t="s">
        <v>869</v>
      </c>
      <c r="E211" s="104" t="s">
        <v>870</v>
      </c>
      <c r="F211" s="103" t="s">
        <v>871</v>
      </c>
      <c r="G211" s="103">
        <v>1035</v>
      </c>
      <c r="H211" s="103">
        <v>410</v>
      </c>
      <c r="I211" s="103">
        <v>2086</v>
      </c>
      <c r="J211" s="103">
        <v>1073</v>
      </c>
      <c r="K211" s="103">
        <v>1013</v>
      </c>
      <c r="L211" s="103">
        <v>521</v>
      </c>
      <c r="M211" s="105">
        <f t="shared" si="6"/>
        <v>24.976030680728666</v>
      </c>
      <c r="N211" s="103">
        <v>114</v>
      </c>
      <c r="O211" s="106">
        <f t="shared" si="7"/>
        <v>5.4650047938638542</v>
      </c>
      <c r="P211" s="242">
        <v>99</v>
      </c>
      <c r="Q211" s="103">
        <v>132.02000000000001</v>
      </c>
      <c r="R211" s="100" t="s">
        <v>39</v>
      </c>
      <c r="S211" s="122">
        <v>45332</v>
      </c>
      <c r="T211" s="113"/>
      <c r="U211" s="79">
        <v>97.75</v>
      </c>
      <c r="V211" s="54" t="s">
        <v>483</v>
      </c>
      <c r="W211" s="110"/>
      <c r="X211" s="110"/>
      <c r="Y211" s="110"/>
      <c r="Z211" s="110"/>
      <c r="AA211" s="110"/>
      <c r="AB211" s="100" t="s">
        <v>39</v>
      </c>
      <c r="AC211" s="79">
        <v>9</v>
      </c>
      <c r="AD211" s="247" t="s">
        <v>484</v>
      </c>
      <c r="AE211" s="12"/>
      <c r="AF211" s="12"/>
    </row>
    <row r="212" spans="1:32">
      <c r="A212" s="101" t="s">
        <v>51</v>
      </c>
      <c r="B212" s="108" t="s">
        <v>33</v>
      </c>
      <c r="C212" s="103" t="s">
        <v>479</v>
      </c>
      <c r="D212" s="103" t="s">
        <v>869</v>
      </c>
      <c r="E212" s="104" t="s">
        <v>870</v>
      </c>
      <c r="F212" s="103"/>
      <c r="G212" s="103"/>
      <c r="H212" s="103"/>
      <c r="I212" s="103"/>
      <c r="J212" s="103"/>
      <c r="K212" s="103"/>
      <c r="L212" s="103"/>
      <c r="M212" s="105"/>
      <c r="N212" s="103"/>
      <c r="O212" s="106"/>
      <c r="P212" s="242"/>
      <c r="Q212" s="103"/>
      <c r="R212" s="100"/>
      <c r="S212" s="122"/>
      <c r="T212" s="113"/>
      <c r="U212" s="79"/>
      <c r="V212" s="54"/>
      <c r="W212" s="110"/>
      <c r="X212" s="110"/>
      <c r="Y212" s="110"/>
      <c r="Z212" s="110"/>
      <c r="AA212" s="110"/>
      <c r="AB212" s="100" t="s">
        <v>39</v>
      </c>
      <c r="AC212" s="79">
        <v>9</v>
      </c>
      <c r="AD212" s="247"/>
      <c r="AE212" s="12"/>
      <c r="AF212" s="12"/>
    </row>
    <row r="213" spans="1:32">
      <c r="A213" s="101" t="s">
        <v>51</v>
      </c>
      <c r="B213" s="108" t="s">
        <v>33</v>
      </c>
      <c r="C213" s="103" t="s">
        <v>479</v>
      </c>
      <c r="D213" s="103" t="s">
        <v>869</v>
      </c>
      <c r="E213" s="104" t="s">
        <v>870</v>
      </c>
      <c r="F213" s="103"/>
      <c r="G213" s="103"/>
      <c r="H213" s="103"/>
      <c r="I213" s="103"/>
      <c r="J213" s="103"/>
      <c r="K213" s="103"/>
      <c r="L213" s="103"/>
      <c r="M213" s="105"/>
      <c r="N213" s="103"/>
      <c r="O213" s="106"/>
      <c r="P213" s="242"/>
      <c r="Q213" s="103"/>
      <c r="R213" s="100"/>
      <c r="S213" s="122"/>
      <c r="T213" s="113"/>
      <c r="U213" s="79"/>
      <c r="V213" s="54"/>
      <c r="W213" s="110"/>
      <c r="X213" s="110"/>
      <c r="Y213" s="110"/>
      <c r="Z213" s="110"/>
      <c r="AA213" s="110"/>
      <c r="AB213" s="100" t="s">
        <v>39</v>
      </c>
      <c r="AC213" s="79">
        <v>7</v>
      </c>
      <c r="AD213" s="247"/>
      <c r="AE213" s="12"/>
      <c r="AF213" s="12"/>
    </row>
    <row r="214" spans="1:32">
      <c r="A214" s="101">
        <v>182</v>
      </c>
      <c r="B214" s="108" t="s">
        <v>33</v>
      </c>
      <c r="C214" s="103" t="s">
        <v>479</v>
      </c>
      <c r="D214" s="103" t="s">
        <v>869</v>
      </c>
      <c r="E214" s="103" t="s">
        <v>872</v>
      </c>
      <c r="F214" s="103" t="s">
        <v>873</v>
      </c>
      <c r="G214" s="103">
        <v>191</v>
      </c>
      <c r="H214" s="103">
        <v>102</v>
      </c>
      <c r="I214" s="103">
        <v>547</v>
      </c>
      <c r="J214" s="103">
        <v>267</v>
      </c>
      <c r="K214" s="103">
        <v>280</v>
      </c>
      <c r="L214" s="103">
        <v>105</v>
      </c>
      <c r="M214" s="105">
        <f t="shared" si="6"/>
        <v>19.195612431444243</v>
      </c>
      <c r="N214" s="103">
        <v>250</v>
      </c>
      <c r="O214" s="106">
        <f t="shared" si="7"/>
        <v>45.703839122486286</v>
      </c>
      <c r="P214" s="242">
        <v>43</v>
      </c>
      <c r="Q214" s="103">
        <v>114.1</v>
      </c>
      <c r="R214" s="100" t="s">
        <v>39</v>
      </c>
      <c r="S214" s="111" t="s">
        <v>37</v>
      </c>
      <c r="T214" s="113"/>
      <c r="U214" s="79"/>
      <c r="V214" s="54" t="s">
        <v>483</v>
      </c>
      <c r="W214" s="110"/>
      <c r="X214" s="110"/>
      <c r="Y214" s="110"/>
      <c r="Z214" s="110"/>
      <c r="AA214" s="110"/>
      <c r="AB214" s="110"/>
      <c r="AC214" s="79">
        <v>8</v>
      </c>
      <c r="AD214" s="247"/>
      <c r="AE214" s="12"/>
      <c r="AF214" s="12"/>
    </row>
    <row r="215" spans="1:32">
      <c r="A215" s="101" t="s">
        <v>51</v>
      </c>
      <c r="B215" s="108" t="s">
        <v>33</v>
      </c>
      <c r="C215" s="103" t="s">
        <v>479</v>
      </c>
      <c r="D215" s="103" t="s">
        <v>869</v>
      </c>
      <c r="E215" s="103" t="s">
        <v>872</v>
      </c>
      <c r="F215" s="103"/>
      <c r="G215" s="103"/>
      <c r="H215" s="103"/>
      <c r="I215" s="103"/>
      <c r="J215" s="103"/>
      <c r="K215" s="103"/>
      <c r="L215" s="103"/>
      <c r="M215" s="105"/>
      <c r="N215" s="103"/>
      <c r="O215" s="106"/>
      <c r="P215" s="242"/>
      <c r="Q215" s="103"/>
      <c r="R215" s="100"/>
      <c r="S215" s="122"/>
      <c r="T215" s="113"/>
      <c r="U215" s="79"/>
      <c r="V215" s="54"/>
      <c r="W215" s="110"/>
      <c r="X215" s="110"/>
      <c r="Y215" s="110"/>
      <c r="Z215" s="110"/>
      <c r="AA215" s="110"/>
      <c r="AB215" s="100" t="s">
        <v>39</v>
      </c>
      <c r="AC215" s="79">
        <v>10</v>
      </c>
      <c r="AD215" s="247" t="s">
        <v>484</v>
      </c>
      <c r="AE215" s="12">
        <v>24.69</v>
      </c>
      <c r="AF215" s="12">
        <v>76.73</v>
      </c>
    </row>
    <row r="216" spans="1:32">
      <c r="A216" s="101" t="s">
        <v>51</v>
      </c>
      <c r="B216" s="108" t="s">
        <v>33</v>
      </c>
      <c r="C216" s="103" t="s">
        <v>479</v>
      </c>
      <c r="D216" s="103" t="s">
        <v>869</v>
      </c>
      <c r="E216" s="103" t="s">
        <v>872</v>
      </c>
      <c r="F216" s="103"/>
      <c r="G216" s="103"/>
      <c r="H216" s="103"/>
      <c r="I216" s="103"/>
      <c r="J216" s="103"/>
      <c r="K216" s="103"/>
      <c r="L216" s="103"/>
      <c r="M216" s="105"/>
      <c r="N216" s="103"/>
      <c r="O216" s="106"/>
      <c r="P216" s="242"/>
      <c r="Q216" s="103"/>
      <c r="R216" s="100"/>
      <c r="S216" s="122"/>
      <c r="T216" s="113"/>
      <c r="U216" s="79"/>
      <c r="V216" s="54"/>
      <c r="W216" s="110"/>
      <c r="X216" s="110"/>
      <c r="Y216" s="110"/>
      <c r="Z216" s="110"/>
      <c r="AA216" s="110"/>
      <c r="AB216" s="100" t="s">
        <v>39</v>
      </c>
      <c r="AC216" s="79">
        <v>14</v>
      </c>
      <c r="AD216" s="247" t="s">
        <v>484</v>
      </c>
      <c r="AE216" s="12">
        <v>24.4</v>
      </c>
      <c r="AF216" s="12">
        <v>76.61</v>
      </c>
    </row>
    <row r="217" spans="1:32">
      <c r="A217" s="101" t="s">
        <v>51</v>
      </c>
      <c r="B217" s="108" t="s">
        <v>33</v>
      </c>
      <c r="C217" s="103" t="s">
        <v>479</v>
      </c>
      <c r="D217" s="103" t="s">
        <v>869</v>
      </c>
      <c r="E217" s="103" t="s">
        <v>872</v>
      </c>
      <c r="F217" s="103"/>
      <c r="G217" s="103"/>
      <c r="H217" s="103"/>
      <c r="I217" s="103"/>
      <c r="J217" s="103"/>
      <c r="K217" s="103"/>
      <c r="L217" s="103"/>
      <c r="M217" s="105"/>
      <c r="N217" s="103"/>
      <c r="O217" s="106"/>
      <c r="P217" s="242"/>
      <c r="Q217" s="103"/>
      <c r="R217" s="100"/>
      <c r="S217" s="122"/>
      <c r="T217" s="113"/>
      <c r="U217" s="79"/>
      <c r="V217" s="54"/>
      <c r="W217" s="110"/>
      <c r="X217" s="110"/>
      <c r="Y217" s="110"/>
      <c r="Z217" s="110"/>
      <c r="AA217" s="110"/>
      <c r="AB217" s="100" t="s">
        <v>39</v>
      </c>
      <c r="AC217" s="79">
        <v>12</v>
      </c>
      <c r="AD217" s="247"/>
      <c r="AE217" s="12"/>
      <c r="AF217" s="12"/>
    </row>
    <row r="218" spans="1:32">
      <c r="A218" s="101">
        <v>183</v>
      </c>
      <c r="B218" s="108" t="s">
        <v>33</v>
      </c>
      <c r="C218" s="103" t="s">
        <v>479</v>
      </c>
      <c r="D218" s="103" t="s">
        <v>869</v>
      </c>
      <c r="E218" s="103" t="s">
        <v>874</v>
      </c>
      <c r="F218" s="103" t="s">
        <v>875</v>
      </c>
      <c r="G218" s="103">
        <v>527</v>
      </c>
      <c r="H218" s="103">
        <v>218</v>
      </c>
      <c r="I218" s="103">
        <v>1173</v>
      </c>
      <c r="J218" s="103">
        <v>597</v>
      </c>
      <c r="K218" s="103">
        <v>576</v>
      </c>
      <c r="L218" s="103">
        <v>265</v>
      </c>
      <c r="M218" s="105">
        <f t="shared" si="6"/>
        <v>22.591645353793691</v>
      </c>
      <c r="N218" s="103">
        <v>93</v>
      </c>
      <c r="O218" s="106">
        <f t="shared" si="7"/>
        <v>7.9283887468030692</v>
      </c>
      <c r="P218" s="242">
        <v>60</v>
      </c>
      <c r="Q218" s="103">
        <v>0</v>
      </c>
      <c r="R218" s="100" t="s">
        <v>39</v>
      </c>
      <c r="S218" s="122">
        <v>45332</v>
      </c>
      <c r="T218" s="113"/>
      <c r="U218" s="79">
        <v>62.78</v>
      </c>
      <c r="V218" s="54" t="s">
        <v>483</v>
      </c>
      <c r="W218" s="110"/>
      <c r="X218" s="110"/>
      <c r="Y218" s="110"/>
      <c r="Z218" s="110"/>
      <c r="AA218" s="110"/>
      <c r="AB218" s="100" t="s">
        <v>39</v>
      </c>
      <c r="AC218" s="79">
        <v>9</v>
      </c>
      <c r="AD218" s="247" t="s">
        <v>484</v>
      </c>
      <c r="AE218" s="12"/>
      <c r="AF218" s="12"/>
    </row>
    <row r="219" spans="1:32">
      <c r="A219" s="110" t="s">
        <v>51</v>
      </c>
      <c r="B219" s="108" t="s">
        <v>33</v>
      </c>
      <c r="C219" s="103" t="s">
        <v>479</v>
      </c>
      <c r="D219" s="103" t="s">
        <v>869</v>
      </c>
      <c r="E219" s="103" t="s">
        <v>874</v>
      </c>
      <c r="F219" s="125"/>
      <c r="G219" s="110"/>
      <c r="H219" s="110"/>
      <c r="I219" s="110"/>
      <c r="J219" s="110"/>
      <c r="K219" s="110"/>
      <c r="L219" s="110"/>
      <c r="M219" s="105"/>
      <c r="N219" s="110"/>
      <c r="O219" s="106"/>
      <c r="P219" s="124"/>
      <c r="Q219" s="124"/>
      <c r="R219" s="124"/>
      <c r="S219" s="113"/>
      <c r="T219" s="113"/>
      <c r="U219" s="101"/>
      <c r="V219" s="110"/>
      <c r="W219" s="110"/>
      <c r="X219" s="110"/>
      <c r="Y219" s="110"/>
      <c r="Z219" s="110"/>
      <c r="AA219" s="110"/>
      <c r="AB219" s="100" t="s">
        <v>39</v>
      </c>
      <c r="AC219" s="110">
        <v>11</v>
      </c>
      <c r="AD219" s="247" t="s">
        <v>484</v>
      </c>
      <c r="AE219" s="12">
        <v>24.659500000000001</v>
      </c>
      <c r="AF219" s="12">
        <v>76.452299999999994</v>
      </c>
    </row>
    <row r="220" spans="1:32">
      <c r="A220" s="110" t="s">
        <v>51</v>
      </c>
      <c r="B220" s="108" t="s">
        <v>33</v>
      </c>
      <c r="C220" s="103" t="s">
        <v>479</v>
      </c>
      <c r="D220" s="103" t="s">
        <v>869</v>
      </c>
      <c r="E220" s="103" t="s">
        <v>874</v>
      </c>
      <c r="F220" s="110"/>
      <c r="G220" s="110"/>
      <c r="H220" s="110"/>
      <c r="I220" s="110"/>
      <c r="J220" s="110"/>
      <c r="K220" s="110"/>
      <c r="L220" s="110"/>
      <c r="M220" s="105"/>
      <c r="N220" s="110"/>
      <c r="O220" s="106"/>
      <c r="P220" s="243"/>
      <c r="Q220" s="103">
        <v>0</v>
      </c>
      <c r="R220" s="124"/>
      <c r="S220" s="113"/>
      <c r="T220" s="113"/>
      <c r="U220" s="101"/>
      <c r="V220" s="110"/>
      <c r="W220" s="110"/>
      <c r="X220" s="110"/>
      <c r="Y220" s="110"/>
      <c r="Z220" s="110"/>
      <c r="AA220" s="110"/>
      <c r="AB220" s="100" t="s">
        <v>39</v>
      </c>
      <c r="AC220" s="110">
        <v>6</v>
      </c>
      <c r="AD220" s="247" t="s">
        <v>484</v>
      </c>
      <c r="AE220" s="12">
        <v>24.632200000000001</v>
      </c>
      <c r="AF220" s="12">
        <v>76.145600000000002</v>
      </c>
    </row>
    <row r="221" spans="1:32">
      <c r="A221" s="110"/>
      <c r="B221" s="108"/>
      <c r="C221" s="110"/>
      <c r="D221" s="110"/>
      <c r="E221" s="110"/>
      <c r="F221" s="110"/>
      <c r="G221" s="103">
        <f t="shared" ref="G221:L221" si="8">SUM(G4:G218)</f>
        <v>82388.620000000024</v>
      </c>
      <c r="H221" s="103">
        <f t="shared" si="8"/>
        <v>31731</v>
      </c>
      <c r="I221" s="103">
        <f t="shared" si="8"/>
        <v>152049</v>
      </c>
      <c r="J221" s="103">
        <f t="shared" si="8"/>
        <v>78573</v>
      </c>
      <c r="K221" s="103">
        <f t="shared" si="8"/>
        <v>73476</v>
      </c>
      <c r="L221" s="103">
        <f t="shared" si="8"/>
        <v>20557</v>
      </c>
      <c r="M221" s="110"/>
      <c r="N221" s="103">
        <f>SUM(N4:N218)</f>
        <v>42466</v>
      </c>
      <c r="O221" s="110"/>
      <c r="P221" s="242">
        <f>SUM(P4:P218)</f>
        <v>5969.8200000000006</v>
      </c>
      <c r="Q221" s="103">
        <v>0</v>
      </c>
      <c r="R221" s="124"/>
      <c r="S221" s="113"/>
      <c r="T221" s="113"/>
      <c r="U221" s="101"/>
      <c r="V221" s="110"/>
      <c r="W221" s="110"/>
      <c r="X221" s="110"/>
      <c r="Y221" s="110"/>
      <c r="Z221" s="110"/>
      <c r="AA221" s="110"/>
      <c r="AB221" s="110"/>
      <c r="AC221" s="110"/>
      <c r="AD221" s="247"/>
      <c r="AE221" s="12"/>
      <c r="AF221" s="12"/>
    </row>
  </sheetData>
  <mergeCells count="3">
    <mergeCell ref="L2:M2"/>
    <mergeCell ref="N2:O2"/>
    <mergeCell ref="AE2:AF2"/>
  </mergeCells>
  <conditionalFormatting sqref="AD4:AD6 AD41 AD44:AD45 AD8 AD13:AD21 AD24:AD27 AD30:AD33 AD35:AD39 AD10:AD11">
    <cfRule type="duplicateValues" dxfId="1" priority="1"/>
  </conditionalFormatting>
  <conditionalFormatting sqref="AD215:AD220 AD200 AD196:AD198 AD190:AD191 AD188 AD180:AD186 AD177 AD173:AD175 AD164:AD166 AD155:AD160 AD152 AD148:AD149 AD142:AD144 AD124 AD114:AD115 AD108:AD112 AD105:AD106 AD85 AD82:AD83 AD79 AD76 AD71:AD72 AD65:AD69 AD62 AD54 AD49 AD42:AD43 AD211:AD213 AD88:AD102 AD118:AD121 AD133 AD136">
    <cfRule type="duplicateValues" dxfId="0" priority="2"/>
  </conditionalFormatting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28"/>
  <sheetViews>
    <sheetView topLeftCell="E1" workbookViewId="0">
      <selection activeCell="U13" sqref="U13"/>
    </sheetView>
  </sheetViews>
  <sheetFormatPr defaultColWidth="8.85546875" defaultRowHeight="15"/>
  <cols>
    <col min="1" max="1" width="8.85546875" style="251"/>
    <col min="2" max="2" width="7.7109375" style="251" bestFit="1" customWidth="1"/>
    <col min="3" max="3" width="11.42578125" style="251" bestFit="1" customWidth="1"/>
    <col min="4" max="4" width="12.7109375" style="251" customWidth="1"/>
    <col min="5" max="5" width="23.28515625" style="89" customWidth="1"/>
    <col min="6" max="6" width="17.28515625" style="251" bestFit="1" customWidth="1"/>
    <col min="7" max="18" width="8.85546875" style="251" customWidth="1"/>
    <col min="19" max="19" width="12.5703125" style="251" customWidth="1"/>
    <col min="20" max="26" width="8.85546875" style="251" customWidth="1"/>
    <col min="27" max="29" width="8.85546875" style="251"/>
    <col min="30" max="30" width="22.28515625" style="251" bestFit="1" customWidth="1"/>
    <col min="31" max="32" width="8.85546875" style="268"/>
    <col min="33" max="16384" width="8.85546875" style="251"/>
  </cols>
  <sheetData>
    <row r="1" spans="1:34">
      <c r="A1" s="248"/>
      <c r="B1" s="248"/>
      <c r="C1" s="248"/>
      <c r="D1" s="248"/>
      <c r="E1" s="86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72" t="s">
        <v>0</v>
      </c>
      <c r="S1" s="72" t="s">
        <v>0</v>
      </c>
      <c r="T1" s="72" t="s">
        <v>1</v>
      </c>
      <c r="U1" s="73" t="s">
        <v>2</v>
      </c>
      <c r="V1" s="72" t="s">
        <v>2</v>
      </c>
      <c r="W1" s="72" t="s">
        <v>2</v>
      </c>
      <c r="X1" s="72" t="s">
        <v>2</v>
      </c>
      <c r="Y1" s="72" t="s">
        <v>2</v>
      </c>
      <c r="Z1" s="72" t="s">
        <v>2</v>
      </c>
      <c r="AA1" s="248" t="s">
        <v>3</v>
      </c>
      <c r="AB1" s="248" t="s">
        <v>3</v>
      </c>
      <c r="AC1" s="248" t="s">
        <v>3</v>
      </c>
      <c r="AD1" s="248" t="s">
        <v>3</v>
      </c>
      <c r="AE1" s="249" t="s">
        <v>3</v>
      </c>
      <c r="AF1" s="249" t="s">
        <v>3</v>
      </c>
      <c r="AG1" s="250"/>
      <c r="AH1" s="248"/>
    </row>
    <row r="2" spans="1:34" ht="158.44999999999999" customHeight="1">
      <c r="A2" s="241" t="s">
        <v>4</v>
      </c>
      <c r="B2" s="252" t="s">
        <v>5</v>
      </c>
      <c r="C2" s="252" t="s">
        <v>6</v>
      </c>
      <c r="D2" s="252" t="s">
        <v>7</v>
      </c>
      <c r="E2" s="252" t="s">
        <v>8</v>
      </c>
      <c r="F2" s="252" t="s">
        <v>9</v>
      </c>
      <c r="G2" s="252" t="s">
        <v>10</v>
      </c>
      <c r="H2" s="252" t="s">
        <v>11</v>
      </c>
      <c r="I2" s="252" t="s">
        <v>12</v>
      </c>
      <c r="J2" s="252" t="s">
        <v>13</v>
      </c>
      <c r="K2" s="252" t="s">
        <v>14</v>
      </c>
      <c r="L2" s="386" t="s">
        <v>15</v>
      </c>
      <c r="M2" s="387"/>
      <c r="N2" s="386" t="s">
        <v>16</v>
      </c>
      <c r="O2" s="387"/>
      <c r="P2" s="252" t="s">
        <v>17</v>
      </c>
      <c r="Q2" s="252" t="s">
        <v>18</v>
      </c>
      <c r="R2" s="253" t="s">
        <v>19</v>
      </c>
      <c r="S2" s="253" t="s">
        <v>20</v>
      </c>
      <c r="T2" s="253" t="s">
        <v>21</v>
      </c>
      <c r="U2" s="253" t="s">
        <v>22</v>
      </c>
      <c r="V2" s="253" t="s">
        <v>23</v>
      </c>
      <c r="W2" s="253" t="s">
        <v>24</v>
      </c>
      <c r="X2" s="253" t="s">
        <v>25</v>
      </c>
      <c r="Y2" s="253" t="s">
        <v>26</v>
      </c>
      <c r="Z2" s="253" t="s">
        <v>27</v>
      </c>
      <c r="AA2" s="253" t="s">
        <v>28</v>
      </c>
      <c r="AB2" s="254" t="s">
        <v>29</v>
      </c>
      <c r="AC2" s="253" t="s">
        <v>30</v>
      </c>
      <c r="AD2" s="253" t="s">
        <v>31</v>
      </c>
      <c r="AE2" s="386" t="s">
        <v>32</v>
      </c>
      <c r="AF2" s="387"/>
      <c r="AG2" s="255"/>
      <c r="AH2" s="241"/>
    </row>
    <row r="3" spans="1:34" ht="29.45" customHeight="1">
      <c r="A3" s="241"/>
      <c r="B3" s="256"/>
      <c r="C3" s="256"/>
      <c r="D3" s="256"/>
      <c r="E3" s="257"/>
      <c r="F3" s="256"/>
      <c r="G3" s="256" t="s">
        <v>2398</v>
      </c>
      <c r="H3" s="256" t="s">
        <v>2399</v>
      </c>
      <c r="I3" s="256" t="s">
        <v>2399</v>
      </c>
      <c r="J3" s="256" t="s">
        <v>2399</v>
      </c>
      <c r="K3" s="256" t="s">
        <v>2399</v>
      </c>
      <c r="L3" s="256" t="s">
        <v>2399</v>
      </c>
      <c r="M3" s="256" t="s">
        <v>2400</v>
      </c>
      <c r="N3" s="256"/>
      <c r="O3" s="256" t="s">
        <v>2400</v>
      </c>
      <c r="P3" s="256" t="s">
        <v>2398</v>
      </c>
      <c r="Q3" s="256" t="s">
        <v>2398</v>
      </c>
      <c r="R3" s="256" t="s">
        <v>2401</v>
      </c>
      <c r="S3" s="256" t="s">
        <v>2402</v>
      </c>
      <c r="T3" s="256" t="s">
        <v>2398</v>
      </c>
      <c r="U3" s="193" t="s">
        <v>2398</v>
      </c>
      <c r="V3" s="256" t="s">
        <v>2398</v>
      </c>
      <c r="W3" s="256" t="s">
        <v>2401</v>
      </c>
      <c r="X3" s="193" t="s">
        <v>2401</v>
      </c>
      <c r="Y3" s="193" t="s">
        <v>2401</v>
      </c>
      <c r="Z3" s="193" t="s">
        <v>2398</v>
      </c>
      <c r="AA3" s="193" t="s">
        <v>2401</v>
      </c>
      <c r="AB3" s="193" t="s">
        <v>2401</v>
      </c>
      <c r="AC3" s="193" t="s">
        <v>2398</v>
      </c>
      <c r="AD3" s="256" t="s">
        <v>2403</v>
      </c>
      <c r="AE3" s="258" t="s">
        <v>2404</v>
      </c>
      <c r="AF3" s="258" t="s">
        <v>2405</v>
      </c>
      <c r="AG3" s="259"/>
      <c r="AH3" s="259"/>
    </row>
    <row r="4" spans="1:34">
      <c r="A4" s="260">
        <v>1</v>
      </c>
      <c r="B4" s="260" t="s">
        <v>333</v>
      </c>
      <c r="C4" s="13" t="s">
        <v>1048</v>
      </c>
      <c r="D4" s="13" t="s">
        <v>1049</v>
      </c>
      <c r="E4" s="87" t="s">
        <v>1050</v>
      </c>
      <c r="F4" s="13" t="s">
        <v>1051</v>
      </c>
      <c r="G4" s="261">
        <v>669.1</v>
      </c>
      <c r="H4" s="261">
        <v>233</v>
      </c>
      <c r="I4" s="261">
        <v>1199</v>
      </c>
      <c r="J4" s="261">
        <v>650</v>
      </c>
      <c r="K4" s="261">
        <v>549</v>
      </c>
      <c r="L4" s="261">
        <v>356</v>
      </c>
      <c r="M4" s="260">
        <f>L4/I4*100</f>
        <v>29.691409507923272</v>
      </c>
      <c r="N4" s="261">
        <v>760</v>
      </c>
      <c r="O4" s="260">
        <f t="shared" ref="O4:O67" si="0">N4/I4*100</f>
        <v>63.386155129274393</v>
      </c>
      <c r="P4" s="261">
        <v>68.5</v>
      </c>
      <c r="Q4" s="261">
        <v>12.45</v>
      </c>
      <c r="R4" s="260" t="s">
        <v>37</v>
      </c>
      <c r="S4" s="64">
        <v>45959</v>
      </c>
      <c r="T4" s="260"/>
      <c r="U4" s="15">
        <v>74.83</v>
      </c>
      <c r="V4" s="260"/>
      <c r="W4" s="260"/>
      <c r="X4" s="260"/>
      <c r="Y4" s="260"/>
      <c r="Z4" s="260"/>
      <c r="AA4" s="260"/>
      <c r="AB4" s="260" t="s">
        <v>39</v>
      </c>
      <c r="AC4" s="15">
        <v>13</v>
      </c>
      <c r="AD4" s="260" t="s">
        <v>1052</v>
      </c>
      <c r="AE4" s="262">
        <v>25.265343999999999</v>
      </c>
      <c r="AF4" s="262">
        <v>77.960023000000007</v>
      </c>
    </row>
    <row r="5" spans="1:34">
      <c r="A5" s="260">
        <v>2</v>
      </c>
      <c r="B5" s="260" t="s">
        <v>333</v>
      </c>
      <c r="C5" s="13" t="s">
        <v>1048</v>
      </c>
      <c r="D5" s="13" t="s">
        <v>1049</v>
      </c>
      <c r="E5" s="87" t="s">
        <v>1053</v>
      </c>
      <c r="F5" s="13" t="s">
        <v>1054</v>
      </c>
      <c r="G5" s="261">
        <v>190</v>
      </c>
      <c r="H5" s="261">
        <v>72</v>
      </c>
      <c r="I5" s="261">
        <v>372</v>
      </c>
      <c r="J5" s="261">
        <v>202</v>
      </c>
      <c r="K5" s="261">
        <v>170</v>
      </c>
      <c r="L5" s="261">
        <v>41</v>
      </c>
      <c r="M5" s="260">
        <f t="shared" ref="M5:M67" si="1">L5/I5*100</f>
        <v>11.021505376344086</v>
      </c>
      <c r="N5" s="261">
        <v>110</v>
      </c>
      <c r="O5" s="260">
        <f t="shared" si="0"/>
        <v>29.56989247311828</v>
      </c>
      <c r="P5" s="261">
        <v>22</v>
      </c>
      <c r="Q5" s="261">
        <v>4</v>
      </c>
      <c r="R5" s="260" t="s">
        <v>37</v>
      </c>
      <c r="S5" s="64">
        <v>45959</v>
      </c>
      <c r="T5" s="260"/>
      <c r="U5" s="15">
        <v>25.44</v>
      </c>
      <c r="V5" s="260"/>
      <c r="W5" s="260"/>
      <c r="X5" s="260"/>
      <c r="Y5" s="260"/>
      <c r="Z5" s="260"/>
      <c r="AA5" s="260"/>
      <c r="AB5" s="260" t="s">
        <v>39</v>
      </c>
      <c r="AC5" s="15">
        <v>10</v>
      </c>
      <c r="AD5" s="260" t="s">
        <v>1052</v>
      </c>
      <c r="AE5" s="262"/>
      <c r="AF5" s="262"/>
    </row>
    <row r="6" spans="1:34">
      <c r="A6" s="260">
        <v>3</v>
      </c>
      <c r="B6" s="260" t="s">
        <v>333</v>
      </c>
      <c r="C6" s="13" t="s">
        <v>1048</v>
      </c>
      <c r="D6" s="13" t="s">
        <v>1049</v>
      </c>
      <c r="E6" s="87" t="s">
        <v>841</v>
      </c>
      <c r="F6" s="13" t="s">
        <v>1055</v>
      </c>
      <c r="G6" s="261">
        <v>262</v>
      </c>
      <c r="H6" s="261">
        <v>77</v>
      </c>
      <c r="I6" s="261">
        <v>411</v>
      </c>
      <c r="J6" s="261">
        <v>219</v>
      </c>
      <c r="K6" s="261">
        <v>192</v>
      </c>
      <c r="L6" s="261">
        <v>5</v>
      </c>
      <c r="M6" s="260">
        <f t="shared" si="1"/>
        <v>1.2165450121654502</v>
      </c>
      <c r="N6" s="261">
        <v>141</v>
      </c>
      <c r="O6" s="260">
        <f t="shared" si="0"/>
        <v>34.306569343065696</v>
      </c>
      <c r="P6" s="261">
        <v>21</v>
      </c>
      <c r="Q6" s="261">
        <v>4</v>
      </c>
      <c r="R6" s="260" t="s">
        <v>37</v>
      </c>
      <c r="S6" s="64">
        <v>45959</v>
      </c>
      <c r="T6" s="260"/>
      <c r="U6" s="15">
        <v>20.59</v>
      </c>
      <c r="V6" s="260"/>
      <c r="W6" s="260"/>
      <c r="X6" s="260"/>
      <c r="Y6" s="260"/>
      <c r="Z6" s="260"/>
      <c r="AA6" s="260"/>
      <c r="AB6" s="260"/>
      <c r="AC6" s="15">
        <v>6</v>
      </c>
      <c r="AD6" s="260"/>
      <c r="AE6" s="262">
        <v>25.667845</v>
      </c>
      <c r="AF6" s="262">
        <v>77.023443999999998</v>
      </c>
    </row>
    <row r="7" spans="1:34">
      <c r="A7" s="260">
        <v>4</v>
      </c>
      <c r="B7" s="260" t="s">
        <v>333</v>
      </c>
      <c r="C7" s="13" t="s">
        <v>1048</v>
      </c>
      <c r="D7" s="13" t="s">
        <v>1049</v>
      </c>
      <c r="E7" s="87" t="s">
        <v>1056</v>
      </c>
      <c r="F7" s="13" t="s">
        <v>1057</v>
      </c>
      <c r="G7" s="261">
        <v>125</v>
      </c>
      <c r="H7" s="261">
        <v>45</v>
      </c>
      <c r="I7" s="261">
        <v>209</v>
      </c>
      <c r="J7" s="261">
        <v>118</v>
      </c>
      <c r="K7" s="261">
        <v>91</v>
      </c>
      <c r="L7" s="261">
        <v>52</v>
      </c>
      <c r="M7" s="260">
        <f t="shared" si="1"/>
        <v>24.880382775119617</v>
      </c>
      <c r="N7" s="261">
        <v>0</v>
      </c>
      <c r="O7" s="260">
        <f t="shared" si="0"/>
        <v>0</v>
      </c>
      <c r="P7" s="261">
        <v>13.05</v>
      </c>
      <c r="Q7" s="261">
        <v>0</v>
      </c>
      <c r="R7" s="260" t="s">
        <v>37</v>
      </c>
      <c r="S7" s="64">
        <v>45959</v>
      </c>
      <c r="T7" s="260"/>
      <c r="U7" s="15">
        <v>13.83</v>
      </c>
      <c r="V7" s="260"/>
      <c r="W7" s="260"/>
      <c r="X7" s="260"/>
      <c r="Y7" s="260"/>
      <c r="Z7" s="260"/>
      <c r="AA7" s="260"/>
      <c r="AB7" s="260" t="s">
        <v>39</v>
      </c>
      <c r="AC7" s="15">
        <v>5</v>
      </c>
      <c r="AD7" s="260" t="s">
        <v>1052</v>
      </c>
      <c r="AE7" s="262">
        <v>25.960338</v>
      </c>
      <c r="AF7" s="262">
        <v>77.488690000000005</v>
      </c>
    </row>
    <row r="8" spans="1:34">
      <c r="A8" s="260">
        <v>5</v>
      </c>
      <c r="B8" s="260" t="s">
        <v>333</v>
      </c>
      <c r="C8" s="13" t="s">
        <v>1048</v>
      </c>
      <c r="D8" s="13" t="s">
        <v>1049</v>
      </c>
      <c r="E8" s="87" t="s">
        <v>1058</v>
      </c>
      <c r="F8" s="13" t="s">
        <v>1059</v>
      </c>
      <c r="G8" s="261">
        <v>179</v>
      </c>
      <c r="H8" s="261">
        <v>56</v>
      </c>
      <c r="I8" s="261">
        <v>317</v>
      </c>
      <c r="J8" s="261">
        <v>161</v>
      </c>
      <c r="K8" s="261">
        <v>156</v>
      </c>
      <c r="L8" s="261">
        <v>16</v>
      </c>
      <c r="M8" s="260">
        <f t="shared" si="1"/>
        <v>5.0473186119873814</v>
      </c>
      <c r="N8" s="261">
        <v>166</v>
      </c>
      <c r="O8" s="260">
        <f t="shared" si="0"/>
        <v>52.365930599369079</v>
      </c>
      <c r="P8" s="261">
        <v>8</v>
      </c>
      <c r="Q8" s="261">
        <v>63</v>
      </c>
      <c r="R8" s="260" t="s">
        <v>37</v>
      </c>
      <c r="S8" s="64">
        <v>45959</v>
      </c>
      <c r="T8" s="260"/>
      <c r="U8" s="15">
        <v>9.89</v>
      </c>
      <c r="V8" s="260"/>
      <c r="W8" s="260"/>
      <c r="X8" s="260"/>
      <c r="Y8" s="260"/>
      <c r="Z8" s="260"/>
      <c r="AA8" s="260"/>
      <c r="AB8" s="260"/>
      <c r="AC8" s="15"/>
      <c r="AD8" s="260"/>
      <c r="AE8" s="262">
        <v>25.163653</v>
      </c>
      <c r="AF8" s="262">
        <v>77.261396000000005</v>
      </c>
    </row>
    <row r="9" spans="1:34">
      <c r="A9" s="260">
        <v>6</v>
      </c>
      <c r="B9" s="260" t="s">
        <v>333</v>
      </c>
      <c r="C9" s="13" t="s">
        <v>1048</v>
      </c>
      <c r="D9" s="13" t="s">
        <v>1049</v>
      </c>
      <c r="E9" s="87" t="s">
        <v>1060</v>
      </c>
      <c r="F9" s="13" t="s">
        <v>1061</v>
      </c>
      <c r="G9" s="261">
        <v>369</v>
      </c>
      <c r="H9" s="261">
        <v>93</v>
      </c>
      <c r="I9" s="261">
        <v>419</v>
      </c>
      <c r="J9" s="261">
        <v>230</v>
      </c>
      <c r="K9" s="261">
        <v>189</v>
      </c>
      <c r="L9" s="261">
        <v>26</v>
      </c>
      <c r="M9" s="260">
        <f t="shared" si="1"/>
        <v>6.2052505966587113</v>
      </c>
      <c r="N9" s="261">
        <v>0</v>
      </c>
      <c r="O9" s="260">
        <f t="shared" si="0"/>
        <v>0</v>
      </c>
      <c r="P9" s="261">
        <v>29</v>
      </c>
      <c r="Q9" s="261">
        <v>0</v>
      </c>
      <c r="R9" s="260" t="s">
        <v>37</v>
      </c>
      <c r="S9" s="64">
        <v>45959</v>
      </c>
      <c r="T9" s="260"/>
      <c r="U9" s="15">
        <v>45.25</v>
      </c>
      <c r="V9" s="260"/>
      <c r="W9" s="260"/>
      <c r="X9" s="260"/>
      <c r="Y9" s="260"/>
      <c r="Z9" s="260"/>
      <c r="AA9" s="260"/>
      <c r="AB9" s="260" t="s">
        <v>39</v>
      </c>
      <c r="AC9" s="15">
        <v>14</v>
      </c>
      <c r="AD9" s="260" t="s">
        <v>1052</v>
      </c>
      <c r="AE9" s="262"/>
      <c r="AF9" s="262"/>
    </row>
    <row r="10" spans="1:34">
      <c r="A10" s="260">
        <v>7</v>
      </c>
      <c r="B10" s="260" t="s">
        <v>333</v>
      </c>
      <c r="C10" s="13" t="s">
        <v>1048</v>
      </c>
      <c r="D10" s="13" t="s">
        <v>1049</v>
      </c>
      <c r="E10" s="87" t="s">
        <v>290</v>
      </c>
      <c r="F10" s="13" t="s">
        <v>1062</v>
      </c>
      <c r="G10" s="261">
        <v>240</v>
      </c>
      <c r="H10" s="261">
        <v>73</v>
      </c>
      <c r="I10" s="261">
        <v>379</v>
      </c>
      <c r="J10" s="261">
        <v>205</v>
      </c>
      <c r="K10" s="261">
        <v>174</v>
      </c>
      <c r="L10" s="261">
        <v>0</v>
      </c>
      <c r="M10" s="260">
        <f t="shared" si="1"/>
        <v>0</v>
      </c>
      <c r="N10" s="261">
        <v>379</v>
      </c>
      <c r="O10" s="260">
        <f t="shared" si="0"/>
        <v>100</v>
      </c>
      <c r="P10" s="261">
        <v>2</v>
      </c>
      <c r="Q10" s="261">
        <v>0</v>
      </c>
      <c r="R10" s="260" t="s">
        <v>37</v>
      </c>
      <c r="S10" s="64">
        <v>45959</v>
      </c>
      <c r="T10" s="260"/>
      <c r="U10" s="15"/>
      <c r="V10" s="260"/>
      <c r="W10" s="260"/>
      <c r="X10" s="260"/>
      <c r="Y10" s="260"/>
      <c r="Z10" s="260"/>
      <c r="AA10" s="260"/>
      <c r="AB10" s="260"/>
      <c r="AC10" s="15"/>
      <c r="AD10" s="260"/>
      <c r="AE10" s="262"/>
      <c r="AF10" s="262"/>
    </row>
    <row r="11" spans="1:34">
      <c r="A11" s="260">
        <v>8</v>
      </c>
      <c r="B11" s="260" t="s">
        <v>333</v>
      </c>
      <c r="C11" s="13" t="s">
        <v>1048</v>
      </c>
      <c r="D11" s="13" t="s">
        <v>1049</v>
      </c>
      <c r="E11" s="87" t="s">
        <v>1063</v>
      </c>
      <c r="F11" s="13" t="s">
        <v>1064</v>
      </c>
      <c r="G11" s="261">
        <v>373</v>
      </c>
      <c r="H11" s="261">
        <v>57</v>
      </c>
      <c r="I11" s="261">
        <v>298</v>
      </c>
      <c r="J11" s="261">
        <v>167</v>
      </c>
      <c r="K11" s="261">
        <v>131</v>
      </c>
      <c r="L11" s="261">
        <v>0</v>
      </c>
      <c r="M11" s="260">
        <f t="shared" si="1"/>
        <v>0</v>
      </c>
      <c r="N11" s="261">
        <v>182</v>
      </c>
      <c r="O11" s="260">
        <f t="shared" si="0"/>
        <v>61.073825503355707</v>
      </c>
      <c r="P11" s="261">
        <v>26</v>
      </c>
      <c r="Q11" s="261">
        <v>0</v>
      </c>
      <c r="R11" s="260" t="s">
        <v>37</v>
      </c>
      <c r="S11" s="64">
        <v>45959</v>
      </c>
      <c r="T11" s="260"/>
      <c r="U11" s="15">
        <v>27.45</v>
      </c>
      <c r="V11" s="260"/>
      <c r="W11" s="260"/>
      <c r="X11" s="260"/>
      <c r="Y11" s="260"/>
      <c r="Z11" s="260"/>
      <c r="AA11" s="260"/>
      <c r="AB11" s="260" t="s">
        <v>39</v>
      </c>
      <c r="AC11" s="15">
        <v>11</v>
      </c>
      <c r="AD11" s="260" t="s">
        <v>1052</v>
      </c>
      <c r="AE11" s="262"/>
      <c r="AF11" s="262"/>
    </row>
    <row r="12" spans="1:34">
      <c r="A12" s="260">
        <v>9</v>
      </c>
      <c r="B12" s="260" t="s">
        <v>333</v>
      </c>
      <c r="C12" s="13" t="s">
        <v>1048</v>
      </c>
      <c r="D12" s="13" t="s">
        <v>1049</v>
      </c>
      <c r="E12" s="87" t="s">
        <v>880</v>
      </c>
      <c r="F12" s="13" t="s">
        <v>1065</v>
      </c>
      <c r="G12" s="261">
        <v>228</v>
      </c>
      <c r="H12" s="261">
        <v>6</v>
      </c>
      <c r="I12" s="261">
        <v>33</v>
      </c>
      <c r="J12" s="261">
        <v>19</v>
      </c>
      <c r="K12" s="261">
        <v>14</v>
      </c>
      <c r="L12" s="261">
        <v>0</v>
      </c>
      <c r="M12" s="260">
        <f t="shared" si="1"/>
        <v>0</v>
      </c>
      <c r="N12" s="261">
        <v>21</v>
      </c>
      <c r="O12" s="260">
        <f t="shared" si="0"/>
        <v>63.636363636363633</v>
      </c>
      <c r="P12" s="261">
        <v>23</v>
      </c>
      <c r="Q12" s="261">
        <v>153</v>
      </c>
      <c r="R12" s="260" t="s">
        <v>37</v>
      </c>
      <c r="S12" s="13" t="s">
        <v>37</v>
      </c>
      <c r="T12" s="260"/>
      <c r="U12" s="13"/>
      <c r="V12" s="260"/>
      <c r="W12" s="260"/>
      <c r="X12" s="260"/>
      <c r="Y12" s="260"/>
      <c r="Z12" s="260"/>
      <c r="AA12" s="260"/>
      <c r="AB12" s="260"/>
      <c r="AC12" s="13">
        <v>11</v>
      </c>
      <c r="AD12" s="260"/>
      <c r="AE12" s="262"/>
      <c r="AF12" s="262"/>
    </row>
    <row r="13" spans="1:34">
      <c r="A13" s="260">
        <v>10</v>
      </c>
      <c r="B13" s="260" t="s">
        <v>333</v>
      </c>
      <c r="C13" s="13" t="s">
        <v>1048</v>
      </c>
      <c r="D13" s="13" t="s">
        <v>1066</v>
      </c>
      <c r="E13" s="87" t="s">
        <v>1067</v>
      </c>
      <c r="F13" s="13" t="s">
        <v>1068</v>
      </c>
      <c r="G13" s="261">
        <v>1017</v>
      </c>
      <c r="H13" s="261">
        <v>76</v>
      </c>
      <c r="I13" s="261">
        <v>378</v>
      </c>
      <c r="J13" s="261">
        <v>184</v>
      </c>
      <c r="K13" s="261">
        <v>194</v>
      </c>
      <c r="L13" s="261">
        <v>19</v>
      </c>
      <c r="M13" s="260">
        <f t="shared" si="1"/>
        <v>5.0264550264550261</v>
      </c>
      <c r="N13" s="261">
        <v>73</v>
      </c>
      <c r="O13" s="260">
        <f t="shared" si="0"/>
        <v>19.31216931216931</v>
      </c>
      <c r="P13" s="261">
        <v>64</v>
      </c>
      <c r="Q13" s="261">
        <v>1</v>
      </c>
      <c r="R13" s="260"/>
      <c r="S13" s="13"/>
      <c r="T13" s="260"/>
      <c r="U13" s="13"/>
      <c r="V13" s="260"/>
      <c r="W13" s="260"/>
      <c r="X13" s="260"/>
      <c r="Y13" s="260"/>
      <c r="Z13" s="260"/>
      <c r="AA13" s="260"/>
      <c r="AB13" s="260"/>
      <c r="AC13" s="13"/>
      <c r="AD13" s="260"/>
      <c r="AE13" s="262"/>
      <c r="AF13" s="262"/>
    </row>
    <row r="14" spans="1:34">
      <c r="A14" s="260">
        <v>11</v>
      </c>
      <c r="B14" s="260" t="s">
        <v>333</v>
      </c>
      <c r="C14" s="13" t="s">
        <v>1048</v>
      </c>
      <c r="D14" s="13" t="s">
        <v>1066</v>
      </c>
      <c r="E14" s="87" t="s">
        <v>1069</v>
      </c>
      <c r="F14" s="13" t="s">
        <v>1070</v>
      </c>
      <c r="G14" s="261">
        <v>255</v>
      </c>
      <c r="H14" s="261">
        <v>76</v>
      </c>
      <c r="I14" s="261">
        <v>368</v>
      </c>
      <c r="J14" s="261">
        <v>175</v>
      </c>
      <c r="K14" s="261">
        <v>193</v>
      </c>
      <c r="L14" s="261">
        <v>97</v>
      </c>
      <c r="M14" s="260">
        <f t="shared" si="1"/>
        <v>26.358695652173914</v>
      </c>
      <c r="N14" s="261">
        <v>270</v>
      </c>
      <c r="O14" s="260">
        <f t="shared" si="0"/>
        <v>73.369565217391312</v>
      </c>
      <c r="P14" s="261">
        <v>0</v>
      </c>
      <c r="Q14" s="261">
        <v>247</v>
      </c>
      <c r="R14" s="260" t="s">
        <v>37</v>
      </c>
      <c r="S14" s="76" t="s">
        <v>1071</v>
      </c>
      <c r="T14" s="260"/>
      <c r="U14" s="76"/>
      <c r="V14" s="260"/>
      <c r="W14" s="260"/>
      <c r="X14" s="260"/>
      <c r="Y14" s="260"/>
      <c r="Z14" s="260"/>
      <c r="AA14" s="260"/>
      <c r="AB14" s="260" t="s">
        <v>39</v>
      </c>
      <c r="AC14" s="76">
        <v>13</v>
      </c>
      <c r="AD14" s="260" t="s">
        <v>1052</v>
      </c>
      <c r="AE14" s="262"/>
      <c r="AF14" s="262"/>
    </row>
    <row r="15" spans="1:34">
      <c r="A15" s="260">
        <v>12</v>
      </c>
      <c r="B15" s="260" t="s">
        <v>333</v>
      </c>
      <c r="C15" s="13" t="s">
        <v>1048</v>
      </c>
      <c r="D15" s="13" t="s">
        <v>1066</v>
      </c>
      <c r="E15" s="87" t="s">
        <v>1072</v>
      </c>
      <c r="F15" s="13" t="s">
        <v>1073</v>
      </c>
      <c r="G15" s="261">
        <v>655</v>
      </c>
      <c r="H15" s="261">
        <v>17</v>
      </c>
      <c r="I15" s="261">
        <v>76</v>
      </c>
      <c r="J15" s="261">
        <v>42</v>
      </c>
      <c r="K15" s="261">
        <v>34</v>
      </c>
      <c r="L15" s="261">
        <v>0</v>
      </c>
      <c r="M15" s="260">
        <f t="shared" si="1"/>
        <v>0</v>
      </c>
      <c r="N15" s="261">
        <v>0</v>
      </c>
      <c r="O15" s="260">
        <f t="shared" si="0"/>
        <v>0</v>
      </c>
      <c r="P15" s="261">
        <v>0</v>
      </c>
      <c r="Q15" s="261">
        <v>595</v>
      </c>
      <c r="R15" s="260" t="s">
        <v>37</v>
      </c>
      <c r="S15" s="76" t="s">
        <v>1071</v>
      </c>
      <c r="T15" s="260"/>
      <c r="U15" s="76"/>
      <c r="V15" s="260"/>
      <c r="W15" s="260"/>
      <c r="X15" s="260"/>
      <c r="Y15" s="260"/>
      <c r="Z15" s="260"/>
      <c r="AA15" s="260"/>
      <c r="AB15" s="260" t="s">
        <v>39</v>
      </c>
      <c r="AC15" s="76">
        <v>12</v>
      </c>
      <c r="AD15" s="260" t="s">
        <v>1052</v>
      </c>
      <c r="AE15" s="262"/>
      <c r="AF15" s="262"/>
    </row>
    <row r="16" spans="1:34">
      <c r="A16" s="260">
        <v>13</v>
      </c>
      <c r="B16" s="260" t="s">
        <v>333</v>
      </c>
      <c r="C16" s="13" t="s">
        <v>1048</v>
      </c>
      <c r="D16" s="13" t="s">
        <v>1066</v>
      </c>
      <c r="E16" s="87" t="s">
        <v>1074</v>
      </c>
      <c r="F16" s="13" t="s">
        <v>1075</v>
      </c>
      <c r="G16" s="261">
        <v>94</v>
      </c>
      <c r="H16" s="261">
        <v>0</v>
      </c>
      <c r="I16" s="261">
        <v>0</v>
      </c>
      <c r="J16" s="261">
        <v>0</v>
      </c>
      <c r="K16" s="261">
        <v>0</v>
      </c>
      <c r="L16" s="261">
        <v>0</v>
      </c>
      <c r="M16" s="260" t="e">
        <f t="shared" si="1"/>
        <v>#DIV/0!</v>
      </c>
      <c r="N16" s="261">
        <v>0</v>
      </c>
      <c r="O16" s="260" t="e">
        <f t="shared" si="0"/>
        <v>#DIV/0!</v>
      </c>
      <c r="P16" s="261">
        <v>0</v>
      </c>
      <c r="Q16" s="261">
        <v>35</v>
      </c>
      <c r="R16" s="260"/>
      <c r="S16" s="76"/>
      <c r="T16" s="260"/>
      <c r="U16" s="76"/>
      <c r="V16" s="260"/>
      <c r="W16" s="260"/>
      <c r="X16" s="260"/>
      <c r="Y16" s="260"/>
      <c r="Z16" s="260"/>
      <c r="AA16" s="260"/>
      <c r="AB16" s="260"/>
      <c r="AC16" s="76"/>
      <c r="AD16" s="260"/>
      <c r="AE16" s="262"/>
      <c r="AF16" s="262"/>
    </row>
    <row r="17" spans="1:32">
      <c r="A17" s="260">
        <v>14</v>
      </c>
      <c r="B17" s="260" t="s">
        <v>333</v>
      </c>
      <c r="C17" s="13" t="s">
        <v>1048</v>
      </c>
      <c r="D17" s="13" t="s">
        <v>1066</v>
      </c>
      <c r="E17" s="87" t="s">
        <v>1076</v>
      </c>
      <c r="F17" s="13" t="s">
        <v>1077</v>
      </c>
      <c r="G17" s="261">
        <v>319</v>
      </c>
      <c r="H17" s="261">
        <v>115</v>
      </c>
      <c r="I17" s="261">
        <v>605</v>
      </c>
      <c r="J17" s="261">
        <v>299</v>
      </c>
      <c r="K17" s="261">
        <v>306</v>
      </c>
      <c r="L17" s="261">
        <v>0</v>
      </c>
      <c r="M17" s="260">
        <f t="shared" si="1"/>
        <v>0</v>
      </c>
      <c r="N17" s="261">
        <v>332</v>
      </c>
      <c r="O17" s="260">
        <f t="shared" si="0"/>
        <v>54.876033057851238</v>
      </c>
      <c r="P17" s="261">
        <v>28</v>
      </c>
      <c r="Q17" s="261">
        <v>4</v>
      </c>
      <c r="R17" s="260" t="s">
        <v>37</v>
      </c>
      <c r="S17" s="76" t="s">
        <v>1071</v>
      </c>
      <c r="T17" s="260"/>
      <c r="U17" s="76"/>
      <c r="V17" s="260"/>
      <c r="W17" s="260"/>
      <c r="X17" s="260"/>
      <c r="Y17" s="260"/>
      <c r="Z17" s="260"/>
      <c r="AA17" s="260"/>
      <c r="AB17" s="260" t="s">
        <v>39</v>
      </c>
      <c r="AC17" s="76">
        <v>10</v>
      </c>
      <c r="AD17" s="260" t="s">
        <v>1052</v>
      </c>
      <c r="AE17" s="262"/>
      <c r="AF17" s="262"/>
    </row>
    <row r="18" spans="1:32">
      <c r="A18" s="260">
        <v>15</v>
      </c>
      <c r="B18" s="260" t="s">
        <v>333</v>
      </c>
      <c r="C18" s="13" t="s">
        <v>1048</v>
      </c>
      <c r="D18" s="13" t="s">
        <v>1066</v>
      </c>
      <c r="E18" s="87" t="s">
        <v>1078</v>
      </c>
      <c r="F18" s="13" t="s">
        <v>1079</v>
      </c>
      <c r="G18" s="261">
        <v>556</v>
      </c>
      <c r="H18" s="261">
        <v>185</v>
      </c>
      <c r="I18" s="261">
        <v>900</v>
      </c>
      <c r="J18" s="261">
        <v>477</v>
      </c>
      <c r="K18" s="261">
        <v>423</v>
      </c>
      <c r="L18" s="261">
        <v>461</v>
      </c>
      <c r="M18" s="260">
        <f t="shared" si="1"/>
        <v>51.222222222222221</v>
      </c>
      <c r="N18" s="261">
        <v>142</v>
      </c>
      <c r="O18" s="260">
        <f t="shared" si="0"/>
        <v>15.777777777777777</v>
      </c>
      <c r="P18" s="261">
        <v>0</v>
      </c>
      <c r="Q18" s="261">
        <v>463</v>
      </c>
      <c r="R18" s="260" t="s">
        <v>37</v>
      </c>
      <c r="S18" s="76" t="s">
        <v>1071</v>
      </c>
      <c r="T18" s="260"/>
      <c r="U18" s="76"/>
      <c r="V18" s="260"/>
      <c r="W18" s="260"/>
      <c r="X18" s="260"/>
      <c r="Y18" s="260"/>
      <c r="Z18" s="260"/>
      <c r="AA18" s="260"/>
      <c r="AB18" s="260" t="s">
        <v>39</v>
      </c>
      <c r="AC18" s="76">
        <v>11</v>
      </c>
      <c r="AD18" s="260" t="s">
        <v>1052</v>
      </c>
      <c r="AE18" s="263"/>
      <c r="AF18" s="263"/>
    </row>
    <row r="19" spans="1:32">
      <c r="A19" s="260">
        <v>16</v>
      </c>
      <c r="B19" s="260" t="s">
        <v>333</v>
      </c>
      <c r="C19" s="13" t="s">
        <v>1048</v>
      </c>
      <c r="D19" s="13" t="s">
        <v>1066</v>
      </c>
      <c r="E19" s="87" t="s">
        <v>1080</v>
      </c>
      <c r="F19" s="13" t="s">
        <v>1081</v>
      </c>
      <c r="G19" s="261">
        <v>929</v>
      </c>
      <c r="H19" s="261">
        <v>71</v>
      </c>
      <c r="I19" s="261">
        <v>318</v>
      </c>
      <c r="J19" s="261">
        <v>170</v>
      </c>
      <c r="K19" s="261">
        <v>148</v>
      </c>
      <c r="L19" s="261">
        <v>313</v>
      </c>
      <c r="M19" s="260">
        <f t="shared" si="1"/>
        <v>98.427672955974842</v>
      </c>
      <c r="N19" s="261">
        <v>0</v>
      </c>
      <c r="O19" s="260">
        <f t="shared" si="0"/>
        <v>0</v>
      </c>
      <c r="P19" s="261">
        <v>0</v>
      </c>
      <c r="Q19" s="261">
        <v>651</v>
      </c>
      <c r="R19" s="260"/>
      <c r="S19" s="13"/>
      <c r="T19" s="260"/>
      <c r="U19" s="13"/>
      <c r="V19" s="260"/>
      <c r="W19" s="260"/>
      <c r="X19" s="260"/>
      <c r="Y19" s="260"/>
      <c r="Z19" s="260"/>
      <c r="AA19" s="260"/>
      <c r="AB19" s="260"/>
      <c r="AC19" s="13"/>
      <c r="AD19" s="260"/>
      <c r="AE19" s="262"/>
      <c r="AF19" s="262"/>
    </row>
    <row r="20" spans="1:32" ht="15.75">
      <c r="A20" s="260">
        <v>17</v>
      </c>
      <c r="B20" s="260" t="s">
        <v>333</v>
      </c>
      <c r="C20" s="13" t="s">
        <v>1048</v>
      </c>
      <c r="D20" s="13" t="s">
        <v>1082</v>
      </c>
      <c r="E20" s="87" t="s">
        <v>1083</v>
      </c>
      <c r="F20" s="13" t="s">
        <v>1084</v>
      </c>
      <c r="G20" s="261">
        <v>800.88</v>
      </c>
      <c r="H20" s="261">
        <v>321</v>
      </c>
      <c r="I20" s="261">
        <v>1734</v>
      </c>
      <c r="J20" s="261">
        <v>885</v>
      </c>
      <c r="K20" s="261">
        <v>849</v>
      </c>
      <c r="L20" s="261">
        <v>474</v>
      </c>
      <c r="M20" s="260">
        <f t="shared" si="1"/>
        <v>27.335640138408309</v>
      </c>
      <c r="N20" s="261">
        <v>112</v>
      </c>
      <c r="O20" s="260">
        <f t="shared" si="0"/>
        <v>6.4590542099192616</v>
      </c>
      <c r="P20" s="261">
        <v>27</v>
      </c>
      <c r="Q20" s="261">
        <v>186</v>
      </c>
      <c r="R20" s="260" t="s">
        <v>37</v>
      </c>
      <c r="S20" s="77">
        <v>45332</v>
      </c>
      <c r="T20" s="260"/>
      <c r="U20" s="78"/>
      <c r="V20" s="260"/>
      <c r="W20" s="260"/>
      <c r="X20" s="260"/>
      <c r="Y20" s="260"/>
      <c r="Z20" s="260"/>
      <c r="AA20" s="260"/>
      <c r="AB20" s="260"/>
      <c r="AC20" s="78"/>
      <c r="AD20" s="260"/>
      <c r="AE20" s="262"/>
      <c r="AF20" s="262"/>
    </row>
    <row r="21" spans="1:32" ht="15.75">
      <c r="A21" s="260">
        <v>18</v>
      </c>
      <c r="B21" s="260" t="s">
        <v>333</v>
      </c>
      <c r="C21" s="13" t="s">
        <v>1048</v>
      </c>
      <c r="D21" s="13" t="s">
        <v>1082</v>
      </c>
      <c r="E21" s="87" t="s">
        <v>1085</v>
      </c>
      <c r="F21" s="13" t="s">
        <v>1086</v>
      </c>
      <c r="G21" s="261">
        <v>420</v>
      </c>
      <c r="H21" s="261">
        <v>81</v>
      </c>
      <c r="I21" s="261">
        <v>400</v>
      </c>
      <c r="J21" s="261">
        <v>211</v>
      </c>
      <c r="K21" s="261">
        <v>189</v>
      </c>
      <c r="L21" s="261">
        <v>126</v>
      </c>
      <c r="M21" s="260">
        <f t="shared" si="1"/>
        <v>31.5</v>
      </c>
      <c r="N21" s="261">
        <v>138</v>
      </c>
      <c r="O21" s="260">
        <f t="shared" si="0"/>
        <v>34.5</v>
      </c>
      <c r="P21" s="261">
        <v>17</v>
      </c>
      <c r="Q21" s="261">
        <v>104</v>
      </c>
      <c r="R21" s="260" t="s">
        <v>37</v>
      </c>
      <c r="S21" s="77">
        <v>45332</v>
      </c>
      <c r="T21" s="260"/>
      <c r="U21" s="78">
        <v>17</v>
      </c>
      <c r="V21" s="260"/>
      <c r="W21" s="260"/>
      <c r="X21" s="260"/>
      <c r="Y21" s="260"/>
      <c r="Z21" s="260"/>
      <c r="AA21" s="260"/>
      <c r="AB21" s="260"/>
      <c r="AC21" s="78"/>
      <c r="AD21" s="260"/>
      <c r="AE21" s="262"/>
      <c r="AF21" s="262"/>
    </row>
    <row r="22" spans="1:32" ht="15.75">
      <c r="A22" s="260">
        <v>19</v>
      </c>
      <c r="B22" s="260" t="s">
        <v>333</v>
      </c>
      <c r="C22" s="13" t="s">
        <v>1048</v>
      </c>
      <c r="D22" s="13" t="s">
        <v>1082</v>
      </c>
      <c r="E22" s="87" t="s">
        <v>1087</v>
      </c>
      <c r="F22" s="13" t="s">
        <v>1088</v>
      </c>
      <c r="G22" s="261">
        <v>499</v>
      </c>
      <c r="H22" s="261">
        <v>158</v>
      </c>
      <c r="I22" s="261">
        <v>779</v>
      </c>
      <c r="J22" s="261">
        <v>412</v>
      </c>
      <c r="K22" s="261">
        <v>367</v>
      </c>
      <c r="L22" s="261">
        <v>258</v>
      </c>
      <c r="M22" s="260">
        <f t="shared" si="1"/>
        <v>33.119383825417202</v>
      </c>
      <c r="N22" s="261">
        <v>159</v>
      </c>
      <c r="O22" s="260">
        <f t="shared" si="0"/>
        <v>20.410783055198973</v>
      </c>
      <c r="P22" s="261">
        <v>16</v>
      </c>
      <c r="Q22" s="261">
        <v>244</v>
      </c>
      <c r="R22" s="260" t="s">
        <v>37</v>
      </c>
      <c r="S22" s="77">
        <v>45332</v>
      </c>
      <c r="T22" s="260"/>
      <c r="U22" s="78">
        <v>29.75</v>
      </c>
      <c r="V22" s="260"/>
      <c r="W22" s="260"/>
      <c r="X22" s="260"/>
      <c r="Y22" s="260"/>
      <c r="Z22" s="260"/>
      <c r="AA22" s="260"/>
      <c r="AB22" s="260" t="s">
        <v>39</v>
      </c>
      <c r="AC22" s="78">
        <v>2</v>
      </c>
      <c r="AD22" s="260" t="s">
        <v>1052</v>
      </c>
      <c r="AE22" s="262"/>
      <c r="AF22" s="262"/>
    </row>
    <row r="23" spans="1:32" ht="15.75">
      <c r="A23" s="260">
        <v>20</v>
      </c>
      <c r="B23" s="260" t="s">
        <v>333</v>
      </c>
      <c r="C23" s="13" t="s">
        <v>1048</v>
      </c>
      <c r="D23" s="13" t="s">
        <v>1082</v>
      </c>
      <c r="E23" s="87" t="s">
        <v>852</v>
      </c>
      <c r="F23" s="13" t="s">
        <v>1089</v>
      </c>
      <c r="G23" s="261">
        <v>278</v>
      </c>
      <c r="H23" s="261">
        <v>94</v>
      </c>
      <c r="I23" s="261">
        <v>458</v>
      </c>
      <c r="J23" s="261">
        <v>246</v>
      </c>
      <c r="K23" s="261">
        <v>212</v>
      </c>
      <c r="L23" s="261">
        <v>4</v>
      </c>
      <c r="M23" s="260">
        <f t="shared" si="1"/>
        <v>0.87336244541484709</v>
      </c>
      <c r="N23" s="261">
        <v>339</v>
      </c>
      <c r="O23" s="260">
        <f t="shared" si="0"/>
        <v>74.017467248908304</v>
      </c>
      <c r="P23" s="261">
        <v>4</v>
      </c>
      <c r="Q23" s="261">
        <v>0</v>
      </c>
      <c r="R23" s="260" t="s">
        <v>37</v>
      </c>
      <c r="S23" s="77">
        <v>45332</v>
      </c>
      <c r="T23" s="260"/>
      <c r="U23" s="78">
        <v>4</v>
      </c>
      <c r="V23" s="260"/>
      <c r="W23" s="260"/>
      <c r="X23" s="260"/>
      <c r="Y23" s="260"/>
      <c r="Z23" s="260"/>
      <c r="AA23" s="260"/>
      <c r="AB23" s="260"/>
      <c r="AC23" s="78"/>
      <c r="AD23" s="260"/>
      <c r="AE23" s="262"/>
      <c r="AF23" s="262"/>
    </row>
    <row r="24" spans="1:32" ht="15.75">
      <c r="A24" s="260">
        <v>21</v>
      </c>
      <c r="B24" s="260" t="s">
        <v>333</v>
      </c>
      <c r="C24" s="13" t="s">
        <v>1048</v>
      </c>
      <c r="D24" s="13" t="s">
        <v>1082</v>
      </c>
      <c r="E24" s="87" t="s">
        <v>1090</v>
      </c>
      <c r="F24" s="13" t="s">
        <v>1091</v>
      </c>
      <c r="G24" s="261">
        <v>372</v>
      </c>
      <c r="H24" s="261">
        <v>137</v>
      </c>
      <c r="I24" s="261">
        <v>696</v>
      </c>
      <c r="J24" s="261">
        <v>358</v>
      </c>
      <c r="K24" s="261">
        <v>338</v>
      </c>
      <c r="L24" s="261">
        <v>74</v>
      </c>
      <c r="M24" s="260">
        <f t="shared" si="1"/>
        <v>10.632183908045976</v>
      </c>
      <c r="N24" s="261">
        <v>404</v>
      </c>
      <c r="O24" s="260">
        <f t="shared" si="0"/>
        <v>58.045977011494251</v>
      </c>
      <c r="P24" s="261">
        <v>12</v>
      </c>
      <c r="Q24" s="261">
        <v>78</v>
      </c>
      <c r="R24" s="260" t="s">
        <v>37</v>
      </c>
      <c r="S24" s="77">
        <v>45332</v>
      </c>
      <c r="T24" s="260"/>
      <c r="U24" s="78">
        <v>12</v>
      </c>
      <c r="V24" s="260"/>
      <c r="W24" s="260"/>
      <c r="X24" s="260"/>
      <c r="Y24" s="260"/>
      <c r="Z24" s="260"/>
      <c r="AA24" s="260"/>
      <c r="AB24" s="260" t="s">
        <v>39</v>
      </c>
      <c r="AC24" s="78">
        <v>4</v>
      </c>
      <c r="AD24" s="260" t="s">
        <v>1052</v>
      </c>
      <c r="AE24" s="262"/>
      <c r="AF24" s="262"/>
    </row>
    <row r="25" spans="1:32" ht="15.75">
      <c r="A25" s="260">
        <v>22</v>
      </c>
      <c r="B25" s="260" t="s">
        <v>333</v>
      </c>
      <c r="C25" s="13" t="s">
        <v>1048</v>
      </c>
      <c r="D25" s="13" t="s">
        <v>1082</v>
      </c>
      <c r="E25" s="87" t="s">
        <v>1092</v>
      </c>
      <c r="F25" s="13" t="s">
        <v>1093</v>
      </c>
      <c r="G25" s="261">
        <v>307</v>
      </c>
      <c r="H25" s="261">
        <v>114</v>
      </c>
      <c r="I25" s="261">
        <v>624</v>
      </c>
      <c r="J25" s="261">
        <v>306</v>
      </c>
      <c r="K25" s="261">
        <v>318</v>
      </c>
      <c r="L25" s="261">
        <v>0</v>
      </c>
      <c r="M25" s="260">
        <f t="shared" si="1"/>
        <v>0</v>
      </c>
      <c r="N25" s="261">
        <v>127</v>
      </c>
      <c r="O25" s="260">
        <f t="shared" si="0"/>
        <v>20.352564102564102</v>
      </c>
      <c r="P25" s="261">
        <v>0</v>
      </c>
      <c r="Q25" s="261">
        <v>0</v>
      </c>
      <c r="R25" s="260" t="s">
        <v>37</v>
      </c>
      <c r="S25" s="77">
        <v>45332</v>
      </c>
      <c r="T25" s="260"/>
      <c r="U25" s="78">
        <v>27</v>
      </c>
      <c r="V25" s="260"/>
      <c r="W25" s="260"/>
      <c r="X25" s="260"/>
      <c r="Y25" s="260"/>
      <c r="Z25" s="260"/>
      <c r="AA25" s="260"/>
      <c r="AB25" s="260" t="s">
        <v>39</v>
      </c>
      <c r="AC25" s="78">
        <v>5</v>
      </c>
      <c r="AD25" s="260" t="s">
        <v>1052</v>
      </c>
      <c r="AE25" s="262"/>
      <c r="AF25" s="262"/>
    </row>
    <row r="26" spans="1:32" ht="15.75">
      <c r="A26" s="260">
        <v>23</v>
      </c>
      <c r="B26" s="260" t="s">
        <v>333</v>
      </c>
      <c r="C26" s="13" t="s">
        <v>1048</v>
      </c>
      <c r="D26" s="13" t="s">
        <v>1094</v>
      </c>
      <c r="E26" s="87" t="s">
        <v>1095</v>
      </c>
      <c r="F26" s="13" t="s">
        <v>1096</v>
      </c>
      <c r="G26" s="261">
        <v>2166.35</v>
      </c>
      <c r="H26" s="261">
        <v>388</v>
      </c>
      <c r="I26" s="261">
        <v>1912</v>
      </c>
      <c r="J26" s="261">
        <v>994</v>
      </c>
      <c r="K26" s="261">
        <v>918</v>
      </c>
      <c r="L26" s="261">
        <v>15</v>
      </c>
      <c r="M26" s="260">
        <f t="shared" si="1"/>
        <v>0.78451882845188281</v>
      </c>
      <c r="N26" s="261">
        <v>938</v>
      </c>
      <c r="O26" s="260">
        <f t="shared" si="0"/>
        <v>49.05857740585774</v>
      </c>
      <c r="P26" s="261">
        <v>212.76</v>
      </c>
      <c r="Q26" s="261">
        <v>1335.75</v>
      </c>
      <c r="R26" s="260" t="s">
        <v>37</v>
      </c>
      <c r="S26" s="78" t="s">
        <v>1097</v>
      </c>
      <c r="T26" s="260"/>
      <c r="U26" s="78"/>
      <c r="V26" s="260"/>
      <c r="W26" s="260"/>
      <c r="X26" s="260"/>
      <c r="Y26" s="260"/>
      <c r="Z26" s="260"/>
      <c r="AA26" s="260"/>
      <c r="AB26" s="260" t="s">
        <v>39</v>
      </c>
      <c r="AC26" s="78">
        <v>6</v>
      </c>
      <c r="AD26" s="260" t="s">
        <v>1052</v>
      </c>
      <c r="AE26" s="262"/>
      <c r="AF26" s="262"/>
    </row>
    <row r="27" spans="1:32">
      <c r="A27" s="260">
        <v>24</v>
      </c>
      <c r="B27" s="260" t="s">
        <v>333</v>
      </c>
      <c r="C27" s="13" t="s">
        <v>1048</v>
      </c>
      <c r="D27" s="13" t="s">
        <v>1094</v>
      </c>
      <c r="E27" s="87" t="s">
        <v>1098</v>
      </c>
      <c r="F27" s="13" t="s">
        <v>1099</v>
      </c>
      <c r="G27" s="261">
        <v>49.11</v>
      </c>
      <c r="H27" s="261">
        <v>9</v>
      </c>
      <c r="I27" s="261">
        <v>45</v>
      </c>
      <c r="J27" s="261">
        <v>18</v>
      </c>
      <c r="K27" s="261">
        <v>27</v>
      </c>
      <c r="L27" s="261">
        <v>0</v>
      </c>
      <c r="M27" s="260">
        <f t="shared" si="1"/>
        <v>0</v>
      </c>
      <c r="N27" s="261">
        <v>0</v>
      </c>
      <c r="O27" s="260">
        <f t="shared" si="0"/>
        <v>0</v>
      </c>
      <c r="P27" s="261">
        <v>0</v>
      </c>
      <c r="Q27" s="261">
        <v>7.69</v>
      </c>
      <c r="R27" s="260"/>
      <c r="S27" s="13"/>
      <c r="T27" s="260"/>
      <c r="U27" s="13"/>
      <c r="V27" s="260"/>
      <c r="W27" s="260"/>
      <c r="X27" s="260"/>
      <c r="Y27" s="260"/>
      <c r="Z27" s="260"/>
      <c r="AA27" s="260"/>
      <c r="AB27" s="260"/>
      <c r="AC27" s="13"/>
      <c r="AD27" s="260"/>
      <c r="AE27" s="262"/>
      <c r="AF27" s="262"/>
    </row>
    <row r="28" spans="1:32">
      <c r="A28" s="260">
        <v>25</v>
      </c>
      <c r="B28" s="260" t="s">
        <v>333</v>
      </c>
      <c r="C28" s="13" t="s">
        <v>1048</v>
      </c>
      <c r="D28" s="13" t="s">
        <v>1094</v>
      </c>
      <c r="E28" s="87" t="s">
        <v>922</v>
      </c>
      <c r="F28" s="13" t="s">
        <v>1100</v>
      </c>
      <c r="G28" s="261">
        <v>573.32000000000005</v>
      </c>
      <c r="H28" s="261">
        <v>275</v>
      </c>
      <c r="I28" s="261">
        <v>1426</v>
      </c>
      <c r="J28" s="261">
        <v>714</v>
      </c>
      <c r="K28" s="261">
        <v>712</v>
      </c>
      <c r="L28" s="261">
        <v>46</v>
      </c>
      <c r="M28" s="260">
        <f t="shared" si="1"/>
        <v>3.225806451612903</v>
      </c>
      <c r="N28" s="261">
        <v>953</v>
      </c>
      <c r="O28" s="260">
        <f t="shared" si="0"/>
        <v>66.830294530154276</v>
      </c>
      <c r="P28" s="261">
        <v>9.1999999999999993</v>
      </c>
      <c r="Q28" s="261">
        <v>0</v>
      </c>
      <c r="R28" s="260"/>
      <c r="S28" s="13"/>
      <c r="T28" s="260"/>
      <c r="U28" s="13"/>
      <c r="V28" s="260"/>
      <c r="W28" s="260"/>
      <c r="X28" s="260"/>
      <c r="Y28" s="260"/>
      <c r="Z28" s="260"/>
      <c r="AA28" s="260"/>
      <c r="AB28" s="260"/>
      <c r="AC28" s="13"/>
      <c r="AD28" s="260"/>
      <c r="AE28" s="262"/>
      <c r="AF28" s="262"/>
    </row>
    <row r="29" spans="1:32" ht="15.75">
      <c r="A29" s="260">
        <v>26</v>
      </c>
      <c r="B29" s="260" t="s">
        <v>333</v>
      </c>
      <c r="C29" s="13" t="s">
        <v>1048</v>
      </c>
      <c r="D29" s="13" t="s">
        <v>1094</v>
      </c>
      <c r="E29" s="87" t="s">
        <v>1101</v>
      </c>
      <c r="F29" s="13" t="s">
        <v>1102</v>
      </c>
      <c r="G29" s="261">
        <v>948</v>
      </c>
      <c r="H29" s="261">
        <v>243</v>
      </c>
      <c r="I29" s="261">
        <v>1170</v>
      </c>
      <c r="J29" s="261">
        <v>612</v>
      </c>
      <c r="K29" s="261">
        <v>558</v>
      </c>
      <c r="L29" s="261">
        <v>17</v>
      </c>
      <c r="M29" s="260">
        <f t="shared" si="1"/>
        <v>1.4529914529914529</v>
      </c>
      <c r="N29" s="261">
        <v>368</v>
      </c>
      <c r="O29" s="260">
        <f t="shared" si="0"/>
        <v>31.452991452991451</v>
      </c>
      <c r="P29" s="261">
        <v>16.2</v>
      </c>
      <c r="Q29" s="261">
        <v>346.77</v>
      </c>
      <c r="R29" s="260" t="s">
        <v>37</v>
      </c>
      <c r="S29" s="78" t="s">
        <v>1097</v>
      </c>
      <c r="T29" s="260"/>
      <c r="U29" s="78"/>
      <c r="V29" s="260"/>
      <c r="W29" s="260"/>
      <c r="X29" s="260"/>
      <c r="Y29" s="260"/>
      <c r="Z29" s="260"/>
      <c r="AA29" s="260"/>
      <c r="AB29" s="260" t="s">
        <v>39</v>
      </c>
      <c r="AC29" s="78">
        <v>12</v>
      </c>
      <c r="AD29" s="260" t="s">
        <v>1052</v>
      </c>
      <c r="AE29" s="262"/>
      <c r="AF29" s="262"/>
    </row>
    <row r="30" spans="1:32" ht="15.75">
      <c r="A30" s="260">
        <v>27</v>
      </c>
      <c r="B30" s="260" t="s">
        <v>333</v>
      </c>
      <c r="C30" s="13" t="s">
        <v>1048</v>
      </c>
      <c r="D30" s="13" t="s">
        <v>1103</v>
      </c>
      <c r="E30" s="87" t="s">
        <v>1104</v>
      </c>
      <c r="F30" s="13" t="s">
        <v>1105</v>
      </c>
      <c r="G30" s="261">
        <v>253</v>
      </c>
      <c r="H30" s="261">
        <v>185</v>
      </c>
      <c r="I30" s="261">
        <v>1032</v>
      </c>
      <c r="J30" s="261">
        <v>517</v>
      </c>
      <c r="K30" s="261">
        <v>515</v>
      </c>
      <c r="L30" s="261">
        <v>225</v>
      </c>
      <c r="M30" s="260">
        <f t="shared" si="1"/>
        <v>21.802325581395348</v>
      </c>
      <c r="N30" s="261">
        <v>407</v>
      </c>
      <c r="O30" s="260">
        <f t="shared" si="0"/>
        <v>39.437984496124031</v>
      </c>
      <c r="P30" s="261">
        <v>54.93</v>
      </c>
      <c r="Q30" s="261">
        <v>0</v>
      </c>
      <c r="R30" s="260" t="s">
        <v>37</v>
      </c>
      <c r="S30" s="77">
        <v>45332</v>
      </c>
      <c r="T30" s="260"/>
      <c r="U30" s="78"/>
      <c r="V30" s="260"/>
      <c r="W30" s="260"/>
      <c r="X30" s="260"/>
      <c r="Y30" s="260"/>
      <c r="Z30" s="260"/>
      <c r="AA30" s="260"/>
      <c r="AB30" s="260" t="s">
        <v>39</v>
      </c>
      <c r="AC30" s="78">
        <v>10</v>
      </c>
      <c r="AD30" s="260" t="s">
        <v>1052</v>
      </c>
      <c r="AE30" s="264"/>
      <c r="AF30" s="264"/>
    </row>
    <row r="31" spans="1:32" ht="15.75">
      <c r="A31" s="260" t="s">
        <v>51</v>
      </c>
      <c r="B31" s="260" t="s">
        <v>333</v>
      </c>
      <c r="C31" s="13" t="s">
        <v>1048</v>
      </c>
      <c r="D31" s="13" t="s">
        <v>1103</v>
      </c>
      <c r="E31" s="87" t="s">
        <v>1104</v>
      </c>
      <c r="F31" s="13"/>
      <c r="G31" s="261"/>
      <c r="H31" s="261"/>
      <c r="I31" s="261"/>
      <c r="J31" s="261"/>
      <c r="K31" s="261"/>
      <c r="L31" s="261"/>
      <c r="M31" s="260" t="e">
        <f t="shared" si="1"/>
        <v>#DIV/0!</v>
      </c>
      <c r="N31" s="261"/>
      <c r="O31" s="260" t="e">
        <f t="shared" si="0"/>
        <v>#DIV/0!</v>
      </c>
      <c r="P31" s="261"/>
      <c r="Q31" s="261"/>
      <c r="R31" s="260"/>
      <c r="S31" s="77"/>
      <c r="T31" s="260"/>
      <c r="U31" s="78"/>
      <c r="V31" s="260"/>
      <c r="W31" s="260"/>
      <c r="X31" s="260"/>
      <c r="Y31" s="260"/>
      <c r="Z31" s="260"/>
      <c r="AA31" s="260"/>
      <c r="AB31" s="265" t="s">
        <v>39</v>
      </c>
      <c r="AC31" s="19">
        <v>15</v>
      </c>
      <c r="AD31" s="260"/>
      <c r="AE31" s="266">
        <v>24.981999999999999</v>
      </c>
      <c r="AF31" s="266">
        <v>76.876800000000003</v>
      </c>
    </row>
    <row r="32" spans="1:32" ht="15.75">
      <c r="A32" s="260">
        <v>28</v>
      </c>
      <c r="B32" s="260" t="s">
        <v>333</v>
      </c>
      <c r="C32" s="13" t="s">
        <v>1048</v>
      </c>
      <c r="D32" s="13" t="s">
        <v>1103</v>
      </c>
      <c r="E32" s="87" t="s">
        <v>1106</v>
      </c>
      <c r="F32" s="13" t="s">
        <v>1107</v>
      </c>
      <c r="G32" s="261">
        <v>882</v>
      </c>
      <c r="H32" s="261">
        <v>160</v>
      </c>
      <c r="I32" s="261">
        <v>875</v>
      </c>
      <c r="J32" s="261">
        <v>451</v>
      </c>
      <c r="K32" s="261">
        <v>424</v>
      </c>
      <c r="L32" s="261">
        <v>44</v>
      </c>
      <c r="M32" s="260">
        <f t="shared" si="1"/>
        <v>5.0285714285714285</v>
      </c>
      <c r="N32" s="261">
        <v>417</v>
      </c>
      <c r="O32" s="260">
        <f t="shared" si="0"/>
        <v>47.657142857142858</v>
      </c>
      <c r="P32" s="261">
        <v>0</v>
      </c>
      <c r="Q32" s="261">
        <v>510</v>
      </c>
      <c r="R32" s="260" t="s">
        <v>37</v>
      </c>
      <c r="S32" s="77">
        <v>45332</v>
      </c>
      <c r="T32" s="260"/>
      <c r="U32" s="78"/>
      <c r="V32" s="260"/>
      <c r="W32" s="260"/>
      <c r="X32" s="260"/>
      <c r="Y32" s="260"/>
      <c r="Z32" s="260"/>
      <c r="AA32" s="260"/>
      <c r="AB32" s="260" t="s">
        <v>39</v>
      </c>
      <c r="AC32" s="78">
        <v>3</v>
      </c>
      <c r="AD32" s="260" t="s">
        <v>1052</v>
      </c>
      <c r="AE32" s="264"/>
      <c r="AF32" s="264"/>
    </row>
    <row r="33" spans="1:32" ht="15.75">
      <c r="A33" s="260" t="s">
        <v>51</v>
      </c>
      <c r="B33" s="260" t="s">
        <v>333</v>
      </c>
      <c r="C33" s="13" t="s">
        <v>1048</v>
      </c>
      <c r="D33" s="13" t="s">
        <v>1103</v>
      </c>
      <c r="E33" s="87" t="s">
        <v>1106</v>
      </c>
      <c r="F33" s="13"/>
      <c r="G33" s="261"/>
      <c r="H33" s="261"/>
      <c r="I33" s="261"/>
      <c r="J33" s="261"/>
      <c r="K33" s="261"/>
      <c r="L33" s="261"/>
      <c r="M33" s="260" t="e">
        <f t="shared" si="1"/>
        <v>#DIV/0!</v>
      </c>
      <c r="N33" s="261"/>
      <c r="O33" s="260" t="e">
        <f t="shared" si="0"/>
        <v>#DIV/0!</v>
      </c>
      <c r="P33" s="261"/>
      <c r="Q33" s="261"/>
      <c r="R33" s="260"/>
      <c r="S33" s="77"/>
      <c r="T33" s="260"/>
      <c r="U33" s="78"/>
      <c r="V33" s="260"/>
      <c r="W33" s="260"/>
      <c r="X33" s="260"/>
      <c r="Y33" s="260"/>
      <c r="Z33" s="260"/>
      <c r="AA33" s="260"/>
      <c r="AB33" s="267" t="s">
        <v>39</v>
      </c>
      <c r="AC33" s="251">
        <v>13</v>
      </c>
      <c r="AD33" s="265" t="s">
        <v>1108</v>
      </c>
      <c r="AE33" s="266">
        <v>24.997599999999998</v>
      </c>
      <c r="AF33" s="266">
        <v>76.8934</v>
      </c>
    </row>
    <row r="34" spans="1:32" ht="15.75">
      <c r="A34" s="260">
        <v>29</v>
      </c>
      <c r="B34" s="260" t="s">
        <v>333</v>
      </c>
      <c r="C34" s="13" t="s">
        <v>1048</v>
      </c>
      <c r="D34" s="13" t="s">
        <v>1103</v>
      </c>
      <c r="E34" s="87" t="s">
        <v>1109</v>
      </c>
      <c r="F34" s="13" t="s">
        <v>1110</v>
      </c>
      <c r="G34" s="261">
        <v>422</v>
      </c>
      <c r="H34" s="261">
        <v>120</v>
      </c>
      <c r="I34" s="261">
        <v>734</v>
      </c>
      <c r="J34" s="261">
        <v>379</v>
      </c>
      <c r="K34" s="261">
        <v>355</v>
      </c>
      <c r="L34" s="261">
        <v>68</v>
      </c>
      <c r="M34" s="260">
        <f t="shared" si="1"/>
        <v>9.2643051771117158</v>
      </c>
      <c r="N34" s="261">
        <v>89</v>
      </c>
      <c r="O34" s="260">
        <f t="shared" si="0"/>
        <v>12.125340599455042</v>
      </c>
      <c r="P34" s="261">
        <v>49</v>
      </c>
      <c r="Q34" s="261">
        <v>8</v>
      </c>
      <c r="R34" s="260"/>
      <c r="S34" s="77"/>
      <c r="T34" s="260"/>
      <c r="U34" s="78"/>
      <c r="V34" s="260"/>
      <c r="W34" s="260"/>
      <c r="X34" s="260"/>
      <c r="Y34" s="260"/>
      <c r="Z34" s="260"/>
      <c r="AA34" s="260"/>
      <c r="AB34" s="260"/>
      <c r="AC34" s="78"/>
      <c r="AD34" s="260"/>
      <c r="AE34" s="264"/>
      <c r="AF34" s="264"/>
    </row>
    <row r="35" spans="1:32">
      <c r="A35" s="260">
        <v>30</v>
      </c>
      <c r="B35" s="260" t="s">
        <v>333</v>
      </c>
      <c r="C35" s="13" t="s">
        <v>1048</v>
      </c>
      <c r="D35" s="13" t="s">
        <v>1103</v>
      </c>
      <c r="E35" s="87" t="s">
        <v>1111</v>
      </c>
      <c r="F35" s="13" t="s">
        <v>1112</v>
      </c>
      <c r="G35" s="261">
        <v>378.7</v>
      </c>
      <c r="H35" s="261">
        <v>34</v>
      </c>
      <c r="I35" s="261">
        <v>191</v>
      </c>
      <c r="J35" s="261">
        <v>96</v>
      </c>
      <c r="K35" s="261">
        <v>95</v>
      </c>
      <c r="L35" s="261">
        <v>19</v>
      </c>
      <c r="M35" s="260">
        <f t="shared" si="1"/>
        <v>9.9476439790575917</v>
      </c>
      <c r="N35" s="261">
        <v>0</v>
      </c>
      <c r="O35" s="260">
        <f t="shared" si="0"/>
        <v>0</v>
      </c>
      <c r="P35" s="261">
        <v>20.64</v>
      </c>
      <c r="Q35" s="261">
        <v>211.56</v>
      </c>
      <c r="R35" s="260"/>
      <c r="S35" s="13"/>
      <c r="T35" s="260"/>
      <c r="U35" s="13"/>
      <c r="V35" s="260"/>
      <c r="W35" s="260"/>
      <c r="X35" s="260"/>
      <c r="Y35" s="260"/>
      <c r="Z35" s="260"/>
      <c r="AA35" s="260"/>
      <c r="AB35" s="260"/>
      <c r="AC35" s="13"/>
      <c r="AD35" s="260"/>
      <c r="AE35" s="264"/>
      <c r="AF35" s="264"/>
    </row>
    <row r="36" spans="1:32">
      <c r="A36" s="260">
        <v>31</v>
      </c>
      <c r="B36" s="260" t="s">
        <v>333</v>
      </c>
      <c r="C36" s="13" t="s">
        <v>1048</v>
      </c>
      <c r="D36" s="13" t="s">
        <v>1113</v>
      </c>
      <c r="E36" s="87" t="s">
        <v>1114</v>
      </c>
      <c r="F36" s="13" t="s">
        <v>1115</v>
      </c>
      <c r="G36" s="261">
        <v>438</v>
      </c>
      <c r="H36" s="261">
        <v>170</v>
      </c>
      <c r="I36" s="261">
        <v>861</v>
      </c>
      <c r="J36" s="261">
        <v>447</v>
      </c>
      <c r="K36" s="261">
        <v>414</v>
      </c>
      <c r="L36" s="261">
        <v>20</v>
      </c>
      <c r="M36" s="260">
        <f t="shared" si="1"/>
        <v>2.3228803716608595</v>
      </c>
      <c r="N36" s="261">
        <v>515</v>
      </c>
      <c r="O36" s="260">
        <f t="shared" si="0"/>
        <v>59.814169570267126</v>
      </c>
      <c r="P36" s="261">
        <v>22</v>
      </c>
      <c r="Q36" s="261">
        <v>0</v>
      </c>
      <c r="R36" s="260" t="s">
        <v>37</v>
      </c>
      <c r="S36" s="64">
        <v>45958</v>
      </c>
      <c r="T36" s="260"/>
      <c r="U36" s="15">
        <v>38.69</v>
      </c>
      <c r="V36" s="260"/>
      <c r="W36" s="260"/>
      <c r="X36" s="260"/>
      <c r="Y36" s="260"/>
      <c r="Z36" s="260"/>
      <c r="AA36" s="260"/>
      <c r="AB36" s="260" t="s">
        <v>39</v>
      </c>
      <c r="AC36" s="15">
        <v>14</v>
      </c>
      <c r="AD36" s="260" t="s">
        <v>1052</v>
      </c>
      <c r="AE36" s="264"/>
      <c r="AF36" s="264"/>
    </row>
    <row r="37" spans="1:32">
      <c r="A37" s="260">
        <v>32</v>
      </c>
      <c r="B37" s="260" t="s">
        <v>333</v>
      </c>
      <c r="C37" s="13" t="s">
        <v>1048</v>
      </c>
      <c r="D37" s="13" t="s">
        <v>1113</v>
      </c>
      <c r="E37" s="87" t="s">
        <v>1116</v>
      </c>
      <c r="F37" s="13" t="s">
        <v>1117</v>
      </c>
      <c r="G37" s="261">
        <v>817</v>
      </c>
      <c r="H37" s="261">
        <v>77</v>
      </c>
      <c r="I37" s="261">
        <v>418</v>
      </c>
      <c r="J37" s="261">
        <v>204</v>
      </c>
      <c r="K37" s="261">
        <v>214</v>
      </c>
      <c r="L37" s="261">
        <v>5</v>
      </c>
      <c r="M37" s="260">
        <f t="shared" si="1"/>
        <v>1.1961722488038278</v>
      </c>
      <c r="N37" s="261">
        <v>0</v>
      </c>
      <c r="O37" s="260">
        <f t="shared" si="0"/>
        <v>0</v>
      </c>
      <c r="P37" s="261">
        <v>0</v>
      </c>
      <c r="Q37" s="261">
        <v>780</v>
      </c>
      <c r="R37" s="260"/>
      <c r="S37" s="13"/>
      <c r="T37" s="260"/>
      <c r="U37" s="13"/>
      <c r="V37" s="260"/>
      <c r="W37" s="260"/>
      <c r="X37" s="260"/>
      <c r="Y37" s="260"/>
      <c r="Z37" s="260"/>
      <c r="AA37" s="260"/>
      <c r="AB37" s="260"/>
      <c r="AC37" s="13">
        <v>7</v>
      </c>
      <c r="AD37" s="260"/>
      <c r="AE37" s="264"/>
      <c r="AF37" s="264"/>
    </row>
    <row r="38" spans="1:32">
      <c r="A38" s="260">
        <v>33</v>
      </c>
      <c r="B38" s="260" t="s">
        <v>333</v>
      </c>
      <c r="C38" s="13" t="s">
        <v>1048</v>
      </c>
      <c r="D38" s="13" t="s">
        <v>1113</v>
      </c>
      <c r="E38" s="87" t="s">
        <v>1109</v>
      </c>
      <c r="F38" s="13" t="s">
        <v>1118</v>
      </c>
      <c r="G38" s="261">
        <v>431</v>
      </c>
      <c r="H38" s="261">
        <v>79</v>
      </c>
      <c r="I38" s="261">
        <v>398</v>
      </c>
      <c r="J38" s="261">
        <v>201</v>
      </c>
      <c r="K38" s="261">
        <v>197</v>
      </c>
      <c r="L38" s="261">
        <v>5</v>
      </c>
      <c r="M38" s="260">
        <f t="shared" si="1"/>
        <v>1.256281407035176</v>
      </c>
      <c r="N38" s="261">
        <v>196</v>
      </c>
      <c r="O38" s="260">
        <f t="shared" si="0"/>
        <v>49.246231155778894</v>
      </c>
      <c r="P38" s="261">
        <v>53</v>
      </c>
      <c r="Q38" s="261">
        <v>290</v>
      </c>
      <c r="R38" s="260" t="s">
        <v>37</v>
      </c>
      <c r="S38" s="64">
        <v>45958</v>
      </c>
      <c r="T38" s="260"/>
      <c r="U38" s="15">
        <v>52.66</v>
      </c>
      <c r="V38" s="260"/>
      <c r="W38" s="260"/>
      <c r="X38" s="260"/>
      <c r="Y38" s="260"/>
      <c r="Z38" s="260"/>
      <c r="AA38" s="260"/>
      <c r="AB38" s="260" t="s">
        <v>39</v>
      </c>
      <c r="AC38" s="15">
        <v>14</v>
      </c>
      <c r="AD38" s="260" t="s">
        <v>1052</v>
      </c>
      <c r="AE38" s="264"/>
      <c r="AF38" s="264"/>
    </row>
    <row r="39" spans="1:32">
      <c r="A39" s="260">
        <v>34</v>
      </c>
      <c r="B39" s="260" t="s">
        <v>333</v>
      </c>
      <c r="C39" s="13" t="s">
        <v>1048</v>
      </c>
      <c r="D39" s="13" t="s">
        <v>1113</v>
      </c>
      <c r="E39" s="87" t="s">
        <v>1119</v>
      </c>
      <c r="F39" s="13" t="s">
        <v>1120</v>
      </c>
      <c r="G39" s="261">
        <v>422</v>
      </c>
      <c r="H39" s="261">
        <v>135</v>
      </c>
      <c r="I39" s="261">
        <v>643</v>
      </c>
      <c r="J39" s="261">
        <v>342</v>
      </c>
      <c r="K39" s="261">
        <v>301</v>
      </c>
      <c r="L39" s="261">
        <v>18</v>
      </c>
      <c r="M39" s="260">
        <f t="shared" si="1"/>
        <v>2.7993779160186625</v>
      </c>
      <c r="N39" s="261">
        <v>544</v>
      </c>
      <c r="O39" s="260">
        <f t="shared" si="0"/>
        <v>84.603421461897355</v>
      </c>
      <c r="P39" s="261">
        <v>46</v>
      </c>
      <c r="Q39" s="261">
        <v>23</v>
      </c>
      <c r="R39" s="260"/>
      <c r="S39" s="13"/>
      <c r="T39" s="260"/>
      <c r="U39" s="13"/>
      <c r="V39" s="260"/>
      <c r="W39" s="260"/>
      <c r="X39" s="260"/>
      <c r="Y39" s="260"/>
      <c r="Z39" s="260"/>
      <c r="AA39" s="260"/>
      <c r="AB39" s="260"/>
      <c r="AC39" s="13"/>
      <c r="AD39" s="260"/>
      <c r="AE39" s="264"/>
      <c r="AF39" s="264"/>
    </row>
    <row r="40" spans="1:32">
      <c r="A40" s="260">
        <v>35</v>
      </c>
      <c r="B40" s="260" t="s">
        <v>333</v>
      </c>
      <c r="C40" s="13" t="s">
        <v>1048</v>
      </c>
      <c r="D40" s="13" t="s">
        <v>1113</v>
      </c>
      <c r="E40" s="87" t="s">
        <v>1121</v>
      </c>
      <c r="F40" s="13" t="s">
        <v>1122</v>
      </c>
      <c r="G40" s="261">
        <v>351</v>
      </c>
      <c r="H40" s="261">
        <v>147</v>
      </c>
      <c r="I40" s="261">
        <v>738</v>
      </c>
      <c r="J40" s="261">
        <v>381</v>
      </c>
      <c r="K40" s="261">
        <v>357</v>
      </c>
      <c r="L40" s="261">
        <v>21</v>
      </c>
      <c r="M40" s="260">
        <f t="shared" si="1"/>
        <v>2.8455284552845526</v>
      </c>
      <c r="N40" s="261">
        <v>395</v>
      </c>
      <c r="O40" s="260">
        <f t="shared" si="0"/>
        <v>53.523035230352299</v>
      </c>
      <c r="P40" s="261">
        <v>8</v>
      </c>
      <c r="Q40" s="261">
        <v>59</v>
      </c>
      <c r="R40" s="260" t="s">
        <v>37</v>
      </c>
      <c r="S40" s="79" t="s">
        <v>1123</v>
      </c>
      <c r="T40" s="260"/>
      <c r="U40" s="80"/>
      <c r="V40" s="260"/>
      <c r="W40" s="260"/>
      <c r="X40" s="260"/>
      <c r="Y40" s="260"/>
      <c r="Z40" s="260"/>
      <c r="AA40" s="260"/>
      <c r="AB40" s="260" t="s">
        <v>39</v>
      </c>
      <c r="AC40" s="80">
        <v>8</v>
      </c>
      <c r="AD40" s="260" t="s">
        <v>1052</v>
      </c>
      <c r="AE40" s="264"/>
      <c r="AF40" s="264"/>
    </row>
    <row r="41" spans="1:32">
      <c r="A41" s="260">
        <v>36</v>
      </c>
      <c r="B41" s="260" t="s">
        <v>333</v>
      </c>
      <c r="C41" s="13" t="s">
        <v>1048</v>
      </c>
      <c r="D41" s="13" t="s">
        <v>1124</v>
      </c>
      <c r="E41" s="87" t="s">
        <v>1125</v>
      </c>
      <c r="F41" s="13" t="s">
        <v>1126</v>
      </c>
      <c r="G41" s="261">
        <v>2805.66</v>
      </c>
      <c r="H41" s="261">
        <v>322</v>
      </c>
      <c r="I41" s="261">
        <v>1545</v>
      </c>
      <c r="J41" s="261">
        <v>795</v>
      </c>
      <c r="K41" s="261">
        <v>750</v>
      </c>
      <c r="L41" s="261">
        <v>146</v>
      </c>
      <c r="M41" s="260">
        <f t="shared" si="1"/>
        <v>9.4498381877022659</v>
      </c>
      <c r="N41" s="261">
        <v>533</v>
      </c>
      <c r="O41" s="260">
        <f t="shared" si="0"/>
        <v>34.498381877022652</v>
      </c>
      <c r="P41" s="261">
        <v>33.4</v>
      </c>
      <c r="Q41" s="261">
        <v>2070.46</v>
      </c>
      <c r="R41" s="260"/>
      <c r="S41" s="79"/>
      <c r="T41" s="260"/>
      <c r="U41" s="80">
        <v>40</v>
      </c>
      <c r="V41" s="260"/>
      <c r="W41" s="260"/>
      <c r="X41" s="260"/>
      <c r="Y41" s="260"/>
      <c r="Z41" s="260"/>
      <c r="AA41" s="260"/>
      <c r="AB41" s="260" t="s">
        <v>39</v>
      </c>
      <c r="AC41" s="80">
        <v>2</v>
      </c>
      <c r="AD41" s="260" t="s">
        <v>1052</v>
      </c>
      <c r="AE41" s="264"/>
      <c r="AF41" s="264"/>
    </row>
    <row r="42" spans="1:32" ht="15.75">
      <c r="A42" s="260">
        <v>37</v>
      </c>
      <c r="B42" s="260" t="s">
        <v>333</v>
      </c>
      <c r="C42" s="13" t="s">
        <v>1048</v>
      </c>
      <c r="D42" s="13" t="s">
        <v>1124</v>
      </c>
      <c r="E42" s="87" t="s">
        <v>1127</v>
      </c>
      <c r="F42" s="13" t="s">
        <v>1128</v>
      </c>
      <c r="G42" s="261">
        <v>282.95999999999998</v>
      </c>
      <c r="H42" s="261">
        <v>218</v>
      </c>
      <c r="I42" s="261">
        <v>1067</v>
      </c>
      <c r="J42" s="261">
        <v>543</v>
      </c>
      <c r="K42" s="261">
        <v>524</v>
      </c>
      <c r="L42" s="261">
        <v>133</v>
      </c>
      <c r="M42" s="260">
        <f t="shared" si="1"/>
        <v>12.46485473289597</v>
      </c>
      <c r="N42" s="261">
        <v>270</v>
      </c>
      <c r="O42" s="260">
        <f t="shared" si="0"/>
        <v>25.304592314901591</v>
      </c>
      <c r="P42" s="261">
        <v>11.94</v>
      </c>
      <c r="Q42" s="261">
        <v>154.76</v>
      </c>
      <c r="R42" s="260" t="s">
        <v>37</v>
      </c>
      <c r="S42" s="77">
        <v>45332</v>
      </c>
      <c r="T42" s="260"/>
      <c r="U42" s="15"/>
      <c r="V42" s="260"/>
      <c r="W42" s="260"/>
      <c r="X42" s="260"/>
      <c r="Y42" s="260"/>
      <c r="Z42" s="260"/>
      <c r="AA42" s="260"/>
      <c r="AB42" s="260" t="s">
        <v>39</v>
      </c>
      <c r="AC42" s="78">
        <v>4</v>
      </c>
      <c r="AD42" s="260" t="s">
        <v>1052</v>
      </c>
      <c r="AE42" s="262"/>
      <c r="AF42" s="262"/>
    </row>
    <row r="43" spans="1:32" ht="15.75">
      <c r="A43" s="260">
        <v>38</v>
      </c>
      <c r="B43" s="260" t="s">
        <v>333</v>
      </c>
      <c r="C43" s="13" t="s">
        <v>1048</v>
      </c>
      <c r="D43" s="13" t="s">
        <v>1124</v>
      </c>
      <c r="E43" s="87" t="s">
        <v>1129</v>
      </c>
      <c r="F43" s="13" t="s">
        <v>1130</v>
      </c>
      <c r="G43" s="261">
        <v>293.24</v>
      </c>
      <c r="H43" s="261">
        <v>204</v>
      </c>
      <c r="I43" s="261">
        <v>894</v>
      </c>
      <c r="J43" s="261">
        <v>446</v>
      </c>
      <c r="K43" s="261">
        <v>448</v>
      </c>
      <c r="L43" s="261">
        <v>798</v>
      </c>
      <c r="M43" s="260">
        <f t="shared" si="1"/>
        <v>89.261744966442961</v>
      </c>
      <c r="N43" s="261">
        <v>61</v>
      </c>
      <c r="O43" s="260">
        <f t="shared" si="0"/>
        <v>6.8232662192393736</v>
      </c>
      <c r="P43" s="261">
        <v>3.1</v>
      </c>
      <c r="Q43" s="261">
        <v>74.900000000000006</v>
      </c>
      <c r="R43" s="260" t="s">
        <v>37</v>
      </c>
      <c r="S43" s="77">
        <v>45332</v>
      </c>
      <c r="T43" s="260"/>
      <c r="U43" s="13"/>
      <c r="V43" s="260"/>
      <c r="W43" s="260"/>
      <c r="X43" s="260"/>
      <c r="Y43" s="260"/>
      <c r="Z43" s="260"/>
      <c r="AA43" s="260"/>
      <c r="AB43" s="260" t="s">
        <v>39</v>
      </c>
      <c r="AC43" s="78">
        <v>3</v>
      </c>
      <c r="AD43" s="260" t="s">
        <v>1052</v>
      </c>
      <c r="AE43" s="266">
        <v>24.9894</v>
      </c>
      <c r="AF43" s="266">
        <v>76.401700000000005</v>
      </c>
    </row>
    <row r="44" spans="1:32">
      <c r="A44" s="260">
        <v>39</v>
      </c>
      <c r="B44" s="260" t="s">
        <v>333</v>
      </c>
      <c r="C44" s="13" t="s">
        <v>1048</v>
      </c>
      <c r="D44" s="13" t="s">
        <v>1131</v>
      </c>
      <c r="E44" s="87" t="s">
        <v>1132</v>
      </c>
      <c r="F44" s="13" t="s">
        <v>1133</v>
      </c>
      <c r="G44" s="261">
        <v>4874.42</v>
      </c>
      <c r="H44" s="261">
        <v>1885</v>
      </c>
      <c r="I44" s="261">
        <v>9266</v>
      </c>
      <c r="J44" s="261">
        <v>4772</v>
      </c>
      <c r="K44" s="261">
        <v>4494</v>
      </c>
      <c r="L44" s="261">
        <v>504</v>
      </c>
      <c r="M44" s="260">
        <f t="shared" si="1"/>
        <v>5.4392402331102954</v>
      </c>
      <c r="N44" s="261">
        <v>1610</v>
      </c>
      <c r="O44" s="260">
        <f t="shared" si="0"/>
        <v>17.37535074465789</v>
      </c>
      <c r="P44" s="261">
        <v>262.14999999999998</v>
      </c>
      <c r="Q44" s="261">
        <v>2818.02</v>
      </c>
      <c r="R44" s="260" t="s">
        <v>37</v>
      </c>
      <c r="S44" s="76" t="s">
        <v>1134</v>
      </c>
      <c r="T44" s="260"/>
      <c r="U44" s="76">
        <v>1.29</v>
      </c>
      <c r="V44" s="260"/>
      <c r="W44" s="260"/>
      <c r="X44" s="260"/>
      <c r="Y44" s="260"/>
      <c r="Z44" s="260"/>
      <c r="AA44" s="260"/>
      <c r="AB44" s="260" t="s">
        <v>39</v>
      </c>
      <c r="AC44" s="76">
        <v>20</v>
      </c>
      <c r="AD44" s="260" t="s">
        <v>1052</v>
      </c>
      <c r="AE44" s="266">
        <v>24.975300000000001</v>
      </c>
      <c r="AF44" s="266">
        <v>76.416200000000003</v>
      </c>
    </row>
    <row r="45" spans="1:32">
      <c r="A45" s="260">
        <v>40</v>
      </c>
      <c r="B45" s="260" t="s">
        <v>333</v>
      </c>
      <c r="C45" s="13" t="s">
        <v>1048</v>
      </c>
      <c r="D45" s="13" t="s">
        <v>1135</v>
      </c>
      <c r="E45" s="87" t="s">
        <v>1136</v>
      </c>
      <c r="F45" s="13" t="s">
        <v>1137</v>
      </c>
      <c r="G45" s="261">
        <v>1568</v>
      </c>
      <c r="H45" s="261">
        <v>380</v>
      </c>
      <c r="I45" s="261">
        <v>1816</v>
      </c>
      <c r="J45" s="261">
        <v>983</v>
      </c>
      <c r="K45" s="261">
        <v>833</v>
      </c>
      <c r="L45" s="261">
        <v>672</v>
      </c>
      <c r="M45" s="260">
        <f t="shared" si="1"/>
        <v>37.004405286343612</v>
      </c>
      <c r="N45" s="261">
        <v>438</v>
      </c>
      <c r="O45" s="260">
        <f t="shared" si="0"/>
        <v>24.118942731277532</v>
      </c>
      <c r="P45" s="261">
        <v>106</v>
      </c>
      <c r="Q45" s="261">
        <v>985</v>
      </c>
      <c r="R45" s="260" t="s">
        <v>37</v>
      </c>
      <c r="S45" s="76" t="s">
        <v>1138</v>
      </c>
      <c r="T45" s="260"/>
      <c r="U45" s="76"/>
      <c r="V45" s="260"/>
      <c r="W45" s="260"/>
      <c r="X45" s="260"/>
      <c r="Y45" s="260"/>
      <c r="Z45" s="260"/>
      <c r="AA45" s="260"/>
      <c r="AB45" s="260"/>
      <c r="AC45" s="76"/>
      <c r="AD45" s="260"/>
      <c r="AE45" s="266">
        <v>24.970099999999999</v>
      </c>
      <c r="AF45" s="266">
        <v>76.387500000000003</v>
      </c>
    </row>
    <row r="46" spans="1:32">
      <c r="A46" s="260">
        <v>41</v>
      </c>
      <c r="B46" s="260" t="s">
        <v>333</v>
      </c>
      <c r="C46" s="13" t="s">
        <v>1048</v>
      </c>
      <c r="D46" s="13" t="s">
        <v>1135</v>
      </c>
      <c r="E46" s="87" t="s">
        <v>1139</v>
      </c>
      <c r="F46" s="13" t="s">
        <v>1140</v>
      </c>
      <c r="G46" s="261">
        <v>213</v>
      </c>
      <c r="H46" s="261">
        <v>77</v>
      </c>
      <c r="I46" s="261">
        <v>372</v>
      </c>
      <c r="J46" s="261">
        <v>192</v>
      </c>
      <c r="K46" s="261">
        <v>180</v>
      </c>
      <c r="L46" s="261">
        <v>42</v>
      </c>
      <c r="M46" s="260">
        <f t="shared" si="1"/>
        <v>11.29032258064516</v>
      </c>
      <c r="N46" s="261">
        <v>48</v>
      </c>
      <c r="O46" s="260">
        <f t="shared" si="0"/>
        <v>12.903225806451612</v>
      </c>
      <c r="P46" s="261">
        <v>19</v>
      </c>
      <c r="Q46" s="261">
        <v>0</v>
      </c>
      <c r="R46" s="260" t="s">
        <v>37</v>
      </c>
      <c r="S46" s="76" t="s">
        <v>1138</v>
      </c>
      <c r="T46" s="260"/>
      <c r="U46" s="76"/>
      <c r="V46" s="260"/>
      <c r="W46" s="260"/>
      <c r="X46" s="260"/>
      <c r="Y46" s="260"/>
      <c r="Z46" s="260"/>
      <c r="AA46" s="260"/>
      <c r="AB46" s="260" t="s">
        <v>39</v>
      </c>
      <c r="AC46" s="76">
        <v>10</v>
      </c>
      <c r="AD46" s="260" t="s">
        <v>1052</v>
      </c>
      <c r="AE46" s="266">
        <v>24.9557</v>
      </c>
      <c r="AF46" s="266">
        <v>76.428299999999993</v>
      </c>
    </row>
    <row r="47" spans="1:32">
      <c r="A47" s="260">
        <v>42</v>
      </c>
      <c r="B47" s="260" t="s">
        <v>333</v>
      </c>
      <c r="C47" s="13" t="s">
        <v>1048</v>
      </c>
      <c r="D47" s="13" t="s">
        <v>1135</v>
      </c>
      <c r="E47" s="87" t="s">
        <v>1141</v>
      </c>
      <c r="F47" s="13" t="s">
        <v>1142</v>
      </c>
      <c r="G47" s="261">
        <v>129</v>
      </c>
      <c r="H47" s="261">
        <v>52</v>
      </c>
      <c r="I47" s="261">
        <v>290</v>
      </c>
      <c r="J47" s="261">
        <v>152</v>
      </c>
      <c r="K47" s="261">
        <v>138</v>
      </c>
      <c r="L47" s="261">
        <v>0</v>
      </c>
      <c r="M47" s="260">
        <f t="shared" si="1"/>
        <v>0</v>
      </c>
      <c r="N47" s="261">
        <v>0</v>
      </c>
      <c r="O47" s="260">
        <f t="shared" si="0"/>
        <v>0</v>
      </c>
      <c r="P47" s="261">
        <v>0</v>
      </c>
      <c r="Q47" s="261">
        <v>0</v>
      </c>
      <c r="R47" s="260" t="s">
        <v>37</v>
      </c>
      <c r="S47" s="76" t="s">
        <v>1138</v>
      </c>
      <c r="T47" s="260"/>
      <c r="U47" s="76"/>
      <c r="V47" s="260"/>
      <c r="W47" s="260"/>
      <c r="X47" s="260"/>
      <c r="Y47" s="260"/>
      <c r="Z47" s="260"/>
      <c r="AA47" s="260"/>
      <c r="AB47" s="260" t="s">
        <v>39</v>
      </c>
      <c r="AC47" s="76">
        <v>8</v>
      </c>
      <c r="AD47" s="260" t="s">
        <v>1052</v>
      </c>
      <c r="AE47" s="83"/>
      <c r="AF47" s="83"/>
    </row>
    <row r="48" spans="1:32">
      <c r="A48" s="260">
        <v>43</v>
      </c>
      <c r="B48" s="260" t="s">
        <v>333</v>
      </c>
      <c r="C48" s="13" t="s">
        <v>1048</v>
      </c>
      <c r="D48" s="13" t="s">
        <v>1135</v>
      </c>
      <c r="E48" s="87" t="s">
        <v>320</v>
      </c>
      <c r="F48" s="13" t="s">
        <v>1143</v>
      </c>
      <c r="G48" s="261">
        <v>329</v>
      </c>
      <c r="H48" s="261">
        <v>104</v>
      </c>
      <c r="I48" s="261">
        <v>545</v>
      </c>
      <c r="J48" s="261">
        <v>286</v>
      </c>
      <c r="K48" s="261">
        <v>259</v>
      </c>
      <c r="L48" s="261">
        <v>5</v>
      </c>
      <c r="M48" s="260">
        <f t="shared" si="1"/>
        <v>0.91743119266055051</v>
      </c>
      <c r="N48" s="261">
        <v>386</v>
      </c>
      <c r="O48" s="260">
        <f t="shared" si="0"/>
        <v>70.825688073394502</v>
      </c>
      <c r="P48" s="261">
        <v>28</v>
      </c>
      <c r="Q48" s="261">
        <v>42</v>
      </c>
      <c r="R48" s="260" t="s">
        <v>37</v>
      </c>
      <c r="S48" s="76" t="s">
        <v>1138</v>
      </c>
      <c r="T48" s="260"/>
      <c r="U48" s="76"/>
      <c r="V48" s="260"/>
      <c r="W48" s="260"/>
      <c r="X48" s="260"/>
      <c r="Y48" s="260"/>
      <c r="Z48" s="260"/>
      <c r="AA48" s="260"/>
      <c r="AB48" s="260" t="s">
        <v>39</v>
      </c>
      <c r="AC48" s="76">
        <v>8</v>
      </c>
      <c r="AD48" s="260" t="s">
        <v>1052</v>
      </c>
      <c r="AE48" s="83">
        <v>25.189399999999999</v>
      </c>
      <c r="AF48" s="83">
        <v>76.603099999999998</v>
      </c>
    </row>
    <row r="49" spans="1:32">
      <c r="A49" s="260" t="s">
        <v>51</v>
      </c>
      <c r="B49" s="260" t="s">
        <v>333</v>
      </c>
      <c r="C49" s="13" t="s">
        <v>1048</v>
      </c>
      <c r="D49" s="13" t="s">
        <v>1135</v>
      </c>
      <c r="E49" s="87" t="s">
        <v>320</v>
      </c>
      <c r="F49" s="13"/>
      <c r="G49" s="261"/>
      <c r="H49" s="261"/>
      <c r="I49" s="261"/>
      <c r="J49" s="261"/>
      <c r="K49" s="261"/>
      <c r="L49" s="261"/>
      <c r="M49" s="260" t="e">
        <f t="shared" si="1"/>
        <v>#DIV/0!</v>
      </c>
      <c r="N49" s="261"/>
      <c r="O49" s="260" t="e">
        <f t="shared" si="0"/>
        <v>#DIV/0!</v>
      </c>
      <c r="P49" s="261"/>
      <c r="Q49" s="261"/>
      <c r="R49" s="260"/>
      <c r="S49" s="76"/>
      <c r="T49" s="260"/>
      <c r="U49" s="76"/>
      <c r="V49" s="260"/>
      <c r="W49" s="260"/>
      <c r="X49" s="260"/>
      <c r="Y49" s="260"/>
      <c r="Z49" s="260"/>
      <c r="AA49" s="260"/>
      <c r="AB49" s="260" t="s">
        <v>39</v>
      </c>
      <c r="AC49" s="76">
        <v>10</v>
      </c>
      <c r="AD49" s="260"/>
      <c r="AE49" s="65">
        <v>24.7041</v>
      </c>
      <c r="AF49" s="65">
        <v>76.185199999999995</v>
      </c>
    </row>
    <row r="50" spans="1:32">
      <c r="A50" s="260">
        <v>44</v>
      </c>
      <c r="B50" s="260" t="s">
        <v>333</v>
      </c>
      <c r="C50" s="13" t="s">
        <v>1048</v>
      </c>
      <c r="D50" s="13" t="s">
        <v>1135</v>
      </c>
      <c r="E50" s="87" t="s">
        <v>1144</v>
      </c>
      <c r="F50" s="13" t="s">
        <v>1145</v>
      </c>
      <c r="G50" s="261">
        <v>1189</v>
      </c>
      <c r="H50" s="261">
        <v>90</v>
      </c>
      <c r="I50" s="261">
        <v>436</v>
      </c>
      <c r="J50" s="261">
        <v>223</v>
      </c>
      <c r="K50" s="261">
        <v>213</v>
      </c>
      <c r="L50" s="261">
        <v>81</v>
      </c>
      <c r="M50" s="260">
        <f t="shared" si="1"/>
        <v>18.577981651376145</v>
      </c>
      <c r="N50" s="261">
        <v>172</v>
      </c>
      <c r="O50" s="260">
        <f t="shared" si="0"/>
        <v>39.449541284403672</v>
      </c>
      <c r="P50" s="261">
        <v>58</v>
      </c>
      <c r="Q50" s="261">
        <v>399</v>
      </c>
      <c r="R50" s="260" t="s">
        <v>37</v>
      </c>
      <c r="S50" s="76" t="s">
        <v>1138</v>
      </c>
      <c r="T50" s="260"/>
      <c r="U50" s="76"/>
      <c r="V50" s="260"/>
      <c r="W50" s="260"/>
      <c r="X50" s="260"/>
      <c r="Y50" s="260"/>
      <c r="Z50" s="260"/>
      <c r="AA50" s="260"/>
      <c r="AB50" s="260" t="s">
        <v>39</v>
      </c>
      <c r="AC50" s="76">
        <v>11</v>
      </c>
      <c r="AD50" s="260" t="s">
        <v>1052</v>
      </c>
      <c r="AE50" s="83">
        <v>25.183599999999998</v>
      </c>
      <c r="AF50" s="83">
        <v>76.611800000000002</v>
      </c>
    </row>
    <row r="51" spans="1:32">
      <c r="A51" s="260" t="s">
        <v>51</v>
      </c>
      <c r="B51" s="260" t="s">
        <v>333</v>
      </c>
      <c r="C51" s="13" t="s">
        <v>1048</v>
      </c>
      <c r="D51" s="13" t="s">
        <v>1135</v>
      </c>
      <c r="E51" s="87" t="s">
        <v>1144</v>
      </c>
      <c r="F51" s="13"/>
      <c r="G51" s="261"/>
      <c r="H51" s="261"/>
      <c r="I51" s="261"/>
      <c r="J51" s="261"/>
      <c r="K51" s="261"/>
      <c r="L51" s="261"/>
      <c r="M51" s="260" t="e">
        <f t="shared" si="1"/>
        <v>#DIV/0!</v>
      </c>
      <c r="N51" s="261"/>
      <c r="O51" s="260" t="e">
        <f t="shared" si="0"/>
        <v>#DIV/0!</v>
      </c>
      <c r="P51" s="261"/>
      <c r="Q51" s="261"/>
      <c r="R51" s="260"/>
      <c r="S51" s="76"/>
      <c r="T51" s="260"/>
      <c r="U51" s="76"/>
      <c r="V51" s="260"/>
      <c r="W51" s="260"/>
      <c r="X51" s="260"/>
      <c r="Y51" s="260"/>
      <c r="Z51" s="260"/>
      <c r="AA51" s="260"/>
      <c r="AB51" s="260" t="s">
        <v>39</v>
      </c>
      <c r="AC51" s="76">
        <v>17</v>
      </c>
      <c r="AD51" s="260"/>
      <c r="AE51" s="65">
        <v>24.6874</v>
      </c>
      <c r="AF51" s="65">
        <v>76.209599999999995</v>
      </c>
    </row>
    <row r="52" spans="1:32">
      <c r="A52" s="260">
        <v>45</v>
      </c>
      <c r="B52" s="260" t="s">
        <v>333</v>
      </c>
      <c r="C52" s="13" t="s">
        <v>1048</v>
      </c>
      <c r="D52" s="13" t="s">
        <v>1146</v>
      </c>
      <c r="E52" s="87" t="s">
        <v>1147</v>
      </c>
      <c r="F52" s="13" t="s">
        <v>1148</v>
      </c>
      <c r="G52" s="261">
        <v>358</v>
      </c>
      <c r="H52" s="261">
        <v>144</v>
      </c>
      <c r="I52" s="261">
        <v>794</v>
      </c>
      <c r="J52" s="261">
        <v>424</v>
      </c>
      <c r="K52" s="261">
        <v>370</v>
      </c>
      <c r="L52" s="261">
        <v>12</v>
      </c>
      <c r="M52" s="260">
        <f t="shared" si="1"/>
        <v>1.5113350125944585</v>
      </c>
      <c r="N52" s="261">
        <v>712</v>
      </c>
      <c r="O52" s="260">
        <f t="shared" si="0"/>
        <v>89.672544080604538</v>
      </c>
      <c r="P52" s="261">
        <v>39.049999999999997</v>
      </c>
      <c r="Q52" s="261">
        <v>0</v>
      </c>
      <c r="R52" s="260" t="s">
        <v>37</v>
      </c>
      <c r="S52" s="13" t="s">
        <v>37</v>
      </c>
      <c r="T52" s="260"/>
      <c r="U52" s="13"/>
      <c r="V52" s="260"/>
      <c r="W52" s="260"/>
      <c r="X52" s="260"/>
      <c r="Y52" s="260"/>
      <c r="Z52" s="260"/>
      <c r="AA52" s="260"/>
      <c r="AB52" s="260"/>
      <c r="AC52" s="13"/>
      <c r="AD52" s="260"/>
    </row>
    <row r="53" spans="1:32" ht="15.75">
      <c r="A53" s="260">
        <v>46</v>
      </c>
      <c r="B53" s="260" t="s">
        <v>333</v>
      </c>
      <c r="C53" s="13" t="s">
        <v>1048</v>
      </c>
      <c r="D53" s="13" t="s">
        <v>1146</v>
      </c>
      <c r="E53" s="87" t="s">
        <v>1149</v>
      </c>
      <c r="F53" s="13" t="s">
        <v>1150</v>
      </c>
      <c r="G53" s="261">
        <v>423.05</v>
      </c>
      <c r="H53" s="261">
        <v>107</v>
      </c>
      <c r="I53" s="261">
        <v>524</v>
      </c>
      <c r="J53" s="261">
        <v>268</v>
      </c>
      <c r="K53" s="261">
        <v>256</v>
      </c>
      <c r="L53" s="261">
        <v>7</v>
      </c>
      <c r="M53" s="260">
        <f t="shared" si="1"/>
        <v>1.3358778625954197</v>
      </c>
      <c r="N53" s="261">
        <v>4</v>
      </c>
      <c r="O53" s="260">
        <f t="shared" si="0"/>
        <v>0.76335877862595414</v>
      </c>
      <c r="P53" s="261">
        <v>25.05</v>
      </c>
      <c r="Q53" s="261">
        <v>139.15</v>
      </c>
      <c r="R53" s="260" t="s">
        <v>37</v>
      </c>
      <c r="S53" s="77">
        <v>45332</v>
      </c>
      <c r="T53" s="260"/>
      <c r="U53" s="78"/>
      <c r="V53" s="260"/>
      <c r="W53" s="260"/>
      <c r="X53" s="260"/>
      <c r="Y53" s="260"/>
      <c r="Z53" s="260"/>
      <c r="AA53" s="260"/>
      <c r="AB53" s="260" t="s">
        <v>39</v>
      </c>
      <c r="AC53" s="78">
        <v>9</v>
      </c>
      <c r="AD53" s="260" t="s">
        <v>1052</v>
      </c>
      <c r="AE53" s="83">
        <v>25.1769</v>
      </c>
      <c r="AF53" s="83">
        <v>76.595399999999998</v>
      </c>
    </row>
    <row r="54" spans="1:32" ht="15.75">
      <c r="A54" s="260">
        <v>47</v>
      </c>
      <c r="B54" s="260" t="s">
        <v>333</v>
      </c>
      <c r="C54" s="13" t="s">
        <v>1048</v>
      </c>
      <c r="D54" s="13" t="s">
        <v>1146</v>
      </c>
      <c r="E54" s="87" t="s">
        <v>1151</v>
      </c>
      <c r="F54" s="13" t="s">
        <v>1152</v>
      </c>
      <c r="G54" s="261">
        <v>264.27</v>
      </c>
      <c r="H54" s="261">
        <v>49</v>
      </c>
      <c r="I54" s="261">
        <v>222</v>
      </c>
      <c r="J54" s="261">
        <v>128</v>
      </c>
      <c r="K54" s="261">
        <v>94</v>
      </c>
      <c r="L54" s="261">
        <v>2</v>
      </c>
      <c r="M54" s="260">
        <f t="shared" si="1"/>
        <v>0.90090090090090091</v>
      </c>
      <c r="N54" s="261">
        <v>186</v>
      </c>
      <c r="O54" s="260">
        <f t="shared" si="0"/>
        <v>83.78378378378379</v>
      </c>
      <c r="P54" s="261">
        <v>29.87</v>
      </c>
      <c r="Q54" s="261">
        <v>3.13</v>
      </c>
      <c r="R54" s="260" t="s">
        <v>37</v>
      </c>
      <c r="S54" s="77">
        <v>45332</v>
      </c>
      <c r="T54" s="260"/>
      <c r="U54" s="78"/>
      <c r="V54" s="260"/>
      <c r="W54" s="260"/>
      <c r="X54" s="260"/>
      <c r="Y54" s="260"/>
      <c r="Z54" s="260"/>
      <c r="AA54" s="260"/>
      <c r="AB54" s="260" t="s">
        <v>39</v>
      </c>
      <c r="AC54" s="78">
        <v>9</v>
      </c>
      <c r="AD54" s="260" t="s">
        <v>1052</v>
      </c>
      <c r="AE54" s="83"/>
      <c r="AF54" s="83"/>
    </row>
    <row r="55" spans="1:32">
      <c r="A55" s="260">
        <v>48</v>
      </c>
      <c r="B55" s="260" t="s">
        <v>333</v>
      </c>
      <c r="C55" s="13" t="s">
        <v>1048</v>
      </c>
      <c r="D55" s="13" t="s">
        <v>1146</v>
      </c>
      <c r="E55" s="87" t="s">
        <v>1153</v>
      </c>
      <c r="F55" s="13" t="s">
        <v>1154</v>
      </c>
      <c r="G55" s="261">
        <v>34</v>
      </c>
      <c r="H55" s="261">
        <v>29</v>
      </c>
      <c r="I55" s="261">
        <v>133</v>
      </c>
      <c r="J55" s="261">
        <v>78</v>
      </c>
      <c r="K55" s="261">
        <v>55</v>
      </c>
      <c r="L55" s="261">
        <v>0</v>
      </c>
      <c r="M55" s="260">
        <f t="shared" si="1"/>
        <v>0</v>
      </c>
      <c r="N55" s="261">
        <v>133</v>
      </c>
      <c r="O55" s="260">
        <f t="shared" si="0"/>
        <v>100</v>
      </c>
      <c r="P55" s="261">
        <v>0</v>
      </c>
      <c r="Q55" s="261">
        <v>0</v>
      </c>
      <c r="R55" s="260" t="s">
        <v>37</v>
      </c>
      <c r="S55" s="13" t="s">
        <v>37</v>
      </c>
      <c r="T55" s="260"/>
      <c r="U55" s="13"/>
      <c r="V55" s="260"/>
      <c r="W55" s="260"/>
      <c r="X55" s="260"/>
      <c r="Y55" s="260"/>
      <c r="Z55" s="260"/>
      <c r="AA55" s="260"/>
      <c r="AB55" s="260"/>
      <c r="AC55" s="13"/>
      <c r="AD55" s="260"/>
      <c r="AE55" s="83"/>
      <c r="AF55" s="83"/>
    </row>
    <row r="56" spans="1:32">
      <c r="A56" s="260">
        <v>49</v>
      </c>
      <c r="B56" s="260" t="s">
        <v>333</v>
      </c>
      <c r="C56" s="13" t="s">
        <v>1048</v>
      </c>
      <c r="D56" s="13" t="s">
        <v>1146</v>
      </c>
      <c r="E56" s="87" t="s">
        <v>1155</v>
      </c>
      <c r="F56" s="13" t="s">
        <v>1156</v>
      </c>
      <c r="G56" s="261">
        <v>220.1</v>
      </c>
      <c r="H56" s="261">
        <v>53</v>
      </c>
      <c r="I56" s="261">
        <v>236</v>
      </c>
      <c r="J56" s="261">
        <v>133</v>
      </c>
      <c r="K56" s="261">
        <v>103</v>
      </c>
      <c r="L56" s="261">
        <v>0</v>
      </c>
      <c r="M56" s="260">
        <f t="shared" si="1"/>
        <v>0</v>
      </c>
      <c r="N56" s="261">
        <v>0</v>
      </c>
      <c r="O56" s="260">
        <f t="shared" si="0"/>
        <v>0</v>
      </c>
      <c r="P56" s="261">
        <v>30</v>
      </c>
      <c r="Q56" s="261">
        <v>79.849999999999994</v>
      </c>
      <c r="R56" s="260" t="s">
        <v>37</v>
      </c>
      <c r="S56" s="13" t="s">
        <v>37</v>
      </c>
      <c r="T56" s="260"/>
      <c r="U56" s="13"/>
      <c r="V56" s="260"/>
      <c r="W56" s="260"/>
      <c r="X56" s="260"/>
      <c r="Y56" s="260"/>
      <c r="Z56" s="260"/>
      <c r="AA56" s="260"/>
      <c r="AB56" s="260"/>
      <c r="AC56" s="13"/>
      <c r="AD56" s="260"/>
      <c r="AE56" s="83"/>
      <c r="AF56" s="83"/>
    </row>
    <row r="57" spans="1:32" ht="15.75">
      <c r="A57" s="260">
        <v>50</v>
      </c>
      <c r="B57" s="260" t="s">
        <v>333</v>
      </c>
      <c r="C57" s="13" t="s">
        <v>1048</v>
      </c>
      <c r="D57" s="13" t="s">
        <v>1146</v>
      </c>
      <c r="E57" s="87" t="s">
        <v>1157</v>
      </c>
      <c r="F57" s="13" t="s">
        <v>1158</v>
      </c>
      <c r="G57" s="261">
        <v>107.35</v>
      </c>
      <c r="H57" s="261">
        <v>26</v>
      </c>
      <c r="I57" s="261">
        <v>118</v>
      </c>
      <c r="J57" s="261">
        <v>60</v>
      </c>
      <c r="K57" s="261">
        <v>58</v>
      </c>
      <c r="L57" s="261">
        <v>31</v>
      </c>
      <c r="M57" s="260">
        <f t="shared" si="1"/>
        <v>26.271186440677969</v>
      </c>
      <c r="N57" s="261">
        <v>0</v>
      </c>
      <c r="O57" s="260">
        <f t="shared" si="0"/>
        <v>0</v>
      </c>
      <c r="P57" s="261">
        <v>6.94</v>
      </c>
      <c r="Q57" s="261">
        <v>34.94</v>
      </c>
      <c r="R57" s="260" t="s">
        <v>37</v>
      </c>
      <c r="S57" s="77">
        <v>45332</v>
      </c>
      <c r="T57" s="260"/>
      <c r="U57" s="78"/>
      <c r="V57" s="260"/>
      <c r="W57" s="260"/>
      <c r="X57" s="260"/>
      <c r="Y57" s="260"/>
      <c r="Z57" s="260"/>
      <c r="AA57" s="260"/>
      <c r="AB57" s="260" t="s">
        <v>39</v>
      </c>
      <c r="AC57" s="78">
        <v>2</v>
      </c>
      <c r="AD57" s="260" t="s">
        <v>1052</v>
      </c>
      <c r="AE57" s="83"/>
      <c r="AF57" s="83"/>
    </row>
    <row r="58" spans="1:32" ht="15.75">
      <c r="A58" s="260">
        <v>51</v>
      </c>
      <c r="B58" s="260" t="s">
        <v>333</v>
      </c>
      <c r="C58" s="13" t="s">
        <v>1048</v>
      </c>
      <c r="D58" s="13" t="s">
        <v>1146</v>
      </c>
      <c r="E58" s="87" t="s">
        <v>638</v>
      </c>
      <c r="F58" s="13" t="s">
        <v>1159</v>
      </c>
      <c r="G58" s="261">
        <v>249.19</v>
      </c>
      <c r="H58" s="261">
        <v>106</v>
      </c>
      <c r="I58" s="261">
        <v>493</v>
      </c>
      <c r="J58" s="261">
        <v>246</v>
      </c>
      <c r="K58" s="261">
        <v>247</v>
      </c>
      <c r="L58" s="261">
        <v>99</v>
      </c>
      <c r="M58" s="260">
        <f t="shared" si="1"/>
        <v>20.08113590263692</v>
      </c>
      <c r="N58" s="261">
        <v>91</v>
      </c>
      <c r="O58" s="260">
        <f t="shared" si="0"/>
        <v>18.458417849898581</v>
      </c>
      <c r="P58" s="261">
        <v>2.02</v>
      </c>
      <c r="Q58" s="261">
        <v>0</v>
      </c>
      <c r="R58" s="260" t="s">
        <v>37</v>
      </c>
      <c r="S58" s="77">
        <v>45332</v>
      </c>
      <c r="T58" s="260"/>
      <c r="U58" s="78"/>
      <c r="V58" s="260"/>
      <c r="W58" s="260"/>
      <c r="X58" s="260"/>
      <c r="Y58" s="260"/>
      <c r="Z58" s="260"/>
      <c r="AA58" s="260"/>
      <c r="AB58" s="260"/>
      <c r="AC58" s="78">
        <v>8</v>
      </c>
      <c r="AD58" s="260"/>
      <c r="AE58" s="83"/>
      <c r="AF58" s="83"/>
    </row>
    <row r="59" spans="1:32" ht="15.75">
      <c r="A59" s="260">
        <v>52</v>
      </c>
      <c r="B59" s="260" t="s">
        <v>333</v>
      </c>
      <c r="C59" s="13" t="s">
        <v>1048</v>
      </c>
      <c r="D59" s="13" t="s">
        <v>1146</v>
      </c>
      <c r="E59" s="87" t="s">
        <v>1160</v>
      </c>
      <c r="F59" s="13" t="s">
        <v>1161</v>
      </c>
      <c r="G59" s="261">
        <v>329.38</v>
      </c>
      <c r="H59" s="261">
        <v>154</v>
      </c>
      <c r="I59" s="261">
        <v>783</v>
      </c>
      <c r="J59" s="261">
        <v>415</v>
      </c>
      <c r="K59" s="261">
        <v>368</v>
      </c>
      <c r="L59" s="261">
        <v>54</v>
      </c>
      <c r="M59" s="260">
        <f t="shared" si="1"/>
        <v>6.8965517241379306</v>
      </c>
      <c r="N59" s="261">
        <v>476</v>
      </c>
      <c r="O59" s="260">
        <f t="shared" si="0"/>
        <v>60.791826309067687</v>
      </c>
      <c r="P59" s="261">
        <v>22.07</v>
      </c>
      <c r="Q59" s="261">
        <v>105.18</v>
      </c>
      <c r="R59" s="260" t="s">
        <v>37</v>
      </c>
      <c r="S59" s="77">
        <v>45332</v>
      </c>
      <c r="T59" s="260"/>
      <c r="U59" s="78"/>
      <c r="V59" s="260"/>
      <c r="W59" s="260"/>
      <c r="X59" s="260"/>
      <c r="Y59" s="260"/>
      <c r="Z59" s="260"/>
      <c r="AA59" s="260"/>
      <c r="AB59" s="260" t="s">
        <v>39</v>
      </c>
      <c r="AC59" s="78">
        <v>2</v>
      </c>
      <c r="AD59" s="260" t="s">
        <v>1052</v>
      </c>
      <c r="AE59" s="83">
        <v>25.0428</v>
      </c>
      <c r="AF59" s="83">
        <v>76.790300000000002</v>
      </c>
    </row>
    <row r="60" spans="1:32" ht="15.75">
      <c r="A60" s="260">
        <v>53</v>
      </c>
      <c r="B60" s="260" t="s">
        <v>333</v>
      </c>
      <c r="C60" s="13" t="s">
        <v>1048</v>
      </c>
      <c r="D60" s="13" t="s">
        <v>1162</v>
      </c>
      <c r="E60" s="87" t="s">
        <v>1163</v>
      </c>
      <c r="F60" s="13" t="s">
        <v>1164</v>
      </c>
      <c r="G60" s="261">
        <v>1163.9100000000001</v>
      </c>
      <c r="H60" s="261">
        <v>273</v>
      </c>
      <c r="I60" s="261">
        <v>1426</v>
      </c>
      <c r="J60" s="261">
        <v>732</v>
      </c>
      <c r="K60" s="261">
        <v>694</v>
      </c>
      <c r="L60" s="261">
        <v>26</v>
      </c>
      <c r="M60" s="260">
        <f t="shared" si="1"/>
        <v>1.8232819074333801</v>
      </c>
      <c r="N60" s="261">
        <v>819</v>
      </c>
      <c r="O60" s="260">
        <f t="shared" si="0"/>
        <v>57.433380084151473</v>
      </c>
      <c r="P60" s="261">
        <v>84.95</v>
      </c>
      <c r="Q60" s="261">
        <v>687.15</v>
      </c>
      <c r="R60" s="260" t="s">
        <v>37</v>
      </c>
      <c r="S60" s="78" t="s">
        <v>1097</v>
      </c>
      <c r="T60" s="260"/>
      <c r="U60" s="78"/>
      <c r="V60" s="260"/>
      <c r="W60" s="260"/>
      <c r="X60" s="260"/>
      <c r="Y60" s="260"/>
      <c r="Z60" s="260"/>
      <c r="AA60" s="260"/>
      <c r="AB60" s="260" t="s">
        <v>39</v>
      </c>
      <c r="AC60" s="78">
        <v>8</v>
      </c>
      <c r="AD60" s="260" t="s">
        <v>1052</v>
      </c>
      <c r="AE60" s="269"/>
      <c r="AF60" s="269"/>
    </row>
    <row r="61" spans="1:32" ht="15.75">
      <c r="A61" s="260">
        <v>54</v>
      </c>
      <c r="B61" s="260" t="s">
        <v>333</v>
      </c>
      <c r="C61" s="13" t="s">
        <v>1048</v>
      </c>
      <c r="D61" s="13" t="s">
        <v>1162</v>
      </c>
      <c r="E61" s="87" t="s">
        <v>1165</v>
      </c>
      <c r="F61" s="13" t="s">
        <v>1166</v>
      </c>
      <c r="G61" s="261">
        <v>1635.75</v>
      </c>
      <c r="H61" s="261">
        <v>37</v>
      </c>
      <c r="I61" s="261">
        <v>193</v>
      </c>
      <c r="J61" s="261">
        <v>104</v>
      </c>
      <c r="K61" s="261">
        <v>89</v>
      </c>
      <c r="L61" s="261">
        <v>0</v>
      </c>
      <c r="M61" s="260">
        <f t="shared" si="1"/>
        <v>0</v>
      </c>
      <c r="N61" s="261">
        <v>48</v>
      </c>
      <c r="O61" s="260">
        <f t="shared" si="0"/>
        <v>24.870466321243523</v>
      </c>
      <c r="P61" s="261">
        <v>2</v>
      </c>
      <c r="Q61" s="261">
        <v>1324.16</v>
      </c>
      <c r="R61" s="260" t="s">
        <v>37</v>
      </c>
      <c r="S61" s="78" t="s">
        <v>1097</v>
      </c>
      <c r="T61" s="260"/>
      <c r="U61" s="78">
        <v>1.78</v>
      </c>
      <c r="V61" s="260"/>
      <c r="W61" s="260"/>
      <c r="X61" s="260"/>
      <c r="Y61" s="260"/>
      <c r="Z61" s="260"/>
      <c r="AA61" s="260"/>
      <c r="AB61" s="260" t="s">
        <v>39</v>
      </c>
      <c r="AC61" s="78">
        <v>10</v>
      </c>
      <c r="AD61" s="260" t="s">
        <v>1052</v>
      </c>
      <c r="AE61" s="269">
        <v>24.958300000000001</v>
      </c>
      <c r="AF61" s="269">
        <v>76.763900000000007</v>
      </c>
    </row>
    <row r="62" spans="1:32" ht="15.75">
      <c r="A62" s="260">
        <v>55</v>
      </c>
      <c r="B62" s="260" t="s">
        <v>333</v>
      </c>
      <c r="C62" s="13" t="s">
        <v>1048</v>
      </c>
      <c r="D62" s="13" t="s">
        <v>1162</v>
      </c>
      <c r="E62" s="87" t="s">
        <v>1167</v>
      </c>
      <c r="F62" s="13" t="s">
        <v>1168</v>
      </c>
      <c r="G62" s="261">
        <v>946.89</v>
      </c>
      <c r="H62" s="261">
        <v>192</v>
      </c>
      <c r="I62" s="261">
        <v>1007</v>
      </c>
      <c r="J62" s="261">
        <v>508</v>
      </c>
      <c r="K62" s="261">
        <v>499</v>
      </c>
      <c r="L62" s="261">
        <v>2</v>
      </c>
      <c r="M62" s="260">
        <f t="shared" si="1"/>
        <v>0.19860973187686196</v>
      </c>
      <c r="N62" s="261">
        <v>0</v>
      </c>
      <c r="O62" s="260">
        <f t="shared" si="0"/>
        <v>0</v>
      </c>
      <c r="P62" s="261">
        <v>0</v>
      </c>
      <c r="Q62" s="261">
        <v>656.45</v>
      </c>
      <c r="R62" s="260" t="s">
        <v>37</v>
      </c>
      <c r="S62" s="78" t="s">
        <v>1097</v>
      </c>
      <c r="T62" s="260"/>
      <c r="U62" s="78"/>
      <c r="V62" s="260"/>
      <c r="W62" s="260"/>
      <c r="X62" s="260"/>
      <c r="Y62" s="260"/>
      <c r="Z62" s="260"/>
      <c r="AA62" s="260"/>
      <c r="AB62" s="260" t="s">
        <v>39</v>
      </c>
      <c r="AC62" s="78">
        <v>13</v>
      </c>
      <c r="AD62" s="260" t="s">
        <v>1052</v>
      </c>
      <c r="AE62" s="269"/>
      <c r="AF62" s="269"/>
    </row>
    <row r="63" spans="1:32" ht="15.75">
      <c r="A63" s="260">
        <v>56</v>
      </c>
      <c r="B63" s="260" t="s">
        <v>333</v>
      </c>
      <c r="C63" s="13" t="s">
        <v>1048</v>
      </c>
      <c r="D63" s="13" t="s">
        <v>1162</v>
      </c>
      <c r="E63" s="87" t="s">
        <v>65</v>
      </c>
      <c r="F63" s="13" t="s">
        <v>1169</v>
      </c>
      <c r="G63" s="261">
        <v>607.92999999999995</v>
      </c>
      <c r="H63" s="261">
        <v>96</v>
      </c>
      <c r="I63" s="261">
        <v>507</v>
      </c>
      <c r="J63" s="261">
        <v>256</v>
      </c>
      <c r="K63" s="261">
        <v>251</v>
      </c>
      <c r="L63" s="261">
        <v>0</v>
      </c>
      <c r="M63" s="260">
        <f t="shared" si="1"/>
        <v>0</v>
      </c>
      <c r="N63" s="261">
        <v>262</v>
      </c>
      <c r="O63" s="260">
        <f t="shared" si="0"/>
        <v>51.676528599605518</v>
      </c>
      <c r="P63" s="261">
        <v>25.09</v>
      </c>
      <c r="Q63" s="261">
        <v>424.03</v>
      </c>
      <c r="R63" s="260" t="s">
        <v>37</v>
      </c>
      <c r="S63" s="78" t="s">
        <v>1097</v>
      </c>
      <c r="T63" s="260"/>
      <c r="U63" s="78"/>
      <c r="V63" s="260"/>
      <c r="W63" s="260"/>
      <c r="X63" s="260"/>
      <c r="Y63" s="260"/>
      <c r="Z63" s="260"/>
      <c r="AA63" s="260"/>
      <c r="AB63" s="260" t="s">
        <v>39</v>
      </c>
      <c r="AC63" s="78">
        <v>13</v>
      </c>
      <c r="AD63" s="260" t="s">
        <v>1052</v>
      </c>
      <c r="AE63" s="269">
        <v>25.202200000000001</v>
      </c>
      <c r="AF63" s="269">
        <v>76.877099999999999</v>
      </c>
    </row>
    <row r="64" spans="1:32" ht="15.75">
      <c r="A64" s="260">
        <v>57</v>
      </c>
      <c r="B64" s="260" t="s">
        <v>333</v>
      </c>
      <c r="C64" s="13" t="s">
        <v>1048</v>
      </c>
      <c r="D64" s="13" t="s">
        <v>1170</v>
      </c>
      <c r="E64" s="87" t="s">
        <v>1171</v>
      </c>
      <c r="F64" s="13" t="s">
        <v>1172</v>
      </c>
      <c r="G64" s="261">
        <v>314.64999999999998</v>
      </c>
      <c r="H64" s="261">
        <v>215</v>
      </c>
      <c r="I64" s="261">
        <v>996</v>
      </c>
      <c r="J64" s="261">
        <v>514</v>
      </c>
      <c r="K64" s="261">
        <v>482</v>
      </c>
      <c r="L64" s="261">
        <v>158</v>
      </c>
      <c r="M64" s="260">
        <f t="shared" si="1"/>
        <v>15.863453815261044</v>
      </c>
      <c r="N64" s="261">
        <v>399</v>
      </c>
      <c r="O64" s="260">
        <f t="shared" si="0"/>
        <v>40.060240963855421</v>
      </c>
      <c r="P64" s="261">
        <v>0</v>
      </c>
      <c r="Q64" s="261">
        <v>68.97</v>
      </c>
      <c r="R64" s="260" t="s">
        <v>37</v>
      </c>
      <c r="S64" s="77">
        <v>45332</v>
      </c>
      <c r="T64" s="260"/>
      <c r="U64" s="78"/>
      <c r="V64" s="260"/>
      <c r="W64" s="260"/>
      <c r="X64" s="260"/>
      <c r="Y64" s="260"/>
      <c r="Z64" s="260"/>
      <c r="AA64" s="260"/>
      <c r="AB64" s="260" t="s">
        <v>39</v>
      </c>
      <c r="AC64" s="78">
        <v>4</v>
      </c>
      <c r="AD64" s="260" t="s">
        <v>1052</v>
      </c>
    </row>
    <row r="65" spans="1:32">
      <c r="A65" s="260">
        <v>58</v>
      </c>
      <c r="B65" s="260" t="s">
        <v>333</v>
      </c>
      <c r="C65" s="13" t="s">
        <v>1048</v>
      </c>
      <c r="D65" s="13" t="s">
        <v>1170</v>
      </c>
      <c r="E65" s="87" t="s">
        <v>1173</v>
      </c>
      <c r="F65" s="13" t="s">
        <v>1174</v>
      </c>
      <c r="G65" s="261">
        <v>201.27</v>
      </c>
      <c r="H65" s="261">
        <v>71</v>
      </c>
      <c r="I65" s="261">
        <v>341</v>
      </c>
      <c r="J65" s="261">
        <v>174</v>
      </c>
      <c r="K65" s="261">
        <v>167</v>
      </c>
      <c r="L65" s="261">
        <v>0</v>
      </c>
      <c r="M65" s="260">
        <f t="shared" si="1"/>
        <v>0</v>
      </c>
      <c r="N65" s="261">
        <v>170</v>
      </c>
      <c r="O65" s="260">
        <f t="shared" si="0"/>
        <v>49.853372434017594</v>
      </c>
      <c r="P65" s="261">
        <v>0</v>
      </c>
      <c r="Q65" s="261">
        <v>0</v>
      </c>
      <c r="R65" s="260" t="s">
        <v>37</v>
      </c>
      <c r="S65" s="13" t="s">
        <v>37</v>
      </c>
      <c r="T65" s="260"/>
      <c r="U65" s="13"/>
      <c r="V65" s="260"/>
      <c r="W65" s="260"/>
      <c r="X65" s="260"/>
      <c r="Y65" s="260"/>
      <c r="Z65" s="260"/>
      <c r="AA65" s="260"/>
      <c r="AB65" s="260"/>
      <c r="AC65" s="13"/>
      <c r="AD65" s="260"/>
      <c r="AE65" s="269"/>
      <c r="AF65" s="269"/>
    </row>
    <row r="66" spans="1:32" ht="15.75">
      <c r="A66" s="260">
        <v>59</v>
      </c>
      <c r="B66" s="260" t="s">
        <v>333</v>
      </c>
      <c r="C66" s="13" t="s">
        <v>1048</v>
      </c>
      <c r="D66" s="13" t="s">
        <v>1170</v>
      </c>
      <c r="E66" s="87" t="s">
        <v>1175</v>
      </c>
      <c r="F66" s="13" t="s">
        <v>1176</v>
      </c>
      <c r="G66" s="261">
        <v>874.66</v>
      </c>
      <c r="H66" s="261">
        <v>295</v>
      </c>
      <c r="I66" s="261">
        <v>1226</v>
      </c>
      <c r="J66" s="261">
        <v>618</v>
      </c>
      <c r="K66" s="261">
        <v>608</v>
      </c>
      <c r="L66" s="261">
        <v>14</v>
      </c>
      <c r="M66" s="260">
        <f t="shared" si="1"/>
        <v>1.1419249592169658</v>
      </c>
      <c r="N66" s="261">
        <v>994</v>
      </c>
      <c r="O66" s="260">
        <f t="shared" si="0"/>
        <v>81.076672104404565</v>
      </c>
      <c r="P66" s="261">
        <v>0</v>
      </c>
      <c r="Q66" s="261">
        <v>380.72</v>
      </c>
      <c r="R66" s="260" t="s">
        <v>37</v>
      </c>
      <c r="S66" s="77">
        <v>45332</v>
      </c>
      <c r="T66" s="260"/>
      <c r="U66" s="78"/>
      <c r="V66" s="260"/>
      <c r="W66" s="260"/>
      <c r="X66" s="260"/>
      <c r="Y66" s="260"/>
      <c r="Z66" s="260"/>
      <c r="AA66" s="260"/>
      <c r="AB66" s="260" t="s">
        <v>39</v>
      </c>
      <c r="AC66" s="78">
        <v>13</v>
      </c>
      <c r="AD66" s="260" t="s">
        <v>1052</v>
      </c>
      <c r="AE66" s="269"/>
      <c r="AF66" s="269"/>
    </row>
    <row r="67" spans="1:32" ht="15.75">
      <c r="A67" s="260">
        <v>60</v>
      </c>
      <c r="B67" s="260" t="s">
        <v>333</v>
      </c>
      <c r="C67" s="13" t="s">
        <v>1048</v>
      </c>
      <c r="D67" s="13" t="s">
        <v>1170</v>
      </c>
      <c r="E67" s="87" t="s">
        <v>134</v>
      </c>
      <c r="F67" s="13" t="s">
        <v>1177</v>
      </c>
      <c r="G67" s="261">
        <v>528.01</v>
      </c>
      <c r="H67" s="261">
        <v>243</v>
      </c>
      <c r="I67" s="261">
        <v>1143</v>
      </c>
      <c r="J67" s="261">
        <v>610</v>
      </c>
      <c r="K67" s="261">
        <v>533</v>
      </c>
      <c r="L67" s="261">
        <v>325</v>
      </c>
      <c r="M67" s="260">
        <f t="shared" si="1"/>
        <v>28.433945756780403</v>
      </c>
      <c r="N67" s="261">
        <v>233</v>
      </c>
      <c r="O67" s="260">
        <f t="shared" si="0"/>
        <v>20.384951881014874</v>
      </c>
      <c r="P67" s="261">
        <v>13.2</v>
      </c>
      <c r="Q67" s="261">
        <v>224.82</v>
      </c>
      <c r="R67" s="260" t="s">
        <v>37</v>
      </c>
      <c r="S67" s="77">
        <v>45332</v>
      </c>
      <c r="T67" s="260"/>
      <c r="U67" s="78"/>
      <c r="V67" s="260"/>
      <c r="W67" s="260"/>
      <c r="X67" s="260"/>
      <c r="Y67" s="260"/>
      <c r="Z67" s="260"/>
      <c r="AA67" s="260"/>
      <c r="AB67" s="260" t="s">
        <v>39</v>
      </c>
      <c r="AC67" s="78">
        <v>8</v>
      </c>
      <c r="AD67" s="260" t="s">
        <v>1052</v>
      </c>
      <c r="AE67" s="269"/>
      <c r="AF67" s="269"/>
    </row>
    <row r="68" spans="1:32">
      <c r="A68" s="260">
        <v>61</v>
      </c>
      <c r="B68" s="260" t="s">
        <v>333</v>
      </c>
      <c r="C68" s="13" t="s">
        <v>1048</v>
      </c>
      <c r="D68" s="13" t="s">
        <v>1178</v>
      </c>
      <c r="E68" s="87" t="s">
        <v>1179</v>
      </c>
      <c r="F68" s="13" t="s">
        <v>1180</v>
      </c>
      <c r="G68" s="261">
        <v>1268</v>
      </c>
      <c r="H68" s="261">
        <v>495</v>
      </c>
      <c r="I68" s="261">
        <v>2289</v>
      </c>
      <c r="J68" s="261">
        <v>1183</v>
      </c>
      <c r="K68" s="261">
        <v>1106</v>
      </c>
      <c r="L68" s="261">
        <v>287</v>
      </c>
      <c r="M68" s="260">
        <f t="shared" ref="M68:M131" si="2">L68/I68*100</f>
        <v>12.538226299694188</v>
      </c>
      <c r="N68" s="261">
        <v>469</v>
      </c>
      <c r="O68" s="260">
        <f t="shared" ref="O68:O131" si="3">N68/I68*100</f>
        <v>20.489296636085626</v>
      </c>
      <c r="P68" s="261">
        <v>71</v>
      </c>
      <c r="Q68" s="261">
        <v>0</v>
      </c>
      <c r="R68" s="260" t="s">
        <v>37</v>
      </c>
      <c r="S68" s="13" t="s">
        <v>37</v>
      </c>
      <c r="T68" s="260"/>
      <c r="U68" s="13"/>
      <c r="V68" s="260"/>
      <c r="W68" s="260"/>
      <c r="X68" s="260"/>
      <c r="Y68" s="260"/>
      <c r="Z68" s="260"/>
      <c r="AA68" s="260"/>
      <c r="AB68" s="260"/>
      <c r="AC68" s="13"/>
      <c r="AD68" s="260"/>
      <c r="AE68" s="269"/>
      <c r="AF68" s="269"/>
    </row>
    <row r="69" spans="1:32" ht="15.75">
      <c r="A69" s="260">
        <v>62</v>
      </c>
      <c r="B69" s="260" t="s">
        <v>333</v>
      </c>
      <c r="C69" s="13" t="s">
        <v>1048</v>
      </c>
      <c r="D69" s="13" t="s">
        <v>1178</v>
      </c>
      <c r="E69" s="87" t="s">
        <v>1181</v>
      </c>
      <c r="F69" s="13" t="s">
        <v>1182</v>
      </c>
      <c r="G69" s="261">
        <v>754.92</v>
      </c>
      <c r="H69" s="261">
        <v>580</v>
      </c>
      <c r="I69" s="261">
        <v>2502</v>
      </c>
      <c r="J69" s="261">
        <v>1315</v>
      </c>
      <c r="K69" s="261">
        <v>1187</v>
      </c>
      <c r="L69" s="261">
        <v>210</v>
      </c>
      <c r="M69" s="260">
        <f t="shared" si="2"/>
        <v>8.393285371702639</v>
      </c>
      <c r="N69" s="261">
        <v>429</v>
      </c>
      <c r="O69" s="260">
        <f t="shared" si="3"/>
        <v>17.146282973621101</v>
      </c>
      <c r="P69" s="261">
        <v>59.05</v>
      </c>
      <c r="Q69" s="261">
        <v>90.46</v>
      </c>
      <c r="R69" s="260" t="s">
        <v>37</v>
      </c>
      <c r="S69" s="13" t="s">
        <v>37</v>
      </c>
      <c r="T69" s="260"/>
      <c r="U69" s="78"/>
      <c r="V69" s="260"/>
      <c r="W69" s="260"/>
      <c r="X69" s="260"/>
      <c r="Y69" s="260"/>
      <c r="Z69" s="260"/>
      <c r="AA69" s="260"/>
      <c r="AB69" s="260"/>
      <c r="AC69" s="78"/>
      <c r="AD69" s="260"/>
      <c r="AE69" s="269"/>
      <c r="AF69" s="269"/>
    </row>
    <row r="70" spans="1:32">
      <c r="A70" s="260">
        <v>63</v>
      </c>
      <c r="B70" s="260" t="s">
        <v>333</v>
      </c>
      <c r="C70" s="13" t="s">
        <v>1048</v>
      </c>
      <c r="D70" s="13" t="s">
        <v>1183</v>
      </c>
      <c r="E70" s="87" t="s">
        <v>1184</v>
      </c>
      <c r="F70" s="13" t="s">
        <v>1185</v>
      </c>
      <c r="G70" s="261">
        <v>690.34</v>
      </c>
      <c r="H70" s="261">
        <v>581</v>
      </c>
      <c r="I70" s="261">
        <v>3027</v>
      </c>
      <c r="J70" s="261">
        <v>1538</v>
      </c>
      <c r="K70" s="261">
        <v>1489</v>
      </c>
      <c r="L70" s="261">
        <v>170</v>
      </c>
      <c r="M70" s="260">
        <f t="shared" si="2"/>
        <v>5.6161215725140403</v>
      </c>
      <c r="N70" s="261">
        <v>2315</v>
      </c>
      <c r="O70" s="260">
        <f t="shared" si="3"/>
        <v>76.478361413941201</v>
      </c>
      <c r="P70" s="261">
        <v>58.5</v>
      </c>
      <c r="Q70" s="261">
        <v>19.32</v>
      </c>
      <c r="R70" s="260" t="s">
        <v>37</v>
      </c>
      <c r="S70" s="13" t="s">
        <v>37</v>
      </c>
      <c r="T70" s="260"/>
      <c r="U70" s="13"/>
      <c r="V70" s="260"/>
      <c r="W70" s="260"/>
      <c r="X70" s="260"/>
      <c r="Y70" s="260"/>
      <c r="Z70" s="260"/>
      <c r="AA70" s="260"/>
      <c r="AB70" s="260"/>
      <c r="AC70" s="13">
        <v>8</v>
      </c>
      <c r="AD70" s="260"/>
      <c r="AE70" s="269"/>
      <c r="AF70" s="269"/>
    </row>
    <row r="71" spans="1:32">
      <c r="A71" s="260">
        <v>64</v>
      </c>
      <c r="B71" s="260" t="s">
        <v>333</v>
      </c>
      <c r="C71" s="13" t="s">
        <v>1048</v>
      </c>
      <c r="D71" s="13" t="s">
        <v>1183</v>
      </c>
      <c r="E71" s="87" t="s">
        <v>290</v>
      </c>
      <c r="F71" s="13" t="s">
        <v>1186</v>
      </c>
      <c r="G71" s="261">
        <v>1091.57</v>
      </c>
      <c r="H71" s="261">
        <v>206</v>
      </c>
      <c r="I71" s="261">
        <v>1076</v>
      </c>
      <c r="J71" s="261">
        <v>529</v>
      </c>
      <c r="K71" s="261">
        <v>547</v>
      </c>
      <c r="L71" s="261">
        <v>3</v>
      </c>
      <c r="M71" s="260">
        <f t="shared" si="2"/>
        <v>0.27881040892193309</v>
      </c>
      <c r="N71" s="261">
        <v>927</v>
      </c>
      <c r="O71" s="260">
        <f t="shared" si="3"/>
        <v>86.152416356877325</v>
      </c>
      <c r="P71" s="261">
        <v>0</v>
      </c>
      <c r="Q71" s="261">
        <v>677.24</v>
      </c>
      <c r="R71" s="260" t="s">
        <v>37</v>
      </c>
      <c r="S71" s="13" t="s">
        <v>37</v>
      </c>
      <c r="T71" s="260"/>
      <c r="U71" s="13"/>
      <c r="V71" s="260"/>
      <c r="W71" s="260"/>
      <c r="X71" s="260"/>
      <c r="Y71" s="260"/>
      <c r="Z71" s="260"/>
      <c r="AA71" s="260"/>
      <c r="AB71" s="260"/>
      <c r="AC71" s="13"/>
      <c r="AD71" s="260"/>
      <c r="AE71" s="269"/>
      <c r="AF71" s="269"/>
    </row>
    <row r="72" spans="1:32">
      <c r="A72" s="260">
        <v>65</v>
      </c>
      <c r="B72" s="260" t="s">
        <v>333</v>
      </c>
      <c r="C72" s="13" t="s">
        <v>1048</v>
      </c>
      <c r="D72" s="13" t="s">
        <v>1183</v>
      </c>
      <c r="E72" s="87" t="s">
        <v>1187</v>
      </c>
      <c r="F72" s="13" t="s">
        <v>1188</v>
      </c>
      <c r="G72" s="261">
        <v>208</v>
      </c>
      <c r="H72" s="261">
        <v>0</v>
      </c>
      <c r="I72" s="261">
        <v>0</v>
      </c>
      <c r="J72" s="261">
        <v>0</v>
      </c>
      <c r="K72" s="261">
        <v>0</v>
      </c>
      <c r="L72" s="261">
        <v>0</v>
      </c>
      <c r="M72" s="260" t="e">
        <f t="shared" si="2"/>
        <v>#DIV/0!</v>
      </c>
      <c r="N72" s="261">
        <v>0</v>
      </c>
      <c r="O72" s="260" t="e">
        <f t="shared" si="3"/>
        <v>#DIV/0!</v>
      </c>
      <c r="P72" s="261">
        <v>0</v>
      </c>
      <c r="Q72" s="261">
        <v>3.32</v>
      </c>
      <c r="R72" s="260"/>
      <c r="S72" s="13"/>
      <c r="T72" s="260"/>
      <c r="U72" s="13"/>
      <c r="V72" s="260"/>
      <c r="W72" s="260"/>
      <c r="X72" s="260"/>
      <c r="Y72" s="260"/>
      <c r="Z72" s="260"/>
      <c r="AA72" s="260"/>
      <c r="AB72" s="260"/>
      <c r="AC72" s="13"/>
      <c r="AD72" s="260"/>
      <c r="AE72" s="269"/>
      <c r="AF72" s="269"/>
    </row>
    <row r="73" spans="1:32">
      <c r="A73" s="260">
        <v>66</v>
      </c>
      <c r="B73" s="260" t="s">
        <v>333</v>
      </c>
      <c r="C73" s="13" t="s">
        <v>1048</v>
      </c>
      <c r="D73" s="13" t="s">
        <v>1183</v>
      </c>
      <c r="E73" s="87" t="s">
        <v>1189</v>
      </c>
      <c r="F73" s="13" t="s">
        <v>1190</v>
      </c>
      <c r="G73" s="261">
        <v>208.16</v>
      </c>
      <c r="H73" s="261">
        <v>170</v>
      </c>
      <c r="I73" s="261">
        <v>851</v>
      </c>
      <c r="J73" s="261">
        <v>440</v>
      </c>
      <c r="K73" s="261">
        <v>411</v>
      </c>
      <c r="L73" s="261">
        <v>61</v>
      </c>
      <c r="M73" s="260">
        <f t="shared" si="2"/>
        <v>7.1680376028202115</v>
      </c>
      <c r="N73" s="261">
        <v>588</v>
      </c>
      <c r="O73" s="260">
        <f t="shared" si="3"/>
        <v>69.095182138660405</v>
      </c>
      <c r="P73" s="261">
        <v>18.25</v>
      </c>
      <c r="Q73" s="261">
        <v>61.38</v>
      </c>
      <c r="R73" s="260"/>
      <c r="S73" s="13"/>
      <c r="T73" s="260"/>
      <c r="U73" s="13"/>
      <c r="V73" s="260"/>
      <c r="W73" s="260"/>
      <c r="X73" s="260"/>
      <c r="Y73" s="260"/>
      <c r="Z73" s="260"/>
      <c r="AA73" s="260"/>
      <c r="AB73" s="260"/>
      <c r="AC73" s="13"/>
      <c r="AD73" s="260"/>
      <c r="AE73" s="269"/>
      <c r="AF73" s="269"/>
    </row>
    <row r="74" spans="1:32">
      <c r="A74" s="260">
        <v>67</v>
      </c>
      <c r="B74" s="260" t="s">
        <v>333</v>
      </c>
      <c r="C74" s="13" t="s">
        <v>1048</v>
      </c>
      <c r="D74" s="13" t="s">
        <v>1191</v>
      </c>
      <c r="E74" s="87" t="s">
        <v>1192</v>
      </c>
      <c r="F74" s="13" t="s">
        <v>1193</v>
      </c>
      <c r="G74" s="261">
        <v>1004.26</v>
      </c>
      <c r="H74" s="261">
        <v>505</v>
      </c>
      <c r="I74" s="261">
        <v>2255</v>
      </c>
      <c r="J74" s="261">
        <v>1133</v>
      </c>
      <c r="K74" s="261">
        <v>1122</v>
      </c>
      <c r="L74" s="261">
        <v>80</v>
      </c>
      <c r="M74" s="260">
        <f t="shared" si="2"/>
        <v>3.5476718403547673</v>
      </c>
      <c r="N74" s="261">
        <v>758</v>
      </c>
      <c r="O74" s="260">
        <f t="shared" si="3"/>
        <v>33.614190687361415</v>
      </c>
      <c r="P74" s="261">
        <v>94.15</v>
      </c>
      <c r="Q74" s="261">
        <v>402.27</v>
      </c>
      <c r="R74" s="260" t="s">
        <v>37</v>
      </c>
      <c r="S74" s="79" t="s">
        <v>607</v>
      </c>
      <c r="T74" s="260"/>
      <c r="U74" s="15">
        <v>2.048</v>
      </c>
      <c r="V74" s="260"/>
      <c r="W74" s="260"/>
      <c r="X74" s="260"/>
      <c r="Y74" s="260"/>
      <c r="Z74" s="260"/>
      <c r="AA74" s="260"/>
      <c r="AB74" s="260"/>
      <c r="AC74" s="15">
        <v>0.48</v>
      </c>
      <c r="AD74" s="260"/>
      <c r="AE74" s="269"/>
      <c r="AF74" s="269"/>
    </row>
    <row r="75" spans="1:32">
      <c r="A75" s="260">
        <v>68</v>
      </c>
      <c r="B75" s="260" t="s">
        <v>333</v>
      </c>
      <c r="C75" s="13" t="s">
        <v>1048</v>
      </c>
      <c r="D75" s="13" t="s">
        <v>1191</v>
      </c>
      <c r="E75" s="87" t="s">
        <v>1194</v>
      </c>
      <c r="F75" s="13" t="s">
        <v>1195</v>
      </c>
      <c r="G75" s="261">
        <v>883.21</v>
      </c>
      <c r="H75" s="261">
        <v>119</v>
      </c>
      <c r="I75" s="261">
        <v>590</v>
      </c>
      <c r="J75" s="261">
        <v>302</v>
      </c>
      <c r="K75" s="261">
        <v>288</v>
      </c>
      <c r="L75" s="261">
        <v>10</v>
      </c>
      <c r="M75" s="260">
        <f t="shared" si="2"/>
        <v>1.6949152542372881</v>
      </c>
      <c r="N75" s="261">
        <v>274</v>
      </c>
      <c r="O75" s="260">
        <f t="shared" si="3"/>
        <v>46.440677966101696</v>
      </c>
      <c r="P75" s="261">
        <v>15.22</v>
      </c>
      <c r="Q75" s="261">
        <v>709.63</v>
      </c>
      <c r="R75" s="260" t="s">
        <v>37</v>
      </c>
      <c r="S75" s="79" t="s">
        <v>607</v>
      </c>
      <c r="T75" s="260"/>
      <c r="U75" s="15"/>
      <c r="V75" s="260"/>
      <c r="W75" s="260"/>
      <c r="X75" s="260"/>
      <c r="Y75" s="260"/>
      <c r="Z75" s="260"/>
      <c r="AA75" s="260"/>
      <c r="AB75" s="260"/>
      <c r="AC75" s="15"/>
      <c r="AD75" s="260"/>
      <c r="AE75" s="269"/>
      <c r="AF75" s="269"/>
    </row>
    <row r="76" spans="1:32">
      <c r="A76" s="260">
        <v>69</v>
      </c>
      <c r="B76" s="260" t="s">
        <v>333</v>
      </c>
      <c r="C76" s="13" t="s">
        <v>1048</v>
      </c>
      <c r="D76" s="13" t="s">
        <v>1191</v>
      </c>
      <c r="E76" s="87" t="s">
        <v>134</v>
      </c>
      <c r="F76" s="13" t="s">
        <v>1196</v>
      </c>
      <c r="G76" s="261">
        <v>1566.97</v>
      </c>
      <c r="H76" s="261">
        <v>88</v>
      </c>
      <c r="I76" s="261">
        <v>426</v>
      </c>
      <c r="J76" s="261">
        <v>221</v>
      </c>
      <c r="K76" s="261">
        <v>205</v>
      </c>
      <c r="L76" s="261">
        <v>92</v>
      </c>
      <c r="M76" s="260">
        <f t="shared" si="2"/>
        <v>21.5962441314554</v>
      </c>
      <c r="N76" s="261">
        <v>0</v>
      </c>
      <c r="O76" s="260">
        <f t="shared" si="3"/>
        <v>0</v>
      </c>
      <c r="P76" s="261">
        <v>50.9</v>
      </c>
      <c r="Q76" s="261">
        <v>1412.62</v>
      </c>
      <c r="R76" s="260" t="s">
        <v>37</v>
      </c>
      <c r="S76" s="15" t="s">
        <v>607</v>
      </c>
      <c r="T76" s="260"/>
      <c r="U76" s="15">
        <v>58.28</v>
      </c>
      <c r="V76" s="260"/>
      <c r="W76" s="260"/>
      <c r="X76" s="260"/>
      <c r="Y76" s="260"/>
      <c r="Z76" s="260"/>
      <c r="AA76" s="260"/>
      <c r="AB76" s="260"/>
      <c r="AC76" s="15"/>
      <c r="AD76" s="260"/>
      <c r="AE76" s="269"/>
      <c r="AF76" s="269"/>
    </row>
    <row r="77" spans="1:32">
      <c r="A77" s="260">
        <v>70</v>
      </c>
      <c r="B77" s="260" t="s">
        <v>333</v>
      </c>
      <c r="C77" s="13" t="s">
        <v>1048</v>
      </c>
      <c r="D77" s="13" t="s">
        <v>1191</v>
      </c>
      <c r="E77" s="87" t="s">
        <v>1197</v>
      </c>
      <c r="F77" s="13" t="s">
        <v>1198</v>
      </c>
      <c r="G77" s="261">
        <v>946.53</v>
      </c>
      <c r="H77" s="261">
        <v>230</v>
      </c>
      <c r="I77" s="261">
        <v>1161</v>
      </c>
      <c r="J77" s="261">
        <v>600</v>
      </c>
      <c r="K77" s="261">
        <v>561</v>
      </c>
      <c r="L77" s="261">
        <v>51</v>
      </c>
      <c r="M77" s="260">
        <f t="shared" si="2"/>
        <v>4.3927648578811365</v>
      </c>
      <c r="N77" s="261">
        <v>451</v>
      </c>
      <c r="O77" s="260">
        <f t="shared" si="3"/>
        <v>38.845822566752794</v>
      </c>
      <c r="P77" s="261">
        <v>53.52</v>
      </c>
      <c r="Q77" s="261">
        <v>688.74</v>
      </c>
      <c r="R77" s="260" t="s">
        <v>37</v>
      </c>
      <c r="S77" s="79" t="s">
        <v>607</v>
      </c>
      <c r="T77" s="260"/>
      <c r="U77" s="15"/>
      <c r="V77" s="260"/>
      <c r="W77" s="260"/>
      <c r="X77" s="260"/>
      <c r="Y77" s="260"/>
      <c r="Z77" s="260"/>
      <c r="AA77" s="260"/>
      <c r="AB77" s="260"/>
      <c r="AC77" s="15"/>
      <c r="AD77" s="260"/>
      <c r="AE77" s="269"/>
      <c r="AF77" s="269"/>
    </row>
    <row r="78" spans="1:32">
      <c r="A78" s="260">
        <v>71</v>
      </c>
      <c r="B78" s="260" t="s">
        <v>333</v>
      </c>
      <c r="C78" s="13" t="s">
        <v>1048</v>
      </c>
      <c r="D78" s="13" t="s">
        <v>1191</v>
      </c>
      <c r="E78" s="87" t="s">
        <v>1199</v>
      </c>
      <c r="F78" s="13" t="s">
        <v>1200</v>
      </c>
      <c r="G78" s="261">
        <v>854.84</v>
      </c>
      <c r="H78" s="261">
        <v>56</v>
      </c>
      <c r="I78" s="261">
        <v>301</v>
      </c>
      <c r="J78" s="261">
        <v>144</v>
      </c>
      <c r="K78" s="261">
        <v>157</v>
      </c>
      <c r="L78" s="261">
        <v>6</v>
      </c>
      <c r="M78" s="260">
        <f t="shared" si="2"/>
        <v>1.9933554817275747</v>
      </c>
      <c r="N78" s="261">
        <v>0</v>
      </c>
      <c r="O78" s="260">
        <f t="shared" si="3"/>
        <v>0</v>
      </c>
      <c r="P78" s="261">
        <v>0</v>
      </c>
      <c r="Q78" s="261">
        <v>628.38</v>
      </c>
      <c r="R78" s="260"/>
      <c r="S78" s="13"/>
      <c r="T78" s="260"/>
      <c r="U78" s="13"/>
      <c r="V78" s="260"/>
      <c r="W78" s="260"/>
      <c r="X78" s="260"/>
      <c r="Y78" s="260"/>
      <c r="Z78" s="260"/>
      <c r="AA78" s="260"/>
      <c r="AB78" s="260"/>
      <c r="AC78" s="13"/>
      <c r="AD78" s="260"/>
      <c r="AE78" s="269"/>
      <c r="AF78" s="269"/>
    </row>
    <row r="79" spans="1:32">
      <c r="A79" s="260">
        <v>72</v>
      </c>
      <c r="B79" s="260" t="s">
        <v>333</v>
      </c>
      <c r="C79" s="13" t="s">
        <v>1048</v>
      </c>
      <c r="D79" s="13" t="s">
        <v>1191</v>
      </c>
      <c r="E79" s="87" t="s">
        <v>1201</v>
      </c>
      <c r="F79" s="13" t="s">
        <v>1202</v>
      </c>
      <c r="G79" s="261">
        <v>746.42</v>
      </c>
      <c r="H79" s="261">
        <v>175</v>
      </c>
      <c r="I79" s="261">
        <v>880</v>
      </c>
      <c r="J79" s="261">
        <v>431</v>
      </c>
      <c r="K79" s="261">
        <v>449</v>
      </c>
      <c r="L79" s="261">
        <v>0</v>
      </c>
      <c r="M79" s="260">
        <f t="shared" si="2"/>
        <v>0</v>
      </c>
      <c r="N79" s="261">
        <v>22</v>
      </c>
      <c r="O79" s="260">
        <f t="shared" si="3"/>
        <v>2.5</v>
      </c>
      <c r="P79" s="261">
        <v>0</v>
      </c>
      <c r="Q79" s="261">
        <v>437.72</v>
      </c>
      <c r="R79" s="260"/>
      <c r="S79" s="13"/>
      <c r="T79" s="260"/>
      <c r="U79" s="13"/>
      <c r="V79" s="260"/>
      <c r="W79" s="260"/>
      <c r="X79" s="260"/>
      <c r="Y79" s="260"/>
      <c r="Z79" s="260"/>
      <c r="AA79" s="260"/>
      <c r="AB79" s="260"/>
      <c r="AC79" s="13"/>
      <c r="AD79" s="260"/>
      <c r="AE79" s="269"/>
      <c r="AF79" s="269"/>
    </row>
    <row r="80" spans="1:32">
      <c r="A80" s="260">
        <v>73</v>
      </c>
      <c r="B80" s="260" t="s">
        <v>333</v>
      </c>
      <c r="C80" s="13" t="s">
        <v>1048</v>
      </c>
      <c r="D80" s="13" t="s">
        <v>1191</v>
      </c>
      <c r="E80" s="87" t="s">
        <v>274</v>
      </c>
      <c r="F80" s="13" t="s">
        <v>1203</v>
      </c>
      <c r="G80" s="261">
        <v>1108.95</v>
      </c>
      <c r="H80" s="261">
        <v>86</v>
      </c>
      <c r="I80" s="261">
        <v>458</v>
      </c>
      <c r="J80" s="261">
        <v>224</v>
      </c>
      <c r="K80" s="261">
        <v>234</v>
      </c>
      <c r="L80" s="261">
        <v>29</v>
      </c>
      <c r="M80" s="260">
        <f t="shared" si="2"/>
        <v>6.3318777292576414</v>
      </c>
      <c r="N80" s="261">
        <v>50</v>
      </c>
      <c r="O80" s="260">
        <f t="shared" si="3"/>
        <v>10.91703056768559</v>
      </c>
      <c r="P80" s="261">
        <v>23.88</v>
      </c>
      <c r="Q80" s="261">
        <v>971.54</v>
      </c>
      <c r="R80" s="260" t="s">
        <v>37</v>
      </c>
      <c r="S80" s="15" t="s">
        <v>607</v>
      </c>
      <c r="T80" s="260"/>
      <c r="U80" s="15">
        <v>36.1</v>
      </c>
      <c r="V80" s="260"/>
      <c r="W80" s="260"/>
      <c r="X80" s="260"/>
      <c r="Y80" s="260"/>
      <c r="Z80" s="260"/>
      <c r="AA80" s="260"/>
      <c r="AB80" s="260"/>
      <c r="AC80" s="15"/>
      <c r="AD80" s="260"/>
      <c r="AE80" s="269"/>
      <c r="AF80" s="269"/>
    </row>
    <row r="81" spans="1:32" ht="15.75">
      <c r="A81" s="260">
        <v>74</v>
      </c>
      <c r="B81" s="260" t="s">
        <v>333</v>
      </c>
      <c r="C81" s="13" t="s">
        <v>1048</v>
      </c>
      <c r="D81" s="13" t="s">
        <v>1204</v>
      </c>
      <c r="E81" s="87" t="s">
        <v>1205</v>
      </c>
      <c r="F81" s="13" t="s">
        <v>1206</v>
      </c>
      <c r="G81" s="261">
        <v>1934.23</v>
      </c>
      <c r="H81" s="261">
        <v>640</v>
      </c>
      <c r="I81" s="261">
        <v>3337</v>
      </c>
      <c r="J81" s="261">
        <v>1713</v>
      </c>
      <c r="K81" s="261">
        <v>1624</v>
      </c>
      <c r="L81" s="261">
        <v>447</v>
      </c>
      <c r="M81" s="260">
        <f t="shared" si="2"/>
        <v>13.395265208270901</v>
      </c>
      <c r="N81" s="261">
        <v>174</v>
      </c>
      <c r="O81" s="260">
        <f t="shared" si="3"/>
        <v>5.2142643092598142</v>
      </c>
      <c r="P81" s="261">
        <v>32.47</v>
      </c>
      <c r="Q81" s="261">
        <v>682.6</v>
      </c>
      <c r="R81" s="260" t="s">
        <v>37</v>
      </c>
      <c r="S81" s="77">
        <v>45332</v>
      </c>
      <c r="T81" s="260"/>
      <c r="U81" s="78">
        <v>44.39</v>
      </c>
      <c r="V81" s="260"/>
      <c r="W81" s="260"/>
      <c r="X81" s="260"/>
      <c r="Y81" s="260"/>
      <c r="Z81" s="260"/>
      <c r="AA81" s="260"/>
      <c r="AB81" s="260" t="s">
        <v>39</v>
      </c>
      <c r="AC81" s="78">
        <v>5</v>
      </c>
      <c r="AD81" s="260" t="s">
        <v>1052</v>
      </c>
      <c r="AE81" s="269"/>
      <c r="AF81" s="269"/>
    </row>
    <row r="82" spans="1:32" ht="15.75">
      <c r="A82" s="260">
        <v>75</v>
      </c>
      <c r="B82" s="260" t="s">
        <v>333</v>
      </c>
      <c r="C82" s="13" t="s">
        <v>1048</v>
      </c>
      <c r="D82" s="13" t="s">
        <v>1204</v>
      </c>
      <c r="E82" s="87" t="s">
        <v>1207</v>
      </c>
      <c r="F82" s="13" t="s">
        <v>1208</v>
      </c>
      <c r="G82" s="261">
        <v>499.79</v>
      </c>
      <c r="H82" s="261">
        <v>60</v>
      </c>
      <c r="I82" s="261">
        <v>298</v>
      </c>
      <c r="J82" s="261">
        <v>154</v>
      </c>
      <c r="K82" s="261">
        <v>144</v>
      </c>
      <c r="L82" s="261">
        <v>2</v>
      </c>
      <c r="M82" s="260">
        <f t="shared" si="2"/>
        <v>0.67114093959731547</v>
      </c>
      <c r="N82" s="261">
        <v>0</v>
      </c>
      <c r="O82" s="260">
        <f t="shared" si="3"/>
        <v>0</v>
      </c>
      <c r="P82" s="261">
        <v>0</v>
      </c>
      <c r="Q82" s="261">
        <v>212.99</v>
      </c>
      <c r="R82" s="260" t="s">
        <v>37</v>
      </c>
      <c r="S82" s="77">
        <v>45332</v>
      </c>
      <c r="T82" s="260"/>
      <c r="U82" s="78">
        <v>5</v>
      </c>
      <c r="V82" s="260"/>
      <c r="W82" s="260"/>
      <c r="X82" s="260"/>
      <c r="Y82" s="260"/>
      <c r="Z82" s="260"/>
      <c r="AA82" s="260"/>
      <c r="AB82" s="260"/>
      <c r="AC82" s="78"/>
      <c r="AD82" s="260"/>
      <c r="AE82" s="269"/>
      <c r="AF82" s="269"/>
    </row>
    <row r="83" spans="1:32">
      <c r="A83" s="260">
        <v>76</v>
      </c>
      <c r="B83" s="260" t="s">
        <v>333</v>
      </c>
      <c r="C83" s="13" t="s">
        <v>1048</v>
      </c>
      <c r="D83" s="13" t="s">
        <v>1209</v>
      </c>
      <c r="E83" s="87" t="s">
        <v>1210</v>
      </c>
      <c r="F83" s="13" t="s">
        <v>1211</v>
      </c>
      <c r="G83" s="261">
        <v>615</v>
      </c>
      <c r="H83" s="261">
        <v>152</v>
      </c>
      <c r="I83" s="261">
        <v>735</v>
      </c>
      <c r="J83" s="261">
        <v>386</v>
      </c>
      <c r="K83" s="261">
        <v>349</v>
      </c>
      <c r="L83" s="261">
        <v>222</v>
      </c>
      <c r="M83" s="260">
        <f t="shared" si="2"/>
        <v>30.204081632653061</v>
      </c>
      <c r="N83" s="261">
        <v>184</v>
      </c>
      <c r="O83" s="260">
        <f t="shared" si="3"/>
        <v>25.03401360544218</v>
      </c>
      <c r="P83" s="261">
        <v>32</v>
      </c>
      <c r="Q83" s="261">
        <v>153</v>
      </c>
      <c r="R83" s="260" t="s">
        <v>37</v>
      </c>
      <c r="S83" s="13" t="s">
        <v>37</v>
      </c>
      <c r="T83" s="260"/>
      <c r="U83" s="13"/>
      <c r="V83" s="260"/>
      <c r="W83" s="260"/>
      <c r="X83" s="260"/>
      <c r="Y83" s="260"/>
      <c r="Z83" s="260"/>
      <c r="AA83" s="260"/>
      <c r="AB83" s="260"/>
      <c r="AC83" s="13">
        <v>14</v>
      </c>
      <c r="AD83" s="260"/>
      <c r="AE83" s="269"/>
      <c r="AF83" s="269"/>
    </row>
    <row r="84" spans="1:32">
      <c r="A84" s="260" t="s">
        <v>51</v>
      </c>
      <c r="B84" s="260" t="s">
        <v>333</v>
      </c>
      <c r="C84" s="13" t="s">
        <v>1048</v>
      </c>
      <c r="D84" s="13" t="s">
        <v>1209</v>
      </c>
      <c r="E84" s="87" t="s">
        <v>1210</v>
      </c>
      <c r="F84" s="13"/>
      <c r="G84" s="261"/>
      <c r="H84" s="261"/>
      <c r="I84" s="261"/>
      <c r="J84" s="261"/>
      <c r="K84" s="261"/>
      <c r="L84" s="261"/>
      <c r="M84" s="260" t="e">
        <f t="shared" si="2"/>
        <v>#DIV/0!</v>
      </c>
      <c r="N84" s="261"/>
      <c r="O84" s="260" t="e">
        <f t="shared" si="3"/>
        <v>#DIV/0!</v>
      </c>
      <c r="P84" s="261"/>
      <c r="Q84" s="261"/>
      <c r="R84" s="260"/>
      <c r="S84" s="13"/>
      <c r="T84" s="260"/>
      <c r="U84" s="13"/>
      <c r="V84" s="260"/>
      <c r="W84" s="260"/>
      <c r="X84" s="260"/>
      <c r="Y84" s="260"/>
      <c r="Z84" s="260"/>
      <c r="AA84" s="260"/>
      <c r="AB84" s="260" t="s">
        <v>39</v>
      </c>
      <c r="AC84" s="13">
        <v>13</v>
      </c>
      <c r="AD84" s="260" t="s">
        <v>400</v>
      </c>
      <c r="AE84" s="65">
        <v>25.2163</v>
      </c>
      <c r="AF84" s="65">
        <v>76.630099999999999</v>
      </c>
    </row>
    <row r="85" spans="1:32">
      <c r="A85" s="260">
        <v>77</v>
      </c>
      <c r="B85" s="260" t="s">
        <v>333</v>
      </c>
      <c r="C85" s="13" t="s">
        <v>1048</v>
      </c>
      <c r="D85" s="13" t="s">
        <v>1209</v>
      </c>
      <c r="E85" s="87" t="s">
        <v>1212</v>
      </c>
      <c r="F85" s="13" t="s">
        <v>1213</v>
      </c>
      <c r="G85" s="261">
        <v>574</v>
      </c>
      <c r="H85" s="261">
        <v>116</v>
      </c>
      <c r="I85" s="261">
        <v>592</v>
      </c>
      <c r="J85" s="261">
        <v>309</v>
      </c>
      <c r="K85" s="261">
        <v>283</v>
      </c>
      <c r="L85" s="261">
        <v>14</v>
      </c>
      <c r="M85" s="260">
        <f t="shared" si="2"/>
        <v>2.3648648648648649</v>
      </c>
      <c r="N85" s="261">
        <v>391</v>
      </c>
      <c r="O85" s="260">
        <f t="shared" si="3"/>
        <v>66.047297297297305</v>
      </c>
      <c r="P85" s="261">
        <v>23</v>
      </c>
      <c r="Q85" s="261">
        <v>213</v>
      </c>
      <c r="R85" s="260"/>
      <c r="S85" s="13"/>
      <c r="T85" s="260"/>
      <c r="U85" s="13"/>
      <c r="V85" s="260"/>
      <c r="W85" s="260"/>
      <c r="X85" s="260"/>
      <c r="Y85" s="260"/>
      <c r="Z85" s="260"/>
      <c r="AA85" s="260"/>
      <c r="AB85" s="260"/>
      <c r="AC85" s="13"/>
      <c r="AD85" s="260"/>
      <c r="AE85" s="269"/>
      <c r="AF85" s="269"/>
    </row>
    <row r="86" spans="1:32">
      <c r="A86" s="260">
        <v>78</v>
      </c>
      <c r="B86" s="260" t="s">
        <v>333</v>
      </c>
      <c r="C86" s="13" t="s">
        <v>1048</v>
      </c>
      <c r="D86" s="13" t="s">
        <v>1209</v>
      </c>
      <c r="E86" s="87" t="s">
        <v>293</v>
      </c>
      <c r="F86" s="13" t="s">
        <v>1214</v>
      </c>
      <c r="G86" s="261">
        <v>297</v>
      </c>
      <c r="H86" s="261">
        <v>37</v>
      </c>
      <c r="I86" s="261">
        <v>156</v>
      </c>
      <c r="J86" s="261">
        <v>79</v>
      </c>
      <c r="K86" s="261">
        <v>77</v>
      </c>
      <c r="L86" s="261">
        <v>0</v>
      </c>
      <c r="M86" s="260">
        <f t="shared" si="2"/>
        <v>0</v>
      </c>
      <c r="N86" s="261">
        <v>71</v>
      </c>
      <c r="O86" s="260">
        <f t="shared" si="3"/>
        <v>45.512820512820511</v>
      </c>
      <c r="P86" s="261">
        <v>18</v>
      </c>
      <c r="Q86" s="261">
        <v>122</v>
      </c>
      <c r="R86" s="260" t="s">
        <v>37</v>
      </c>
      <c r="S86" s="13" t="s">
        <v>37</v>
      </c>
      <c r="T86" s="260"/>
      <c r="U86" s="13"/>
      <c r="V86" s="260"/>
      <c r="W86" s="260"/>
      <c r="X86" s="260"/>
      <c r="Y86" s="260"/>
      <c r="Z86" s="260"/>
      <c r="AA86" s="260"/>
      <c r="AB86" s="260"/>
      <c r="AC86" s="13"/>
      <c r="AD86" s="260"/>
      <c r="AE86" s="269"/>
      <c r="AF86" s="269"/>
    </row>
    <row r="87" spans="1:32">
      <c r="A87" s="260">
        <v>79</v>
      </c>
      <c r="B87" s="260" t="s">
        <v>333</v>
      </c>
      <c r="C87" s="13" t="s">
        <v>1048</v>
      </c>
      <c r="D87" s="13" t="s">
        <v>1209</v>
      </c>
      <c r="E87" s="87" t="s">
        <v>1215</v>
      </c>
      <c r="F87" s="13" t="s">
        <v>1216</v>
      </c>
      <c r="G87" s="261">
        <v>318</v>
      </c>
      <c r="H87" s="261">
        <v>135</v>
      </c>
      <c r="I87" s="261">
        <v>681</v>
      </c>
      <c r="J87" s="261">
        <v>340</v>
      </c>
      <c r="K87" s="261">
        <v>341</v>
      </c>
      <c r="L87" s="261">
        <v>26</v>
      </c>
      <c r="M87" s="260">
        <f t="shared" si="2"/>
        <v>3.8179148311306901</v>
      </c>
      <c r="N87" s="261">
        <v>357</v>
      </c>
      <c r="O87" s="260">
        <f t="shared" si="3"/>
        <v>52.42290748898678</v>
      </c>
      <c r="P87" s="261">
        <v>17</v>
      </c>
      <c r="Q87" s="261">
        <v>0</v>
      </c>
      <c r="R87" s="260" t="s">
        <v>37</v>
      </c>
      <c r="S87" s="13" t="s">
        <v>37</v>
      </c>
      <c r="T87" s="260"/>
      <c r="U87" s="13"/>
      <c r="V87" s="260"/>
      <c r="W87" s="260"/>
      <c r="X87" s="260"/>
      <c r="Y87" s="260"/>
      <c r="Z87" s="260"/>
      <c r="AA87" s="260"/>
      <c r="AB87" s="260"/>
      <c r="AC87" s="13"/>
      <c r="AD87" s="260"/>
      <c r="AE87" s="269"/>
      <c r="AF87" s="269"/>
    </row>
    <row r="88" spans="1:32">
      <c r="A88" s="260">
        <v>80</v>
      </c>
      <c r="B88" s="260" t="s">
        <v>333</v>
      </c>
      <c r="C88" s="13" t="s">
        <v>1048</v>
      </c>
      <c r="D88" s="13" t="s">
        <v>1209</v>
      </c>
      <c r="E88" s="87" t="s">
        <v>1217</v>
      </c>
      <c r="F88" s="13" t="s">
        <v>1218</v>
      </c>
      <c r="G88" s="261">
        <v>275</v>
      </c>
      <c r="H88" s="261">
        <v>194</v>
      </c>
      <c r="I88" s="261">
        <v>930</v>
      </c>
      <c r="J88" s="261">
        <v>475</v>
      </c>
      <c r="K88" s="261">
        <v>455</v>
      </c>
      <c r="L88" s="261">
        <v>532</v>
      </c>
      <c r="M88" s="260">
        <f t="shared" si="2"/>
        <v>57.204301075268816</v>
      </c>
      <c r="N88" s="261">
        <v>201</v>
      </c>
      <c r="O88" s="260">
        <f t="shared" si="3"/>
        <v>21.612903225806452</v>
      </c>
      <c r="P88" s="261">
        <v>29</v>
      </c>
      <c r="Q88" s="261">
        <v>6</v>
      </c>
      <c r="R88" s="260" t="s">
        <v>37</v>
      </c>
      <c r="S88" s="13" t="s">
        <v>37</v>
      </c>
      <c r="T88" s="260"/>
      <c r="U88" s="13"/>
      <c r="V88" s="260"/>
      <c r="W88" s="260"/>
      <c r="X88" s="260"/>
      <c r="Y88" s="260"/>
      <c r="Z88" s="260"/>
      <c r="AA88" s="260"/>
      <c r="AB88" s="260"/>
      <c r="AC88" s="13"/>
      <c r="AD88" s="260"/>
      <c r="AE88" s="269"/>
      <c r="AF88" s="269"/>
    </row>
    <row r="89" spans="1:32">
      <c r="A89" s="260" t="s">
        <v>51</v>
      </c>
      <c r="B89" s="260" t="s">
        <v>333</v>
      </c>
      <c r="C89" s="13" t="s">
        <v>1048</v>
      </c>
      <c r="D89" s="13" t="s">
        <v>1209</v>
      </c>
      <c r="E89" s="87" t="s">
        <v>1217</v>
      </c>
      <c r="F89" s="13"/>
      <c r="G89" s="261"/>
      <c r="H89" s="261"/>
      <c r="I89" s="261"/>
      <c r="J89" s="261"/>
      <c r="K89" s="261"/>
      <c r="L89" s="261"/>
      <c r="M89" s="260" t="e">
        <f t="shared" si="2"/>
        <v>#DIV/0!</v>
      </c>
      <c r="N89" s="261"/>
      <c r="O89" s="260" t="e">
        <f t="shared" si="3"/>
        <v>#DIV/0!</v>
      </c>
      <c r="P89" s="261"/>
      <c r="Q89" s="261"/>
      <c r="R89" s="260"/>
      <c r="S89" s="13"/>
      <c r="T89" s="260"/>
      <c r="U89" s="13"/>
      <c r="V89" s="260"/>
      <c r="W89" s="260"/>
      <c r="X89" s="260"/>
      <c r="Y89" s="260"/>
      <c r="Z89" s="260"/>
      <c r="AA89" s="260"/>
      <c r="AB89" s="260" t="s">
        <v>39</v>
      </c>
      <c r="AC89" s="13">
        <v>7</v>
      </c>
      <c r="AD89" s="260" t="s">
        <v>1219</v>
      </c>
      <c r="AE89" s="65">
        <v>25.227399999999999</v>
      </c>
      <c r="AF89" s="65">
        <v>76.643500000000003</v>
      </c>
    </row>
    <row r="90" spans="1:32">
      <c r="A90" s="260" t="s">
        <v>51</v>
      </c>
      <c r="B90" s="260" t="s">
        <v>333</v>
      </c>
      <c r="C90" s="13" t="s">
        <v>1048</v>
      </c>
      <c r="D90" s="13" t="s">
        <v>1209</v>
      </c>
      <c r="E90" s="87" t="s">
        <v>1217</v>
      </c>
      <c r="F90" s="13"/>
      <c r="G90" s="261"/>
      <c r="H90" s="261"/>
      <c r="I90" s="261"/>
      <c r="J90" s="261"/>
      <c r="K90" s="261"/>
      <c r="L90" s="261"/>
      <c r="M90" s="260" t="e">
        <f t="shared" si="2"/>
        <v>#DIV/0!</v>
      </c>
      <c r="N90" s="261"/>
      <c r="O90" s="260" t="e">
        <f t="shared" si="3"/>
        <v>#DIV/0!</v>
      </c>
      <c r="P90" s="261"/>
      <c r="Q90" s="261"/>
      <c r="R90" s="260"/>
      <c r="S90" s="13"/>
      <c r="T90" s="260"/>
      <c r="U90" s="13"/>
      <c r="V90" s="260"/>
      <c r="W90" s="260"/>
      <c r="X90" s="260"/>
      <c r="Y90" s="260"/>
      <c r="Z90" s="260"/>
      <c r="AA90" s="260"/>
      <c r="AB90" s="260" t="s">
        <v>39</v>
      </c>
      <c r="AC90" s="13">
        <v>13</v>
      </c>
      <c r="AD90" s="260" t="s">
        <v>1220</v>
      </c>
      <c r="AE90" s="65">
        <v>25.2317</v>
      </c>
      <c r="AF90" s="65">
        <v>76.648799999999994</v>
      </c>
    </row>
    <row r="91" spans="1:32" ht="15.75">
      <c r="A91" s="260">
        <v>81</v>
      </c>
      <c r="B91" s="260" t="s">
        <v>333</v>
      </c>
      <c r="C91" s="13" t="s">
        <v>1048</v>
      </c>
      <c r="D91" s="13" t="s">
        <v>1221</v>
      </c>
      <c r="E91" s="87" t="s">
        <v>1222</v>
      </c>
      <c r="F91" s="13" t="s">
        <v>1223</v>
      </c>
      <c r="G91" s="261">
        <v>777</v>
      </c>
      <c r="H91" s="261">
        <v>263</v>
      </c>
      <c r="I91" s="261">
        <v>1496</v>
      </c>
      <c r="J91" s="261">
        <v>787</v>
      </c>
      <c r="K91" s="261">
        <v>709</v>
      </c>
      <c r="L91" s="261">
        <v>65</v>
      </c>
      <c r="M91" s="260">
        <f t="shared" si="2"/>
        <v>4.3449197860962565</v>
      </c>
      <c r="N91" s="261">
        <v>573</v>
      </c>
      <c r="O91" s="260">
        <f t="shared" si="3"/>
        <v>38.30213903743315</v>
      </c>
      <c r="P91" s="261">
        <v>63</v>
      </c>
      <c r="Q91" s="261">
        <v>10</v>
      </c>
      <c r="R91" s="260" t="s">
        <v>37</v>
      </c>
      <c r="S91" s="77">
        <v>45332</v>
      </c>
      <c r="T91" s="260"/>
      <c r="U91" s="78"/>
      <c r="V91" s="260"/>
      <c r="W91" s="260"/>
      <c r="X91" s="260"/>
      <c r="Y91" s="260"/>
      <c r="Z91" s="260"/>
      <c r="AA91" s="260"/>
      <c r="AB91" s="260" t="s">
        <v>39</v>
      </c>
      <c r="AC91" s="78">
        <v>4</v>
      </c>
      <c r="AD91" s="260" t="s">
        <v>1052</v>
      </c>
      <c r="AE91" s="269"/>
      <c r="AF91" s="269"/>
    </row>
    <row r="92" spans="1:32">
      <c r="A92" s="260">
        <v>82</v>
      </c>
      <c r="B92" s="260" t="s">
        <v>333</v>
      </c>
      <c r="C92" s="13" t="s">
        <v>1048</v>
      </c>
      <c r="D92" s="13" t="s">
        <v>1221</v>
      </c>
      <c r="E92" s="87" t="s">
        <v>1224</v>
      </c>
      <c r="F92" s="13" t="s">
        <v>1225</v>
      </c>
      <c r="G92" s="261">
        <v>104</v>
      </c>
      <c r="H92" s="261">
        <v>0</v>
      </c>
      <c r="I92" s="261">
        <v>0</v>
      </c>
      <c r="J92" s="261">
        <v>0</v>
      </c>
      <c r="K92" s="261">
        <v>0</v>
      </c>
      <c r="L92" s="261">
        <v>0</v>
      </c>
      <c r="M92" s="260" t="e">
        <f t="shared" si="2"/>
        <v>#DIV/0!</v>
      </c>
      <c r="N92" s="261">
        <v>0</v>
      </c>
      <c r="O92" s="260" t="e">
        <f t="shared" si="3"/>
        <v>#DIV/0!</v>
      </c>
      <c r="P92" s="261">
        <v>0</v>
      </c>
      <c r="Q92" s="261">
        <v>0</v>
      </c>
      <c r="R92" s="260"/>
      <c r="S92" s="13"/>
      <c r="T92" s="260"/>
      <c r="U92" s="13"/>
      <c r="V92" s="260"/>
      <c r="W92" s="260"/>
      <c r="X92" s="260"/>
      <c r="Y92" s="260"/>
      <c r="Z92" s="260"/>
      <c r="AA92" s="260"/>
      <c r="AB92" s="260"/>
      <c r="AC92" s="13"/>
      <c r="AD92" s="260"/>
      <c r="AE92" s="269"/>
      <c r="AF92" s="269"/>
    </row>
    <row r="93" spans="1:32">
      <c r="A93" s="260">
        <v>83</v>
      </c>
      <c r="B93" s="260" t="s">
        <v>333</v>
      </c>
      <c r="C93" s="13" t="s">
        <v>1048</v>
      </c>
      <c r="D93" s="13" t="s">
        <v>1221</v>
      </c>
      <c r="E93" s="87" t="s">
        <v>1226</v>
      </c>
      <c r="F93" s="13" t="s">
        <v>1227</v>
      </c>
      <c r="G93" s="261">
        <v>213</v>
      </c>
      <c r="H93" s="261">
        <v>133</v>
      </c>
      <c r="I93" s="261">
        <v>675</v>
      </c>
      <c r="J93" s="261">
        <v>351</v>
      </c>
      <c r="K93" s="261">
        <v>324</v>
      </c>
      <c r="L93" s="261">
        <v>112</v>
      </c>
      <c r="M93" s="260">
        <f t="shared" si="2"/>
        <v>16.592592592592592</v>
      </c>
      <c r="N93" s="261">
        <v>141</v>
      </c>
      <c r="O93" s="260">
        <f t="shared" si="3"/>
        <v>20.888888888888889</v>
      </c>
      <c r="P93" s="261">
        <v>24</v>
      </c>
      <c r="Q93" s="261">
        <v>0</v>
      </c>
      <c r="R93" s="260" t="s">
        <v>37</v>
      </c>
      <c r="S93" s="13" t="s">
        <v>37</v>
      </c>
      <c r="T93" s="260"/>
      <c r="U93" s="13"/>
      <c r="V93" s="260"/>
      <c r="W93" s="260"/>
      <c r="X93" s="260"/>
      <c r="Y93" s="260"/>
      <c r="Z93" s="260"/>
      <c r="AA93" s="260"/>
      <c r="AB93" s="260"/>
      <c r="AC93" s="13"/>
      <c r="AD93" s="260"/>
      <c r="AE93" s="269"/>
      <c r="AF93" s="269"/>
    </row>
    <row r="94" spans="1:32">
      <c r="A94" s="260">
        <v>84</v>
      </c>
      <c r="B94" s="260" t="s">
        <v>333</v>
      </c>
      <c r="C94" s="13" t="s">
        <v>1048</v>
      </c>
      <c r="D94" s="13" t="s">
        <v>1221</v>
      </c>
      <c r="E94" s="87" t="s">
        <v>1228</v>
      </c>
      <c r="F94" s="13" t="s">
        <v>1229</v>
      </c>
      <c r="G94" s="261">
        <v>104</v>
      </c>
      <c r="H94" s="261">
        <v>3</v>
      </c>
      <c r="I94" s="261">
        <v>10</v>
      </c>
      <c r="J94" s="261">
        <v>6</v>
      </c>
      <c r="K94" s="261">
        <v>4</v>
      </c>
      <c r="L94" s="261">
        <v>5</v>
      </c>
      <c r="M94" s="260">
        <f t="shared" si="2"/>
        <v>50</v>
      </c>
      <c r="N94" s="261">
        <v>0</v>
      </c>
      <c r="O94" s="260">
        <f t="shared" si="3"/>
        <v>0</v>
      </c>
      <c r="P94" s="261">
        <v>0</v>
      </c>
      <c r="Q94" s="261">
        <v>0</v>
      </c>
      <c r="R94" s="260"/>
      <c r="S94" s="13"/>
      <c r="T94" s="260"/>
      <c r="U94" s="13"/>
      <c r="V94" s="260"/>
      <c r="W94" s="260"/>
      <c r="X94" s="260"/>
      <c r="Y94" s="260"/>
      <c r="Z94" s="260"/>
      <c r="AA94" s="260"/>
      <c r="AB94" s="260"/>
      <c r="AC94" s="13"/>
      <c r="AD94" s="260"/>
      <c r="AE94" s="269"/>
      <c r="AF94" s="269"/>
    </row>
    <row r="95" spans="1:32" ht="15.75">
      <c r="A95" s="260">
        <v>85</v>
      </c>
      <c r="B95" s="260" t="s">
        <v>333</v>
      </c>
      <c r="C95" s="13" t="s">
        <v>1048</v>
      </c>
      <c r="D95" s="13" t="s">
        <v>1221</v>
      </c>
      <c r="E95" s="87" t="s">
        <v>1230</v>
      </c>
      <c r="F95" s="13" t="s">
        <v>1231</v>
      </c>
      <c r="G95" s="261">
        <v>742</v>
      </c>
      <c r="H95" s="261">
        <v>136</v>
      </c>
      <c r="I95" s="261">
        <v>712</v>
      </c>
      <c r="J95" s="261">
        <v>371</v>
      </c>
      <c r="K95" s="261">
        <v>341</v>
      </c>
      <c r="L95" s="261">
        <v>57</v>
      </c>
      <c r="M95" s="260">
        <f t="shared" si="2"/>
        <v>8.0056179775280896</v>
      </c>
      <c r="N95" s="261">
        <v>470</v>
      </c>
      <c r="O95" s="260">
        <f t="shared" si="3"/>
        <v>66.011235955056179</v>
      </c>
      <c r="P95" s="261">
        <v>33</v>
      </c>
      <c r="Q95" s="261">
        <v>0</v>
      </c>
      <c r="R95" s="260" t="s">
        <v>37</v>
      </c>
      <c r="S95" s="77">
        <v>45332</v>
      </c>
      <c r="T95" s="260"/>
      <c r="U95" s="78">
        <v>35.69</v>
      </c>
      <c r="V95" s="260"/>
      <c r="W95" s="260"/>
      <c r="X95" s="260"/>
      <c r="Y95" s="260"/>
      <c r="Z95" s="260"/>
      <c r="AA95" s="260"/>
      <c r="AB95" s="260"/>
      <c r="AC95" s="78"/>
      <c r="AD95" s="260"/>
      <c r="AE95" s="269"/>
      <c r="AF95" s="269"/>
    </row>
    <row r="96" spans="1:32">
      <c r="A96" s="260">
        <v>86</v>
      </c>
      <c r="B96" s="260" t="s">
        <v>333</v>
      </c>
      <c r="C96" s="13" t="s">
        <v>1048</v>
      </c>
      <c r="D96" s="13" t="s">
        <v>1221</v>
      </c>
      <c r="E96" s="87" t="s">
        <v>1232</v>
      </c>
      <c r="F96" s="13" t="s">
        <v>1233</v>
      </c>
      <c r="G96" s="261">
        <v>318</v>
      </c>
      <c r="H96" s="261">
        <v>1</v>
      </c>
      <c r="I96" s="261">
        <v>2</v>
      </c>
      <c r="J96" s="261">
        <v>1</v>
      </c>
      <c r="K96" s="261">
        <v>1</v>
      </c>
      <c r="L96" s="261">
        <v>0</v>
      </c>
      <c r="M96" s="260">
        <f t="shared" si="2"/>
        <v>0</v>
      </c>
      <c r="N96" s="261">
        <v>0</v>
      </c>
      <c r="O96" s="260">
        <f t="shared" si="3"/>
        <v>0</v>
      </c>
      <c r="P96" s="261">
        <v>0</v>
      </c>
      <c r="Q96" s="261">
        <v>0</v>
      </c>
      <c r="R96" s="260"/>
      <c r="S96" s="13"/>
      <c r="T96" s="260"/>
      <c r="U96" s="13"/>
      <c r="V96" s="260"/>
      <c r="W96" s="260"/>
      <c r="X96" s="260"/>
      <c r="Y96" s="260"/>
      <c r="Z96" s="260"/>
      <c r="AA96" s="260"/>
      <c r="AB96" s="260"/>
      <c r="AC96" s="13"/>
      <c r="AD96" s="260"/>
      <c r="AE96" s="269"/>
      <c r="AF96" s="269"/>
    </row>
    <row r="97" spans="1:32" ht="15.75">
      <c r="A97" s="260">
        <v>87</v>
      </c>
      <c r="B97" s="260" t="s">
        <v>333</v>
      </c>
      <c r="C97" s="13" t="s">
        <v>1048</v>
      </c>
      <c r="D97" s="13" t="s">
        <v>1221</v>
      </c>
      <c r="E97" s="87" t="s">
        <v>1234</v>
      </c>
      <c r="F97" s="13" t="s">
        <v>1235</v>
      </c>
      <c r="G97" s="261">
        <v>428</v>
      </c>
      <c r="H97" s="261">
        <v>101</v>
      </c>
      <c r="I97" s="261">
        <v>543</v>
      </c>
      <c r="J97" s="261">
        <v>275</v>
      </c>
      <c r="K97" s="261">
        <v>268</v>
      </c>
      <c r="L97" s="261">
        <v>84</v>
      </c>
      <c r="M97" s="260">
        <f t="shared" si="2"/>
        <v>15.469613259668508</v>
      </c>
      <c r="N97" s="261">
        <v>161</v>
      </c>
      <c r="O97" s="260">
        <f t="shared" si="3"/>
        <v>29.65009208103131</v>
      </c>
      <c r="P97" s="261">
        <v>47</v>
      </c>
      <c r="Q97" s="261">
        <v>0</v>
      </c>
      <c r="R97" s="260" t="s">
        <v>37</v>
      </c>
      <c r="S97" s="77">
        <v>45332</v>
      </c>
      <c r="T97" s="260"/>
      <c r="U97" s="78">
        <v>47.17</v>
      </c>
      <c r="V97" s="260"/>
      <c r="W97" s="260"/>
      <c r="X97" s="260"/>
      <c r="Y97" s="260"/>
      <c r="Z97" s="260"/>
      <c r="AA97" s="260"/>
      <c r="AB97" s="260" t="s">
        <v>39</v>
      </c>
      <c r="AC97" s="78">
        <v>6</v>
      </c>
      <c r="AD97" s="260" t="s">
        <v>1052</v>
      </c>
      <c r="AE97" s="269">
        <v>25.081099999999999</v>
      </c>
      <c r="AF97" s="269">
        <v>76.630799999999994</v>
      </c>
    </row>
    <row r="98" spans="1:32">
      <c r="A98" s="260">
        <v>88</v>
      </c>
      <c r="B98" s="260" t="s">
        <v>333</v>
      </c>
      <c r="C98" s="13" t="s">
        <v>1048</v>
      </c>
      <c r="D98" s="13" t="s">
        <v>1221</v>
      </c>
      <c r="E98" s="87" t="s">
        <v>1236</v>
      </c>
      <c r="F98" s="13" t="s">
        <v>1237</v>
      </c>
      <c r="G98" s="261">
        <v>92</v>
      </c>
      <c r="H98" s="261">
        <v>0</v>
      </c>
      <c r="I98" s="261">
        <v>0</v>
      </c>
      <c r="J98" s="261">
        <v>0</v>
      </c>
      <c r="K98" s="261">
        <v>0</v>
      </c>
      <c r="L98" s="261">
        <v>0</v>
      </c>
      <c r="M98" s="260" t="e">
        <f t="shared" si="2"/>
        <v>#DIV/0!</v>
      </c>
      <c r="N98" s="261">
        <v>0</v>
      </c>
      <c r="O98" s="260" t="e">
        <f t="shared" si="3"/>
        <v>#DIV/0!</v>
      </c>
      <c r="P98" s="261">
        <v>0</v>
      </c>
      <c r="Q98" s="261">
        <v>0</v>
      </c>
      <c r="R98" s="260"/>
      <c r="S98" s="13"/>
      <c r="T98" s="260"/>
      <c r="U98" s="13"/>
      <c r="V98" s="260"/>
      <c r="W98" s="260"/>
      <c r="X98" s="260"/>
      <c r="Y98" s="260"/>
      <c r="Z98" s="260"/>
      <c r="AA98" s="260"/>
      <c r="AB98" s="260"/>
      <c r="AC98" s="13"/>
      <c r="AD98" s="260"/>
      <c r="AE98" s="269"/>
      <c r="AF98" s="269"/>
    </row>
    <row r="99" spans="1:32">
      <c r="A99" s="260">
        <v>89</v>
      </c>
      <c r="B99" s="260" t="s">
        <v>333</v>
      </c>
      <c r="C99" s="13" t="s">
        <v>1048</v>
      </c>
      <c r="D99" s="13" t="s">
        <v>1238</v>
      </c>
      <c r="E99" s="87" t="s">
        <v>1239</v>
      </c>
      <c r="F99" s="13" t="s">
        <v>1240</v>
      </c>
      <c r="G99" s="261">
        <v>3082</v>
      </c>
      <c r="H99" s="261">
        <v>354</v>
      </c>
      <c r="I99" s="261">
        <v>1705</v>
      </c>
      <c r="J99" s="261">
        <v>884</v>
      </c>
      <c r="K99" s="261">
        <v>821</v>
      </c>
      <c r="L99" s="261">
        <v>132</v>
      </c>
      <c r="M99" s="260">
        <f t="shared" si="2"/>
        <v>7.741935483870968</v>
      </c>
      <c r="N99" s="261">
        <v>165</v>
      </c>
      <c r="O99" s="260">
        <f t="shared" si="3"/>
        <v>9.67741935483871</v>
      </c>
      <c r="P99" s="270">
        <v>77</v>
      </c>
      <c r="Q99" s="261">
        <v>2443</v>
      </c>
      <c r="R99" s="260" t="s">
        <v>37</v>
      </c>
      <c r="S99" s="13" t="s">
        <v>37</v>
      </c>
      <c r="T99" s="260"/>
      <c r="U99" s="13"/>
      <c r="V99" s="260"/>
      <c r="W99" s="260"/>
      <c r="X99" s="260"/>
      <c r="Y99" s="260"/>
      <c r="Z99" s="260"/>
      <c r="AA99" s="260"/>
      <c r="AB99" s="260"/>
      <c r="AC99" s="13"/>
      <c r="AD99" s="260"/>
      <c r="AE99" s="269"/>
      <c r="AF99" s="269"/>
    </row>
    <row r="100" spans="1:32">
      <c r="A100" s="260">
        <v>90</v>
      </c>
      <c r="B100" s="260" t="s">
        <v>333</v>
      </c>
      <c r="C100" s="13" t="s">
        <v>1048</v>
      </c>
      <c r="D100" s="13" t="s">
        <v>1238</v>
      </c>
      <c r="E100" s="87" t="s">
        <v>624</v>
      </c>
      <c r="F100" s="13" t="s">
        <v>1241</v>
      </c>
      <c r="G100" s="261">
        <v>337.52</v>
      </c>
      <c r="H100" s="261">
        <v>51</v>
      </c>
      <c r="I100" s="261">
        <v>226</v>
      </c>
      <c r="J100" s="261">
        <v>115</v>
      </c>
      <c r="K100" s="261">
        <v>111</v>
      </c>
      <c r="L100" s="261">
        <v>7</v>
      </c>
      <c r="M100" s="260">
        <f t="shared" si="2"/>
        <v>3.0973451327433628</v>
      </c>
      <c r="N100" s="261">
        <v>110</v>
      </c>
      <c r="O100" s="260">
        <f t="shared" si="3"/>
        <v>48.672566371681413</v>
      </c>
      <c r="P100" s="261">
        <v>15.82</v>
      </c>
      <c r="Q100" s="261">
        <v>178.22</v>
      </c>
      <c r="R100" s="260"/>
      <c r="S100" s="13"/>
      <c r="T100" s="260"/>
      <c r="U100" s="13"/>
      <c r="V100" s="260"/>
      <c r="W100" s="260"/>
      <c r="X100" s="260"/>
      <c r="Y100" s="260"/>
      <c r="Z100" s="260"/>
      <c r="AA100" s="260"/>
      <c r="AB100" s="260"/>
      <c r="AC100" s="13"/>
      <c r="AD100" s="260"/>
      <c r="AE100" s="269"/>
      <c r="AF100" s="269"/>
    </row>
    <row r="101" spans="1:32">
      <c r="A101" s="260">
        <v>91</v>
      </c>
      <c r="B101" s="260" t="s">
        <v>333</v>
      </c>
      <c r="C101" s="13" t="s">
        <v>1048</v>
      </c>
      <c r="D101" s="13" t="s">
        <v>1238</v>
      </c>
      <c r="E101" s="87" t="s">
        <v>1242</v>
      </c>
      <c r="F101" s="13" t="s">
        <v>1243</v>
      </c>
      <c r="G101" s="261">
        <v>528</v>
      </c>
      <c r="H101" s="261">
        <v>191</v>
      </c>
      <c r="I101" s="261">
        <v>960</v>
      </c>
      <c r="J101" s="261">
        <v>489</v>
      </c>
      <c r="K101" s="261">
        <v>471</v>
      </c>
      <c r="L101" s="261">
        <v>75</v>
      </c>
      <c r="M101" s="260">
        <f t="shared" si="2"/>
        <v>7.8125</v>
      </c>
      <c r="N101" s="261">
        <v>502</v>
      </c>
      <c r="O101" s="260">
        <f t="shared" si="3"/>
        <v>52.291666666666671</v>
      </c>
      <c r="P101" s="261">
        <v>62</v>
      </c>
      <c r="Q101" s="261">
        <v>158</v>
      </c>
      <c r="R101" s="260" t="s">
        <v>37</v>
      </c>
      <c r="S101" s="15" t="s">
        <v>37</v>
      </c>
      <c r="T101" s="260"/>
      <c r="U101" s="15">
        <v>105.76</v>
      </c>
      <c r="V101" s="260"/>
      <c r="W101" s="260"/>
      <c r="X101" s="260"/>
      <c r="Y101" s="260"/>
      <c r="Z101" s="260"/>
      <c r="AA101" s="260"/>
      <c r="AB101" s="260" t="s">
        <v>39</v>
      </c>
      <c r="AC101" s="15">
        <v>15</v>
      </c>
      <c r="AD101" s="260" t="s">
        <v>1052</v>
      </c>
      <c r="AE101" s="269">
        <v>25.261399999999998</v>
      </c>
      <c r="AF101" s="269">
        <v>76.697500000000005</v>
      </c>
    </row>
    <row r="102" spans="1:32">
      <c r="A102" s="260">
        <v>92</v>
      </c>
      <c r="B102" s="260" t="s">
        <v>333</v>
      </c>
      <c r="C102" s="13" t="s">
        <v>1048</v>
      </c>
      <c r="D102" s="13" t="s">
        <v>1238</v>
      </c>
      <c r="E102" s="87" t="s">
        <v>1244</v>
      </c>
      <c r="F102" s="13" t="s">
        <v>1245</v>
      </c>
      <c r="G102" s="261">
        <v>157</v>
      </c>
      <c r="H102" s="261">
        <v>0</v>
      </c>
      <c r="I102" s="261">
        <v>0</v>
      </c>
      <c r="J102" s="261">
        <v>0</v>
      </c>
      <c r="K102" s="261">
        <v>0</v>
      </c>
      <c r="L102" s="261">
        <v>0</v>
      </c>
      <c r="M102" s="260" t="e">
        <f t="shared" si="2"/>
        <v>#DIV/0!</v>
      </c>
      <c r="N102" s="261">
        <v>0</v>
      </c>
      <c r="O102" s="260" t="e">
        <f t="shared" si="3"/>
        <v>#DIV/0!</v>
      </c>
      <c r="P102" s="261">
        <v>0</v>
      </c>
      <c r="Q102" s="261">
        <v>0</v>
      </c>
      <c r="R102" s="260"/>
      <c r="S102" s="13"/>
      <c r="T102" s="260"/>
      <c r="U102" s="13"/>
      <c r="V102" s="260"/>
      <c r="W102" s="260"/>
      <c r="X102" s="260"/>
      <c r="Y102" s="260"/>
      <c r="Z102" s="260"/>
      <c r="AA102" s="260"/>
      <c r="AB102" s="260"/>
      <c r="AC102" s="13"/>
      <c r="AD102" s="260"/>
      <c r="AE102" s="269"/>
      <c r="AF102" s="269"/>
    </row>
    <row r="103" spans="1:32">
      <c r="A103" s="260">
        <v>93</v>
      </c>
      <c r="B103" s="260" t="s">
        <v>333</v>
      </c>
      <c r="C103" s="13" t="s">
        <v>1048</v>
      </c>
      <c r="D103" s="13" t="s">
        <v>1238</v>
      </c>
      <c r="E103" s="87" t="s">
        <v>1246</v>
      </c>
      <c r="F103" s="13" t="s">
        <v>1247</v>
      </c>
      <c r="G103" s="261">
        <v>301</v>
      </c>
      <c r="H103" s="261">
        <v>94</v>
      </c>
      <c r="I103" s="261">
        <v>533</v>
      </c>
      <c r="J103" s="261">
        <v>269</v>
      </c>
      <c r="K103" s="261">
        <v>264</v>
      </c>
      <c r="L103" s="261">
        <v>0</v>
      </c>
      <c r="M103" s="260">
        <f t="shared" si="2"/>
        <v>0</v>
      </c>
      <c r="N103" s="261">
        <v>442</v>
      </c>
      <c r="O103" s="260">
        <f t="shared" si="3"/>
        <v>82.926829268292678</v>
      </c>
      <c r="P103" s="261">
        <v>16</v>
      </c>
      <c r="Q103" s="261">
        <v>33</v>
      </c>
      <c r="R103" s="260"/>
      <c r="S103" s="13"/>
      <c r="T103" s="260"/>
      <c r="U103" s="13"/>
      <c r="V103" s="260"/>
      <c r="W103" s="260"/>
      <c r="X103" s="260"/>
      <c r="Y103" s="260"/>
      <c r="Z103" s="260"/>
      <c r="AA103" s="260"/>
      <c r="AB103" s="260"/>
      <c r="AC103" s="13">
        <v>8</v>
      </c>
      <c r="AD103" s="260"/>
      <c r="AE103" s="269"/>
      <c r="AF103" s="269"/>
    </row>
    <row r="104" spans="1:32">
      <c r="A104" s="260">
        <v>94</v>
      </c>
      <c r="B104" s="260" t="s">
        <v>333</v>
      </c>
      <c r="C104" s="13" t="s">
        <v>1048</v>
      </c>
      <c r="D104" s="13" t="s">
        <v>1238</v>
      </c>
      <c r="E104" s="87" t="s">
        <v>1248</v>
      </c>
      <c r="F104" s="13" t="s">
        <v>1249</v>
      </c>
      <c r="G104" s="261">
        <v>779</v>
      </c>
      <c r="H104" s="261">
        <v>257</v>
      </c>
      <c r="I104" s="261">
        <v>1416</v>
      </c>
      <c r="J104" s="261">
        <v>705</v>
      </c>
      <c r="K104" s="261">
        <v>711</v>
      </c>
      <c r="L104" s="261">
        <v>174</v>
      </c>
      <c r="M104" s="260">
        <f t="shared" si="2"/>
        <v>12.288135593220339</v>
      </c>
      <c r="N104" s="261">
        <v>666</v>
      </c>
      <c r="O104" s="260">
        <f t="shared" si="3"/>
        <v>47.033898305084747</v>
      </c>
      <c r="P104" s="270">
        <v>140</v>
      </c>
      <c r="Q104" s="261">
        <v>94</v>
      </c>
      <c r="R104" s="260" t="s">
        <v>37</v>
      </c>
      <c r="S104" s="15" t="s">
        <v>37</v>
      </c>
      <c r="T104" s="260"/>
      <c r="U104" s="15">
        <v>152</v>
      </c>
      <c r="V104" s="260"/>
      <c r="W104" s="260"/>
      <c r="X104" s="260"/>
      <c r="Y104" s="260"/>
      <c r="Z104" s="260"/>
      <c r="AA104" s="260"/>
      <c r="AB104" s="260" t="s">
        <v>39</v>
      </c>
      <c r="AC104" s="15">
        <v>14</v>
      </c>
      <c r="AD104" s="260" t="s">
        <v>1052</v>
      </c>
      <c r="AE104" s="269"/>
      <c r="AF104" s="269"/>
    </row>
    <row r="105" spans="1:32" ht="15.75">
      <c r="A105" s="260">
        <v>95</v>
      </c>
      <c r="B105" s="260" t="s">
        <v>333</v>
      </c>
      <c r="C105" s="13" t="s">
        <v>1048</v>
      </c>
      <c r="D105" s="13" t="s">
        <v>1250</v>
      </c>
      <c r="E105" s="87" t="s">
        <v>1251</v>
      </c>
      <c r="F105" s="13" t="s">
        <v>1252</v>
      </c>
      <c r="G105" s="261">
        <v>390.99</v>
      </c>
      <c r="H105" s="261">
        <v>147</v>
      </c>
      <c r="I105" s="261">
        <v>763</v>
      </c>
      <c r="J105" s="261">
        <v>390</v>
      </c>
      <c r="K105" s="261">
        <v>373</v>
      </c>
      <c r="L105" s="261">
        <v>252</v>
      </c>
      <c r="M105" s="260">
        <f t="shared" si="2"/>
        <v>33.027522935779821</v>
      </c>
      <c r="N105" s="261">
        <v>213</v>
      </c>
      <c r="O105" s="260">
        <f t="shared" si="3"/>
        <v>27.916120576671034</v>
      </c>
      <c r="P105" s="261">
        <v>31.05</v>
      </c>
      <c r="Q105" s="261">
        <v>31</v>
      </c>
      <c r="R105" s="260" t="s">
        <v>37</v>
      </c>
      <c r="S105" s="77">
        <v>45332</v>
      </c>
      <c r="T105" s="260"/>
      <c r="U105" s="78"/>
      <c r="V105" s="260"/>
      <c r="W105" s="260"/>
      <c r="X105" s="260"/>
      <c r="Y105" s="260"/>
      <c r="Z105" s="260"/>
      <c r="AA105" s="260"/>
      <c r="AB105" s="260" t="s">
        <v>39</v>
      </c>
      <c r="AC105" s="78">
        <v>12</v>
      </c>
      <c r="AD105" s="260" t="s">
        <v>1052</v>
      </c>
      <c r="AE105" s="269"/>
      <c r="AF105" s="269"/>
    </row>
    <row r="106" spans="1:32" ht="15.75">
      <c r="A106" s="260">
        <v>96</v>
      </c>
      <c r="B106" s="260" t="s">
        <v>333</v>
      </c>
      <c r="C106" s="13" t="s">
        <v>1048</v>
      </c>
      <c r="D106" s="13" t="s">
        <v>1250</v>
      </c>
      <c r="E106" s="87" t="s">
        <v>1253</v>
      </c>
      <c r="F106" s="13" t="s">
        <v>1254</v>
      </c>
      <c r="G106" s="261">
        <v>615.02</v>
      </c>
      <c r="H106" s="261">
        <v>106</v>
      </c>
      <c r="I106" s="261">
        <v>572</v>
      </c>
      <c r="J106" s="261">
        <v>294</v>
      </c>
      <c r="K106" s="261">
        <v>278</v>
      </c>
      <c r="L106" s="261">
        <v>11</v>
      </c>
      <c r="M106" s="260">
        <f t="shared" si="2"/>
        <v>1.9230769230769231</v>
      </c>
      <c r="N106" s="261">
        <v>57</v>
      </c>
      <c r="O106" s="260">
        <f t="shared" si="3"/>
        <v>9.965034965034965</v>
      </c>
      <c r="P106" s="261">
        <v>24.03</v>
      </c>
      <c r="Q106" s="261">
        <v>324</v>
      </c>
      <c r="R106" s="260" t="s">
        <v>37</v>
      </c>
      <c r="S106" s="77">
        <v>45332</v>
      </c>
      <c r="T106" s="260"/>
      <c r="U106" s="78">
        <v>24.09</v>
      </c>
      <c r="V106" s="260"/>
      <c r="W106" s="260"/>
      <c r="X106" s="260"/>
      <c r="Y106" s="260"/>
      <c r="Z106" s="260"/>
      <c r="AA106" s="260"/>
      <c r="AB106" s="260" t="s">
        <v>39</v>
      </c>
      <c r="AC106" s="78">
        <v>9</v>
      </c>
      <c r="AD106" s="260" t="s">
        <v>1052</v>
      </c>
      <c r="AE106" s="269"/>
      <c r="AF106" s="269"/>
    </row>
    <row r="107" spans="1:32">
      <c r="A107" s="260">
        <v>97</v>
      </c>
      <c r="B107" s="260" t="s">
        <v>333</v>
      </c>
      <c r="C107" s="13" t="s">
        <v>1048</v>
      </c>
      <c r="D107" s="13" t="s">
        <v>1250</v>
      </c>
      <c r="E107" s="87" t="s">
        <v>949</v>
      </c>
      <c r="F107" s="13" t="s">
        <v>1255</v>
      </c>
      <c r="G107" s="261">
        <v>304.86</v>
      </c>
      <c r="H107" s="261">
        <v>63</v>
      </c>
      <c r="I107" s="261">
        <v>372</v>
      </c>
      <c r="J107" s="261">
        <v>211</v>
      </c>
      <c r="K107" s="261">
        <v>161</v>
      </c>
      <c r="L107" s="261">
        <v>8</v>
      </c>
      <c r="M107" s="260">
        <f t="shared" si="2"/>
        <v>2.1505376344086025</v>
      </c>
      <c r="N107" s="261">
        <v>134</v>
      </c>
      <c r="O107" s="260">
        <f t="shared" si="3"/>
        <v>36.021505376344088</v>
      </c>
      <c r="P107" s="261">
        <v>27.15</v>
      </c>
      <c r="Q107" s="261">
        <v>0</v>
      </c>
      <c r="R107" s="260"/>
      <c r="S107" s="13"/>
      <c r="T107" s="260"/>
      <c r="U107" s="13"/>
      <c r="V107" s="260"/>
      <c r="W107" s="260"/>
      <c r="X107" s="260"/>
      <c r="Y107" s="260"/>
      <c r="Z107" s="260"/>
      <c r="AA107" s="260"/>
      <c r="AB107" s="260"/>
      <c r="AC107" s="13">
        <v>2</v>
      </c>
      <c r="AD107" s="260"/>
      <c r="AE107" s="269"/>
      <c r="AF107" s="269"/>
    </row>
    <row r="108" spans="1:32" ht="15.75">
      <c r="A108" s="260">
        <v>98</v>
      </c>
      <c r="B108" s="260" t="s">
        <v>333</v>
      </c>
      <c r="C108" s="13" t="s">
        <v>1048</v>
      </c>
      <c r="D108" s="13" t="s">
        <v>1250</v>
      </c>
      <c r="E108" s="87" t="s">
        <v>1256</v>
      </c>
      <c r="F108" s="13" t="s">
        <v>1257</v>
      </c>
      <c r="G108" s="261">
        <v>781.95</v>
      </c>
      <c r="H108" s="261">
        <v>92</v>
      </c>
      <c r="I108" s="261">
        <v>480</v>
      </c>
      <c r="J108" s="261">
        <v>253</v>
      </c>
      <c r="K108" s="261">
        <v>227</v>
      </c>
      <c r="L108" s="261">
        <v>29</v>
      </c>
      <c r="M108" s="260">
        <f t="shared" si="2"/>
        <v>6.041666666666667</v>
      </c>
      <c r="N108" s="261">
        <v>341</v>
      </c>
      <c r="O108" s="260">
        <f t="shared" si="3"/>
        <v>71.041666666666671</v>
      </c>
      <c r="P108" s="261">
        <v>36.85</v>
      </c>
      <c r="Q108" s="261">
        <v>606.03</v>
      </c>
      <c r="R108" s="260" t="s">
        <v>37</v>
      </c>
      <c r="S108" s="77">
        <v>45332</v>
      </c>
      <c r="T108" s="260"/>
      <c r="U108" s="78"/>
      <c r="V108" s="260"/>
      <c r="W108" s="260"/>
      <c r="X108" s="260"/>
      <c r="Y108" s="260"/>
      <c r="Z108" s="260"/>
      <c r="AA108" s="260"/>
      <c r="AB108" s="260" t="s">
        <v>39</v>
      </c>
      <c r="AC108" s="78">
        <v>10</v>
      </c>
      <c r="AD108" s="260" t="s">
        <v>1052</v>
      </c>
      <c r="AE108" s="269"/>
      <c r="AF108" s="269"/>
    </row>
    <row r="109" spans="1:32" ht="15.75">
      <c r="A109" s="260">
        <v>99</v>
      </c>
      <c r="B109" s="260" t="s">
        <v>333</v>
      </c>
      <c r="C109" s="13" t="s">
        <v>1048</v>
      </c>
      <c r="D109" s="13" t="s">
        <v>1250</v>
      </c>
      <c r="E109" s="87" t="s">
        <v>1258</v>
      </c>
      <c r="F109" s="13" t="s">
        <v>1259</v>
      </c>
      <c r="G109" s="261">
        <v>802.73</v>
      </c>
      <c r="H109" s="261">
        <v>157</v>
      </c>
      <c r="I109" s="261">
        <v>810</v>
      </c>
      <c r="J109" s="261">
        <v>424</v>
      </c>
      <c r="K109" s="261">
        <v>386</v>
      </c>
      <c r="L109" s="261">
        <v>22</v>
      </c>
      <c r="M109" s="260">
        <f t="shared" si="2"/>
        <v>2.7160493827160495</v>
      </c>
      <c r="N109" s="261">
        <v>0</v>
      </c>
      <c r="O109" s="260">
        <f t="shared" si="3"/>
        <v>0</v>
      </c>
      <c r="P109" s="261">
        <v>19.98</v>
      </c>
      <c r="Q109" s="261">
        <v>722.43</v>
      </c>
      <c r="R109" s="260" t="s">
        <v>37</v>
      </c>
      <c r="S109" s="77">
        <v>45332</v>
      </c>
      <c r="T109" s="260"/>
      <c r="U109" s="78">
        <v>20.38</v>
      </c>
      <c r="V109" s="260"/>
      <c r="W109" s="260"/>
      <c r="X109" s="260"/>
      <c r="Y109" s="260"/>
      <c r="Z109" s="260"/>
      <c r="AA109" s="260"/>
      <c r="AB109" s="260" t="s">
        <v>39</v>
      </c>
      <c r="AC109" s="78">
        <v>21</v>
      </c>
      <c r="AD109" s="260" t="s">
        <v>1052</v>
      </c>
      <c r="AE109" s="269"/>
      <c r="AF109" s="269"/>
    </row>
    <row r="110" spans="1:32" ht="15.75">
      <c r="A110" s="260">
        <v>100</v>
      </c>
      <c r="B110" s="260" t="s">
        <v>333</v>
      </c>
      <c r="C110" s="13" t="s">
        <v>1048</v>
      </c>
      <c r="D110" s="13" t="s">
        <v>1250</v>
      </c>
      <c r="E110" s="87" t="s">
        <v>1260</v>
      </c>
      <c r="F110" s="13" t="s">
        <v>1261</v>
      </c>
      <c r="G110" s="261">
        <v>1107.0899999999999</v>
      </c>
      <c r="H110" s="261">
        <v>92</v>
      </c>
      <c r="I110" s="261">
        <v>410</v>
      </c>
      <c r="J110" s="261">
        <v>222</v>
      </c>
      <c r="K110" s="261">
        <v>188</v>
      </c>
      <c r="L110" s="261">
        <v>0</v>
      </c>
      <c r="M110" s="260">
        <f t="shared" si="2"/>
        <v>0</v>
      </c>
      <c r="N110" s="261">
        <v>408</v>
      </c>
      <c r="O110" s="260">
        <f t="shared" si="3"/>
        <v>99.512195121951223</v>
      </c>
      <c r="P110" s="261">
        <v>35.19</v>
      </c>
      <c r="Q110" s="261">
        <v>748.19</v>
      </c>
      <c r="R110" s="260" t="s">
        <v>37</v>
      </c>
      <c r="S110" s="77">
        <v>45332</v>
      </c>
      <c r="T110" s="260"/>
      <c r="U110" s="78">
        <v>37.4</v>
      </c>
      <c r="V110" s="260"/>
      <c r="W110" s="260"/>
      <c r="X110" s="260"/>
      <c r="Y110" s="260"/>
      <c r="Z110" s="260"/>
      <c r="AA110" s="260"/>
      <c r="AB110" s="260" t="s">
        <v>39</v>
      </c>
      <c r="AC110" s="78">
        <v>8</v>
      </c>
      <c r="AD110" s="260" t="s">
        <v>1052</v>
      </c>
      <c r="AE110" s="269"/>
      <c r="AF110" s="269"/>
    </row>
    <row r="111" spans="1:32">
      <c r="A111" s="260">
        <v>101</v>
      </c>
      <c r="B111" s="260" t="s">
        <v>333</v>
      </c>
      <c r="C111" s="13" t="s">
        <v>1048</v>
      </c>
      <c r="D111" s="13" t="s">
        <v>1250</v>
      </c>
      <c r="E111" s="87" t="s">
        <v>624</v>
      </c>
      <c r="F111" s="13" t="s">
        <v>1262</v>
      </c>
      <c r="G111" s="261">
        <v>128</v>
      </c>
      <c r="H111" s="261">
        <v>0</v>
      </c>
      <c r="I111" s="261">
        <v>0</v>
      </c>
      <c r="J111" s="261">
        <v>0</v>
      </c>
      <c r="K111" s="261">
        <v>0</v>
      </c>
      <c r="L111" s="261">
        <v>0</v>
      </c>
      <c r="M111" s="260" t="e">
        <f t="shared" si="2"/>
        <v>#DIV/0!</v>
      </c>
      <c r="N111" s="261">
        <v>0</v>
      </c>
      <c r="O111" s="260" t="e">
        <f t="shared" si="3"/>
        <v>#DIV/0!</v>
      </c>
      <c r="P111" s="261">
        <v>0</v>
      </c>
      <c r="Q111" s="261">
        <v>0</v>
      </c>
      <c r="R111" s="260"/>
      <c r="S111" s="13"/>
      <c r="T111" s="260"/>
      <c r="U111" s="13"/>
      <c r="V111" s="260"/>
      <c r="W111" s="260"/>
      <c r="X111" s="260"/>
      <c r="Y111" s="260"/>
      <c r="Z111" s="260"/>
      <c r="AA111" s="260"/>
      <c r="AB111" s="260"/>
      <c r="AC111" s="13"/>
      <c r="AD111" s="260"/>
      <c r="AE111" s="269"/>
      <c r="AF111" s="269"/>
    </row>
    <row r="112" spans="1:32">
      <c r="A112" s="260">
        <v>102</v>
      </c>
      <c r="B112" s="260" t="s">
        <v>333</v>
      </c>
      <c r="C112" s="13" t="s">
        <v>1048</v>
      </c>
      <c r="D112" s="13" t="s">
        <v>1263</v>
      </c>
      <c r="E112" s="87" t="s">
        <v>1264</v>
      </c>
      <c r="F112" s="13" t="s">
        <v>1265</v>
      </c>
      <c r="G112" s="261">
        <v>1879</v>
      </c>
      <c r="H112" s="261">
        <v>405</v>
      </c>
      <c r="I112" s="261">
        <v>1971</v>
      </c>
      <c r="J112" s="261">
        <v>969</v>
      </c>
      <c r="K112" s="261">
        <v>1002</v>
      </c>
      <c r="L112" s="261">
        <v>289</v>
      </c>
      <c r="M112" s="260">
        <f t="shared" si="2"/>
        <v>14.662607813292745</v>
      </c>
      <c r="N112" s="261">
        <v>963</v>
      </c>
      <c r="O112" s="260">
        <f t="shared" si="3"/>
        <v>48.858447488584474</v>
      </c>
      <c r="P112" s="270">
        <v>83</v>
      </c>
      <c r="Q112" s="261">
        <v>1300</v>
      </c>
      <c r="R112" s="260" t="s">
        <v>37</v>
      </c>
      <c r="S112" s="76" t="s">
        <v>1266</v>
      </c>
      <c r="T112" s="260"/>
      <c r="U112" s="76">
        <v>14.91</v>
      </c>
      <c r="V112" s="260"/>
      <c r="W112" s="260"/>
      <c r="X112" s="260"/>
      <c r="Y112" s="260"/>
      <c r="Z112" s="260"/>
      <c r="AA112" s="260"/>
      <c r="AB112" s="260" t="s">
        <v>39</v>
      </c>
      <c r="AC112" s="76">
        <v>2</v>
      </c>
      <c r="AD112" s="260" t="s">
        <v>1052</v>
      </c>
      <c r="AE112" s="269"/>
      <c r="AF112" s="269"/>
    </row>
    <row r="113" spans="1:32">
      <c r="A113" s="260">
        <v>103</v>
      </c>
      <c r="B113" s="260" t="s">
        <v>333</v>
      </c>
      <c r="C113" s="13" t="s">
        <v>1048</v>
      </c>
      <c r="D113" s="13" t="s">
        <v>1263</v>
      </c>
      <c r="E113" s="87" t="s">
        <v>1267</v>
      </c>
      <c r="F113" s="13" t="s">
        <v>1268</v>
      </c>
      <c r="G113" s="261">
        <v>771.35</v>
      </c>
      <c r="H113" s="261">
        <v>38</v>
      </c>
      <c r="I113" s="261">
        <v>150</v>
      </c>
      <c r="J113" s="261">
        <v>77</v>
      </c>
      <c r="K113" s="261">
        <v>73</v>
      </c>
      <c r="L113" s="261">
        <v>0</v>
      </c>
      <c r="M113" s="260">
        <f t="shared" si="2"/>
        <v>0</v>
      </c>
      <c r="N113" s="261">
        <v>142</v>
      </c>
      <c r="O113" s="260">
        <f t="shared" si="3"/>
        <v>94.666666666666671</v>
      </c>
      <c r="P113" s="261">
        <v>18.02</v>
      </c>
      <c r="Q113" s="261">
        <v>611.11</v>
      </c>
      <c r="R113" s="260" t="s">
        <v>37</v>
      </c>
      <c r="S113" s="79" t="s">
        <v>1269</v>
      </c>
      <c r="T113" s="260"/>
      <c r="U113" s="79">
        <v>17.22</v>
      </c>
      <c r="V113" s="260"/>
      <c r="W113" s="260"/>
      <c r="X113" s="260"/>
      <c r="Y113" s="260"/>
      <c r="Z113" s="260"/>
      <c r="AA113" s="260"/>
      <c r="AB113" s="260"/>
      <c r="AC113" s="79"/>
      <c r="AD113" s="260"/>
      <c r="AE113" s="269"/>
      <c r="AF113" s="269"/>
    </row>
    <row r="114" spans="1:32">
      <c r="A114" s="260">
        <v>104</v>
      </c>
      <c r="B114" s="260" t="s">
        <v>333</v>
      </c>
      <c r="C114" s="13" t="s">
        <v>1048</v>
      </c>
      <c r="D114" s="13" t="s">
        <v>1263</v>
      </c>
      <c r="E114" s="87" t="s">
        <v>1270</v>
      </c>
      <c r="F114" s="13" t="s">
        <v>1271</v>
      </c>
      <c r="G114" s="261">
        <v>160</v>
      </c>
      <c r="H114" s="261">
        <v>164</v>
      </c>
      <c r="I114" s="261">
        <v>766</v>
      </c>
      <c r="J114" s="261">
        <v>382</v>
      </c>
      <c r="K114" s="261">
        <v>384</v>
      </c>
      <c r="L114" s="261">
        <v>57</v>
      </c>
      <c r="M114" s="260">
        <f t="shared" si="2"/>
        <v>7.4412532637075719</v>
      </c>
      <c r="N114" s="261">
        <v>647</v>
      </c>
      <c r="O114" s="260">
        <f t="shared" si="3"/>
        <v>84.464751958224539</v>
      </c>
      <c r="P114" s="261">
        <v>0</v>
      </c>
      <c r="Q114" s="261">
        <v>122</v>
      </c>
      <c r="R114" s="260" t="s">
        <v>37</v>
      </c>
      <c r="S114" s="79" t="s">
        <v>1269</v>
      </c>
      <c r="T114" s="260"/>
      <c r="U114" s="79"/>
      <c r="V114" s="260"/>
      <c r="W114" s="260"/>
      <c r="X114" s="260"/>
      <c r="Y114" s="260"/>
      <c r="Z114" s="260"/>
      <c r="AA114" s="260"/>
      <c r="AB114" s="260" t="s">
        <v>39</v>
      </c>
      <c r="AC114" s="79">
        <v>13</v>
      </c>
      <c r="AD114" s="260" t="s">
        <v>1052</v>
      </c>
      <c r="AE114" s="269"/>
      <c r="AF114" s="269"/>
    </row>
    <row r="115" spans="1:32">
      <c r="A115" s="260">
        <v>105</v>
      </c>
      <c r="B115" s="260" t="s">
        <v>333</v>
      </c>
      <c r="C115" s="13" t="s">
        <v>1048</v>
      </c>
      <c r="D115" s="13" t="s">
        <v>1263</v>
      </c>
      <c r="E115" s="87" t="s">
        <v>1272</v>
      </c>
      <c r="F115" s="13" t="s">
        <v>1273</v>
      </c>
      <c r="G115" s="261">
        <v>899</v>
      </c>
      <c r="H115" s="261">
        <v>108</v>
      </c>
      <c r="I115" s="261">
        <v>529</v>
      </c>
      <c r="J115" s="261">
        <v>263</v>
      </c>
      <c r="K115" s="261">
        <v>266</v>
      </c>
      <c r="L115" s="261">
        <v>0</v>
      </c>
      <c r="M115" s="260">
        <f t="shared" si="2"/>
        <v>0</v>
      </c>
      <c r="N115" s="261">
        <v>473</v>
      </c>
      <c r="O115" s="260">
        <f t="shared" si="3"/>
        <v>89.413988657844996</v>
      </c>
      <c r="P115" s="261">
        <v>2</v>
      </c>
      <c r="Q115" s="261">
        <v>617</v>
      </c>
      <c r="R115" s="260" t="s">
        <v>37</v>
      </c>
      <c r="S115" s="76" t="s">
        <v>1274</v>
      </c>
      <c r="T115" s="260"/>
      <c r="U115" s="76">
        <v>1.52</v>
      </c>
      <c r="V115" s="260"/>
      <c r="W115" s="260"/>
      <c r="X115" s="260"/>
      <c r="Y115" s="260"/>
      <c r="Z115" s="260"/>
      <c r="AA115" s="260"/>
      <c r="AB115" s="260" t="s">
        <v>39</v>
      </c>
      <c r="AC115" s="76">
        <v>8</v>
      </c>
      <c r="AD115" s="260" t="s">
        <v>1052</v>
      </c>
      <c r="AE115" s="269"/>
      <c r="AF115" s="269"/>
    </row>
    <row r="116" spans="1:32">
      <c r="A116" s="260">
        <v>106</v>
      </c>
      <c r="B116" s="260" t="s">
        <v>333</v>
      </c>
      <c r="C116" s="13" t="s">
        <v>1048</v>
      </c>
      <c r="D116" s="13" t="s">
        <v>1263</v>
      </c>
      <c r="E116" s="87" t="s">
        <v>1275</v>
      </c>
      <c r="F116" s="13" t="s">
        <v>1276</v>
      </c>
      <c r="G116" s="261">
        <v>723</v>
      </c>
      <c r="H116" s="261">
        <v>8</v>
      </c>
      <c r="I116" s="261">
        <v>60</v>
      </c>
      <c r="J116" s="261">
        <v>29</v>
      </c>
      <c r="K116" s="261">
        <v>31</v>
      </c>
      <c r="L116" s="261">
        <v>0</v>
      </c>
      <c r="M116" s="260">
        <f t="shared" si="2"/>
        <v>0</v>
      </c>
      <c r="N116" s="261">
        <v>0</v>
      </c>
      <c r="O116" s="260">
        <f t="shared" si="3"/>
        <v>0</v>
      </c>
      <c r="P116" s="261">
        <v>0</v>
      </c>
      <c r="Q116" s="261">
        <v>665</v>
      </c>
      <c r="R116" s="260" t="s">
        <v>37</v>
      </c>
      <c r="S116" s="79" t="s">
        <v>1269</v>
      </c>
      <c r="T116" s="260"/>
      <c r="U116" s="79"/>
      <c r="V116" s="260"/>
      <c r="W116" s="260"/>
      <c r="X116" s="260"/>
      <c r="Y116" s="260"/>
      <c r="Z116" s="260"/>
      <c r="AA116" s="260"/>
      <c r="AB116" s="260"/>
      <c r="AC116" s="79"/>
      <c r="AD116" s="260"/>
      <c r="AE116" s="269"/>
      <c r="AF116" s="269"/>
    </row>
    <row r="117" spans="1:32">
      <c r="A117" s="260">
        <v>107</v>
      </c>
      <c r="B117" s="260" t="s">
        <v>333</v>
      </c>
      <c r="C117" s="13" t="s">
        <v>1048</v>
      </c>
      <c r="D117" s="13" t="s">
        <v>1263</v>
      </c>
      <c r="E117" s="87" t="s">
        <v>1277</v>
      </c>
      <c r="F117" s="13" t="s">
        <v>1278</v>
      </c>
      <c r="G117" s="261">
        <v>332</v>
      </c>
      <c r="H117" s="261">
        <v>86</v>
      </c>
      <c r="I117" s="261">
        <v>505</v>
      </c>
      <c r="J117" s="261">
        <v>261</v>
      </c>
      <c r="K117" s="261">
        <v>244</v>
      </c>
      <c r="L117" s="261">
        <v>0</v>
      </c>
      <c r="M117" s="260">
        <f t="shared" si="2"/>
        <v>0</v>
      </c>
      <c r="N117" s="261">
        <v>0</v>
      </c>
      <c r="O117" s="260">
        <f t="shared" si="3"/>
        <v>0</v>
      </c>
      <c r="P117" s="261">
        <v>0</v>
      </c>
      <c r="Q117" s="261">
        <v>275</v>
      </c>
      <c r="R117" s="260" t="s">
        <v>37</v>
      </c>
      <c r="S117" s="79" t="s">
        <v>1269</v>
      </c>
      <c r="T117" s="260"/>
      <c r="U117" s="79"/>
      <c r="V117" s="260"/>
      <c r="W117" s="260"/>
      <c r="X117" s="260"/>
      <c r="Y117" s="260"/>
      <c r="Z117" s="260"/>
      <c r="AA117" s="260"/>
      <c r="AB117" s="260" t="s">
        <v>39</v>
      </c>
      <c r="AC117" s="79">
        <v>10</v>
      </c>
      <c r="AD117" s="260" t="s">
        <v>1052</v>
      </c>
      <c r="AE117" s="269"/>
      <c r="AF117" s="269"/>
    </row>
    <row r="118" spans="1:32">
      <c r="A118" s="260">
        <v>108</v>
      </c>
      <c r="B118" s="260" t="s">
        <v>333</v>
      </c>
      <c r="C118" s="13" t="s">
        <v>1048</v>
      </c>
      <c r="D118" s="13" t="s">
        <v>1263</v>
      </c>
      <c r="E118" s="87" t="s">
        <v>1279</v>
      </c>
      <c r="F118" s="13" t="s">
        <v>1280</v>
      </c>
      <c r="G118" s="261">
        <v>1477</v>
      </c>
      <c r="H118" s="261">
        <v>7</v>
      </c>
      <c r="I118" s="261">
        <v>58</v>
      </c>
      <c r="J118" s="261">
        <v>35</v>
      </c>
      <c r="K118" s="261">
        <v>23</v>
      </c>
      <c r="L118" s="261">
        <v>0</v>
      </c>
      <c r="M118" s="260">
        <f t="shared" si="2"/>
        <v>0</v>
      </c>
      <c r="N118" s="261">
        <v>0</v>
      </c>
      <c r="O118" s="260">
        <f t="shared" si="3"/>
        <v>0</v>
      </c>
      <c r="P118" s="261">
        <v>0</v>
      </c>
      <c r="Q118" s="261">
        <v>1188</v>
      </c>
      <c r="R118" s="260" t="s">
        <v>37</v>
      </c>
      <c r="S118" s="79" t="s">
        <v>1269</v>
      </c>
      <c r="T118" s="260"/>
      <c r="U118" s="79"/>
      <c r="V118" s="260"/>
      <c r="W118" s="260"/>
      <c r="X118" s="260"/>
      <c r="Y118" s="260"/>
      <c r="Z118" s="260"/>
      <c r="AA118" s="260"/>
      <c r="AB118" s="260"/>
      <c r="AC118" s="79"/>
      <c r="AD118" s="260"/>
      <c r="AE118" s="269"/>
      <c r="AF118" s="269"/>
    </row>
    <row r="119" spans="1:32" ht="15.75">
      <c r="A119" s="260">
        <v>109</v>
      </c>
      <c r="B119" s="260" t="s">
        <v>333</v>
      </c>
      <c r="C119" s="13" t="s">
        <v>1048</v>
      </c>
      <c r="D119" s="13" t="s">
        <v>1281</v>
      </c>
      <c r="E119" s="87" t="s">
        <v>1282</v>
      </c>
      <c r="F119" s="13" t="s">
        <v>1283</v>
      </c>
      <c r="G119" s="261">
        <v>455.72</v>
      </c>
      <c r="H119" s="261">
        <v>173</v>
      </c>
      <c r="I119" s="261">
        <v>831</v>
      </c>
      <c r="J119" s="261">
        <v>440</v>
      </c>
      <c r="K119" s="261">
        <v>391</v>
      </c>
      <c r="L119" s="261">
        <v>28</v>
      </c>
      <c r="M119" s="260">
        <f t="shared" si="2"/>
        <v>3.3694344163658241</v>
      </c>
      <c r="N119" s="261">
        <v>363</v>
      </c>
      <c r="O119" s="260">
        <f t="shared" si="3"/>
        <v>43.682310469314075</v>
      </c>
      <c r="P119" s="270">
        <v>72.680000000000007</v>
      </c>
      <c r="Q119" s="261">
        <v>0</v>
      </c>
      <c r="R119" s="260" t="s">
        <v>37</v>
      </c>
      <c r="S119" s="77">
        <v>45332</v>
      </c>
      <c r="T119" s="260"/>
      <c r="U119" s="78">
        <v>72.34</v>
      </c>
      <c r="V119" s="260"/>
      <c r="W119" s="260"/>
      <c r="X119" s="260"/>
      <c r="Y119" s="260"/>
      <c r="Z119" s="260"/>
      <c r="AA119" s="260"/>
      <c r="AB119" s="260" t="s">
        <v>39</v>
      </c>
      <c r="AC119" s="78">
        <v>6</v>
      </c>
      <c r="AD119" s="260" t="s">
        <v>1052</v>
      </c>
      <c r="AE119" s="269"/>
      <c r="AF119" s="269"/>
    </row>
    <row r="120" spans="1:32" ht="15.75">
      <c r="A120" s="260">
        <v>110</v>
      </c>
      <c r="B120" s="260" t="s">
        <v>333</v>
      </c>
      <c r="C120" s="13" t="s">
        <v>1048</v>
      </c>
      <c r="D120" s="13" t="s">
        <v>1281</v>
      </c>
      <c r="E120" s="87" t="s">
        <v>1284</v>
      </c>
      <c r="F120" s="13" t="s">
        <v>1285</v>
      </c>
      <c r="G120" s="261">
        <v>216.2</v>
      </c>
      <c r="H120" s="261">
        <v>56</v>
      </c>
      <c r="I120" s="261">
        <v>307</v>
      </c>
      <c r="J120" s="261">
        <v>156</v>
      </c>
      <c r="K120" s="261">
        <v>151</v>
      </c>
      <c r="L120" s="261">
        <v>78</v>
      </c>
      <c r="M120" s="260">
        <f t="shared" si="2"/>
        <v>25.407166123778502</v>
      </c>
      <c r="N120" s="261">
        <v>58</v>
      </c>
      <c r="O120" s="260">
        <f t="shared" si="3"/>
        <v>18.892508143322477</v>
      </c>
      <c r="P120" s="261">
        <v>57.46</v>
      </c>
      <c r="Q120" s="261">
        <v>0</v>
      </c>
      <c r="R120" s="260" t="s">
        <v>37</v>
      </c>
      <c r="S120" s="77">
        <v>45332</v>
      </c>
      <c r="T120" s="260"/>
      <c r="U120" s="78">
        <v>56.8</v>
      </c>
      <c r="V120" s="260"/>
      <c r="W120" s="260"/>
      <c r="X120" s="260"/>
      <c r="Y120" s="260"/>
      <c r="Z120" s="260"/>
      <c r="AA120" s="260"/>
      <c r="AB120" s="260"/>
      <c r="AC120" s="78"/>
      <c r="AD120" s="260"/>
      <c r="AE120" s="269"/>
      <c r="AF120" s="269"/>
    </row>
    <row r="121" spans="1:32" ht="15.75">
      <c r="A121" s="260">
        <v>111</v>
      </c>
      <c r="B121" s="260" t="s">
        <v>333</v>
      </c>
      <c r="C121" s="13" t="s">
        <v>1048</v>
      </c>
      <c r="D121" s="13" t="s">
        <v>1281</v>
      </c>
      <c r="E121" s="87" t="s">
        <v>1286</v>
      </c>
      <c r="F121" s="13" t="s">
        <v>1287</v>
      </c>
      <c r="G121" s="261">
        <v>129.33000000000001</v>
      </c>
      <c r="H121" s="261">
        <v>137</v>
      </c>
      <c r="I121" s="261">
        <v>738</v>
      </c>
      <c r="J121" s="261">
        <v>388</v>
      </c>
      <c r="K121" s="261">
        <v>350</v>
      </c>
      <c r="L121" s="261">
        <v>2</v>
      </c>
      <c r="M121" s="260">
        <f t="shared" si="2"/>
        <v>0.27100271002710025</v>
      </c>
      <c r="N121" s="261">
        <v>0</v>
      </c>
      <c r="O121" s="260">
        <f t="shared" si="3"/>
        <v>0</v>
      </c>
      <c r="P121" s="261">
        <v>34.770000000000003</v>
      </c>
      <c r="Q121" s="261">
        <v>0</v>
      </c>
      <c r="R121" s="260" t="s">
        <v>37</v>
      </c>
      <c r="S121" s="77">
        <v>45332</v>
      </c>
      <c r="T121" s="260"/>
      <c r="U121" s="78"/>
      <c r="V121" s="260"/>
      <c r="W121" s="260"/>
      <c r="X121" s="260"/>
      <c r="Y121" s="260"/>
      <c r="Z121" s="260"/>
      <c r="AA121" s="260"/>
      <c r="AB121" s="260" t="s">
        <v>39</v>
      </c>
      <c r="AC121" s="78">
        <v>5</v>
      </c>
      <c r="AD121" s="260" t="s">
        <v>1052</v>
      </c>
      <c r="AE121" s="269"/>
      <c r="AF121" s="269"/>
    </row>
    <row r="122" spans="1:32" ht="15.75">
      <c r="A122" s="260">
        <v>112</v>
      </c>
      <c r="B122" s="260" t="s">
        <v>333</v>
      </c>
      <c r="C122" s="13" t="s">
        <v>1048</v>
      </c>
      <c r="D122" s="13" t="s">
        <v>1281</v>
      </c>
      <c r="E122" s="87" t="s">
        <v>1288</v>
      </c>
      <c r="F122" s="13" t="s">
        <v>1289</v>
      </c>
      <c r="G122" s="261">
        <v>919.9</v>
      </c>
      <c r="H122" s="261">
        <v>259</v>
      </c>
      <c r="I122" s="261">
        <v>1318</v>
      </c>
      <c r="J122" s="261">
        <v>695</v>
      </c>
      <c r="K122" s="261">
        <v>623</v>
      </c>
      <c r="L122" s="261">
        <v>110</v>
      </c>
      <c r="M122" s="260">
        <f t="shared" si="2"/>
        <v>8.3459787556904406</v>
      </c>
      <c r="N122" s="261">
        <v>664</v>
      </c>
      <c r="O122" s="260">
        <f t="shared" si="3"/>
        <v>50.379362670713199</v>
      </c>
      <c r="P122" s="270">
        <v>64.400000000000006</v>
      </c>
      <c r="Q122" s="261">
        <v>0</v>
      </c>
      <c r="R122" s="260" t="s">
        <v>37</v>
      </c>
      <c r="S122" s="77">
        <v>45332</v>
      </c>
      <c r="T122" s="260"/>
      <c r="U122" s="78"/>
      <c r="V122" s="260"/>
      <c r="W122" s="260"/>
      <c r="X122" s="260"/>
      <c r="Y122" s="260"/>
      <c r="Z122" s="260"/>
      <c r="AA122" s="260"/>
      <c r="AB122" s="260" t="s">
        <v>39</v>
      </c>
      <c r="AC122" s="78">
        <v>4</v>
      </c>
      <c r="AD122" s="260" t="s">
        <v>1052</v>
      </c>
      <c r="AE122" s="269"/>
      <c r="AF122" s="269"/>
    </row>
    <row r="123" spans="1:32" ht="15.75">
      <c r="A123" s="260">
        <v>113</v>
      </c>
      <c r="B123" s="260" t="s">
        <v>333</v>
      </c>
      <c r="C123" s="13" t="s">
        <v>1048</v>
      </c>
      <c r="D123" s="13" t="s">
        <v>1048</v>
      </c>
      <c r="E123" s="87" t="s">
        <v>1290</v>
      </c>
      <c r="F123" s="13" t="s">
        <v>1291</v>
      </c>
      <c r="G123" s="261">
        <v>2426</v>
      </c>
      <c r="H123" s="261">
        <v>1571</v>
      </c>
      <c r="I123" s="261">
        <v>7944</v>
      </c>
      <c r="J123" s="261">
        <v>4049</v>
      </c>
      <c r="K123" s="261">
        <v>3895</v>
      </c>
      <c r="L123" s="261">
        <v>1832</v>
      </c>
      <c r="M123" s="260">
        <f t="shared" si="2"/>
        <v>23.061430010070495</v>
      </c>
      <c r="N123" s="261">
        <v>922</v>
      </c>
      <c r="O123" s="260">
        <f t="shared" si="3"/>
        <v>11.606243705941591</v>
      </c>
      <c r="P123" s="261">
        <v>8</v>
      </c>
      <c r="Q123" s="261">
        <v>837</v>
      </c>
      <c r="R123" s="260" t="s">
        <v>37</v>
      </c>
      <c r="S123" s="77">
        <v>45332</v>
      </c>
      <c r="T123" s="260"/>
      <c r="U123" s="13"/>
      <c r="V123" s="260"/>
      <c r="W123" s="260"/>
      <c r="X123" s="260"/>
      <c r="Y123" s="260"/>
      <c r="Z123" s="260"/>
      <c r="AA123" s="260"/>
      <c r="AB123" s="260" t="s">
        <v>39</v>
      </c>
      <c r="AC123" s="78">
        <v>6</v>
      </c>
      <c r="AD123" s="260" t="s">
        <v>1052</v>
      </c>
      <c r="AE123" s="269"/>
      <c r="AF123" s="269"/>
    </row>
    <row r="124" spans="1:32">
      <c r="A124" s="260">
        <v>114</v>
      </c>
      <c r="B124" s="260" t="s">
        <v>333</v>
      </c>
      <c r="C124" s="13" t="s">
        <v>1048</v>
      </c>
      <c r="D124" s="13" t="s">
        <v>1292</v>
      </c>
      <c r="E124" s="87" t="s">
        <v>1293</v>
      </c>
      <c r="F124" s="13" t="s">
        <v>1294</v>
      </c>
      <c r="G124" s="261">
        <v>427.25</v>
      </c>
      <c r="H124" s="261">
        <v>164</v>
      </c>
      <c r="I124" s="261">
        <v>791</v>
      </c>
      <c r="J124" s="261">
        <v>403</v>
      </c>
      <c r="K124" s="261">
        <v>388</v>
      </c>
      <c r="L124" s="261">
        <v>58</v>
      </c>
      <c r="M124" s="260">
        <f t="shared" si="2"/>
        <v>7.3324905183312268</v>
      </c>
      <c r="N124" s="261">
        <v>430</v>
      </c>
      <c r="O124" s="260">
        <f t="shared" si="3"/>
        <v>54.361567635903917</v>
      </c>
      <c r="P124" s="261">
        <v>27</v>
      </c>
      <c r="Q124" s="261">
        <v>0</v>
      </c>
      <c r="R124" s="260"/>
      <c r="S124" s="13"/>
      <c r="T124" s="260"/>
      <c r="U124" s="13"/>
      <c r="V124" s="260"/>
      <c r="W124" s="260"/>
      <c r="X124" s="260"/>
      <c r="Y124" s="260"/>
      <c r="Z124" s="260"/>
      <c r="AA124" s="260"/>
      <c r="AB124" s="260"/>
      <c r="AC124" s="13">
        <v>2</v>
      </c>
      <c r="AD124" s="260"/>
      <c r="AE124" s="269"/>
      <c r="AF124" s="269"/>
    </row>
    <row r="125" spans="1:32">
      <c r="A125" s="260">
        <v>115</v>
      </c>
      <c r="B125" s="260" t="s">
        <v>333</v>
      </c>
      <c r="C125" s="13" t="s">
        <v>1048</v>
      </c>
      <c r="D125" s="13" t="s">
        <v>1292</v>
      </c>
      <c r="E125" s="87" t="s">
        <v>821</v>
      </c>
      <c r="F125" s="13" t="s">
        <v>1295</v>
      </c>
      <c r="G125" s="261">
        <v>308.42</v>
      </c>
      <c r="H125" s="261">
        <v>136</v>
      </c>
      <c r="I125" s="261">
        <v>745</v>
      </c>
      <c r="J125" s="261">
        <v>385</v>
      </c>
      <c r="K125" s="261">
        <v>360</v>
      </c>
      <c r="L125" s="261">
        <v>53</v>
      </c>
      <c r="M125" s="260">
        <f t="shared" si="2"/>
        <v>7.1140939597315436</v>
      </c>
      <c r="N125" s="261">
        <v>494</v>
      </c>
      <c r="O125" s="260">
        <f t="shared" si="3"/>
        <v>66.308724832214764</v>
      </c>
      <c r="P125" s="261">
        <v>36.01</v>
      </c>
      <c r="Q125" s="261">
        <v>0</v>
      </c>
      <c r="R125" s="260" t="s">
        <v>37</v>
      </c>
      <c r="S125" s="15" t="s">
        <v>1296</v>
      </c>
      <c r="T125" s="260"/>
      <c r="U125" s="15">
        <v>20</v>
      </c>
      <c r="V125" s="260"/>
      <c r="W125" s="260"/>
      <c r="X125" s="260"/>
      <c r="Y125" s="260"/>
      <c r="Z125" s="260"/>
      <c r="AA125" s="260"/>
      <c r="AB125" s="260"/>
      <c r="AC125" s="15"/>
      <c r="AD125" s="260"/>
      <c r="AE125" s="269"/>
      <c r="AF125" s="269"/>
    </row>
    <row r="126" spans="1:32">
      <c r="A126" s="260">
        <v>116</v>
      </c>
      <c r="B126" s="260" t="s">
        <v>333</v>
      </c>
      <c r="C126" s="13" t="s">
        <v>1048</v>
      </c>
      <c r="D126" s="13" t="s">
        <v>1292</v>
      </c>
      <c r="E126" s="87" t="s">
        <v>1297</v>
      </c>
      <c r="F126" s="13" t="s">
        <v>1298</v>
      </c>
      <c r="G126" s="261">
        <v>1130.3900000000001</v>
      </c>
      <c r="H126" s="261">
        <v>67</v>
      </c>
      <c r="I126" s="261">
        <v>407</v>
      </c>
      <c r="J126" s="261">
        <v>219</v>
      </c>
      <c r="K126" s="261">
        <v>188</v>
      </c>
      <c r="L126" s="261">
        <v>24</v>
      </c>
      <c r="M126" s="260">
        <f t="shared" si="2"/>
        <v>5.8968058968058967</v>
      </c>
      <c r="N126" s="261">
        <v>102</v>
      </c>
      <c r="O126" s="260">
        <f t="shared" si="3"/>
        <v>25.061425061425062</v>
      </c>
      <c r="P126" s="261">
        <v>61.05</v>
      </c>
      <c r="Q126" s="261">
        <v>960.02</v>
      </c>
      <c r="R126" s="260" t="s">
        <v>37</v>
      </c>
      <c r="S126" s="76" t="s">
        <v>1296</v>
      </c>
      <c r="T126" s="260"/>
      <c r="U126" s="76">
        <v>30</v>
      </c>
      <c r="V126" s="260"/>
      <c r="W126" s="260"/>
      <c r="X126" s="260"/>
      <c r="Y126" s="260"/>
      <c r="Z126" s="260"/>
      <c r="AA126" s="260"/>
      <c r="AB126" s="260"/>
      <c r="AC126" s="76"/>
      <c r="AD126" s="260"/>
      <c r="AE126" s="269"/>
      <c r="AF126" s="269"/>
    </row>
    <row r="127" spans="1:32">
      <c r="A127" s="260">
        <v>117</v>
      </c>
      <c r="B127" s="260" t="s">
        <v>333</v>
      </c>
      <c r="C127" s="13" t="s">
        <v>1048</v>
      </c>
      <c r="D127" s="13" t="s">
        <v>1292</v>
      </c>
      <c r="E127" s="87" t="s">
        <v>1299</v>
      </c>
      <c r="F127" s="13" t="s">
        <v>1300</v>
      </c>
      <c r="G127" s="261">
        <v>946.14</v>
      </c>
      <c r="H127" s="261">
        <v>121</v>
      </c>
      <c r="I127" s="261">
        <v>644</v>
      </c>
      <c r="J127" s="261">
        <v>333</v>
      </c>
      <c r="K127" s="261">
        <v>311</v>
      </c>
      <c r="L127" s="261">
        <v>31</v>
      </c>
      <c r="M127" s="260">
        <f t="shared" si="2"/>
        <v>4.8136645962732922</v>
      </c>
      <c r="N127" s="261">
        <v>372</v>
      </c>
      <c r="O127" s="260">
        <f t="shared" si="3"/>
        <v>57.763975155279503</v>
      </c>
      <c r="P127" s="261">
        <v>0</v>
      </c>
      <c r="Q127" s="261">
        <v>661.05</v>
      </c>
      <c r="R127" s="260" t="s">
        <v>37</v>
      </c>
      <c r="S127" s="15" t="s">
        <v>37</v>
      </c>
      <c r="T127" s="260"/>
      <c r="U127" s="15"/>
      <c r="V127" s="260"/>
      <c r="W127" s="260"/>
      <c r="X127" s="260"/>
      <c r="Y127" s="260"/>
      <c r="Z127" s="260"/>
      <c r="AA127" s="260"/>
      <c r="AB127" s="260"/>
      <c r="AC127" s="15"/>
      <c r="AD127" s="260"/>
      <c r="AE127" s="269"/>
      <c r="AF127" s="269"/>
    </row>
    <row r="128" spans="1:32">
      <c r="A128" s="260">
        <v>118</v>
      </c>
      <c r="B128" s="260" t="s">
        <v>333</v>
      </c>
      <c r="C128" s="13" t="s">
        <v>1048</v>
      </c>
      <c r="D128" s="13" t="s">
        <v>1292</v>
      </c>
      <c r="E128" s="87" t="s">
        <v>1301</v>
      </c>
      <c r="F128" s="13" t="s">
        <v>1302</v>
      </c>
      <c r="G128" s="261">
        <v>1139.1600000000001</v>
      </c>
      <c r="H128" s="261">
        <v>55</v>
      </c>
      <c r="I128" s="261">
        <v>304</v>
      </c>
      <c r="J128" s="261">
        <v>166</v>
      </c>
      <c r="K128" s="261">
        <v>138</v>
      </c>
      <c r="L128" s="261">
        <v>54</v>
      </c>
      <c r="M128" s="260">
        <f t="shared" si="2"/>
        <v>17.763157894736842</v>
      </c>
      <c r="N128" s="261">
        <v>57</v>
      </c>
      <c r="O128" s="260">
        <f t="shared" si="3"/>
        <v>18.75</v>
      </c>
      <c r="P128" s="261">
        <v>32.01</v>
      </c>
      <c r="Q128" s="261">
        <v>926.02</v>
      </c>
      <c r="R128" s="260" t="s">
        <v>37</v>
      </c>
      <c r="S128" s="15" t="s">
        <v>37</v>
      </c>
      <c r="T128" s="260"/>
      <c r="U128" s="13"/>
      <c r="V128" s="260"/>
      <c r="W128" s="260"/>
      <c r="X128" s="260"/>
      <c r="Y128" s="260"/>
      <c r="Z128" s="260"/>
      <c r="AA128" s="260"/>
      <c r="AB128" s="260"/>
      <c r="AC128" s="13"/>
      <c r="AD128" s="260"/>
      <c r="AE128" s="269"/>
      <c r="AF128" s="269"/>
    </row>
    <row r="129" spans="1:32">
      <c r="A129" s="260">
        <v>119</v>
      </c>
      <c r="B129" s="260" t="s">
        <v>333</v>
      </c>
      <c r="C129" s="13" t="s">
        <v>1048</v>
      </c>
      <c r="D129" s="13" t="s">
        <v>1292</v>
      </c>
      <c r="E129" s="87" t="s">
        <v>1303</v>
      </c>
      <c r="F129" s="13" t="s">
        <v>1304</v>
      </c>
      <c r="G129" s="261">
        <v>693</v>
      </c>
      <c r="H129" s="261">
        <v>44</v>
      </c>
      <c r="I129" s="261">
        <v>249</v>
      </c>
      <c r="J129" s="261">
        <v>127</v>
      </c>
      <c r="K129" s="261">
        <v>122</v>
      </c>
      <c r="L129" s="261">
        <v>0</v>
      </c>
      <c r="M129" s="260">
        <f t="shared" si="2"/>
        <v>0</v>
      </c>
      <c r="N129" s="261">
        <v>240</v>
      </c>
      <c r="O129" s="260">
        <f t="shared" si="3"/>
        <v>96.385542168674704</v>
      </c>
      <c r="P129" s="261">
        <v>0</v>
      </c>
      <c r="Q129" s="261">
        <v>576</v>
      </c>
      <c r="R129" s="260" t="s">
        <v>37</v>
      </c>
      <c r="S129" s="15" t="s">
        <v>37</v>
      </c>
      <c r="T129" s="260"/>
      <c r="U129" s="13"/>
      <c r="V129" s="260"/>
      <c r="W129" s="260"/>
      <c r="X129" s="260"/>
      <c r="Y129" s="260"/>
      <c r="Z129" s="260"/>
      <c r="AA129" s="260"/>
      <c r="AB129" s="260"/>
      <c r="AC129" s="13"/>
      <c r="AD129" s="260"/>
      <c r="AE129" s="269"/>
      <c r="AF129" s="269"/>
    </row>
    <row r="130" spans="1:32">
      <c r="A130" s="260">
        <v>120</v>
      </c>
      <c r="B130" s="260" t="s">
        <v>333</v>
      </c>
      <c r="C130" s="13" t="s">
        <v>1048</v>
      </c>
      <c r="D130" s="13" t="s">
        <v>1292</v>
      </c>
      <c r="E130" s="87" t="s">
        <v>1305</v>
      </c>
      <c r="F130" s="13" t="s">
        <v>1306</v>
      </c>
      <c r="G130" s="261">
        <v>482.09</v>
      </c>
      <c r="H130" s="261">
        <v>23</v>
      </c>
      <c r="I130" s="261">
        <v>110</v>
      </c>
      <c r="J130" s="261">
        <v>55</v>
      </c>
      <c r="K130" s="261">
        <v>55</v>
      </c>
      <c r="L130" s="261">
        <v>0</v>
      </c>
      <c r="M130" s="260">
        <f t="shared" si="2"/>
        <v>0</v>
      </c>
      <c r="N130" s="261">
        <v>82</v>
      </c>
      <c r="O130" s="260">
        <f t="shared" si="3"/>
        <v>74.545454545454547</v>
      </c>
      <c r="P130" s="261">
        <v>0</v>
      </c>
      <c r="Q130" s="261">
        <v>342.02</v>
      </c>
      <c r="R130" s="260"/>
      <c r="S130" s="13"/>
      <c r="T130" s="260"/>
      <c r="U130" s="13"/>
      <c r="V130" s="260"/>
      <c r="W130" s="260"/>
      <c r="X130" s="260"/>
      <c r="Y130" s="260"/>
      <c r="Z130" s="260"/>
      <c r="AA130" s="260"/>
      <c r="AB130" s="260"/>
      <c r="AC130" s="13"/>
      <c r="AD130" s="260"/>
      <c r="AE130" s="269"/>
      <c r="AF130" s="269"/>
    </row>
    <row r="131" spans="1:32">
      <c r="A131" s="260">
        <v>121</v>
      </c>
      <c r="B131" s="260" t="s">
        <v>333</v>
      </c>
      <c r="C131" s="13" t="s">
        <v>1048</v>
      </c>
      <c r="D131" s="13" t="s">
        <v>1292</v>
      </c>
      <c r="E131" s="87" t="s">
        <v>233</v>
      </c>
      <c r="F131" s="13" t="s">
        <v>1307</v>
      </c>
      <c r="G131" s="261">
        <v>389</v>
      </c>
      <c r="H131" s="261">
        <v>51</v>
      </c>
      <c r="I131" s="261">
        <v>219</v>
      </c>
      <c r="J131" s="261">
        <v>115</v>
      </c>
      <c r="K131" s="261">
        <v>104</v>
      </c>
      <c r="L131" s="261">
        <v>0</v>
      </c>
      <c r="M131" s="260">
        <f t="shared" si="2"/>
        <v>0</v>
      </c>
      <c r="N131" s="261">
        <v>195</v>
      </c>
      <c r="O131" s="260">
        <f t="shared" si="3"/>
        <v>89.041095890410958</v>
      </c>
      <c r="P131" s="261">
        <v>53</v>
      </c>
      <c r="Q131" s="261">
        <v>173</v>
      </c>
      <c r="R131" s="260" t="s">
        <v>37</v>
      </c>
      <c r="S131" s="15" t="s">
        <v>37</v>
      </c>
      <c r="T131" s="260"/>
      <c r="U131" s="15"/>
      <c r="V131" s="260"/>
      <c r="W131" s="260"/>
      <c r="X131" s="260"/>
      <c r="Y131" s="260"/>
      <c r="Z131" s="260"/>
      <c r="AA131" s="260"/>
      <c r="AB131" s="260"/>
      <c r="AC131" s="15"/>
      <c r="AD131" s="260"/>
      <c r="AE131" s="269"/>
      <c r="AF131" s="269"/>
    </row>
    <row r="132" spans="1:32">
      <c r="A132" s="260">
        <v>122</v>
      </c>
      <c r="B132" s="260" t="s">
        <v>333</v>
      </c>
      <c r="C132" s="13" t="s">
        <v>1048</v>
      </c>
      <c r="D132" s="13" t="s">
        <v>1292</v>
      </c>
      <c r="E132" s="87" t="s">
        <v>302</v>
      </c>
      <c r="F132" s="13" t="s">
        <v>1308</v>
      </c>
      <c r="G132" s="261">
        <v>548.4</v>
      </c>
      <c r="H132" s="261">
        <v>142</v>
      </c>
      <c r="I132" s="261">
        <v>688</v>
      </c>
      <c r="J132" s="261">
        <v>354</v>
      </c>
      <c r="K132" s="261">
        <v>334</v>
      </c>
      <c r="L132" s="261">
        <v>44</v>
      </c>
      <c r="M132" s="260">
        <f t="shared" ref="M132:M195" si="4">L132/I132*100</f>
        <v>6.395348837209303</v>
      </c>
      <c r="N132" s="261">
        <v>448</v>
      </c>
      <c r="O132" s="260">
        <f t="shared" ref="O132:O195" si="5">N132/I132*100</f>
        <v>65.116279069767444</v>
      </c>
      <c r="P132" s="261">
        <v>3.1</v>
      </c>
      <c r="Q132" s="261">
        <v>281.01</v>
      </c>
      <c r="R132" s="260" t="s">
        <v>37</v>
      </c>
      <c r="S132" s="76" t="s">
        <v>1296</v>
      </c>
      <c r="T132" s="260"/>
      <c r="U132" s="76">
        <v>3</v>
      </c>
      <c r="V132" s="260"/>
      <c r="W132" s="260"/>
      <c r="X132" s="260"/>
      <c r="Y132" s="260"/>
      <c r="Z132" s="260"/>
      <c r="AA132" s="260"/>
      <c r="AB132" s="260"/>
      <c r="AC132" s="76"/>
      <c r="AD132" s="260"/>
      <c r="AE132" s="269"/>
      <c r="AF132" s="269"/>
    </row>
    <row r="133" spans="1:32">
      <c r="A133" s="260">
        <v>123</v>
      </c>
      <c r="B133" s="260" t="s">
        <v>333</v>
      </c>
      <c r="C133" s="13" t="s">
        <v>1048</v>
      </c>
      <c r="D133" s="13" t="s">
        <v>1292</v>
      </c>
      <c r="E133" s="87" t="s">
        <v>1309</v>
      </c>
      <c r="F133" s="13" t="s">
        <v>1310</v>
      </c>
      <c r="G133" s="261">
        <v>1869.98</v>
      </c>
      <c r="H133" s="261">
        <v>268</v>
      </c>
      <c r="I133" s="261">
        <v>1242</v>
      </c>
      <c r="J133" s="261">
        <v>640</v>
      </c>
      <c r="K133" s="261">
        <v>602</v>
      </c>
      <c r="L133" s="261">
        <v>79</v>
      </c>
      <c r="M133" s="260">
        <f t="shared" si="4"/>
        <v>6.3607085346215788</v>
      </c>
      <c r="N133" s="261">
        <v>720</v>
      </c>
      <c r="O133" s="260">
        <f t="shared" si="5"/>
        <v>57.971014492753625</v>
      </c>
      <c r="P133" s="261">
        <v>59.18</v>
      </c>
      <c r="Q133" s="261">
        <v>1049.28</v>
      </c>
      <c r="R133" s="260" t="s">
        <v>37</v>
      </c>
      <c r="S133" s="76" t="s">
        <v>1296</v>
      </c>
      <c r="T133" s="260"/>
      <c r="U133" s="76">
        <v>30</v>
      </c>
      <c r="V133" s="260"/>
      <c r="W133" s="260"/>
      <c r="X133" s="260"/>
      <c r="Y133" s="260"/>
      <c r="Z133" s="260"/>
      <c r="AA133" s="260"/>
      <c r="AB133" s="260"/>
      <c r="AC133" s="76"/>
      <c r="AD133" s="260"/>
      <c r="AE133" s="269"/>
      <c r="AF133" s="269"/>
    </row>
    <row r="134" spans="1:32">
      <c r="A134" s="260">
        <v>124</v>
      </c>
      <c r="B134" s="260" t="s">
        <v>333</v>
      </c>
      <c r="C134" s="13" t="s">
        <v>1048</v>
      </c>
      <c r="D134" s="13" t="s">
        <v>1311</v>
      </c>
      <c r="E134" s="87" t="s">
        <v>1312</v>
      </c>
      <c r="F134" s="13" t="s">
        <v>1313</v>
      </c>
      <c r="G134" s="261">
        <v>4414.8500000000004</v>
      </c>
      <c r="H134" s="261">
        <v>1738</v>
      </c>
      <c r="I134" s="261">
        <v>8867</v>
      </c>
      <c r="J134" s="261">
        <v>4565</v>
      </c>
      <c r="K134" s="261">
        <v>4302</v>
      </c>
      <c r="L134" s="261">
        <v>1553</v>
      </c>
      <c r="M134" s="260">
        <f t="shared" si="4"/>
        <v>17.514379158678246</v>
      </c>
      <c r="N134" s="261">
        <v>1338</v>
      </c>
      <c r="O134" s="260">
        <f t="shared" si="5"/>
        <v>15.089658283523175</v>
      </c>
      <c r="P134" s="270">
        <v>214.16</v>
      </c>
      <c r="Q134" s="261">
        <v>2686.16</v>
      </c>
      <c r="R134" s="260" t="s">
        <v>37</v>
      </c>
      <c r="S134" s="76" t="s">
        <v>1071</v>
      </c>
      <c r="T134" s="260"/>
      <c r="U134" s="76"/>
      <c r="V134" s="260"/>
      <c r="W134" s="260"/>
      <c r="X134" s="260"/>
      <c r="Y134" s="260"/>
      <c r="Z134" s="260"/>
      <c r="AA134" s="260"/>
      <c r="AB134" s="260" t="s">
        <v>39</v>
      </c>
      <c r="AC134" s="76">
        <v>12</v>
      </c>
      <c r="AD134" s="260" t="s">
        <v>1052</v>
      </c>
      <c r="AE134" s="269"/>
      <c r="AF134" s="269"/>
    </row>
    <row r="135" spans="1:32">
      <c r="A135" s="260" t="s">
        <v>51</v>
      </c>
      <c r="B135" s="260" t="s">
        <v>333</v>
      </c>
      <c r="C135" s="13" t="s">
        <v>1048</v>
      </c>
      <c r="D135" s="13" t="s">
        <v>1311</v>
      </c>
      <c r="E135" s="87" t="s">
        <v>1312</v>
      </c>
      <c r="F135" s="13"/>
      <c r="G135" s="261"/>
      <c r="H135" s="261"/>
      <c r="I135" s="261"/>
      <c r="J135" s="261"/>
      <c r="K135" s="261"/>
      <c r="L135" s="261"/>
      <c r="M135" s="260" t="e">
        <f t="shared" si="4"/>
        <v>#DIV/0!</v>
      </c>
      <c r="N135" s="261"/>
      <c r="O135" s="260" t="e">
        <f t="shared" si="5"/>
        <v>#DIV/0!</v>
      </c>
      <c r="P135" s="270"/>
      <c r="Q135" s="261"/>
      <c r="R135" s="260"/>
      <c r="S135" s="76"/>
      <c r="T135" s="260"/>
      <c r="U135" s="76"/>
      <c r="V135" s="260"/>
      <c r="W135" s="260"/>
      <c r="X135" s="260"/>
      <c r="Y135" s="260"/>
      <c r="Z135" s="260"/>
      <c r="AA135" s="260"/>
      <c r="AB135" s="260"/>
      <c r="AC135" s="76">
        <v>20</v>
      </c>
      <c r="AD135" s="260" t="s">
        <v>1314</v>
      </c>
      <c r="AE135" s="83">
        <v>24.533000000000001</v>
      </c>
      <c r="AF135" s="83">
        <v>76.569000000000003</v>
      </c>
    </row>
    <row r="136" spans="1:32">
      <c r="A136" s="260" t="s">
        <v>51</v>
      </c>
      <c r="B136" s="260" t="s">
        <v>333</v>
      </c>
      <c r="C136" s="13" t="s">
        <v>1048</v>
      </c>
      <c r="D136" s="13" t="s">
        <v>1311</v>
      </c>
      <c r="E136" s="87" t="s">
        <v>1312</v>
      </c>
      <c r="F136" s="13"/>
      <c r="G136" s="261"/>
      <c r="H136" s="261"/>
      <c r="I136" s="261"/>
      <c r="J136" s="261"/>
      <c r="K136" s="261"/>
      <c r="L136" s="261"/>
      <c r="M136" s="260" t="e">
        <f t="shared" si="4"/>
        <v>#DIV/0!</v>
      </c>
      <c r="N136" s="261"/>
      <c r="O136" s="260" t="e">
        <f t="shared" si="5"/>
        <v>#DIV/0!</v>
      </c>
      <c r="P136" s="270"/>
      <c r="Q136" s="261"/>
      <c r="R136" s="260"/>
      <c r="S136" s="76"/>
      <c r="T136" s="260"/>
      <c r="U136" s="76"/>
      <c r="V136" s="260"/>
      <c r="W136" s="260"/>
      <c r="X136" s="260"/>
      <c r="Y136" s="260"/>
      <c r="Z136" s="260"/>
      <c r="AA136" s="260"/>
      <c r="AB136" s="260"/>
      <c r="AC136" s="76">
        <v>12</v>
      </c>
      <c r="AD136" s="260" t="s">
        <v>326</v>
      </c>
      <c r="AE136" s="83">
        <v>24.530999999999999</v>
      </c>
      <c r="AF136" s="83">
        <v>76.570999999999998</v>
      </c>
    </row>
    <row r="137" spans="1:32">
      <c r="A137" s="260">
        <v>125</v>
      </c>
      <c r="B137" s="260" t="s">
        <v>333</v>
      </c>
      <c r="C137" s="13" t="s">
        <v>1048</v>
      </c>
      <c r="D137" s="13" t="s">
        <v>1311</v>
      </c>
      <c r="E137" s="87" t="s">
        <v>896</v>
      </c>
      <c r="F137" s="13" t="s">
        <v>1315</v>
      </c>
      <c r="G137" s="261">
        <v>332.65</v>
      </c>
      <c r="H137" s="261">
        <v>0</v>
      </c>
      <c r="I137" s="261">
        <v>0</v>
      </c>
      <c r="J137" s="261">
        <v>0</v>
      </c>
      <c r="K137" s="261">
        <v>0</v>
      </c>
      <c r="L137" s="261">
        <v>0</v>
      </c>
      <c r="M137" s="260" t="e">
        <f t="shared" si="4"/>
        <v>#DIV/0!</v>
      </c>
      <c r="N137" s="261">
        <v>0</v>
      </c>
      <c r="O137" s="260" t="e">
        <f t="shared" si="5"/>
        <v>#DIV/0!</v>
      </c>
      <c r="P137" s="261">
        <v>6.48</v>
      </c>
      <c r="Q137" s="261">
        <v>24.94</v>
      </c>
      <c r="R137" s="260"/>
      <c r="S137" s="13"/>
      <c r="T137" s="260"/>
      <c r="U137" s="13"/>
      <c r="V137" s="260"/>
      <c r="W137" s="260"/>
      <c r="X137" s="260"/>
      <c r="Y137" s="260"/>
      <c r="Z137" s="260"/>
      <c r="AA137" s="260"/>
      <c r="AB137" s="260"/>
      <c r="AC137" s="13"/>
      <c r="AD137" s="260"/>
      <c r="AE137" s="269"/>
      <c r="AF137" s="269"/>
    </row>
    <row r="138" spans="1:32">
      <c r="A138" s="260">
        <v>126</v>
      </c>
      <c r="B138" s="260" t="s">
        <v>333</v>
      </c>
      <c r="C138" s="13" t="s">
        <v>1048</v>
      </c>
      <c r="D138" s="13" t="s">
        <v>1311</v>
      </c>
      <c r="E138" s="87" t="s">
        <v>1316</v>
      </c>
      <c r="F138" s="13" t="s">
        <v>1317</v>
      </c>
      <c r="G138" s="261">
        <v>655.30999999999995</v>
      </c>
      <c r="H138" s="261">
        <v>85</v>
      </c>
      <c r="I138" s="261">
        <v>399</v>
      </c>
      <c r="J138" s="261">
        <v>196</v>
      </c>
      <c r="K138" s="261">
        <v>203</v>
      </c>
      <c r="L138" s="261">
        <v>11</v>
      </c>
      <c r="M138" s="260">
        <f t="shared" si="4"/>
        <v>2.7568922305764412</v>
      </c>
      <c r="N138" s="261">
        <v>30</v>
      </c>
      <c r="O138" s="260">
        <f t="shared" si="5"/>
        <v>7.518796992481203</v>
      </c>
      <c r="P138" s="261">
        <v>0</v>
      </c>
      <c r="Q138" s="261">
        <v>622.4</v>
      </c>
      <c r="R138" s="260" t="s">
        <v>37</v>
      </c>
      <c r="S138" s="76" t="s">
        <v>1071</v>
      </c>
      <c r="T138" s="260"/>
      <c r="U138" s="76"/>
      <c r="V138" s="260"/>
      <c r="W138" s="260"/>
      <c r="X138" s="260"/>
      <c r="Y138" s="260"/>
      <c r="Z138" s="260"/>
      <c r="AA138" s="260"/>
      <c r="AB138" s="260"/>
      <c r="AC138" s="76"/>
      <c r="AD138" s="260"/>
      <c r="AE138" s="269"/>
      <c r="AF138" s="269"/>
    </row>
    <row r="139" spans="1:32">
      <c r="A139" s="260">
        <v>127</v>
      </c>
      <c r="B139" s="260" t="s">
        <v>333</v>
      </c>
      <c r="C139" s="13" t="s">
        <v>1048</v>
      </c>
      <c r="D139" s="13" t="s">
        <v>1311</v>
      </c>
      <c r="E139" s="87" t="s">
        <v>624</v>
      </c>
      <c r="F139" s="13" t="s">
        <v>1318</v>
      </c>
      <c r="G139" s="261">
        <v>509.85</v>
      </c>
      <c r="H139" s="261">
        <v>155</v>
      </c>
      <c r="I139" s="261">
        <v>751</v>
      </c>
      <c r="J139" s="261">
        <v>387</v>
      </c>
      <c r="K139" s="261">
        <v>364</v>
      </c>
      <c r="L139" s="261">
        <v>0</v>
      </c>
      <c r="M139" s="260">
        <f t="shared" si="4"/>
        <v>0</v>
      </c>
      <c r="N139" s="261">
        <v>401</v>
      </c>
      <c r="O139" s="260">
        <f t="shared" si="5"/>
        <v>53.395472703062588</v>
      </c>
      <c r="P139" s="261">
        <v>1.88</v>
      </c>
      <c r="Q139" s="261">
        <v>32.04</v>
      </c>
      <c r="R139" s="260" t="s">
        <v>37</v>
      </c>
      <c r="S139" s="13" t="s">
        <v>37</v>
      </c>
      <c r="T139" s="260"/>
      <c r="U139" s="13"/>
      <c r="V139" s="260"/>
      <c r="W139" s="260"/>
      <c r="X139" s="260"/>
      <c r="Y139" s="260"/>
      <c r="Z139" s="260"/>
      <c r="AA139" s="260"/>
      <c r="AB139" s="260"/>
      <c r="AC139" s="13"/>
      <c r="AD139" s="260"/>
      <c r="AE139" s="269"/>
      <c r="AF139" s="269"/>
    </row>
    <row r="140" spans="1:32">
      <c r="A140" s="260">
        <v>128</v>
      </c>
      <c r="B140" s="260" t="s">
        <v>333</v>
      </c>
      <c r="C140" s="13" t="s">
        <v>1048</v>
      </c>
      <c r="D140" s="13" t="s">
        <v>1319</v>
      </c>
      <c r="E140" s="87" t="s">
        <v>1320</v>
      </c>
      <c r="F140" s="13" t="s">
        <v>1321</v>
      </c>
      <c r="G140" s="261">
        <v>446</v>
      </c>
      <c r="H140" s="261">
        <v>155</v>
      </c>
      <c r="I140" s="261">
        <v>858</v>
      </c>
      <c r="J140" s="261">
        <v>453</v>
      </c>
      <c r="K140" s="261">
        <v>405</v>
      </c>
      <c r="L140" s="261">
        <v>77</v>
      </c>
      <c r="M140" s="260">
        <f t="shared" si="4"/>
        <v>8.9743589743589745</v>
      </c>
      <c r="N140" s="261">
        <v>106</v>
      </c>
      <c r="O140" s="260">
        <f t="shared" si="5"/>
        <v>12.354312354312354</v>
      </c>
      <c r="P140" s="261">
        <v>52</v>
      </c>
      <c r="Q140" s="261">
        <v>3</v>
      </c>
      <c r="R140" s="260" t="s">
        <v>37</v>
      </c>
      <c r="S140" s="13" t="s">
        <v>37</v>
      </c>
      <c r="T140" s="260"/>
      <c r="U140" s="76"/>
      <c r="V140" s="260"/>
      <c r="W140" s="260"/>
      <c r="X140" s="260"/>
      <c r="Y140" s="260"/>
      <c r="Z140" s="260"/>
      <c r="AA140" s="260"/>
      <c r="AB140" s="260" t="s">
        <v>39</v>
      </c>
      <c r="AC140" s="76">
        <v>7</v>
      </c>
      <c r="AD140" s="260" t="s">
        <v>1052</v>
      </c>
      <c r="AE140" s="269"/>
      <c r="AF140" s="269"/>
    </row>
    <row r="141" spans="1:32">
      <c r="A141" s="260">
        <v>129</v>
      </c>
      <c r="B141" s="260" t="s">
        <v>333</v>
      </c>
      <c r="C141" s="13" t="s">
        <v>1048</v>
      </c>
      <c r="D141" s="13" t="s">
        <v>1319</v>
      </c>
      <c r="E141" s="87" t="s">
        <v>1322</v>
      </c>
      <c r="F141" s="13" t="s">
        <v>1323</v>
      </c>
      <c r="G141" s="261">
        <v>774</v>
      </c>
      <c r="H141" s="261">
        <v>105</v>
      </c>
      <c r="I141" s="261">
        <v>580</v>
      </c>
      <c r="J141" s="261">
        <v>310</v>
      </c>
      <c r="K141" s="261">
        <v>270</v>
      </c>
      <c r="L141" s="261">
        <v>95</v>
      </c>
      <c r="M141" s="260">
        <f t="shared" si="4"/>
        <v>16.379310344827587</v>
      </c>
      <c r="N141" s="261">
        <v>19</v>
      </c>
      <c r="O141" s="260">
        <f t="shared" si="5"/>
        <v>3.2758620689655173</v>
      </c>
      <c r="P141" s="261">
        <v>50</v>
      </c>
      <c r="Q141" s="261">
        <v>249</v>
      </c>
      <c r="R141" s="260" t="s">
        <v>37</v>
      </c>
      <c r="S141" s="13" t="s">
        <v>37</v>
      </c>
      <c r="T141" s="260"/>
      <c r="U141" s="76"/>
      <c r="V141" s="260"/>
      <c r="W141" s="260"/>
      <c r="X141" s="260"/>
      <c r="Y141" s="260"/>
      <c r="Z141" s="260"/>
      <c r="AA141" s="260"/>
      <c r="AB141" s="260" t="s">
        <v>39</v>
      </c>
      <c r="AC141" s="76">
        <v>3</v>
      </c>
      <c r="AD141" s="260" t="s">
        <v>1052</v>
      </c>
      <c r="AE141" s="269"/>
      <c r="AF141" s="269"/>
    </row>
    <row r="142" spans="1:32">
      <c r="A142" s="260">
        <v>130</v>
      </c>
      <c r="B142" s="260" t="s">
        <v>333</v>
      </c>
      <c r="C142" s="13" t="s">
        <v>1048</v>
      </c>
      <c r="D142" s="13" t="s">
        <v>1319</v>
      </c>
      <c r="E142" s="87" t="s">
        <v>1324</v>
      </c>
      <c r="F142" s="13" t="s">
        <v>1325</v>
      </c>
      <c r="G142" s="261">
        <v>582</v>
      </c>
      <c r="H142" s="261">
        <v>172</v>
      </c>
      <c r="I142" s="261">
        <v>885</v>
      </c>
      <c r="J142" s="261">
        <v>444</v>
      </c>
      <c r="K142" s="261">
        <v>441</v>
      </c>
      <c r="L142" s="261">
        <v>94</v>
      </c>
      <c r="M142" s="260">
        <f t="shared" si="4"/>
        <v>10.621468926553671</v>
      </c>
      <c r="N142" s="261">
        <v>421</v>
      </c>
      <c r="O142" s="260">
        <f t="shared" si="5"/>
        <v>47.570621468926554</v>
      </c>
      <c r="P142" s="261">
        <v>45</v>
      </c>
      <c r="Q142" s="261">
        <v>0</v>
      </c>
      <c r="R142" s="260" t="s">
        <v>37</v>
      </c>
      <c r="S142" s="13" t="s">
        <v>37</v>
      </c>
      <c r="T142" s="260"/>
      <c r="U142" s="76"/>
      <c r="V142" s="260"/>
      <c r="W142" s="260"/>
      <c r="X142" s="260"/>
      <c r="Y142" s="260"/>
      <c r="Z142" s="260"/>
      <c r="AA142" s="260"/>
      <c r="AB142" s="260" t="s">
        <v>39</v>
      </c>
      <c r="AC142" s="76">
        <v>1</v>
      </c>
      <c r="AD142" s="260" t="s">
        <v>1052</v>
      </c>
      <c r="AE142" s="269"/>
      <c r="AF142" s="269"/>
    </row>
    <row r="143" spans="1:32">
      <c r="A143" s="260">
        <v>131</v>
      </c>
      <c r="B143" s="260" t="s">
        <v>333</v>
      </c>
      <c r="C143" s="13" t="s">
        <v>1048</v>
      </c>
      <c r="D143" s="13" t="s">
        <v>1319</v>
      </c>
      <c r="E143" s="87" t="s">
        <v>87</v>
      </c>
      <c r="F143" s="13" t="s">
        <v>1326</v>
      </c>
      <c r="G143" s="261">
        <v>446.3</v>
      </c>
      <c r="H143" s="261">
        <v>0</v>
      </c>
      <c r="I143" s="261">
        <v>0</v>
      </c>
      <c r="J143" s="261">
        <v>0</v>
      </c>
      <c r="K143" s="261">
        <v>0</v>
      </c>
      <c r="L143" s="261">
        <v>0</v>
      </c>
      <c r="M143" s="260" t="e">
        <f t="shared" si="4"/>
        <v>#DIV/0!</v>
      </c>
      <c r="N143" s="261">
        <v>0</v>
      </c>
      <c r="O143" s="260" t="e">
        <f t="shared" si="5"/>
        <v>#DIV/0!</v>
      </c>
      <c r="P143" s="261">
        <v>0</v>
      </c>
      <c r="Q143" s="261">
        <v>146.91999999999999</v>
      </c>
      <c r="R143" s="260"/>
      <c r="S143" s="13"/>
      <c r="T143" s="260"/>
      <c r="U143" s="13"/>
      <c r="V143" s="260"/>
      <c r="W143" s="260"/>
      <c r="X143" s="260"/>
      <c r="Y143" s="260"/>
      <c r="Z143" s="260"/>
      <c r="AA143" s="260"/>
      <c r="AB143" s="260"/>
      <c r="AC143" s="13"/>
      <c r="AD143" s="260"/>
      <c r="AE143" s="269"/>
      <c r="AF143" s="269"/>
    </row>
    <row r="144" spans="1:32">
      <c r="A144" s="260">
        <v>132</v>
      </c>
      <c r="B144" s="260" t="s">
        <v>333</v>
      </c>
      <c r="C144" s="13" t="s">
        <v>1048</v>
      </c>
      <c r="D144" s="13" t="s">
        <v>1319</v>
      </c>
      <c r="E144" s="87" t="s">
        <v>1327</v>
      </c>
      <c r="F144" s="13" t="s">
        <v>1328</v>
      </c>
      <c r="G144" s="261">
        <v>231.67</v>
      </c>
      <c r="H144" s="261">
        <v>35</v>
      </c>
      <c r="I144" s="261">
        <v>217</v>
      </c>
      <c r="J144" s="261">
        <v>108</v>
      </c>
      <c r="K144" s="261">
        <v>109</v>
      </c>
      <c r="L144" s="261">
        <v>0</v>
      </c>
      <c r="M144" s="260">
        <f t="shared" si="4"/>
        <v>0</v>
      </c>
      <c r="N144" s="261">
        <v>5</v>
      </c>
      <c r="O144" s="260">
        <f t="shared" si="5"/>
        <v>2.3041474654377883</v>
      </c>
      <c r="P144" s="261">
        <v>12.04</v>
      </c>
      <c r="Q144" s="261">
        <v>40.78</v>
      </c>
      <c r="R144" s="260" t="s">
        <v>37</v>
      </c>
      <c r="S144" s="13" t="s">
        <v>37</v>
      </c>
      <c r="T144" s="260"/>
      <c r="U144" s="13"/>
      <c r="V144" s="260"/>
      <c r="W144" s="260"/>
      <c r="X144" s="260"/>
      <c r="Y144" s="260"/>
      <c r="Z144" s="260"/>
      <c r="AA144" s="260"/>
      <c r="AB144" s="260"/>
      <c r="AC144" s="13"/>
      <c r="AD144" s="260"/>
      <c r="AE144" s="269"/>
      <c r="AF144" s="269"/>
    </row>
    <row r="145" spans="1:32" ht="15.75">
      <c r="A145" s="260">
        <v>133</v>
      </c>
      <c r="B145" s="260" t="s">
        <v>333</v>
      </c>
      <c r="C145" s="13" t="s">
        <v>1048</v>
      </c>
      <c r="D145" s="13" t="s">
        <v>1329</v>
      </c>
      <c r="E145" s="87" t="s">
        <v>1330</v>
      </c>
      <c r="F145" s="13" t="s">
        <v>1331</v>
      </c>
      <c r="G145" s="261">
        <v>2889.02</v>
      </c>
      <c r="H145" s="261">
        <v>720</v>
      </c>
      <c r="I145" s="261">
        <v>3488</v>
      </c>
      <c r="J145" s="261">
        <v>1830</v>
      </c>
      <c r="K145" s="261">
        <v>1658</v>
      </c>
      <c r="L145" s="261">
        <v>19</v>
      </c>
      <c r="M145" s="260">
        <f t="shared" si="4"/>
        <v>0.54472477064220182</v>
      </c>
      <c r="N145" s="261">
        <v>229</v>
      </c>
      <c r="O145" s="260">
        <f t="shared" si="5"/>
        <v>6.5653669724770642</v>
      </c>
      <c r="P145" s="261">
        <v>0</v>
      </c>
      <c r="Q145" s="261">
        <v>1678.2</v>
      </c>
      <c r="R145" s="260" t="s">
        <v>37</v>
      </c>
      <c r="S145" s="77">
        <v>45332</v>
      </c>
      <c r="T145" s="260"/>
      <c r="U145" s="78"/>
      <c r="V145" s="260"/>
      <c r="W145" s="260"/>
      <c r="X145" s="260"/>
      <c r="Y145" s="260"/>
      <c r="Z145" s="260"/>
      <c r="AA145" s="260"/>
      <c r="AB145" s="260" t="s">
        <v>39</v>
      </c>
      <c r="AC145" s="78">
        <v>2</v>
      </c>
      <c r="AD145" s="260" t="s">
        <v>1052</v>
      </c>
      <c r="AE145" s="269"/>
      <c r="AF145" s="269"/>
    </row>
    <row r="146" spans="1:32">
      <c r="A146" s="260">
        <v>134</v>
      </c>
      <c r="B146" s="260" t="s">
        <v>333</v>
      </c>
      <c r="C146" s="13" t="s">
        <v>1048</v>
      </c>
      <c r="D146" s="13" t="s">
        <v>1329</v>
      </c>
      <c r="E146" s="87" t="s">
        <v>56</v>
      </c>
      <c r="F146" s="13" t="s">
        <v>1332</v>
      </c>
      <c r="G146" s="261">
        <v>363.15</v>
      </c>
      <c r="H146" s="261">
        <v>332</v>
      </c>
      <c r="I146" s="261">
        <v>1470</v>
      </c>
      <c r="J146" s="261">
        <v>774</v>
      </c>
      <c r="K146" s="261">
        <v>696</v>
      </c>
      <c r="L146" s="261">
        <v>35</v>
      </c>
      <c r="M146" s="260">
        <f t="shared" si="4"/>
        <v>2.3809523809523809</v>
      </c>
      <c r="N146" s="261">
        <v>1225</v>
      </c>
      <c r="O146" s="260">
        <f t="shared" si="5"/>
        <v>83.333333333333343</v>
      </c>
      <c r="P146" s="261">
        <v>0</v>
      </c>
      <c r="Q146" s="261">
        <v>0</v>
      </c>
      <c r="R146" s="260" t="s">
        <v>37</v>
      </c>
      <c r="S146" s="13" t="s">
        <v>37</v>
      </c>
      <c r="T146" s="260"/>
      <c r="U146" s="13"/>
      <c r="V146" s="260"/>
      <c r="W146" s="260"/>
      <c r="X146" s="260"/>
      <c r="Y146" s="260"/>
      <c r="Z146" s="260"/>
      <c r="AA146" s="260"/>
      <c r="AB146" s="260"/>
      <c r="AC146" s="13"/>
      <c r="AD146" s="260"/>
      <c r="AE146" s="269"/>
      <c r="AF146" s="269"/>
    </row>
    <row r="147" spans="1:32" ht="15.75">
      <c r="A147" s="260">
        <v>135</v>
      </c>
      <c r="B147" s="260" t="s">
        <v>333</v>
      </c>
      <c r="C147" s="13" t="s">
        <v>1048</v>
      </c>
      <c r="D147" s="13" t="s">
        <v>1329</v>
      </c>
      <c r="E147" s="87" t="s">
        <v>1333</v>
      </c>
      <c r="F147" s="13" t="s">
        <v>1334</v>
      </c>
      <c r="G147" s="261">
        <v>2018.95</v>
      </c>
      <c r="H147" s="261">
        <v>180</v>
      </c>
      <c r="I147" s="261">
        <v>918</v>
      </c>
      <c r="J147" s="261">
        <v>483</v>
      </c>
      <c r="K147" s="261">
        <v>435</v>
      </c>
      <c r="L147" s="261">
        <v>87</v>
      </c>
      <c r="M147" s="260">
        <f t="shared" si="4"/>
        <v>9.477124183006536</v>
      </c>
      <c r="N147" s="261">
        <v>289</v>
      </c>
      <c r="O147" s="260">
        <f t="shared" si="5"/>
        <v>31.481481481481481</v>
      </c>
      <c r="P147" s="261">
        <v>0</v>
      </c>
      <c r="Q147" s="261">
        <v>1777.15</v>
      </c>
      <c r="R147" s="260" t="s">
        <v>37</v>
      </c>
      <c r="S147" s="77">
        <v>45332</v>
      </c>
      <c r="T147" s="260"/>
      <c r="U147" s="78">
        <v>2</v>
      </c>
      <c r="V147" s="260"/>
      <c r="W147" s="260"/>
      <c r="X147" s="260"/>
      <c r="Y147" s="260"/>
      <c r="Z147" s="260"/>
      <c r="AA147" s="260"/>
      <c r="AB147" s="260" t="s">
        <v>39</v>
      </c>
      <c r="AC147" s="78">
        <v>12</v>
      </c>
      <c r="AD147" s="260" t="s">
        <v>1052</v>
      </c>
      <c r="AE147" s="269"/>
      <c r="AF147" s="269"/>
    </row>
    <row r="148" spans="1:32">
      <c r="A148" s="260">
        <v>136</v>
      </c>
      <c r="B148" s="260" t="s">
        <v>333</v>
      </c>
      <c r="C148" s="13" t="s">
        <v>1048</v>
      </c>
      <c r="D148" s="13" t="s">
        <v>1329</v>
      </c>
      <c r="E148" s="87" t="s">
        <v>1335</v>
      </c>
      <c r="F148" s="13" t="s">
        <v>1336</v>
      </c>
      <c r="G148" s="261">
        <v>461.28</v>
      </c>
      <c r="H148" s="261">
        <v>133</v>
      </c>
      <c r="I148" s="261">
        <v>667</v>
      </c>
      <c r="J148" s="261">
        <v>352</v>
      </c>
      <c r="K148" s="261">
        <v>315</v>
      </c>
      <c r="L148" s="261">
        <v>39</v>
      </c>
      <c r="M148" s="260">
        <f t="shared" si="4"/>
        <v>5.8470764617691158</v>
      </c>
      <c r="N148" s="261">
        <v>105</v>
      </c>
      <c r="O148" s="260">
        <f t="shared" si="5"/>
        <v>15.742128935532234</v>
      </c>
      <c r="P148" s="261">
        <v>0</v>
      </c>
      <c r="Q148" s="261">
        <v>136.12</v>
      </c>
      <c r="R148" s="260" t="s">
        <v>37</v>
      </c>
      <c r="S148" s="13" t="s">
        <v>37</v>
      </c>
      <c r="T148" s="260"/>
      <c r="U148" s="13"/>
      <c r="V148" s="260"/>
      <c r="W148" s="260"/>
      <c r="X148" s="260"/>
      <c r="Y148" s="260"/>
      <c r="Z148" s="260"/>
      <c r="AA148" s="260"/>
      <c r="AB148" s="260"/>
      <c r="AC148" s="13"/>
      <c r="AD148" s="260"/>
      <c r="AE148" s="269"/>
      <c r="AF148" s="269"/>
    </row>
    <row r="149" spans="1:32" ht="15.75">
      <c r="A149" s="260">
        <v>137</v>
      </c>
      <c r="B149" s="260" t="s">
        <v>333</v>
      </c>
      <c r="C149" s="13" t="s">
        <v>1048</v>
      </c>
      <c r="D149" s="13" t="s">
        <v>1337</v>
      </c>
      <c r="E149" s="87" t="s">
        <v>1338</v>
      </c>
      <c r="F149" s="13" t="s">
        <v>1339</v>
      </c>
      <c r="G149" s="261">
        <v>503</v>
      </c>
      <c r="H149" s="261">
        <v>176</v>
      </c>
      <c r="I149" s="261">
        <v>918</v>
      </c>
      <c r="J149" s="261">
        <v>466</v>
      </c>
      <c r="K149" s="261">
        <v>452</v>
      </c>
      <c r="L149" s="261">
        <v>23</v>
      </c>
      <c r="M149" s="260">
        <f t="shared" si="4"/>
        <v>2.505446623093682</v>
      </c>
      <c r="N149" s="261">
        <v>673</v>
      </c>
      <c r="O149" s="260">
        <f t="shared" si="5"/>
        <v>73.311546840958613</v>
      </c>
      <c r="P149" s="270">
        <v>70</v>
      </c>
      <c r="Q149" s="261">
        <v>0</v>
      </c>
      <c r="R149" s="260" t="s">
        <v>37</v>
      </c>
      <c r="S149" s="77">
        <v>45332</v>
      </c>
      <c r="T149" s="260"/>
      <c r="U149" s="13"/>
      <c r="V149" s="260"/>
      <c r="W149" s="260"/>
      <c r="X149" s="260"/>
      <c r="Y149" s="260"/>
      <c r="Z149" s="260"/>
      <c r="AA149" s="260"/>
      <c r="AB149" s="260"/>
      <c r="AC149" s="78"/>
      <c r="AD149" s="260"/>
      <c r="AE149" s="269"/>
      <c r="AF149" s="269"/>
    </row>
    <row r="150" spans="1:32">
      <c r="A150" s="260">
        <v>138</v>
      </c>
      <c r="B150" s="260" t="s">
        <v>333</v>
      </c>
      <c r="C150" s="13" t="s">
        <v>1048</v>
      </c>
      <c r="D150" s="13" t="s">
        <v>1337</v>
      </c>
      <c r="E150" s="87" t="s">
        <v>1340</v>
      </c>
      <c r="F150" s="13" t="s">
        <v>1341</v>
      </c>
      <c r="G150" s="261">
        <v>74</v>
      </c>
      <c r="H150" s="261">
        <v>0</v>
      </c>
      <c r="I150" s="261">
        <v>0</v>
      </c>
      <c r="J150" s="261">
        <v>0</v>
      </c>
      <c r="K150" s="261">
        <v>0</v>
      </c>
      <c r="L150" s="261">
        <v>0</v>
      </c>
      <c r="M150" s="260" t="e">
        <f t="shared" si="4"/>
        <v>#DIV/0!</v>
      </c>
      <c r="N150" s="261">
        <v>0</v>
      </c>
      <c r="O150" s="260" t="e">
        <f t="shared" si="5"/>
        <v>#DIV/0!</v>
      </c>
      <c r="P150" s="261">
        <v>3</v>
      </c>
      <c r="Q150" s="261">
        <v>0</v>
      </c>
      <c r="R150" s="260"/>
      <c r="S150" s="13"/>
      <c r="T150" s="260"/>
      <c r="U150" s="13"/>
      <c r="V150" s="260"/>
      <c r="W150" s="260"/>
      <c r="X150" s="260"/>
      <c r="Y150" s="260"/>
      <c r="Z150" s="260"/>
      <c r="AA150" s="260"/>
      <c r="AB150" s="260"/>
      <c r="AC150" s="13"/>
      <c r="AD150" s="260"/>
      <c r="AE150" s="269"/>
      <c r="AF150" s="269"/>
    </row>
    <row r="151" spans="1:32" ht="15.75">
      <c r="A151" s="260">
        <v>139</v>
      </c>
      <c r="B151" s="260" t="s">
        <v>333</v>
      </c>
      <c r="C151" s="13" t="s">
        <v>1048</v>
      </c>
      <c r="D151" s="13" t="s">
        <v>1337</v>
      </c>
      <c r="E151" s="87" t="s">
        <v>1342</v>
      </c>
      <c r="F151" s="13" t="s">
        <v>1343</v>
      </c>
      <c r="G151" s="261">
        <v>237</v>
      </c>
      <c r="H151" s="261">
        <v>53</v>
      </c>
      <c r="I151" s="261">
        <v>237</v>
      </c>
      <c r="J151" s="261">
        <v>123</v>
      </c>
      <c r="K151" s="261">
        <v>114</v>
      </c>
      <c r="L151" s="261">
        <v>0</v>
      </c>
      <c r="M151" s="260">
        <f t="shared" si="4"/>
        <v>0</v>
      </c>
      <c r="N151" s="261">
        <v>193</v>
      </c>
      <c r="O151" s="260">
        <f t="shared" si="5"/>
        <v>81.434599156118153</v>
      </c>
      <c r="P151" s="261">
        <v>10</v>
      </c>
      <c r="Q151" s="261">
        <v>0</v>
      </c>
      <c r="R151" s="260" t="s">
        <v>37</v>
      </c>
      <c r="S151" s="77">
        <v>45332</v>
      </c>
      <c r="T151" s="260"/>
      <c r="U151" s="78"/>
      <c r="V151" s="260"/>
      <c r="W151" s="260"/>
      <c r="X151" s="260"/>
      <c r="Y151" s="260"/>
      <c r="Z151" s="260"/>
      <c r="AA151" s="260"/>
      <c r="AB151" s="260" t="s">
        <v>39</v>
      </c>
      <c r="AC151" s="78">
        <v>2</v>
      </c>
      <c r="AD151" s="260" t="s">
        <v>1052</v>
      </c>
      <c r="AE151" s="269">
        <v>25.2895</v>
      </c>
      <c r="AF151" s="269">
        <v>76.581500000000005</v>
      </c>
    </row>
    <row r="152" spans="1:32" ht="15.75">
      <c r="A152" s="260">
        <v>140</v>
      </c>
      <c r="B152" s="260" t="s">
        <v>333</v>
      </c>
      <c r="C152" s="13" t="s">
        <v>1048</v>
      </c>
      <c r="D152" s="13" t="s">
        <v>1337</v>
      </c>
      <c r="E152" s="87" t="s">
        <v>1344</v>
      </c>
      <c r="F152" s="13" t="s">
        <v>1345</v>
      </c>
      <c r="G152" s="261">
        <v>740</v>
      </c>
      <c r="H152" s="261">
        <v>92</v>
      </c>
      <c r="I152" s="261">
        <v>501</v>
      </c>
      <c r="J152" s="261">
        <v>249</v>
      </c>
      <c r="K152" s="261">
        <v>252</v>
      </c>
      <c r="L152" s="261">
        <v>29</v>
      </c>
      <c r="M152" s="260">
        <f t="shared" si="4"/>
        <v>5.788423153692615</v>
      </c>
      <c r="N152" s="261">
        <v>252</v>
      </c>
      <c r="O152" s="260">
        <f t="shared" si="5"/>
        <v>50.299401197604787</v>
      </c>
      <c r="P152" s="261">
        <v>29</v>
      </c>
      <c r="Q152" s="261">
        <v>335</v>
      </c>
      <c r="R152" s="260" t="s">
        <v>37</v>
      </c>
      <c r="S152" s="77">
        <v>45332</v>
      </c>
      <c r="T152" s="260"/>
      <c r="U152" s="78"/>
      <c r="V152" s="260"/>
      <c r="W152" s="260"/>
      <c r="X152" s="260"/>
      <c r="Y152" s="260"/>
      <c r="Z152" s="260"/>
      <c r="AA152" s="260"/>
      <c r="AB152" s="260" t="s">
        <v>39</v>
      </c>
      <c r="AC152" s="78">
        <v>7</v>
      </c>
      <c r="AD152" s="260" t="s">
        <v>1052</v>
      </c>
      <c r="AE152" s="269">
        <v>25.293700000000001</v>
      </c>
      <c r="AF152" s="269">
        <v>76.579099999999997</v>
      </c>
    </row>
    <row r="153" spans="1:32">
      <c r="A153" s="260">
        <v>141</v>
      </c>
      <c r="B153" s="260" t="s">
        <v>333</v>
      </c>
      <c r="C153" s="13" t="s">
        <v>1048</v>
      </c>
      <c r="D153" s="13" t="s">
        <v>1337</v>
      </c>
      <c r="E153" s="87" t="s">
        <v>1346</v>
      </c>
      <c r="F153" s="13" t="s">
        <v>1347</v>
      </c>
      <c r="G153" s="261">
        <v>203</v>
      </c>
      <c r="H153" s="261">
        <v>132</v>
      </c>
      <c r="I153" s="261">
        <v>743</v>
      </c>
      <c r="J153" s="261">
        <v>386</v>
      </c>
      <c r="K153" s="261">
        <v>357</v>
      </c>
      <c r="L153" s="261">
        <v>200</v>
      </c>
      <c r="M153" s="260">
        <f t="shared" si="4"/>
        <v>26.917900403768506</v>
      </c>
      <c r="N153" s="261">
        <v>311</v>
      </c>
      <c r="O153" s="260">
        <f t="shared" si="5"/>
        <v>41.857335127860026</v>
      </c>
      <c r="P153" s="261">
        <v>1</v>
      </c>
      <c r="Q153" s="261">
        <v>0</v>
      </c>
      <c r="R153" s="260" t="s">
        <v>37</v>
      </c>
      <c r="S153" s="13" t="s">
        <v>37</v>
      </c>
      <c r="T153" s="260"/>
      <c r="U153" s="13"/>
      <c r="V153" s="260"/>
      <c r="W153" s="260"/>
      <c r="X153" s="260"/>
      <c r="Y153" s="260"/>
      <c r="Z153" s="260"/>
      <c r="AA153" s="260"/>
      <c r="AB153" s="260"/>
      <c r="AC153" s="13"/>
      <c r="AD153" s="260"/>
      <c r="AE153" s="269"/>
      <c r="AF153" s="269"/>
    </row>
    <row r="154" spans="1:32">
      <c r="A154" s="260">
        <v>142</v>
      </c>
      <c r="B154" s="260" t="s">
        <v>333</v>
      </c>
      <c r="C154" s="13" t="s">
        <v>1048</v>
      </c>
      <c r="D154" s="13" t="s">
        <v>1337</v>
      </c>
      <c r="E154" s="87" t="s">
        <v>1348</v>
      </c>
      <c r="F154" s="13" t="s">
        <v>1349</v>
      </c>
      <c r="G154" s="261">
        <v>69</v>
      </c>
      <c r="H154" s="261">
        <v>0</v>
      </c>
      <c r="I154" s="261">
        <v>0</v>
      </c>
      <c r="J154" s="261">
        <v>0</v>
      </c>
      <c r="K154" s="261">
        <v>0</v>
      </c>
      <c r="L154" s="261">
        <v>0</v>
      </c>
      <c r="M154" s="260" t="e">
        <f t="shared" si="4"/>
        <v>#DIV/0!</v>
      </c>
      <c r="N154" s="261">
        <v>0</v>
      </c>
      <c r="O154" s="260" t="e">
        <f t="shared" si="5"/>
        <v>#DIV/0!</v>
      </c>
      <c r="P154" s="261">
        <v>0</v>
      </c>
      <c r="Q154" s="261">
        <v>22</v>
      </c>
      <c r="R154" s="260"/>
      <c r="S154" s="13"/>
      <c r="T154" s="260"/>
      <c r="U154" s="13"/>
      <c r="V154" s="260"/>
      <c r="W154" s="260"/>
      <c r="X154" s="260"/>
      <c r="Y154" s="260"/>
      <c r="Z154" s="260"/>
      <c r="AA154" s="260"/>
      <c r="AB154" s="260"/>
      <c r="AC154" s="13"/>
      <c r="AD154" s="260"/>
      <c r="AE154" s="269"/>
      <c r="AF154" s="269"/>
    </row>
    <row r="155" spans="1:32">
      <c r="A155" s="260">
        <v>143</v>
      </c>
      <c r="B155" s="260" t="s">
        <v>333</v>
      </c>
      <c r="C155" s="13" t="s">
        <v>1048</v>
      </c>
      <c r="D155" s="13" t="s">
        <v>1337</v>
      </c>
      <c r="E155" s="87" t="s">
        <v>1350</v>
      </c>
      <c r="F155" s="13" t="s">
        <v>1351</v>
      </c>
      <c r="G155" s="261">
        <v>675</v>
      </c>
      <c r="H155" s="261">
        <v>168</v>
      </c>
      <c r="I155" s="261">
        <v>827</v>
      </c>
      <c r="J155" s="261">
        <v>439</v>
      </c>
      <c r="K155" s="261">
        <v>388</v>
      </c>
      <c r="L155" s="261">
        <v>63</v>
      </c>
      <c r="M155" s="260">
        <f t="shared" si="4"/>
        <v>7.6178960096735189</v>
      </c>
      <c r="N155" s="261">
        <v>600</v>
      </c>
      <c r="O155" s="260">
        <f t="shared" si="5"/>
        <v>72.551390568319235</v>
      </c>
      <c r="P155" s="270">
        <v>80</v>
      </c>
      <c r="Q155" s="261">
        <v>66</v>
      </c>
      <c r="R155" s="260" t="s">
        <v>37</v>
      </c>
      <c r="S155" s="13" t="s">
        <v>37</v>
      </c>
      <c r="T155" s="260"/>
      <c r="U155" s="13"/>
      <c r="V155" s="260"/>
      <c r="W155" s="260"/>
      <c r="X155" s="260"/>
      <c r="Y155" s="260"/>
      <c r="Z155" s="260"/>
      <c r="AA155" s="260"/>
      <c r="AB155" s="260"/>
      <c r="AC155" s="13"/>
      <c r="AD155" s="260"/>
      <c r="AE155" s="269"/>
      <c r="AF155" s="269"/>
    </row>
    <row r="156" spans="1:32">
      <c r="A156" s="260">
        <v>144</v>
      </c>
      <c r="B156" s="260" t="s">
        <v>333</v>
      </c>
      <c r="C156" s="13" t="s">
        <v>1048</v>
      </c>
      <c r="D156" s="13" t="s">
        <v>1352</v>
      </c>
      <c r="E156" s="87" t="s">
        <v>1353</v>
      </c>
      <c r="F156" s="13" t="s">
        <v>1354</v>
      </c>
      <c r="G156" s="261">
        <v>370.59</v>
      </c>
      <c r="H156" s="261">
        <v>312</v>
      </c>
      <c r="I156" s="261">
        <v>1555</v>
      </c>
      <c r="J156" s="261">
        <v>777</v>
      </c>
      <c r="K156" s="261">
        <v>778</v>
      </c>
      <c r="L156" s="261">
        <v>495</v>
      </c>
      <c r="M156" s="260">
        <f t="shared" si="4"/>
        <v>31.832797427652732</v>
      </c>
      <c r="N156" s="261">
        <v>581</v>
      </c>
      <c r="O156" s="260">
        <f t="shared" si="5"/>
        <v>37.363344051446944</v>
      </c>
      <c r="P156" s="261">
        <v>23.29</v>
      </c>
      <c r="Q156" s="261">
        <v>7.86</v>
      </c>
      <c r="R156" s="260" t="s">
        <v>37</v>
      </c>
      <c r="S156" s="13" t="s">
        <v>37</v>
      </c>
      <c r="T156" s="260"/>
      <c r="U156" s="13"/>
      <c r="V156" s="260"/>
      <c r="W156" s="260"/>
      <c r="X156" s="260"/>
      <c r="Y156" s="260"/>
      <c r="Z156" s="260"/>
      <c r="AA156" s="260"/>
      <c r="AB156" s="260"/>
      <c r="AC156" s="13"/>
      <c r="AD156" s="260"/>
      <c r="AE156" s="269"/>
      <c r="AF156" s="269"/>
    </row>
    <row r="157" spans="1:32">
      <c r="A157" s="260">
        <v>145</v>
      </c>
      <c r="B157" s="260" t="s">
        <v>333</v>
      </c>
      <c r="C157" s="13" t="s">
        <v>1048</v>
      </c>
      <c r="D157" s="13" t="s">
        <v>1352</v>
      </c>
      <c r="E157" s="87" t="s">
        <v>1355</v>
      </c>
      <c r="F157" s="13" t="s">
        <v>1356</v>
      </c>
      <c r="G157" s="261">
        <v>1782</v>
      </c>
      <c r="H157" s="261">
        <v>168</v>
      </c>
      <c r="I157" s="261">
        <v>870</v>
      </c>
      <c r="J157" s="261">
        <v>449</v>
      </c>
      <c r="K157" s="261">
        <v>421</v>
      </c>
      <c r="L157" s="261">
        <v>106</v>
      </c>
      <c r="M157" s="260">
        <f t="shared" si="4"/>
        <v>12.183908045977011</v>
      </c>
      <c r="N157" s="261">
        <v>509</v>
      </c>
      <c r="O157" s="260">
        <f t="shared" si="5"/>
        <v>58.505747126436781</v>
      </c>
      <c r="P157" s="261">
        <v>26</v>
      </c>
      <c r="Q157" s="261">
        <v>767</v>
      </c>
      <c r="R157" s="260" t="s">
        <v>37</v>
      </c>
      <c r="S157" s="13" t="s">
        <v>37</v>
      </c>
      <c r="T157" s="260"/>
      <c r="U157" s="13"/>
      <c r="V157" s="260"/>
      <c r="W157" s="260"/>
      <c r="X157" s="260"/>
      <c r="Y157" s="260"/>
      <c r="Z157" s="260"/>
      <c r="AA157" s="260"/>
      <c r="AB157" s="260" t="s">
        <v>39</v>
      </c>
      <c r="AC157" s="76">
        <v>9</v>
      </c>
      <c r="AD157" s="260" t="s">
        <v>1052</v>
      </c>
      <c r="AE157" s="269">
        <v>25.1051</v>
      </c>
      <c r="AF157" s="269">
        <v>76.532399999999996</v>
      </c>
    </row>
    <row r="158" spans="1:32">
      <c r="A158" s="260">
        <v>146</v>
      </c>
      <c r="B158" s="260" t="s">
        <v>333</v>
      </c>
      <c r="C158" s="13" t="s">
        <v>1048</v>
      </c>
      <c r="D158" s="13" t="s">
        <v>1352</v>
      </c>
      <c r="E158" s="87" t="s">
        <v>1357</v>
      </c>
      <c r="F158" s="13" t="s">
        <v>1358</v>
      </c>
      <c r="G158" s="261">
        <v>1727.43</v>
      </c>
      <c r="H158" s="261">
        <v>18</v>
      </c>
      <c r="I158" s="261">
        <v>95</v>
      </c>
      <c r="J158" s="261">
        <v>47</v>
      </c>
      <c r="K158" s="261">
        <v>48</v>
      </c>
      <c r="L158" s="261">
        <v>0</v>
      </c>
      <c r="M158" s="260">
        <f t="shared" si="4"/>
        <v>0</v>
      </c>
      <c r="N158" s="261">
        <v>0</v>
      </c>
      <c r="O158" s="260">
        <f t="shared" si="5"/>
        <v>0</v>
      </c>
      <c r="P158" s="261">
        <v>0</v>
      </c>
      <c r="Q158" s="261">
        <v>1592</v>
      </c>
      <c r="R158" s="260" t="s">
        <v>37</v>
      </c>
      <c r="S158" s="13" t="s">
        <v>37</v>
      </c>
      <c r="T158" s="260"/>
      <c r="U158" s="13"/>
      <c r="V158" s="260"/>
      <c r="W158" s="260"/>
      <c r="X158" s="260"/>
      <c r="Y158" s="260"/>
      <c r="Z158" s="260"/>
      <c r="AA158" s="260"/>
      <c r="AB158" s="260"/>
      <c r="AC158" s="76"/>
      <c r="AD158" s="260"/>
      <c r="AE158" s="269"/>
      <c r="AF158" s="269"/>
    </row>
    <row r="159" spans="1:32">
      <c r="A159" s="260">
        <v>147</v>
      </c>
      <c r="B159" s="260" t="s">
        <v>333</v>
      </c>
      <c r="C159" s="13" t="s">
        <v>1048</v>
      </c>
      <c r="D159" s="13" t="s">
        <v>1352</v>
      </c>
      <c r="E159" s="87" t="s">
        <v>1359</v>
      </c>
      <c r="F159" s="13" t="s">
        <v>1360</v>
      </c>
      <c r="G159" s="261">
        <v>243.58</v>
      </c>
      <c r="H159" s="261">
        <v>0</v>
      </c>
      <c r="I159" s="261">
        <v>0</v>
      </c>
      <c r="J159" s="261">
        <v>0</v>
      </c>
      <c r="K159" s="261">
        <v>0</v>
      </c>
      <c r="L159" s="261">
        <v>0</v>
      </c>
      <c r="M159" s="260" t="e">
        <f t="shared" si="4"/>
        <v>#DIV/0!</v>
      </c>
      <c r="N159" s="261">
        <v>0</v>
      </c>
      <c r="O159" s="260" t="e">
        <f t="shared" si="5"/>
        <v>#DIV/0!</v>
      </c>
      <c r="P159" s="261">
        <v>0</v>
      </c>
      <c r="Q159" s="261">
        <v>243.58</v>
      </c>
      <c r="R159" s="260"/>
      <c r="S159" s="13"/>
      <c r="T159" s="260"/>
      <c r="U159" s="13"/>
      <c r="V159" s="260"/>
      <c r="W159" s="260"/>
      <c r="X159" s="260"/>
      <c r="Y159" s="260"/>
      <c r="Z159" s="260"/>
      <c r="AA159" s="260"/>
      <c r="AB159" s="260"/>
      <c r="AC159" s="13"/>
      <c r="AD159" s="260"/>
      <c r="AE159" s="269"/>
      <c r="AF159" s="269"/>
    </row>
    <row r="160" spans="1:32" ht="15.75">
      <c r="A160" s="260">
        <v>148</v>
      </c>
      <c r="B160" s="260" t="s">
        <v>333</v>
      </c>
      <c r="C160" s="13" t="s">
        <v>1048</v>
      </c>
      <c r="D160" s="13" t="s">
        <v>1361</v>
      </c>
      <c r="E160" s="87" t="s">
        <v>1362</v>
      </c>
      <c r="F160" s="13" t="s">
        <v>1363</v>
      </c>
      <c r="G160" s="261">
        <v>379.61</v>
      </c>
      <c r="H160" s="261">
        <v>342</v>
      </c>
      <c r="I160" s="261">
        <v>1835</v>
      </c>
      <c r="J160" s="261">
        <v>922</v>
      </c>
      <c r="K160" s="261">
        <v>913</v>
      </c>
      <c r="L160" s="261">
        <v>10</v>
      </c>
      <c r="M160" s="260">
        <f t="shared" si="4"/>
        <v>0.54495912806539504</v>
      </c>
      <c r="N160" s="261">
        <v>0</v>
      </c>
      <c r="O160" s="260">
        <f t="shared" si="5"/>
        <v>0</v>
      </c>
      <c r="P160" s="261">
        <v>5.5</v>
      </c>
      <c r="Q160" s="261">
        <v>132.5</v>
      </c>
      <c r="R160" s="260" t="s">
        <v>37</v>
      </c>
      <c r="S160" s="78" t="s">
        <v>1097</v>
      </c>
      <c r="T160" s="260"/>
      <c r="U160" s="78"/>
      <c r="V160" s="260"/>
      <c r="W160" s="260"/>
      <c r="X160" s="260"/>
      <c r="Y160" s="260"/>
      <c r="Z160" s="260"/>
      <c r="AA160" s="260"/>
      <c r="AB160" s="260" t="s">
        <v>39</v>
      </c>
      <c r="AC160" s="78">
        <v>12</v>
      </c>
      <c r="AD160" s="260" t="s">
        <v>1052</v>
      </c>
      <c r="AE160" s="269">
        <v>26.975999999999999</v>
      </c>
      <c r="AF160" s="269">
        <v>87.941999999999993</v>
      </c>
    </row>
    <row r="161" spans="1:32" ht="15.75">
      <c r="A161" s="260">
        <v>149</v>
      </c>
      <c r="B161" s="260" t="s">
        <v>333</v>
      </c>
      <c r="C161" s="13" t="s">
        <v>1048</v>
      </c>
      <c r="D161" s="13" t="s">
        <v>1361</v>
      </c>
      <c r="E161" s="87" t="s">
        <v>1364</v>
      </c>
      <c r="F161" s="13" t="s">
        <v>1365</v>
      </c>
      <c r="G161" s="261">
        <v>69.040000000000006</v>
      </c>
      <c r="H161" s="261">
        <v>0</v>
      </c>
      <c r="I161" s="261">
        <v>0</v>
      </c>
      <c r="J161" s="261">
        <v>0</v>
      </c>
      <c r="K161" s="261">
        <v>0</v>
      </c>
      <c r="L161" s="261">
        <v>0</v>
      </c>
      <c r="M161" s="260" t="e">
        <f t="shared" si="4"/>
        <v>#DIV/0!</v>
      </c>
      <c r="N161" s="261">
        <v>0</v>
      </c>
      <c r="O161" s="260" t="e">
        <f t="shared" si="5"/>
        <v>#DIV/0!</v>
      </c>
      <c r="P161" s="261">
        <v>0</v>
      </c>
      <c r="Q161" s="261">
        <v>0</v>
      </c>
      <c r="R161" s="260"/>
      <c r="S161" s="78"/>
      <c r="T161" s="260"/>
      <c r="U161" s="78"/>
      <c r="V161" s="260"/>
      <c r="W161" s="260"/>
      <c r="X161" s="260"/>
      <c r="Y161" s="260"/>
      <c r="Z161" s="260"/>
      <c r="AA161" s="260"/>
      <c r="AB161" s="260"/>
      <c r="AC161" s="78"/>
      <c r="AD161" s="260"/>
      <c r="AE161" s="269"/>
      <c r="AF161" s="269"/>
    </row>
    <row r="162" spans="1:32" ht="15.75">
      <c r="A162" s="260">
        <v>150</v>
      </c>
      <c r="B162" s="260" t="s">
        <v>333</v>
      </c>
      <c r="C162" s="13" t="s">
        <v>1048</v>
      </c>
      <c r="D162" s="13" t="s">
        <v>1361</v>
      </c>
      <c r="E162" s="87" t="s">
        <v>1366</v>
      </c>
      <c r="F162" s="13" t="s">
        <v>1367</v>
      </c>
      <c r="G162" s="261">
        <v>398.17</v>
      </c>
      <c r="H162" s="261">
        <v>296</v>
      </c>
      <c r="I162" s="261">
        <v>1453</v>
      </c>
      <c r="J162" s="261">
        <v>751</v>
      </c>
      <c r="K162" s="261">
        <v>702</v>
      </c>
      <c r="L162" s="261">
        <v>134</v>
      </c>
      <c r="M162" s="260">
        <f t="shared" si="4"/>
        <v>9.2222986923606332</v>
      </c>
      <c r="N162" s="261">
        <v>770</v>
      </c>
      <c r="O162" s="260">
        <f t="shared" si="5"/>
        <v>52.993805918788716</v>
      </c>
      <c r="P162" s="261">
        <v>28.2</v>
      </c>
      <c r="Q162" s="261">
        <v>93.78</v>
      </c>
      <c r="R162" s="260" t="s">
        <v>37</v>
      </c>
      <c r="S162" s="78" t="s">
        <v>1097</v>
      </c>
      <c r="T162" s="260"/>
      <c r="U162" s="78"/>
      <c r="V162" s="260"/>
      <c r="W162" s="260"/>
      <c r="X162" s="260"/>
      <c r="Y162" s="260"/>
      <c r="Z162" s="260"/>
      <c r="AA162" s="260"/>
      <c r="AB162" s="260" t="s">
        <v>39</v>
      </c>
      <c r="AC162" s="78">
        <v>13</v>
      </c>
      <c r="AD162" s="260" t="s">
        <v>1052</v>
      </c>
      <c r="AE162" s="269"/>
      <c r="AF162" s="269"/>
    </row>
    <row r="163" spans="1:32">
      <c r="A163" s="260">
        <v>151</v>
      </c>
      <c r="B163" s="260" t="s">
        <v>333</v>
      </c>
      <c r="C163" s="13" t="s">
        <v>1048</v>
      </c>
      <c r="D163" s="13" t="s">
        <v>1368</v>
      </c>
      <c r="E163" s="87" t="s">
        <v>746</v>
      </c>
      <c r="F163" s="13" t="s">
        <v>1369</v>
      </c>
      <c r="G163" s="261">
        <v>1739</v>
      </c>
      <c r="H163" s="261">
        <v>500</v>
      </c>
      <c r="I163" s="261">
        <v>2435</v>
      </c>
      <c r="J163" s="261">
        <v>1251</v>
      </c>
      <c r="K163" s="261">
        <v>1184</v>
      </c>
      <c r="L163" s="261">
        <v>1170</v>
      </c>
      <c r="M163" s="260">
        <f t="shared" si="4"/>
        <v>48.049281314168383</v>
      </c>
      <c r="N163" s="261">
        <v>20</v>
      </c>
      <c r="O163" s="260">
        <f t="shared" si="5"/>
        <v>0.82135523613963046</v>
      </c>
      <c r="P163" s="261">
        <v>40</v>
      </c>
      <c r="Q163" s="261">
        <v>982</v>
      </c>
      <c r="R163" s="260" t="s">
        <v>37</v>
      </c>
      <c r="S163" s="13" t="s">
        <v>37</v>
      </c>
      <c r="T163" s="260"/>
      <c r="U163" s="13"/>
      <c r="V163" s="260"/>
      <c r="W163" s="260"/>
      <c r="X163" s="260"/>
      <c r="Y163" s="260"/>
      <c r="Z163" s="260"/>
      <c r="AA163" s="260"/>
      <c r="AB163" s="260"/>
      <c r="AC163" s="13"/>
      <c r="AD163" s="260"/>
      <c r="AE163" s="269"/>
      <c r="AF163" s="269"/>
    </row>
    <row r="164" spans="1:32">
      <c r="A164" s="260">
        <v>152</v>
      </c>
      <c r="B164" s="260" t="s">
        <v>333</v>
      </c>
      <c r="C164" s="13" t="s">
        <v>1048</v>
      </c>
      <c r="D164" s="13" t="s">
        <v>1368</v>
      </c>
      <c r="E164" s="87" t="s">
        <v>461</v>
      </c>
      <c r="F164" s="13" t="s">
        <v>1370</v>
      </c>
      <c r="G164" s="261">
        <v>130</v>
      </c>
      <c r="H164" s="261">
        <v>0</v>
      </c>
      <c r="I164" s="261">
        <v>0</v>
      </c>
      <c r="J164" s="261">
        <v>0</v>
      </c>
      <c r="K164" s="261">
        <v>0</v>
      </c>
      <c r="L164" s="261">
        <v>0</v>
      </c>
      <c r="M164" s="260" t="e">
        <f t="shared" si="4"/>
        <v>#DIV/0!</v>
      </c>
      <c r="N164" s="261">
        <v>0</v>
      </c>
      <c r="O164" s="260" t="e">
        <f t="shared" si="5"/>
        <v>#DIV/0!</v>
      </c>
      <c r="P164" s="261">
        <v>0</v>
      </c>
      <c r="Q164" s="261">
        <v>41</v>
      </c>
      <c r="R164" s="260"/>
      <c r="S164" s="13"/>
      <c r="T164" s="260"/>
      <c r="U164" s="13"/>
      <c r="V164" s="260"/>
      <c r="W164" s="260"/>
      <c r="X164" s="260"/>
      <c r="Y164" s="260"/>
      <c r="Z164" s="260"/>
      <c r="AA164" s="260"/>
      <c r="AB164" s="260"/>
      <c r="AC164" s="13"/>
      <c r="AD164" s="260"/>
      <c r="AE164" s="269"/>
      <c r="AF164" s="269"/>
    </row>
    <row r="165" spans="1:32">
      <c r="A165" s="260">
        <v>153</v>
      </c>
      <c r="B165" s="260" t="s">
        <v>333</v>
      </c>
      <c r="C165" s="13" t="s">
        <v>1048</v>
      </c>
      <c r="D165" s="13" t="s">
        <v>1368</v>
      </c>
      <c r="E165" s="87" t="s">
        <v>1371</v>
      </c>
      <c r="F165" s="13" t="s">
        <v>1372</v>
      </c>
      <c r="G165" s="261">
        <v>28</v>
      </c>
      <c r="H165" s="261">
        <v>0</v>
      </c>
      <c r="I165" s="261">
        <v>0</v>
      </c>
      <c r="J165" s="261">
        <v>0</v>
      </c>
      <c r="K165" s="261">
        <v>0</v>
      </c>
      <c r="L165" s="261">
        <v>0</v>
      </c>
      <c r="M165" s="260" t="e">
        <f t="shared" si="4"/>
        <v>#DIV/0!</v>
      </c>
      <c r="N165" s="261">
        <v>0</v>
      </c>
      <c r="O165" s="260" t="e">
        <f t="shared" si="5"/>
        <v>#DIV/0!</v>
      </c>
      <c r="P165" s="261">
        <v>0</v>
      </c>
      <c r="Q165" s="261">
        <v>18</v>
      </c>
      <c r="R165" s="260"/>
      <c r="S165" s="13"/>
      <c r="T165" s="260"/>
      <c r="U165" s="13"/>
      <c r="V165" s="260"/>
      <c r="W165" s="260"/>
      <c r="X165" s="260"/>
      <c r="Y165" s="260"/>
      <c r="Z165" s="260"/>
      <c r="AA165" s="260"/>
      <c r="AB165" s="260"/>
      <c r="AC165" s="13"/>
      <c r="AD165" s="260"/>
      <c r="AE165" s="269"/>
      <c r="AF165" s="269"/>
    </row>
    <row r="166" spans="1:32">
      <c r="A166" s="260">
        <v>154</v>
      </c>
      <c r="B166" s="260" t="s">
        <v>333</v>
      </c>
      <c r="C166" s="13" t="s">
        <v>1048</v>
      </c>
      <c r="D166" s="13" t="s">
        <v>1368</v>
      </c>
      <c r="E166" s="87" t="s">
        <v>1373</v>
      </c>
      <c r="F166" s="13" t="s">
        <v>1374</v>
      </c>
      <c r="G166" s="261">
        <v>92</v>
      </c>
      <c r="H166" s="261">
        <v>174</v>
      </c>
      <c r="I166" s="261">
        <v>904</v>
      </c>
      <c r="J166" s="261">
        <v>447</v>
      </c>
      <c r="K166" s="261">
        <v>457</v>
      </c>
      <c r="L166" s="261">
        <v>3</v>
      </c>
      <c r="M166" s="260">
        <f t="shared" si="4"/>
        <v>0.33185840707964603</v>
      </c>
      <c r="N166" s="261">
        <v>862</v>
      </c>
      <c r="O166" s="260">
        <f t="shared" si="5"/>
        <v>95.353982300884951</v>
      </c>
      <c r="P166" s="261">
        <v>7</v>
      </c>
      <c r="Q166" s="261">
        <v>1</v>
      </c>
      <c r="R166" s="260" t="s">
        <v>37</v>
      </c>
      <c r="S166" s="13" t="s">
        <v>37</v>
      </c>
      <c r="T166" s="260"/>
      <c r="U166" s="13"/>
      <c r="V166" s="260"/>
      <c r="W166" s="260"/>
      <c r="X166" s="260"/>
      <c r="Y166" s="260"/>
      <c r="Z166" s="260"/>
      <c r="AA166" s="260"/>
      <c r="AB166" s="260"/>
      <c r="AC166" s="13"/>
      <c r="AD166" s="260"/>
      <c r="AE166" s="269"/>
      <c r="AF166" s="269"/>
    </row>
    <row r="167" spans="1:32">
      <c r="A167" s="260">
        <v>155</v>
      </c>
      <c r="B167" s="260" t="s">
        <v>333</v>
      </c>
      <c r="C167" s="13" t="s">
        <v>1048</v>
      </c>
      <c r="D167" s="13" t="s">
        <v>1368</v>
      </c>
      <c r="E167" s="87" t="s">
        <v>1375</v>
      </c>
      <c r="F167" s="13" t="s">
        <v>1376</v>
      </c>
      <c r="G167" s="261">
        <v>169</v>
      </c>
      <c r="H167" s="261">
        <v>63</v>
      </c>
      <c r="I167" s="261">
        <v>276</v>
      </c>
      <c r="J167" s="261">
        <v>151</v>
      </c>
      <c r="K167" s="261">
        <v>125</v>
      </c>
      <c r="L167" s="261">
        <v>111</v>
      </c>
      <c r="M167" s="260">
        <f t="shared" si="4"/>
        <v>40.217391304347828</v>
      </c>
      <c r="N167" s="261">
        <v>30</v>
      </c>
      <c r="O167" s="260">
        <f t="shared" si="5"/>
        <v>10.869565217391305</v>
      </c>
      <c r="P167" s="261">
        <v>6</v>
      </c>
      <c r="Q167" s="261">
        <v>5</v>
      </c>
      <c r="R167" s="260"/>
      <c r="S167" s="13"/>
      <c r="T167" s="260"/>
      <c r="U167" s="13"/>
      <c r="V167" s="260"/>
      <c r="W167" s="260"/>
      <c r="X167" s="260"/>
      <c r="Y167" s="260"/>
      <c r="Z167" s="260"/>
      <c r="AA167" s="260"/>
      <c r="AB167" s="260"/>
      <c r="AC167" s="13"/>
      <c r="AD167" s="260"/>
      <c r="AE167" s="269"/>
      <c r="AF167" s="269"/>
    </row>
    <row r="168" spans="1:32">
      <c r="A168" s="260">
        <v>156</v>
      </c>
      <c r="B168" s="260" t="s">
        <v>333</v>
      </c>
      <c r="C168" s="13" t="s">
        <v>1048</v>
      </c>
      <c r="D168" s="13" t="s">
        <v>1368</v>
      </c>
      <c r="E168" s="87" t="s">
        <v>852</v>
      </c>
      <c r="F168" s="13" t="s">
        <v>1377</v>
      </c>
      <c r="G168" s="261">
        <v>53</v>
      </c>
      <c r="H168" s="261">
        <v>15</v>
      </c>
      <c r="I168" s="261">
        <v>70</v>
      </c>
      <c r="J168" s="261">
        <v>30</v>
      </c>
      <c r="K168" s="261">
        <v>40</v>
      </c>
      <c r="L168" s="261">
        <v>0</v>
      </c>
      <c r="M168" s="260">
        <f t="shared" si="4"/>
        <v>0</v>
      </c>
      <c r="N168" s="261">
        <v>0</v>
      </c>
      <c r="O168" s="260">
        <f t="shared" si="5"/>
        <v>0</v>
      </c>
      <c r="P168" s="261">
        <v>0</v>
      </c>
      <c r="Q168" s="261">
        <v>6</v>
      </c>
      <c r="R168" s="260"/>
      <c r="S168" s="13"/>
      <c r="T168" s="260"/>
      <c r="U168" s="13"/>
      <c r="V168" s="260"/>
      <c r="W168" s="260"/>
      <c r="X168" s="260"/>
      <c r="Y168" s="260"/>
      <c r="Z168" s="260"/>
      <c r="AA168" s="260"/>
      <c r="AB168" s="260"/>
      <c r="AC168" s="13"/>
      <c r="AD168" s="260"/>
      <c r="AE168" s="269"/>
      <c r="AF168" s="269"/>
    </row>
    <row r="169" spans="1:32">
      <c r="A169" s="260">
        <v>157</v>
      </c>
      <c r="B169" s="260" t="s">
        <v>333</v>
      </c>
      <c r="C169" s="13" t="s">
        <v>1048</v>
      </c>
      <c r="D169" s="13" t="s">
        <v>1368</v>
      </c>
      <c r="E169" s="87" t="s">
        <v>1378</v>
      </c>
      <c r="F169" s="13" t="s">
        <v>1379</v>
      </c>
      <c r="G169" s="261">
        <v>344</v>
      </c>
      <c r="H169" s="261">
        <v>18</v>
      </c>
      <c r="I169" s="261">
        <v>81</v>
      </c>
      <c r="J169" s="261">
        <v>33</v>
      </c>
      <c r="K169" s="261">
        <v>48</v>
      </c>
      <c r="L169" s="261">
        <v>81</v>
      </c>
      <c r="M169" s="260">
        <f t="shared" si="4"/>
        <v>100</v>
      </c>
      <c r="N169" s="261">
        <v>0</v>
      </c>
      <c r="O169" s="260">
        <f t="shared" si="5"/>
        <v>0</v>
      </c>
      <c r="P169" s="261">
        <v>0</v>
      </c>
      <c r="Q169" s="261">
        <v>75</v>
      </c>
      <c r="R169" s="260"/>
      <c r="S169" s="13"/>
      <c r="T169" s="260"/>
      <c r="U169" s="13"/>
      <c r="V169" s="260"/>
      <c r="W169" s="260"/>
      <c r="X169" s="260"/>
      <c r="Y169" s="260"/>
      <c r="Z169" s="260"/>
      <c r="AA169" s="260"/>
      <c r="AB169" s="260"/>
      <c r="AC169" s="13"/>
      <c r="AD169" s="260"/>
      <c r="AE169" s="269"/>
      <c r="AF169" s="269"/>
    </row>
    <row r="170" spans="1:32">
      <c r="A170" s="260">
        <v>158</v>
      </c>
      <c r="B170" s="260" t="s">
        <v>333</v>
      </c>
      <c r="C170" s="13" t="s">
        <v>1048</v>
      </c>
      <c r="D170" s="13" t="s">
        <v>1368</v>
      </c>
      <c r="E170" s="87" t="s">
        <v>1380</v>
      </c>
      <c r="F170" s="13" t="s">
        <v>1381</v>
      </c>
      <c r="G170" s="261">
        <v>123</v>
      </c>
      <c r="H170" s="261">
        <v>54</v>
      </c>
      <c r="I170" s="261">
        <v>288</v>
      </c>
      <c r="J170" s="261">
        <v>151</v>
      </c>
      <c r="K170" s="261">
        <v>137</v>
      </c>
      <c r="L170" s="261">
        <v>0</v>
      </c>
      <c r="M170" s="260">
        <f t="shared" si="4"/>
        <v>0</v>
      </c>
      <c r="N170" s="261">
        <v>223</v>
      </c>
      <c r="O170" s="260">
        <f t="shared" si="5"/>
        <v>77.430555555555557</v>
      </c>
      <c r="P170" s="261">
        <v>13</v>
      </c>
      <c r="Q170" s="261">
        <v>0</v>
      </c>
      <c r="R170" s="260"/>
      <c r="S170" s="13"/>
      <c r="T170" s="260"/>
      <c r="U170" s="13"/>
      <c r="V170" s="260"/>
      <c r="W170" s="260"/>
      <c r="X170" s="260"/>
      <c r="Y170" s="260"/>
      <c r="Z170" s="260"/>
      <c r="AA170" s="260"/>
      <c r="AB170" s="260"/>
      <c r="AC170" s="13"/>
      <c r="AD170" s="260"/>
      <c r="AE170" s="269"/>
      <c r="AF170" s="269"/>
    </row>
    <row r="171" spans="1:32">
      <c r="A171" s="260">
        <v>159</v>
      </c>
      <c r="B171" s="260" t="s">
        <v>333</v>
      </c>
      <c r="C171" s="13" t="s">
        <v>1048</v>
      </c>
      <c r="D171" s="13" t="s">
        <v>1382</v>
      </c>
      <c r="E171" s="87" t="s">
        <v>1383</v>
      </c>
      <c r="F171" s="13" t="s">
        <v>1384</v>
      </c>
      <c r="G171" s="261">
        <v>2937</v>
      </c>
      <c r="H171" s="261">
        <v>173</v>
      </c>
      <c r="I171" s="261">
        <v>811</v>
      </c>
      <c r="J171" s="261">
        <v>396</v>
      </c>
      <c r="K171" s="261">
        <v>415</v>
      </c>
      <c r="L171" s="261">
        <v>5</v>
      </c>
      <c r="M171" s="260">
        <f t="shared" si="4"/>
        <v>0.61652281134401976</v>
      </c>
      <c r="N171" s="261">
        <v>590</v>
      </c>
      <c r="O171" s="260">
        <f t="shared" si="5"/>
        <v>72.749691738594322</v>
      </c>
      <c r="P171" s="270">
        <v>64</v>
      </c>
      <c r="Q171" s="261">
        <v>2624</v>
      </c>
      <c r="R171" s="260" t="s">
        <v>37</v>
      </c>
      <c r="S171" s="76" t="s">
        <v>1385</v>
      </c>
      <c r="T171" s="260"/>
      <c r="U171" s="76"/>
      <c r="V171" s="260"/>
      <c r="W171" s="260"/>
      <c r="X171" s="260"/>
      <c r="Y171" s="260"/>
      <c r="Z171" s="260"/>
      <c r="AA171" s="260"/>
      <c r="AB171" s="260" t="s">
        <v>39</v>
      </c>
      <c r="AC171" s="76">
        <v>3</v>
      </c>
      <c r="AD171" s="260" t="s">
        <v>1052</v>
      </c>
      <c r="AE171" s="269"/>
      <c r="AF171" s="269"/>
    </row>
    <row r="172" spans="1:32">
      <c r="A172" s="260" t="s">
        <v>51</v>
      </c>
      <c r="B172" s="260" t="s">
        <v>333</v>
      </c>
      <c r="C172" s="13" t="s">
        <v>1048</v>
      </c>
      <c r="D172" s="13" t="s">
        <v>1382</v>
      </c>
      <c r="E172" s="87" t="s">
        <v>1383</v>
      </c>
      <c r="F172" s="13"/>
      <c r="G172" s="261"/>
      <c r="H172" s="261"/>
      <c r="I172" s="261"/>
      <c r="J172" s="261"/>
      <c r="K172" s="261"/>
      <c r="L172" s="261"/>
      <c r="M172" s="260" t="e">
        <f t="shared" si="4"/>
        <v>#DIV/0!</v>
      </c>
      <c r="N172" s="261"/>
      <c r="O172" s="260" t="e">
        <f t="shared" si="5"/>
        <v>#DIV/0!</v>
      </c>
      <c r="P172" s="270"/>
      <c r="Q172" s="261"/>
      <c r="R172" s="260"/>
      <c r="S172" s="76"/>
      <c r="T172" s="260"/>
      <c r="U172" s="76"/>
      <c r="V172" s="260"/>
      <c r="W172" s="260"/>
      <c r="X172" s="260"/>
      <c r="Y172" s="260"/>
      <c r="Z172" s="260"/>
      <c r="AA172" s="260"/>
      <c r="AB172" s="19" t="s">
        <v>39</v>
      </c>
      <c r="AC172" s="19">
        <v>17</v>
      </c>
      <c r="AD172" s="260" t="s">
        <v>1386</v>
      </c>
      <c r="AE172" s="65">
        <v>25.1234</v>
      </c>
      <c r="AF172" s="65">
        <v>76.567800000000005</v>
      </c>
    </row>
    <row r="173" spans="1:32">
      <c r="A173" s="260" t="s">
        <v>51</v>
      </c>
      <c r="B173" s="260" t="s">
        <v>333</v>
      </c>
      <c r="C173" s="13" t="s">
        <v>1048</v>
      </c>
      <c r="D173" s="13" t="s">
        <v>1382</v>
      </c>
      <c r="E173" s="87" t="s">
        <v>1383</v>
      </c>
      <c r="F173" s="13"/>
      <c r="G173" s="261"/>
      <c r="H173" s="261"/>
      <c r="I173" s="261"/>
      <c r="J173" s="261"/>
      <c r="K173" s="261"/>
      <c r="L173" s="261"/>
      <c r="M173" s="260" t="e">
        <f t="shared" si="4"/>
        <v>#DIV/0!</v>
      </c>
      <c r="N173" s="261"/>
      <c r="O173" s="260" t="e">
        <f t="shared" si="5"/>
        <v>#DIV/0!</v>
      </c>
      <c r="P173" s="270"/>
      <c r="Q173" s="261"/>
      <c r="R173" s="260"/>
      <c r="S173" s="76"/>
      <c r="T173" s="260"/>
      <c r="U173" s="76"/>
      <c r="V173" s="260"/>
      <c r="W173" s="260"/>
      <c r="X173" s="260"/>
      <c r="Y173" s="260"/>
      <c r="Z173" s="260"/>
      <c r="AA173" s="260"/>
      <c r="AB173" s="19" t="s">
        <v>39</v>
      </c>
      <c r="AC173" s="19">
        <v>13</v>
      </c>
      <c r="AD173" s="260" t="s">
        <v>1387</v>
      </c>
      <c r="AE173" s="65">
        <v>25.1145</v>
      </c>
      <c r="AF173" s="65">
        <v>76.501199999999997</v>
      </c>
    </row>
    <row r="174" spans="1:32">
      <c r="A174" s="260">
        <v>160</v>
      </c>
      <c r="B174" s="260" t="s">
        <v>333</v>
      </c>
      <c r="C174" s="13" t="s">
        <v>1048</v>
      </c>
      <c r="D174" s="13" t="s">
        <v>1382</v>
      </c>
      <c r="E174" s="87" t="s">
        <v>1173</v>
      </c>
      <c r="F174" s="13" t="s">
        <v>1388</v>
      </c>
      <c r="G174" s="261">
        <v>163</v>
      </c>
      <c r="H174" s="261">
        <v>109</v>
      </c>
      <c r="I174" s="261">
        <v>543</v>
      </c>
      <c r="J174" s="261">
        <v>278</v>
      </c>
      <c r="K174" s="261">
        <v>265</v>
      </c>
      <c r="L174" s="261">
        <v>196</v>
      </c>
      <c r="M174" s="260">
        <f t="shared" si="4"/>
        <v>36.095764272559855</v>
      </c>
      <c r="N174" s="261">
        <v>136</v>
      </c>
      <c r="O174" s="260">
        <f t="shared" si="5"/>
        <v>25.046040515653779</v>
      </c>
      <c r="P174" s="261">
        <v>53</v>
      </c>
      <c r="Q174" s="261">
        <v>0</v>
      </c>
      <c r="R174" s="260" t="s">
        <v>37</v>
      </c>
      <c r="S174" s="76" t="s">
        <v>37</v>
      </c>
      <c r="T174" s="260"/>
      <c r="U174" s="76">
        <v>63.45</v>
      </c>
      <c r="V174" s="260"/>
      <c r="W174" s="260"/>
      <c r="X174" s="260"/>
      <c r="Y174" s="260"/>
      <c r="Z174" s="260"/>
      <c r="AA174" s="260"/>
      <c r="AB174" s="260"/>
      <c r="AC174" s="76"/>
      <c r="AD174" s="260"/>
      <c r="AE174" s="269"/>
      <c r="AF174" s="269"/>
    </row>
    <row r="175" spans="1:32">
      <c r="A175" s="260">
        <v>161</v>
      </c>
      <c r="B175" s="260" t="s">
        <v>333</v>
      </c>
      <c r="C175" s="13" t="s">
        <v>1048</v>
      </c>
      <c r="D175" s="13" t="s">
        <v>1382</v>
      </c>
      <c r="E175" s="87" t="s">
        <v>1389</v>
      </c>
      <c r="F175" s="13" t="s">
        <v>1390</v>
      </c>
      <c r="G175" s="261">
        <v>692</v>
      </c>
      <c r="H175" s="261">
        <v>99</v>
      </c>
      <c r="I175" s="261">
        <v>494</v>
      </c>
      <c r="J175" s="261">
        <v>259</v>
      </c>
      <c r="K175" s="261">
        <v>235</v>
      </c>
      <c r="L175" s="261">
        <v>2</v>
      </c>
      <c r="M175" s="260">
        <f t="shared" si="4"/>
        <v>0.40485829959514169</v>
      </c>
      <c r="N175" s="261">
        <v>486</v>
      </c>
      <c r="O175" s="260">
        <f t="shared" si="5"/>
        <v>98.380566801619423</v>
      </c>
      <c r="P175" s="261">
        <v>27</v>
      </c>
      <c r="Q175" s="261">
        <v>536</v>
      </c>
      <c r="R175" s="260" t="s">
        <v>37</v>
      </c>
      <c r="S175" s="76" t="s">
        <v>37</v>
      </c>
      <c r="T175" s="260"/>
      <c r="U175" s="76">
        <v>27.45</v>
      </c>
      <c r="V175" s="260"/>
      <c r="W175" s="260"/>
      <c r="X175" s="260"/>
      <c r="Y175" s="260"/>
      <c r="Z175" s="260"/>
      <c r="AA175" s="260"/>
      <c r="AB175" s="260" t="s">
        <v>39</v>
      </c>
      <c r="AC175" s="76">
        <v>10</v>
      </c>
      <c r="AD175" s="260" t="s">
        <v>1052</v>
      </c>
      <c r="AE175" s="269"/>
      <c r="AF175" s="269"/>
    </row>
    <row r="176" spans="1:32">
      <c r="A176" s="260">
        <v>162</v>
      </c>
      <c r="B176" s="260" t="s">
        <v>333</v>
      </c>
      <c r="C176" s="13" t="s">
        <v>1048</v>
      </c>
      <c r="D176" s="13" t="s">
        <v>1382</v>
      </c>
      <c r="E176" s="87" t="s">
        <v>56</v>
      </c>
      <c r="F176" s="13" t="s">
        <v>1391</v>
      </c>
      <c r="G176" s="261">
        <v>876</v>
      </c>
      <c r="H176" s="261">
        <v>114</v>
      </c>
      <c r="I176" s="261">
        <v>536</v>
      </c>
      <c r="J176" s="261">
        <v>254</v>
      </c>
      <c r="K176" s="261">
        <v>282</v>
      </c>
      <c r="L176" s="261">
        <v>1</v>
      </c>
      <c r="M176" s="260">
        <f t="shared" si="4"/>
        <v>0.18656716417910446</v>
      </c>
      <c r="N176" s="261">
        <v>476</v>
      </c>
      <c r="O176" s="260">
        <f t="shared" si="5"/>
        <v>88.805970149253739</v>
      </c>
      <c r="P176" s="261">
        <v>22</v>
      </c>
      <c r="Q176" s="261">
        <v>557</v>
      </c>
      <c r="R176" s="260" t="s">
        <v>37</v>
      </c>
      <c r="S176" s="76" t="s">
        <v>37</v>
      </c>
      <c r="T176" s="260"/>
      <c r="U176" s="76"/>
      <c r="V176" s="260"/>
      <c r="W176" s="260"/>
      <c r="X176" s="260"/>
      <c r="Y176" s="260"/>
      <c r="Z176" s="260"/>
      <c r="AA176" s="260"/>
      <c r="AB176" s="260" t="s">
        <v>39</v>
      </c>
      <c r="AC176" s="76">
        <v>10</v>
      </c>
      <c r="AD176" s="260" t="s">
        <v>1052</v>
      </c>
      <c r="AE176" s="269"/>
      <c r="AF176" s="269"/>
    </row>
    <row r="177" spans="1:32">
      <c r="A177" s="260">
        <v>163</v>
      </c>
      <c r="B177" s="260" t="s">
        <v>333</v>
      </c>
      <c r="C177" s="13" t="s">
        <v>1048</v>
      </c>
      <c r="D177" s="13" t="s">
        <v>1382</v>
      </c>
      <c r="E177" s="87" t="s">
        <v>1392</v>
      </c>
      <c r="F177" s="13" t="s">
        <v>1393</v>
      </c>
      <c r="G177" s="261">
        <v>367</v>
      </c>
      <c r="H177" s="261">
        <v>122</v>
      </c>
      <c r="I177" s="261">
        <v>537</v>
      </c>
      <c r="J177" s="261">
        <v>282</v>
      </c>
      <c r="K177" s="261">
        <v>255</v>
      </c>
      <c r="L177" s="261">
        <v>156</v>
      </c>
      <c r="M177" s="260">
        <f t="shared" si="4"/>
        <v>29.050279329608941</v>
      </c>
      <c r="N177" s="261">
        <v>362</v>
      </c>
      <c r="O177" s="260">
        <f t="shared" si="5"/>
        <v>67.411545623836119</v>
      </c>
      <c r="P177" s="261">
        <v>2</v>
      </c>
      <c r="Q177" s="261">
        <v>313</v>
      </c>
      <c r="R177" s="260" t="s">
        <v>37</v>
      </c>
      <c r="S177" s="76" t="s">
        <v>37</v>
      </c>
      <c r="T177" s="260"/>
      <c r="U177" s="76">
        <v>2.59</v>
      </c>
      <c r="V177" s="260"/>
      <c r="W177" s="260"/>
      <c r="X177" s="260"/>
      <c r="Y177" s="260"/>
      <c r="Z177" s="260"/>
      <c r="AA177" s="260"/>
      <c r="AB177" s="260" t="s">
        <v>39</v>
      </c>
      <c r="AC177" s="76">
        <v>12</v>
      </c>
      <c r="AD177" s="260" t="s">
        <v>1052</v>
      </c>
      <c r="AE177" s="269"/>
      <c r="AF177" s="269"/>
    </row>
    <row r="178" spans="1:32">
      <c r="A178" s="260">
        <v>164</v>
      </c>
      <c r="B178" s="260" t="s">
        <v>333</v>
      </c>
      <c r="C178" s="13" t="s">
        <v>1048</v>
      </c>
      <c r="D178" s="13" t="s">
        <v>1382</v>
      </c>
      <c r="E178" s="87" t="s">
        <v>1394</v>
      </c>
      <c r="F178" s="13" t="s">
        <v>1395</v>
      </c>
      <c r="G178" s="261">
        <v>1122</v>
      </c>
      <c r="H178" s="261">
        <v>0</v>
      </c>
      <c r="I178" s="261">
        <v>0</v>
      </c>
      <c r="J178" s="261">
        <v>0</v>
      </c>
      <c r="K178" s="261">
        <v>0</v>
      </c>
      <c r="L178" s="261">
        <v>0</v>
      </c>
      <c r="M178" s="260" t="e">
        <f t="shared" si="4"/>
        <v>#DIV/0!</v>
      </c>
      <c r="N178" s="261">
        <v>0</v>
      </c>
      <c r="O178" s="260" t="e">
        <f t="shared" si="5"/>
        <v>#DIV/0!</v>
      </c>
      <c r="P178" s="261">
        <v>0</v>
      </c>
      <c r="Q178" s="261">
        <v>1122</v>
      </c>
      <c r="R178" s="260"/>
      <c r="S178" s="13"/>
      <c r="T178" s="260"/>
      <c r="U178" s="13"/>
      <c r="V178" s="260"/>
      <c r="W178" s="260"/>
      <c r="X178" s="260"/>
      <c r="Y178" s="260"/>
      <c r="Z178" s="260"/>
      <c r="AA178" s="260"/>
      <c r="AB178" s="260"/>
      <c r="AC178" s="13"/>
      <c r="AD178" s="260"/>
      <c r="AE178" s="269"/>
      <c r="AF178" s="269"/>
    </row>
    <row r="179" spans="1:32">
      <c r="A179" s="260">
        <v>165</v>
      </c>
      <c r="B179" s="260" t="s">
        <v>333</v>
      </c>
      <c r="C179" s="13" t="s">
        <v>1048</v>
      </c>
      <c r="D179" s="13" t="s">
        <v>1382</v>
      </c>
      <c r="E179" s="87" t="s">
        <v>1396</v>
      </c>
      <c r="F179" s="13" t="s">
        <v>1397</v>
      </c>
      <c r="G179" s="261">
        <v>1394</v>
      </c>
      <c r="H179" s="261">
        <v>0</v>
      </c>
      <c r="I179" s="261">
        <v>0</v>
      </c>
      <c r="J179" s="261">
        <v>0</v>
      </c>
      <c r="K179" s="261">
        <v>0</v>
      </c>
      <c r="L179" s="261">
        <v>0</v>
      </c>
      <c r="M179" s="260" t="e">
        <f t="shared" si="4"/>
        <v>#DIV/0!</v>
      </c>
      <c r="N179" s="261">
        <v>0</v>
      </c>
      <c r="O179" s="260" t="e">
        <f t="shared" si="5"/>
        <v>#DIV/0!</v>
      </c>
      <c r="P179" s="261">
        <v>0</v>
      </c>
      <c r="Q179" s="261">
        <v>1394</v>
      </c>
      <c r="R179" s="260"/>
      <c r="S179" s="13"/>
      <c r="T179" s="260"/>
      <c r="U179" s="13"/>
      <c r="V179" s="260"/>
      <c r="W179" s="260"/>
      <c r="X179" s="260"/>
      <c r="Y179" s="260"/>
      <c r="Z179" s="260"/>
      <c r="AA179" s="260"/>
      <c r="AB179" s="260"/>
      <c r="AC179" s="13"/>
      <c r="AD179" s="260"/>
      <c r="AE179" s="269"/>
      <c r="AF179" s="269"/>
    </row>
    <row r="180" spans="1:32">
      <c r="A180" s="260">
        <v>166</v>
      </c>
      <c r="B180" s="260" t="s">
        <v>333</v>
      </c>
      <c r="C180" s="13" t="s">
        <v>1048</v>
      </c>
      <c r="D180" s="13" t="s">
        <v>1382</v>
      </c>
      <c r="E180" s="87" t="s">
        <v>1342</v>
      </c>
      <c r="F180" s="13" t="s">
        <v>1398</v>
      </c>
      <c r="G180" s="261">
        <v>1897</v>
      </c>
      <c r="H180" s="261">
        <v>200</v>
      </c>
      <c r="I180" s="261">
        <v>1009</v>
      </c>
      <c r="J180" s="261">
        <v>500</v>
      </c>
      <c r="K180" s="261">
        <v>509</v>
      </c>
      <c r="L180" s="261">
        <v>333</v>
      </c>
      <c r="M180" s="260">
        <f t="shared" si="4"/>
        <v>33.002973240832503</v>
      </c>
      <c r="N180" s="261">
        <v>598</v>
      </c>
      <c r="O180" s="260">
        <f t="shared" si="5"/>
        <v>59.266600594648168</v>
      </c>
      <c r="P180" s="261">
        <v>33</v>
      </c>
      <c r="Q180" s="261">
        <v>1447</v>
      </c>
      <c r="R180" s="260" t="s">
        <v>37</v>
      </c>
      <c r="S180" s="76" t="s">
        <v>37</v>
      </c>
      <c r="T180" s="260"/>
      <c r="U180" s="76">
        <v>21.59</v>
      </c>
      <c r="V180" s="260"/>
      <c r="W180" s="260"/>
      <c r="X180" s="260"/>
      <c r="Y180" s="260"/>
      <c r="Z180" s="260"/>
      <c r="AA180" s="260"/>
      <c r="AB180" s="260" t="s">
        <v>39</v>
      </c>
      <c r="AC180" s="76">
        <v>2</v>
      </c>
      <c r="AD180" s="260" t="s">
        <v>1052</v>
      </c>
      <c r="AE180" s="269"/>
      <c r="AF180" s="269"/>
    </row>
    <row r="181" spans="1:32">
      <c r="A181" s="260">
        <v>167</v>
      </c>
      <c r="B181" s="260" t="s">
        <v>333</v>
      </c>
      <c r="C181" s="13" t="s">
        <v>1048</v>
      </c>
      <c r="D181" s="13" t="s">
        <v>1382</v>
      </c>
      <c r="E181" s="87" t="s">
        <v>1333</v>
      </c>
      <c r="F181" s="13" t="s">
        <v>1399</v>
      </c>
      <c r="G181" s="261">
        <v>655.94</v>
      </c>
      <c r="H181" s="261">
        <v>212</v>
      </c>
      <c r="I181" s="261">
        <v>898</v>
      </c>
      <c r="J181" s="261">
        <v>468</v>
      </c>
      <c r="K181" s="261">
        <v>430</v>
      </c>
      <c r="L181" s="261">
        <v>28</v>
      </c>
      <c r="M181" s="260">
        <f t="shared" si="4"/>
        <v>3.1180400890868598</v>
      </c>
      <c r="N181" s="261">
        <v>868</v>
      </c>
      <c r="O181" s="260">
        <f t="shared" si="5"/>
        <v>96.659242761692653</v>
      </c>
      <c r="P181" s="261">
        <v>21.65</v>
      </c>
      <c r="Q181" s="261">
        <v>210.1</v>
      </c>
      <c r="R181" s="260" t="s">
        <v>37</v>
      </c>
      <c r="S181" s="76" t="s">
        <v>67</v>
      </c>
      <c r="T181" s="260"/>
      <c r="U181" s="76">
        <v>78.47</v>
      </c>
      <c r="V181" s="260"/>
      <c r="W181" s="260"/>
      <c r="X181" s="260"/>
      <c r="Y181" s="260"/>
      <c r="Z181" s="260"/>
      <c r="AA181" s="260"/>
      <c r="AB181" s="260" t="s">
        <v>39</v>
      </c>
      <c r="AC181" s="76">
        <v>12</v>
      </c>
      <c r="AD181" s="260" t="s">
        <v>1052</v>
      </c>
      <c r="AE181" s="269"/>
      <c r="AF181" s="269"/>
    </row>
    <row r="182" spans="1:32">
      <c r="A182" s="260">
        <v>168</v>
      </c>
      <c r="B182" s="260" t="s">
        <v>333</v>
      </c>
      <c r="C182" s="13" t="s">
        <v>1048</v>
      </c>
      <c r="D182" s="13" t="s">
        <v>1400</v>
      </c>
      <c r="E182" s="87" t="s">
        <v>1401</v>
      </c>
      <c r="F182" s="13" t="s">
        <v>1402</v>
      </c>
      <c r="G182" s="261">
        <v>787.23</v>
      </c>
      <c r="H182" s="261">
        <v>427</v>
      </c>
      <c r="I182" s="261">
        <v>2255</v>
      </c>
      <c r="J182" s="261">
        <v>1102</v>
      </c>
      <c r="K182" s="261">
        <v>1153</v>
      </c>
      <c r="L182" s="261">
        <v>361</v>
      </c>
      <c r="M182" s="260">
        <f t="shared" si="4"/>
        <v>16.008869179600886</v>
      </c>
      <c r="N182" s="261">
        <v>631</v>
      </c>
      <c r="O182" s="260">
        <f t="shared" si="5"/>
        <v>27.982261640798228</v>
      </c>
      <c r="P182" s="261">
        <v>24.39</v>
      </c>
      <c r="Q182" s="261">
        <v>0.56999999999999995</v>
      </c>
      <c r="R182" s="260" t="s">
        <v>37</v>
      </c>
      <c r="S182" s="79" t="s">
        <v>55</v>
      </c>
      <c r="T182" s="260"/>
      <c r="U182" s="15">
        <v>21.91</v>
      </c>
      <c r="V182" s="260"/>
      <c r="W182" s="260"/>
      <c r="X182" s="260"/>
      <c r="Y182" s="260"/>
      <c r="Z182" s="260"/>
      <c r="AA182" s="260"/>
      <c r="AB182" s="260"/>
      <c r="AC182" s="15"/>
      <c r="AD182" s="260"/>
      <c r="AE182" s="269"/>
      <c r="AF182" s="269"/>
    </row>
    <row r="183" spans="1:32">
      <c r="A183" s="260">
        <v>169</v>
      </c>
      <c r="B183" s="260" t="s">
        <v>333</v>
      </c>
      <c r="C183" s="13" t="s">
        <v>1048</v>
      </c>
      <c r="D183" s="13" t="s">
        <v>1400</v>
      </c>
      <c r="E183" s="87" t="s">
        <v>84</v>
      </c>
      <c r="F183" s="13" t="s">
        <v>1403</v>
      </c>
      <c r="G183" s="261">
        <v>869.81</v>
      </c>
      <c r="H183" s="261">
        <v>202</v>
      </c>
      <c r="I183" s="261">
        <v>1000</v>
      </c>
      <c r="J183" s="261">
        <v>494</v>
      </c>
      <c r="K183" s="261">
        <v>506</v>
      </c>
      <c r="L183" s="261">
        <v>219</v>
      </c>
      <c r="M183" s="260">
        <f t="shared" si="4"/>
        <v>21.9</v>
      </c>
      <c r="N183" s="261">
        <v>437</v>
      </c>
      <c r="O183" s="260">
        <f t="shared" si="5"/>
        <v>43.7</v>
      </c>
      <c r="P183" s="261">
        <v>30.78</v>
      </c>
      <c r="Q183" s="261">
        <v>206.27</v>
      </c>
      <c r="R183" s="260"/>
      <c r="S183" s="79"/>
      <c r="T183" s="260"/>
      <c r="U183" s="15">
        <v>30.82</v>
      </c>
      <c r="V183" s="260"/>
      <c r="W183" s="260"/>
      <c r="X183" s="260"/>
      <c r="Y183" s="260"/>
      <c r="Z183" s="260"/>
      <c r="AA183" s="260"/>
      <c r="AB183" s="260"/>
      <c r="AC183" s="15"/>
      <c r="AD183" s="260"/>
      <c r="AE183" s="269"/>
      <c r="AF183" s="269"/>
    </row>
    <row r="184" spans="1:32">
      <c r="A184" s="260">
        <v>170</v>
      </c>
      <c r="B184" s="260" t="s">
        <v>333</v>
      </c>
      <c r="C184" s="13" t="s">
        <v>1048</v>
      </c>
      <c r="D184" s="13" t="s">
        <v>1400</v>
      </c>
      <c r="E184" s="87" t="s">
        <v>1404</v>
      </c>
      <c r="F184" s="13" t="s">
        <v>1405</v>
      </c>
      <c r="G184" s="261">
        <v>1000.82</v>
      </c>
      <c r="H184" s="261">
        <v>244</v>
      </c>
      <c r="I184" s="261">
        <v>1160</v>
      </c>
      <c r="J184" s="261">
        <v>577</v>
      </c>
      <c r="K184" s="261">
        <v>583</v>
      </c>
      <c r="L184" s="261">
        <v>199</v>
      </c>
      <c r="M184" s="260">
        <f t="shared" si="4"/>
        <v>17.155172413793103</v>
      </c>
      <c r="N184" s="261">
        <v>397</v>
      </c>
      <c r="O184" s="260">
        <f t="shared" si="5"/>
        <v>34.224137931034484</v>
      </c>
      <c r="P184" s="261">
        <v>28.51</v>
      </c>
      <c r="Q184" s="261">
        <v>426.2</v>
      </c>
      <c r="R184" s="260" t="s">
        <v>37</v>
      </c>
      <c r="S184" s="79" t="s">
        <v>259</v>
      </c>
      <c r="T184" s="260"/>
      <c r="U184" s="15">
        <v>29.15</v>
      </c>
      <c r="V184" s="260"/>
      <c r="W184" s="260"/>
      <c r="X184" s="260"/>
      <c r="Y184" s="260"/>
      <c r="Z184" s="260"/>
      <c r="AA184" s="260"/>
      <c r="AB184" s="260" t="s">
        <v>39</v>
      </c>
      <c r="AC184" s="15">
        <v>2</v>
      </c>
      <c r="AD184" s="260" t="s">
        <v>1052</v>
      </c>
      <c r="AE184" s="269"/>
      <c r="AF184" s="269"/>
    </row>
    <row r="185" spans="1:32">
      <c r="A185" s="260">
        <v>171</v>
      </c>
      <c r="B185" s="260" t="s">
        <v>333</v>
      </c>
      <c r="C185" s="13" t="s">
        <v>1048</v>
      </c>
      <c r="D185" s="13" t="s">
        <v>1406</v>
      </c>
      <c r="E185" s="87" t="s">
        <v>1407</v>
      </c>
      <c r="F185" s="13" t="s">
        <v>1408</v>
      </c>
      <c r="G185" s="261">
        <v>693.23</v>
      </c>
      <c r="H185" s="261">
        <v>465</v>
      </c>
      <c r="I185" s="261">
        <v>2432</v>
      </c>
      <c r="J185" s="261">
        <v>1286</v>
      </c>
      <c r="K185" s="261">
        <v>1146</v>
      </c>
      <c r="L185" s="261">
        <v>138</v>
      </c>
      <c r="M185" s="260">
        <f t="shared" si="4"/>
        <v>5.6743421052631584</v>
      </c>
      <c r="N185" s="261">
        <v>1620</v>
      </c>
      <c r="O185" s="260">
        <f t="shared" si="5"/>
        <v>66.61184210526315</v>
      </c>
      <c r="P185" s="261">
        <v>61.1</v>
      </c>
      <c r="Q185" s="261">
        <v>117.11</v>
      </c>
      <c r="R185" s="260" t="s">
        <v>37</v>
      </c>
      <c r="S185" s="13" t="s">
        <v>37</v>
      </c>
      <c r="T185" s="260"/>
      <c r="U185" s="13"/>
      <c r="V185" s="260"/>
      <c r="W185" s="260"/>
      <c r="X185" s="260"/>
      <c r="Y185" s="260"/>
      <c r="Z185" s="260"/>
      <c r="AA185" s="260"/>
      <c r="AB185" s="260"/>
      <c r="AC185" s="13"/>
      <c r="AD185" s="260"/>
      <c r="AE185" s="269"/>
      <c r="AF185" s="269"/>
    </row>
    <row r="186" spans="1:32">
      <c r="A186" s="260">
        <v>172</v>
      </c>
      <c r="B186" s="260" t="s">
        <v>333</v>
      </c>
      <c r="C186" s="13" t="s">
        <v>1048</v>
      </c>
      <c r="D186" s="13" t="s">
        <v>1406</v>
      </c>
      <c r="E186" s="87" t="s">
        <v>1409</v>
      </c>
      <c r="F186" s="13" t="s">
        <v>1410</v>
      </c>
      <c r="G186" s="261">
        <v>112.17</v>
      </c>
      <c r="H186" s="261">
        <v>0</v>
      </c>
      <c r="I186" s="261">
        <v>0</v>
      </c>
      <c r="J186" s="261">
        <v>0</v>
      </c>
      <c r="K186" s="261">
        <v>0</v>
      </c>
      <c r="L186" s="261">
        <v>0</v>
      </c>
      <c r="M186" s="260" t="e">
        <f t="shared" si="4"/>
        <v>#DIV/0!</v>
      </c>
      <c r="N186" s="261">
        <v>0</v>
      </c>
      <c r="O186" s="260" t="e">
        <f t="shared" si="5"/>
        <v>#DIV/0!</v>
      </c>
      <c r="P186" s="261">
        <v>0</v>
      </c>
      <c r="Q186" s="261">
        <v>101.73</v>
      </c>
      <c r="R186" s="260"/>
      <c r="S186" s="13"/>
      <c r="T186" s="260"/>
      <c r="U186" s="13"/>
      <c r="V186" s="260"/>
      <c r="W186" s="260"/>
      <c r="X186" s="260"/>
      <c r="Y186" s="260"/>
      <c r="Z186" s="260"/>
      <c r="AA186" s="260"/>
      <c r="AB186" s="260"/>
      <c r="AC186" s="13">
        <v>13</v>
      </c>
      <c r="AD186" s="260"/>
      <c r="AE186" s="269"/>
      <c r="AF186" s="269"/>
    </row>
    <row r="187" spans="1:32">
      <c r="A187" s="260">
        <v>173</v>
      </c>
      <c r="B187" s="260" t="s">
        <v>333</v>
      </c>
      <c r="C187" s="13" t="s">
        <v>1048</v>
      </c>
      <c r="D187" s="13" t="s">
        <v>1406</v>
      </c>
      <c r="E187" s="87" t="s">
        <v>1411</v>
      </c>
      <c r="F187" s="13" t="s">
        <v>1412</v>
      </c>
      <c r="G187" s="261">
        <v>283.45999999999998</v>
      </c>
      <c r="H187" s="261">
        <v>224</v>
      </c>
      <c r="I187" s="261">
        <v>1215</v>
      </c>
      <c r="J187" s="261">
        <v>641</v>
      </c>
      <c r="K187" s="261">
        <v>574</v>
      </c>
      <c r="L187" s="261">
        <v>87</v>
      </c>
      <c r="M187" s="260">
        <f t="shared" si="4"/>
        <v>7.1604938271604937</v>
      </c>
      <c r="N187" s="261">
        <v>171</v>
      </c>
      <c r="O187" s="260">
        <f t="shared" si="5"/>
        <v>14.074074074074074</v>
      </c>
      <c r="P187" s="261">
        <v>0</v>
      </c>
      <c r="Q187" s="261">
        <v>0</v>
      </c>
      <c r="R187" s="260" t="s">
        <v>37</v>
      </c>
      <c r="S187" s="13" t="s">
        <v>37</v>
      </c>
      <c r="T187" s="260"/>
      <c r="U187" s="13"/>
      <c r="V187" s="260"/>
      <c r="W187" s="260"/>
      <c r="X187" s="260"/>
      <c r="Y187" s="260"/>
      <c r="Z187" s="260"/>
      <c r="AA187" s="260"/>
      <c r="AB187" s="260"/>
      <c r="AC187" s="13"/>
      <c r="AD187" s="260"/>
      <c r="AE187" s="269"/>
      <c r="AF187" s="269"/>
    </row>
    <row r="188" spans="1:32">
      <c r="A188" s="260">
        <v>174</v>
      </c>
      <c r="B188" s="260" t="s">
        <v>333</v>
      </c>
      <c r="C188" s="13" t="s">
        <v>1048</v>
      </c>
      <c r="D188" s="13" t="s">
        <v>1406</v>
      </c>
      <c r="E188" s="87" t="s">
        <v>1413</v>
      </c>
      <c r="F188" s="13" t="s">
        <v>1414</v>
      </c>
      <c r="G188" s="261">
        <v>58.31</v>
      </c>
      <c r="H188" s="261">
        <v>0</v>
      </c>
      <c r="I188" s="261">
        <v>0</v>
      </c>
      <c r="J188" s="261">
        <v>0</v>
      </c>
      <c r="K188" s="261">
        <v>0</v>
      </c>
      <c r="L188" s="261">
        <v>0</v>
      </c>
      <c r="M188" s="260" t="e">
        <f t="shared" si="4"/>
        <v>#DIV/0!</v>
      </c>
      <c r="N188" s="261">
        <v>0</v>
      </c>
      <c r="O188" s="260" t="e">
        <f t="shared" si="5"/>
        <v>#DIV/0!</v>
      </c>
      <c r="P188" s="261">
        <v>0</v>
      </c>
      <c r="Q188" s="261">
        <v>56.34</v>
      </c>
      <c r="R188" s="260"/>
      <c r="S188" s="13"/>
      <c r="T188" s="260"/>
      <c r="U188" s="13"/>
      <c r="V188" s="260"/>
      <c r="W188" s="260"/>
      <c r="X188" s="260"/>
      <c r="Y188" s="260"/>
      <c r="Z188" s="260"/>
      <c r="AA188" s="260"/>
      <c r="AB188" s="260"/>
      <c r="AC188" s="13"/>
      <c r="AD188" s="260"/>
      <c r="AE188" s="269"/>
      <c r="AF188" s="269"/>
    </row>
    <row r="189" spans="1:32">
      <c r="A189" s="260">
        <v>175</v>
      </c>
      <c r="B189" s="260" t="s">
        <v>333</v>
      </c>
      <c r="C189" s="13" t="s">
        <v>1048</v>
      </c>
      <c r="D189" s="13" t="s">
        <v>1406</v>
      </c>
      <c r="E189" s="87" t="s">
        <v>1415</v>
      </c>
      <c r="F189" s="13" t="s">
        <v>1416</v>
      </c>
      <c r="G189" s="261">
        <v>460.29</v>
      </c>
      <c r="H189" s="261">
        <v>0</v>
      </c>
      <c r="I189" s="261">
        <v>0</v>
      </c>
      <c r="J189" s="261">
        <v>0</v>
      </c>
      <c r="K189" s="261">
        <v>0</v>
      </c>
      <c r="L189" s="261">
        <v>0</v>
      </c>
      <c r="M189" s="260" t="e">
        <f t="shared" si="4"/>
        <v>#DIV/0!</v>
      </c>
      <c r="N189" s="261">
        <v>0</v>
      </c>
      <c r="O189" s="260" t="e">
        <f t="shared" si="5"/>
        <v>#DIV/0!</v>
      </c>
      <c r="P189" s="261">
        <v>0</v>
      </c>
      <c r="Q189" s="261">
        <v>357.59</v>
      </c>
      <c r="R189" s="260"/>
      <c r="S189" s="13"/>
      <c r="T189" s="260"/>
      <c r="U189" s="13"/>
      <c r="V189" s="260"/>
      <c r="W189" s="260"/>
      <c r="X189" s="260"/>
      <c r="Y189" s="260"/>
      <c r="Z189" s="260"/>
      <c r="AA189" s="260"/>
      <c r="AB189" s="260"/>
      <c r="AC189" s="13"/>
      <c r="AD189" s="260"/>
      <c r="AE189" s="269"/>
      <c r="AF189" s="269"/>
    </row>
    <row r="190" spans="1:32">
      <c r="A190" s="260">
        <v>176</v>
      </c>
      <c r="B190" s="260" t="s">
        <v>333</v>
      </c>
      <c r="C190" s="13" t="s">
        <v>1048</v>
      </c>
      <c r="D190" s="13" t="s">
        <v>1417</v>
      </c>
      <c r="E190" s="87" t="s">
        <v>1418</v>
      </c>
      <c r="F190" s="13" t="s">
        <v>1419</v>
      </c>
      <c r="G190" s="261">
        <v>389.1</v>
      </c>
      <c r="H190" s="261">
        <v>205</v>
      </c>
      <c r="I190" s="261">
        <v>938</v>
      </c>
      <c r="J190" s="261">
        <v>499</v>
      </c>
      <c r="K190" s="261">
        <v>439</v>
      </c>
      <c r="L190" s="261">
        <v>130</v>
      </c>
      <c r="M190" s="260">
        <f t="shared" si="4"/>
        <v>13.859275053304904</v>
      </c>
      <c r="N190" s="261">
        <v>574</v>
      </c>
      <c r="O190" s="260">
        <f t="shared" si="5"/>
        <v>61.194029850746269</v>
      </c>
      <c r="P190" s="261">
        <v>5.94</v>
      </c>
      <c r="Q190" s="261">
        <v>0</v>
      </c>
      <c r="R190" s="260"/>
      <c r="S190" s="13"/>
      <c r="T190" s="260"/>
      <c r="U190" s="13"/>
      <c r="V190" s="260"/>
      <c r="W190" s="260"/>
      <c r="X190" s="260"/>
      <c r="Y190" s="260"/>
      <c r="Z190" s="260"/>
      <c r="AA190" s="260"/>
      <c r="AB190" s="260"/>
      <c r="AC190" s="13"/>
      <c r="AD190" s="260"/>
      <c r="AE190" s="269"/>
      <c r="AF190" s="269"/>
    </row>
    <row r="191" spans="1:32">
      <c r="A191" s="260">
        <v>177</v>
      </c>
      <c r="B191" s="260" t="s">
        <v>333</v>
      </c>
      <c r="C191" s="13" t="s">
        <v>1048</v>
      </c>
      <c r="D191" s="13" t="s">
        <v>1417</v>
      </c>
      <c r="E191" s="87" t="s">
        <v>1420</v>
      </c>
      <c r="F191" s="13" t="s">
        <v>1421</v>
      </c>
      <c r="G191" s="261">
        <v>193.81</v>
      </c>
      <c r="H191" s="261">
        <v>38</v>
      </c>
      <c r="I191" s="261">
        <v>198</v>
      </c>
      <c r="J191" s="261">
        <v>91</v>
      </c>
      <c r="K191" s="261">
        <v>107</v>
      </c>
      <c r="L191" s="261">
        <v>19</v>
      </c>
      <c r="M191" s="260">
        <f t="shared" si="4"/>
        <v>9.5959595959595951</v>
      </c>
      <c r="N191" s="261">
        <v>9</v>
      </c>
      <c r="O191" s="260">
        <f t="shared" si="5"/>
        <v>4.5454545454545459</v>
      </c>
      <c r="P191" s="261">
        <v>27.56</v>
      </c>
      <c r="Q191" s="261">
        <v>0</v>
      </c>
      <c r="R191" s="260"/>
      <c r="S191" s="13"/>
      <c r="T191" s="260"/>
      <c r="U191" s="13"/>
      <c r="V191" s="260"/>
      <c r="W191" s="260"/>
      <c r="X191" s="260"/>
      <c r="Y191" s="260"/>
      <c r="Z191" s="260"/>
      <c r="AA191" s="260"/>
      <c r="AB191" s="260"/>
      <c r="AC191" s="13"/>
      <c r="AD191" s="260"/>
      <c r="AE191" s="269"/>
      <c r="AF191" s="269"/>
    </row>
    <row r="192" spans="1:32">
      <c r="A192" s="260">
        <v>178</v>
      </c>
      <c r="B192" s="260" t="s">
        <v>333</v>
      </c>
      <c r="C192" s="13" t="s">
        <v>1048</v>
      </c>
      <c r="D192" s="13" t="s">
        <v>1417</v>
      </c>
      <c r="E192" s="87" t="s">
        <v>1422</v>
      </c>
      <c r="F192" s="13" t="s">
        <v>1423</v>
      </c>
      <c r="G192" s="261">
        <v>171.42</v>
      </c>
      <c r="H192" s="261">
        <v>144</v>
      </c>
      <c r="I192" s="261">
        <v>733</v>
      </c>
      <c r="J192" s="261">
        <v>382</v>
      </c>
      <c r="K192" s="261">
        <v>351</v>
      </c>
      <c r="L192" s="261">
        <v>153</v>
      </c>
      <c r="M192" s="260">
        <f t="shared" si="4"/>
        <v>20.873124147339698</v>
      </c>
      <c r="N192" s="261">
        <v>174</v>
      </c>
      <c r="O192" s="260">
        <f t="shared" si="5"/>
        <v>23.73806275579809</v>
      </c>
      <c r="P192" s="261">
        <v>24.85</v>
      </c>
      <c r="Q192" s="261">
        <v>0</v>
      </c>
      <c r="R192" s="260"/>
      <c r="S192" s="13"/>
      <c r="T192" s="260"/>
      <c r="U192" s="13"/>
      <c r="V192" s="260"/>
      <c r="W192" s="260"/>
      <c r="X192" s="260"/>
      <c r="Y192" s="260"/>
      <c r="Z192" s="260"/>
      <c r="AA192" s="260"/>
      <c r="AB192" s="260"/>
      <c r="AC192" s="13"/>
      <c r="AD192" s="260"/>
      <c r="AE192" s="269"/>
      <c r="AF192" s="269"/>
    </row>
    <row r="193" spans="1:32">
      <c r="A193" s="260">
        <v>179</v>
      </c>
      <c r="B193" s="260" t="s">
        <v>333</v>
      </c>
      <c r="C193" s="13" t="s">
        <v>1048</v>
      </c>
      <c r="D193" s="13" t="s">
        <v>1417</v>
      </c>
      <c r="E193" s="87" t="s">
        <v>1424</v>
      </c>
      <c r="F193" s="13" t="s">
        <v>1425</v>
      </c>
      <c r="G193" s="261">
        <v>213</v>
      </c>
      <c r="H193" s="261">
        <v>0</v>
      </c>
      <c r="I193" s="261">
        <v>0</v>
      </c>
      <c r="J193" s="261">
        <v>0</v>
      </c>
      <c r="K193" s="261">
        <v>0</v>
      </c>
      <c r="L193" s="261">
        <v>0</v>
      </c>
      <c r="M193" s="260" t="e">
        <f t="shared" si="4"/>
        <v>#DIV/0!</v>
      </c>
      <c r="N193" s="261">
        <v>0</v>
      </c>
      <c r="O193" s="260" t="e">
        <f t="shared" si="5"/>
        <v>#DIV/0!</v>
      </c>
      <c r="P193" s="261">
        <v>0</v>
      </c>
      <c r="Q193" s="261">
        <v>0</v>
      </c>
      <c r="R193" s="260"/>
      <c r="S193" s="13"/>
      <c r="T193" s="260"/>
      <c r="U193" s="13"/>
      <c r="V193" s="260"/>
      <c r="W193" s="260"/>
      <c r="X193" s="260"/>
      <c r="Y193" s="260"/>
      <c r="Z193" s="260"/>
      <c r="AA193" s="260"/>
      <c r="AB193" s="260"/>
      <c r="AC193" s="13"/>
      <c r="AD193" s="260"/>
      <c r="AE193" s="269"/>
      <c r="AF193" s="269"/>
    </row>
    <row r="194" spans="1:32">
      <c r="A194" s="260">
        <v>180</v>
      </c>
      <c r="B194" s="260" t="s">
        <v>333</v>
      </c>
      <c r="C194" s="13" t="s">
        <v>1048</v>
      </c>
      <c r="D194" s="13" t="s">
        <v>1417</v>
      </c>
      <c r="E194" s="87" t="s">
        <v>1426</v>
      </c>
      <c r="F194" s="13" t="s">
        <v>1427</v>
      </c>
      <c r="G194" s="261">
        <v>79.19</v>
      </c>
      <c r="H194" s="261">
        <v>0</v>
      </c>
      <c r="I194" s="261">
        <v>0</v>
      </c>
      <c r="J194" s="261">
        <v>0</v>
      </c>
      <c r="K194" s="261">
        <v>0</v>
      </c>
      <c r="L194" s="261">
        <v>0</v>
      </c>
      <c r="M194" s="260" t="e">
        <f t="shared" si="4"/>
        <v>#DIV/0!</v>
      </c>
      <c r="N194" s="261">
        <v>0</v>
      </c>
      <c r="O194" s="260" t="e">
        <f t="shared" si="5"/>
        <v>#DIV/0!</v>
      </c>
      <c r="P194" s="261">
        <v>0</v>
      </c>
      <c r="Q194" s="261">
        <v>0</v>
      </c>
      <c r="R194" s="260"/>
      <c r="S194" s="13"/>
      <c r="T194" s="260"/>
      <c r="U194" s="13"/>
      <c r="V194" s="260"/>
      <c r="W194" s="260"/>
      <c r="X194" s="260"/>
      <c r="Y194" s="260"/>
      <c r="Z194" s="260"/>
      <c r="AA194" s="260"/>
      <c r="AB194" s="260"/>
      <c r="AC194" s="13"/>
      <c r="AD194" s="260"/>
      <c r="AE194" s="269"/>
      <c r="AF194" s="269"/>
    </row>
    <row r="195" spans="1:32">
      <c r="A195" s="260">
        <v>181</v>
      </c>
      <c r="B195" s="260" t="s">
        <v>333</v>
      </c>
      <c r="C195" s="13" t="s">
        <v>1048</v>
      </c>
      <c r="D195" s="13" t="s">
        <v>1417</v>
      </c>
      <c r="E195" s="87" t="s">
        <v>1428</v>
      </c>
      <c r="F195" s="13" t="s">
        <v>1429</v>
      </c>
      <c r="G195" s="261">
        <v>375.88</v>
      </c>
      <c r="H195" s="261">
        <v>330</v>
      </c>
      <c r="I195" s="261">
        <v>1531</v>
      </c>
      <c r="J195" s="261">
        <v>791</v>
      </c>
      <c r="K195" s="261">
        <v>740</v>
      </c>
      <c r="L195" s="261">
        <v>32</v>
      </c>
      <c r="M195" s="260">
        <f t="shared" si="4"/>
        <v>2.0901371652514698</v>
      </c>
      <c r="N195" s="261">
        <v>256</v>
      </c>
      <c r="O195" s="260">
        <f t="shared" si="5"/>
        <v>16.721097322011758</v>
      </c>
      <c r="P195" s="261">
        <v>50.1</v>
      </c>
      <c r="Q195" s="261">
        <v>0</v>
      </c>
      <c r="R195" s="260"/>
      <c r="S195" s="13"/>
      <c r="T195" s="260"/>
      <c r="U195" s="13"/>
      <c r="V195" s="260"/>
      <c r="W195" s="260"/>
      <c r="X195" s="260"/>
      <c r="Y195" s="260"/>
      <c r="Z195" s="260"/>
      <c r="AA195" s="260"/>
      <c r="AB195" s="260"/>
      <c r="AC195" s="13"/>
      <c r="AD195" s="260"/>
      <c r="AE195" s="269"/>
      <c r="AF195" s="269"/>
    </row>
    <row r="196" spans="1:32">
      <c r="A196" s="260">
        <v>182</v>
      </c>
      <c r="B196" s="260" t="s">
        <v>333</v>
      </c>
      <c r="C196" s="13" t="s">
        <v>1048</v>
      </c>
      <c r="D196" s="13" t="s">
        <v>1417</v>
      </c>
      <c r="E196" s="87" t="s">
        <v>1430</v>
      </c>
      <c r="F196" s="13" t="s">
        <v>1431</v>
      </c>
      <c r="G196" s="261">
        <v>186.98</v>
      </c>
      <c r="H196" s="261">
        <v>93</v>
      </c>
      <c r="I196" s="261">
        <v>445</v>
      </c>
      <c r="J196" s="261">
        <v>241</v>
      </c>
      <c r="K196" s="261">
        <v>204</v>
      </c>
      <c r="L196" s="261">
        <v>258</v>
      </c>
      <c r="M196" s="260">
        <f t="shared" ref="M196:M227" si="6">L196/I196*100</f>
        <v>57.977528089887642</v>
      </c>
      <c r="N196" s="261">
        <v>54</v>
      </c>
      <c r="O196" s="260">
        <f t="shared" ref="O196:O227" si="7">N196/I196*100</f>
        <v>12.134831460674157</v>
      </c>
      <c r="P196" s="261">
        <v>16.64</v>
      </c>
      <c r="Q196" s="261">
        <v>0</v>
      </c>
      <c r="R196" s="260"/>
      <c r="S196" s="13"/>
      <c r="T196" s="260"/>
      <c r="U196" s="13"/>
      <c r="V196" s="260"/>
      <c r="W196" s="260"/>
      <c r="X196" s="260"/>
      <c r="Y196" s="260"/>
      <c r="Z196" s="260"/>
      <c r="AA196" s="260"/>
      <c r="AB196" s="260"/>
      <c r="AC196" s="13"/>
      <c r="AD196" s="260"/>
      <c r="AE196" s="269"/>
      <c r="AF196" s="269"/>
    </row>
    <row r="197" spans="1:32">
      <c r="A197" s="260">
        <v>183</v>
      </c>
      <c r="B197" s="260" t="s">
        <v>333</v>
      </c>
      <c r="C197" s="13" t="s">
        <v>1048</v>
      </c>
      <c r="D197" s="13" t="s">
        <v>1417</v>
      </c>
      <c r="E197" s="87" t="s">
        <v>1432</v>
      </c>
      <c r="F197" s="13" t="s">
        <v>1433</v>
      </c>
      <c r="G197" s="261">
        <v>132.12</v>
      </c>
      <c r="H197" s="261">
        <v>28</v>
      </c>
      <c r="I197" s="261">
        <v>117</v>
      </c>
      <c r="J197" s="261">
        <v>61</v>
      </c>
      <c r="K197" s="261">
        <v>56</v>
      </c>
      <c r="L197" s="261">
        <v>0</v>
      </c>
      <c r="M197" s="260">
        <f t="shared" si="6"/>
        <v>0</v>
      </c>
      <c r="N197" s="261">
        <v>60</v>
      </c>
      <c r="O197" s="260">
        <f t="shared" si="7"/>
        <v>51.282051282051277</v>
      </c>
      <c r="P197" s="261">
        <v>0.9</v>
      </c>
      <c r="Q197" s="261">
        <v>0</v>
      </c>
      <c r="R197" s="260"/>
      <c r="S197" s="13"/>
      <c r="T197" s="260"/>
      <c r="U197" s="13"/>
      <c r="V197" s="260"/>
      <c r="W197" s="260"/>
      <c r="X197" s="260"/>
      <c r="Y197" s="260"/>
      <c r="Z197" s="260"/>
      <c r="AA197" s="260"/>
      <c r="AB197" s="260"/>
      <c r="AC197" s="13"/>
      <c r="AD197" s="260"/>
      <c r="AE197" s="269"/>
      <c r="AF197" s="269"/>
    </row>
    <row r="198" spans="1:32">
      <c r="A198" s="260">
        <v>184</v>
      </c>
      <c r="B198" s="260" t="s">
        <v>333</v>
      </c>
      <c r="C198" s="13" t="s">
        <v>1048</v>
      </c>
      <c r="D198" s="13" t="s">
        <v>1434</v>
      </c>
      <c r="E198" s="87" t="s">
        <v>1435</v>
      </c>
      <c r="F198" s="13" t="s">
        <v>1436</v>
      </c>
      <c r="G198" s="261">
        <v>624</v>
      </c>
      <c r="H198" s="261">
        <v>132</v>
      </c>
      <c r="I198" s="261">
        <v>752</v>
      </c>
      <c r="J198" s="261">
        <v>363</v>
      </c>
      <c r="K198" s="261">
        <v>389</v>
      </c>
      <c r="L198" s="261">
        <v>1</v>
      </c>
      <c r="M198" s="260">
        <f t="shared" si="6"/>
        <v>0.13297872340425532</v>
      </c>
      <c r="N198" s="261">
        <v>659</v>
      </c>
      <c r="O198" s="260">
        <f t="shared" si="7"/>
        <v>87.63297872340425</v>
      </c>
      <c r="P198" s="261">
        <v>8</v>
      </c>
      <c r="Q198" s="261">
        <v>353</v>
      </c>
      <c r="R198" s="260"/>
      <c r="S198" s="13"/>
      <c r="T198" s="260"/>
      <c r="U198" s="13"/>
      <c r="V198" s="260"/>
      <c r="W198" s="260"/>
      <c r="X198" s="260"/>
      <c r="Y198" s="260"/>
      <c r="Z198" s="260"/>
      <c r="AA198" s="260"/>
      <c r="AB198" s="260"/>
      <c r="AC198" s="13"/>
      <c r="AD198" s="260"/>
      <c r="AE198" s="269"/>
      <c r="AF198" s="269"/>
    </row>
    <row r="199" spans="1:32">
      <c r="A199" s="260">
        <v>185</v>
      </c>
      <c r="B199" s="260" t="s">
        <v>333</v>
      </c>
      <c r="C199" s="13" t="s">
        <v>1048</v>
      </c>
      <c r="D199" s="13" t="s">
        <v>1434</v>
      </c>
      <c r="E199" s="87" t="s">
        <v>1293</v>
      </c>
      <c r="F199" s="13" t="s">
        <v>1437</v>
      </c>
      <c r="G199" s="261">
        <v>261</v>
      </c>
      <c r="H199" s="261">
        <v>121</v>
      </c>
      <c r="I199" s="261">
        <v>539</v>
      </c>
      <c r="J199" s="261">
        <v>288</v>
      </c>
      <c r="K199" s="261">
        <v>251</v>
      </c>
      <c r="L199" s="261">
        <v>2</v>
      </c>
      <c r="M199" s="260">
        <f t="shared" si="6"/>
        <v>0.3710575139146568</v>
      </c>
      <c r="N199" s="261">
        <v>526</v>
      </c>
      <c r="O199" s="260">
        <f t="shared" si="7"/>
        <v>97.588126159554733</v>
      </c>
      <c r="P199" s="261">
        <v>46</v>
      </c>
      <c r="Q199" s="261">
        <v>22</v>
      </c>
      <c r="R199" s="260"/>
      <c r="S199" s="13"/>
      <c r="T199" s="260"/>
      <c r="U199" s="13"/>
      <c r="V199" s="260"/>
      <c r="W199" s="260"/>
      <c r="X199" s="260"/>
      <c r="Y199" s="260"/>
      <c r="Z199" s="260"/>
      <c r="AA199" s="260"/>
      <c r="AB199" s="260"/>
      <c r="AC199" s="13">
        <v>2</v>
      </c>
      <c r="AD199" s="260"/>
      <c r="AE199" s="269"/>
      <c r="AF199" s="269"/>
    </row>
    <row r="200" spans="1:32">
      <c r="A200" s="260">
        <v>186</v>
      </c>
      <c r="B200" s="260" t="s">
        <v>333</v>
      </c>
      <c r="C200" s="13" t="s">
        <v>1048</v>
      </c>
      <c r="D200" s="13" t="s">
        <v>1434</v>
      </c>
      <c r="E200" s="87" t="s">
        <v>1438</v>
      </c>
      <c r="F200" s="13" t="s">
        <v>1439</v>
      </c>
      <c r="G200" s="261">
        <v>143</v>
      </c>
      <c r="H200" s="261">
        <v>103</v>
      </c>
      <c r="I200" s="261">
        <v>569</v>
      </c>
      <c r="J200" s="261">
        <v>303</v>
      </c>
      <c r="K200" s="261">
        <v>266</v>
      </c>
      <c r="L200" s="261">
        <v>21</v>
      </c>
      <c r="M200" s="260">
        <f t="shared" si="6"/>
        <v>3.690685413005272</v>
      </c>
      <c r="N200" s="261">
        <v>88</v>
      </c>
      <c r="O200" s="260">
        <f t="shared" si="7"/>
        <v>15.465729349736378</v>
      </c>
      <c r="P200" s="261">
        <v>0</v>
      </c>
      <c r="Q200" s="261">
        <v>0</v>
      </c>
      <c r="R200" s="260"/>
      <c r="S200" s="13"/>
      <c r="T200" s="260"/>
      <c r="U200" s="13"/>
      <c r="V200" s="260"/>
      <c r="W200" s="260"/>
      <c r="X200" s="260"/>
      <c r="Y200" s="260"/>
      <c r="Z200" s="260"/>
      <c r="AA200" s="260"/>
      <c r="AB200" s="260"/>
      <c r="AC200" s="13"/>
      <c r="AD200" s="260"/>
      <c r="AE200" s="269"/>
      <c r="AF200" s="269"/>
    </row>
    <row r="201" spans="1:32">
      <c r="A201" s="260">
        <v>187</v>
      </c>
      <c r="B201" s="260" t="s">
        <v>333</v>
      </c>
      <c r="C201" s="13" t="s">
        <v>1048</v>
      </c>
      <c r="D201" s="13" t="s">
        <v>1434</v>
      </c>
      <c r="E201" s="87" t="s">
        <v>843</v>
      </c>
      <c r="F201" s="13" t="s">
        <v>1440</v>
      </c>
      <c r="G201" s="261">
        <v>143</v>
      </c>
      <c r="H201" s="261">
        <v>66</v>
      </c>
      <c r="I201" s="261">
        <v>263</v>
      </c>
      <c r="J201" s="261">
        <v>137</v>
      </c>
      <c r="K201" s="261">
        <v>126</v>
      </c>
      <c r="L201" s="261">
        <v>1</v>
      </c>
      <c r="M201" s="260">
        <f t="shared" si="6"/>
        <v>0.38022813688212925</v>
      </c>
      <c r="N201" s="261">
        <v>238</v>
      </c>
      <c r="O201" s="260">
        <f t="shared" si="7"/>
        <v>90.49429657794677</v>
      </c>
      <c r="P201" s="261">
        <v>6</v>
      </c>
      <c r="Q201" s="261">
        <v>0</v>
      </c>
      <c r="R201" s="260"/>
      <c r="S201" s="13"/>
      <c r="T201" s="260"/>
      <c r="U201" s="13"/>
      <c r="V201" s="260"/>
      <c r="W201" s="260"/>
      <c r="X201" s="260"/>
      <c r="Y201" s="260"/>
      <c r="Z201" s="260"/>
      <c r="AA201" s="260"/>
      <c r="AB201" s="260"/>
      <c r="AC201" s="13"/>
      <c r="AD201" s="260"/>
      <c r="AE201" s="269"/>
      <c r="AF201" s="269"/>
    </row>
    <row r="202" spans="1:32">
      <c r="A202" s="260">
        <v>188</v>
      </c>
      <c r="B202" s="260" t="s">
        <v>333</v>
      </c>
      <c r="C202" s="13" t="s">
        <v>1048</v>
      </c>
      <c r="D202" s="13" t="s">
        <v>1434</v>
      </c>
      <c r="E202" s="87" t="s">
        <v>1441</v>
      </c>
      <c r="F202" s="13" t="s">
        <v>1442</v>
      </c>
      <c r="G202" s="261">
        <v>293</v>
      </c>
      <c r="H202" s="261">
        <v>93</v>
      </c>
      <c r="I202" s="261">
        <v>425</v>
      </c>
      <c r="J202" s="261">
        <v>218</v>
      </c>
      <c r="K202" s="261">
        <v>207</v>
      </c>
      <c r="L202" s="261">
        <v>6</v>
      </c>
      <c r="M202" s="260">
        <f t="shared" si="6"/>
        <v>1.411764705882353</v>
      </c>
      <c r="N202" s="261">
        <v>202</v>
      </c>
      <c r="O202" s="260">
        <f t="shared" si="7"/>
        <v>47.529411764705884</v>
      </c>
      <c r="P202" s="261">
        <v>16</v>
      </c>
      <c r="Q202" s="261">
        <v>0</v>
      </c>
      <c r="R202" s="260"/>
      <c r="S202" s="13"/>
      <c r="T202" s="260"/>
      <c r="U202" s="13"/>
      <c r="V202" s="260"/>
      <c r="W202" s="260"/>
      <c r="X202" s="260"/>
      <c r="Y202" s="260"/>
      <c r="Z202" s="260"/>
      <c r="AA202" s="260"/>
      <c r="AB202" s="260"/>
      <c r="AC202" s="13"/>
      <c r="AD202" s="260"/>
      <c r="AE202" s="269"/>
      <c r="AF202" s="269"/>
    </row>
    <row r="203" spans="1:32">
      <c r="A203" s="260">
        <v>189</v>
      </c>
      <c r="B203" s="260" t="s">
        <v>333</v>
      </c>
      <c r="C203" s="13" t="s">
        <v>1048</v>
      </c>
      <c r="D203" s="13" t="s">
        <v>1434</v>
      </c>
      <c r="E203" s="87" t="s">
        <v>1443</v>
      </c>
      <c r="F203" s="13" t="s">
        <v>1444</v>
      </c>
      <c r="G203" s="261">
        <v>240</v>
      </c>
      <c r="H203" s="261">
        <v>121</v>
      </c>
      <c r="I203" s="261">
        <v>688</v>
      </c>
      <c r="J203" s="261">
        <v>366</v>
      </c>
      <c r="K203" s="261">
        <v>322</v>
      </c>
      <c r="L203" s="261">
        <v>360</v>
      </c>
      <c r="M203" s="260">
        <f t="shared" si="6"/>
        <v>52.325581395348841</v>
      </c>
      <c r="N203" s="261">
        <v>5</v>
      </c>
      <c r="O203" s="260">
        <f t="shared" si="7"/>
        <v>0.72674418604651159</v>
      </c>
      <c r="P203" s="261">
        <v>5</v>
      </c>
      <c r="Q203" s="261">
        <v>0</v>
      </c>
      <c r="R203" s="260"/>
      <c r="S203" s="13"/>
      <c r="T203" s="260"/>
      <c r="U203" s="13"/>
      <c r="V203" s="260"/>
      <c r="W203" s="260"/>
      <c r="X203" s="260"/>
      <c r="Y203" s="260"/>
      <c r="Z203" s="260"/>
      <c r="AA203" s="260"/>
      <c r="AB203" s="260"/>
      <c r="AC203" s="13"/>
      <c r="AD203" s="260"/>
      <c r="AE203" s="269"/>
      <c r="AF203" s="269"/>
    </row>
    <row r="204" spans="1:32">
      <c r="A204" s="260">
        <v>190</v>
      </c>
      <c r="B204" s="260" t="s">
        <v>333</v>
      </c>
      <c r="C204" s="13" t="s">
        <v>1048</v>
      </c>
      <c r="D204" s="13" t="s">
        <v>1445</v>
      </c>
      <c r="E204" s="87" t="s">
        <v>1446</v>
      </c>
      <c r="F204" s="13" t="s">
        <v>1447</v>
      </c>
      <c r="G204" s="261">
        <v>156.99</v>
      </c>
      <c r="H204" s="261">
        <v>208</v>
      </c>
      <c r="I204" s="261">
        <v>1072</v>
      </c>
      <c r="J204" s="261">
        <v>565</v>
      </c>
      <c r="K204" s="261">
        <v>507</v>
      </c>
      <c r="L204" s="261">
        <v>25</v>
      </c>
      <c r="M204" s="260">
        <f t="shared" si="6"/>
        <v>2.3320895522388061</v>
      </c>
      <c r="N204" s="261">
        <v>215</v>
      </c>
      <c r="O204" s="260">
        <f t="shared" si="7"/>
        <v>20.055970149253731</v>
      </c>
      <c r="P204" s="261">
        <v>6.07</v>
      </c>
      <c r="Q204" s="261">
        <v>0</v>
      </c>
      <c r="R204" s="260"/>
      <c r="S204" s="13"/>
      <c r="T204" s="260"/>
      <c r="U204" s="13"/>
      <c r="V204" s="260"/>
      <c r="W204" s="260"/>
      <c r="X204" s="260"/>
      <c r="Y204" s="260"/>
      <c r="Z204" s="260"/>
      <c r="AA204" s="260"/>
      <c r="AB204" s="260"/>
      <c r="AC204" s="13"/>
      <c r="AD204" s="260"/>
      <c r="AE204" s="269"/>
      <c r="AF204" s="269"/>
    </row>
    <row r="205" spans="1:32">
      <c r="A205" s="260">
        <v>191</v>
      </c>
      <c r="B205" s="260" t="s">
        <v>333</v>
      </c>
      <c r="C205" s="13" t="s">
        <v>1048</v>
      </c>
      <c r="D205" s="13" t="s">
        <v>1445</v>
      </c>
      <c r="E205" s="87" t="s">
        <v>1448</v>
      </c>
      <c r="F205" s="13" t="s">
        <v>1449</v>
      </c>
      <c r="G205" s="261">
        <v>286.27999999999997</v>
      </c>
      <c r="H205" s="261">
        <v>199</v>
      </c>
      <c r="I205" s="261">
        <v>1122</v>
      </c>
      <c r="J205" s="261">
        <v>559</v>
      </c>
      <c r="K205" s="261">
        <v>563</v>
      </c>
      <c r="L205" s="261">
        <v>552</v>
      </c>
      <c r="M205" s="260">
        <f t="shared" si="6"/>
        <v>49.19786096256685</v>
      </c>
      <c r="N205" s="261">
        <v>420</v>
      </c>
      <c r="O205" s="260">
        <f t="shared" si="7"/>
        <v>37.433155080213901</v>
      </c>
      <c r="P205" s="261">
        <v>33.72</v>
      </c>
      <c r="Q205" s="261">
        <v>0</v>
      </c>
      <c r="R205" s="260"/>
      <c r="S205" s="13"/>
      <c r="T205" s="260"/>
      <c r="U205" s="13"/>
      <c r="V205" s="260"/>
      <c r="W205" s="260"/>
      <c r="X205" s="260"/>
      <c r="Y205" s="260"/>
      <c r="Z205" s="260"/>
      <c r="AA205" s="260"/>
      <c r="AB205" s="260"/>
      <c r="AC205" s="13"/>
      <c r="AD205" s="260"/>
      <c r="AE205" s="269"/>
      <c r="AF205" s="269"/>
    </row>
    <row r="206" spans="1:32">
      <c r="A206" s="260">
        <v>192</v>
      </c>
      <c r="B206" s="260" t="s">
        <v>333</v>
      </c>
      <c r="C206" s="13" t="s">
        <v>1048</v>
      </c>
      <c r="D206" s="13" t="s">
        <v>1445</v>
      </c>
      <c r="E206" s="87" t="s">
        <v>1450</v>
      </c>
      <c r="F206" s="13" t="s">
        <v>1451</v>
      </c>
      <c r="G206" s="261">
        <v>182.84</v>
      </c>
      <c r="H206" s="261">
        <v>127</v>
      </c>
      <c r="I206" s="261">
        <v>682</v>
      </c>
      <c r="J206" s="261">
        <v>362</v>
      </c>
      <c r="K206" s="261">
        <v>320</v>
      </c>
      <c r="L206" s="261">
        <v>6</v>
      </c>
      <c r="M206" s="260">
        <f t="shared" si="6"/>
        <v>0.87976539589442826</v>
      </c>
      <c r="N206" s="261">
        <v>404</v>
      </c>
      <c r="O206" s="260">
        <f t="shared" si="7"/>
        <v>59.2375366568915</v>
      </c>
      <c r="P206" s="261">
        <v>27.13</v>
      </c>
      <c r="Q206" s="261">
        <v>0</v>
      </c>
      <c r="R206" s="260"/>
      <c r="S206" s="13"/>
      <c r="T206" s="260"/>
      <c r="U206" s="13"/>
      <c r="V206" s="260"/>
      <c r="W206" s="260"/>
      <c r="X206" s="260"/>
      <c r="Y206" s="260"/>
      <c r="Z206" s="260"/>
      <c r="AA206" s="260"/>
      <c r="AB206" s="260"/>
      <c r="AC206" s="13"/>
      <c r="AD206" s="260"/>
      <c r="AE206" s="269"/>
      <c r="AF206" s="269"/>
    </row>
    <row r="207" spans="1:32">
      <c r="A207" s="260">
        <v>193</v>
      </c>
      <c r="B207" s="260" t="s">
        <v>333</v>
      </c>
      <c r="C207" s="13" t="s">
        <v>1048</v>
      </c>
      <c r="D207" s="13" t="s">
        <v>1452</v>
      </c>
      <c r="E207" s="87" t="s">
        <v>1453</v>
      </c>
      <c r="F207" s="13" t="s">
        <v>1454</v>
      </c>
      <c r="G207" s="261">
        <v>1234</v>
      </c>
      <c r="H207" s="261">
        <v>191</v>
      </c>
      <c r="I207" s="261">
        <v>1036</v>
      </c>
      <c r="J207" s="261">
        <v>546</v>
      </c>
      <c r="K207" s="261">
        <v>490</v>
      </c>
      <c r="L207" s="261">
        <v>65</v>
      </c>
      <c r="M207" s="260">
        <f t="shared" si="6"/>
        <v>6.2741312741312738</v>
      </c>
      <c r="N207" s="261">
        <v>410</v>
      </c>
      <c r="O207" s="260">
        <f t="shared" si="7"/>
        <v>39.575289575289574</v>
      </c>
      <c r="P207" s="261">
        <v>31</v>
      </c>
      <c r="Q207" s="261">
        <v>963</v>
      </c>
      <c r="R207" s="260"/>
      <c r="S207" s="13"/>
      <c r="T207" s="260"/>
      <c r="U207" s="13"/>
      <c r="V207" s="260"/>
      <c r="W207" s="260"/>
      <c r="X207" s="260"/>
      <c r="Y207" s="260"/>
      <c r="Z207" s="260"/>
      <c r="AA207" s="260"/>
      <c r="AB207" s="260"/>
      <c r="AC207" s="13">
        <v>9</v>
      </c>
      <c r="AD207" s="260"/>
      <c r="AE207" s="269"/>
      <c r="AF207" s="269"/>
    </row>
    <row r="208" spans="1:32">
      <c r="A208" s="260">
        <v>194</v>
      </c>
      <c r="B208" s="260" t="s">
        <v>333</v>
      </c>
      <c r="C208" s="13" t="s">
        <v>1048</v>
      </c>
      <c r="D208" s="13" t="s">
        <v>1452</v>
      </c>
      <c r="E208" s="87" t="s">
        <v>1242</v>
      </c>
      <c r="F208" s="13" t="s">
        <v>1455</v>
      </c>
      <c r="G208" s="261">
        <v>981</v>
      </c>
      <c r="H208" s="261">
        <v>61</v>
      </c>
      <c r="I208" s="261">
        <v>319</v>
      </c>
      <c r="J208" s="261">
        <v>166</v>
      </c>
      <c r="K208" s="261">
        <v>153</v>
      </c>
      <c r="L208" s="261">
        <v>25</v>
      </c>
      <c r="M208" s="260">
        <f t="shared" si="6"/>
        <v>7.8369905956112857</v>
      </c>
      <c r="N208" s="261">
        <v>33</v>
      </c>
      <c r="O208" s="260">
        <f t="shared" si="7"/>
        <v>10.344827586206897</v>
      </c>
      <c r="P208" s="261">
        <v>0</v>
      </c>
      <c r="Q208" s="261">
        <v>923</v>
      </c>
      <c r="R208" s="260"/>
      <c r="S208" s="13"/>
      <c r="T208" s="260"/>
      <c r="U208" s="13"/>
      <c r="V208" s="260"/>
      <c r="W208" s="260"/>
      <c r="X208" s="260"/>
      <c r="Y208" s="260"/>
      <c r="Z208" s="260"/>
      <c r="AA208" s="260"/>
      <c r="AB208" s="260"/>
      <c r="AC208" s="13">
        <v>15</v>
      </c>
      <c r="AD208" s="260"/>
      <c r="AE208" s="269"/>
      <c r="AF208" s="269"/>
    </row>
    <row r="209" spans="1:32">
      <c r="A209" s="260">
        <v>195</v>
      </c>
      <c r="B209" s="260" t="s">
        <v>333</v>
      </c>
      <c r="C209" s="13" t="s">
        <v>1048</v>
      </c>
      <c r="D209" s="13" t="s">
        <v>1452</v>
      </c>
      <c r="E209" s="87" t="s">
        <v>680</v>
      </c>
      <c r="F209" s="13" t="s">
        <v>1456</v>
      </c>
      <c r="G209" s="261">
        <v>720</v>
      </c>
      <c r="H209" s="261">
        <v>43</v>
      </c>
      <c r="I209" s="261">
        <v>203</v>
      </c>
      <c r="J209" s="261">
        <v>113</v>
      </c>
      <c r="K209" s="261">
        <v>90</v>
      </c>
      <c r="L209" s="261">
        <v>0</v>
      </c>
      <c r="M209" s="260">
        <f t="shared" si="6"/>
        <v>0</v>
      </c>
      <c r="N209" s="261">
        <v>0</v>
      </c>
      <c r="O209" s="260">
        <f t="shared" si="7"/>
        <v>0</v>
      </c>
      <c r="P209" s="261">
        <v>10</v>
      </c>
      <c r="Q209" s="261">
        <v>640</v>
      </c>
      <c r="R209" s="260"/>
      <c r="S209" s="13"/>
      <c r="T209" s="260"/>
      <c r="U209" s="13"/>
      <c r="V209" s="260"/>
      <c r="W209" s="260"/>
      <c r="X209" s="260"/>
      <c r="Y209" s="260"/>
      <c r="Z209" s="260"/>
      <c r="AA209" s="260"/>
      <c r="AB209" s="260"/>
      <c r="AC209" s="13">
        <v>10</v>
      </c>
      <c r="AD209" s="260"/>
      <c r="AE209" s="269"/>
      <c r="AF209" s="269"/>
    </row>
    <row r="210" spans="1:32">
      <c r="A210" s="260">
        <v>196</v>
      </c>
      <c r="B210" s="260" t="s">
        <v>333</v>
      </c>
      <c r="C210" s="13" t="s">
        <v>1048</v>
      </c>
      <c r="D210" s="13" t="s">
        <v>1452</v>
      </c>
      <c r="E210" s="87" t="s">
        <v>1457</v>
      </c>
      <c r="F210" s="13" t="s">
        <v>1458</v>
      </c>
      <c r="G210" s="261">
        <v>803</v>
      </c>
      <c r="H210" s="261">
        <v>247</v>
      </c>
      <c r="I210" s="261">
        <v>1275</v>
      </c>
      <c r="J210" s="261">
        <v>677</v>
      </c>
      <c r="K210" s="261">
        <v>598</v>
      </c>
      <c r="L210" s="261">
        <v>30</v>
      </c>
      <c r="M210" s="260">
        <f t="shared" si="6"/>
        <v>2.3529411764705883</v>
      </c>
      <c r="N210" s="261">
        <v>295</v>
      </c>
      <c r="O210" s="260">
        <f t="shared" si="7"/>
        <v>23.137254901960784</v>
      </c>
      <c r="P210" s="261">
        <v>1</v>
      </c>
      <c r="Q210" s="261">
        <v>693</v>
      </c>
      <c r="R210" s="260"/>
      <c r="S210" s="13"/>
      <c r="T210" s="260"/>
      <c r="U210" s="13"/>
      <c r="V210" s="260"/>
      <c r="W210" s="260"/>
      <c r="X210" s="260"/>
      <c r="Y210" s="260"/>
      <c r="Z210" s="260"/>
      <c r="AA210" s="260"/>
      <c r="AB210" s="260"/>
      <c r="AC210" s="13"/>
      <c r="AD210" s="260"/>
      <c r="AE210" s="269"/>
      <c r="AF210" s="269"/>
    </row>
    <row r="211" spans="1:32">
      <c r="A211" s="260">
        <v>197</v>
      </c>
      <c r="B211" s="260" t="s">
        <v>333</v>
      </c>
      <c r="C211" s="13" t="s">
        <v>1048</v>
      </c>
      <c r="D211" s="13" t="s">
        <v>1452</v>
      </c>
      <c r="E211" s="87" t="s">
        <v>1459</v>
      </c>
      <c r="F211" s="13" t="s">
        <v>1460</v>
      </c>
      <c r="G211" s="261">
        <v>1121</v>
      </c>
      <c r="H211" s="261">
        <v>93</v>
      </c>
      <c r="I211" s="261">
        <v>443</v>
      </c>
      <c r="J211" s="261">
        <v>234</v>
      </c>
      <c r="K211" s="261">
        <v>209</v>
      </c>
      <c r="L211" s="261">
        <v>8</v>
      </c>
      <c r="M211" s="260">
        <f t="shared" si="6"/>
        <v>1.8058690744920991</v>
      </c>
      <c r="N211" s="261">
        <v>36</v>
      </c>
      <c r="O211" s="260">
        <f t="shared" si="7"/>
        <v>8.1264108352144468</v>
      </c>
      <c r="P211" s="261">
        <v>20</v>
      </c>
      <c r="Q211" s="261">
        <v>887</v>
      </c>
      <c r="R211" s="260"/>
      <c r="S211" s="13"/>
      <c r="T211" s="260"/>
      <c r="U211" s="13"/>
      <c r="V211" s="260"/>
      <c r="W211" s="260"/>
      <c r="X211" s="260"/>
      <c r="Y211" s="260"/>
      <c r="Z211" s="260"/>
      <c r="AA211" s="260"/>
      <c r="AB211" s="260"/>
      <c r="AC211" s="13"/>
      <c r="AD211" s="260"/>
      <c r="AE211" s="269"/>
      <c r="AF211" s="269"/>
    </row>
    <row r="212" spans="1:32">
      <c r="A212" s="260">
        <v>198</v>
      </c>
      <c r="B212" s="260" t="s">
        <v>333</v>
      </c>
      <c r="C212" s="13" t="s">
        <v>1048</v>
      </c>
      <c r="D212" s="13" t="s">
        <v>1452</v>
      </c>
      <c r="E212" s="87" t="s">
        <v>1461</v>
      </c>
      <c r="F212" s="13" t="s">
        <v>1462</v>
      </c>
      <c r="G212" s="261">
        <v>895</v>
      </c>
      <c r="H212" s="261">
        <v>0</v>
      </c>
      <c r="I212" s="261">
        <v>0</v>
      </c>
      <c r="J212" s="261">
        <v>0</v>
      </c>
      <c r="K212" s="261">
        <v>0</v>
      </c>
      <c r="L212" s="261">
        <v>0</v>
      </c>
      <c r="M212" s="260" t="e">
        <f t="shared" si="6"/>
        <v>#DIV/0!</v>
      </c>
      <c r="N212" s="261">
        <v>0</v>
      </c>
      <c r="O212" s="260" t="e">
        <f t="shared" si="7"/>
        <v>#DIV/0!</v>
      </c>
      <c r="P212" s="261">
        <v>0</v>
      </c>
      <c r="Q212" s="261">
        <v>894</v>
      </c>
      <c r="R212" s="260"/>
      <c r="S212" s="13"/>
      <c r="T212" s="260"/>
      <c r="U212" s="13"/>
      <c r="V212" s="260"/>
      <c r="W212" s="260"/>
      <c r="X212" s="260"/>
      <c r="Y212" s="260"/>
      <c r="Z212" s="260"/>
      <c r="AA212" s="260"/>
      <c r="AB212" s="260"/>
      <c r="AC212" s="13"/>
      <c r="AD212" s="260"/>
      <c r="AE212" s="269"/>
      <c r="AF212" s="269"/>
    </row>
    <row r="213" spans="1:32">
      <c r="A213" s="260">
        <v>199</v>
      </c>
      <c r="B213" s="260" t="s">
        <v>333</v>
      </c>
      <c r="C213" s="13" t="s">
        <v>1048</v>
      </c>
      <c r="D213" s="13" t="s">
        <v>1452</v>
      </c>
      <c r="E213" s="87" t="s">
        <v>1116</v>
      </c>
      <c r="F213" s="13" t="s">
        <v>1463</v>
      </c>
      <c r="G213" s="261">
        <v>1657</v>
      </c>
      <c r="H213" s="261">
        <v>23</v>
      </c>
      <c r="I213" s="261">
        <v>118</v>
      </c>
      <c r="J213" s="261">
        <v>67</v>
      </c>
      <c r="K213" s="261">
        <v>51</v>
      </c>
      <c r="L213" s="261">
        <v>0</v>
      </c>
      <c r="M213" s="260">
        <f t="shared" si="6"/>
        <v>0</v>
      </c>
      <c r="N213" s="261">
        <v>14</v>
      </c>
      <c r="O213" s="260">
        <f t="shared" si="7"/>
        <v>11.864406779661017</v>
      </c>
      <c r="P213" s="261">
        <v>15</v>
      </c>
      <c r="Q213" s="261">
        <v>1550</v>
      </c>
      <c r="R213" s="260"/>
      <c r="S213" s="13"/>
      <c r="T213" s="260"/>
      <c r="U213" s="13"/>
      <c r="V213" s="260"/>
      <c r="W213" s="260"/>
      <c r="X213" s="260"/>
      <c r="Y213" s="260"/>
      <c r="Z213" s="260"/>
      <c r="AA213" s="260"/>
      <c r="AB213" s="260"/>
      <c r="AC213" s="13">
        <v>7</v>
      </c>
      <c r="AD213" s="260"/>
      <c r="AE213" s="269"/>
      <c r="AF213" s="269"/>
    </row>
    <row r="214" spans="1:32" ht="15.75">
      <c r="A214" s="260">
        <v>200</v>
      </c>
      <c r="B214" s="260" t="s">
        <v>333</v>
      </c>
      <c r="C214" s="13" t="s">
        <v>1048</v>
      </c>
      <c r="D214" s="13" t="s">
        <v>1464</v>
      </c>
      <c r="E214" s="87" t="s">
        <v>1465</v>
      </c>
      <c r="F214" s="13" t="s">
        <v>1466</v>
      </c>
      <c r="G214" s="261">
        <v>727.46</v>
      </c>
      <c r="H214" s="261">
        <v>209</v>
      </c>
      <c r="I214" s="261">
        <v>1035</v>
      </c>
      <c r="J214" s="261">
        <v>536</v>
      </c>
      <c r="K214" s="261">
        <v>499</v>
      </c>
      <c r="L214" s="261">
        <v>155</v>
      </c>
      <c r="M214" s="260">
        <f t="shared" si="6"/>
        <v>14.975845410628018</v>
      </c>
      <c r="N214" s="261">
        <v>650</v>
      </c>
      <c r="O214" s="260">
        <f t="shared" si="7"/>
        <v>62.80193236714976</v>
      </c>
      <c r="P214" s="270">
        <v>69.38</v>
      </c>
      <c r="Q214" s="261">
        <v>253.43</v>
      </c>
      <c r="R214" s="260" t="s">
        <v>37</v>
      </c>
      <c r="S214" s="77">
        <v>45332</v>
      </c>
      <c r="T214" s="260"/>
      <c r="U214" s="78"/>
      <c r="V214" s="260"/>
      <c r="W214" s="260"/>
      <c r="X214" s="260"/>
      <c r="Y214" s="260"/>
      <c r="Z214" s="260"/>
      <c r="AA214" s="260"/>
      <c r="AB214" s="260" t="s">
        <v>39</v>
      </c>
      <c r="AC214" s="78">
        <v>23</v>
      </c>
      <c r="AD214" s="260" t="s">
        <v>1052</v>
      </c>
      <c r="AE214" s="269">
        <v>25.186499999999999</v>
      </c>
      <c r="AF214" s="269">
        <v>76.772000000000006</v>
      </c>
    </row>
    <row r="215" spans="1:32" ht="15.75">
      <c r="A215" s="260">
        <v>201</v>
      </c>
      <c r="B215" s="260" t="s">
        <v>333</v>
      </c>
      <c r="C215" s="13" t="s">
        <v>1048</v>
      </c>
      <c r="D215" s="13" t="s">
        <v>1464</v>
      </c>
      <c r="E215" s="87" t="s">
        <v>87</v>
      </c>
      <c r="F215" s="13" t="s">
        <v>1467</v>
      </c>
      <c r="G215" s="261">
        <v>530.83000000000004</v>
      </c>
      <c r="H215" s="261">
        <v>114</v>
      </c>
      <c r="I215" s="261">
        <v>638</v>
      </c>
      <c r="J215" s="261">
        <v>312</v>
      </c>
      <c r="K215" s="261">
        <v>326</v>
      </c>
      <c r="L215" s="261">
        <v>16</v>
      </c>
      <c r="M215" s="260">
        <f t="shared" si="6"/>
        <v>2.507836990595611</v>
      </c>
      <c r="N215" s="261">
        <v>443</v>
      </c>
      <c r="O215" s="260">
        <f t="shared" si="7"/>
        <v>69.435736677115983</v>
      </c>
      <c r="P215" s="261">
        <v>25.48</v>
      </c>
      <c r="Q215" s="261">
        <v>230.11</v>
      </c>
      <c r="R215" s="260" t="s">
        <v>37</v>
      </c>
      <c r="S215" s="77">
        <v>45332</v>
      </c>
      <c r="T215" s="260"/>
      <c r="U215" s="78"/>
      <c r="V215" s="260"/>
      <c r="W215" s="260"/>
      <c r="X215" s="260"/>
      <c r="Y215" s="260"/>
      <c r="Z215" s="260"/>
      <c r="AA215" s="260"/>
      <c r="AB215" s="260" t="s">
        <v>39</v>
      </c>
      <c r="AC215" s="78">
        <v>5</v>
      </c>
      <c r="AD215" s="260" t="s">
        <v>1052</v>
      </c>
      <c r="AE215" s="269">
        <v>25.1386</v>
      </c>
      <c r="AF215" s="269">
        <v>76.621399999999994</v>
      </c>
    </row>
    <row r="216" spans="1:32" ht="15.75">
      <c r="A216" s="260">
        <v>202</v>
      </c>
      <c r="B216" s="260" t="s">
        <v>333</v>
      </c>
      <c r="C216" s="13" t="s">
        <v>1048</v>
      </c>
      <c r="D216" s="13" t="s">
        <v>1464</v>
      </c>
      <c r="E216" s="87" t="s">
        <v>1468</v>
      </c>
      <c r="F216" s="13" t="s">
        <v>1469</v>
      </c>
      <c r="G216" s="261">
        <v>659.59</v>
      </c>
      <c r="H216" s="261">
        <v>142</v>
      </c>
      <c r="I216" s="261">
        <v>632</v>
      </c>
      <c r="J216" s="261">
        <v>338</v>
      </c>
      <c r="K216" s="261">
        <v>294</v>
      </c>
      <c r="L216" s="261">
        <v>0</v>
      </c>
      <c r="M216" s="260">
        <f t="shared" si="6"/>
        <v>0</v>
      </c>
      <c r="N216" s="261">
        <v>395</v>
      </c>
      <c r="O216" s="260">
        <f t="shared" si="7"/>
        <v>62.5</v>
      </c>
      <c r="P216" s="261">
        <v>33.68</v>
      </c>
      <c r="Q216" s="261">
        <v>308.01</v>
      </c>
      <c r="R216" s="260" t="s">
        <v>37</v>
      </c>
      <c r="S216" s="78" t="s">
        <v>1097</v>
      </c>
      <c r="T216" s="260"/>
      <c r="U216" s="78"/>
      <c r="V216" s="260"/>
      <c r="W216" s="260"/>
      <c r="X216" s="260"/>
      <c r="Y216" s="260"/>
      <c r="Z216" s="260"/>
      <c r="AA216" s="260"/>
      <c r="AB216" s="260"/>
      <c r="AC216" s="78"/>
      <c r="AD216" s="260"/>
      <c r="AE216" s="269"/>
      <c r="AF216" s="269"/>
    </row>
    <row r="217" spans="1:32">
      <c r="A217" s="260">
        <v>203</v>
      </c>
      <c r="B217" s="260" t="s">
        <v>333</v>
      </c>
      <c r="C217" s="13" t="s">
        <v>1048</v>
      </c>
      <c r="D217" s="13" t="s">
        <v>1464</v>
      </c>
      <c r="E217" s="87" t="s">
        <v>1470</v>
      </c>
      <c r="F217" s="13" t="s">
        <v>1471</v>
      </c>
      <c r="G217" s="261">
        <v>429.94</v>
      </c>
      <c r="H217" s="261">
        <v>35</v>
      </c>
      <c r="I217" s="261">
        <v>208</v>
      </c>
      <c r="J217" s="261">
        <v>110</v>
      </c>
      <c r="K217" s="261">
        <v>98</v>
      </c>
      <c r="L217" s="261">
        <v>5</v>
      </c>
      <c r="M217" s="260">
        <f t="shared" si="6"/>
        <v>2.4038461538461542</v>
      </c>
      <c r="N217" s="261">
        <v>0</v>
      </c>
      <c r="O217" s="260">
        <f t="shared" si="7"/>
        <v>0</v>
      </c>
      <c r="P217" s="261">
        <v>23.47</v>
      </c>
      <c r="Q217" s="261">
        <v>243.69</v>
      </c>
      <c r="R217" s="260"/>
      <c r="S217" s="13"/>
      <c r="T217" s="260"/>
      <c r="U217" s="13"/>
      <c r="V217" s="260"/>
      <c r="W217" s="260"/>
      <c r="X217" s="260"/>
      <c r="Y217" s="260"/>
      <c r="Z217" s="260"/>
      <c r="AA217" s="260"/>
      <c r="AB217" s="260"/>
      <c r="AC217" s="13"/>
      <c r="AD217" s="260"/>
      <c r="AE217" s="269"/>
      <c r="AF217" s="269"/>
    </row>
    <row r="218" spans="1:32" ht="15.75">
      <c r="A218" s="260">
        <v>204</v>
      </c>
      <c r="B218" s="260" t="s">
        <v>333</v>
      </c>
      <c r="C218" s="13" t="s">
        <v>1048</v>
      </c>
      <c r="D218" s="13" t="s">
        <v>1464</v>
      </c>
      <c r="E218" s="87" t="s">
        <v>1472</v>
      </c>
      <c r="F218" s="13" t="s">
        <v>1473</v>
      </c>
      <c r="G218" s="261">
        <v>577</v>
      </c>
      <c r="H218" s="261">
        <v>0</v>
      </c>
      <c r="I218" s="261">
        <v>0</v>
      </c>
      <c r="J218" s="261">
        <v>0</v>
      </c>
      <c r="K218" s="261">
        <v>0</v>
      </c>
      <c r="L218" s="261">
        <v>0</v>
      </c>
      <c r="M218" s="260" t="e">
        <f t="shared" si="6"/>
        <v>#DIV/0!</v>
      </c>
      <c r="N218" s="261">
        <v>0</v>
      </c>
      <c r="O218" s="260" t="e">
        <f t="shared" si="7"/>
        <v>#DIV/0!</v>
      </c>
      <c r="P218" s="261">
        <v>0</v>
      </c>
      <c r="Q218" s="261">
        <v>538</v>
      </c>
      <c r="R218" s="260" t="s">
        <v>37</v>
      </c>
      <c r="S218" s="78" t="s">
        <v>1097</v>
      </c>
      <c r="T218" s="260"/>
      <c r="U218" s="78"/>
      <c r="V218" s="260"/>
      <c r="W218" s="260"/>
      <c r="X218" s="260"/>
      <c r="Y218" s="260"/>
      <c r="Z218" s="260"/>
      <c r="AA218" s="260"/>
      <c r="AB218" s="260"/>
      <c r="AC218" s="78"/>
      <c r="AD218" s="260"/>
      <c r="AE218" s="269"/>
      <c r="AF218" s="269"/>
    </row>
    <row r="219" spans="1:32" ht="15.75">
      <c r="A219" s="260">
        <v>205</v>
      </c>
      <c r="B219" s="260" t="s">
        <v>333</v>
      </c>
      <c r="C219" s="13" t="s">
        <v>1048</v>
      </c>
      <c r="D219" s="13" t="s">
        <v>1464</v>
      </c>
      <c r="E219" s="87" t="s">
        <v>1333</v>
      </c>
      <c r="F219" s="13" t="s">
        <v>1474</v>
      </c>
      <c r="G219" s="261">
        <v>1913</v>
      </c>
      <c r="H219" s="261">
        <v>96</v>
      </c>
      <c r="I219" s="261">
        <v>468</v>
      </c>
      <c r="J219" s="261">
        <v>231</v>
      </c>
      <c r="K219" s="261">
        <v>237</v>
      </c>
      <c r="L219" s="261">
        <v>0</v>
      </c>
      <c r="M219" s="260">
        <f t="shared" si="6"/>
        <v>0</v>
      </c>
      <c r="N219" s="261">
        <v>107</v>
      </c>
      <c r="O219" s="260">
        <f t="shared" si="7"/>
        <v>22.863247863247864</v>
      </c>
      <c r="P219" s="261">
        <v>78</v>
      </c>
      <c r="Q219" s="261">
        <v>1618</v>
      </c>
      <c r="R219" s="260" t="s">
        <v>37</v>
      </c>
      <c r="S219" s="78" t="s">
        <v>1097</v>
      </c>
      <c r="T219" s="260"/>
      <c r="U219" s="78">
        <v>24.4</v>
      </c>
      <c r="V219" s="260"/>
      <c r="W219" s="260"/>
      <c r="X219" s="260"/>
      <c r="Y219" s="260"/>
      <c r="Z219" s="260"/>
      <c r="AA219" s="260"/>
      <c r="AB219" s="260"/>
      <c r="AC219" s="78">
        <v>12</v>
      </c>
      <c r="AD219" s="260"/>
      <c r="AE219" s="269"/>
      <c r="AF219" s="269"/>
    </row>
    <row r="220" spans="1:32">
      <c r="A220" s="260">
        <v>206</v>
      </c>
      <c r="B220" s="260" t="s">
        <v>333</v>
      </c>
      <c r="C220" s="13" t="s">
        <v>1048</v>
      </c>
      <c r="D220" s="13" t="s">
        <v>1464</v>
      </c>
      <c r="E220" s="87" t="s">
        <v>1475</v>
      </c>
      <c r="F220" s="13" t="s">
        <v>1476</v>
      </c>
      <c r="G220" s="261">
        <v>208.38</v>
      </c>
      <c r="H220" s="261">
        <v>21</v>
      </c>
      <c r="I220" s="261">
        <v>106</v>
      </c>
      <c r="J220" s="261">
        <v>62</v>
      </c>
      <c r="K220" s="261">
        <v>44</v>
      </c>
      <c r="L220" s="261">
        <v>0</v>
      </c>
      <c r="M220" s="260">
        <f t="shared" si="6"/>
        <v>0</v>
      </c>
      <c r="N220" s="261">
        <v>0</v>
      </c>
      <c r="O220" s="260">
        <f t="shared" si="7"/>
        <v>0</v>
      </c>
      <c r="P220" s="261">
        <v>16.96</v>
      </c>
      <c r="Q220" s="261">
        <v>103.87</v>
      </c>
      <c r="R220" s="260"/>
      <c r="S220" s="13"/>
      <c r="T220" s="260"/>
      <c r="U220" s="13"/>
      <c r="V220" s="260"/>
      <c r="W220" s="260"/>
      <c r="X220" s="260"/>
      <c r="Y220" s="260"/>
      <c r="Z220" s="260"/>
      <c r="AA220" s="260"/>
      <c r="AB220" s="260"/>
      <c r="AC220" s="13"/>
      <c r="AD220" s="260"/>
      <c r="AE220" s="269"/>
      <c r="AF220" s="269"/>
    </row>
    <row r="221" spans="1:32">
      <c r="A221" s="260">
        <v>207</v>
      </c>
      <c r="B221" s="260" t="s">
        <v>333</v>
      </c>
      <c r="C221" s="13" t="s">
        <v>1048</v>
      </c>
      <c r="D221" s="13" t="s">
        <v>1464</v>
      </c>
      <c r="E221" s="87" t="s">
        <v>1477</v>
      </c>
      <c r="F221" s="13" t="s">
        <v>1478</v>
      </c>
      <c r="G221" s="261">
        <v>127.79</v>
      </c>
      <c r="H221" s="261">
        <v>19</v>
      </c>
      <c r="I221" s="261">
        <v>96</v>
      </c>
      <c r="J221" s="261">
        <v>49</v>
      </c>
      <c r="K221" s="261">
        <v>47</v>
      </c>
      <c r="L221" s="261">
        <v>12</v>
      </c>
      <c r="M221" s="260">
        <f t="shared" si="6"/>
        <v>12.5</v>
      </c>
      <c r="N221" s="261">
        <v>43</v>
      </c>
      <c r="O221" s="260">
        <f t="shared" si="7"/>
        <v>44.791666666666671</v>
      </c>
      <c r="P221" s="261">
        <v>0</v>
      </c>
      <c r="Q221" s="261">
        <v>70.13</v>
      </c>
      <c r="R221" s="260"/>
      <c r="S221" s="13"/>
      <c r="T221" s="260"/>
      <c r="U221" s="13"/>
      <c r="V221" s="260"/>
      <c r="W221" s="260"/>
      <c r="X221" s="260"/>
      <c r="Y221" s="260"/>
      <c r="Z221" s="260"/>
      <c r="AA221" s="260"/>
      <c r="AB221" s="260"/>
      <c r="AC221" s="13"/>
      <c r="AD221" s="260"/>
      <c r="AE221" s="269"/>
      <c r="AF221" s="269"/>
    </row>
    <row r="222" spans="1:32" ht="15.75">
      <c r="A222" s="260">
        <v>208</v>
      </c>
      <c r="B222" s="260" t="s">
        <v>333</v>
      </c>
      <c r="C222" s="13" t="s">
        <v>1048</v>
      </c>
      <c r="D222" s="13" t="s">
        <v>1464</v>
      </c>
      <c r="E222" s="87" t="s">
        <v>915</v>
      </c>
      <c r="F222" s="13" t="s">
        <v>1479</v>
      </c>
      <c r="G222" s="261">
        <v>315.7</v>
      </c>
      <c r="H222" s="261">
        <v>83</v>
      </c>
      <c r="I222" s="261">
        <v>418</v>
      </c>
      <c r="J222" s="261">
        <v>210</v>
      </c>
      <c r="K222" s="261">
        <v>208</v>
      </c>
      <c r="L222" s="261">
        <v>0</v>
      </c>
      <c r="M222" s="260">
        <f t="shared" si="6"/>
        <v>0</v>
      </c>
      <c r="N222" s="261">
        <v>412</v>
      </c>
      <c r="O222" s="260">
        <f t="shared" si="7"/>
        <v>98.564593301435409</v>
      </c>
      <c r="P222" s="261">
        <v>28.92</v>
      </c>
      <c r="Q222" s="261">
        <v>149.54</v>
      </c>
      <c r="R222" s="260" t="s">
        <v>37</v>
      </c>
      <c r="S222" s="77">
        <v>45332</v>
      </c>
      <c r="T222" s="260"/>
      <c r="U222" s="78"/>
      <c r="V222" s="260"/>
      <c r="W222" s="260"/>
      <c r="X222" s="260"/>
      <c r="Y222" s="260"/>
      <c r="Z222" s="260"/>
      <c r="AA222" s="260"/>
      <c r="AB222" s="260" t="s">
        <v>39</v>
      </c>
      <c r="AC222" s="78">
        <v>2</v>
      </c>
      <c r="AD222" s="260" t="s">
        <v>1052</v>
      </c>
      <c r="AE222" s="269">
        <v>25.2605</v>
      </c>
      <c r="AF222" s="269">
        <v>76.668999999999997</v>
      </c>
    </row>
    <row r="223" spans="1:32" ht="15.75">
      <c r="A223" s="260">
        <v>209</v>
      </c>
      <c r="B223" s="260" t="s">
        <v>333</v>
      </c>
      <c r="C223" s="13" t="s">
        <v>1048</v>
      </c>
      <c r="D223" s="13" t="s">
        <v>1464</v>
      </c>
      <c r="E223" s="87" t="s">
        <v>1480</v>
      </c>
      <c r="F223" s="13" t="s">
        <v>1481</v>
      </c>
      <c r="G223" s="261">
        <v>891.19</v>
      </c>
      <c r="H223" s="261">
        <v>160</v>
      </c>
      <c r="I223" s="261">
        <v>773</v>
      </c>
      <c r="J223" s="261">
        <v>390</v>
      </c>
      <c r="K223" s="261">
        <v>383</v>
      </c>
      <c r="L223" s="261">
        <v>31</v>
      </c>
      <c r="M223" s="260">
        <f t="shared" si="6"/>
        <v>4.0103492884864167</v>
      </c>
      <c r="N223" s="261">
        <v>492</v>
      </c>
      <c r="O223" s="260">
        <f t="shared" si="7"/>
        <v>63.648124191461839</v>
      </c>
      <c r="P223" s="270">
        <v>98.8</v>
      </c>
      <c r="Q223" s="261">
        <v>474.87</v>
      </c>
      <c r="R223" s="260" t="s">
        <v>37</v>
      </c>
      <c r="S223" s="77">
        <v>45332</v>
      </c>
      <c r="T223" s="260"/>
      <c r="U223" s="78">
        <v>98.8</v>
      </c>
      <c r="V223" s="260"/>
      <c r="W223" s="260"/>
      <c r="X223" s="260"/>
      <c r="Y223" s="260"/>
      <c r="Z223" s="260"/>
      <c r="AA223" s="260"/>
      <c r="AB223" s="260" t="s">
        <v>39</v>
      </c>
      <c r="AC223" s="78">
        <v>4</v>
      </c>
      <c r="AD223" s="260" t="s">
        <v>1052</v>
      </c>
      <c r="AE223" s="269">
        <v>25.332999999999998</v>
      </c>
      <c r="AF223" s="269">
        <v>76.682199999999995</v>
      </c>
    </row>
    <row r="224" spans="1:32" ht="15.75">
      <c r="A224" s="260">
        <v>210</v>
      </c>
      <c r="B224" s="260" t="s">
        <v>333</v>
      </c>
      <c r="C224" s="13" t="s">
        <v>1048</v>
      </c>
      <c r="D224" s="13" t="s">
        <v>1464</v>
      </c>
      <c r="E224" s="87" t="s">
        <v>602</v>
      </c>
      <c r="F224" s="13" t="s">
        <v>1482</v>
      </c>
      <c r="G224" s="261">
        <v>143.03</v>
      </c>
      <c r="H224" s="261">
        <v>47</v>
      </c>
      <c r="I224" s="261">
        <v>243</v>
      </c>
      <c r="J224" s="261">
        <v>124</v>
      </c>
      <c r="K224" s="261">
        <v>119</v>
      </c>
      <c r="L224" s="261">
        <v>136</v>
      </c>
      <c r="M224" s="260">
        <f t="shared" si="6"/>
        <v>55.967078189300409</v>
      </c>
      <c r="N224" s="261">
        <v>107</v>
      </c>
      <c r="O224" s="260">
        <f t="shared" si="7"/>
        <v>44.032921810699591</v>
      </c>
      <c r="P224" s="261">
        <v>4.55</v>
      </c>
      <c r="Q224" s="261">
        <v>0</v>
      </c>
      <c r="R224" s="260" t="s">
        <v>37</v>
      </c>
      <c r="S224" s="78" t="s">
        <v>1097</v>
      </c>
      <c r="T224" s="260"/>
      <c r="U224" s="78">
        <v>4.55</v>
      </c>
      <c r="V224" s="260"/>
      <c r="W224" s="260"/>
      <c r="X224" s="260"/>
      <c r="Y224" s="260"/>
      <c r="Z224" s="260"/>
      <c r="AA224" s="260"/>
      <c r="AB224" s="260"/>
      <c r="AC224" s="78"/>
      <c r="AD224" s="260"/>
      <c r="AE224" s="269"/>
      <c r="AF224" s="269"/>
    </row>
    <row r="225" spans="1:32" ht="15.75">
      <c r="A225" s="260">
        <v>211</v>
      </c>
      <c r="B225" s="260" t="s">
        <v>333</v>
      </c>
      <c r="C225" s="13" t="s">
        <v>1048</v>
      </c>
      <c r="D225" s="13" t="s">
        <v>1464</v>
      </c>
      <c r="E225" s="87" t="s">
        <v>1483</v>
      </c>
      <c r="F225" s="13" t="s">
        <v>1484</v>
      </c>
      <c r="G225" s="261">
        <v>2475.0700000000002</v>
      </c>
      <c r="H225" s="261">
        <v>62</v>
      </c>
      <c r="I225" s="261">
        <v>335</v>
      </c>
      <c r="J225" s="261">
        <v>187</v>
      </c>
      <c r="K225" s="261">
        <v>148</v>
      </c>
      <c r="L225" s="261">
        <v>8</v>
      </c>
      <c r="M225" s="260">
        <f t="shared" si="6"/>
        <v>2.3880597014925375</v>
      </c>
      <c r="N225" s="261">
        <v>261</v>
      </c>
      <c r="O225" s="260">
        <f t="shared" si="7"/>
        <v>77.910447761194035</v>
      </c>
      <c r="P225" s="261">
        <v>4.8499999999999996</v>
      </c>
      <c r="Q225" s="261">
        <v>2389.39</v>
      </c>
      <c r="R225" s="260" t="s">
        <v>37</v>
      </c>
      <c r="S225" s="78" t="s">
        <v>1097</v>
      </c>
      <c r="T225" s="260"/>
      <c r="U225" s="78">
        <v>4.8600000000000003</v>
      </c>
      <c r="V225" s="260"/>
      <c r="W225" s="260"/>
      <c r="X225" s="260"/>
      <c r="Y225" s="260"/>
      <c r="Z225" s="260"/>
      <c r="AA225" s="260"/>
      <c r="AB225" s="260"/>
      <c r="AC225" s="78"/>
      <c r="AD225" s="260"/>
      <c r="AE225" s="269"/>
      <c r="AF225" s="269"/>
    </row>
    <row r="226" spans="1:32">
      <c r="A226" s="260">
        <v>212</v>
      </c>
      <c r="B226" s="260" t="s">
        <v>333</v>
      </c>
      <c r="C226" s="13" t="s">
        <v>1048</v>
      </c>
      <c r="D226" s="13" t="s">
        <v>1464</v>
      </c>
      <c r="E226" s="87" t="s">
        <v>1485</v>
      </c>
      <c r="F226" s="13" t="s">
        <v>1486</v>
      </c>
      <c r="G226" s="261">
        <v>285.37</v>
      </c>
      <c r="H226" s="261">
        <v>127</v>
      </c>
      <c r="I226" s="261">
        <v>630</v>
      </c>
      <c r="J226" s="261">
        <v>343</v>
      </c>
      <c r="K226" s="261">
        <v>287</v>
      </c>
      <c r="L226" s="261">
        <v>16</v>
      </c>
      <c r="M226" s="260">
        <f t="shared" si="6"/>
        <v>2.5396825396825395</v>
      </c>
      <c r="N226" s="261">
        <v>491</v>
      </c>
      <c r="O226" s="260">
        <f t="shared" si="7"/>
        <v>77.936507936507937</v>
      </c>
      <c r="P226" s="261">
        <v>15.21</v>
      </c>
      <c r="Q226" s="261">
        <v>38.96</v>
      </c>
      <c r="R226" s="260"/>
      <c r="S226" s="13"/>
      <c r="T226" s="260"/>
      <c r="U226" s="13"/>
      <c r="V226" s="260"/>
      <c r="W226" s="260"/>
      <c r="X226" s="260"/>
      <c r="Y226" s="260"/>
      <c r="Z226" s="260"/>
      <c r="AA226" s="260"/>
      <c r="AB226" s="260"/>
      <c r="AC226" s="13"/>
      <c r="AD226" s="260"/>
      <c r="AE226" s="269"/>
      <c r="AF226" s="269"/>
    </row>
    <row r="227" spans="1:32" ht="15.75">
      <c r="A227" s="260">
        <v>213</v>
      </c>
      <c r="B227" s="260" t="s">
        <v>333</v>
      </c>
      <c r="C227" s="13" t="s">
        <v>1048</v>
      </c>
      <c r="D227" s="13" t="s">
        <v>1464</v>
      </c>
      <c r="E227" s="87" t="s">
        <v>1487</v>
      </c>
      <c r="F227" s="13" t="s">
        <v>1488</v>
      </c>
      <c r="G227" s="261">
        <v>184.09</v>
      </c>
      <c r="H227" s="261">
        <v>32</v>
      </c>
      <c r="I227" s="261">
        <v>141</v>
      </c>
      <c r="J227" s="261">
        <v>73</v>
      </c>
      <c r="K227" s="261">
        <v>68</v>
      </c>
      <c r="L227" s="261">
        <v>0</v>
      </c>
      <c r="M227" s="260">
        <f t="shared" si="6"/>
        <v>0</v>
      </c>
      <c r="N227" s="261">
        <v>141</v>
      </c>
      <c r="O227" s="260">
        <f t="shared" si="7"/>
        <v>100</v>
      </c>
      <c r="P227" s="261">
        <v>7.51</v>
      </c>
      <c r="Q227" s="261">
        <v>93.84</v>
      </c>
      <c r="R227" s="260" t="s">
        <v>37</v>
      </c>
      <c r="S227" s="78" t="s">
        <v>1097</v>
      </c>
      <c r="T227" s="260"/>
      <c r="U227" s="78">
        <v>7.51</v>
      </c>
      <c r="V227" s="260"/>
      <c r="W227" s="260"/>
      <c r="X227" s="260"/>
      <c r="Y227" s="260"/>
      <c r="Z227" s="260"/>
      <c r="AA227" s="260"/>
      <c r="AB227" s="260" t="s">
        <v>39</v>
      </c>
      <c r="AC227" s="78">
        <v>13</v>
      </c>
      <c r="AD227" s="260" t="s">
        <v>1052</v>
      </c>
      <c r="AE227" s="269"/>
      <c r="AF227" s="269"/>
    </row>
    <row r="228" spans="1:32">
      <c r="A228" s="260"/>
      <c r="B228" s="260"/>
      <c r="C228" s="260"/>
      <c r="D228" s="260"/>
      <c r="E228" s="88"/>
      <c r="F228" s="260"/>
      <c r="G228" s="261">
        <f t="shared" ref="G228:L228" si="8">SUM(G4:G227)</f>
        <v>143066.58999999994</v>
      </c>
      <c r="H228" s="261">
        <f t="shared" si="8"/>
        <v>33345</v>
      </c>
      <c r="I228" s="261">
        <f t="shared" si="8"/>
        <v>166864</v>
      </c>
      <c r="J228" s="261">
        <f t="shared" si="8"/>
        <v>85961</v>
      </c>
      <c r="K228" s="261">
        <f t="shared" si="8"/>
        <v>80903</v>
      </c>
      <c r="L228" s="261">
        <f t="shared" si="8"/>
        <v>20183</v>
      </c>
      <c r="M228" s="260"/>
      <c r="N228" s="261">
        <f>SUM(N4:N227)</f>
        <v>60316</v>
      </c>
      <c r="O228" s="260"/>
      <c r="P228" s="261">
        <f>SUM(P4:P227)</f>
        <v>5382.5000000000027</v>
      </c>
      <c r="Q228" s="261">
        <f>SUM(Q4:Q227)</f>
        <v>75202.679999999978</v>
      </c>
      <c r="R228" s="260"/>
      <c r="S228" s="260"/>
      <c r="T228" s="260"/>
      <c r="U228" s="260"/>
      <c r="V228" s="260"/>
      <c r="W228" s="260"/>
      <c r="X228" s="260"/>
      <c r="Y228" s="260"/>
      <c r="Z228" s="260"/>
      <c r="AA228" s="260"/>
      <c r="AB228" s="260"/>
      <c r="AC228" s="260"/>
      <c r="AD228" s="260"/>
      <c r="AE228" s="269"/>
      <c r="AF228" s="269"/>
    </row>
  </sheetData>
  <mergeCells count="3">
    <mergeCell ref="L2:M2"/>
    <mergeCell ref="N2:O2"/>
    <mergeCell ref="AE2:AF2"/>
  </mergeCells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79"/>
  <sheetViews>
    <sheetView tabSelected="1" topLeftCell="V2" zoomScale="90" zoomScaleNormal="90" workbookViewId="0">
      <selection activeCell="AA9" sqref="AA9"/>
    </sheetView>
  </sheetViews>
  <sheetFormatPr defaultRowHeight="15"/>
  <cols>
    <col min="4" max="4" width="10.7109375" customWidth="1"/>
    <col min="5" max="5" width="17.85546875" customWidth="1"/>
    <col min="6" max="6" width="18.42578125" style="68" customWidth="1"/>
    <col min="16" max="16" width="18.7109375" style="244" customWidth="1"/>
    <col min="17" max="17" width="10.28515625" customWidth="1"/>
    <col min="18" max="18" width="13" customWidth="1"/>
    <col min="19" max="19" width="19.140625" customWidth="1"/>
    <col min="20" max="20" width="19.5703125" customWidth="1"/>
    <col min="21" max="21" width="24.42578125" customWidth="1"/>
    <col min="22" max="22" width="17.7109375" customWidth="1"/>
    <col min="23" max="23" width="17.28515625" customWidth="1"/>
    <col min="24" max="24" width="16.5703125" customWidth="1"/>
    <col min="25" max="25" width="22.42578125" customWidth="1"/>
    <col min="26" max="26" width="16.28515625" customWidth="1"/>
    <col min="27" max="27" width="15.5703125" customWidth="1"/>
    <col min="28" max="28" width="19.85546875" customWidth="1"/>
    <col min="29" max="29" width="16.85546875" customWidth="1"/>
    <col min="30" max="30" width="22.28515625" customWidth="1"/>
    <col min="31" max="31" width="9" customWidth="1"/>
    <col min="32" max="32" width="10" customWidth="1"/>
  </cols>
  <sheetData>
    <row r="1" spans="1:32" hidden="1"/>
    <row r="2" spans="1:32">
      <c r="A2" s="35"/>
      <c r="B2" s="35"/>
      <c r="C2" s="35"/>
      <c r="D2" s="35"/>
      <c r="E2" s="35"/>
      <c r="F2" s="69"/>
      <c r="G2" s="35"/>
      <c r="H2" s="35"/>
      <c r="I2" s="35"/>
      <c r="J2" s="35"/>
      <c r="K2" s="35"/>
      <c r="L2" s="35"/>
      <c r="M2" s="35"/>
      <c r="N2" s="35"/>
      <c r="O2" s="35"/>
      <c r="P2" s="36"/>
      <c r="Q2" s="36"/>
      <c r="R2" s="1" t="s">
        <v>0</v>
      </c>
      <c r="S2" s="1" t="s">
        <v>0</v>
      </c>
      <c r="T2" s="1" t="s">
        <v>1</v>
      </c>
      <c r="U2" s="2" t="s">
        <v>2</v>
      </c>
      <c r="V2" s="1" t="s">
        <v>2</v>
      </c>
      <c r="W2" s="1" t="s">
        <v>2</v>
      </c>
      <c r="X2" s="1" t="s">
        <v>2</v>
      </c>
      <c r="Y2" s="1" t="s">
        <v>2</v>
      </c>
      <c r="Z2" s="1" t="s">
        <v>2</v>
      </c>
      <c r="AA2" s="3" t="s">
        <v>3</v>
      </c>
      <c r="AB2" s="3" t="s">
        <v>3</v>
      </c>
      <c r="AC2" s="3" t="s">
        <v>3</v>
      </c>
      <c r="AD2" s="3" t="s">
        <v>3</v>
      </c>
      <c r="AE2" s="3" t="s">
        <v>3</v>
      </c>
      <c r="AF2" s="3" t="s">
        <v>3</v>
      </c>
    </row>
    <row r="3" spans="1:32" ht="75">
      <c r="A3" s="43" t="s">
        <v>4</v>
      </c>
      <c r="B3" s="5" t="s">
        <v>5</v>
      </c>
      <c r="C3" s="5" t="s">
        <v>6</v>
      </c>
      <c r="D3" s="5" t="s">
        <v>7</v>
      </c>
      <c r="E3" s="5" t="s">
        <v>8</v>
      </c>
      <c r="F3" s="55" t="s">
        <v>9</v>
      </c>
      <c r="G3" s="5" t="s">
        <v>10</v>
      </c>
      <c r="H3" s="5" t="s">
        <v>11</v>
      </c>
      <c r="I3" s="5" t="s">
        <v>12</v>
      </c>
      <c r="J3" s="5" t="s">
        <v>13</v>
      </c>
      <c r="K3" s="5" t="s">
        <v>14</v>
      </c>
      <c r="L3" s="388" t="s">
        <v>15</v>
      </c>
      <c r="M3" s="388"/>
      <c r="N3" s="388" t="s">
        <v>16</v>
      </c>
      <c r="O3" s="388"/>
      <c r="P3" s="71" t="s">
        <v>17</v>
      </c>
      <c r="Q3" s="5" t="s">
        <v>18</v>
      </c>
      <c r="R3" s="6" t="s">
        <v>19</v>
      </c>
      <c r="S3" s="6" t="s">
        <v>20</v>
      </c>
      <c r="T3" s="6" t="s">
        <v>21</v>
      </c>
      <c r="U3" s="7" t="s">
        <v>22</v>
      </c>
      <c r="V3" s="6" t="s">
        <v>23</v>
      </c>
      <c r="W3" s="7" t="s">
        <v>24</v>
      </c>
      <c r="X3" s="6" t="s">
        <v>25</v>
      </c>
      <c r="Y3" s="6" t="s">
        <v>26</v>
      </c>
      <c r="Z3" s="7" t="s">
        <v>27</v>
      </c>
      <c r="AA3" s="7" t="s">
        <v>28</v>
      </c>
      <c r="AB3" s="7" t="s">
        <v>29</v>
      </c>
      <c r="AC3" s="7" t="s">
        <v>30</v>
      </c>
      <c r="AD3" s="7" t="s">
        <v>31</v>
      </c>
      <c r="AE3" s="389" t="s">
        <v>32</v>
      </c>
      <c r="AF3" s="389"/>
    </row>
    <row r="4" spans="1:32">
      <c r="A4" s="43"/>
      <c r="B4" s="57"/>
      <c r="C4" s="57"/>
      <c r="D4" s="57"/>
      <c r="E4" s="58"/>
      <c r="F4" s="57"/>
      <c r="G4" s="57" t="s">
        <v>2398</v>
      </c>
      <c r="H4" s="57" t="s">
        <v>2399</v>
      </c>
      <c r="I4" s="57" t="s">
        <v>2399</v>
      </c>
      <c r="J4" s="57" t="s">
        <v>2399</v>
      </c>
      <c r="K4" s="57" t="s">
        <v>2399</v>
      </c>
      <c r="L4" s="57" t="s">
        <v>2399</v>
      </c>
      <c r="M4" s="57" t="s">
        <v>2400</v>
      </c>
      <c r="N4" s="57"/>
      <c r="O4" s="57" t="s">
        <v>2400</v>
      </c>
      <c r="P4" s="58" t="s">
        <v>2398</v>
      </c>
      <c r="Q4" s="57" t="s">
        <v>2398</v>
      </c>
      <c r="R4" s="57" t="s">
        <v>2401</v>
      </c>
      <c r="S4" s="57" t="s">
        <v>2402</v>
      </c>
      <c r="T4" s="57" t="s">
        <v>2398</v>
      </c>
      <c r="U4" s="8" t="s">
        <v>2398</v>
      </c>
      <c r="V4" s="57" t="s">
        <v>2398</v>
      </c>
      <c r="W4" s="57" t="s">
        <v>2401</v>
      </c>
      <c r="X4" s="8" t="s">
        <v>2401</v>
      </c>
      <c r="Y4" s="8" t="s">
        <v>2401</v>
      </c>
      <c r="Z4" s="8" t="s">
        <v>2398</v>
      </c>
      <c r="AA4" s="8" t="s">
        <v>2401</v>
      </c>
      <c r="AB4" s="8" t="s">
        <v>2401</v>
      </c>
      <c r="AC4" s="8" t="s">
        <v>2398</v>
      </c>
      <c r="AD4" s="57" t="s">
        <v>2403</v>
      </c>
      <c r="AE4" s="8" t="s">
        <v>2404</v>
      </c>
      <c r="AF4" s="8" t="s">
        <v>2405</v>
      </c>
    </row>
    <row r="5" spans="1:32">
      <c r="A5" s="12">
        <v>1</v>
      </c>
      <c r="B5" s="10" t="s">
        <v>33</v>
      </c>
      <c r="C5" s="10" t="s">
        <v>1489</v>
      </c>
      <c r="D5" s="10" t="s">
        <v>1490</v>
      </c>
      <c r="E5" s="16" t="s">
        <v>1491</v>
      </c>
      <c r="F5" s="25" t="s">
        <v>1492</v>
      </c>
      <c r="G5" s="10">
        <v>664.92</v>
      </c>
      <c r="H5" s="10">
        <v>243</v>
      </c>
      <c r="I5" s="10">
        <v>981</v>
      </c>
      <c r="J5" s="10">
        <v>547</v>
      </c>
      <c r="K5" s="10">
        <v>434</v>
      </c>
      <c r="L5" s="10">
        <v>126</v>
      </c>
      <c r="M5" s="12">
        <f>L5/I5*100</f>
        <v>12.844036697247708</v>
      </c>
      <c r="N5" s="10">
        <v>303</v>
      </c>
      <c r="O5" s="12">
        <f>N5/I5*100</f>
        <v>30.886850152905197</v>
      </c>
      <c r="P5" s="271">
        <v>114.26</v>
      </c>
      <c r="Q5" s="10">
        <v>145.13999999999999</v>
      </c>
      <c r="R5" s="12"/>
      <c r="S5" s="31"/>
      <c r="T5" s="12"/>
      <c r="U5" s="31">
        <v>135.54</v>
      </c>
      <c r="V5" s="12" t="s">
        <v>1493</v>
      </c>
      <c r="W5" s="12"/>
      <c r="X5" s="12"/>
      <c r="Y5" s="12"/>
      <c r="Z5" s="12"/>
      <c r="AA5" s="12"/>
      <c r="AB5" s="12" t="s">
        <v>39</v>
      </c>
      <c r="AC5" s="31">
        <v>12</v>
      </c>
      <c r="AD5" s="12" t="s">
        <v>1494</v>
      </c>
      <c r="AE5" s="12">
        <v>25.215499999999999</v>
      </c>
      <c r="AF5" s="12">
        <v>77.261200000000002</v>
      </c>
    </row>
    <row r="6" spans="1:32">
      <c r="A6" s="12" t="s">
        <v>51</v>
      </c>
      <c r="B6" s="10" t="s">
        <v>33</v>
      </c>
      <c r="C6" s="10" t="s">
        <v>1489</v>
      </c>
      <c r="D6" s="10" t="s">
        <v>1490</v>
      </c>
      <c r="E6" s="16" t="s">
        <v>1491</v>
      </c>
      <c r="F6" s="25"/>
      <c r="G6" s="10"/>
      <c r="H6" s="10"/>
      <c r="I6" s="10"/>
      <c r="J6" s="10"/>
      <c r="K6" s="10"/>
      <c r="L6" s="10"/>
      <c r="M6" s="12"/>
      <c r="N6" s="10"/>
      <c r="O6" s="12"/>
      <c r="P6" s="271"/>
      <c r="Q6" s="10"/>
      <c r="R6" s="12"/>
      <c r="S6" s="31"/>
      <c r="T6" s="12"/>
      <c r="U6" s="31"/>
      <c r="V6" s="12"/>
      <c r="W6" s="12"/>
      <c r="X6" s="12"/>
      <c r="Y6" s="12"/>
      <c r="Z6" s="12"/>
      <c r="AA6" s="12"/>
      <c r="AB6" s="12" t="s">
        <v>39</v>
      </c>
      <c r="AC6" s="31">
        <v>9</v>
      </c>
      <c r="AD6" s="12"/>
      <c r="AE6" s="12"/>
      <c r="AF6" s="12"/>
    </row>
    <row r="7" spans="1:32">
      <c r="A7" s="12">
        <v>2</v>
      </c>
      <c r="B7" s="10" t="s">
        <v>33</v>
      </c>
      <c r="C7" s="10" t="s">
        <v>1489</v>
      </c>
      <c r="D7" s="10" t="s">
        <v>1490</v>
      </c>
      <c r="E7" s="10" t="s">
        <v>1495</v>
      </c>
      <c r="F7" s="25" t="s">
        <v>1496</v>
      </c>
      <c r="G7" s="10">
        <v>320.27999999999997</v>
      </c>
      <c r="H7" s="10">
        <v>41</v>
      </c>
      <c r="I7" s="10">
        <v>217</v>
      </c>
      <c r="J7" s="10">
        <v>112</v>
      </c>
      <c r="K7" s="10">
        <v>105</v>
      </c>
      <c r="L7" s="10">
        <v>0</v>
      </c>
      <c r="M7" s="12">
        <f t="shared" ref="M7:M74" si="0">L7/I7*100</f>
        <v>0</v>
      </c>
      <c r="N7" s="10">
        <v>217</v>
      </c>
      <c r="O7" s="12">
        <f t="shared" ref="O7:O74" si="1">N7/I7*100</f>
        <v>100</v>
      </c>
      <c r="P7" s="271">
        <v>0</v>
      </c>
      <c r="Q7" s="10">
        <v>284.04000000000002</v>
      </c>
      <c r="R7" s="12"/>
      <c r="S7" s="14"/>
      <c r="T7" s="12"/>
      <c r="U7" s="14"/>
      <c r="V7" s="12" t="s">
        <v>1493</v>
      </c>
      <c r="W7" s="12"/>
      <c r="X7" s="12"/>
      <c r="Y7" s="12"/>
      <c r="Z7" s="12"/>
      <c r="AA7" s="12"/>
      <c r="AB7" s="12"/>
      <c r="AC7" s="14"/>
      <c r="AD7" s="12"/>
      <c r="AE7" s="12"/>
      <c r="AF7" s="12"/>
    </row>
    <row r="8" spans="1:32">
      <c r="A8" s="12">
        <v>3</v>
      </c>
      <c r="B8" s="10" t="s">
        <v>33</v>
      </c>
      <c r="C8" s="10" t="s">
        <v>1489</v>
      </c>
      <c r="D8" s="10" t="s">
        <v>1490</v>
      </c>
      <c r="E8" s="10" t="s">
        <v>180</v>
      </c>
      <c r="F8" s="25" t="s">
        <v>1497</v>
      </c>
      <c r="G8" s="10">
        <v>162.06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2"/>
      <c r="N8" s="10">
        <v>0</v>
      </c>
      <c r="O8" s="12"/>
      <c r="P8" s="271">
        <v>0</v>
      </c>
      <c r="Q8" s="10">
        <v>162.06</v>
      </c>
      <c r="R8" s="12"/>
      <c r="S8" s="14"/>
      <c r="T8" s="12"/>
      <c r="U8" s="14"/>
      <c r="V8" s="12" t="s">
        <v>1493</v>
      </c>
      <c r="W8" s="12"/>
      <c r="X8" s="12"/>
      <c r="Y8" s="12"/>
      <c r="Z8" s="12"/>
      <c r="AA8" s="12"/>
      <c r="AB8" s="12"/>
      <c r="AC8" s="14"/>
      <c r="AD8" s="12"/>
      <c r="AE8" s="12"/>
      <c r="AF8" s="12"/>
    </row>
    <row r="9" spans="1:32">
      <c r="A9" s="12">
        <v>4</v>
      </c>
      <c r="B9" s="10" t="s">
        <v>33</v>
      </c>
      <c r="C9" s="10" t="s">
        <v>1489</v>
      </c>
      <c r="D9" s="10" t="s">
        <v>1490</v>
      </c>
      <c r="E9" s="10" t="s">
        <v>1498</v>
      </c>
      <c r="F9" s="25" t="s">
        <v>1499</v>
      </c>
      <c r="G9" s="10">
        <v>173.18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2"/>
      <c r="N9" s="10">
        <v>0</v>
      </c>
      <c r="O9" s="12"/>
      <c r="P9" s="271">
        <v>0</v>
      </c>
      <c r="Q9" s="10">
        <v>173.18</v>
      </c>
      <c r="R9" s="12"/>
      <c r="S9" s="14"/>
      <c r="T9" s="12"/>
      <c r="U9" s="14"/>
      <c r="V9" s="12" t="s">
        <v>1493</v>
      </c>
      <c r="W9" s="12"/>
      <c r="X9" s="12"/>
      <c r="Y9" s="12"/>
      <c r="Z9" s="12"/>
      <c r="AA9" s="12"/>
      <c r="AB9" s="12"/>
      <c r="AC9" s="14"/>
      <c r="AD9" s="12"/>
      <c r="AE9" s="12"/>
      <c r="AF9" s="12"/>
    </row>
    <row r="10" spans="1:32">
      <c r="A10" s="12">
        <v>5</v>
      </c>
      <c r="B10" s="10" t="s">
        <v>33</v>
      </c>
      <c r="C10" s="10" t="s">
        <v>1489</v>
      </c>
      <c r="D10" s="10" t="s">
        <v>1490</v>
      </c>
      <c r="E10" s="10" t="s">
        <v>1500</v>
      </c>
      <c r="F10" s="25" t="s">
        <v>1501</v>
      </c>
      <c r="G10" s="10">
        <v>993.08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2"/>
      <c r="N10" s="10">
        <v>0</v>
      </c>
      <c r="O10" s="12"/>
      <c r="P10" s="271">
        <v>0</v>
      </c>
      <c r="Q10" s="10">
        <v>973.04</v>
      </c>
      <c r="R10" s="12"/>
      <c r="S10" s="14"/>
      <c r="T10" s="12"/>
      <c r="U10" s="14"/>
      <c r="V10" s="12" t="s">
        <v>1493</v>
      </c>
      <c r="W10" s="12"/>
      <c r="X10" s="12"/>
      <c r="Y10" s="12"/>
      <c r="Z10" s="12"/>
      <c r="AA10" s="12"/>
      <c r="AB10" s="12"/>
      <c r="AC10" s="14"/>
      <c r="AD10" s="12"/>
      <c r="AE10" s="12"/>
      <c r="AF10" s="12"/>
    </row>
    <row r="11" spans="1:32">
      <c r="A11" s="12">
        <v>6</v>
      </c>
      <c r="B11" s="10" t="s">
        <v>33</v>
      </c>
      <c r="C11" s="10" t="s">
        <v>1489</v>
      </c>
      <c r="D11" s="10" t="s">
        <v>1490</v>
      </c>
      <c r="E11" s="10" t="s">
        <v>1502</v>
      </c>
      <c r="F11" s="25" t="s">
        <v>1503</v>
      </c>
      <c r="G11" s="10">
        <v>24.11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2"/>
      <c r="N11" s="10">
        <v>0</v>
      </c>
      <c r="O11" s="12"/>
      <c r="P11" s="271">
        <v>0</v>
      </c>
      <c r="Q11" s="10">
        <v>0</v>
      </c>
      <c r="R11" s="12"/>
      <c r="S11" s="14"/>
      <c r="T11" s="12"/>
      <c r="U11" s="14"/>
      <c r="V11" s="12" t="s">
        <v>1493</v>
      </c>
      <c r="W11" s="12"/>
      <c r="X11" s="12"/>
      <c r="Y11" s="12"/>
      <c r="Z11" s="12"/>
      <c r="AA11" s="12"/>
      <c r="AB11" s="12"/>
      <c r="AC11" s="14"/>
      <c r="AD11" s="12"/>
      <c r="AE11" s="12"/>
      <c r="AF11" s="12"/>
    </row>
    <row r="12" spans="1:32">
      <c r="A12" s="12">
        <v>7</v>
      </c>
      <c r="B12" s="10" t="s">
        <v>33</v>
      </c>
      <c r="C12" s="10" t="s">
        <v>1489</v>
      </c>
      <c r="D12" s="10" t="s">
        <v>1490</v>
      </c>
      <c r="E12" s="10" t="s">
        <v>1504</v>
      </c>
      <c r="F12" s="25" t="s">
        <v>1505</v>
      </c>
      <c r="G12" s="10">
        <v>87.15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2"/>
      <c r="N12" s="10">
        <v>0</v>
      </c>
      <c r="O12" s="12"/>
      <c r="P12" s="271">
        <v>0</v>
      </c>
      <c r="Q12" s="10">
        <v>0</v>
      </c>
      <c r="R12" s="12"/>
      <c r="S12" s="14"/>
      <c r="T12" s="12"/>
      <c r="U12" s="14"/>
      <c r="V12" s="12" t="s">
        <v>1493</v>
      </c>
      <c r="W12" s="12"/>
      <c r="X12" s="12"/>
      <c r="Y12" s="12"/>
      <c r="Z12" s="12"/>
      <c r="AA12" s="12"/>
      <c r="AB12" s="12"/>
      <c r="AC12" s="14"/>
      <c r="AD12" s="12"/>
      <c r="AE12" s="12"/>
      <c r="AF12" s="12"/>
    </row>
    <row r="13" spans="1:32">
      <c r="A13" s="12">
        <v>8</v>
      </c>
      <c r="B13" s="10" t="s">
        <v>33</v>
      </c>
      <c r="C13" s="10" t="s">
        <v>1489</v>
      </c>
      <c r="D13" s="10" t="s">
        <v>1490</v>
      </c>
      <c r="E13" s="10" t="s">
        <v>1506</v>
      </c>
      <c r="F13" s="25" t="s">
        <v>1507</v>
      </c>
      <c r="G13" s="10">
        <v>156.08000000000001</v>
      </c>
      <c r="H13" s="10">
        <v>155</v>
      </c>
      <c r="I13" s="10">
        <v>780</v>
      </c>
      <c r="J13" s="10">
        <v>419</v>
      </c>
      <c r="K13" s="10">
        <v>361</v>
      </c>
      <c r="L13" s="10">
        <v>249</v>
      </c>
      <c r="M13" s="12">
        <f t="shared" si="0"/>
        <v>31.92307692307692</v>
      </c>
      <c r="N13" s="10">
        <v>0</v>
      </c>
      <c r="O13" s="12">
        <f t="shared" si="1"/>
        <v>0</v>
      </c>
      <c r="P13" s="271">
        <v>39.119999999999997</v>
      </c>
      <c r="Q13" s="10">
        <v>0</v>
      </c>
      <c r="R13" s="12"/>
      <c r="S13" s="31"/>
      <c r="T13" s="12"/>
      <c r="U13" s="31">
        <v>42.59</v>
      </c>
      <c r="V13" s="12" t="s">
        <v>1493</v>
      </c>
      <c r="W13" s="12"/>
      <c r="X13" s="12"/>
      <c r="Y13" s="12"/>
      <c r="Z13" s="12"/>
      <c r="AA13" s="12"/>
      <c r="AB13" s="12" t="s">
        <v>39</v>
      </c>
      <c r="AC13" s="31">
        <v>8</v>
      </c>
      <c r="AD13" s="12" t="s">
        <v>1494</v>
      </c>
      <c r="AE13" s="12">
        <v>25.183299999999999</v>
      </c>
      <c r="AF13" s="12">
        <v>77.166700000000006</v>
      </c>
    </row>
    <row r="14" spans="1:32">
      <c r="A14" s="12" t="s">
        <v>51</v>
      </c>
      <c r="B14" s="10" t="s">
        <v>33</v>
      </c>
      <c r="C14" s="10" t="s">
        <v>1489</v>
      </c>
      <c r="D14" s="10" t="s">
        <v>1490</v>
      </c>
      <c r="E14" s="10" t="s">
        <v>1506</v>
      </c>
      <c r="F14" s="25"/>
      <c r="G14" s="10"/>
      <c r="H14" s="10"/>
      <c r="I14" s="10"/>
      <c r="J14" s="10"/>
      <c r="K14" s="10"/>
      <c r="L14" s="10"/>
      <c r="M14" s="12"/>
      <c r="N14" s="10"/>
      <c r="O14" s="12"/>
      <c r="P14" s="271"/>
      <c r="Q14" s="10"/>
      <c r="R14" s="12"/>
      <c r="S14" s="31"/>
      <c r="T14" s="12"/>
      <c r="U14" s="31"/>
      <c r="V14" s="12"/>
      <c r="W14" s="12"/>
      <c r="X14" s="12"/>
      <c r="Y14" s="12"/>
      <c r="Z14" s="12"/>
      <c r="AA14" s="12"/>
      <c r="AB14" s="12" t="s">
        <v>39</v>
      </c>
      <c r="AC14" s="31">
        <v>9</v>
      </c>
      <c r="AD14" s="12"/>
      <c r="AE14" s="12"/>
      <c r="AF14" s="12"/>
    </row>
    <row r="15" spans="1:32">
      <c r="A15" s="12">
        <v>9</v>
      </c>
      <c r="B15" s="10" t="s">
        <v>33</v>
      </c>
      <c r="C15" s="10" t="s">
        <v>1489</v>
      </c>
      <c r="D15" s="10" t="s">
        <v>1490</v>
      </c>
      <c r="E15" s="10" t="s">
        <v>1508</v>
      </c>
      <c r="F15" s="25" t="s">
        <v>1509</v>
      </c>
      <c r="G15" s="10">
        <v>965.85</v>
      </c>
      <c r="H15" s="10">
        <v>138</v>
      </c>
      <c r="I15" s="10">
        <v>647</v>
      </c>
      <c r="J15" s="10">
        <v>366</v>
      </c>
      <c r="K15" s="10">
        <v>281</v>
      </c>
      <c r="L15" s="10">
        <v>0</v>
      </c>
      <c r="M15" s="12">
        <f t="shared" si="0"/>
        <v>0</v>
      </c>
      <c r="N15" s="10">
        <v>383</v>
      </c>
      <c r="O15" s="12">
        <f t="shared" si="1"/>
        <v>59.196290571870172</v>
      </c>
      <c r="P15" s="271">
        <v>64.08</v>
      </c>
      <c r="Q15" s="10">
        <v>674.14</v>
      </c>
      <c r="R15" s="12"/>
      <c r="S15" s="31"/>
      <c r="T15" s="12"/>
      <c r="U15" s="31">
        <v>70.42</v>
      </c>
      <c r="V15" s="12" t="s">
        <v>1493</v>
      </c>
      <c r="W15" s="12"/>
      <c r="X15" s="12"/>
      <c r="Y15" s="12"/>
      <c r="Z15" s="12"/>
      <c r="AA15" s="12"/>
      <c r="AB15" s="12" t="s">
        <v>39</v>
      </c>
      <c r="AC15" s="31">
        <v>11</v>
      </c>
      <c r="AD15" s="12" t="s">
        <v>1494</v>
      </c>
      <c r="AE15" s="12">
        <v>25.125499999999999</v>
      </c>
      <c r="AF15" s="12">
        <v>77.389499999999998</v>
      </c>
    </row>
    <row r="16" spans="1:32" ht="15.75">
      <c r="A16" s="12">
        <v>10</v>
      </c>
      <c r="B16" s="10" t="s">
        <v>33</v>
      </c>
      <c r="C16" s="10" t="s">
        <v>1489</v>
      </c>
      <c r="D16" s="10" t="s">
        <v>1490</v>
      </c>
      <c r="E16" s="10" t="s">
        <v>187</v>
      </c>
      <c r="F16" s="25" t="s">
        <v>1510</v>
      </c>
      <c r="G16" s="10">
        <v>244.69</v>
      </c>
      <c r="H16" s="10">
        <v>15</v>
      </c>
      <c r="I16" s="10">
        <v>73</v>
      </c>
      <c r="J16" s="10">
        <v>38</v>
      </c>
      <c r="K16" s="10">
        <v>35</v>
      </c>
      <c r="L16" s="10">
        <v>0</v>
      </c>
      <c r="M16" s="12">
        <f t="shared" si="0"/>
        <v>0</v>
      </c>
      <c r="N16" s="10">
        <v>67</v>
      </c>
      <c r="O16" s="12">
        <f t="shared" si="1"/>
        <v>91.780821917808225</v>
      </c>
      <c r="P16" s="271">
        <v>8.16</v>
      </c>
      <c r="Q16" s="10">
        <v>72.05</v>
      </c>
      <c r="R16" s="12" t="s">
        <v>39</v>
      </c>
      <c r="S16" s="47">
        <v>45332</v>
      </c>
      <c r="T16" s="54"/>
      <c r="U16" s="11">
        <v>52.16</v>
      </c>
      <c r="V16" s="12" t="s">
        <v>1493</v>
      </c>
      <c r="W16" s="12"/>
      <c r="X16" s="12"/>
      <c r="Y16" s="12"/>
      <c r="Z16" s="12"/>
      <c r="AA16" s="12"/>
      <c r="AB16" s="12"/>
      <c r="AC16" s="32"/>
      <c r="AD16" s="12"/>
      <c r="AE16" s="12"/>
      <c r="AF16" s="12"/>
    </row>
    <row r="17" spans="1:32">
      <c r="A17" s="12">
        <v>11</v>
      </c>
      <c r="B17" s="10" t="s">
        <v>33</v>
      </c>
      <c r="C17" s="10" t="s">
        <v>1489</v>
      </c>
      <c r="D17" s="10" t="s">
        <v>1490</v>
      </c>
      <c r="E17" s="10" t="s">
        <v>1511</v>
      </c>
      <c r="F17" s="25" t="s">
        <v>1512</v>
      </c>
      <c r="G17" s="10">
        <v>357.8</v>
      </c>
      <c r="H17" s="10">
        <v>100</v>
      </c>
      <c r="I17" s="10">
        <v>500</v>
      </c>
      <c r="J17" s="10">
        <v>270</v>
      </c>
      <c r="K17" s="10">
        <v>230</v>
      </c>
      <c r="L17" s="10">
        <v>127</v>
      </c>
      <c r="M17" s="12">
        <f t="shared" si="0"/>
        <v>25.4</v>
      </c>
      <c r="N17" s="10">
        <v>0</v>
      </c>
      <c r="O17" s="12">
        <f t="shared" si="1"/>
        <v>0</v>
      </c>
      <c r="P17" s="271">
        <v>46.16</v>
      </c>
      <c r="Q17" s="10">
        <v>87.08</v>
      </c>
      <c r="R17" s="12"/>
      <c r="S17" s="31"/>
      <c r="T17" s="12"/>
      <c r="U17" s="31"/>
      <c r="V17" s="12" t="s">
        <v>1493</v>
      </c>
      <c r="W17" s="12"/>
      <c r="X17" s="12"/>
      <c r="Y17" s="12"/>
      <c r="Z17" s="12"/>
      <c r="AA17" s="12"/>
      <c r="AB17" s="12" t="s">
        <v>39</v>
      </c>
      <c r="AC17" s="31">
        <v>12</v>
      </c>
      <c r="AD17" s="12" t="s">
        <v>1494</v>
      </c>
      <c r="AE17" s="12">
        <v>25.1325</v>
      </c>
      <c r="AF17" s="12">
        <v>77.201400000000007</v>
      </c>
    </row>
    <row r="18" spans="1:32">
      <c r="A18" s="12">
        <v>12</v>
      </c>
      <c r="B18" s="10" t="s">
        <v>33</v>
      </c>
      <c r="C18" s="10" t="s">
        <v>1489</v>
      </c>
      <c r="D18" s="10" t="s">
        <v>1490</v>
      </c>
      <c r="E18" s="10" t="s">
        <v>1513</v>
      </c>
      <c r="F18" s="25" t="s">
        <v>1514</v>
      </c>
      <c r="G18" s="10">
        <v>38.299999999999997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2"/>
      <c r="N18" s="10">
        <v>0</v>
      </c>
      <c r="O18" s="12"/>
      <c r="P18" s="271">
        <v>0</v>
      </c>
      <c r="Q18" s="10">
        <v>0</v>
      </c>
      <c r="R18" s="12"/>
      <c r="S18" s="14"/>
      <c r="T18" s="12"/>
      <c r="U18" s="14"/>
      <c r="V18" s="12" t="s">
        <v>1493</v>
      </c>
      <c r="W18" s="12"/>
      <c r="X18" s="12"/>
      <c r="Y18" s="12"/>
      <c r="Z18" s="12"/>
      <c r="AA18" s="12"/>
      <c r="AB18" s="12"/>
      <c r="AC18" s="14"/>
      <c r="AD18" s="12"/>
      <c r="AE18" s="12"/>
      <c r="AF18" s="12"/>
    </row>
    <row r="19" spans="1:32">
      <c r="A19" s="12">
        <v>13</v>
      </c>
      <c r="B19" s="10" t="s">
        <v>33</v>
      </c>
      <c r="C19" s="10" t="s">
        <v>1489</v>
      </c>
      <c r="D19" s="10" t="s">
        <v>1490</v>
      </c>
      <c r="E19" s="10" t="s">
        <v>1515</v>
      </c>
      <c r="F19" s="25" t="s">
        <v>1516</v>
      </c>
      <c r="G19" s="10">
        <v>230.15</v>
      </c>
      <c r="H19" s="10">
        <v>56</v>
      </c>
      <c r="I19" s="10">
        <v>226</v>
      </c>
      <c r="J19" s="10">
        <v>109</v>
      </c>
      <c r="K19" s="10">
        <v>117</v>
      </c>
      <c r="L19" s="10">
        <v>1</v>
      </c>
      <c r="M19" s="12">
        <f t="shared" si="0"/>
        <v>0.44247787610619471</v>
      </c>
      <c r="N19" s="10">
        <v>224</v>
      </c>
      <c r="O19" s="12">
        <f t="shared" si="1"/>
        <v>99.115044247787608</v>
      </c>
      <c r="P19" s="271">
        <v>1.04</v>
      </c>
      <c r="Q19" s="10">
        <v>10.87</v>
      </c>
      <c r="R19" s="12"/>
      <c r="S19" s="14"/>
      <c r="T19" s="12"/>
      <c r="U19" s="14"/>
      <c r="V19" s="12" t="s">
        <v>1493</v>
      </c>
      <c r="W19" s="12"/>
      <c r="X19" s="12"/>
      <c r="Y19" s="12"/>
      <c r="Z19" s="12"/>
      <c r="AA19" s="12"/>
      <c r="AB19" s="12"/>
      <c r="AC19" s="14"/>
      <c r="AD19" s="12"/>
      <c r="AE19" s="12"/>
      <c r="AF19" s="12"/>
    </row>
    <row r="20" spans="1:32">
      <c r="A20" s="12">
        <v>14</v>
      </c>
      <c r="B20" s="10" t="s">
        <v>33</v>
      </c>
      <c r="C20" s="10" t="s">
        <v>1489</v>
      </c>
      <c r="D20" s="10" t="s">
        <v>1490</v>
      </c>
      <c r="E20" s="10" t="s">
        <v>101</v>
      </c>
      <c r="F20" s="25" t="s">
        <v>1517</v>
      </c>
      <c r="G20" s="10">
        <v>1126</v>
      </c>
      <c r="H20" s="10">
        <v>55</v>
      </c>
      <c r="I20" s="10">
        <v>270</v>
      </c>
      <c r="J20" s="10">
        <v>135</v>
      </c>
      <c r="K20" s="10">
        <v>135</v>
      </c>
      <c r="L20" s="10">
        <v>0</v>
      </c>
      <c r="M20" s="12">
        <f t="shared" si="0"/>
        <v>0</v>
      </c>
      <c r="N20" s="10">
        <v>270</v>
      </c>
      <c r="O20" s="12">
        <f t="shared" si="1"/>
        <v>100</v>
      </c>
      <c r="P20" s="271">
        <v>2</v>
      </c>
      <c r="Q20" s="10">
        <v>1006</v>
      </c>
      <c r="R20" s="12"/>
      <c r="S20" s="14"/>
      <c r="T20" s="12"/>
      <c r="U20" s="14"/>
      <c r="V20" s="12" t="s">
        <v>1493</v>
      </c>
      <c r="W20" s="12"/>
      <c r="X20" s="12"/>
      <c r="Y20" s="12"/>
      <c r="Z20" s="12"/>
      <c r="AA20" s="12"/>
      <c r="AB20" s="12"/>
      <c r="AC20" s="14"/>
      <c r="AD20" s="12"/>
      <c r="AE20" s="12"/>
      <c r="AF20" s="12"/>
    </row>
    <row r="21" spans="1:32">
      <c r="A21" s="12">
        <v>15</v>
      </c>
      <c r="B21" s="10" t="s">
        <v>33</v>
      </c>
      <c r="C21" s="10" t="s">
        <v>1489</v>
      </c>
      <c r="D21" s="10" t="s">
        <v>1518</v>
      </c>
      <c r="E21" s="16" t="s">
        <v>1519</v>
      </c>
      <c r="F21" s="25" t="s">
        <v>1520</v>
      </c>
      <c r="G21" s="10">
        <v>1001</v>
      </c>
      <c r="H21" s="10">
        <v>336</v>
      </c>
      <c r="I21" s="10">
        <v>1783</v>
      </c>
      <c r="J21" s="10">
        <v>905</v>
      </c>
      <c r="K21" s="10">
        <v>878</v>
      </c>
      <c r="L21" s="10">
        <v>483</v>
      </c>
      <c r="M21" s="12">
        <f t="shared" si="0"/>
        <v>27.089175546831186</v>
      </c>
      <c r="N21" s="10">
        <v>632</v>
      </c>
      <c r="O21" s="12">
        <f t="shared" si="1"/>
        <v>35.445877734155914</v>
      </c>
      <c r="P21" s="271">
        <v>127</v>
      </c>
      <c r="Q21" s="10">
        <v>310</v>
      </c>
      <c r="R21" s="12" t="s">
        <v>39</v>
      </c>
      <c r="S21" s="11" t="s">
        <v>157</v>
      </c>
      <c r="T21" s="12"/>
      <c r="U21" s="11">
        <v>126.58</v>
      </c>
      <c r="V21" s="12" t="s">
        <v>1493</v>
      </c>
      <c r="W21" s="12"/>
      <c r="X21" s="12"/>
      <c r="Y21" s="12"/>
      <c r="Z21" s="12"/>
      <c r="AA21" s="12"/>
      <c r="AB21" s="12" t="s">
        <v>39</v>
      </c>
      <c r="AC21" s="11">
        <v>15</v>
      </c>
      <c r="AD21" s="12" t="s">
        <v>1494</v>
      </c>
      <c r="AE21" s="12"/>
      <c r="AF21" s="12"/>
    </row>
    <row r="22" spans="1:32">
      <c r="A22" s="12" t="s">
        <v>51</v>
      </c>
      <c r="B22" s="10" t="s">
        <v>33</v>
      </c>
      <c r="C22" s="10" t="s">
        <v>1489</v>
      </c>
      <c r="D22" s="10" t="s">
        <v>1518</v>
      </c>
      <c r="E22" s="27" t="s">
        <v>1519</v>
      </c>
      <c r="F22" s="25"/>
      <c r="G22" s="10"/>
      <c r="H22" s="10"/>
      <c r="I22" s="10"/>
      <c r="J22" s="10"/>
      <c r="K22" s="10"/>
      <c r="L22" s="10"/>
      <c r="M22" s="12"/>
      <c r="N22" s="10"/>
      <c r="O22" s="12"/>
      <c r="P22" s="271"/>
      <c r="Q22" s="10">
        <v>631</v>
      </c>
      <c r="R22" s="12"/>
      <c r="S22" s="11"/>
      <c r="T22" s="12"/>
      <c r="U22" s="11"/>
      <c r="V22" s="12"/>
      <c r="W22" s="12"/>
      <c r="X22" s="12"/>
      <c r="Y22" s="12"/>
      <c r="Z22" s="12"/>
      <c r="AA22" s="12"/>
      <c r="AB22" s="12" t="s">
        <v>39</v>
      </c>
      <c r="AC22" s="11">
        <v>14</v>
      </c>
      <c r="AD22" s="12" t="s">
        <v>1521</v>
      </c>
      <c r="AE22" s="26">
        <v>24.518699999999999</v>
      </c>
      <c r="AF22" s="26">
        <v>76.997299999999996</v>
      </c>
    </row>
    <row r="23" spans="1:32">
      <c r="A23" s="12">
        <v>16</v>
      </c>
      <c r="B23" s="10" t="s">
        <v>33</v>
      </c>
      <c r="C23" s="10" t="s">
        <v>1489</v>
      </c>
      <c r="D23" s="10" t="s">
        <v>1518</v>
      </c>
      <c r="E23" s="10" t="s">
        <v>1522</v>
      </c>
      <c r="F23" s="25" t="s">
        <v>1523</v>
      </c>
      <c r="G23" s="10">
        <v>896</v>
      </c>
      <c r="H23" s="10">
        <v>186</v>
      </c>
      <c r="I23" s="10">
        <v>958</v>
      </c>
      <c r="J23" s="10">
        <v>500</v>
      </c>
      <c r="K23" s="10">
        <v>458</v>
      </c>
      <c r="L23" s="10">
        <v>225</v>
      </c>
      <c r="M23" s="12">
        <f t="shared" si="0"/>
        <v>23.486430062630482</v>
      </c>
      <c r="N23" s="10">
        <v>554</v>
      </c>
      <c r="O23" s="12">
        <f t="shared" si="1"/>
        <v>57.82881002087683</v>
      </c>
      <c r="P23" s="271">
        <v>2</v>
      </c>
      <c r="Q23" s="10">
        <v>851</v>
      </c>
      <c r="R23" s="12"/>
      <c r="S23" s="31"/>
      <c r="T23" s="12"/>
      <c r="U23" s="31"/>
      <c r="V23" s="12" t="s">
        <v>1493</v>
      </c>
      <c r="W23" s="12"/>
      <c r="X23" s="12"/>
      <c r="Y23" s="12"/>
      <c r="Z23" s="12"/>
      <c r="AA23" s="12"/>
      <c r="AB23" s="12" t="s">
        <v>39</v>
      </c>
      <c r="AC23" s="31">
        <v>8</v>
      </c>
      <c r="AD23" s="12" t="s">
        <v>1494</v>
      </c>
      <c r="AE23" s="12"/>
      <c r="AF23" s="12"/>
    </row>
    <row r="24" spans="1:32">
      <c r="A24" s="12">
        <v>17</v>
      </c>
      <c r="B24" s="10" t="s">
        <v>33</v>
      </c>
      <c r="C24" s="10" t="s">
        <v>1489</v>
      </c>
      <c r="D24" s="10" t="s">
        <v>1518</v>
      </c>
      <c r="E24" s="10" t="s">
        <v>65</v>
      </c>
      <c r="F24" s="25" t="s">
        <v>1524</v>
      </c>
      <c r="G24" s="10">
        <v>925</v>
      </c>
      <c r="H24" s="10">
        <v>85</v>
      </c>
      <c r="I24" s="10">
        <v>418</v>
      </c>
      <c r="J24" s="10">
        <v>205</v>
      </c>
      <c r="K24" s="10">
        <v>213</v>
      </c>
      <c r="L24" s="10">
        <v>0</v>
      </c>
      <c r="M24" s="12">
        <f t="shared" si="0"/>
        <v>0</v>
      </c>
      <c r="N24" s="10">
        <v>380</v>
      </c>
      <c r="O24" s="12">
        <f t="shared" si="1"/>
        <v>90.909090909090907</v>
      </c>
      <c r="P24" s="271">
        <v>0</v>
      </c>
      <c r="Q24" s="10">
        <v>1917</v>
      </c>
      <c r="R24" s="12"/>
      <c r="S24" s="14"/>
      <c r="T24" s="12"/>
      <c r="U24" s="14"/>
      <c r="V24" s="12" t="s">
        <v>1493</v>
      </c>
      <c r="W24" s="12"/>
      <c r="X24" s="12"/>
      <c r="Y24" s="12"/>
      <c r="Z24" s="12"/>
      <c r="AA24" s="12"/>
      <c r="AB24" s="12" t="s">
        <v>39</v>
      </c>
      <c r="AC24" s="14">
        <v>8</v>
      </c>
      <c r="AD24" s="12" t="s">
        <v>1494</v>
      </c>
      <c r="AE24" s="12"/>
      <c r="AF24" s="12"/>
    </row>
    <row r="25" spans="1:32">
      <c r="A25" s="12">
        <v>18</v>
      </c>
      <c r="B25" s="10" t="s">
        <v>33</v>
      </c>
      <c r="C25" s="10" t="s">
        <v>1489</v>
      </c>
      <c r="D25" s="10" t="s">
        <v>1518</v>
      </c>
      <c r="E25" s="10" t="s">
        <v>1525</v>
      </c>
      <c r="F25" s="25" t="s">
        <v>1526</v>
      </c>
      <c r="G25" s="10">
        <v>3228</v>
      </c>
      <c r="H25" s="10">
        <v>245</v>
      </c>
      <c r="I25" s="10">
        <v>1238</v>
      </c>
      <c r="J25" s="10">
        <v>625</v>
      </c>
      <c r="K25" s="10">
        <v>613</v>
      </c>
      <c r="L25" s="10">
        <v>33</v>
      </c>
      <c r="M25" s="12">
        <f t="shared" si="0"/>
        <v>2.6655896607431337</v>
      </c>
      <c r="N25" s="10">
        <v>1094</v>
      </c>
      <c r="O25" s="12">
        <f t="shared" si="1"/>
        <v>88.368336025848137</v>
      </c>
      <c r="P25" s="271">
        <v>17</v>
      </c>
      <c r="R25" s="12"/>
      <c r="S25" s="31"/>
      <c r="T25" s="12"/>
      <c r="U25" s="31"/>
      <c r="V25" s="12" t="s">
        <v>1493</v>
      </c>
      <c r="W25" s="12"/>
      <c r="X25" s="12"/>
      <c r="Y25" s="12"/>
      <c r="Z25" s="12"/>
      <c r="AA25" s="12"/>
      <c r="AB25" s="12" t="s">
        <v>39</v>
      </c>
      <c r="AC25" s="31">
        <v>9</v>
      </c>
      <c r="AD25" s="12" t="s">
        <v>1494</v>
      </c>
      <c r="AE25" s="12"/>
      <c r="AF25" s="12"/>
    </row>
    <row r="26" spans="1:32">
      <c r="A26" s="12">
        <v>19</v>
      </c>
      <c r="B26" s="10" t="s">
        <v>33</v>
      </c>
      <c r="C26" s="10" t="s">
        <v>1489</v>
      </c>
      <c r="D26" s="10" t="s">
        <v>1527</v>
      </c>
      <c r="E26" s="16" t="s">
        <v>1528</v>
      </c>
      <c r="F26" s="25" t="s">
        <v>1529</v>
      </c>
      <c r="G26" s="10">
        <v>334</v>
      </c>
      <c r="H26" s="10">
        <v>358</v>
      </c>
      <c r="I26" s="10">
        <v>1824</v>
      </c>
      <c r="J26" s="10">
        <v>953</v>
      </c>
      <c r="K26" s="10">
        <v>871</v>
      </c>
      <c r="L26" s="10">
        <v>200</v>
      </c>
      <c r="M26" s="12">
        <f t="shared" si="0"/>
        <v>10.964912280701753</v>
      </c>
      <c r="N26" s="10">
        <v>960</v>
      </c>
      <c r="O26" s="12">
        <f t="shared" si="1"/>
        <v>52.631578947368418</v>
      </c>
      <c r="P26" s="271">
        <v>110</v>
      </c>
      <c r="Q26" s="10">
        <v>0</v>
      </c>
      <c r="R26" s="12"/>
      <c r="S26" s="14"/>
      <c r="T26" s="12"/>
      <c r="U26" s="14"/>
      <c r="V26" s="12" t="s">
        <v>1493</v>
      </c>
      <c r="W26" s="12"/>
      <c r="X26" s="12"/>
      <c r="Y26" s="12"/>
      <c r="Z26" s="12"/>
      <c r="AA26" s="12"/>
      <c r="AB26" s="26" t="s">
        <v>39</v>
      </c>
    </row>
    <row r="27" spans="1:32">
      <c r="A27" s="12" t="s">
        <v>51</v>
      </c>
      <c r="B27" s="10" t="s">
        <v>33</v>
      </c>
      <c r="C27" s="10" t="s">
        <v>1489</v>
      </c>
      <c r="D27" s="10" t="s">
        <v>1527</v>
      </c>
      <c r="E27" s="16" t="s">
        <v>1528</v>
      </c>
      <c r="F27" s="25"/>
      <c r="G27" s="10"/>
      <c r="H27" s="10"/>
      <c r="I27" s="10"/>
      <c r="J27" s="10"/>
      <c r="K27" s="10"/>
      <c r="L27" s="10"/>
      <c r="M27" s="12"/>
      <c r="N27" s="10"/>
      <c r="O27" s="12"/>
      <c r="P27" s="271"/>
      <c r="Q27" s="10">
        <v>0</v>
      </c>
      <c r="R27" s="12"/>
      <c r="S27" s="14"/>
      <c r="T27" s="12"/>
      <c r="U27" s="14"/>
      <c r="V27" s="12"/>
      <c r="W27" s="12"/>
      <c r="X27" s="12"/>
      <c r="Y27" s="12"/>
      <c r="Z27" s="12"/>
      <c r="AA27" s="12"/>
      <c r="AB27" s="12"/>
      <c r="AC27" s="26">
        <v>15</v>
      </c>
      <c r="AD27" s="12" t="s">
        <v>326</v>
      </c>
      <c r="AE27" s="26">
        <v>24.526399999999999</v>
      </c>
      <c r="AF27" s="26">
        <v>77.012799999999999</v>
      </c>
    </row>
    <row r="28" spans="1:32">
      <c r="A28" s="12">
        <v>20</v>
      </c>
      <c r="B28" s="10" t="s">
        <v>33</v>
      </c>
      <c r="C28" s="10" t="s">
        <v>1489</v>
      </c>
      <c r="D28" s="10" t="s">
        <v>1527</v>
      </c>
      <c r="E28" s="10" t="s">
        <v>1530</v>
      </c>
      <c r="F28" s="25" t="s">
        <v>1531</v>
      </c>
      <c r="G28" s="10">
        <v>92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2"/>
      <c r="N28" s="10">
        <v>0</v>
      </c>
      <c r="O28" s="12"/>
      <c r="P28" s="271">
        <v>7</v>
      </c>
      <c r="Q28" s="44">
        <v>0</v>
      </c>
      <c r="R28" s="12"/>
      <c r="S28" s="14"/>
      <c r="T28" s="12"/>
      <c r="U28" s="14"/>
      <c r="V28" s="12" t="s">
        <v>1493</v>
      </c>
      <c r="W28" s="12"/>
      <c r="X28" s="12"/>
      <c r="Y28" s="12"/>
      <c r="Z28" s="12"/>
      <c r="AA28" s="12"/>
      <c r="AB28" s="12"/>
      <c r="AC28" s="14"/>
      <c r="AD28" s="12"/>
      <c r="AE28" s="12"/>
      <c r="AF28" s="12"/>
    </row>
    <row r="29" spans="1:32">
      <c r="A29" s="12">
        <v>21</v>
      </c>
      <c r="B29" s="10" t="s">
        <v>33</v>
      </c>
      <c r="C29" s="10" t="s">
        <v>1489</v>
      </c>
      <c r="D29" s="10" t="s">
        <v>1527</v>
      </c>
      <c r="E29" s="10" t="s">
        <v>1532</v>
      </c>
      <c r="F29" s="25" t="s">
        <v>1533</v>
      </c>
      <c r="G29" s="10">
        <v>670</v>
      </c>
      <c r="H29" s="10">
        <v>252</v>
      </c>
      <c r="I29" s="10">
        <v>1273</v>
      </c>
      <c r="J29" s="10">
        <v>643</v>
      </c>
      <c r="K29" s="10">
        <v>630</v>
      </c>
      <c r="L29" s="10">
        <v>112</v>
      </c>
      <c r="M29" s="12">
        <f t="shared" si="0"/>
        <v>8.7981146897093474</v>
      </c>
      <c r="N29" s="10">
        <v>558</v>
      </c>
      <c r="O29" s="12">
        <f t="shared" si="1"/>
        <v>43.833464257659074</v>
      </c>
      <c r="P29" s="271">
        <v>109</v>
      </c>
      <c r="Q29" s="10">
        <v>232</v>
      </c>
      <c r="R29" s="12" t="s">
        <v>39</v>
      </c>
      <c r="S29" s="11" t="s">
        <v>1534</v>
      </c>
      <c r="T29" s="12"/>
      <c r="U29" s="11">
        <v>115.84</v>
      </c>
      <c r="V29" s="12" t="s">
        <v>1493</v>
      </c>
      <c r="W29" s="12"/>
      <c r="X29" s="12"/>
      <c r="Y29" s="12"/>
      <c r="Z29" s="12"/>
      <c r="AA29" s="12"/>
      <c r="AB29" s="12" t="s">
        <v>39</v>
      </c>
      <c r="AC29" s="20">
        <v>14</v>
      </c>
      <c r="AD29" s="12" t="s">
        <v>1494</v>
      </c>
      <c r="AE29" s="12">
        <v>25.010300000000001</v>
      </c>
      <c r="AF29" s="12">
        <v>76.616399999999999</v>
      </c>
    </row>
    <row r="30" spans="1:32">
      <c r="A30" s="12">
        <v>22</v>
      </c>
      <c r="B30" s="10" t="s">
        <v>33</v>
      </c>
      <c r="C30" s="10" t="s">
        <v>1489</v>
      </c>
      <c r="D30" s="10" t="s">
        <v>1527</v>
      </c>
      <c r="E30" s="10" t="s">
        <v>1535</v>
      </c>
      <c r="F30" s="25" t="s">
        <v>1536</v>
      </c>
      <c r="G30" s="10">
        <v>817</v>
      </c>
      <c r="H30" s="10">
        <v>64</v>
      </c>
      <c r="I30" s="10">
        <v>319</v>
      </c>
      <c r="J30" s="10">
        <v>157</v>
      </c>
      <c r="K30" s="10">
        <v>162</v>
      </c>
      <c r="L30" s="10">
        <v>0</v>
      </c>
      <c r="M30" s="12">
        <f t="shared" si="0"/>
        <v>0</v>
      </c>
      <c r="N30" s="10">
        <v>227</v>
      </c>
      <c r="O30" s="12">
        <f t="shared" si="1"/>
        <v>71.159874608150474</v>
      </c>
      <c r="P30" s="271">
        <v>40</v>
      </c>
      <c r="Q30" s="10">
        <v>303</v>
      </c>
      <c r="R30" s="12" t="s">
        <v>39</v>
      </c>
      <c r="S30" s="11" t="s">
        <v>1534</v>
      </c>
      <c r="T30" s="12"/>
      <c r="U30" s="11">
        <v>39.68</v>
      </c>
      <c r="V30" s="12" t="s">
        <v>1493</v>
      </c>
      <c r="W30" s="12"/>
      <c r="X30" s="12"/>
      <c r="Y30" s="12"/>
      <c r="Z30" s="12"/>
      <c r="AA30" s="12"/>
      <c r="AB30" s="12" t="s">
        <v>39</v>
      </c>
      <c r="AC30" s="20">
        <v>10</v>
      </c>
      <c r="AD30" s="12" t="s">
        <v>1494</v>
      </c>
      <c r="AE30" s="12">
        <v>25.2973</v>
      </c>
      <c r="AF30" s="12">
        <v>77.101299999999995</v>
      </c>
    </row>
    <row r="31" spans="1:32">
      <c r="A31" s="12">
        <v>23</v>
      </c>
      <c r="B31" s="10" t="s">
        <v>33</v>
      </c>
      <c r="C31" s="10" t="s">
        <v>1489</v>
      </c>
      <c r="D31" s="10" t="s">
        <v>1527</v>
      </c>
      <c r="E31" s="10" t="s">
        <v>1537</v>
      </c>
      <c r="F31" s="25" t="s">
        <v>1538</v>
      </c>
      <c r="G31" s="10">
        <v>467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2" t="e">
        <f t="shared" si="0"/>
        <v>#DIV/0!</v>
      </c>
      <c r="N31" s="10">
        <v>0</v>
      </c>
      <c r="O31" s="12" t="e">
        <f t="shared" si="1"/>
        <v>#DIV/0!</v>
      </c>
      <c r="P31" s="271">
        <v>0</v>
      </c>
      <c r="Q31" s="10">
        <v>197</v>
      </c>
      <c r="R31" s="12"/>
      <c r="S31" s="14"/>
      <c r="T31" s="12"/>
      <c r="U31" s="14"/>
      <c r="V31" s="12" t="s">
        <v>1493</v>
      </c>
      <c r="W31" s="12"/>
      <c r="X31" s="12"/>
      <c r="Y31" s="12"/>
      <c r="Z31" s="12"/>
      <c r="AA31" s="12"/>
      <c r="AB31" s="12"/>
      <c r="AC31" s="14"/>
      <c r="AD31" s="12"/>
      <c r="AE31" s="12"/>
      <c r="AF31" s="12"/>
    </row>
    <row r="32" spans="1:32">
      <c r="A32" s="12">
        <v>24</v>
      </c>
      <c r="B32" s="10" t="s">
        <v>33</v>
      </c>
      <c r="C32" s="10" t="s">
        <v>1489</v>
      </c>
      <c r="D32" s="10" t="s">
        <v>1527</v>
      </c>
      <c r="E32" s="10" t="s">
        <v>1539</v>
      </c>
      <c r="F32" s="25" t="s">
        <v>1540</v>
      </c>
      <c r="G32" s="10">
        <v>1084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2" t="e">
        <f t="shared" si="0"/>
        <v>#DIV/0!</v>
      </c>
      <c r="N32" s="10">
        <v>0</v>
      </c>
      <c r="O32" s="12" t="e">
        <f t="shared" si="1"/>
        <v>#DIV/0!</v>
      </c>
      <c r="P32" s="271">
        <v>0</v>
      </c>
      <c r="Q32" s="10">
        <v>754</v>
      </c>
      <c r="R32" s="12"/>
      <c r="S32" s="14"/>
      <c r="T32" s="12"/>
      <c r="U32" s="14"/>
      <c r="V32" s="12" t="s">
        <v>1493</v>
      </c>
      <c r="W32" s="12"/>
      <c r="X32" s="12"/>
      <c r="Y32" s="12"/>
      <c r="Z32" s="12"/>
      <c r="AA32" s="12"/>
      <c r="AB32" s="12"/>
      <c r="AC32" s="14"/>
      <c r="AD32" s="12"/>
      <c r="AE32" s="12"/>
      <c r="AF32" s="12"/>
    </row>
    <row r="33" spans="1:32">
      <c r="A33" s="12">
        <v>25</v>
      </c>
      <c r="B33" s="10" t="s">
        <v>33</v>
      </c>
      <c r="C33" s="10" t="s">
        <v>1489</v>
      </c>
      <c r="D33" s="10" t="s">
        <v>1541</v>
      </c>
      <c r="E33" s="16" t="s">
        <v>1542</v>
      </c>
      <c r="F33" s="25" t="s">
        <v>1543</v>
      </c>
      <c r="G33" s="10">
        <v>938</v>
      </c>
      <c r="H33" s="10">
        <v>331</v>
      </c>
      <c r="I33" s="10">
        <v>1545</v>
      </c>
      <c r="J33" s="10">
        <v>790</v>
      </c>
      <c r="K33" s="10">
        <v>755</v>
      </c>
      <c r="L33" s="10">
        <v>600</v>
      </c>
      <c r="M33" s="12">
        <f t="shared" si="0"/>
        <v>38.834951456310677</v>
      </c>
      <c r="N33" s="10">
        <v>785</v>
      </c>
      <c r="O33" s="12">
        <f t="shared" si="1"/>
        <v>50.809061488673137</v>
      </c>
      <c r="P33" s="271">
        <v>201</v>
      </c>
      <c r="Q33" s="10">
        <v>700</v>
      </c>
      <c r="R33" s="12" t="s">
        <v>39</v>
      </c>
      <c r="S33" s="11" t="s">
        <v>1544</v>
      </c>
      <c r="T33" s="12"/>
      <c r="U33" s="9"/>
      <c r="V33" s="12" t="s">
        <v>1493</v>
      </c>
      <c r="W33" s="12"/>
      <c r="X33" s="12"/>
      <c r="Y33" s="12"/>
      <c r="Z33" s="12"/>
      <c r="AA33" s="12"/>
      <c r="AB33" s="12"/>
      <c r="AC33" s="9">
        <v>13</v>
      </c>
      <c r="AD33" s="12" t="s">
        <v>48</v>
      </c>
      <c r="AE33" s="12"/>
      <c r="AF33" s="12"/>
    </row>
    <row r="34" spans="1:32">
      <c r="A34" s="12">
        <v>26</v>
      </c>
      <c r="B34" s="10" t="s">
        <v>33</v>
      </c>
      <c r="C34" s="10" t="s">
        <v>1489</v>
      </c>
      <c r="D34" s="10" t="s">
        <v>1541</v>
      </c>
      <c r="E34" s="10" t="s">
        <v>1545</v>
      </c>
      <c r="F34" s="25" t="s">
        <v>1546</v>
      </c>
      <c r="G34" s="10">
        <v>342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2" t="e">
        <f t="shared" si="0"/>
        <v>#DIV/0!</v>
      </c>
      <c r="N34" s="10">
        <v>0</v>
      </c>
      <c r="O34" s="12" t="e">
        <f t="shared" si="1"/>
        <v>#DIV/0!</v>
      </c>
      <c r="P34" s="271">
        <v>263</v>
      </c>
      <c r="Q34" s="10">
        <v>484</v>
      </c>
      <c r="R34" s="12"/>
      <c r="S34" s="14"/>
      <c r="T34" s="12"/>
      <c r="U34" s="14"/>
      <c r="V34" s="12" t="s">
        <v>1493</v>
      </c>
      <c r="W34" s="12"/>
      <c r="X34" s="12"/>
      <c r="Y34" s="12"/>
      <c r="Z34" s="12"/>
      <c r="AA34" s="12"/>
      <c r="AB34" s="12"/>
      <c r="AC34" s="14"/>
      <c r="AD34" s="12"/>
      <c r="AE34" s="12"/>
      <c r="AF34" s="12"/>
    </row>
    <row r="35" spans="1:32">
      <c r="A35" s="12">
        <v>27</v>
      </c>
      <c r="B35" s="10" t="s">
        <v>33</v>
      </c>
      <c r="C35" s="10" t="s">
        <v>1489</v>
      </c>
      <c r="D35" s="10" t="s">
        <v>1541</v>
      </c>
      <c r="E35" s="10" t="s">
        <v>1547</v>
      </c>
      <c r="F35" s="25" t="s">
        <v>1548</v>
      </c>
      <c r="G35" s="10">
        <v>1049</v>
      </c>
      <c r="H35" s="10">
        <v>78</v>
      </c>
      <c r="I35" s="10">
        <v>442</v>
      </c>
      <c r="J35" s="10">
        <v>234</v>
      </c>
      <c r="K35" s="10">
        <v>208</v>
      </c>
      <c r="L35" s="10">
        <v>6</v>
      </c>
      <c r="M35" s="12">
        <f t="shared" si="0"/>
        <v>1.3574660633484164</v>
      </c>
      <c r="N35" s="10">
        <v>190</v>
      </c>
      <c r="O35" s="12">
        <f t="shared" si="1"/>
        <v>42.986425339366519</v>
      </c>
      <c r="P35" s="271">
        <v>700</v>
      </c>
      <c r="Q35" s="10">
        <v>1</v>
      </c>
      <c r="R35" s="12"/>
      <c r="S35" s="11"/>
      <c r="T35" s="12"/>
      <c r="U35" s="11">
        <v>68.81</v>
      </c>
      <c r="V35" s="12" t="s">
        <v>1493</v>
      </c>
      <c r="W35" s="12"/>
      <c r="X35" s="12"/>
      <c r="Y35" s="12"/>
      <c r="Z35" s="12"/>
      <c r="AA35" s="12"/>
      <c r="AB35" s="12"/>
      <c r="AC35" s="9">
        <v>13</v>
      </c>
      <c r="AD35" s="12" t="s">
        <v>48</v>
      </c>
      <c r="AE35" s="12"/>
      <c r="AF35" s="12"/>
    </row>
    <row r="36" spans="1:32">
      <c r="A36" s="12" t="s">
        <v>51</v>
      </c>
      <c r="B36" s="10" t="s">
        <v>33</v>
      </c>
      <c r="C36" s="10" t="s">
        <v>1489</v>
      </c>
      <c r="D36" s="10" t="s">
        <v>1541</v>
      </c>
      <c r="E36" s="10" t="s">
        <v>1547</v>
      </c>
      <c r="F36" s="25"/>
      <c r="G36" s="10"/>
      <c r="H36" s="10"/>
      <c r="I36" s="10"/>
      <c r="J36" s="10"/>
      <c r="K36" s="10"/>
      <c r="L36" s="10"/>
      <c r="M36" s="12"/>
      <c r="N36" s="10"/>
      <c r="O36" s="12"/>
      <c r="P36" s="271"/>
      <c r="Q36" s="10"/>
      <c r="R36" s="12"/>
      <c r="S36" s="11"/>
      <c r="T36" s="12"/>
      <c r="U36" s="11"/>
      <c r="V36" s="12"/>
      <c r="W36" s="12"/>
      <c r="X36" s="12"/>
      <c r="Y36" s="12"/>
      <c r="Z36" s="12"/>
      <c r="AA36" s="12"/>
      <c r="AB36" s="12"/>
      <c r="AC36" s="9">
        <v>8</v>
      </c>
      <c r="AD36" s="12" t="s">
        <v>48</v>
      </c>
      <c r="AE36" s="12"/>
      <c r="AF36" s="12"/>
    </row>
    <row r="37" spans="1:32">
      <c r="A37" s="12">
        <v>28</v>
      </c>
      <c r="B37" s="10" t="s">
        <v>33</v>
      </c>
      <c r="C37" s="10" t="s">
        <v>1489</v>
      </c>
      <c r="D37" s="10" t="s">
        <v>1541</v>
      </c>
      <c r="E37" s="10" t="s">
        <v>1549</v>
      </c>
      <c r="F37" s="25" t="s">
        <v>1550</v>
      </c>
      <c r="G37" s="10">
        <v>831</v>
      </c>
      <c r="H37" s="10">
        <v>88</v>
      </c>
      <c r="I37" s="10">
        <v>475</v>
      </c>
      <c r="J37" s="10">
        <v>252</v>
      </c>
      <c r="K37" s="10">
        <v>223</v>
      </c>
      <c r="L37" s="10">
        <v>0</v>
      </c>
      <c r="M37" s="12">
        <f t="shared" si="0"/>
        <v>0</v>
      </c>
      <c r="N37" s="10">
        <v>164</v>
      </c>
      <c r="O37" s="12">
        <f t="shared" si="1"/>
        <v>34.526315789473685</v>
      </c>
      <c r="P37" s="271">
        <v>484</v>
      </c>
      <c r="Q37" s="10">
        <v>3</v>
      </c>
      <c r="R37" s="12"/>
      <c r="S37" s="14"/>
      <c r="T37" s="12"/>
      <c r="U37" s="14"/>
      <c r="V37" s="12" t="s">
        <v>1493</v>
      </c>
      <c r="W37" s="12"/>
      <c r="X37" s="12"/>
      <c r="Y37" s="12"/>
      <c r="Z37" s="12"/>
      <c r="AA37" s="12"/>
      <c r="AB37" s="12"/>
      <c r="AC37" s="14"/>
      <c r="AD37" s="12"/>
      <c r="AE37" s="12"/>
      <c r="AF37" s="12"/>
    </row>
    <row r="38" spans="1:32">
      <c r="A38" s="12">
        <v>29</v>
      </c>
      <c r="B38" s="10" t="s">
        <v>33</v>
      </c>
      <c r="C38" s="10" t="s">
        <v>1489</v>
      </c>
      <c r="D38" s="10" t="s">
        <v>1541</v>
      </c>
      <c r="E38" s="10" t="s">
        <v>1244</v>
      </c>
      <c r="F38" s="25" t="s">
        <v>1551</v>
      </c>
      <c r="G38" s="10">
        <v>268</v>
      </c>
      <c r="H38" s="10">
        <v>74</v>
      </c>
      <c r="I38" s="10">
        <v>467</v>
      </c>
      <c r="J38" s="10">
        <v>245</v>
      </c>
      <c r="K38" s="10">
        <v>222</v>
      </c>
      <c r="L38" s="10">
        <v>328</v>
      </c>
      <c r="M38" s="12">
        <f t="shared" si="0"/>
        <v>70.235546038543902</v>
      </c>
      <c r="N38" s="10">
        <v>25</v>
      </c>
      <c r="O38" s="12">
        <f t="shared" si="1"/>
        <v>5.3533190578158463</v>
      </c>
      <c r="P38" s="271">
        <v>1</v>
      </c>
      <c r="Q38" s="10">
        <v>0</v>
      </c>
      <c r="R38" s="12" t="s">
        <v>39</v>
      </c>
      <c r="S38" s="11" t="s">
        <v>1552</v>
      </c>
      <c r="T38" s="12"/>
      <c r="U38" s="11">
        <v>10.08</v>
      </c>
      <c r="V38" s="12" t="s">
        <v>1493</v>
      </c>
      <c r="W38" s="12"/>
      <c r="X38" s="12"/>
      <c r="Y38" s="12"/>
      <c r="Z38" s="12"/>
      <c r="AA38" s="12"/>
      <c r="AB38" s="12"/>
      <c r="AC38" s="9"/>
      <c r="AD38" s="12"/>
      <c r="AE38" s="12"/>
      <c r="AF38" s="12"/>
    </row>
    <row r="39" spans="1:32">
      <c r="A39" s="12">
        <v>30</v>
      </c>
      <c r="B39" s="10" t="s">
        <v>33</v>
      </c>
      <c r="C39" s="10" t="s">
        <v>1489</v>
      </c>
      <c r="D39" s="10" t="s">
        <v>1541</v>
      </c>
      <c r="E39" s="10" t="s">
        <v>1553</v>
      </c>
      <c r="F39" s="25" t="s">
        <v>1554</v>
      </c>
      <c r="G39" s="10">
        <v>95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2"/>
      <c r="N39" s="10">
        <v>0</v>
      </c>
      <c r="O39" s="12"/>
      <c r="P39" s="271">
        <v>3</v>
      </c>
      <c r="Q39" s="10">
        <v>0</v>
      </c>
      <c r="R39" s="12"/>
      <c r="S39" s="14"/>
      <c r="T39" s="12"/>
      <c r="U39" s="14"/>
      <c r="V39" s="12" t="s">
        <v>1493</v>
      </c>
      <c r="W39" s="12"/>
      <c r="X39" s="12"/>
      <c r="Y39" s="12"/>
      <c r="Z39" s="12"/>
      <c r="AA39" s="12"/>
      <c r="AB39" s="12"/>
      <c r="AC39" s="14"/>
      <c r="AD39" s="12"/>
      <c r="AE39" s="12"/>
      <c r="AF39" s="12"/>
    </row>
    <row r="40" spans="1:32">
      <c r="A40" s="12">
        <v>31</v>
      </c>
      <c r="B40" s="10" t="s">
        <v>33</v>
      </c>
      <c r="C40" s="10" t="s">
        <v>1489</v>
      </c>
      <c r="D40" s="10" t="s">
        <v>1541</v>
      </c>
      <c r="E40" s="10" t="s">
        <v>1555</v>
      </c>
      <c r="F40" s="25" t="s">
        <v>1556</v>
      </c>
      <c r="G40" s="10">
        <v>111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2"/>
      <c r="N40" s="10">
        <v>0</v>
      </c>
      <c r="O40" s="12"/>
      <c r="P40" s="271">
        <v>0</v>
      </c>
      <c r="Q40" s="10">
        <v>20</v>
      </c>
      <c r="R40" s="12"/>
      <c r="S40" s="14"/>
      <c r="T40" s="12"/>
      <c r="U40" s="14"/>
      <c r="V40" s="12" t="s">
        <v>1493</v>
      </c>
      <c r="W40" s="12"/>
      <c r="X40" s="12"/>
      <c r="Y40" s="12"/>
      <c r="Z40" s="12"/>
      <c r="AA40" s="12"/>
      <c r="AB40" s="12"/>
      <c r="AC40" s="14"/>
      <c r="AD40" s="12"/>
      <c r="AE40" s="12"/>
      <c r="AF40" s="12"/>
    </row>
    <row r="41" spans="1:32">
      <c r="A41" s="12">
        <v>32</v>
      </c>
      <c r="B41" s="10" t="s">
        <v>33</v>
      </c>
      <c r="C41" s="10" t="s">
        <v>1489</v>
      </c>
      <c r="D41" s="10" t="s">
        <v>1541</v>
      </c>
      <c r="E41" s="10" t="s">
        <v>1557</v>
      </c>
      <c r="F41" s="25" t="s">
        <v>1558</v>
      </c>
      <c r="G41" s="10">
        <v>265</v>
      </c>
      <c r="H41" s="10">
        <v>281</v>
      </c>
      <c r="I41" s="10">
        <v>1378</v>
      </c>
      <c r="J41" s="10">
        <v>707</v>
      </c>
      <c r="K41" s="10">
        <v>671</v>
      </c>
      <c r="L41" s="10">
        <v>79</v>
      </c>
      <c r="M41" s="12">
        <f t="shared" si="0"/>
        <v>5.732946298984035</v>
      </c>
      <c r="N41" s="10">
        <v>933</v>
      </c>
      <c r="O41" s="12">
        <f t="shared" si="1"/>
        <v>67.70682148040639</v>
      </c>
      <c r="P41" s="271">
        <v>0</v>
      </c>
      <c r="Q41" s="10">
        <v>0</v>
      </c>
      <c r="R41" s="12" t="s">
        <v>39</v>
      </c>
      <c r="S41" s="11" t="s">
        <v>1552</v>
      </c>
      <c r="T41" s="12"/>
      <c r="U41" s="9"/>
      <c r="V41" s="12" t="s">
        <v>1493</v>
      </c>
      <c r="W41" s="12"/>
      <c r="X41" s="12"/>
      <c r="Y41" s="12"/>
      <c r="Z41" s="12"/>
      <c r="AA41" s="12"/>
      <c r="AB41" s="12" t="s">
        <v>39</v>
      </c>
      <c r="AC41" s="9">
        <v>8</v>
      </c>
      <c r="AD41" s="12" t="s">
        <v>1494</v>
      </c>
      <c r="AE41" s="12"/>
      <c r="AF41" s="12"/>
    </row>
    <row r="42" spans="1:32">
      <c r="A42" s="12">
        <v>33</v>
      </c>
      <c r="B42" s="10" t="s">
        <v>33</v>
      </c>
      <c r="C42" s="10" t="s">
        <v>1489</v>
      </c>
      <c r="D42" s="10" t="s">
        <v>1559</v>
      </c>
      <c r="E42" s="16" t="s">
        <v>1560</v>
      </c>
      <c r="F42" s="25" t="s">
        <v>1561</v>
      </c>
      <c r="G42" s="10">
        <v>692.05</v>
      </c>
      <c r="H42" s="10">
        <v>325</v>
      </c>
      <c r="I42" s="10">
        <v>1734</v>
      </c>
      <c r="J42" s="10">
        <v>927</v>
      </c>
      <c r="K42" s="10">
        <v>807</v>
      </c>
      <c r="L42" s="10">
        <v>483</v>
      </c>
      <c r="M42" s="12">
        <f t="shared" si="0"/>
        <v>27.854671280276815</v>
      </c>
      <c r="N42" s="10">
        <v>604</v>
      </c>
      <c r="O42" s="12">
        <f t="shared" si="1"/>
        <v>34.832756632064594</v>
      </c>
      <c r="P42" s="271">
        <v>20</v>
      </c>
      <c r="Q42" s="10">
        <v>99</v>
      </c>
      <c r="R42" s="12" t="s">
        <v>39</v>
      </c>
      <c r="S42" s="11" t="s">
        <v>1544</v>
      </c>
      <c r="T42" s="12"/>
      <c r="U42" s="9"/>
      <c r="V42" s="12" t="s">
        <v>1493</v>
      </c>
      <c r="W42" s="12"/>
      <c r="X42" s="12"/>
      <c r="Y42" s="12"/>
      <c r="Z42" s="12"/>
      <c r="AA42" s="12"/>
      <c r="AB42" s="12"/>
      <c r="AC42" s="9"/>
      <c r="AD42" s="12"/>
      <c r="AE42" s="12"/>
      <c r="AF42" s="12"/>
    </row>
    <row r="43" spans="1:32">
      <c r="A43" s="12" t="s">
        <v>51</v>
      </c>
      <c r="B43" s="10" t="s">
        <v>33</v>
      </c>
      <c r="C43" s="10" t="s">
        <v>1489</v>
      </c>
      <c r="D43" s="10" t="s">
        <v>1559</v>
      </c>
      <c r="E43" s="16" t="s">
        <v>1560</v>
      </c>
      <c r="F43" s="25"/>
      <c r="G43" s="10"/>
      <c r="H43" s="10"/>
      <c r="I43" s="10"/>
      <c r="J43" s="10"/>
      <c r="K43" s="10"/>
      <c r="L43" s="10"/>
      <c r="M43" s="12"/>
      <c r="N43" s="10"/>
      <c r="O43" s="12"/>
      <c r="P43" s="271">
        <v>0</v>
      </c>
      <c r="Q43" s="10">
        <v>0</v>
      </c>
      <c r="R43" s="12"/>
      <c r="S43" s="11"/>
      <c r="T43" s="12"/>
      <c r="U43" s="9"/>
      <c r="V43" s="12"/>
      <c r="W43" s="12"/>
      <c r="X43" s="12"/>
      <c r="Y43" s="12"/>
      <c r="Z43" s="12"/>
      <c r="AA43" s="12"/>
      <c r="AB43" s="26" t="s">
        <v>39</v>
      </c>
      <c r="AC43" s="26">
        <v>12</v>
      </c>
      <c r="AD43" s="12" t="s">
        <v>326</v>
      </c>
      <c r="AE43" s="26">
        <v>24.533899999999999</v>
      </c>
      <c r="AF43" s="26">
        <v>77.0261</v>
      </c>
    </row>
    <row r="44" spans="1:32">
      <c r="A44" s="12" t="s">
        <v>51</v>
      </c>
      <c r="B44" s="10" t="s">
        <v>33</v>
      </c>
      <c r="C44" s="10" t="s">
        <v>1489</v>
      </c>
      <c r="D44" s="10" t="s">
        <v>1559</v>
      </c>
      <c r="E44" s="16" t="s">
        <v>1560</v>
      </c>
      <c r="F44" s="25"/>
      <c r="G44" s="10"/>
      <c r="H44" s="10"/>
      <c r="I44" s="10"/>
      <c r="J44" s="10"/>
      <c r="K44" s="10"/>
      <c r="L44" s="10"/>
      <c r="M44" s="12"/>
      <c r="N44" s="10"/>
      <c r="O44" s="12"/>
      <c r="P44" s="271">
        <v>99</v>
      </c>
      <c r="Q44" s="10">
        <v>8</v>
      </c>
      <c r="R44" s="12"/>
      <c r="S44" s="11"/>
      <c r="T44" s="12"/>
      <c r="U44" s="9"/>
      <c r="V44" s="12"/>
      <c r="W44" s="12"/>
      <c r="X44" s="12"/>
      <c r="Y44" s="12"/>
      <c r="Z44" s="12"/>
      <c r="AA44" s="12"/>
      <c r="AB44" s="26" t="s">
        <v>39</v>
      </c>
      <c r="AC44" s="26">
        <v>13</v>
      </c>
      <c r="AD44" s="12" t="s">
        <v>48</v>
      </c>
      <c r="AE44" s="26">
        <v>25.17</v>
      </c>
      <c r="AF44" s="26">
        <v>77.290000000000006</v>
      </c>
    </row>
    <row r="45" spans="1:32">
      <c r="A45" s="12">
        <v>34</v>
      </c>
      <c r="B45" s="10" t="s">
        <v>33</v>
      </c>
      <c r="C45" s="10" t="s">
        <v>1489</v>
      </c>
      <c r="D45" s="10" t="s">
        <v>1559</v>
      </c>
      <c r="E45" s="10" t="s">
        <v>229</v>
      </c>
      <c r="F45" s="25" t="s">
        <v>1562</v>
      </c>
      <c r="G45" s="10">
        <v>364.02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2"/>
      <c r="N45" s="10">
        <v>0</v>
      </c>
      <c r="O45" s="12"/>
      <c r="P45" s="271">
        <v>0</v>
      </c>
      <c r="Q45" s="10">
        <v>0</v>
      </c>
      <c r="R45" s="12"/>
      <c r="S45" s="14"/>
      <c r="T45" s="12"/>
      <c r="U45" s="14"/>
      <c r="V45" s="12" t="s">
        <v>1493</v>
      </c>
      <c r="W45" s="12"/>
      <c r="X45" s="12"/>
      <c r="Y45" s="12"/>
      <c r="Z45" s="12"/>
      <c r="AA45" s="12"/>
      <c r="AB45" s="12"/>
      <c r="AC45" s="14"/>
      <c r="AD45" s="12"/>
      <c r="AE45" s="12"/>
      <c r="AF45" s="12"/>
    </row>
    <row r="46" spans="1:32">
      <c r="A46" s="12">
        <v>35</v>
      </c>
      <c r="B46" s="10" t="s">
        <v>33</v>
      </c>
      <c r="C46" s="10" t="s">
        <v>1489</v>
      </c>
      <c r="D46" s="10" t="s">
        <v>1559</v>
      </c>
      <c r="E46" s="10" t="s">
        <v>1563</v>
      </c>
      <c r="F46" s="25" t="s">
        <v>1564</v>
      </c>
      <c r="G46" s="10">
        <v>390</v>
      </c>
      <c r="H46" s="10">
        <v>9</v>
      </c>
      <c r="I46" s="10">
        <v>37</v>
      </c>
      <c r="J46" s="10">
        <v>24</v>
      </c>
      <c r="K46" s="10">
        <v>13</v>
      </c>
      <c r="L46" s="10">
        <v>37</v>
      </c>
      <c r="M46" s="12">
        <f t="shared" si="0"/>
        <v>100</v>
      </c>
      <c r="N46" s="10">
        <v>0</v>
      </c>
      <c r="O46" s="12">
        <f t="shared" si="1"/>
        <v>0</v>
      </c>
      <c r="P46" s="271">
        <v>99</v>
      </c>
      <c r="Q46" s="10">
        <v>282</v>
      </c>
      <c r="R46" s="12"/>
      <c r="S46" s="45"/>
      <c r="T46" s="12"/>
      <c r="U46" s="9"/>
      <c r="V46" s="12" t="s">
        <v>1493</v>
      </c>
      <c r="W46" s="12"/>
      <c r="X46" s="12"/>
      <c r="Y46" s="12"/>
      <c r="Z46" s="12"/>
      <c r="AA46" s="12"/>
      <c r="AB46" s="12"/>
      <c r="AC46" s="9"/>
      <c r="AD46" s="12"/>
      <c r="AE46" s="12"/>
      <c r="AF46" s="12"/>
    </row>
    <row r="47" spans="1:32">
      <c r="A47" s="12">
        <v>36</v>
      </c>
      <c r="B47" s="10" t="s">
        <v>33</v>
      </c>
      <c r="C47" s="10" t="s">
        <v>1489</v>
      </c>
      <c r="D47" s="10" t="s">
        <v>1559</v>
      </c>
      <c r="E47" s="10" t="s">
        <v>1565</v>
      </c>
      <c r="F47" s="25" t="s">
        <v>1566</v>
      </c>
      <c r="G47" s="10">
        <v>453</v>
      </c>
      <c r="H47" s="10">
        <v>113</v>
      </c>
      <c r="I47" s="10">
        <v>564</v>
      </c>
      <c r="J47" s="10">
        <v>302</v>
      </c>
      <c r="K47" s="10">
        <v>262</v>
      </c>
      <c r="L47" s="10">
        <v>155</v>
      </c>
      <c r="M47" s="12">
        <f t="shared" si="0"/>
        <v>27.482269503546096</v>
      </c>
      <c r="N47" s="10">
        <v>0</v>
      </c>
      <c r="O47" s="12">
        <f t="shared" si="1"/>
        <v>0</v>
      </c>
      <c r="P47" s="271">
        <v>0</v>
      </c>
      <c r="Q47" s="10">
        <v>266</v>
      </c>
      <c r="R47" s="12"/>
      <c r="S47" s="11"/>
      <c r="T47" s="12"/>
      <c r="U47" s="11">
        <v>97.78</v>
      </c>
      <c r="V47" s="12" t="s">
        <v>1493</v>
      </c>
      <c r="W47" s="12"/>
      <c r="X47" s="12"/>
      <c r="Y47" s="12"/>
      <c r="Z47" s="12"/>
      <c r="AA47" s="12"/>
      <c r="AB47" s="12"/>
      <c r="AC47" s="9"/>
      <c r="AD47" s="12"/>
      <c r="AE47" s="12"/>
      <c r="AF47" s="12"/>
    </row>
    <row r="48" spans="1:32">
      <c r="A48" s="12">
        <v>37</v>
      </c>
      <c r="B48" s="10" t="s">
        <v>33</v>
      </c>
      <c r="C48" s="10" t="s">
        <v>1489</v>
      </c>
      <c r="D48" s="10" t="s">
        <v>1559</v>
      </c>
      <c r="E48" s="10" t="s">
        <v>1567</v>
      </c>
      <c r="F48" s="25" t="s">
        <v>1568</v>
      </c>
      <c r="G48" s="10">
        <v>114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2" t="e">
        <f t="shared" si="0"/>
        <v>#DIV/0!</v>
      </c>
      <c r="N48" s="10">
        <v>0</v>
      </c>
      <c r="O48" s="12" t="e">
        <f t="shared" si="1"/>
        <v>#DIV/0!</v>
      </c>
      <c r="P48" s="271">
        <v>8</v>
      </c>
      <c r="Q48" s="10">
        <v>166</v>
      </c>
      <c r="R48" s="12"/>
      <c r="S48" s="31"/>
      <c r="T48" s="12"/>
      <c r="U48" s="31"/>
      <c r="V48" s="12" t="s">
        <v>1493</v>
      </c>
      <c r="W48" s="12"/>
      <c r="X48" s="12"/>
      <c r="Y48" s="12"/>
      <c r="Z48" s="12"/>
      <c r="AA48" s="12"/>
      <c r="AB48" s="12"/>
      <c r="AC48" s="31"/>
      <c r="AD48" s="12"/>
      <c r="AE48" s="12"/>
      <c r="AF48" s="12"/>
    </row>
    <row r="49" spans="1:32">
      <c r="A49" s="12">
        <v>38</v>
      </c>
      <c r="B49" s="10" t="s">
        <v>33</v>
      </c>
      <c r="C49" s="10" t="s">
        <v>1489</v>
      </c>
      <c r="D49" s="10" t="s">
        <v>1559</v>
      </c>
      <c r="E49" s="10" t="s">
        <v>1569</v>
      </c>
      <c r="F49" s="25" t="s">
        <v>1570</v>
      </c>
      <c r="G49" s="10">
        <v>279.69</v>
      </c>
      <c r="H49" s="10">
        <v>28</v>
      </c>
      <c r="I49" s="10">
        <v>142</v>
      </c>
      <c r="J49" s="10">
        <v>76</v>
      </c>
      <c r="K49" s="10">
        <v>66</v>
      </c>
      <c r="L49" s="10">
        <v>0</v>
      </c>
      <c r="M49" s="12">
        <f t="shared" si="0"/>
        <v>0</v>
      </c>
      <c r="N49" s="10">
        <v>0</v>
      </c>
      <c r="O49" s="12">
        <f t="shared" si="1"/>
        <v>0</v>
      </c>
      <c r="P49" s="44">
        <v>0</v>
      </c>
      <c r="Q49" s="10">
        <v>0</v>
      </c>
      <c r="R49" s="12"/>
      <c r="S49" s="11"/>
      <c r="T49" s="12"/>
      <c r="U49" s="11">
        <v>21.92</v>
      </c>
      <c r="V49" s="12" t="s">
        <v>1493</v>
      </c>
      <c r="W49" s="12"/>
      <c r="X49" s="12"/>
      <c r="Y49" s="12"/>
      <c r="Z49" s="12"/>
      <c r="AA49" s="12"/>
      <c r="AB49" s="12"/>
      <c r="AC49" s="9"/>
      <c r="AD49" s="12"/>
      <c r="AE49" s="12"/>
      <c r="AF49" s="12"/>
    </row>
    <row r="50" spans="1:32">
      <c r="A50" s="12">
        <v>39</v>
      </c>
      <c r="B50" s="10" t="s">
        <v>33</v>
      </c>
      <c r="C50" s="10" t="s">
        <v>1489</v>
      </c>
      <c r="D50" s="10" t="s">
        <v>1559</v>
      </c>
      <c r="E50" s="10" t="s">
        <v>1571</v>
      </c>
      <c r="F50" s="25" t="s">
        <v>1572</v>
      </c>
      <c r="G50" s="10">
        <v>452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2" t="e">
        <f t="shared" si="0"/>
        <v>#DIV/0!</v>
      </c>
      <c r="N50" s="10">
        <v>0</v>
      </c>
      <c r="O50" s="12" t="e">
        <f t="shared" si="1"/>
        <v>#DIV/0!</v>
      </c>
      <c r="P50" s="271">
        <v>266</v>
      </c>
      <c r="Q50" s="10">
        <v>0</v>
      </c>
      <c r="R50" s="12"/>
      <c r="S50" s="14"/>
      <c r="T50" s="12"/>
      <c r="U50" s="14"/>
      <c r="V50" s="12" t="s">
        <v>1493</v>
      </c>
      <c r="W50" s="12"/>
      <c r="X50" s="12"/>
      <c r="Y50" s="12"/>
      <c r="Z50" s="12"/>
      <c r="AA50" s="12"/>
      <c r="AB50" s="12"/>
      <c r="AC50" s="14"/>
      <c r="AD50" s="12"/>
      <c r="AE50" s="12"/>
      <c r="AF50" s="12"/>
    </row>
    <row r="51" spans="1:32">
      <c r="A51" s="12">
        <v>40</v>
      </c>
      <c r="B51" s="10" t="s">
        <v>33</v>
      </c>
      <c r="C51" s="10" t="s">
        <v>1489</v>
      </c>
      <c r="D51" s="10" t="s">
        <v>1559</v>
      </c>
      <c r="E51" s="10" t="s">
        <v>1573</v>
      </c>
      <c r="F51" s="25" t="s">
        <v>1574</v>
      </c>
      <c r="G51" s="10">
        <v>481.04</v>
      </c>
      <c r="H51" s="10">
        <v>123</v>
      </c>
      <c r="I51" s="10">
        <v>688</v>
      </c>
      <c r="J51" s="10">
        <v>341</v>
      </c>
      <c r="K51" s="10">
        <v>347</v>
      </c>
      <c r="L51" s="10">
        <v>0</v>
      </c>
      <c r="M51" s="12">
        <f t="shared" si="0"/>
        <v>0</v>
      </c>
      <c r="N51" s="10">
        <v>563</v>
      </c>
      <c r="O51" s="12">
        <f t="shared" si="1"/>
        <v>81.831395348837205</v>
      </c>
      <c r="P51" s="271">
        <v>166</v>
      </c>
      <c r="Q51" s="10">
        <v>0</v>
      </c>
      <c r="R51" s="12"/>
      <c r="S51" s="14"/>
      <c r="T51" s="12"/>
      <c r="U51" s="14"/>
      <c r="V51" s="12" t="s">
        <v>1493</v>
      </c>
      <c r="W51" s="12"/>
      <c r="X51" s="12"/>
      <c r="Y51" s="12"/>
      <c r="Z51" s="12"/>
      <c r="AA51" s="12"/>
      <c r="AB51" s="12"/>
      <c r="AC51" s="14"/>
      <c r="AD51" s="12"/>
      <c r="AE51" s="12"/>
      <c r="AF51" s="12"/>
    </row>
    <row r="52" spans="1:32">
      <c r="A52" s="12">
        <v>41</v>
      </c>
      <c r="B52" s="10" t="s">
        <v>33</v>
      </c>
      <c r="C52" s="10" t="s">
        <v>1489</v>
      </c>
      <c r="D52" s="10" t="s">
        <v>1559</v>
      </c>
      <c r="E52" s="10" t="s">
        <v>1575</v>
      </c>
      <c r="F52" s="25" t="s">
        <v>1576</v>
      </c>
      <c r="G52" s="10">
        <v>588</v>
      </c>
      <c r="H52" s="10">
        <v>154</v>
      </c>
      <c r="I52" s="10">
        <v>836</v>
      </c>
      <c r="J52" s="10">
        <v>454</v>
      </c>
      <c r="K52" s="10">
        <v>382</v>
      </c>
      <c r="L52" s="10">
        <v>141</v>
      </c>
      <c r="M52" s="12">
        <f t="shared" si="0"/>
        <v>16.866028708133971</v>
      </c>
      <c r="N52" s="10">
        <v>0</v>
      </c>
      <c r="O52" s="12">
        <f t="shared" si="1"/>
        <v>0</v>
      </c>
      <c r="P52" s="271">
        <v>0</v>
      </c>
      <c r="Q52" s="10">
        <v>4</v>
      </c>
      <c r="R52" s="12" t="s">
        <v>39</v>
      </c>
      <c r="S52" s="11" t="s">
        <v>1577</v>
      </c>
      <c r="T52" s="12"/>
      <c r="U52" s="11">
        <v>110.73</v>
      </c>
      <c r="V52" s="12" t="s">
        <v>1493</v>
      </c>
      <c r="W52" s="12"/>
      <c r="X52" s="12"/>
      <c r="Y52" s="12"/>
      <c r="Z52" s="12"/>
      <c r="AA52" s="12"/>
      <c r="AB52" s="12" t="s">
        <v>39</v>
      </c>
      <c r="AC52" s="9">
        <v>15</v>
      </c>
      <c r="AD52" s="12" t="s">
        <v>1494</v>
      </c>
      <c r="AE52" s="12"/>
      <c r="AF52" s="12"/>
    </row>
    <row r="53" spans="1:32">
      <c r="A53" s="12" t="s">
        <v>51</v>
      </c>
      <c r="B53" s="10" t="s">
        <v>33</v>
      </c>
      <c r="C53" s="10" t="s">
        <v>1489</v>
      </c>
      <c r="D53" s="10" t="s">
        <v>1559</v>
      </c>
      <c r="E53" s="10" t="s">
        <v>1575</v>
      </c>
      <c r="F53" s="25"/>
      <c r="G53" s="10"/>
      <c r="H53" s="10"/>
      <c r="I53" s="10"/>
      <c r="J53" s="10"/>
      <c r="K53" s="10"/>
      <c r="L53" s="10"/>
      <c r="M53" s="12" t="e">
        <f t="shared" si="0"/>
        <v>#DIV/0!</v>
      </c>
      <c r="N53" s="10"/>
      <c r="O53" s="12" t="e">
        <f t="shared" si="1"/>
        <v>#DIV/0!</v>
      </c>
      <c r="P53" s="271"/>
      <c r="Q53" s="10">
        <v>0</v>
      </c>
      <c r="R53" s="12"/>
      <c r="S53" s="11"/>
      <c r="T53" s="12"/>
      <c r="U53" s="11"/>
      <c r="V53" s="12"/>
      <c r="W53" s="12"/>
      <c r="X53" s="12"/>
      <c r="Y53" s="12"/>
      <c r="Z53" s="12"/>
      <c r="AA53" s="12"/>
      <c r="AB53" s="12" t="s">
        <v>39</v>
      </c>
      <c r="AC53" s="9">
        <v>14</v>
      </c>
      <c r="AD53" s="12" t="s">
        <v>326</v>
      </c>
      <c r="AE53" s="12">
        <v>25.21</v>
      </c>
      <c r="AF53" s="12">
        <v>77.2</v>
      </c>
    </row>
    <row r="54" spans="1:32">
      <c r="A54" s="12" t="s">
        <v>51</v>
      </c>
      <c r="B54" s="10" t="s">
        <v>33</v>
      </c>
      <c r="C54" s="10" t="s">
        <v>1489</v>
      </c>
      <c r="D54" s="10" t="s">
        <v>1559</v>
      </c>
      <c r="E54" s="10" t="s">
        <v>1575</v>
      </c>
      <c r="F54" s="25"/>
      <c r="G54" s="10"/>
      <c r="H54" s="10"/>
      <c r="I54" s="10"/>
      <c r="J54" s="10"/>
      <c r="K54" s="10"/>
      <c r="L54" s="10"/>
      <c r="M54" s="12"/>
      <c r="N54" s="10"/>
      <c r="O54" s="12"/>
      <c r="P54" s="271"/>
      <c r="Q54" s="10"/>
      <c r="R54" s="12"/>
      <c r="S54" s="11"/>
      <c r="T54" s="12"/>
      <c r="U54" s="11"/>
      <c r="V54" s="12"/>
      <c r="W54" s="12"/>
      <c r="X54" s="12"/>
      <c r="Y54" s="12"/>
      <c r="Z54" s="12"/>
      <c r="AA54" s="12"/>
      <c r="AB54" s="12"/>
      <c r="AC54" s="9">
        <v>6</v>
      </c>
      <c r="AD54" s="12"/>
      <c r="AE54" s="12"/>
      <c r="AF54" s="12"/>
    </row>
    <row r="55" spans="1:32">
      <c r="A55" s="12">
        <v>42</v>
      </c>
      <c r="B55" s="10" t="s">
        <v>33</v>
      </c>
      <c r="C55" s="10" t="s">
        <v>1489</v>
      </c>
      <c r="D55" s="10" t="s">
        <v>1559</v>
      </c>
      <c r="E55" s="10" t="s">
        <v>1578</v>
      </c>
      <c r="F55" s="25" t="s">
        <v>1579</v>
      </c>
      <c r="G55" s="10">
        <v>730.32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2" t="e">
        <f t="shared" si="0"/>
        <v>#DIV/0!</v>
      </c>
      <c r="N55" s="10">
        <v>0</v>
      </c>
      <c r="O55" s="12" t="e">
        <f t="shared" si="1"/>
        <v>#DIV/0!</v>
      </c>
      <c r="P55" s="271">
        <v>0</v>
      </c>
      <c r="Q55" s="10">
        <v>0</v>
      </c>
      <c r="R55" s="12"/>
      <c r="S55" s="14"/>
      <c r="T55" s="12"/>
      <c r="U55" s="14"/>
      <c r="V55" s="12" t="s">
        <v>1493</v>
      </c>
      <c r="W55" s="12"/>
      <c r="X55" s="12"/>
      <c r="Y55" s="12"/>
      <c r="Z55" s="12"/>
      <c r="AA55" s="12"/>
      <c r="AB55" s="12"/>
      <c r="AC55" s="14"/>
      <c r="AD55" s="12"/>
      <c r="AE55" s="12"/>
      <c r="AF55" s="12"/>
    </row>
    <row r="56" spans="1:32">
      <c r="A56" s="12">
        <v>43</v>
      </c>
      <c r="B56" s="10" t="s">
        <v>33</v>
      </c>
      <c r="C56" s="10" t="s">
        <v>1489</v>
      </c>
      <c r="D56" s="10" t="s">
        <v>1580</v>
      </c>
      <c r="E56" s="16" t="s">
        <v>1581</v>
      </c>
      <c r="F56" s="25" t="s">
        <v>1582</v>
      </c>
      <c r="G56" s="10">
        <v>540</v>
      </c>
      <c r="H56" s="10">
        <v>305</v>
      </c>
      <c r="I56" s="10">
        <v>1570</v>
      </c>
      <c r="J56" s="10">
        <v>825</v>
      </c>
      <c r="K56" s="10">
        <v>745</v>
      </c>
      <c r="L56" s="10">
        <v>763</v>
      </c>
      <c r="M56" s="12">
        <f t="shared" si="0"/>
        <v>48.598726114649679</v>
      </c>
      <c r="N56" s="10">
        <v>1</v>
      </c>
      <c r="O56" s="12">
        <f t="shared" si="1"/>
        <v>6.3694267515923567E-2</v>
      </c>
      <c r="P56" s="271">
        <v>0</v>
      </c>
      <c r="Q56" s="10">
        <v>160</v>
      </c>
      <c r="R56" s="12"/>
      <c r="S56" s="14"/>
      <c r="T56" s="12"/>
      <c r="U56" s="14"/>
      <c r="V56" s="12" t="s">
        <v>1493</v>
      </c>
      <c r="W56" s="12"/>
      <c r="X56" s="12"/>
      <c r="Y56" s="12"/>
      <c r="Z56" s="12"/>
      <c r="AA56" s="12"/>
      <c r="AB56" s="12"/>
      <c r="AC56" s="14">
        <v>12</v>
      </c>
      <c r="AD56" s="12"/>
      <c r="AE56" s="12"/>
      <c r="AF56" s="12"/>
    </row>
    <row r="57" spans="1:32">
      <c r="A57" s="12">
        <v>44</v>
      </c>
      <c r="B57" s="10" t="s">
        <v>33</v>
      </c>
      <c r="C57" s="10" t="s">
        <v>1489</v>
      </c>
      <c r="D57" s="10" t="s">
        <v>1580</v>
      </c>
      <c r="E57" s="10" t="s">
        <v>1583</v>
      </c>
      <c r="F57" s="25" t="s">
        <v>1584</v>
      </c>
      <c r="G57" s="10">
        <v>235</v>
      </c>
      <c r="H57" s="10">
        <v>149</v>
      </c>
      <c r="I57" s="10">
        <v>679</v>
      </c>
      <c r="J57" s="10">
        <v>357</v>
      </c>
      <c r="K57" s="10">
        <v>322</v>
      </c>
      <c r="L57" s="10">
        <v>133</v>
      </c>
      <c r="M57" s="12">
        <f t="shared" si="0"/>
        <v>19.587628865979383</v>
      </c>
      <c r="N57" s="10">
        <v>0</v>
      </c>
      <c r="O57" s="12">
        <f t="shared" si="1"/>
        <v>0</v>
      </c>
      <c r="P57" s="271">
        <v>0</v>
      </c>
      <c r="Q57" s="10">
        <v>138</v>
      </c>
      <c r="R57" s="12" t="s">
        <v>39</v>
      </c>
      <c r="S57" s="18" t="s">
        <v>1585</v>
      </c>
      <c r="T57" s="12"/>
      <c r="U57" s="31">
        <v>64.33</v>
      </c>
      <c r="V57" s="12" t="s">
        <v>1493</v>
      </c>
      <c r="W57" s="12"/>
      <c r="X57" s="12"/>
      <c r="Y57" s="12"/>
      <c r="Z57" s="12"/>
      <c r="AA57" s="12"/>
      <c r="AB57" s="12" t="s">
        <v>39</v>
      </c>
      <c r="AC57" s="18">
        <v>8</v>
      </c>
      <c r="AD57" s="12" t="s">
        <v>1494</v>
      </c>
      <c r="AE57" s="12">
        <v>25.2638</v>
      </c>
      <c r="AF57" s="12">
        <v>77.102500000000006</v>
      </c>
    </row>
    <row r="58" spans="1:32">
      <c r="A58" s="12">
        <v>45</v>
      </c>
      <c r="B58" s="10" t="s">
        <v>33</v>
      </c>
      <c r="C58" s="10" t="s">
        <v>1489</v>
      </c>
      <c r="D58" s="10" t="s">
        <v>1580</v>
      </c>
      <c r="E58" s="10" t="s">
        <v>1586</v>
      </c>
      <c r="F58" s="25" t="s">
        <v>1587</v>
      </c>
      <c r="G58" s="10">
        <v>162</v>
      </c>
      <c r="H58" s="10">
        <v>27</v>
      </c>
      <c r="I58" s="10">
        <v>116</v>
      </c>
      <c r="J58" s="10">
        <v>65</v>
      </c>
      <c r="K58" s="10">
        <v>51</v>
      </c>
      <c r="L58" s="10">
        <v>0</v>
      </c>
      <c r="M58" s="12">
        <f t="shared" si="0"/>
        <v>0</v>
      </c>
      <c r="N58" s="10">
        <v>115</v>
      </c>
      <c r="O58" s="12">
        <f t="shared" si="1"/>
        <v>99.137931034482762</v>
      </c>
      <c r="P58" s="271">
        <v>4</v>
      </c>
      <c r="Q58" s="10">
        <v>0</v>
      </c>
      <c r="R58" s="12" t="s">
        <v>39</v>
      </c>
      <c r="S58" s="18" t="s">
        <v>1585</v>
      </c>
      <c r="T58" s="12"/>
      <c r="U58" s="31">
        <v>0.19</v>
      </c>
      <c r="V58" s="12" t="s">
        <v>1493</v>
      </c>
      <c r="W58" s="12"/>
      <c r="X58" s="12"/>
      <c r="Y58" s="12"/>
      <c r="Z58" s="12"/>
      <c r="AA58" s="12"/>
      <c r="AB58" s="12"/>
      <c r="AC58" s="18"/>
      <c r="AD58" s="12"/>
      <c r="AE58" s="12"/>
      <c r="AF58" s="12"/>
    </row>
    <row r="59" spans="1:32">
      <c r="A59" s="12">
        <v>46</v>
      </c>
      <c r="B59" s="10" t="s">
        <v>33</v>
      </c>
      <c r="C59" s="10" t="s">
        <v>1489</v>
      </c>
      <c r="D59" s="10" t="s">
        <v>1580</v>
      </c>
      <c r="E59" s="10" t="s">
        <v>56</v>
      </c>
      <c r="F59" s="25" t="s">
        <v>1588</v>
      </c>
      <c r="G59" s="10">
        <v>182</v>
      </c>
      <c r="H59" s="10">
        <v>45</v>
      </c>
      <c r="I59" s="10">
        <v>198</v>
      </c>
      <c r="J59" s="10">
        <v>100</v>
      </c>
      <c r="K59" s="10">
        <v>98</v>
      </c>
      <c r="L59" s="10">
        <v>73</v>
      </c>
      <c r="M59" s="12">
        <f t="shared" si="0"/>
        <v>36.868686868686865</v>
      </c>
      <c r="N59" s="10">
        <v>0</v>
      </c>
      <c r="O59" s="12">
        <f t="shared" si="1"/>
        <v>0</v>
      </c>
      <c r="P59" s="271">
        <v>0</v>
      </c>
      <c r="Q59" s="10">
        <v>83</v>
      </c>
      <c r="R59" s="12" t="s">
        <v>39</v>
      </c>
      <c r="S59" s="18" t="s">
        <v>1585</v>
      </c>
      <c r="T59" s="12"/>
      <c r="U59" s="31">
        <v>24.34</v>
      </c>
      <c r="V59" s="12" t="s">
        <v>1493</v>
      </c>
      <c r="W59" s="12"/>
      <c r="X59" s="12"/>
      <c r="Y59" s="12"/>
      <c r="Z59" s="12"/>
      <c r="AA59" s="12"/>
      <c r="AB59" s="12" t="s">
        <v>39</v>
      </c>
      <c r="AC59" s="31">
        <v>8</v>
      </c>
      <c r="AD59" t="s">
        <v>1494</v>
      </c>
      <c r="AE59" s="12">
        <v>25.215</v>
      </c>
      <c r="AF59" s="12">
        <v>77.265000000000001</v>
      </c>
    </row>
    <row r="60" spans="1:32">
      <c r="A60" s="12" t="s">
        <v>51</v>
      </c>
      <c r="B60" s="10" t="s">
        <v>33</v>
      </c>
      <c r="C60" s="10" t="s">
        <v>1489</v>
      </c>
      <c r="D60" s="10" t="s">
        <v>1580</v>
      </c>
      <c r="E60" s="10" t="s">
        <v>56</v>
      </c>
      <c r="F60" s="25"/>
      <c r="G60" s="10"/>
      <c r="H60" s="10"/>
      <c r="I60" s="10"/>
      <c r="J60" s="10"/>
      <c r="K60" s="10"/>
      <c r="L60" s="10"/>
      <c r="M60" s="12"/>
      <c r="N60" s="10"/>
      <c r="O60" s="12"/>
      <c r="P60" s="271"/>
      <c r="Q60" s="10"/>
      <c r="R60" s="12"/>
      <c r="S60" s="18"/>
      <c r="T60" s="12"/>
      <c r="U60" s="31"/>
      <c r="V60" s="12"/>
      <c r="W60" s="12"/>
      <c r="X60" s="12"/>
      <c r="Y60" s="12"/>
      <c r="Z60" s="12"/>
      <c r="AA60" s="12"/>
      <c r="AB60" s="12"/>
      <c r="AC60" s="31">
        <v>10</v>
      </c>
      <c r="AD60" s="12" t="s">
        <v>1494</v>
      </c>
      <c r="AE60" s="12"/>
      <c r="AF60" s="12"/>
    </row>
    <row r="61" spans="1:32">
      <c r="A61" s="12">
        <v>47</v>
      </c>
      <c r="B61" s="10" t="s">
        <v>33</v>
      </c>
      <c r="C61" s="10" t="s">
        <v>1489</v>
      </c>
      <c r="D61" s="10" t="s">
        <v>1580</v>
      </c>
      <c r="E61" s="10" t="s">
        <v>1589</v>
      </c>
      <c r="F61" s="25" t="s">
        <v>1590</v>
      </c>
      <c r="G61" s="10">
        <v>203</v>
      </c>
      <c r="H61" s="10">
        <v>57</v>
      </c>
      <c r="I61" s="10">
        <v>285</v>
      </c>
      <c r="J61" s="10">
        <v>152</v>
      </c>
      <c r="K61" s="10">
        <v>133</v>
      </c>
      <c r="L61" s="10">
        <v>119</v>
      </c>
      <c r="M61" s="12">
        <f t="shared" si="0"/>
        <v>41.754385964912281</v>
      </c>
      <c r="N61" s="10">
        <v>0</v>
      </c>
      <c r="O61" s="12">
        <f t="shared" si="1"/>
        <v>0</v>
      </c>
      <c r="P61" s="271">
        <v>0</v>
      </c>
      <c r="Q61" s="10">
        <v>68</v>
      </c>
      <c r="R61" s="12" t="s">
        <v>39</v>
      </c>
      <c r="S61" s="18" t="s">
        <v>1585</v>
      </c>
      <c r="T61" s="12"/>
      <c r="U61" s="31">
        <v>34.1</v>
      </c>
      <c r="V61" s="12" t="s">
        <v>1493</v>
      </c>
      <c r="W61" s="12"/>
      <c r="X61" s="12"/>
      <c r="Y61" s="12"/>
      <c r="Z61" s="12"/>
      <c r="AA61" s="12"/>
      <c r="AB61" s="12"/>
      <c r="AC61" s="18">
        <v>18</v>
      </c>
      <c r="AD61" s="12" t="s">
        <v>1494</v>
      </c>
      <c r="AE61" s="12"/>
      <c r="AF61" s="12"/>
    </row>
    <row r="62" spans="1:32">
      <c r="A62" s="12">
        <v>48</v>
      </c>
      <c r="B62" s="10" t="s">
        <v>33</v>
      </c>
      <c r="C62" s="10" t="s">
        <v>1489</v>
      </c>
      <c r="D62" s="10" t="s">
        <v>1580</v>
      </c>
      <c r="E62" s="10" t="s">
        <v>1591</v>
      </c>
      <c r="F62" s="25" t="s">
        <v>1592</v>
      </c>
      <c r="G62" s="10">
        <v>315</v>
      </c>
      <c r="H62" s="10">
        <v>6</v>
      </c>
      <c r="I62" s="10">
        <v>29</v>
      </c>
      <c r="J62" s="10">
        <v>18</v>
      </c>
      <c r="K62" s="10">
        <v>11</v>
      </c>
      <c r="L62" s="10">
        <v>0</v>
      </c>
      <c r="M62" s="12">
        <f t="shared" si="0"/>
        <v>0</v>
      </c>
      <c r="N62" s="10">
        <v>0</v>
      </c>
      <c r="O62" s="12">
        <f t="shared" si="1"/>
        <v>0</v>
      </c>
      <c r="P62" s="271">
        <v>160</v>
      </c>
      <c r="Q62" s="10">
        <v>0</v>
      </c>
      <c r="R62" s="12"/>
      <c r="S62" s="14"/>
      <c r="T62" s="12"/>
      <c r="U62" s="14"/>
      <c r="V62" s="12" t="s">
        <v>1493</v>
      </c>
      <c r="W62" s="12"/>
      <c r="X62" s="12"/>
      <c r="Y62" s="12"/>
      <c r="Z62" s="12"/>
      <c r="AA62" s="12"/>
      <c r="AB62" s="12"/>
      <c r="AC62" s="14"/>
      <c r="AD62" s="12"/>
      <c r="AE62" s="12"/>
      <c r="AF62" s="12"/>
    </row>
    <row r="63" spans="1:32">
      <c r="A63" s="12">
        <v>49</v>
      </c>
      <c r="B63" s="10" t="s">
        <v>33</v>
      </c>
      <c r="C63" s="10" t="s">
        <v>1489</v>
      </c>
      <c r="D63" s="10" t="s">
        <v>1580</v>
      </c>
      <c r="E63" s="10" t="s">
        <v>1593</v>
      </c>
      <c r="F63" s="25" t="s">
        <v>1594</v>
      </c>
      <c r="G63" s="10">
        <v>288</v>
      </c>
      <c r="H63" s="10">
        <v>19</v>
      </c>
      <c r="I63" s="10">
        <v>83</v>
      </c>
      <c r="J63" s="10">
        <v>40</v>
      </c>
      <c r="K63" s="10">
        <v>43</v>
      </c>
      <c r="L63" s="10">
        <v>62</v>
      </c>
      <c r="M63" s="12">
        <f t="shared" si="0"/>
        <v>74.698795180722882</v>
      </c>
      <c r="N63" s="10">
        <v>0</v>
      </c>
      <c r="O63" s="12">
        <f t="shared" si="1"/>
        <v>0</v>
      </c>
      <c r="P63" s="271">
        <v>138</v>
      </c>
      <c r="Q63" s="10">
        <v>350</v>
      </c>
      <c r="R63" s="12"/>
      <c r="S63" s="14"/>
      <c r="T63" s="12"/>
      <c r="U63" s="14"/>
      <c r="V63" s="12" t="s">
        <v>1493</v>
      </c>
      <c r="W63" s="12"/>
      <c r="X63" s="12"/>
      <c r="Y63" s="12"/>
      <c r="Z63" s="12"/>
      <c r="AA63" s="12"/>
      <c r="AB63" s="12"/>
      <c r="AC63" s="14"/>
      <c r="AD63" s="12"/>
      <c r="AE63" s="12"/>
      <c r="AF63" s="12"/>
    </row>
    <row r="64" spans="1:32">
      <c r="A64" s="12">
        <v>50</v>
      </c>
      <c r="B64" s="10" t="s">
        <v>33</v>
      </c>
      <c r="C64" s="10" t="s">
        <v>1489</v>
      </c>
      <c r="D64" s="10" t="s">
        <v>1580</v>
      </c>
      <c r="E64" s="10" t="s">
        <v>1595</v>
      </c>
      <c r="F64" s="25" t="s">
        <v>1596</v>
      </c>
      <c r="G64" s="10">
        <v>252</v>
      </c>
      <c r="H64" s="10">
        <v>103</v>
      </c>
      <c r="I64" s="10">
        <v>506</v>
      </c>
      <c r="J64" s="10">
        <v>255</v>
      </c>
      <c r="K64" s="10">
        <v>251</v>
      </c>
      <c r="L64" s="10">
        <v>417</v>
      </c>
      <c r="M64" s="12">
        <f t="shared" si="0"/>
        <v>82.411067193675891</v>
      </c>
      <c r="N64" s="10">
        <v>0</v>
      </c>
      <c r="O64" s="12">
        <f t="shared" si="1"/>
        <v>0</v>
      </c>
      <c r="P64" s="271">
        <v>0</v>
      </c>
      <c r="Q64" s="10">
        <v>403</v>
      </c>
      <c r="R64" s="12" t="s">
        <v>39</v>
      </c>
      <c r="S64" s="18" t="s">
        <v>1585</v>
      </c>
      <c r="T64" s="12"/>
      <c r="U64" s="18">
        <v>20</v>
      </c>
      <c r="V64" s="12" t="s">
        <v>1493</v>
      </c>
      <c r="W64" s="12"/>
      <c r="X64" s="12"/>
      <c r="Y64" s="12"/>
      <c r="Z64" s="12"/>
      <c r="AA64" s="12"/>
      <c r="AB64" s="12"/>
      <c r="AC64" s="18"/>
      <c r="AD64" s="12"/>
      <c r="AE64" s="12"/>
      <c r="AF64" s="12"/>
    </row>
    <row r="65" spans="1:32">
      <c r="A65" s="12">
        <v>51</v>
      </c>
      <c r="B65" s="10" t="s">
        <v>33</v>
      </c>
      <c r="C65" s="10" t="s">
        <v>1489</v>
      </c>
      <c r="D65" s="10" t="s">
        <v>1580</v>
      </c>
      <c r="E65" s="10" t="s">
        <v>1597</v>
      </c>
      <c r="F65" s="25" t="s">
        <v>1598</v>
      </c>
      <c r="G65" s="10">
        <v>313</v>
      </c>
      <c r="H65" s="10">
        <v>166</v>
      </c>
      <c r="I65" s="10">
        <v>881</v>
      </c>
      <c r="J65" s="10">
        <v>447</v>
      </c>
      <c r="K65" s="10">
        <v>434</v>
      </c>
      <c r="L65" s="10">
        <v>0</v>
      </c>
      <c r="M65" s="12">
        <f t="shared" si="0"/>
        <v>0</v>
      </c>
      <c r="N65" s="10">
        <v>785</v>
      </c>
      <c r="O65" s="12">
        <f t="shared" si="1"/>
        <v>89.103291713961411</v>
      </c>
      <c r="P65" s="271">
        <v>83</v>
      </c>
      <c r="Q65" s="10">
        <v>29.88</v>
      </c>
      <c r="R65" s="12" t="s">
        <v>39</v>
      </c>
      <c r="S65" s="18" t="s">
        <v>1585</v>
      </c>
      <c r="T65" s="12"/>
      <c r="U65" s="31">
        <v>38.56</v>
      </c>
      <c r="V65" s="12" t="s">
        <v>1493</v>
      </c>
      <c r="W65" s="12"/>
      <c r="X65" s="12"/>
      <c r="Y65" s="12"/>
      <c r="Z65" s="12"/>
      <c r="AA65" s="12"/>
      <c r="AB65" s="12" t="s">
        <v>39</v>
      </c>
      <c r="AC65" s="18">
        <v>12</v>
      </c>
      <c r="AD65" s="12" t="s">
        <v>1494</v>
      </c>
      <c r="AE65" s="12"/>
      <c r="AF65" s="12"/>
    </row>
    <row r="66" spans="1:32">
      <c r="A66" s="12">
        <v>52</v>
      </c>
      <c r="B66" s="10" t="s">
        <v>33</v>
      </c>
      <c r="C66" s="10" t="s">
        <v>1489</v>
      </c>
      <c r="D66" s="10" t="s">
        <v>1580</v>
      </c>
      <c r="E66" s="10" t="s">
        <v>1599</v>
      </c>
      <c r="F66" s="25" t="s">
        <v>1600</v>
      </c>
      <c r="G66" s="10">
        <v>164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2" t="e">
        <f t="shared" si="0"/>
        <v>#DIV/0!</v>
      </c>
      <c r="N66" s="10">
        <v>0</v>
      </c>
      <c r="O66" s="12" t="e">
        <f t="shared" si="1"/>
        <v>#DIV/0!</v>
      </c>
      <c r="P66" s="271">
        <v>68</v>
      </c>
      <c r="Q66" s="10">
        <v>162</v>
      </c>
      <c r="R66" s="12"/>
      <c r="S66" s="14"/>
      <c r="T66" s="12"/>
      <c r="U66" s="14"/>
      <c r="V66" s="12" t="s">
        <v>1493</v>
      </c>
      <c r="W66" s="12"/>
      <c r="X66" s="12"/>
      <c r="Y66" s="12"/>
      <c r="Z66" s="12"/>
      <c r="AA66" s="12"/>
      <c r="AB66" s="12"/>
      <c r="AC66" s="14"/>
      <c r="AD66" s="12"/>
      <c r="AE66" s="12"/>
      <c r="AF66" s="12"/>
    </row>
    <row r="67" spans="1:32">
      <c r="A67" s="12">
        <v>53</v>
      </c>
      <c r="B67" s="10" t="s">
        <v>33</v>
      </c>
      <c r="C67" s="10" t="s">
        <v>1489</v>
      </c>
      <c r="D67" s="10" t="s">
        <v>1580</v>
      </c>
      <c r="E67" s="10" t="s">
        <v>1450</v>
      </c>
      <c r="F67" s="25" t="s">
        <v>1601</v>
      </c>
      <c r="G67" s="10">
        <v>106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2" t="e">
        <f t="shared" si="0"/>
        <v>#DIV/0!</v>
      </c>
      <c r="N67" s="10">
        <v>0</v>
      </c>
      <c r="O67" s="12" t="e">
        <f t="shared" si="1"/>
        <v>#DIV/0!</v>
      </c>
      <c r="P67" s="271">
        <v>0</v>
      </c>
      <c r="Q67" s="10">
        <v>283</v>
      </c>
      <c r="R67" s="12"/>
      <c r="S67" s="14"/>
      <c r="T67" s="12"/>
      <c r="U67" s="14"/>
      <c r="V67" s="12" t="s">
        <v>1493</v>
      </c>
      <c r="W67" s="12"/>
      <c r="X67" s="12"/>
      <c r="Y67" s="12"/>
      <c r="Z67" s="12"/>
      <c r="AA67" s="12"/>
      <c r="AB67" s="12"/>
      <c r="AC67" s="14"/>
      <c r="AD67" s="12"/>
      <c r="AE67" s="12"/>
      <c r="AF67" s="12"/>
    </row>
    <row r="68" spans="1:32">
      <c r="A68" s="12">
        <v>54</v>
      </c>
      <c r="B68" s="10" t="s">
        <v>33</v>
      </c>
      <c r="C68" s="10" t="s">
        <v>1489</v>
      </c>
      <c r="D68" s="10" t="s">
        <v>1580</v>
      </c>
      <c r="E68" s="10" t="s">
        <v>1602</v>
      </c>
      <c r="F68" s="25" t="s">
        <v>1603</v>
      </c>
      <c r="G68" s="10">
        <v>670</v>
      </c>
      <c r="H68" s="10">
        <v>147</v>
      </c>
      <c r="I68" s="10">
        <v>701</v>
      </c>
      <c r="J68" s="10">
        <v>381</v>
      </c>
      <c r="K68" s="10">
        <v>320</v>
      </c>
      <c r="L68" s="10">
        <v>102</v>
      </c>
      <c r="M68" s="12">
        <f t="shared" si="0"/>
        <v>14.550641940085592</v>
      </c>
      <c r="N68" s="10">
        <v>0</v>
      </c>
      <c r="O68" s="12">
        <f t="shared" si="1"/>
        <v>0</v>
      </c>
      <c r="P68" s="271">
        <v>350</v>
      </c>
      <c r="Q68" s="10">
        <v>599</v>
      </c>
      <c r="R68" s="12" t="s">
        <v>39</v>
      </c>
      <c r="S68" s="18" t="s">
        <v>1585</v>
      </c>
      <c r="T68" s="12"/>
      <c r="U68" s="31">
        <v>61.46</v>
      </c>
      <c r="V68" s="12" t="s">
        <v>1493</v>
      </c>
      <c r="W68" s="12"/>
      <c r="X68" s="12"/>
      <c r="Y68" s="12"/>
      <c r="Z68" s="12"/>
      <c r="AA68" s="12"/>
      <c r="AB68" s="12"/>
      <c r="AC68" s="18">
        <v>11</v>
      </c>
      <c r="AD68" s="12"/>
      <c r="AE68" s="12"/>
      <c r="AF68" s="12"/>
    </row>
    <row r="69" spans="1:32">
      <c r="A69" s="12">
        <v>55</v>
      </c>
      <c r="B69" s="10" t="s">
        <v>33</v>
      </c>
      <c r="C69" s="10" t="s">
        <v>1489</v>
      </c>
      <c r="D69" s="10" t="s">
        <v>1604</v>
      </c>
      <c r="E69" s="16" t="s">
        <v>1605</v>
      </c>
      <c r="F69" s="25" t="s">
        <v>1606</v>
      </c>
      <c r="G69" s="10">
        <v>749</v>
      </c>
      <c r="H69" s="10">
        <v>197</v>
      </c>
      <c r="I69" s="10">
        <v>883</v>
      </c>
      <c r="J69" s="10">
        <v>440</v>
      </c>
      <c r="K69" s="10">
        <v>443</v>
      </c>
      <c r="L69" s="10">
        <v>250</v>
      </c>
      <c r="M69" s="12">
        <f t="shared" si="0"/>
        <v>28.312570781426956</v>
      </c>
      <c r="N69" s="10">
        <v>410</v>
      </c>
      <c r="O69" s="12">
        <f t="shared" si="1"/>
        <v>46.432616081540203</v>
      </c>
      <c r="P69" s="271">
        <v>403</v>
      </c>
      <c r="Q69" s="10">
        <v>373</v>
      </c>
      <c r="R69" s="12" t="s">
        <v>39</v>
      </c>
      <c r="S69" s="11" t="s">
        <v>1544</v>
      </c>
      <c r="T69" s="12"/>
      <c r="U69" s="9"/>
      <c r="V69" s="12" t="s">
        <v>1493</v>
      </c>
      <c r="W69" s="12"/>
      <c r="X69" s="12"/>
      <c r="Y69" s="12"/>
      <c r="Z69" s="12"/>
      <c r="AA69" s="12"/>
      <c r="AB69" s="12"/>
      <c r="AC69" s="9"/>
      <c r="AD69" s="12"/>
      <c r="AE69" s="12"/>
      <c r="AF69" s="12"/>
    </row>
    <row r="70" spans="1:32">
      <c r="A70" s="12">
        <v>56</v>
      </c>
      <c r="B70" s="10" t="s">
        <v>33</v>
      </c>
      <c r="C70" s="10" t="s">
        <v>1489</v>
      </c>
      <c r="D70" s="10" t="s">
        <v>1604</v>
      </c>
      <c r="E70" s="10" t="s">
        <v>101</v>
      </c>
      <c r="F70" s="25" t="s">
        <v>1607</v>
      </c>
      <c r="G70" s="10">
        <v>173.16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2" t="e">
        <f t="shared" si="0"/>
        <v>#DIV/0!</v>
      </c>
      <c r="N70" s="10">
        <v>0</v>
      </c>
      <c r="O70" s="12" t="e">
        <f t="shared" si="1"/>
        <v>#DIV/0!</v>
      </c>
      <c r="P70" s="271">
        <v>29.88</v>
      </c>
      <c r="Q70" s="10">
        <v>645</v>
      </c>
      <c r="R70" s="12"/>
      <c r="S70" s="14"/>
      <c r="T70" s="12"/>
      <c r="U70" s="14"/>
      <c r="V70" s="12" t="s">
        <v>1493</v>
      </c>
      <c r="W70" s="12"/>
      <c r="X70" s="12"/>
      <c r="Y70" s="12"/>
      <c r="Z70" s="12"/>
      <c r="AA70" s="12"/>
      <c r="AB70" s="12"/>
      <c r="AC70" s="14"/>
      <c r="AD70" s="12"/>
      <c r="AE70" s="12"/>
      <c r="AF70" s="12"/>
    </row>
    <row r="71" spans="1:32">
      <c r="A71" s="12">
        <v>57</v>
      </c>
      <c r="B71" s="10" t="s">
        <v>33</v>
      </c>
      <c r="C71" s="10" t="s">
        <v>1489</v>
      </c>
      <c r="D71" s="10" t="s">
        <v>1604</v>
      </c>
      <c r="E71" s="10" t="s">
        <v>1396</v>
      </c>
      <c r="F71" s="25" t="s">
        <v>1608</v>
      </c>
      <c r="G71" s="10">
        <v>309</v>
      </c>
      <c r="H71" s="10">
        <v>73</v>
      </c>
      <c r="I71" s="10">
        <v>302</v>
      </c>
      <c r="J71" s="10">
        <v>170</v>
      </c>
      <c r="K71" s="10">
        <v>132</v>
      </c>
      <c r="L71" s="10">
        <v>0</v>
      </c>
      <c r="M71" s="12">
        <f t="shared" si="0"/>
        <v>0</v>
      </c>
      <c r="N71" s="10">
        <v>112</v>
      </c>
      <c r="O71" s="12">
        <f t="shared" si="1"/>
        <v>37.086092715231786</v>
      </c>
      <c r="P71" s="271">
        <v>162</v>
      </c>
      <c r="Q71" s="10">
        <v>419</v>
      </c>
      <c r="R71" s="12"/>
      <c r="S71" s="14"/>
      <c r="T71" s="12"/>
      <c r="U71" s="14"/>
      <c r="V71" s="12" t="s">
        <v>1493</v>
      </c>
      <c r="W71" s="12"/>
      <c r="X71" s="12"/>
      <c r="Y71" s="12"/>
      <c r="Z71" s="12"/>
      <c r="AA71" s="12"/>
      <c r="AB71" s="12"/>
      <c r="AC71" s="14"/>
      <c r="AD71" s="12"/>
      <c r="AE71" s="12"/>
      <c r="AF71" s="12"/>
    </row>
    <row r="72" spans="1:32">
      <c r="A72" s="12">
        <v>58</v>
      </c>
      <c r="B72" s="10" t="s">
        <v>33</v>
      </c>
      <c r="C72" s="10" t="s">
        <v>1489</v>
      </c>
      <c r="D72" s="10" t="s">
        <v>1604</v>
      </c>
      <c r="E72" s="10" t="s">
        <v>1609</v>
      </c>
      <c r="F72" s="25" t="s">
        <v>1610</v>
      </c>
      <c r="G72" s="10">
        <v>283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2" t="e">
        <f t="shared" si="0"/>
        <v>#DIV/0!</v>
      </c>
      <c r="N72" s="10">
        <v>0</v>
      </c>
      <c r="O72" s="12" t="e">
        <f t="shared" si="1"/>
        <v>#DIV/0!</v>
      </c>
      <c r="P72" s="271">
        <v>283</v>
      </c>
      <c r="Q72" s="10">
        <v>713</v>
      </c>
      <c r="R72" s="12"/>
      <c r="S72" s="14"/>
      <c r="T72" s="12"/>
      <c r="U72" s="14"/>
      <c r="V72" s="12" t="s">
        <v>1493</v>
      </c>
      <c r="W72" s="12"/>
      <c r="X72" s="12"/>
      <c r="Y72" s="12"/>
      <c r="Z72" s="12"/>
      <c r="AA72" s="12"/>
      <c r="AB72" s="12"/>
      <c r="AC72" s="14"/>
      <c r="AD72" s="12"/>
      <c r="AE72" s="12"/>
      <c r="AF72" s="12"/>
    </row>
    <row r="73" spans="1:32">
      <c r="A73" s="12">
        <v>59</v>
      </c>
      <c r="B73" s="10" t="s">
        <v>33</v>
      </c>
      <c r="C73" s="10" t="s">
        <v>1489</v>
      </c>
      <c r="D73" s="10" t="s">
        <v>1604</v>
      </c>
      <c r="E73" s="10" t="s">
        <v>187</v>
      </c>
      <c r="F73" s="25" t="s">
        <v>1611</v>
      </c>
      <c r="G73" s="10">
        <v>767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2" t="e">
        <f t="shared" si="0"/>
        <v>#DIV/0!</v>
      </c>
      <c r="N73" s="10">
        <v>0</v>
      </c>
      <c r="O73" s="12" t="e">
        <f t="shared" si="1"/>
        <v>#DIV/0!</v>
      </c>
      <c r="P73" s="271">
        <v>599</v>
      </c>
      <c r="Q73" s="10">
        <v>0</v>
      </c>
      <c r="R73" s="12"/>
      <c r="S73" s="14"/>
      <c r="T73" s="12"/>
      <c r="U73" s="14"/>
      <c r="V73" s="12" t="s">
        <v>1493</v>
      </c>
      <c r="W73" s="12"/>
      <c r="X73" s="12"/>
      <c r="Y73" s="12"/>
      <c r="Z73" s="12"/>
      <c r="AA73" s="12"/>
      <c r="AB73" s="12"/>
      <c r="AC73" s="14"/>
      <c r="AD73" s="12"/>
      <c r="AE73" s="12"/>
      <c r="AF73" s="12"/>
    </row>
    <row r="74" spans="1:32">
      <c r="A74" s="12">
        <v>60</v>
      </c>
      <c r="B74" s="10" t="s">
        <v>33</v>
      </c>
      <c r="C74" s="10" t="s">
        <v>1489</v>
      </c>
      <c r="D74" s="10" t="s">
        <v>1604</v>
      </c>
      <c r="E74" s="10" t="s">
        <v>1612</v>
      </c>
      <c r="F74" s="25" t="s">
        <v>1613</v>
      </c>
      <c r="G74" s="10">
        <v>481</v>
      </c>
      <c r="H74" s="10">
        <v>60</v>
      </c>
      <c r="I74" s="10">
        <v>221</v>
      </c>
      <c r="J74" s="10">
        <v>122</v>
      </c>
      <c r="K74" s="10">
        <v>99</v>
      </c>
      <c r="L74" s="10">
        <v>0</v>
      </c>
      <c r="M74" s="12">
        <f t="shared" si="0"/>
        <v>0</v>
      </c>
      <c r="N74" s="10">
        <v>221</v>
      </c>
      <c r="O74" s="12">
        <f t="shared" si="1"/>
        <v>100</v>
      </c>
      <c r="P74" s="271">
        <v>373</v>
      </c>
      <c r="Q74" s="10">
        <v>480</v>
      </c>
      <c r="R74" s="12"/>
      <c r="S74" s="14"/>
      <c r="T74" s="12"/>
      <c r="U74" s="14"/>
      <c r="V74" s="12" t="s">
        <v>1493</v>
      </c>
      <c r="W74" s="12"/>
      <c r="X74" s="12"/>
      <c r="Y74" s="12"/>
      <c r="Z74" s="12"/>
      <c r="AA74" s="12"/>
      <c r="AB74" s="12"/>
      <c r="AC74" s="14"/>
      <c r="AD74" s="12"/>
      <c r="AE74" s="12"/>
      <c r="AF74" s="12"/>
    </row>
    <row r="75" spans="1:32">
      <c r="A75" s="12">
        <v>61</v>
      </c>
      <c r="B75" s="10" t="s">
        <v>33</v>
      </c>
      <c r="C75" s="10" t="s">
        <v>1489</v>
      </c>
      <c r="D75" s="10" t="s">
        <v>1604</v>
      </c>
      <c r="E75" s="10" t="s">
        <v>1614</v>
      </c>
      <c r="F75" s="25" t="s">
        <v>1615</v>
      </c>
      <c r="G75" s="10">
        <v>1232</v>
      </c>
      <c r="H75" s="10">
        <v>304</v>
      </c>
      <c r="I75" s="10">
        <v>1447</v>
      </c>
      <c r="J75" s="10">
        <v>710</v>
      </c>
      <c r="K75" s="10">
        <v>737</v>
      </c>
      <c r="L75" s="10">
        <v>5</v>
      </c>
      <c r="M75" s="12">
        <f t="shared" ref="M75:M144" si="2">L75/I75*100</f>
        <v>0.3455425017277125</v>
      </c>
      <c r="N75" s="10">
        <v>1430</v>
      </c>
      <c r="O75" s="12">
        <f t="shared" ref="O75:O144" si="3">N75/I75*100</f>
        <v>98.825155494125781</v>
      </c>
      <c r="P75" s="271">
        <v>645</v>
      </c>
      <c r="Q75" s="10">
        <v>1000</v>
      </c>
      <c r="R75" s="12"/>
      <c r="S75" s="14"/>
      <c r="T75" s="12"/>
      <c r="U75" s="14"/>
      <c r="V75" s="12" t="s">
        <v>1493</v>
      </c>
      <c r="W75" s="12"/>
      <c r="X75" s="12"/>
      <c r="Y75" s="12"/>
      <c r="Z75" s="12"/>
      <c r="AA75" s="12"/>
      <c r="AB75" s="12"/>
      <c r="AC75" s="14"/>
      <c r="AD75" s="12"/>
      <c r="AE75" s="12"/>
      <c r="AF75" s="12"/>
    </row>
    <row r="76" spans="1:32">
      <c r="A76" s="12">
        <v>62</v>
      </c>
      <c r="B76" s="10" t="s">
        <v>33</v>
      </c>
      <c r="C76" s="10" t="s">
        <v>1489</v>
      </c>
      <c r="D76" s="10" t="s">
        <v>1604</v>
      </c>
      <c r="E76" s="10" t="s">
        <v>1355</v>
      </c>
      <c r="F76" s="25" t="s">
        <v>1616</v>
      </c>
      <c r="G76" s="10">
        <v>593</v>
      </c>
      <c r="H76" s="10">
        <v>72</v>
      </c>
      <c r="I76" s="10">
        <v>324</v>
      </c>
      <c r="J76" s="10">
        <v>183</v>
      </c>
      <c r="K76" s="10">
        <v>141</v>
      </c>
      <c r="L76" s="10">
        <v>0</v>
      </c>
      <c r="M76" s="12">
        <f t="shared" si="2"/>
        <v>0</v>
      </c>
      <c r="N76" s="10">
        <v>323</v>
      </c>
      <c r="O76" s="12">
        <f t="shared" si="3"/>
        <v>99.691358024691354</v>
      </c>
      <c r="P76" s="271">
        <v>419</v>
      </c>
      <c r="Q76" s="10">
        <v>1125</v>
      </c>
      <c r="R76" s="12" t="s">
        <v>39</v>
      </c>
      <c r="S76" s="31" t="s">
        <v>1617</v>
      </c>
      <c r="T76" s="12"/>
      <c r="U76" s="31">
        <v>8.32</v>
      </c>
      <c r="V76" s="12" t="s">
        <v>1493</v>
      </c>
      <c r="W76" s="12"/>
      <c r="X76" s="12"/>
      <c r="Y76" s="12"/>
      <c r="Z76" s="12"/>
      <c r="AA76" s="12"/>
      <c r="AB76" s="12" t="s">
        <v>39</v>
      </c>
      <c r="AC76" s="31">
        <v>13</v>
      </c>
      <c r="AD76" s="12" t="s">
        <v>1494</v>
      </c>
      <c r="AE76" s="12"/>
      <c r="AF76" s="12"/>
    </row>
    <row r="77" spans="1:32">
      <c r="A77" s="12">
        <v>63</v>
      </c>
      <c r="B77" s="10" t="s">
        <v>33</v>
      </c>
      <c r="C77" s="10" t="s">
        <v>1489</v>
      </c>
      <c r="D77" s="10" t="s">
        <v>1604</v>
      </c>
      <c r="E77" s="10" t="s">
        <v>1618</v>
      </c>
      <c r="F77" s="25" t="s">
        <v>1619</v>
      </c>
      <c r="G77" s="10">
        <v>1036</v>
      </c>
      <c r="H77" s="10">
        <v>3</v>
      </c>
      <c r="I77" s="10">
        <v>10</v>
      </c>
      <c r="J77" s="10">
        <v>6</v>
      </c>
      <c r="K77" s="10">
        <v>4</v>
      </c>
      <c r="L77" s="10">
        <v>0</v>
      </c>
      <c r="M77" s="12">
        <f t="shared" si="2"/>
        <v>0</v>
      </c>
      <c r="N77" s="10">
        <v>0</v>
      </c>
      <c r="O77" s="12">
        <f t="shared" si="3"/>
        <v>0</v>
      </c>
      <c r="P77" s="271">
        <v>713</v>
      </c>
      <c r="Q77" s="10">
        <v>62</v>
      </c>
      <c r="R77" s="12"/>
      <c r="S77" s="14"/>
      <c r="T77" s="12"/>
      <c r="U77" s="14"/>
      <c r="V77" s="12" t="s">
        <v>1493</v>
      </c>
      <c r="W77" s="12"/>
      <c r="X77" s="12"/>
      <c r="Y77" s="12"/>
      <c r="Z77" s="12"/>
      <c r="AA77" s="12"/>
      <c r="AB77" s="12"/>
      <c r="AC77" s="14"/>
      <c r="AD77" s="12"/>
      <c r="AE77" s="12"/>
      <c r="AF77" s="12"/>
    </row>
    <row r="78" spans="1:32">
      <c r="A78" s="12">
        <v>64</v>
      </c>
      <c r="B78" s="10" t="s">
        <v>33</v>
      </c>
      <c r="C78" s="10" t="s">
        <v>1489</v>
      </c>
      <c r="D78" s="10" t="s">
        <v>1620</v>
      </c>
      <c r="E78" s="16" t="s">
        <v>1620</v>
      </c>
      <c r="F78" s="25" t="s">
        <v>1621</v>
      </c>
      <c r="G78" s="10">
        <v>577</v>
      </c>
      <c r="H78" s="10">
        <v>369</v>
      </c>
      <c r="I78" s="10">
        <v>1906</v>
      </c>
      <c r="J78" s="10">
        <v>987</v>
      </c>
      <c r="K78" s="10">
        <v>919</v>
      </c>
      <c r="L78" s="10">
        <v>461</v>
      </c>
      <c r="M78" s="12">
        <f t="shared" si="2"/>
        <v>24.186778593913953</v>
      </c>
      <c r="N78" s="10">
        <v>477</v>
      </c>
      <c r="O78" s="12">
        <f t="shared" si="3"/>
        <v>25.02623294858342</v>
      </c>
      <c r="P78" s="271">
        <v>0</v>
      </c>
      <c r="Q78" s="10">
        <v>25.96</v>
      </c>
      <c r="R78" s="12"/>
      <c r="S78" s="14"/>
      <c r="T78" s="12"/>
      <c r="U78" s="14"/>
      <c r="V78" s="12" t="s">
        <v>1493</v>
      </c>
      <c r="W78" s="12"/>
      <c r="X78" s="12"/>
      <c r="Y78" s="12"/>
      <c r="Z78" s="12"/>
      <c r="AA78" s="12"/>
      <c r="AB78" s="12"/>
      <c r="AC78" s="14"/>
      <c r="AD78" s="12"/>
      <c r="AE78" s="12"/>
      <c r="AF78" s="12"/>
    </row>
    <row r="79" spans="1:32">
      <c r="A79" s="12" t="s">
        <v>51</v>
      </c>
      <c r="B79" s="10" t="s">
        <v>33</v>
      </c>
      <c r="C79" s="10" t="s">
        <v>1489</v>
      </c>
      <c r="D79" s="10" t="s">
        <v>1620</v>
      </c>
      <c r="E79" s="16" t="s">
        <v>1620</v>
      </c>
      <c r="F79" s="25"/>
      <c r="G79" s="10"/>
      <c r="H79" s="10"/>
      <c r="I79" s="10"/>
      <c r="J79" s="10"/>
      <c r="K79" s="10"/>
      <c r="L79" s="10"/>
      <c r="M79" s="12" t="e">
        <f t="shared" si="2"/>
        <v>#DIV/0!</v>
      </c>
      <c r="N79" s="10"/>
      <c r="O79" s="12" t="e">
        <f t="shared" si="3"/>
        <v>#DIV/0!</v>
      </c>
      <c r="P79" s="271">
        <v>480</v>
      </c>
      <c r="Q79" s="10">
        <v>26</v>
      </c>
      <c r="R79" s="12"/>
      <c r="S79" s="14"/>
      <c r="T79" s="12"/>
      <c r="U79" s="14"/>
      <c r="V79" s="12"/>
      <c r="W79" s="12"/>
      <c r="X79" s="12"/>
      <c r="Y79" s="12"/>
      <c r="Z79" s="12"/>
      <c r="AA79" s="12"/>
      <c r="AB79" s="26" t="s">
        <v>39</v>
      </c>
      <c r="AC79" s="26">
        <v>15</v>
      </c>
      <c r="AD79" s="12"/>
      <c r="AE79" s="26">
        <v>24.5412</v>
      </c>
      <c r="AF79" s="26">
        <v>77.039599999999993</v>
      </c>
    </row>
    <row r="80" spans="1:32">
      <c r="A80" s="12">
        <v>65</v>
      </c>
      <c r="B80" s="10" t="s">
        <v>33</v>
      </c>
      <c r="C80" s="10" t="s">
        <v>1489</v>
      </c>
      <c r="D80" s="10" t="s">
        <v>1620</v>
      </c>
      <c r="E80" s="10" t="s">
        <v>1622</v>
      </c>
      <c r="F80" s="25" t="s">
        <v>1623</v>
      </c>
      <c r="G80" s="10">
        <v>579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  <c r="M80" s="12" t="e">
        <f t="shared" si="2"/>
        <v>#DIV/0!</v>
      </c>
      <c r="N80" s="10">
        <v>0</v>
      </c>
      <c r="O80" s="12" t="e">
        <f t="shared" si="3"/>
        <v>#DIV/0!</v>
      </c>
      <c r="P80" s="271">
        <v>1000</v>
      </c>
      <c r="Q80" s="10">
        <v>154</v>
      </c>
      <c r="R80" s="12"/>
      <c r="S80" s="14"/>
      <c r="T80" s="12"/>
      <c r="U80" s="14"/>
      <c r="V80" s="12" t="s">
        <v>1493</v>
      </c>
      <c r="W80" s="12"/>
      <c r="X80" s="12"/>
      <c r="Y80" s="12"/>
      <c r="Z80" s="12"/>
      <c r="AA80" s="12"/>
      <c r="AB80" s="12"/>
      <c r="AC80" s="14"/>
      <c r="AD80" s="12"/>
      <c r="AE80" s="12"/>
      <c r="AF80" s="12"/>
    </row>
    <row r="81" spans="1:32">
      <c r="A81" s="12">
        <v>66</v>
      </c>
      <c r="B81" s="10" t="s">
        <v>33</v>
      </c>
      <c r="C81" s="10" t="s">
        <v>1489</v>
      </c>
      <c r="D81" s="10" t="s">
        <v>1620</v>
      </c>
      <c r="E81" s="10" t="s">
        <v>1624</v>
      </c>
      <c r="F81" s="25" t="s">
        <v>1625</v>
      </c>
      <c r="G81" s="10">
        <v>1407</v>
      </c>
      <c r="H81" s="10">
        <v>8</v>
      </c>
      <c r="I81" s="10">
        <v>43</v>
      </c>
      <c r="J81" s="10">
        <v>19</v>
      </c>
      <c r="K81" s="10">
        <v>24</v>
      </c>
      <c r="L81" s="10">
        <v>0</v>
      </c>
      <c r="M81" s="12">
        <f t="shared" si="2"/>
        <v>0</v>
      </c>
      <c r="N81" s="10">
        <v>0</v>
      </c>
      <c r="O81" s="12">
        <f t="shared" si="3"/>
        <v>0</v>
      </c>
      <c r="P81" s="271">
        <v>1125</v>
      </c>
      <c r="Q81" s="10">
        <v>201</v>
      </c>
      <c r="R81" s="12"/>
      <c r="S81" s="31"/>
      <c r="T81" s="12"/>
      <c r="U81" s="31"/>
      <c r="V81" s="12" t="s">
        <v>1493</v>
      </c>
      <c r="W81" s="12"/>
      <c r="X81" s="12"/>
      <c r="Y81" s="12"/>
      <c r="Z81" s="12"/>
      <c r="AA81" s="12"/>
      <c r="AB81" s="12" t="s">
        <v>39</v>
      </c>
      <c r="AC81" s="31">
        <v>8</v>
      </c>
      <c r="AD81" s="12" t="s">
        <v>1494</v>
      </c>
      <c r="AE81" s="12"/>
      <c r="AF81" s="12"/>
    </row>
    <row r="82" spans="1:32">
      <c r="A82" s="12">
        <v>67</v>
      </c>
      <c r="B82" s="10" t="s">
        <v>33</v>
      </c>
      <c r="C82" s="10" t="s">
        <v>1489</v>
      </c>
      <c r="D82" s="10" t="s">
        <v>1620</v>
      </c>
      <c r="E82" s="10" t="s">
        <v>1626</v>
      </c>
      <c r="F82" s="25" t="s">
        <v>1627</v>
      </c>
      <c r="G82" s="10">
        <v>1416</v>
      </c>
      <c r="H82" s="10">
        <v>135</v>
      </c>
      <c r="I82" s="10">
        <v>629</v>
      </c>
      <c r="J82" s="10">
        <v>327</v>
      </c>
      <c r="K82" s="10">
        <v>302</v>
      </c>
      <c r="L82" s="10">
        <v>0</v>
      </c>
      <c r="M82" s="12">
        <f t="shared" si="2"/>
        <v>0</v>
      </c>
      <c r="N82" s="10">
        <v>460</v>
      </c>
      <c r="O82" s="12">
        <f t="shared" si="3"/>
        <v>73.131955484896665</v>
      </c>
      <c r="P82" s="271">
        <v>62</v>
      </c>
      <c r="Q82" s="10">
        <v>261</v>
      </c>
      <c r="R82" s="12"/>
      <c r="S82" s="14"/>
      <c r="T82" s="12"/>
      <c r="U82" s="14"/>
      <c r="V82" s="12" t="s">
        <v>1493</v>
      </c>
      <c r="W82" s="12"/>
      <c r="X82" s="12"/>
      <c r="Y82" s="12"/>
      <c r="Z82" s="12"/>
      <c r="AA82" s="12"/>
      <c r="AB82" s="12"/>
      <c r="AC82" s="14"/>
      <c r="AD82" s="12"/>
      <c r="AE82" s="12"/>
      <c r="AF82" s="12"/>
    </row>
    <row r="83" spans="1:32">
      <c r="A83" s="12">
        <v>68</v>
      </c>
      <c r="B83" s="10" t="s">
        <v>33</v>
      </c>
      <c r="C83" s="10" t="s">
        <v>1489</v>
      </c>
      <c r="D83" s="10" t="s">
        <v>1620</v>
      </c>
      <c r="E83" s="10" t="s">
        <v>1628</v>
      </c>
      <c r="F83" s="25" t="s">
        <v>1629</v>
      </c>
      <c r="G83" s="10">
        <v>132</v>
      </c>
      <c r="H83" s="10">
        <v>50</v>
      </c>
      <c r="I83" s="10">
        <v>214</v>
      </c>
      <c r="J83" s="10">
        <v>108</v>
      </c>
      <c r="K83" s="10">
        <v>106</v>
      </c>
      <c r="L83" s="10">
        <v>0</v>
      </c>
      <c r="M83" s="12">
        <f t="shared" si="2"/>
        <v>0</v>
      </c>
      <c r="N83" s="10">
        <v>214</v>
      </c>
      <c r="O83" s="12">
        <f t="shared" si="3"/>
        <v>100</v>
      </c>
      <c r="P83" s="271">
        <v>25.96</v>
      </c>
      <c r="Q83" s="10">
        <v>74</v>
      </c>
      <c r="R83" s="12"/>
      <c r="S83" s="14"/>
      <c r="T83" s="12"/>
      <c r="U83" s="14"/>
      <c r="V83" s="12" t="s">
        <v>1493</v>
      </c>
      <c r="W83" s="12"/>
      <c r="X83" s="12"/>
      <c r="Y83" s="12"/>
      <c r="Z83" s="12"/>
      <c r="AA83" s="12"/>
      <c r="AB83" s="12"/>
      <c r="AC83" s="14"/>
      <c r="AD83" s="12"/>
      <c r="AE83" s="12"/>
      <c r="AF83" s="12"/>
    </row>
    <row r="84" spans="1:32">
      <c r="A84" s="12">
        <v>69</v>
      </c>
      <c r="B84" s="10" t="s">
        <v>33</v>
      </c>
      <c r="C84" s="10" t="s">
        <v>1489</v>
      </c>
      <c r="D84" s="10" t="s">
        <v>1620</v>
      </c>
      <c r="E84" s="10" t="s">
        <v>1630</v>
      </c>
      <c r="F84" s="25" t="s">
        <v>1631</v>
      </c>
      <c r="G84" s="10">
        <v>197</v>
      </c>
      <c r="H84" s="10">
        <v>144</v>
      </c>
      <c r="I84" s="10">
        <v>829</v>
      </c>
      <c r="J84" s="10">
        <v>447</v>
      </c>
      <c r="K84" s="10">
        <v>382</v>
      </c>
      <c r="L84" s="10">
        <v>172</v>
      </c>
      <c r="M84" s="12">
        <f t="shared" si="2"/>
        <v>20.747889022919182</v>
      </c>
      <c r="N84" s="10">
        <v>0</v>
      </c>
      <c r="O84" s="12">
        <f t="shared" si="3"/>
        <v>0</v>
      </c>
      <c r="P84" s="271">
        <v>26</v>
      </c>
      <c r="Q84" s="10">
        <v>132</v>
      </c>
      <c r="R84" s="12"/>
      <c r="S84" s="14"/>
      <c r="T84" s="12"/>
      <c r="U84" s="14"/>
      <c r="V84" s="12" t="s">
        <v>1493</v>
      </c>
      <c r="W84" s="12"/>
      <c r="X84" s="12"/>
      <c r="Y84" s="12"/>
      <c r="Z84" s="12"/>
      <c r="AA84" s="12"/>
      <c r="AB84" s="12"/>
      <c r="AC84" s="14"/>
      <c r="AD84" s="12"/>
      <c r="AE84" s="12"/>
      <c r="AF84" s="12"/>
    </row>
    <row r="85" spans="1:32">
      <c r="A85" s="12">
        <v>70</v>
      </c>
      <c r="B85" s="10" t="s">
        <v>33</v>
      </c>
      <c r="C85" s="10" t="s">
        <v>1489</v>
      </c>
      <c r="D85" s="10" t="s">
        <v>1620</v>
      </c>
      <c r="E85" s="10" t="s">
        <v>1632</v>
      </c>
      <c r="F85" s="25" t="s">
        <v>1633</v>
      </c>
      <c r="G85" s="10">
        <v>164.4</v>
      </c>
      <c r="H85" s="10">
        <v>10</v>
      </c>
      <c r="I85" s="10">
        <v>40</v>
      </c>
      <c r="J85" s="10">
        <v>17</v>
      </c>
      <c r="K85" s="10">
        <v>23</v>
      </c>
      <c r="L85" s="10">
        <v>0</v>
      </c>
      <c r="M85" s="12">
        <f t="shared" si="2"/>
        <v>0</v>
      </c>
      <c r="N85" s="10">
        <v>0</v>
      </c>
      <c r="O85" s="12">
        <f t="shared" si="3"/>
        <v>0</v>
      </c>
      <c r="P85" s="271">
        <v>154</v>
      </c>
      <c r="Q85" s="10">
        <v>458</v>
      </c>
      <c r="R85" s="12"/>
      <c r="S85" s="14"/>
      <c r="T85" s="12"/>
      <c r="U85" s="14"/>
      <c r="V85" s="12" t="s">
        <v>1493</v>
      </c>
      <c r="W85" s="12"/>
      <c r="X85" s="12"/>
      <c r="Y85" s="12"/>
      <c r="Z85" s="12"/>
      <c r="AA85" s="12"/>
      <c r="AB85" s="12"/>
      <c r="AC85" s="14"/>
      <c r="AD85" s="12"/>
      <c r="AE85" s="12"/>
      <c r="AF85" s="12"/>
    </row>
    <row r="86" spans="1:32">
      <c r="A86" s="12">
        <v>71</v>
      </c>
      <c r="B86" s="10" t="s">
        <v>33</v>
      </c>
      <c r="C86" s="10" t="s">
        <v>1489</v>
      </c>
      <c r="D86" s="10" t="s">
        <v>1634</v>
      </c>
      <c r="E86" s="16" t="s">
        <v>1635</v>
      </c>
      <c r="F86" s="25" t="s">
        <v>1636</v>
      </c>
      <c r="G86" s="10">
        <v>573</v>
      </c>
      <c r="H86" s="10">
        <v>199</v>
      </c>
      <c r="I86" s="10">
        <v>1005</v>
      </c>
      <c r="J86" s="10">
        <v>519</v>
      </c>
      <c r="K86" s="10">
        <v>486</v>
      </c>
      <c r="L86" s="10">
        <v>449</v>
      </c>
      <c r="M86" s="12">
        <f t="shared" si="2"/>
        <v>44.676616915422883</v>
      </c>
      <c r="N86" s="10">
        <v>317</v>
      </c>
      <c r="O86" s="12">
        <f t="shared" si="3"/>
        <v>31.542288557213933</v>
      </c>
      <c r="P86" s="271">
        <v>201</v>
      </c>
      <c r="Q86" s="10">
        <v>645</v>
      </c>
      <c r="R86" s="12"/>
      <c r="S86" s="11"/>
      <c r="T86" s="12"/>
      <c r="U86" s="20"/>
      <c r="V86" s="12" t="s">
        <v>1493</v>
      </c>
      <c r="W86" s="12"/>
      <c r="X86" s="12"/>
      <c r="Y86" s="12"/>
      <c r="Z86" s="12"/>
      <c r="AA86" s="12"/>
      <c r="AB86" s="12" t="s">
        <v>39</v>
      </c>
      <c r="AC86" s="20">
        <v>12</v>
      </c>
      <c r="AD86" s="12" t="s">
        <v>1494</v>
      </c>
      <c r="AE86" s="12"/>
      <c r="AF86" s="12"/>
    </row>
    <row r="87" spans="1:32">
      <c r="A87" s="12">
        <v>72</v>
      </c>
      <c r="B87" s="10" t="s">
        <v>33</v>
      </c>
      <c r="C87" s="10" t="s">
        <v>1489</v>
      </c>
      <c r="D87" s="10" t="s">
        <v>1634</v>
      </c>
      <c r="E87" s="10" t="s">
        <v>1637</v>
      </c>
      <c r="F87" s="25" t="s">
        <v>1638</v>
      </c>
      <c r="G87" s="10">
        <v>299</v>
      </c>
      <c r="H87" s="10">
        <v>84</v>
      </c>
      <c r="I87" s="10">
        <v>366</v>
      </c>
      <c r="J87" s="10">
        <v>201</v>
      </c>
      <c r="K87" s="10">
        <v>165</v>
      </c>
      <c r="L87" s="10">
        <v>57</v>
      </c>
      <c r="M87" s="12">
        <f t="shared" si="2"/>
        <v>15.573770491803279</v>
      </c>
      <c r="N87" s="10">
        <v>79</v>
      </c>
      <c r="O87" s="12">
        <f t="shared" si="3"/>
        <v>21.584699453551913</v>
      </c>
      <c r="P87" s="271">
        <v>261</v>
      </c>
      <c r="Q87" s="10">
        <v>608</v>
      </c>
      <c r="R87" s="12"/>
      <c r="S87" s="31"/>
      <c r="T87" s="12"/>
      <c r="U87" s="31"/>
      <c r="V87" s="12" t="s">
        <v>1493</v>
      </c>
      <c r="W87" s="12"/>
      <c r="X87" s="12"/>
      <c r="Y87" s="12"/>
      <c r="Z87" s="12"/>
      <c r="AA87" s="12"/>
      <c r="AB87" s="12" t="s">
        <v>39</v>
      </c>
      <c r="AC87" s="31">
        <v>11</v>
      </c>
      <c r="AD87" s="12" t="s">
        <v>1494</v>
      </c>
      <c r="AE87" s="12"/>
      <c r="AF87" s="12"/>
    </row>
    <row r="88" spans="1:32">
      <c r="A88" s="12">
        <v>73</v>
      </c>
      <c r="B88" s="10" t="s">
        <v>33</v>
      </c>
      <c r="C88" s="10" t="s">
        <v>1489</v>
      </c>
      <c r="D88" s="10" t="s">
        <v>1634</v>
      </c>
      <c r="E88" s="10" t="s">
        <v>1639</v>
      </c>
      <c r="F88" s="25" t="s">
        <v>1640</v>
      </c>
      <c r="G88" s="10">
        <v>443</v>
      </c>
      <c r="H88" s="10">
        <v>100</v>
      </c>
      <c r="I88" s="10">
        <v>480</v>
      </c>
      <c r="J88" s="10">
        <v>263</v>
      </c>
      <c r="K88" s="10">
        <v>217</v>
      </c>
      <c r="L88" s="10">
        <v>23</v>
      </c>
      <c r="M88" s="12">
        <f t="shared" si="2"/>
        <v>4.791666666666667</v>
      </c>
      <c r="N88" s="10">
        <v>41</v>
      </c>
      <c r="O88" s="12">
        <f t="shared" si="3"/>
        <v>8.5416666666666661</v>
      </c>
      <c r="P88" s="271">
        <v>74</v>
      </c>
      <c r="Q88" s="10">
        <v>223</v>
      </c>
      <c r="R88" s="12" t="s">
        <v>39</v>
      </c>
      <c r="S88" s="11" t="s">
        <v>1641</v>
      </c>
      <c r="T88" s="12"/>
      <c r="U88" s="9">
        <v>10.38</v>
      </c>
      <c r="V88" s="12" t="s">
        <v>1493</v>
      </c>
      <c r="W88" s="12"/>
      <c r="X88" s="12"/>
      <c r="Y88" s="12"/>
      <c r="Z88" s="12"/>
      <c r="AA88" s="12"/>
      <c r="AB88" s="12" t="s">
        <v>39</v>
      </c>
      <c r="AC88" s="9">
        <v>5</v>
      </c>
      <c r="AD88" s="12" t="s">
        <v>1494</v>
      </c>
      <c r="AE88" s="12"/>
      <c r="AF88" s="12"/>
    </row>
    <row r="89" spans="1:32">
      <c r="A89" s="12">
        <v>74</v>
      </c>
      <c r="B89" s="10" t="s">
        <v>33</v>
      </c>
      <c r="C89" s="10" t="s">
        <v>1489</v>
      </c>
      <c r="D89" s="10" t="s">
        <v>1634</v>
      </c>
      <c r="E89" s="10" t="s">
        <v>1642</v>
      </c>
      <c r="F89" s="25" t="s">
        <v>1643</v>
      </c>
      <c r="G89" s="10">
        <v>185</v>
      </c>
      <c r="H89" s="10">
        <v>52</v>
      </c>
      <c r="I89" s="10">
        <v>295</v>
      </c>
      <c r="J89" s="10">
        <v>130</v>
      </c>
      <c r="K89" s="10">
        <v>165</v>
      </c>
      <c r="L89" s="10">
        <v>0</v>
      </c>
      <c r="M89" s="12">
        <f t="shared" si="2"/>
        <v>0</v>
      </c>
      <c r="N89" s="10">
        <v>295</v>
      </c>
      <c r="O89" s="12">
        <f t="shared" si="3"/>
        <v>100</v>
      </c>
      <c r="P89" s="271">
        <v>132</v>
      </c>
      <c r="Q89" s="10">
        <v>473</v>
      </c>
      <c r="R89" s="12"/>
      <c r="S89" s="14"/>
      <c r="T89" s="12"/>
      <c r="U89" s="14"/>
      <c r="V89" s="12" t="s">
        <v>1493</v>
      </c>
      <c r="W89" s="12"/>
      <c r="X89" s="12"/>
      <c r="Y89" s="12"/>
      <c r="Z89" s="12"/>
      <c r="AA89" s="12"/>
      <c r="AB89" s="12"/>
      <c r="AC89" s="14"/>
      <c r="AD89" s="12"/>
      <c r="AE89" s="12"/>
      <c r="AF89" s="12"/>
    </row>
    <row r="90" spans="1:32">
      <c r="A90" s="12">
        <v>75</v>
      </c>
      <c r="B90" s="10" t="s">
        <v>33</v>
      </c>
      <c r="C90" s="10" t="s">
        <v>1489</v>
      </c>
      <c r="D90" s="10" t="s">
        <v>1634</v>
      </c>
      <c r="E90" s="10" t="s">
        <v>1644</v>
      </c>
      <c r="F90" s="25" t="s">
        <v>1645</v>
      </c>
      <c r="G90" s="10">
        <v>139</v>
      </c>
      <c r="H90" s="10">
        <v>0</v>
      </c>
      <c r="I90" s="10">
        <v>0</v>
      </c>
      <c r="J90" s="10">
        <v>0</v>
      </c>
      <c r="K90" s="10">
        <v>0</v>
      </c>
      <c r="L90" s="10">
        <v>0</v>
      </c>
      <c r="M90" s="12" t="e">
        <f t="shared" si="2"/>
        <v>#DIV/0!</v>
      </c>
      <c r="N90" s="10">
        <v>0</v>
      </c>
      <c r="O90" s="12" t="e">
        <f t="shared" si="3"/>
        <v>#DIV/0!</v>
      </c>
      <c r="P90" s="271">
        <v>458</v>
      </c>
      <c r="Q90" s="10">
        <v>708</v>
      </c>
      <c r="R90" s="12"/>
      <c r="S90" s="14"/>
      <c r="T90" s="12"/>
      <c r="U90" s="14"/>
      <c r="V90" s="12" t="s">
        <v>1493</v>
      </c>
      <c r="W90" s="12"/>
      <c r="X90" s="12"/>
      <c r="Y90" s="12"/>
      <c r="Z90" s="12"/>
      <c r="AA90" s="12"/>
      <c r="AB90" s="12"/>
      <c r="AC90" s="14"/>
      <c r="AD90" s="12"/>
      <c r="AE90" s="12"/>
      <c r="AF90" s="12"/>
    </row>
    <row r="91" spans="1:32">
      <c r="A91" s="12">
        <v>76</v>
      </c>
      <c r="B91" s="10" t="s">
        <v>33</v>
      </c>
      <c r="C91" s="10" t="s">
        <v>1489</v>
      </c>
      <c r="D91" s="10" t="s">
        <v>1634</v>
      </c>
      <c r="E91" s="10" t="s">
        <v>1646</v>
      </c>
      <c r="F91" s="25" t="s">
        <v>1647</v>
      </c>
      <c r="G91" s="10">
        <v>782</v>
      </c>
      <c r="H91" s="10">
        <v>79</v>
      </c>
      <c r="I91" s="10">
        <v>345</v>
      </c>
      <c r="J91" s="10">
        <v>186</v>
      </c>
      <c r="K91" s="10">
        <v>159</v>
      </c>
      <c r="L91" s="10">
        <v>9</v>
      </c>
      <c r="M91" s="12">
        <f t="shared" si="2"/>
        <v>2.6086956521739131</v>
      </c>
      <c r="N91" s="10">
        <v>177</v>
      </c>
      <c r="O91" s="12">
        <f t="shared" si="3"/>
        <v>51.304347826086961</v>
      </c>
      <c r="P91" s="271">
        <v>645</v>
      </c>
      <c r="Q91" s="10">
        <v>524</v>
      </c>
      <c r="R91" s="12"/>
      <c r="S91" s="11"/>
      <c r="T91" s="12"/>
      <c r="U91" s="11">
        <v>18.096</v>
      </c>
      <c r="V91" s="12" t="s">
        <v>1493</v>
      </c>
      <c r="W91" s="12"/>
      <c r="X91" s="12"/>
      <c r="Y91" s="12"/>
      <c r="Z91" s="12"/>
      <c r="AA91" s="12"/>
      <c r="AB91" s="12" t="s">
        <v>39</v>
      </c>
      <c r="AC91" s="11">
        <v>4</v>
      </c>
      <c r="AD91" s="12" t="s">
        <v>1494</v>
      </c>
      <c r="AE91" s="12"/>
      <c r="AF91" s="12"/>
    </row>
    <row r="92" spans="1:32">
      <c r="A92" s="12">
        <v>77</v>
      </c>
      <c r="B92" s="10" t="s">
        <v>33</v>
      </c>
      <c r="C92" s="10" t="s">
        <v>1489</v>
      </c>
      <c r="D92" s="10" t="s">
        <v>1634</v>
      </c>
      <c r="E92" s="10" t="s">
        <v>1648</v>
      </c>
      <c r="F92" s="25" t="s">
        <v>1649</v>
      </c>
      <c r="G92" s="10">
        <v>849</v>
      </c>
      <c r="H92" s="10">
        <v>109</v>
      </c>
      <c r="I92" s="10">
        <v>538</v>
      </c>
      <c r="J92" s="10">
        <v>279</v>
      </c>
      <c r="K92" s="10">
        <v>259</v>
      </c>
      <c r="L92" s="10">
        <v>97</v>
      </c>
      <c r="M92" s="12">
        <f t="shared" si="2"/>
        <v>18.029739776951672</v>
      </c>
      <c r="N92" s="10">
        <v>306</v>
      </c>
      <c r="O92" s="12">
        <f t="shared" si="3"/>
        <v>56.877323420074354</v>
      </c>
      <c r="P92" s="271">
        <v>608</v>
      </c>
      <c r="Q92" s="10">
        <v>253</v>
      </c>
      <c r="R92" s="12"/>
      <c r="S92" s="11"/>
      <c r="T92" s="12"/>
      <c r="U92" s="11">
        <v>42.563200000000002</v>
      </c>
      <c r="V92" s="12" t="s">
        <v>1493</v>
      </c>
      <c r="W92" s="12"/>
      <c r="X92" s="12"/>
      <c r="Y92" s="12"/>
      <c r="Z92" s="12"/>
      <c r="AA92" s="12"/>
      <c r="AB92" s="12" t="s">
        <v>39</v>
      </c>
      <c r="AC92" s="11">
        <v>4</v>
      </c>
      <c r="AD92" s="12" t="s">
        <v>1494</v>
      </c>
      <c r="AE92" s="12"/>
      <c r="AF92" s="12"/>
    </row>
    <row r="93" spans="1:32">
      <c r="A93" s="12">
        <v>78</v>
      </c>
      <c r="B93" s="10" t="s">
        <v>33</v>
      </c>
      <c r="C93" s="10" t="s">
        <v>1489</v>
      </c>
      <c r="D93" s="10" t="s">
        <v>1634</v>
      </c>
      <c r="E93" s="10" t="s">
        <v>1650</v>
      </c>
      <c r="F93" s="25" t="s">
        <v>1651</v>
      </c>
      <c r="G93" s="10">
        <v>686</v>
      </c>
      <c r="H93" s="10">
        <v>9</v>
      </c>
      <c r="I93" s="10">
        <v>62</v>
      </c>
      <c r="J93" s="10">
        <v>28</v>
      </c>
      <c r="K93" s="10">
        <v>34</v>
      </c>
      <c r="L93" s="10">
        <v>0</v>
      </c>
      <c r="M93" s="12">
        <f t="shared" si="2"/>
        <v>0</v>
      </c>
      <c r="N93" s="10">
        <v>62</v>
      </c>
      <c r="O93" s="12">
        <f t="shared" si="3"/>
        <v>100</v>
      </c>
      <c r="P93" s="271">
        <v>223</v>
      </c>
      <c r="Q93" s="10">
        <v>519</v>
      </c>
      <c r="R93" s="12"/>
      <c r="S93" s="14"/>
      <c r="T93" s="12"/>
      <c r="U93" s="14"/>
      <c r="V93" s="12" t="s">
        <v>1493</v>
      </c>
      <c r="W93" s="12"/>
      <c r="X93" s="12"/>
      <c r="Y93" s="12"/>
      <c r="Z93" s="12"/>
      <c r="AA93" s="12"/>
      <c r="AB93" s="12"/>
      <c r="AC93" s="14"/>
      <c r="AD93" s="12"/>
      <c r="AE93" s="12"/>
      <c r="AF93" s="12"/>
    </row>
    <row r="94" spans="1:32">
      <c r="A94" s="12">
        <v>79</v>
      </c>
      <c r="B94" s="10" t="s">
        <v>33</v>
      </c>
      <c r="C94" s="10" t="s">
        <v>1489</v>
      </c>
      <c r="D94" s="10" t="s">
        <v>1634</v>
      </c>
      <c r="E94" s="10" t="s">
        <v>1652</v>
      </c>
      <c r="F94" s="25" t="s">
        <v>1653</v>
      </c>
      <c r="G94" s="10">
        <v>575</v>
      </c>
      <c r="H94" s="10">
        <v>42</v>
      </c>
      <c r="I94" s="10">
        <v>224</v>
      </c>
      <c r="J94" s="10">
        <v>121</v>
      </c>
      <c r="K94" s="10">
        <v>103</v>
      </c>
      <c r="L94" s="10">
        <v>0</v>
      </c>
      <c r="M94" s="12">
        <f t="shared" si="2"/>
        <v>0</v>
      </c>
      <c r="N94" s="10">
        <v>224</v>
      </c>
      <c r="O94" s="12">
        <f t="shared" si="3"/>
        <v>100</v>
      </c>
      <c r="P94" s="271">
        <v>473</v>
      </c>
      <c r="Q94" s="10">
        <v>234</v>
      </c>
      <c r="R94" s="12"/>
      <c r="S94" s="14"/>
      <c r="T94" s="12"/>
      <c r="U94" s="14"/>
      <c r="V94" s="12" t="s">
        <v>1493</v>
      </c>
      <c r="W94" s="12"/>
      <c r="X94" s="12"/>
      <c r="Y94" s="12"/>
      <c r="Z94" s="12"/>
      <c r="AA94" s="12"/>
      <c r="AB94" s="12"/>
      <c r="AC94" s="14"/>
      <c r="AD94" s="12"/>
      <c r="AE94" s="12"/>
      <c r="AF94" s="12"/>
    </row>
    <row r="95" spans="1:32">
      <c r="A95" s="12">
        <v>80</v>
      </c>
      <c r="B95" s="10" t="s">
        <v>33</v>
      </c>
      <c r="C95" s="10" t="s">
        <v>1489</v>
      </c>
      <c r="D95" s="10" t="s">
        <v>1634</v>
      </c>
      <c r="E95" s="10" t="s">
        <v>1654</v>
      </c>
      <c r="F95" s="25" t="s">
        <v>1655</v>
      </c>
      <c r="G95" s="10">
        <v>693</v>
      </c>
      <c r="H95" s="10">
        <v>85</v>
      </c>
      <c r="I95" s="10">
        <v>480</v>
      </c>
      <c r="J95" s="10">
        <v>242</v>
      </c>
      <c r="K95" s="10">
        <v>238</v>
      </c>
      <c r="L95" s="10">
        <v>0</v>
      </c>
      <c r="M95" s="12">
        <f t="shared" si="2"/>
        <v>0</v>
      </c>
      <c r="N95" s="10">
        <v>480</v>
      </c>
      <c r="O95" s="12">
        <f t="shared" si="3"/>
        <v>100</v>
      </c>
      <c r="P95" s="271">
        <v>708</v>
      </c>
      <c r="Q95" s="10">
        <v>1092</v>
      </c>
      <c r="R95" s="12"/>
      <c r="S95" s="31"/>
      <c r="T95" s="12"/>
      <c r="U95" s="31">
        <v>10.9</v>
      </c>
      <c r="V95" s="12" t="s">
        <v>1493</v>
      </c>
      <c r="W95" s="12"/>
      <c r="X95" s="12"/>
      <c r="Y95" s="12"/>
      <c r="Z95" s="12"/>
      <c r="AA95" s="12"/>
      <c r="AB95" s="12" t="s">
        <v>39</v>
      </c>
      <c r="AC95" s="31">
        <v>10</v>
      </c>
      <c r="AD95" s="12" t="s">
        <v>1494</v>
      </c>
      <c r="AE95" s="12"/>
      <c r="AF95" s="12"/>
    </row>
    <row r="96" spans="1:32">
      <c r="A96" s="12">
        <v>81</v>
      </c>
      <c r="B96" s="10" t="s">
        <v>33</v>
      </c>
      <c r="C96" s="10" t="s">
        <v>1489</v>
      </c>
      <c r="D96" s="10" t="s">
        <v>1634</v>
      </c>
      <c r="E96" s="10" t="s">
        <v>1656</v>
      </c>
      <c r="F96" s="25" t="s">
        <v>1657</v>
      </c>
      <c r="G96" s="10">
        <v>946</v>
      </c>
      <c r="H96" s="10">
        <v>43</v>
      </c>
      <c r="I96" s="10">
        <v>185</v>
      </c>
      <c r="J96" s="10">
        <v>104</v>
      </c>
      <c r="K96" s="10">
        <v>81</v>
      </c>
      <c r="L96" s="10">
        <v>0</v>
      </c>
      <c r="M96" s="12">
        <f t="shared" si="2"/>
        <v>0</v>
      </c>
      <c r="N96" s="10">
        <v>22</v>
      </c>
      <c r="O96" s="12">
        <f t="shared" si="3"/>
        <v>11.891891891891893</v>
      </c>
      <c r="P96" s="271">
        <v>524</v>
      </c>
      <c r="Q96" s="10">
        <v>0</v>
      </c>
      <c r="R96" s="12"/>
      <c r="S96" s="31"/>
      <c r="T96" s="12"/>
      <c r="U96" s="31">
        <v>30.57</v>
      </c>
      <c r="V96" s="12" t="s">
        <v>1493</v>
      </c>
      <c r="W96" s="12"/>
      <c r="X96" s="12"/>
      <c r="Y96" s="12"/>
      <c r="Z96" s="12"/>
      <c r="AA96" s="12"/>
      <c r="AB96" s="12" t="s">
        <v>39</v>
      </c>
      <c r="AC96" s="31">
        <v>11</v>
      </c>
      <c r="AD96" s="12" t="s">
        <v>1494</v>
      </c>
      <c r="AE96" s="12"/>
      <c r="AF96" s="12"/>
    </row>
    <row r="97" spans="1:32">
      <c r="A97" s="12">
        <v>82</v>
      </c>
      <c r="B97" s="10" t="s">
        <v>33</v>
      </c>
      <c r="C97" s="10" t="s">
        <v>1489</v>
      </c>
      <c r="D97" s="10" t="s">
        <v>1634</v>
      </c>
      <c r="E97" s="10" t="s">
        <v>1658</v>
      </c>
      <c r="F97" s="25" t="s">
        <v>1659</v>
      </c>
      <c r="G97" s="10">
        <v>1252</v>
      </c>
      <c r="H97" s="10">
        <v>57</v>
      </c>
      <c r="I97" s="10">
        <v>312</v>
      </c>
      <c r="J97" s="10">
        <v>154</v>
      </c>
      <c r="K97" s="10">
        <v>158</v>
      </c>
      <c r="L97" s="10">
        <v>42</v>
      </c>
      <c r="M97" s="12">
        <f t="shared" si="2"/>
        <v>13.461538461538462</v>
      </c>
      <c r="N97" s="10">
        <v>252</v>
      </c>
      <c r="O97" s="12">
        <f t="shared" si="3"/>
        <v>80.769230769230774</v>
      </c>
      <c r="P97" s="271">
        <v>49</v>
      </c>
      <c r="Q97" s="10">
        <v>117</v>
      </c>
      <c r="R97" s="12" t="s">
        <v>39</v>
      </c>
      <c r="S97" s="11" t="s">
        <v>1660</v>
      </c>
      <c r="T97" s="12"/>
      <c r="U97" s="9">
        <v>45.56</v>
      </c>
      <c r="V97" s="12" t="s">
        <v>1493</v>
      </c>
      <c r="W97" s="12"/>
      <c r="X97" s="12"/>
      <c r="Y97" s="12"/>
      <c r="Z97" s="12"/>
      <c r="AA97" s="12"/>
      <c r="AB97" s="12" t="s">
        <v>39</v>
      </c>
      <c r="AC97" s="9">
        <v>5</v>
      </c>
      <c r="AD97" s="12" t="s">
        <v>1494</v>
      </c>
      <c r="AE97" s="12"/>
      <c r="AF97" s="12"/>
    </row>
    <row r="98" spans="1:32">
      <c r="A98" s="12">
        <v>83</v>
      </c>
      <c r="B98" s="10" t="s">
        <v>33</v>
      </c>
      <c r="C98" s="10" t="s">
        <v>1489</v>
      </c>
      <c r="D98" s="10" t="s">
        <v>1661</v>
      </c>
      <c r="E98" s="16" t="s">
        <v>1661</v>
      </c>
      <c r="F98" s="25" t="s">
        <v>1662</v>
      </c>
      <c r="G98" s="10">
        <v>658</v>
      </c>
      <c r="H98" s="10">
        <v>1455</v>
      </c>
      <c r="I98" s="10">
        <v>7081</v>
      </c>
      <c r="J98" s="10">
        <v>3641</v>
      </c>
      <c r="K98" s="10">
        <v>3440</v>
      </c>
      <c r="L98" s="10">
        <v>815</v>
      </c>
      <c r="M98" s="12">
        <f t="shared" si="2"/>
        <v>11.509673774890553</v>
      </c>
      <c r="N98" s="10">
        <v>2511</v>
      </c>
      <c r="O98" s="12">
        <f t="shared" si="3"/>
        <v>35.46109306595114</v>
      </c>
      <c r="P98" s="271">
        <v>253</v>
      </c>
      <c r="Q98" s="10">
        <v>212</v>
      </c>
      <c r="R98" s="12"/>
      <c r="S98" s="14"/>
      <c r="T98" s="12"/>
      <c r="U98" s="14"/>
      <c r="V98" s="12" t="s">
        <v>1493</v>
      </c>
      <c r="W98" s="12"/>
      <c r="X98" s="12"/>
      <c r="Y98" s="12"/>
      <c r="Z98" s="12"/>
      <c r="AA98" s="12"/>
      <c r="AB98" s="12"/>
      <c r="AC98" s="14"/>
      <c r="AD98" s="12"/>
      <c r="AE98" s="12"/>
      <c r="AF98" s="12"/>
    </row>
    <row r="99" spans="1:32">
      <c r="A99" s="12">
        <v>84</v>
      </c>
      <c r="B99" s="10" t="s">
        <v>33</v>
      </c>
      <c r="C99" s="10" t="s">
        <v>1489</v>
      </c>
      <c r="D99" s="10" t="s">
        <v>1661</v>
      </c>
      <c r="E99" s="10" t="s">
        <v>1663</v>
      </c>
      <c r="F99" s="25" t="s">
        <v>1664</v>
      </c>
      <c r="G99" s="10">
        <v>869</v>
      </c>
      <c r="H99" s="10">
        <v>70</v>
      </c>
      <c r="I99" s="10">
        <v>314</v>
      </c>
      <c r="J99" s="10">
        <v>168</v>
      </c>
      <c r="K99" s="10">
        <v>146</v>
      </c>
      <c r="L99" s="10">
        <v>0</v>
      </c>
      <c r="M99" s="12">
        <f t="shared" si="2"/>
        <v>0</v>
      </c>
      <c r="N99" s="10">
        <v>173</v>
      </c>
      <c r="O99" s="12">
        <f t="shared" si="3"/>
        <v>55.095541401273884</v>
      </c>
      <c r="P99" s="271">
        <v>519</v>
      </c>
      <c r="Q99" s="10">
        <v>535</v>
      </c>
      <c r="R99" s="12" t="s">
        <v>39</v>
      </c>
      <c r="S99" s="11" t="s">
        <v>1665</v>
      </c>
      <c r="T99" s="12"/>
      <c r="U99" s="9">
        <v>3.04</v>
      </c>
      <c r="V99" s="12" t="s">
        <v>1493</v>
      </c>
      <c r="W99" s="12"/>
      <c r="X99" s="12"/>
      <c r="Y99" s="12"/>
      <c r="Z99" s="12"/>
      <c r="AA99" s="12"/>
      <c r="AB99" s="12"/>
      <c r="AC99" s="9"/>
      <c r="AD99" s="12"/>
      <c r="AE99" s="12"/>
      <c r="AF99" s="12"/>
    </row>
    <row r="100" spans="1:32">
      <c r="A100" s="12">
        <v>85</v>
      </c>
      <c r="B100" s="10" t="s">
        <v>33</v>
      </c>
      <c r="C100" s="10" t="s">
        <v>1489</v>
      </c>
      <c r="D100" s="10" t="s">
        <v>1661</v>
      </c>
      <c r="E100" s="10" t="s">
        <v>1282</v>
      </c>
      <c r="F100" s="25" t="s">
        <v>1666</v>
      </c>
      <c r="G100" s="10">
        <v>259</v>
      </c>
      <c r="H100" s="10">
        <v>15</v>
      </c>
      <c r="I100" s="10">
        <v>71</v>
      </c>
      <c r="J100" s="10">
        <v>34</v>
      </c>
      <c r="K100" s="10">
        <v>37</v>
      </c>
      <c r="L100" s="10">
        <v>0</v>
      </c>
      <c r="M100" s="12">
        <f t="shared" si="2"/>
        <v>0</v>
      </c>
      <c r="N100" s="10">
        <v>38</v>
      </c>
      <c r="O100" s="12">
        <f t="shared" si="3"/>
        <v>53.521126760563376</v>
      </c>
      <c r="P100" s="271">
        <v>234</v>
      </c>
      <c r="Q100" s="10">
        <v>168</v>
      </c>
      <c r="R100" s="12"/>
      <c r="S100" s="14"/>
      <c r="T100" s="12"/>
      <c r="U100" s="14"/>
      <c r="V100" s="12" t="s">
        <v>1493</v>
      </c>
      <c r="W100" s="12"/>
      <c r="X100" s="12"/>
      <c r="Y100" s="12"/>
      <c r="Z100" s="12"/>
      <c r="AA100" s="12"/>
      <c r="AB100" s="12"/>
      <c r="AC100" s="14"/>
      <c r="AD100" s="12"/>
      <c r="AE100" s="12"/>
      <c r="AF100" s="12"/>
    </row>
    <row r="101" spans="1:32">
      <c r="A101" s="12">
        <v>86</v>
      </c>
      <c r="B101" s="10" t="s">
        <v>33</v>
      </c>
      <c r="C101" s="10" t="s">
        <v>1489</v>
      </c>
      <c r="D101" s="10" t="s">
        <v>1667</v>
      </c>
      <c r="E101" s="16" t="s">
        <v>1668</v>
      </c>
      <c r="F101" s="25" t="s">
        <v>1669</v>
      </c>
      <c r="G101" s="10">
        <v>2231</v>
      </c>
      <c r="H101" s="10">
        <v>1143</v>
      </c>
      <c r="I101" s="10">
        <v>5908</v>
      </c>
      <c r="J101" s="10">
        <v>3140</v>
      </c>
      <c r="K101" s="10">
        <v>2768</v>
      </c>
      <c r="L101" s="10">
        <v>1376</v>
      </c>
      <c r="M101" s="12">
        <f t="shared" si="2"/>
        <v>23.290453622207178</v>
      </c>
      <c r="N101" s="10">
        <v>616</v>
      </c>
      <c r="O101" s="12">
        <f t="shared" si="3"/>
        <v>10.42654028436019</v>
      </c>
      <c r="P101" s="271">
        <v>1092</v>
      </c>
      <c r="Q101" s="10">
        <v>539</v>
      </c>
      <c r="R101" s="12"/>
      <c r="S101" s="11"/>
      <c r="T101" s="12"/>
      <c r="U101" s="31">
        <v>97.3</v>
      </c>
      <c r="V101" s="12" t="s">
        <v>1493</v>
      </c>
      <c r="W101" s="12"/>
      <c r="X101" s="12"/>
      <c r="Y101" s="12"/>
      <c r="Z101" s="12"/>
      <c r="AA101" s="12"/>
      <c r="AB101" s="12" t="s">
        <v>39</v>
      </c>
      <c r="AC101" s="11">
        <v>3</v>
      </c>
      <c r="AD101" s="12" t="s">
        <v>1494</v>
      </c>
      <c r="AE101" s="12"/>
      <c r="AF101" s="12"/>
    </row>
    <row r="102" spans="1:32">
      <c r="A102" s="12" t="s">
        <v>51</v>
      </c>
      <c r="B102" s="10" t="s">
        <v>33</v>
      </c>
      <c r="C102" s="10" t="s">
        <v>1489</v>
      </c>
      <c r="D102" s="10" t="s">
        <v>1667</v>
      </c>
      <c r="E102" s="16" t="s">
        <v>1668</v>
      </c>
      <c r="F102" s="25"/>
      <c r="G102" s="10"/>
      <c r="H102" s="10"/>
      <c r="I102" s="10"/>
      <c r="J102" s="10"/>
      <c r="K102" s="10"/>
      <c r="L102" s="10"/>
      <c r="M102" s="12"/>
      <c r="N102" s="10"/>
      <c r="O102" s="12"/>
      <c r="P102" s="271"/>
      <c r="Q102" s="10"/>
      <c r="R102" s="12"/>
      <c r="S102" s="11"/>
      <c r="T102" s="12"/>
      <c r="U102" s="31"/>
      <c r="V102" s="12"/>
      <c r="W102" s="12"/>
      <c r="X102" s="12"/>
      <c r="Y102" s="12"/>
      <c r="Z102" s="12"/>
      <c r="AA102" s="12"/>
      <c r="AB102" s="12"/>
      <c r="AC102" s="11">
        <v>15</v>
      </c>
      <c r="AD102" s="12" t="s">
        <v>1494</v>
      </c>
      <c r="AE102" s="12"/>
      <c r="AF102" s="12"/>
    </row>
    <row r="103" spans="1:32">
      <c r="A103" s="12">
        <v>87</v>
      </c>
      <c r="B103" s="10" t="s">
        <v>33</v>
      </c>
      <c r="C103" s="10" t="s">
        <v>1489</v>
      </c>
      <c r="D103" s="10" t="s">
        <v>1667</v>
      </c>
      <c r="E103" s="10" t="s">
        <v>1670</v>
      </c>
      <c r="F103" s="25" t="s">
        <v>1671</v>
      </c>
      <c r="G103" s="10">
        <v>80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2" t="e">
        <f t="shared" si="2"/>
        <v>#DIV/0!</v>
      </c>
      <c r="N103" s="10">
        <v>0</v>
      </c>
      <c r="O103" s="12" t="e">
        <f t="shared" si="3"/>
        <v>#DIV/0!</v>
      </c>
      <c r="P103" s="271">
        <v>0</v>
      </c>
      <c r="Q103" s="10">
        <v>0</v>
      </c>
      <c r="R103" s="12"/>
      <c r="S103" s="14"/>
      <c r="T103" s="12"/>
      <c r="U103" s="14"/>
      <c r="V103" s="12" t="s">
        <v>1493</v>
      </c>
      <c r="W103" s="12"/>
      <c r="X103" s="12"/>
      <c r="Y103" s="12"/>
      <c r="Z103" s="12"/>
      <c r="AA103" s="12"/>
      <c r="AB103" s="12"/>
      <c r="AC103" s="14"/>
      <c r="AD103" s="12"/>
      <c r="AE103" s="12"/>
      <c r="AF103" s="12"/>
    </row>
    <row r="104" spans="1:32">
      <c r="A104" s="12">
        <v>88</v>
      </c>
      <c r="B104" s="10" t="s">
        <v>33</v>
      </c>
      <c r="C104" s="10" t="s">
        <v>1489</v>
      </c>
      <c r="D104" s="10" t="s">
        <v>1667</v>
      </c>
      <c r="E104" s="10" t="s">
        <v>1672</v>
      </c>
      <c r="F104" s="25" t="s">
        <v>1673</v>
      </c>
      <c r="G104" s="10">
        <v>222</v>
      </c>
      <c r="H104" s="10">
        <v>0</v>
      </c>
      <c r="I104" s="10">
        <v>0</v>
      </c>
      <c r="J104" s="10">
        <v>0</v>
      </c>
      <c r="K104" s="10">
        <v>0</v>
      </c>
      <c r="L104" s="10">
        <v>0</v>
      </c>
      <c r="M104" s="12" t="e">
        <f t="shared" si="2"/>
        <v>#DIV/0!</v>
      </c>
      <c r="N104" s="10">
        <v>0</v>
      </c>
      <c r="O104" s="12" t="e">
        <f t="shared" si="3"/>
        <v>#DIV/0!</v>
      </c>
      <c r="P104" s="271">
        <v>117</v>
      </c>
      <c r="Q104" s="10">
        <v>0</v>
      </c>
      <c r="R104" s="12"/>
      <c r="S104" s="14"/>
      <c r="T104" s="12"/>
      <c r="U104" s="14"/>
      <c r="V104" s="12" t="s">
        <v>1493</v>
      </c>
      <c r="W104" s="12"/>
      <c r="X104" s="12"/>
      <c r="Y104" s="12"/>
      <c r="Z104" s="12"/>
      <c r="AA104" s="12"/>
      <c r="AB104" s="12"/>
      <c r="AC104" s="14"/>
      <c r="AD104" s="12"/>
      <c r="AE104" s="12"/>
      <c r="AF104" s="12"/>
    </row>
    <row r="105" spans="1:32">
      <c r="A105" s="12">
        <v>89</v>
      </c>
      <c r="B105" s="10" t="s">
        <v>33</v>
      </c>
      <c r="C105" s="10" t="s">
        <v>1489</v>
      </c>
      <c r="D105" s="10" t="s">
        <v>1667</v>
      </c>
      <c r="E105" s="10" t="s">
        <v>1674</v>
      </c>
      <c r="F105" s="25" t="s">
        <v>1675</v>
      </c>
      <c r="G105" s="10">
        <v>322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2" t="e">
        <f t="shared" si="2"/>
        <v>#DIV/0!</v>
      </c>
      <c r="N105" s="10">
        <v>0</v>
      </c>
      <c r="O105" s="12" t="e">
        <f t="shared" si="3"/>
        <v>#DIV/0!</v>
      </c>
      <c r="P105" s="271">
        <v>212</v>
      </c>
      <c r="Q105" s="10">
        <v>0</v>
      </c>
      <c r="R105" s="12"/>
      <c r="S105" s="14"/>
      <c r="T105" s="12"/>
      <c r="U105" s="14"/>
      <c r="V105" s="12" t="s">
        <v>1493</v>
      </c>
      <c r="W105" s="12"/>
      <c r="X105" s="12"/>
      <c r="Y105" s="12"/>
      <c r="Z105" s="12"/>
      <c r="AA105" s="12"/>
      <c r="AB105" s="12"/>
      <c r="AC105" s="14"/>
      <c r="AD105" s="12"/>
      <c r="AE105" s="12"/>
      <c r="AF105" s="12"/>
    </row>
    <row r="106" spans="1:32">
      <c r="A106" s="12">
        <v>90</v>
      </c>
      <c r="B106" s="10" t="s">
        <v>33</v>
      </c>
      <c r="C106" s="10" t="s">
        <v>1489</v>
      </c>
      <c r="D106" s="10" t="s">
        <v>1667</v>
      </c>
      <c r="E106" s="10" t="s">
        <v>1676</v>
      </c>
      <c r="F106" s="25" t="s">
        <v>1677</v>
      </c>
      <c r="G106" s="10">
        <v>537</v>
      </c>
      <c r="H106" s="10">
        <v>0</v>
      </c>
      <c r="I106" s="10">
        <v>0</v>
      </c>
      <c r="J106" s="10">
        <v>0</v>
      </c>
      <c r="K106" s="10">
        <v>0</v>
      </c>
      <c r="L106" s="10">
        <v>0</v>
      </c>
      <c r="M106" s="12" t="e">
        <f t="shared" si="2"/>
        <v>#DIV/0!</v>
      </c>
      <c r="N106" s="10">
        <v>0</v>
      </c>
      <c r="O106" s="12" t="e">
        <f t="shared" si="3"/>
        <v>#DIV/0!</v>
      </c>
      <c r="P106" s="271">
        <v>535</v>
      </c>
      <c r="Q106" s="10">
        <v>31</v>
      </c>
      <c r="R106" s="12"/>
      <c r="S106" s="14"/>
      <c r="T106" s="12"/>
      <c r="U106" s="14"/>
      <c r="V106" s="12" t="s">
        <v>1493</v>
      </c>
      <c r="W106" s="12"/>
      <c r="X106" s="12"/>
      <c r="Y106" s="12"/>
      <c r="Z106" s="12"/>
      <c r="AA106" s="12"/>
      <c r="AB106" s="12"/>
      <c r="AC106" s="14"/>
      <c r="AD106" s="12"/>
      <c r="AE106" s="12"/>
      <c r="AF106" s="12"/>
    </row>
    <row r="107" spans="1:32">
      <c r="A107" s="12">
        <v>91</v>
      </c>
      <c r="B107" s="10" t="s">
        <v>33</v>
      </c>
      <c r="C107" s="10" t="s">
        <v>1489</v>
      </c>
      <c r="D107" s="10" t="s">
        <v>1678</v>
      </c>
      <c r="E107" s="16" t="s">
        <v>1679</v>
      </c>
      <c r="F107" s="25" t="s">
        <v>1680</v>
      </c>
      <c r="G107" s="10">
        <v>1256</v>
      </c>
      <c r="H107" s="10">
        <v>375</v>
      </c>
      <c r="I107" s="10">
        <v>1860</v>
      </c>
      <c r="J107" s="10">
        <v>969</v>
      </c>
      <c r="K107" s="10">
        <v>891</v>
      </c>
      <c r="L107" s="10">
        <v>231</v>
      </c>
      <c r="M107" s="12">
        <f t="shared" si="2"/>
        <v>12.419354838709678</v>
      </c>
      <c r="N107" s="10">
        <v>777</v>
      </c>
      <c r="O107" s="12">
        <f t="shared" si="3"/>
        <v>41.774193548387096</v>
      </c>
      <c r="P107" s="271">
        <v>168</v>
      </c>
      <c r="Q107" s="10">
        <v>90</v>
      </c>
      <c r="R107" s="12" t="s">
        <v>39</v>
      </c>
      <c r="S107" s="11" t="s">
        <v>1681</v>
      </c>
      <c r="T107" s="12"/>
      <c r="U107" s="11">
        <v>147.84</v>
      </c>
      <c r="V107" s="12" t="s">
        <v>1493</v>
      </c>
      <c r="W107" s="12"/>
      <c r="X107" s="12"/>
      <c r="Y107" s="12"/>
      <c r="Z107" s="12"/>
      <c r="AA107" s="12"/>
      <c r="AB107" s="12" t="s">
        <v>39</v>
      </c>
      <c r="AC107" s="20">
        <v>12</v>
      </c>
      <c r="AD107" s="12" t="s">
        <v>1494</v>
      </c>
      <c r="AE107" s="12"/>
      <c r="AF107" s="12"/>
    </row>
    <row r="108" spans="1:32">
      <c r="A108" s="12" t="s">
        <v>51</v>
      </c>
      <c r="B108" s="10" t="s">
        <v>33</v>
      </c>
      <c r="C108" s="10" t="s">
        <v>1489</v>
      </c>
      <c r="D108" s="10" t="s">
        <v>1678</v>
      </c>
      <c r="E108" s="16" t="s">
        <v>1679</v>
      </c>
      <c r="F108" s="25"/>
      <c r="G108" s="10"/>
      <c r="H108" s="10"/>
      <c r="I108" s="10"/>
      <c r="J108" s="10"/>
      <c r="K108" s="10"/>
      <c r="L108" s="10"/>
      <c r="M108" s="12" t="e">
        <f t="shared" si="2"/>
        <v>#DIV/0!</v>
      </c>
      <c r="N108" s="10"/>
      <c r="O108" s="12" t="e">
        <f t="shared" si="3"/>
        <v>#DIV/0!</v>
      </c>
      <c r="P108" s="271">
        <v>539</v>
      </c>
      <c r="Q108" s="10">
        <v>0</v>
      </c>
      <c r="R108" s="12"/>
      <c r="S108" s="11"/>
      <c r="T108" s="12"/>
      <c r="U108" s="11"/>
      <c r="V108" s="12"/>
      <c r="W108" s="12"/>
      <c r="X108" s="12"/>
      <c r="Y108" s="12"/>
      <c r="Z108" s="12"/>
      <c r="AA108" s="12"/>
      <c r="AB108" s="26" t="s">
        <v>39</v>
      </c>
      <c r="AC108" s="26">
        <v>13</v>
      </c>
      <c r="AD108" s="12" t="s">
        <v>326</v>
      </c>
      <c r="AE108" s="26">
        <v>24.549800000000001</v>
      </c>
      <c r="AF108" s="26">
        <v>77.052400000000006</v>
      </c>
    </row>
    <row r="109" spans="1:32">
      <c r="A109" s="12" t="s">
        <v>51</v>
      </c>
      <c r="B109" s="10" t="s">
        <v>33</v>
      </c>
      <c r="C109" s="10" t="s">
        <v>1489</v>
      </c>
      <c r="D109" s="10" t="s">
        <v>1678</v>
      </c>
      <c r="E109" s="16" t="s">
        <v>1679</v>
      </c>
      <c r="F109" s="25"/>
      <c r="G109" s="10"/>
      <c r="H109" s="10"/>
      <c r="I109" s="10"/>
      <c r="J109" s="10"/>
      <c r="K109" s="10"/>
      <c r="L109" s="10"/>
      <c r="M109" s="12"/>
      <c r="N109" s="10"/>
      <c r="O109" s="12"/>
      <c r="P109" s="271"/>
      <c r="Q109" s="10"/>
      <c r="R109" s="12"/>
      <c r="S109" s="11"/>
      <c r="T109" s="12"/>
      <c r="U109" s="11"/>
      <c r="V109" s="12"/>
      <c r="W109" s="12"/>
      <c r="X109" s="12"/>
      <c r="Y109" s="12"/>
      <c r="Z109" s="12"/>
      <c r="AA109" s="12"/>
      <c r="AB109" s="26" t="s">
        <v>39</v>
      </c>
      <c r="AC109" s="26">
        <v>6</v>
      </c>
      <c r="AD109" s="12"/>
      <c r="AE109" s="26"/>
      <c r="AF109" s="26"/>
    </row>
    <row r="110" spans="1:32">
      <c r="A110" s="12">
        <v>92</v>
      </c>
      <c r="B110" s="10" t="s">
        <v>33</v>
      </c>
      <c r="C110" s="10" t="s">
        <v>1489</v>
      </c>
      <c r="D110" s="10" t="s">
        <v>1678</v>
      </c>
      <c r="E110" s="10" t="s">
        <v>1682</v>
      </c>
      <c r="F110" s="25" t="s">
        <v>1683</v>
      </c>
      <c r="G110" s="10">
        <v>593</v>
      </c>
      <c r="H110" s="10">
        <v>0</v>
      </c>
      <c r="I110" s="10">
        <v>0</v>
      </c>
      <c r="J110" s="10">
        <v>0</v>
      </c>
      <c r="K110" s="10">
        <v>0</v>
      </c>
      <c r="L110" s="10">
        <v>0</v>
      </c>
      <c r="M110" s="12" t="e">
        <f t="shared" si="2"/>
        <v>#DIV/0!</v>
      </c>
      <c r="N110" s="10">
        <v>0</v>
      </c>
      <c r="O110" s="12" t="e">
        <f t="shared" si="3"/>
        <v>#DIV/0!</v>
      </c>
      <c r="P110" s="271">
        <v>0</v>
      </c>
      <c r="Q110" s="10">
        <v>247</v>
      </c>
      <c r="R110" s="12"/>
      <c r="S110" s="14"/>
      <c r="T110" s="12"/>
      <c r="U110" s="14"/>
      <c r="V110" s="12" t="s">
        <v>1493</v>
      </c>
      <c r="W110" s="12"/>
      <c r="X110" s="12"/>
      <c r="Y110" s="12"/>
      <c r="Z110" s="12"/>
      <c r="AA110" s="12"/>
      <c r="AB110" s="12"/>
      <c r="AC110" s="14"/>
      <c r="AD110" s="12"/>
      <c r="AE110" s="12"/>
      <c r="AF110" s="12"/>
    </row>
    <row r="111" spans="1:32">
      <c r="A111" s="12">
        <v>93</v>
      </c>
      <c r="B111" s="10" t="s">
        <v>33</v>
      </c>
      <c r="C111" s="10" t="s">
        <v>1489</v>
      </c>
      <c r="D111" s="10" t="s">
        <v>1678</v>
      </c>
      <c r="E111" s="10" t="s">
        <v>1684</v>
      </c>
      <c r="F111" s="25" t="s">
        <v>1685</v>
      </c>
      <c r="G111" s="10">
        <v>1055</v>
      </c>
      <c r="H111" s="10">
        <v>122</v>
      </c>
      <c r="I111" s="10">
        <v>654</v>
      </c>
      <c r="J111" s="10">
        <v>326</v>
      </c>
      <c r="K111" s="10">
        <v>328</v>
      </c>
      <c r="L111" s="10">
        <v>19</v>
      </c>
      <c r="M111" s="12">
        <f t="shared" si="2"/>
        <v>2.90519877675841</v>
      </c>
      <c r="N111" s="10">
        <v>408</v>
      </c>
      <c r="O111" s="12">
        <f t="shared" si="3"/>
        <v>62.385321100917437</v>
      </c>
      <c r="P111" s="271">
        <v>0</v>
      </c>
      <c r="Q111" s="10">
        <v>1052</v>
      </c>
      <c r="R111" s="12"/>
      <c r="S111" s="14"/>
      <c r="T111" s="12"/>
      <c r="U111" s="14"/>
      <c r="V111" s="12" t="s">
        <v>1493</v>
      </c>
      <c r="W111" s="12"/>
      <c r="X111" s="12"/>
      <c r="Y111" s="12"/>
      <c r="Z111" s="12"/>
      <c r="AA111" s="12"/>
      <c r="AB111" s="12"/>
      <c r="AC111" s="14"/>
      <c r="AD111" s="12"/>
      <c r="AE111" s="12"/>
      <c r="AF111" s="12"/>
    </row>
    <row r="112" spans="1:32">
      <c r="A112" s="12">
        <v>94</v>
      </c>
      <c r="B112" s="10" t="s">
        <v>33</v>
      </c>
      <c r="C112" s="10" t="s">
        <v>1489</v>
      </c>
      <c r="D112" s="10" t="s">
        <v>1678</v>
      </c>
      <c r="E112" s="10" t="s">
        <v>1686</v>
      </c>
      <c r="F112" s="25" t="s">
        <v>1687</v>
      </c>
      <c r="G112" s="10">
        <v>341</v>
      </c>
      <c r="H112" s="10">
        <v>189</v>
      </c>
      <c r="I112" s="10">
        <v>1008</v>
      </c>
      <c r="J112" s="10">
        <v>525</v>
      </c>
      <c r="K112" s="10">
        <v>483</v>
      </c>
      <c r="L112" s="10">
        <v>273</v>
      </c>
      <c r="M112" s="12">
        <f t="shared" si="2"/>
        <v>27.083333333333332</v>
      </c>
      <c r="N112" s="10">
        <v>122</v>
      </c>
      <c r="O112" s="12">
        <f t="shared" si="3"/>
        <v>12.103174603174603</v>
      </c>
      <c r="P112" s="271">
        <v>0</v>
      </c>
      <c r="Q112" s="10">
        <v>145</v>
      </c>
      <c r="R112" s="12" t="s">
        <v>39</v>
      </c>
      <c r="S112" s="11" t="s">
        <v>1681</v>
      </c>
      <c r="T112" s="12"/>
      <c r="U112" s="11">
        <v>67.36</v>
      </c>
      <c r="V112" s="12" t="s">
        <v>1493</v>
      </c>
      <c r="W112" s="12"/>
      <c r="X112" s="12"/>
      <c r="Y112" s="12"/>
      <c r="Z112" s="12"/>
      <c r="AA112" s="12"/>
      <c r="AB112" s="12"/>
      <c r="AC112" s="9"/>
      <c r="AD112" s="12"/>
      <c r="AE112" s="12"/>
      <c r="AF112" s="12"/>
    </row>
    <row r="113" spans="1:32">
      <c r="A113" s="12" t="s">
        <v>51</v>
      </c>
      <c r="B113" s="10" t="s">
        <v>33</v>
      </c>
      <c r="C113" s="10" t="s">
        <v>1489</v>
      </c>
      <c r="D113" s="10" t="s">
        <v>1678</v>
      </c>
      <c r="E113" s="10" t="s">
        <v>1686</v>
      </c>
      <c r="F113" s="25"/>
      <c r="G113" s="10"/>
      <c r="H113" s="10"/>
      <c r="I113" s="10"/>
      <c r="J113" s="10"/>
      <c r="K113" s="10"/>
      <c r="L113" s="10"/>
      <c r="M113" s="12"/>
      <c r="N113" s="10"/>
      <c r="O113" s="12"/>
      <c r="P113" s="271"/>
      <c r="Q113" s="10"/>
      <c r="R113" s="12"/>
      <c r="S113" s="11"/>
      <c r="T113" s="12"/>
      <c r="U113" s="11"/>
      <c r="V113" s="12"/>
      <c r="W113" s="12"/>
      <c r="X113" s="12"/>
      <c r="Y113" s="12"/>
      <c r="Z113" s="12"/>
      <c r="AA113" s="12"/>
      <c r="AB113" s="12"/>
      <c r="AC113" s="9">
        <v>17</v>
      </c>
      <c r="AD113" s="12" t="s">
        <v>48</v>
      </c>
      <c r="AE113" s="12"/>
      <c r="AF113" s="12"/>
    </row>
    <row r="114" spans="1:32">
      <c r="A114" s="12"/>
      <c r="B114" s="10" t="s">
        <v>33</v>
      </c>
      <c r="C114" s="10" t="s">
        <v>1489</v>
      </c>
      <c r="D114" s="10" t="s">
        <v>1678</v>
      </c>
      <c r="E114" s="10" t="s">
        <v>1686</v>
      </c>
      <c r="F114" s="25"/>
      <c r="G114" s="10"/>
      <c r="H114" s="10"/>
      <c r="I114" s="10"/>
      <c r="J114" s="10"/>
      <c r="K114" s="10"/>
      <c r="L114" s="10"/>
      <c r="M114" s="12"/>
      <c r="N114" s="10"/>
      <c r="O114" s="12"/>
      <c r="P114" s="271"/>
      <c r="Q114" s="10"/>
      <c r="R114" s="12"/>
      <c r="S114" s="11"/>
      <c r="T114" s="12"/>
      <c r="U114" s="11"/>
      <c r="V114" s="12"/>
      <c r="W114" s="12"/>
      <c r="X114" s="12"/>
      <c r="Y114" s="12"/>
      <c r="Z114" s="12"/>
      <c r="AA114" s="12"/>
      <c r="AB114" s="12"/>
      <c r="AC114" s="9">
        <v>4</v>
      </c>
      <c r="AD114" s="12"/>
      <c r="AE114" s="12"/>
      <c r="AF114" s="12"/>
    </row>
    <row r="115" spans="1:32">
      <c r="A115" s="12">
        <v>95</v>
      </c>
      <c r="B115" s="10" t="s">
        <v>33</v>
      </c>
      <c r="C115" s="10" t="s">
        <v>1489</v>
      </c>
      <c r="D115" s="10" t="s">
        <v>1678</v>
      </c>
      <c r="E115" s="10" t="s">
        <v>1688</v>
      </c>
      <c r="F115" s="25" t="s">
        <v>1689</v>
      </c>
      <c r="G115" s="10">
        <v>233</v>
      </c>
      <c r="H115" s="10">
        <v>20</v>
      </c>
      <c r="I115" s="10">
        <v>127</v>
      </c>
      <c r="J115" s="10">
        <v>58</v>
      </c>
      <c r="K115" s="10">
        <v>69</v>
      </c>
      <c r="L115" s="10">
        <v>0</v>
      </c>
      <c r="M115" s="12">
        <f t="shared" si="2"/>
        <v>0</v>
      </c>
      <c r="N115" s="10">
        <v>127</v>
      </c>
      <c r="O115" s="12">
        <f t="shared" si="3"/>
        <v>100</v>
      </c>
      <c r="P115" s="271">
        <v>31</v>
      </c>
      <c r="Q115" s="10">
        <v>555</v>
      </c>
      <c r="R115" s="12"/>
      <c r="S115" s="14"/>
      <c r="T115" s="12"/>
      <c r="U115" s="14"/>
      <c r="V115" s="12" t="s">
        <v>1493</v>
      </c>
      <c r="W115" s="12"/>
      <c r="X115" s="12"/>
      <c r="Y115" s="12"/>
      <c r="Z115" s="12"/>
      <c r="AA115" s="12"/>
      <c r="AB115" s="12"/>
      <c r="AC115" s="14"/>
      <c r="AD115" s="12"/>
      <c r="AE115" s="12"/>
      <c r="AF115" s="12"/>
    </row>
    <row r="116" spans="1:32">
      <c r="A116" s="12">
        <v>96</v>
      </c>
      <c r="B116" s="10" t="s">
        <v>33</v>
      </c>
      <c r="C116" s="10" t="s">
        <v>1489</v>
      </c>
      <c r="D116" s="10" t="s">
        <v>1678</v>
      </c>
      <c r="E116" s="10" t="s">
        <v>1690</v>
      </c>
      <c r="F116" s="25" t="s">
        <v>1691</v>
      </c>
      <c r="G116" s="10">
        <v>350</v>
      </c>
      <c r="H116" s="10">
        <v>0</v>
      </c>
      <c r="I116" s="10">
        <v>0</v>
      </c>
      <c r="J116" s="10">
        <v>0</v>
      </c>
      <c r="K116" s="10">
        <v>0</v>
      </c>
      <c r="L116" s="10">
        <v>0</v>
      </c>
      <c r="M116" s="12" t="e">
        <f t="shared" si="2"/>
        <v>#DIV/0!</v>
      </c>
      <c r="N116" s="10">
        <v>0</v>
      </c>
      <c r="O116" s="12" t="e">
        <f t="shared" si="3"/>
        <v>#DIV/0!</v>
      </c>
      <c r="P116" s="271">
        <v>90</v>
      </c>
      <c r="Q116" s="10">
        <v>0</v>
      </c>
      <c r="R116" s="12"/>
      <c r="S116" s="14"/>
      <c r="T116" s="12"/>
      <c r="U116" s="14"/>
      <c r="V116" s="12" t="s">
        <v>1493</v>
      </c>
      <c r="W116" s="12"/>
      <c r="X116" s="12"/>
      <c r="Y116" s="12"/>
      <c r="Z116" s="12"/>
      <c r="AA116" s="12"/>
      <c r="AB116" s="12"/>
      <c r="AC116" s="14"/>
      <c r="AD116" s="12"/>
      <c r="AE116" s="12"/>
      <c r="AF116" s="12"/>
    </row>
    <row r="117" spans="1:32">
      <c r="A117" s="12">
        <v>97</v>
      </c>
      <c r="B117" s="10" t="s">
        <v>33</v>
      </c>
      <c r="C117" s="10" t="s">
        <v>1489</v>
      </c>
      <c r="D117" s="10" t="s">
        <v>1692</v>
      </c>
      <c r="E117" s="16" t="s">
        <v>1693</v>
      </c>
      <c r="F117" s="25" t="s">
        <v>1694</v>
      </c>
      <c r="G117" s="10">
        <v>747</v>
      </c>
      <c r="H117" s="10">
        <v>246</v>
      </c>
      <c r="I117" s="10">
        <v>1200</v>
      </c>
      <c r="J117" s="10">
        <v>633</v>
      </c>
      <c r="K117" s="10">
        <v>567</v>
      </c>
      <c r="L117" s="10">
        <v>233</v>
      </c>
      <c r="M117" s="12">
        <f t="shared" si="2"/>
        <v>19.416666666666664</v>
      </c>
      <c r="N117" s="10">
        <v>250</v>
      </c>
      <c r="O117" s="12">
        <f t="shared" si="3"/>
        <v>20.833333333333336</v>
      </c>
      <c r="P117" s="271">
        <v>0</v>
      </c>
      <c r="Q117" s="10">
        <v>41</v>
      </c>
      <c r="R117" s="12" t="s">
        <v>39</v>
      </c>
      <c r="S117" s="11" t="s">
        <v>1695</v>
      </c>
      <c r="T117" s="12"/>
      <c r="U117" s="20">
        <v>28</v>
      </c>
      <c r="V117" s="12" t="s">
        <v>1493</v>
      </c>
      <c r="W117" s="12"/>
      <c r="X117" s="12"/>
      <c r="Y117" s="12"/>
      <c r="Z117" s="12"/>
      <c r="AA117" s="12"/>
      <c r="AB117" s="12" t="s">
        <v>39</v>
      </c>
      <c r="AC117" s="20">
        <v>13</v>
      </c>
      <c r="AD117" s="12" t="s">
        <v>1494</v>
      </c>
      <c r="AE117" s="12"/>
      <c r="AF117" s="12"/>
    </row>
    <row r="118" spans="1:32">
      <c r="A118" s="12">
        <v>98</v>
      </c>
      <c r="B118" s="10" t="s">
        <v>33</v>
      </c>
      <c r="C118" s="10" t="s">
        <v>1489</v>
      </c>
      <c r="D118" s="10" t="s">
        <v>1692</v>
      </c>
      <c r="E118" s="10" t="s">
        <v>1696</v>
      </c>
      <c r="F118" s="25" t="s">
        <v>1697</v>
      </c>
      <c r="G118" s="10">
        <v>468</v>
      </c>
      <c r="H118" s="10">
        <v>398</v>
      </c>
      <c r="I118" s="10">
        <v>2013</v>
      </c>
      <c r="J118" s="10">
        <v>1074</v>
      </c>
      <c r="K118" s="10">
        <v>939</v>
      </c>
      <c r="L118" s="10">
        <v>256</v>
      </c>
      <c r="M118" s="12">
        <f t="shared" si="2"/>
        <v>12.717337307501243</v>
      </c>
      <c r="N118" s="10">
        <v>703</v>
      </c>
      <c r="O118" s="12">
        <f t="shared" si="3"/>
        <v>34.923000496770989</v>
      </c>
      <c r="P118" s="271">
        <v>247</v>
      </c>
      <c r="Q118" s="10">
        <v>436</v>
      </c>
      <c r="R118" s="12"/>
      <c r="S118" s="14"/>
      <c r="T118" s="12"/>
      <c r="U118" s="14"/>
      <c r="V118" s="12" t="s">
        <v>1493</v>
      </c>
      <c r="W118" s="12"/>
      <c r="X118" s="12"/>
      <c r="Y118" s="12"/>
      <c r="Z118" s="12"/>
      <c r="AA118" s="12"/>
      <c r="AB118" s="12"/>
      <c r="AC118" s="14"/>
      <c r="AD118" s="12"/>
      <c r="AE118" s="12"/>
      <c r="AF118" s="12"/>
    </row>
    <row r="119" spans="1:32">
      <c r="A119" s="12">
        <v>99</v>
      </c>
      <c r="B119" s="10" t="s">
        <v>33</v>
      </c>
      <c r="C119" s="10" t="s">
        <v>1489</v>
      </c>
      <c r="D119" s="10" t="s">
        <v>1698</v>
      </c>
      <c r="E119" s="16" t="s">
        <v>302</v>
      </c>
      <c r="F119" s="25" t="s">
        <v>1699</v>
      </c>
      <c r="G119" s="10">
        <v>799</v>
      </c>
      <c r="H119" s="10">
        <v>153</v>
      </c>
      <c r="I119" s="10">
        <v>777</v>
      </c>
      <c r="J119" s="10">
        <v>382</v>
      </c>
      <c r="K119" s="10">
        <v>395</v>
      </c>
      <c r="L119" s="10">
        <v>104</v>
      </c>
      <c r="M119" s="12">
        <f t="shared" si="2"/>
        <v>13.384813384813384</v>
      </c>
      <c r="N119" s="10">
        <v>357</v>
      </c>
      <c r="O119" s="12">
        <f t="shared" si="3"/>
        <v>45.945945945945951</v>
      </c>
      <c r="P119" s="271">
        <v>1052</v>
      </c>
      <c r="Q119" s="10">
        <v>389</v>
      </c>
      <c r="R119" s="12"/>
      <c r="S119" s="11"/>
      <c r="T119" s="12"/>
      <c r="U119" s="11">
        <v>72.5</v>
      </c>
      <c r="V119" s="12" t="s">
        <v>1493</v>
      </c>
      <c r="W119" s="12"/>
      <c r="X119" s="12"/>
      <c r="Y119" s="12"/>
      <c r="Z119" s="12"/>
      <c r="AA119" s="12"/>
      <c r="AB119" s="12" t="s">
        <v>39</v>
      </c>
      <c r="AC119" s="11">
        <v>12</v>
      </c>
      <c r="AD119" s="12" t="s">
        <v>1494</v>
      </c>
      <c r="AE119" s="12"/>
      <c r="AF119" s="12"/>
    </row>
    <row r="120" spans="1:32">
      <c r="A120" s="12" t="s">
        <v>51</v>
      </c>
      <c r="B120" s="10" t="s">
        <v>33</v>
      </c>
      <c r="C120" s="10" t="s">
        <v>1489</v>
      </c>
      <c r="D120" s="10" t="s">
        <v>1698</v>
      </c>
      <c r="E120" s="16" t="s">
        <v>302</v>
      </c>
      <c r="F120" s="25"/>
      <c r="G120" s="10"/>
      <c r="H120" s="10"/>
      <c r="I120" s="10"/>
      <c r="J120" s="10"/>
      <c r="K120" s="10"/>
      <c r="L120" s="10"/>
      <c r="M120" s="12"/>
      <c r="N120" s="10"/>
      <c r="O120" s="12"/>
      <c r="P120" s="271"/>
      <c r="Q120" s="10"/>
      <c r="R120" s="12"/>
      <c r="S120" s="11"/>
      <c r="T120" s="12"/>
      <c r="U120" s="11"/>
      <c r="V120" s="12"/>
      <c r="W120" s="12"/>
      <c r="X120" s="12"/>
      <c r="Y120" s="12"/>
      <c r="Z120" s="12"/>
      <c r="AA120" s="12"/>
      <c r="AB120" s="12"/>
      <c r="AC120" s="11">
        <v>12</v>
      </c>
      <c r="AD120" s="12" t="s">
        <v>48</v>
      </c>
      <c r="AE120" s="46"/>
      <c r="AF120" s="46"/>
    </row>
    <row r="121" spans="1:32">
      <c r="A121" s="12">
        <v>100</v>
      </c>
      <c r="B121" s="10" t="s">
        <v>33</v>
      </c>
      <c r="C121" s="10" t="s">
        <v>1489</v>
      </c>
      <c r="D121" s="10" t="s">
        <v>1698</v>
      </c>
      <c r="E121" s="10" t="s">
        <v>1700</v>
      </c>
      <c r="F121" s="25" t="s">
        <v>1701</v>
      </c>
      <c r="G121" s="10">
        <v>1614</v>
      </c>
      <c r="H121" s="10">
        <v>90</v>
      </c>
      <c r="I121" s="10">
        <v>434</v>
      </c>
      <c r="J121" s="10">
        <v>213</v>
      </c>
      <c r="K121" s="10">
        <v>221</v>
      </c>
      <c r="L121" s="10">
        <v>0</v>
      </c>
      <c r="M121" s="12">
        <f t="shared" si="2"/>
        <v>0</v>
      </c>
      <c r="N121" s="10">
        <v>389</v>
      </c>
      <c r="O121" s="12">
        <f t="shared" si="3"/>
        <v>89.63133640552995</v>
      </c>
      <c r="P121" s="271">
        <v>145</v>
      </c>
      <c r="Q121" s="10">
        <v>138</v>
      </c>
      <c r="R121" s="12"/>
      <c r="S121" s="14"/>
      <c r="T121" s="12"/>
      <c r="U121" s="14"/>
      <c r="V121" s="12" t="s">
        <v>1493</v>
      </c>
      <c r="W121" s="12"/>
      <c r="X121" s="12"/>
      <c r="Y121" s="12"/>
      <c r="Z121" s="12"/>
      <c r="AA121" s="12"/>
      <c r="AB121" s="12"/>
      <c r="AC121" s="14">
        <v>20</v>
      </c>
      <c r="AD121" s="12" t="s">
        <v>48</v>
      </c>
    </row>
    <row r="122" spans="1:32">
      <c r="A122" s="12">
        <v>101</v>
      </c>
      <c r="B122" s="10" t="s">
        <v>33</v>
      </c>
      <c r="C122" s="10" t="s">
        <v>1489</v>
      </c>
      <c r="D122" s="10" t="s">
        <v>1698</v>
      </c>
      <c r="E122" s="10" t="s">
        <v>1702</v>
      </c>
      <c r="F122" s="25" t="s">
        <v>1703</v>
      </c>
      <c r="G122" s="10">
        <v>732</v>
      </c>
      <c r="H122" s="10">
        <v>155</v>
      </c>
      <c r="I122" s="10">
        <v>787</v>
      </c>
      <c r="J122" s="10">
        <v>410</v>
      </c>
      <c r="K122" s="10">
        <v>377</v>
      </c>
      <c r="L122" s="10">
        <v>73</v>
      </c>
      <c r="M122" s="12">
        <f t="shared" si="2"/>
        <v>9.2757306226175356</v>
      </c>
      <c r="N122" s="10">
        <v>192</v>
      </c>
      <c r="O122" s="12">
        <f t="shared" si="3"/>
        <v>24.396442185514612</v>
      </c>
      <c r="P122" s="271">
        <v>555</v>
      </c>
      <c r="Q122" s="10">
        <v>289</v>
      </c>
      <c r="R122" s="12"/>
      <c r="S122" s="14"/>
      <c r="T122" s="12"/>
      <c r="U122" s="14"/>
      <c r="V122" s="12" t="s">
        <v>1493</v>
      </c>
      <c r="W122" s="12"/>
      <c r="X122" s="12"/>
      <c r="Y122" s="12"/>
      <c r="Z122" s="12"/>
      <c r="AA122" s="12"/>
      <c r="AB122" s="12"/>
      <c r="AC122" s="14">
        <v>10</v>
      </c>
      <c r="AD122" s="12"/>
      <c r="AE122" s="12"/>
      <c r="AF122" s="12"/>
    </row>
    <row r="123" spans="1:32">
      <c r="A123" s="12" t="s">
        <v>51</v>
      </c>
      <c r="B123" s="10" t="s">
        <v>33</v>
      </c>
      <c r="C123" s="10" t="s">
        <v>1489</v>
      </c>
      <c r="D123" s="10" t="s">
        <v>1698</v>
      </c>
      <c r="E123" s="10" t="s">
        <v>1702</v>
      </c>
      <c r="F123" s="25"/>
      <c r="G123" s="10"/>
      <c r="H123" s="10"/>
      <c r="I123" s="10"/>
      <c r="J123" s="10"/>
      <c r="K123" s="10"/>
      <c r="L123" s="10"/>
      <c r="M123" s="12"/>
      <c r="N123" s="10"/>
      <c r="O123" s="12"/>
      <c r="P123" s="271"/>
      <c r="Q123" s="10"/>
      <c r="R123" s="12"/>
      <c r="S123" s="14"/>
      <c r="T123" s="12"/>
      <c r="U123" s="14"/>
      <c r="V123" s="12"/>
      <c r="W123" s="12"/>
      <c r="X123" s="12"/>
      <c r="Y123" s="12"/>
      <c r="Z123" s="12"/>
      <c r="AA123" s="12"/>
      <c r="AB123" s="12"/>
      <c r="AC123" s="14">
        <v>19</v>
      </c>
      <c r="AD123" s="12"/>
      <c r="AE123" s="12"/>
      <c r="AF123" s="12"/>
    </row>
    <row r="124" spans="1:32">
      <c r="A124" s="12">
        <v>102</v>
      </c>
      <c r="B124" s="10" t="s">
        <v>33</v>
      </c>
      <c r="C124" s="10" t="s">
        <v>1489</v>
      </c>
      <c r="D124" s="10" t="s">
        <v>1698</v>
      </c>
      <c r="E124" s="10" t="s">
        <v>1704</v>
      </c>
      <c r="F124" s="25" t="s">
        <v>1705</v>
      </c>
      <c r="G124" s="10">
        <v>643</v>
      </c>
      <c r="H124" s="10">
        <v>0</v>
      </c>
      <c r="I124" s="10">
        <v>0</v>
      </c>
      <c r="J124" s="10">
        <v>0</v>
      </c>
      <c r="K124" s="10">
        <v>0</v>
      </c>
      <c r="L124" s="10">
        <v>0</v>
      </c>
      <c r="M124" s="12" t="e">
        <f t="shared" si="2"/>
        <v>#DIV/0!</v>
      </c>
      <c r="N124" s="10">
        <v>0</v>
      </c>
      <c r="O124" s="12" t="e">
        <f t="shared" si="3"/>
        <v>#DIV/0!</v>
      </c>
      <c r="P124" s="271">
        <v>0</v>
      </c>
      <c r="Q124" s="10">
        <v>1627</v>
      </c>
      <c r="R124" s="12"/>
      <c r="S124" s="14"/>
      <c r="T124" s="12"/>
      <c r="U124" s="14"/>
      <c r="V124" s="12" t="s">
        <v>1493</v>
      </c>
      <c r="W124" s="12"/>
      <c r="X124" s="12"/>
      <c r="Y124" s="12"/>
      <c r="Z124" s="12"/>
      <c r="AA124" s="12"/>
      <c r="AB124" s="12"/>
      <c r="AC124" s="14"/>
      <c r="AD124" s="12"/>
      <c r="AE124" s="12"/>
      <c r="AF124" s="12"/>
    </row>
    <row r="125" spans="1:32">
      <c r="A125" s="12">
        <v>103</v>
      </c>
      <c r="B125" s="10" t="s">
        <v>33</v>
      </c>
      <c r="C125" s="10" t="s">
        <v>1489</v>
      </c>
      <c r="D125" s="10" t="s">
        <v>1698</v>
      </c>
      <c r="E125" s="10" t="s">
        <v>1706</v>
      </c>
      <c r="F125" s="25" t="s">
        <v>1707</v>
      </c>
      <c r="G125" s="10">
        <v>450</v>
      </c>
      <c r="H125" s="10">
        <v>172</v>
      </c>
      <c r="I125" s="10">
        <v>893</v>
      </c>
      <c r="J125" s="10">
        <v>450</v>
      </c>
      <c r="K125" s="10">
        <v>443</v>
      </c>
      <c r="L125" s="10">
        <v>37</v>
      </c>
      <c r="M125" s="12">
        <f t="shared" si="2"/>
        <v>4.1433370660694289</v>
      </c>
      <c r="N125" s="10">
        <v>493</v>
      </c>
      <c r="O125" s="12">
        <f t="shared" si="3"/>
        <v>55.20716685330347</v>
      </c>
      <c r="P125" s="271">
        <v>41</v>
      </c>
      <c r="Q125" s="10">
        <v>444</v>
      </c>
      <c r="R125" s="12"/>
      <c r="S125" s="14"/>
      <c r="T125" s="12"/>
      <c r="U125" s="14"/>
      <c r="V125" s="12" t="s">
        <v>1493</v>
      </c>
      <c r="W125" s="12"/>
      <c r="X125" s="12"/>
      <c r="Y125" s="12"/>
      <c r="Z125" s="12"/>
      <c r="AA125" s="12"/>
      <c r="AB125" s="12"/>
      <c r="AC125" s="14">
        <v>20</v>
      </c>
      <c r="AD125" s="12" t="s">
        <v>1708</v>
      </c>
      <c r="AE125" s="12"/>
      <c r="AF125" s="12"/>
    </row>
    <row r="126" spans="1:32">
      <c r="A126" s="12" t="s">
        <v>51</v>
      </c>
      <c r="B126" s="10" t="s">
        <v>33</v>
      </c>
      <c r="C126" s="10" t="s">
        <v>1489</v>
      </c>
      <c r="D126" s="10" t="s">
        <v>1698</v>
      </c>
      <c r="E126" s="10" t="s">
        <v>1706</v>
      </c>
      <c r="F126" s="25"/>
      <c r="G126" s="10"/>
      <c r="H126" s="10"/>
      <c r="I126" s="10"/>
      <c r="J126" s="10"/>
      <c r="K126" s="10"/>
      <c r="L126" s="10"/>
      <c r="M126" s="12" t="e">
        <f t="shared" si="2"/>
        <v>#DIV/0!</v>
      </c>
      <c r="N126" s="10"/>
      <c r="O126" s="12" t="e">
        <f t="shared" si="3"/>
        <v>#DIV/0!</v>
      </c>
      <c r="P126" s="271">
        <v>436</v>
      </c>
      <c r="Q126" s="10">
        <v>741</v>
      </c>
      <c r="R126" s="12"/>
      <c r="S126" s="14"/>
      <c r="T126" s="12"/>
      <c r="U126" s="14"/>
      <c r="V126" s="12"/>
      <c r="W126" s="12"/>
      <c r="X126" s="12"/>
      <c r="Y126" s="12"/>
      <c r="Z126" s="12"/>
      <c r="AA126" s="12"/>
      <c r="AB126" s="26" t="s">
        <v>39</v>
      </c>
      <c r="AC126" s="26">
        <v>13</v>
      </c>
      <c r="AD126" s="12" t="s">
        <v>326</v>
      </c>
      <c r="AE126" s="26">
        <v>24.4056</v>
      </c>
      <c r="AF126" s="26">
        <v>76.981399999999994</v>
      </c>
    </row>
    <row r="127" spans="1:32">
      <c r="A127" s="12">
        <v>104</v>
      </c>
      <c r="B127" s="10" t="s">
        <v>33</v>
      </c>
      <c r="C127" s="10" t="s">
        <v>1489</v>
      </c>
      <c r="D127" s="10" t="s">
        <v>1698</v>
      </c>
      <c r="E127" s="10" t="s">
        <v>760</v>
      </c>
      <c r="F127" s="25" t="s">
        <v>1709</v>
      </c>
      <c r="G127" s="10">
        <v>210</v>
      </c>
      <c r="H127" s="10">
        <v>9</v>
      </c>
      <c r="I127" s="10">
        <v>68</v>
      </c>
      <c r="J127" s="10">
        <v>35</v>
      </c>
      <c r="K127" s="10">
        <v>33</v>
      </c>
      <c r="L127" s="10">
        <v>1</v>
      </c>
      <c r="M127" s="12">
        <f t="shared" si="2"/>
        <v>1.4705882352941175</v>
      </c>
      <c r="N127" s="10">
        <v>64</v>
      </c>
      <c r="O127" s="12">
        <f t="shared" si="3"/>
        <v>94.117647058823522</v>
      </c>
      <c r="P127" s="271">
        <v>389</v>
      </c>
      <c r="Q127" s="10">
        <v>0</v>
      </c>
      <c r="R127" s="12"/>
      <c r="S127" s="14"/>
      <c r="T127" s="12"/>
      <c r="U127" s="14"/>
      <c r="V127" s="12" t="s">
        <v>1493</v>
      </c>
      <c r="W127" s="12"/>
      <c r="X127" s="12"/>
      <c r="Y127" s="12"/>
      <c r="Z127" s="12"/>
      <c r="AA127" s="12"/>
      <c r="AB127" s="12"/>
      <c r="AC127" s="14"/>
      <c r="AD127" s="12"/>
      <c r="AE127" s="12"/>
      <c r="AF127" s="12"/>
    </row>
    <row r="128" spans="1:32">
      <c r="A128" s="12">
        <v>105</v>
      </c>
      <c r="B128" s="10" t="s">
        <v>33</v>
      </c>
      <c r="C128" s="10" t="s">
        <v>1489</v>
      </c>
      <c r="D128" s="10" t="s">
        <v>1698</v>
      </c>
      <c r="E128" s="10" t="s">
        <v>1710</v>
      </c>
      <c r="F128" s="25" t="s">
        <v>1711</v>
      </c>
      <c r="G128" s="10">
        <v>627</v>
      </c>
      <c r="H128" s="10">
        <v>0</v>
      </c>
      <c r="I128" s="10">
        <v>0</v>
      </c>
      <c r="J128" s="10">
        <v>0</v>
      </c>
      <c r="K128" s="10">
        <v>0</v>
      </c>
      <c r="L128" s="10">
        <v>0</v>
      </c>
      <c r="M128" s="12" t="e">
        <f t="shared" si="2"/>
        <v>#DIV/0!</v>
      </c>
      <c r="N128" s="10">
        <v>0</v>
      </c>
      <c r="O128" s="12" t="e">
        <f t="shared" si="3"/>
        <v>#DIV/0!</v>
      </c>
      <c r="P128" s="271">
        <v>138</v>
      </c>
      <c r="Q128" s="10">
        <v>537</v>
      </c>
      <c r="R128" s="12"/>
      <c r="S128" s="14"/>
      <c r="T128" s="12"/>
      <c r="U128" s="14"/>
      <c r="V128" s="12" t="s">
        <v>1493</v>
      </c>
      <c r="W128" s="12"/>
      <c r="X128" s="12"/>
      <c r="Y128" s="12"/>
      <c r="Z128" s="12"/>
      <c r="AA128" s="12"/>
      <c r="AB128" s="12"/>
      <c r="AC128" s="14"/>
      <c r="AD128" s="12"/>
      <c r="AE128" s="12"/>
      <c r="AF128" s="12"/>
    </row>
    <row r="129" spans="1:32">
      <c r="A129" s="12">
        <v>106</v>
      </c>
      <c r="B129" s="10" t="s">
        <v>33</v>
      </c>
      <c r="C129" s="10" t="s">
        <v>1489</v>
      </c>
      <c r="D129" s="10" t="s">
        <v>1698</v>
      </c>
      <c r="E129" s="10" t="s">
        <v>1712</v>
      </c>
      <c r="F129" s="25" t="s">
        <v>1713</v>
      </c>
      <c r="G129" s="10">
        <v>896</v>
      </c>
      <c r="H129" s="10">
        <v>85</v>
      </c>
      <c r="I129" s="10">
        <v>520</v>
      </c>
      <c r="J129" s="10">
        <v>275</v>
      </c>
      <c r="K129" s="10">
        <v>245</v>
      </c>
      <c r="L129" s="10">
        <v>0</v>
      </c>
      <c r="M129" s="12">
        <f t="shared" si="2"/>
        <v>0</v>
      </c>
      <c r="N129" s="10">
        <v>149</v>
      </c>
      <c r="O129" s="12">
        <f t="shared" si="3"/>
        <v>28.653846153846153</v>
      </c>
      <c r="P129" s="271">
        <v>289</v>
      </c>
      <c r="Q129" s="10">
        <v>56.08</v>
      </c>
      <c r="R129" s="12"/>
      <c r="S129" s="14"/>
      <c r="T129" s="12"/>
      <c r="U129" s="14"/>
      <c r="V129" s="12" t="s">
        <v>1493</v>
      </c>
      <c r="W129" s="12"/>
      <c r="X129" s="12"/>
      <c r="Y129" s="12"/>
      <c r="Z129" s="12"/>
      <c r="AA129" s="12"/>
      <c r="AB129" s="12"/>
      <c r="AC129" s="14">
        <v>15</v>
      </c>
      <c r="AD129" s="12" t="s">
        <v>48</v>
      </c>
      <c r="AE129" s="12"/>
      <c r="AF129" s="12"/>
    </row>
    <row r="130" spans="1:32">
      <c r="A130" s="12" t="s">
        <v>51</v>
      </c>
      <c r="B130" s="10" t="s">
        <v>33</v>
      </c>
      <c r="C130" s="10" t="s">
        <v>1489</v>
      </c>
      <c r="D130" s="10" t="s">
        <v>1698</v>
      </c>
      <c r="E130" s="10" t="s">
        <v>1712</v>
      </c>
      <c r="F130" s="25"/>
      <c r="G130" s="10"/>
      <c r="H130" s="10"/>
      <c r="I130" s="10"/>
      <c r="J130" s="10"/>
      <c r="K130" s="10"/>
      <c r="L130" s="10"/>
      <c r="M130" s="12" t="e">
        <f t="shared" si="2"/>
        <v>#DIV/0!</v>
      </c>
      <c r="N130" s="10"/>
      <c r="O130" s="12" t="e">
        <f t="shared" si="3"/>
        <v>#DIV/0!</v>
      </c>
      <c r="P130" s="271"/>
      <c r="Q130" s="10">
        <v>750</v>
      </c>
      <c r="R130" s="12"/>
      <c r="S130" s="14"/>
      <c r="T130" s="12"/>
      <c r="U130" s="14"/>
      <c r="V130" s="12"/>
      <c r="W130" s="12"/>
      <c r="X130" s="12"/>
      <c r="Y130" s="12"/>
      <c r="Z130" s="12"/>
      <c r="AA130" s="12"/>
      <c r="AB130" s="26" t="s">
        <v>39</v>
      </c>
      <c r="AC130" s="26">
        <v>9</v>
      </c>
      <c r="AD130" s="12" t="s">
        <v>48</v>
      </c>
      <c r="AE130" s="26">
        <v>24.392800000000001</v>
      </c>
      <c r="AF130" s="26">
        <v>76.995900000000006</v>
      </c>
    </row>
    <row r="131" spans="1:32">
      <c r="A131" s="12">
        <v>107</v>
      </c>
      <c r="B131" s="10" t="s">
        <v>33</v>
      </c>
      <c r="C131" s="10" t="s">
        <v>1489</v>
      </c>
      <c r="D131" s="10" t="s">
        <v>1698</v>
      </c>
      <c r="E131" s="10" t="s">
        <v>1714</v>
      </c>
      <c r="F131" s="25" t="s">
        <v>1715</v>
      </c>
      <c r="G131" s="10">
        <v>275</v>
      </c>
      <c r="H131" s="10">
        <v>12</v>
      </c>
      <c r="I131" s="10">
        <v>87</v>
      </c>
      <c r="J131" s="10">
        <v>50</v>
      </c>
      <c r="K131" s="10">
        <v>37</v>
      </c>
      <c r="L131" s="10">
        <v>0</v>
      </c>
      <c r="M131" s="12">
        <f t="shared" si="2"/>
        <v>0</v>
      </c>
      <c r="N131" s="10">
        <v>87</v>
      </c>
      <c r="O131" s="12">
        <f t="shared" si="3"/>
        <v>100</v>
      </c>
      <c r="P131" s="271">
        <v>0</v>
      </c>
      <c r="Q131" s="10">
        <v>647</v>
      </c>
      <c r="R131" s="12"/>
      <c r="S131" s="14"/>
      <c r="T131" s="12"/>
      <c r="U131" s="14"/>
      <c r="V131" s="12" t="s">
        <v>1493</v>
      </c>
      <c r="W131" s="12"/>
      <c r="X131" s="12"/>
      <c r="Y131" s="12"/>
      <c r="Z131" s="12"/>
      <c r="AA131" s="12"/>
      <c r="AB131" s="12"/>
      <c r="AC131" s="14"/>
      <c r="AD131" s="12"/>
      <c r="AE131" s="12"/>
      <c r="AF131" s="12"/>
    </row>
    <row r="132" spans="1:32">
      <c r="A132" s="12">
        <v>108</v>
      </c>
      <c r="B132" s="10" t="s">
        <v>33</v>
      </c>
      <c r="C132" s="10" t="s">
        <v>1489</v>
      </c>
      <c r="D132" s="10" t="s">
        <v>1698</v>
      </c>
      <c r="E132" s="10" t="s">
        <v>1716</v>
      </c>
      <c r="F132" s="25" t="s">
        <v>1717</v>
      </c>
      <c r="G132" s="10">
        <v>683</v>
      </c>
      <c r="H132" s="10">
        <v>91</v>
      </c>
      <c r="I132" s="10">
        <v>426</v>
      </c>
      <c r="J132" s="10">
        <v>218</v>
      </c>
      <c r="K132" s="10">
        <v>208</v>
      </c>
      <c r="L132" s="10">
        <v>0</v>
      </c>
      <c r="M132" s="12">
        <f t="shared" si="2"/>
        <v>0</v>
      </c>
      <c r="N132" s="10">
        <v>334</v>
      </c>
      <c r="O132" s="12">
        <f t="shared" si="3"/>
        <v>78.403755868544607</v>
      </c>
      <c r="P132" s="271">
        <v>29</v>
      </c>
      <c r="Q132" s="10">
        <v>0</v>
      </c>
      <c r="R132" s="12" t="s">
        <v>39</v>
      </c>
      <c r="S132" s="31" t="s">
        <v>1718</v>
      </c>
      <c r="T132" s="12"/>
      <c r="U132" s="31">
        <v>32.18</v>
      </c>
      <c r="V132" s="12" t="s">
        <v>1493</v>
      </c>
      <c r="W132" s="12"/>
      <c r="X132" s="12"/>
      <c r="Y132" s="12"/>
      <c r="Z132" s="12"/>
      <c r="AA132" s="12"/>
      <c r="AB132" s="12" t="s">
        <v>39</v>
      </c>
      <c r="AC132" s="31">
        <v>15</v>
      </c>
      <c r="AD132" s="12" t="s">
        <v>1494</v>
      </c>
      <c r="AE132" s="12"/>
      <c r="AF132" s="12"/>
    </row>
    <row r="133" spans="1:32">
      <c r="A133" s="12">
        <v>109</v>
      </c>
      <c r="B133" s="10" t="s">
        <v>33</v>
      </c>
      <c r="C133" s="10" t="s">
        <v>1489</v>
      </c>
      <c r="D133" s="10" t="s">
        <v>1719</v>
      </c>
      <c r="E133" s="16" t="s">
        <v>1720</v>
      </c>
      <c r="F133" s="25" t="s">
        <v>1721</v>
      </c>
      <c r="G133" s="10">
        <v>1887</v>
      </c>
      <c r="H133" s="10">
        <v>344</v>
      </c>
      <c r="I133" s="10">
        <v>1794</v>
      </c>
      <c r="J133" s="10">
        <v>914</v>
      </c>
      <c r="K133" s="10">
        <v>880</v>
      </c>
      <c r="L133" s="10">
        <v>16</v>
      </c>
      <c r="M133" s="12">
        <f t="shared" si="2"/>
        <v>0.89186176142697882</v>
      </c>
      <c r="N133" s="10">
        <v>1612</v>
      </c>
      <c r="O133" s="12">
        <f t="shared" si="3"/>
        <v>89.85507246376811</v>
      </c>
      <c r="P133" s="271">
        <v>1627</v>
      </c>
      <c r="Q133" s="10">
        <v>0</v>
      </c>
      <c r="R133" s="12" t="s">
        <v>39</v>
      </c>
      <c r="S133" s="47" t="s">
        <v>273</v>
      </c>
      <c r="T133" s="12"/>
      <c r="U133" s="11">
        <v>15.53</v>
      </c>
      <c r="V133" s="12" t="s">
        <v>1493</v>
      </c>
      <c r="W133" s="12"/>
      <c r="X133" s="12"/>
      <c r="Y133" s="12"/>
      <c r="Z133" s="12"/>
      <c r="AA133" s="12"/>
      <c r="AB133" s="12"/>
      <c r="AC133" s="20">
        <v>6</v>
      </c>
      <c r="AD133" s="12"/>
      <c r="AE133" s="12"/>
      <c r="AF133" s="12"/>
    </row>
    <row r="134" spans="1:32">
      <c r="A134" s="12">
        <v>110</v>
      </c>
      <c r="B134" s="10" t="s">
        <v>33</v>
      </c>
      <c r="C134" s="10" t="s">
        <v>1489</v>
      </c>
      <c r="D134" s="10" t="s">
        <v>1719</v>
      </c>
      <c r="E134" s="10" t="s">
        <v>1722</v>
      </c>
      <c r="F134" s="25" t="s">
        <v>1723</v>
      </c>
      <c r="G134" s="10">
        <v>455</v>
      </c>
      <c r="H134" s="10">
        <v>51</v>
      </c>
      <c r="I134" s="10">
        <v>278</v>
      </c>
      <c r="J134" s="10">
        <v>154</v>
      </c>
      <c r="K134" s="10">
        <v>124</v>
      </c>
      <c r="L134" s="10">
        <v>51</v>
      </c>
      <c r="M134" s="12">
        <f t="shared" si="2"/>
        <v>18.345323741007196</v>
      </c>
      <c r="N134" s="10">
        <v>10</v>
      </c>
      <c r="O134" s="12">
        <f t="shared" si="3"/>
        <v>3.5971223021582732</v>
      </c>
      <c r="P134" s="271">
        <v>444</v>
      </c>
      <c r="Q134" s="10">
        <v>175.98</v>
      </c>
      <c r="R134" s="12"/>
      <c r="S134" s="11"/>
      <c r="T134" s="12"/>
      <c r="U134" s="31">
        <v>2.0099999999999998</v>
      </c>
      <c r="V134" s="12" t="s">
        <v>1493</v>
      </c>
      <c r="W134" s="12"/>
      <c r="X134" s="12"/>
      <c r="Y134" s="12"/>
      <c r="Z134" s="12"/>
      <c r="AA134" s="12"/>
      <c r="AB134" s="12" t="s">
        <v>39</v>
      </c>
      <c r="AC134" s="11">
        <v>6</v>
      </c>
      <c r="AD134" s="12" t="s">
        <v>1494</v>
      </c>
      <c r="AE134" s="12"/>
      <c r="AF134" s="12"/>
    </row>
    <row r="135" spans="1:32">
      <c r="A135" s="12">
        <v>111</v>
      </c>
      <c r="B135" s="10" t="s">
        <v>33</v>
      </c>
      <c r="C135" s="10" t="s">
        <v>1489</v>
      </c>
      <c r="D135" s="10" t="s">
        <v>1719</v>
      </c>
      <c r="E135" s="10" t="s">
        <v>1724</v>
      </c>
      <c r="F135" s="25" t="s">
        <v>1725</v>
      </c>
      <c r="G135" s="10">
        <v>958</v>
      </c>
      <c r="H135" s="10">
        <v>96</v>
      </c>
      <c r="I135" s="10">
        <v>556</v>
      </c>
      <c r="J135" s="10">
        <v>276</v>
      </c>
      <c r="K135" s="10">
        <v>280</v>
      </c>
      <c r="L135" s="10">
        <v>9</v>
      </c>
      <c r="M135" s="12">
        <f t="shared" si="2"/>
        <v>1.6187050359712229</v>
      </c>
      <c r="N135" s="10">
        <v>343</v>
      </c>
      <c r="O135" s="12">
        <f t="shared" si="3"/>
        <v>61.690647482014391</v>
      </c>
      <c r="P135" s="271">
        <v>741</v>
      </c>
      <c r="Q135" s="10">
        <v>32</v>
      </c>
      <c r="R135" s="12"/>
      <c r="S135" s="14"/>
      <c r="T135" s="12"/>
      <c r="U135" s="14"/>
      <c r="V135" s="12" t="s">
        <v>1493</v>
      </c>
      <c r="W135" s="12"/>
      <c r="X135" s="12"/>
      <c r="Y135" s="12"/>
      <c r="Z135" s="12"/>
      <c r="AA135" s="12"/>
      <c r="AB135" s="12"/>
      <c r="AC135" s="14"/>
      <c r="AD135" s="12"/>
      <c r="AE135" s="12"/>
      <c r="AF135" s="12"/>
    </row>
    <row r="136" spans="1:32">
      <c r="A136" s="12">
        <v>112</v>
      </c>
      <c r="B136" s="10" t="s">
        <v>33</v>
      </c>
      <c r="C136" s="10" t="s">
        <v>1489</v>
      </c>
      <c r="D136" s="10" t="s">
        <v>1726</v>
      </c>
      <c r="E136" s="16" t="s">
        <v>1727</v>
      </c>
      <c r="F136" s="25" t="s">
        <v>1728</v>
      </c>
      <c r="G136" s="10">
        <v>645</v>
      </c>
      <c r="H136" s="10">
        <v>244</v>
      </c>
      <c r="I136" s="10">
        <v>1216</v>
      </c>
      <c r="J136" s="10">
        <v>627</v>
      </c>
      <c r="K136" s="10">
        <v>589</v>
      </c>
      <c r="L136" s="10">
        <v>302</v>
      </c>
      <c r="M136" s="12">
        <f t="shared" si="2"/>
        <v>24.835526315789476</v>
      </c>
      <c r="N136" s="10">
        <v>427</v>
      </c>
      <c r="O136" s="12">
        <f t="shared" si="3"/>
        <v>35.11513157894737</v>
      </c>
      <c r="P136" s="271">
        <v>0</v>
      </c>
      <c r="Q136" s="10">
        <v>412</v>
      </c>
      <c r="R136" s="12"/>
      <c r="S136" s="18"/>
      <c r="T136" s="12"/>
      <c r="U136" s="18">
        <v>113.7</v>
      </c>
      <c r="V136" s="12" t="s">
        <v>1493</v>
      </c>
      <c r="W136" s="12"/>
      <c r="X136" s="12"/>
      <c r="Y136" s="12"/>
      <c r="Z136" s="12"/>
      <c r="AA136" s="12"/>
      <c r="AB136" s="12" t="s">
        <v>39</v>
      </c>
      <c r="AC136" s="18">
        <v>10</v>
      </c>
      <c r="AD136" s="12" t="s">
        <v>1494</v>
      </c>
      <c r="AE136" s="12"/>
      <c r="AF136" s="12"/>
    </row>
    <row r="137" spans="1:32">
      <c r="A137" s="12">
        <v>113</v>
      </c>
      <c r="B137" s="10" t="s">
        <v>33</v>
      </c>
      <c r="C137" s="10" t="s">
        <v>1489</v>
      </c>
      <c r="D137" s="10" t="s">
        <v>1726</v>
      </c>
      <c r="E137" s="10" t="s">
        <v>1656</v>
      </c>
      <c r="F137" s="25" t="s">
        <v>1729</v>
      </c>
      <c r="G137" s="10">
        <v>657</v>
      </c>
      <c r="H137" s="10">
        <v>113</v>
      </c>
      <c r="I137" s="10">
        <v>484</v>
      </c>
      <c r="J137" s="10">
        <v>234</v>
      </c>
      <c r="K137" s="10">
        <v>250</v>
      </c>
      <c r="L137" s="10">
        <v>2</v>
      </c>
      <c r="M137" s="12">
        <f t="shared" si="2"/>
        <v>0.41322314049586778</v>
      </c>
      <c r="N137" s="10">
        <v>478</v>
      </c>
      <c r="O137" s="12">
        <f t="shared" si="3"/>
        <v>98.760330578512395</v>
      </c>
      <c r="P137" s="271">
        <v>537</v>
      </c>
      <c r="Q137" s="10">
        <v>177.02</v>
      </c>
      <c r="R137" s="12"/>
      <c r="S137" s="18"/>
      <c r="T137" s="12"/>
      <c r="U137" s="18">
        <v>31.83</v>
      </c>
      <c r="V137" s="12" t="s">
        <v>1493</v>
      </c>
      <c r="W137" s="12"/>
      <c r="X137" s="12"/>
      <c r="Y137" s="12"/>
      <c r="Z137" s="12"/>
      <c r="AA137" s="12"/>
      <c r="AB137" s="12" t="s">
        <v>39</v>
      </c>
      <c r="AC137" s="18">
        <v>9</v>
      </c>
      <c r="AD137" s="12" t="s">
        <v>1494</v>
      </c>
      <c r="AE137" s="12"/>
      <c r="AF137" s="12"/>
    </row>
    <row r="138" spans="1:32">
      <c r="A138" s="12">
        <v>114</v>
      </c>
      <c r="B138" s="10" t="s">
        <v>33</v>
      </c>
      <c r="C138" s="10" t="s">
        <v>1489</v>
      </c>
      <c r="D138" s="10" t="s">
        <v>1726</v>
      </c>
      <c r="E138" s="10" t="s">
        <v>1730</v>
      </c>
      <c r="F138" s="25" t="s">
        <v>1731</v>
      </c>
      <c r="G138" s="10">
        <v>212.66</v>
      </c>
      <c r="H138" s="10">
        <v>12</v>
      </c>
      <c r="I138" s="10">
        <v>53</v>
      </c>
      <c r="J138" s="10">
        <v>25</v>
      </c>
      <c r="K138" s="10">
        <v>28</v>
      </c>
      <c r="L138" s="10">
        <v>0</v>
      </c>
      <c r="M138" s="12">
        <f t="shared" si="2"/>
        <v>0</v>
      </c>
      <c r="N138" s="10">
        <v>53</v>
      </c>
      <c r="O138" s="12">
        <f t="shared" si="3"/>
        <v>100</v>
      </c>
      <c r="P138" s="271">
        <v>56.08</v>
      </c>
      <c r="Q138" s="10">
        <v>481.29</v>
      </c>
      <c r="R138" s="12" t="s">
        <v>39</v>
      </c>
      <c r="S138" s="38">
        <v>46067</v>
      </c>
      <c r="T138" s="12"/>
      <c r="U138" s="18"/>
      <c r="V138" s="12" t="s">
        <v>1493</v>
      </c>
      <c r="W138" s="12"/>
      <c r="X138" s="12"/>
      <c r="Y138" s="12"/>
      <c r="Z138" s="12"/>
      <c r="AA138" s="12"/>
      <c r="AB138" s="12"/>
      <c r="AC138" s="18"/>
      <c r="AD138" s="12"/>
      <c r="AE138" s="12"/>
      <c r="AF138" s="12"/>
    </row>
    <row r="139" spans="1:32">
      <c r="A139" s="12">
        <v>115</v>
      </c>
      <c r="B139" s="10" t="s">
        <v>33</v>
      </c>
      <c r="C139" s="10" t="s">
        <v>1489</v>
      </c>
      <c r="D139" s="10" t="s">
        <v>1726</v>
      </c>
      <c r="E139" s="10" t="s">
        <v>1732</v>
      </c>
      <c r="F139" s="25" t="s">
        <v>1733</v>
      </c>
      <c r="G139" s="10">
        <v>1144</v>
      </c>
      <c r="H139" s="10">
        <v>93</v>
      </c>
      <c r="I139" s="10">
        <v>433</v>
      </c>
      <c r="J139" s="10">
        <v>211</v>
      </c>
      <c r="K139" s="10">
        <v>222</v>
      </c>
      <c r="L139" s="10">
        <v>0</v>
      </c>
      <c r="M139" s="12">
        <f t="shared" si="2"/>
        <v>0</v>
      </c>
      <c r="N139" s="10">
        <v>255</v>
      </c>
      <c r="O139" s="12">
        <f t="shared" si="3"/>
        <v>58.891454965357973</v>
      </c>
      <c r="P139" s="271">
        <v>750</v>
      </c>
      <c r="Q139" s="10">
        <v>470.82</v>
      </c>
      <c r="R139" s="12" t="s">
        <v>39</v>
      </c>
      <c r="S139" s="38">
        <v>46067</v>
      </c>
      <c r="T139" s="12"/>
      <c r="U139" s="18"/>
      <c r="V139" s="12" t="s">
        <v>1493</v>
      </c>
      <c r="W139" s="12"/>
      <c r="X139" s="12"/>
      <c r="Y139" s="12"/>
      <c r="Z139" s="12"/>
      <c r="AA139" s="12"/>
      <c r="AB139" s="12"/>
      <c r="AC139" s="18"/>
      <c r="AD139" s="12"/>
      <c r="AE139" s="12"/>
      <c r="AF139" s="12"/>
    </row>
    <row r="140" spans="1:32">
      <c r="A140" s="12">
        <v>116</v>
      </c>
      <c r="B140" s="10" t="s">
        <v>33</v>
      </c>
      <c r="C140" s="10" t="s">
        <v>1489</v>
      </c>
      <c r="D140" s="10" t="s">
        <v>1726</v>
      </c>
      <c r="E140" s="10" t="s">
        <v>1734</v>
      </c>
      <c r="F140" s="25" t="s">
        <v>1735</v>
      </c>
      <c r="G140" s="10">
        <v>873</v>
      </c>
      <c r="H140" s="10">
        <v>47</v>
      </c>
      <c r="I140" s="10">
        <v>319</v>
      </c>
      <c r="J140" s="10">
        <v>161</v>
      </c>
      <c r="K140" s="10">
        <v>158</v>
      </c>
      <c r="L140" s="10">
        <v>2</v>
      </c>
      <c r="M140" s="12">
        <f t="shared" si="2"/>
        <v>0.62695924764890276</v>
      </c>
      <c r="N140" s="10">
        <v>317</v>
      </c>
      <c r="O140" s="12">
        <f t="shared" si="3"/>
        <v>99.373040752351088</v>
      </c>
      <c r="P140" s="271">
        <v>647</v>
      </c>
      <c r="Q140" s="10">
        <v>791.1</v>
      </c>
      <c r="R140" s="12" t="s">
        <v>39</v>
      </c>
      <c r="S140" s="38">
        <v>46067</v>
      </c>
      <c r="T140" s="12"/>
      <c r="U140" s="18"/>
      <c r="V140" s="12" t="s">
        <v>1493</v>
      </c>
      <c r="W140" s="12"/>
      <c r="X140" s="12"/>
      <c r="Y140" s="12"/>
      <c r="Z140" s="12"/>
      <c r="AA140" s="12"/>
      <c r="AB140" s="12"/>
      <c r="AC140" s="18"/>
      <c r="AD140" s="12"/>
      <c r="AE140" s="12"/>
      <c r="AF140" s="12"/>
    </row>
    <row r="141" spans="1:32">
      <c r="A141" s="12">
        <v>117</v>
      </c>
      <c r="B141" s="10" t="s">
        <v>33</v>
      </c>
      <c r="C141" s="10" t="s">
        <v>1489</v>
      </c>
      <c r="D141" s="10" t="s">
        <v>1726</v>
      </c>
      <c r="E141" s="10" t="s">
        <v>1736</v>
      </c>
      <c r="F141" s="25" t="s">
        <v>1737</v>
      </c>
      <c r="G141" s="10">
        <v>97</v>
      </c>
      <c r="H141" s="10">
        <v>32</v>
      </c>
      <c r="I141" s="10">
        <v>163</v>
      </c>
      <c r="J141" s="10">
        <v>89</v>
      </c>
      <c r="K141" s="10">
        <v>74</v>
      </c>
      <c r="L141" s="10">
        <v>0</v>
      </c>
      <c r="M141" s="12">
        <f t="shared" si="2"/>
        <v>0</v>
      </c>
      <c r="N141" s="10">
        <v>161</v>
      </c>
      <c r="O141" s="12">
        <f t="shared" si="3"/>
        <v>98.773006134969322</v>
      </c>
      <c r="P141" s="271">
        <v>0</v>
      </c>
      <c r="Q141" s="10">
        <v>45.04</v>
      </c>
      <c r="R141" s="12" t="s">
        <v>39</v>
      </c>
      <c r="S141" s="38">
        <v>46067</v>
      </c>
      <c r="T141" s="12"/>
      <c r="U141" s="18"/>
      <c r="V141" s="12" t="s">
        <v>1493</v>
      </c>
      <c r="W141" s="12"/>
      <c r="X141" s="12"/>
      <c r="Y141" s="12"/>
      <c r="Z141" s="12"/>
      <c r="AA141" s="12"/>
      <c r="AB141" s="12"/>
      <c r="AC141" s="18"/>
      <c r="AD141" s="12"/>
      <c r="AE141" s="12"/>
      <c r="AF141" s="12"/>
    </row>
    <row r="142" spans="1:32">
      <c r="A142" s="12">
        <v>118</v>
      </c>
      <c r="B142" s="10" t="s">
        <v>33</v>
      </c>
      <c r="C142" s="10" t="s">
        <v>1489</v>
      </c>
      <c r="D142" s="10" t="s">
        <v>1726</v>
      </c>
      <c r="E142" s="10" t="s">
        <v>1738</v>
      </c>
      <c r="F142" s="25" t="s">
        <v>1739</v>
      </c>
      <c r="G142" s="10">
        <v>200</v>
      </c>
      <c r="H142" s="10">
        <v>56</v>
      </c>
      <c r="I142" s="10">
        <v>261</v>
      </c>
      <c r="J142" s="10">
        <v>131</v>
      </c>
      <c r="K142" s="10">
        <v>130</v>
      </c>
      <c r="L142" s="10">
        <v>2</v>
      </c>
      <c r="M142" s="12">
        <f t="shared" si="2"/>
        <v>0.76628352490421447</v>
      </c>
      <c r="N142" s="10">
        <v>191</v>
      </c>
      <c r="O142" s="12">
        <f t="shared" si="3"/>
        <v>73.180076628352481</v>
      </c>
      <c r="P142" s="271">
        <v>0</v>
      </c>
      <c r="Q142" s="10">
        <v>262.08</v>
      </c>
      <c r="R142" s="12" t="s">
        <v>39</v>
      </c>
      <c r="S142" s="38">
        <v>46067</v>
      </c>
      <c r="T142" s="12"/>
      <c r="U142" s="18"/>
      <c r="V142" s="12" t="s">
        <v>1493</v>
      </c>
      <c r="W142" s="12"/>
      <c r="X142" s="12"/>
      <c r="Y142" s="12"/>
      <c r="Z142" s="12"/>
      <c r="AA142" s="12"/>
      <c r="AB142" s="12"/>
      <c r="AC142" s="18"/>
      <c r="AD142" s="12"/>
      <c r="AE142" s="12"/>
      <c r="AF142" s="12"/>
    </row>
    <row r="143" spans="1:32">
      <c r="A143" s="12">
        <v>119</v>
      </c>
      <c r="B143" s="10" t="s">
        <v>33</v>
      </c>
      <c r="C143" s="10" t="s">
        <v>1489</v>
      </c>
      <c r="D143" s="10" t="s">
        <v>1726</v>
      </c>
      <c r="E143" s="10" t="s">
        <v>1740</v>
      </c>
      <c r="F143" s="25" t="s">
        <v>1741</v>
      </c>
      <c r="G143" s="10">
        <v>175.98</v>
      </c>
      <c r="H143" s="10">
        <v>2</v>
      </c>
      <c r="I143" s="10">
        <v>2</v>
      </c>
      <c r="J143" s="10">
        <v>2</v>
      </c>
      <c r="K143" s="10">
        <v>0</v>
      </c>
      <c r="L143" s="10">
        <v>0</v>
      </c>
      <c r="M143" s="12">
        <f t="shared" si="2"/>
        <v>0</v>
      </c>
      <c r="N143" s="10">
        <v>0</v>
      </c>
      <c r="O143" s="12">
        <f t="shared" si="3"/>
        <v>0</v>
      </c>
      <c r="P143" s="271">
        <v>175.98</v>
      </c>
      <c r="Q143" s="10">
        <v>947.08</v>
      </c>
      <c r="R143" s="12"/>
      <c r="S143" s="14"/>
      <c r="T143" s="12"/>
      <c r="U143" s="14"/>
      <c r="V143" s="12" t="s">
        <v>1493</v>
      </c>
      <c r="W143" s="12"/>
      <c r="X143" s="12"/>
      <c r="Y143" s="12"/>
      <c r="Z143" s="12"/>
      <c r="AA143" s="12"/>
      <c r="AB143" s="12"/>
      <c r="AC143" s="14"/>
      <c r="AD143" s="12"/>
      <c r="AE143" s="12"/>
      <c r="AF143" s="12"/>
    </row>
    <row r="144" spans="1:32">
      <c r="A144" s="12">
        <v>120</v>
      </c>
      <c r="B144" s="10" t="s">
        <v>33</v>
      </c>
      <c r="C144" s="10" t="s">
        <v>1489</v>
      </c>
      <c r="D144" s="10" t="s">
        <v>1726</v>
      </c>
      <c r="E144" s="10" t="s">
        <v>1742</v>
      </c>
      <c r="F144" s="25" t="s">
        <v>1743</v>
      </c>
      <c r="G144" s="10">
        <v>160</v>
      </c>
      <c r="H144" s="10">
        <v>0</v>
      </c>
      <c r="I144" s="10">
        <v>0</v>
      </c>
      <c r="J144" s="10">
        <v>0</v>
      </c>
      <c r="K144" s="10">
        <v>0</v>
      </c>
      <c r="L144" s="10">
        <v>0</v>
      </c>
      <c r="M144" s="12" t="e">
        <f t="shared" si="2"/>
        <v>#DIV/0!</v>
      </c>
      <c r="N144" s="10">
        <v>0</v>
      </c>
      <c r="O144" s="12" t="e">
        <f t="shared" si="3"/>
        <v>#DIV/0!</v>
      </c>
      <c r="P144" s="271">
        <v>32</v>
      </c>
      <c r="Q144" s="10">
        <v>319.18</v>
      </c>
      <c r="R144" s="12"/>
      <c r="S144" s="14"/>
      <c r="T144" s="12"/>
      <c r="U144" s="14"/>
      <c r="V144" s="12" t="s">
        <v>1493</v>
      </c>
      <c r="W144" s="12"/>
      <c r="X144" s="12"/>
      <c r="Y144" s="12"/>
      <c r="Z144" s="12"/>
      <c r="AA144" s="12"/>
      <c r="AB144" s="12"/>
      <c r="AC144" s="14"/>
      <c r="AD144" s="12"/>
      <c r="AE144" s="12"/>
      <c r="AF144" s="12"/>
    </row>
    <row r="145" spans="1:32">
      <c r="A145" s="12">
        <v>121</v>
      </c>
      <c r="B145" s="10" t="s">
        <v>33</v>
      </c>
      <c r="C145" s="10" t="s">
        <v>1489</v>
      </c>
      <c r="D145" s="10" t="s">
        <v>1726</v>
      </c>
      <c r="E145" s="10" t="s">
        <v>1744</v>
      </c>
      <c r="F145" s="25" t="s">
        <v>1745</v>
      </c>
      <c r="G145" s="10">
        <v>497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2" t="e">
        <f t="shared" ref="M145:M212" si="4">L145/I145*100</f>
        <v>#DIV/0!</v>
      </c>
      <c r="N145" s="10">
        <v>0</v>
      </c>
      <c r="O145" s="12" t="e">
        <f t="shared" ref="O145:O212" si="5">N145/I145*100</f>
        <v>#DIV/0!</v>
      </c>
      <c r="P145" s="271">
        <v>412</v>
      </c>
      <c r="Q145" s="10">
        <v>380.18</v>
      </c>
      <c r="R145" s="12"/>
      <c r="S145" s="14"/>
      <c r="T145" s="12"/>
      <c r="U145" s="14"/>
      <c r="V145" s="12" t="s">
        <v>1493</v>
      </c>
      <c r="W145" s="12"/>
      <c r="X145" s="12"/>
      <c r="Y145" s="12"/>
      <c r="Z145" s="12"/>
      <c r="AA145" s="12"/>
      <c r="AB145" s="12"/>
      <c r="AC145" s="14"/>
      <c r="AD145" s="12"/>
      <c r="AE145" s="12"/>
      <c r="AF145" s="12"/>
    </row>
    <row r="146" spans="1:32">
      <c r="A146" s="12">
        <v>122</v>
      </c>
      <c r="B146" s="10" t="s">
        <v>33</v>
      </c>
      <c r="C146" s="10" t="s">
        <v>1489</v>
      </c>
      <c r="D146" s="10" t="s">
        <v>1746</v>
      </c>
      <c r="E146" s="16" t="s">
        <v>1747</v>
      </c>
      <c r="F146" s="25" t="s">
        <v>1748</v>
      </c>
      <c r="G146" s="10">
        <v>978.58</v>
      </c>
      <c r="H146" s="10">
        <v>1115</v>
      </c>
      <c r="I146" s="10">
        <v>5166</v>
      </c>
      <c r="J146" s="10">
        <v>2776</v>
      </c>
      <c r="K146" s="10">
        <v>2390</v>
      </c>
      <c r="L146" s="10">
        <v>836</v>
      </c>
      <c r="M146" s="12">
        <f t="shared" si="4"/>
        <v>16.18273325590399</v>
      </c>
      <c r="N146" s="10">
        <v>825</v>
      </c>
      <c r="O146" s="12">
        <f t="shared" si="5"/>
        <v>15.969802555168409</v>
      </c>
      <c r="P146" s="271">
        <v>177.02</v>
      </c>
      <c r="Q146" s="10">
        <v>0</v>
      </c>
      <c r="R146" s="12" t="s">
        <v>39</v>
      </c>
      <c r="S146" s="11" t="s">
        <v>1749</v>
      </c>
      <c r="T146" s="12"/>
      <c r="U146" s="20"/>
      <c r="V146" s="12" t="s">
        <v>1493</v>
      </c>
      <c r="W146" s="12"/>
      <c r="X146" s="12"/>
      <c r="Y146" s="12"/>
      <c r="Z146" s="12"/>
      <c r="AA146" s="12"/>
      <c r="AB146" s="12" t="s">
        <v>39</v>
      </c>
      <c r="AC146" s="20">
        <v>10</v>
      </c>
      <c r="AD146" s="12" t="s">
        <v>1494</v>
      </c>
      <c r="AE146" s="12"/>
      <c r="AF146" s="12"/>
    </row>
    <row r="147" spans="1:32">
      <c r="A147" s="12" t="s">
        <v>51</v>
      </c>
      <c r="B147" s="10" t="s">
        <v>33</v>
      </c>
      <c r="C147" s="10" t="s">
        <v>1489</v>
      </c>
      <c r="D147" s="10" t="s">
        <v>1746</v>
      </c>
      <c r="E147" s="16" t="s">
        <v>1747</v>
      </c>
      <c r="F147" s="25"/>
      <c r="G147" s="10"/>
      <c r="H147" s="10"/>
      <c r="I147" s="10"/>
      <c r="J147" s="10"/>
      <c r="K147" s="10"/>
      <c r="L147" s="10"/>
      <c r="M147" s="12" t="e">
        <f t="shared" si="4"/>
        <v>#DIV/0!</v>
      </c>
      <c r="N147" s="10"/>
      <c r="O147" s="12" t="e">
        <f t="shared" si="5"/>
        <v>#DIV/0!</v>
      </c>
      <c r="P147" s="271">
        <v>481.29</v>
      </c>
      <c r="Q147" s="10">
        <v>535</v>
      </c>
      <c r="R147" s="12"/>
      <c r="S147" s="11"/>
      <c r="T147" s="12"/>
      <c r="U147" s="20"/>
      <c r="V147" s="12"/>
      <c r="W147" s="12"/>
      <c r="X147" s="12"/>
      <c r="Y147" s="12"/>
      <c r="Z147" s="12"/>
      <c r="AA147" s="12"/>
      <c r="AB147" s="12" t="s">
        <v>39</v>
      </c>
      <c r="AC147" s="20">
        <v>21</v>
      </c>
      <c r="AD147" s="12" t="s">
        <v>1750</v>
      </c>
      <c r="AE147" s="21">
        <v>24.714500000000001</v>
      </c>
      <c r="AF147" s="21">
        <v>76.802899999999994</v>
      </c>
    </row>
    <row r="148" spans="1:32">
      <c r="A148" s="12" t="s">
        <v>51</v>
      </c>
      <c r="B148" s="10" t="s">
        <v>33</v>
      </c>
      <c r="C148" s="10" t="s">
        <v>1489</v>
      </c>
      <c r="D148" s="10" t="s">
        <v>1746</v>
      </c>
      <c r="E148" s="16" t="s">
        <v>1747</v>
      </c>
      <c r="F148" s="25"/>
      <c r="G148" s="10"/>
      <c r="H148" s="10"/>
      <c r="I148" s="10"/>
      <c r="J148" s="10"/>
      <c r="K148" s="10"/>
      <c r="L148" s="10"/>
      <c r="M148" s="12" t="e">
        <f t="shared" si="4"/>
        <v>#DIV/0!</v>
      </c>
      <c r="N148" s="10"/>
      <c r="O148" s="12" t="e">
        <f t="shared" si="5"/>
        <v>#DIV/0!</v>
      </c>
      <c r="P148" s="271">
        <v>470.82</v>
      </c>
      <c r="Q148" s="10">
        <v>364</v>
      </c>
      <c r="R148" s="12"/>
      <c r="S148" s="11"/>
      <c r="T148" s="12"/>
      <c r="U148" s="20"/>
      <c r="V148" s="12"/>
      <c r="W148" s="12"/>
      <c r="X148" s="12"/>
      <c r="Y148" s="12"/>
      <c r="Z148" s="12"/>
      <c r="AA148" s="12"/>
      <c r="AB148" s="12" t="s">
        <v>39</v>
      </c>
      <c r="AC148" s="20">
        <v>12</v>
      </c>
      <c r="AD148" s="12" t="s">
        <v>1751</v>
      </c>
      <c r="AE148" s="21">
        <v>24.732600000000001</v>
      </c>
      <c r="AF148" s="21" t="s">
        <v>1752</v>
      </c>
    </row>
    <row r="149" spans="1:32">
      <c r="A149" s="12">
        <v>123</v>
      </c>
      <c r="B149" s="10" t="s">
        <v>33</v>
      </c>
      <c r="C149" s="10" t="s">
        <v>1489</v>
      </c>
      <c r="D149" s="10" t="s">
        <v>1746</v>
      </c>
      <c r="E149" s="10" t="s">
        <v>1355</v>
      </c>
      <c r="F149" s="25" t="s">
        <v>1753</v>
      </c>
      <c r="G149" s="10">
        <v>530.29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2" t="e">
        <f t="shared" si="4"/>
        <v>#DIV/0!</v>
      </c>
      <c r="N149" s="10">
        <v>0</v>
      </c>
      <c r="O149" s="12" t="e">
        <f t="shared" si="5"/>
        <v>#DIV/0!</v>
      </c>
      <c r="P149" s="271">
        <v>791.1</v>
      </c>
      <c r="Q149" s="10">
        <v>180</v>
      </c>
      <c r="R149" s="12"/>
      <c r="S149" s="14"/>
      <c r="T149" s="12"/>
      <c r="U149" s="14"/>
      <c r="V149" s="12" t="s">
        <v>1493</v>
      </c>
      <c r="W149" s="12"/>
      <c r="X149" s="12"/>
      <c r="Y149" s="12"/>
      <c r="Z149" s="12"/>
      <c r="AA149" s="12"/>
      <c r="AB149" s="12"/>
      <c r="AC149" s="14"/>
      <c r="AD149" s="12"/>
      <c r="AE149" s="12"/>
      <c r="AF149" s="12"/>
    </row>
    <row r="150" spans="1:32">
      <c r="A150" s="12">
        <v>124</v>
      </c>
      <c r="B150" s="10" t="s">
        <v>33</v>
      </c>
      <c r="C150" s="10" t="s">
        <v>1489</v>
      </c>
      <c r="D150" s="10" t="s">
        <v>1746</v>
      </c>
      <c r="E150" s="10" t="s">
        <v>1754</v>
      </c>
      <c r="F150" s="25" t="s">
        <v>1755</v>
      </c>
      <c r="G150" s="10">
        <v>515.88</v>
      </c>
      <c r="H150" s="10">
        <v>0</v>
      </c>
      <c r="I150" s="10">
        <v>0</v>
      </c>
      <c r="J150" s="10">
        <v>0</v>
      </c>
      <c r="K150" s="10">
        <v>0</v>
      </c>
      <c r="L150" s="10">
        <v>0</v>
      </c>
      <c r="M150" s="12" t="e">
        <f t="shared" si="4"/>
        <v>#DIV/0!</v>
      </c>
      <c r="N150" s="10">
        <v>0</v>
      </c>
      <c r="O150" s="12" t="e">
        <f t="shared" si="5"/>
        <v>#DIV/0!</v>
      </c>
      <c r="P150" s="271">
        <v>45.04</v>
      </c>
      <c r="Q150" s="10">
        <v>106</v>
      </c>
      <c r="R150" s="12"/>
      <c r="S150" s="14"/>
      <c r="T150" s="12"/>
      <c r="U150" s="14"/>
      <c r="V150" s="12" t="s">
        <v>1493</v>
      </c>
      <c r="W150" s="12"/>
      <c r="X150" s="12"/>
      <c r="Y150" s="12"/>
      <c r="Z150" s="12"/>
      <c r="AA150" s="12"/>
      <c r="AB150" s="12"/>
      <c r="AC150" s="14"/>
      <c r="AD150" s="12"/>
      <c r="AE150" s="12"/>
      <c r="AF150" s="12"/>
    </row>
    <row r="151" spans="1:32">
      <c r="A151" s="12">
        <v>125</v>
      </c>
      <c r="B151" s="10" t="s">
        <v>33</v>
      </c>
      <c r="C151" s="10" t="s">
        <v>1489</v>
      </c>
      <c r="D151" s="10" t="s">
        <v>1746</v>
      </c>
      <c r="E151" s="10" t="s">
        <v>687</v>
      </c>
      <c r="F151" s="25" t="s">
        <v>1756</v>
      </c>
      <c r="G151" s="10">
        <v>808.53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2" t="e">
        <f t="shared" si="4"/>
        <v>#DIV/0!</v>
      </c>
      <c r="N151" s="10">
        <v>0</v>
      </c>
      <c r="O151" s="12" t="e">
        <f t="shared" si="5"/>
        <v>#DIV/0!</v>
      </c>
      <c r="P151" s="271">
        <v>262.08</v>
      </c>
      <c r="Q151" s="10">
        <v>0</v>
      </c>
      <c r="R151" s="12"/>
      <c r="S151" s="14"/>
      <c r="T151" s="12"/>
      <c r="U151" s="14"/>
      <c r="V151" s="12" t="s">
        <v>1493</v>
      </c>
      <c r="W151" s="12"/>
      <c r="X151" s="12"/>
      <c r="Y151" s="12"/>
      <c r="Z151" s="12"/>
      <c r="AA151" s="12"/>
      <c r="AB151" s="12"/>
      <c r="AC151" s="14"/>
      <c r="AD151" s="12"/>
      <c r="AE151" s="12"/>
      <c r="AF151" s="12"/>
    </row>
    <row r="152" spans="1:32">
      <c r="A152" s="12">
        <v>126</v>
      </c>
      <c r="B152" s="10" t="s">
        <v>33</v>
      </c>
      <c r="C152" s="10" t="s">
        <v>1489</v>
      </c>
      <c r="D152" s="10" t="s">
        <v>1746</v>
      </c>
      <c r="E152" s="10" t="s">
        <v>1757</v>
      </c>
      <c r="F152" s="25" t="s">
        <v>1758</v>
      </c>
      <c r="G152" s="10">
        <v>91.48</v>
      </c>
      <c r="H152" s="10">
        <v>0</v>
      </c>
      <c r="I152" s="10">
        <v>0</v>
      </c>
      <c r="J152" s="10">
        <v>0</v>
      </c>
      <c r="K152" s="10">
        <v>0</v>
      </c>
      <c r="L152" s="10">
        <v>0</v>
      </c>
      <c r="M152" s="12" t="e">
        <f t="shared" si="4"/>
        <v>#DIV/0!</v>
      </c>
      <c r="N152" s="10">
        <v>0</v>
      </c>
      <c r="O152" s="12" t="e">
        <f t="shared" si="5"/>
        <v>#DIV/0!</v>
      </c>
      <c r="P152" s="271">
        <v>947.08</v>
      </c>
      <c r="Q152" s="10">
        <v>0</v>
      </c>
      <c r="R152" s="12"/>
      <c r="S152" s="14"/>
      <c r="T152" s="12"/>
      <c r="U152" s="14"/>
      <c r="V152" s="12" t="s">
        <v>1493</v>
      </c>
      <c r="W152" s="12"/>
      <c r="X152" s="12"/>
      <c r="Y152" s="12"/>
      <c r="Z152" s="12"/>
      <c r="AA152" s="12"/>
      <c r="AB152" s="12"/>
      <c r="AC152" s="14"/>
      <c r="AD152" s="12"/>
      <c r="AE152" s="12"/>
      <c r="AF152" s="12"/>
    </row>
    <row r="153" spans="1:32">
      <c r="A153" s="12">
        <v>127</v>
      </c>
      <c r="B153" s="10" t="s">
        <v>33</v>
      </c>
      <c r="C153" s="10" t="s">
        <v>1489</v>
      </c>
      <c r="D153" s="10" t="s">
        <v>1746</v>
      </c>
      <c r="E153" s="10" t="s">
        <v>1759</v>
      </c>
      <c r="F153" s="25" t="s">
        <v>1760</v>
      </c>
      <c r="G153" s="10">
        <v>512.62</v>
      </c>
      <c r="H153" s="10">
        <v>1</v>
      </c>
      <c r="I153" s="10">
        <v>1</v>
      </c>
      <c r="J153" s="10">
        <v>1</v>
      </c>
      <c r="K153" s="10">
        <v>0</v>
      </c>
      <c r="L153" s="10">
        <v>1</v>
      </c>
      <c r="M153" s="12">
        <f t="shared" si="4"/>
        <v>100</v>
      </c>
      <c r="N153" s="10">
        <v>0</v>
      </c>
      <c r="O153" s="12">
        <f t="shared" si="5"/>
        <v>0</v>
      </c>
      <c r="P153" s="271">
        <v>319.18</v>
      </c>
      <c r="Q153" s="10">
        <v>212</v>
      </c>
      <c r="R153" s="12"/>
      <c r="S153" s="14"/>
      <c r="T153" s="12"/>
      <c r="U153" s="14"/>
      <c r="V153" s="12" t="s">
        <v>1493</v>
      </c>
      <c r="W153" s="12"/>
      <c r="X153" s="12"/>
      <c r="Y153" s="12"/>
      <c r="Z153" s="12"/>
      <c r="AA153" s="12"/>
      <c r="AB153" s="12"/>
      <c r="AC153" s="14"/>
      <c r="AD153" s="12"/>
      <c r="AE153" s="12"/>
      <c r="AF153" s="12"/>
    </row>
    <row r="154" spans="1:32">
      <c r="A154" s="12">
        <v>128</v>
      </c>
      <c r="B154" s="10" t="s">
        <v>33</v>
      </c>
      <c r="C154" s="10" t="s">
        <v>1489</v>
      </c>
      <c r="D154" s="10" t="s">
        <v>1746</v>
      </c>
      <c r="E154" s="10" t="s">
        <v>1761</v>
      </c>
      <c r="F154" s="25" t="s">
        <v>1762</v>
      </c>
      <c r="G154" s="10">
        <v>961.36</v>
      </c>
      <c r="H154" s="10">
        <v>2</v>
      </c>
      <c r="I154" s="10">
        <v>3</v>
      </c>
      <c r="J154" s="10">
        <v>3</v>
      </c>
      <c r="K154" s="10">
        <v>0</v>
      </c>
      <c r="L154" s="10">
        <v>0</v>
      </c>
      <c r="M154" s="12">
        <f t="shared" si="4"/>
        <v>0</v>
      </c>
      <c r="N154" s="10">
        <v>0</v>
      </c>
      <c r="O154" s="12">
        <f t="shared" si="5"/>
        <v>0</v>
      </c>
      <c r="P154" s="271">
        <v>380.18</v>
      </c>
      <c r="Q154" s="10">
        <v>1</v>
      </c>
      <c r="R154" s="12"/>
      <c r="S154" s="14"/>
      <c r="T154" s="12"/>
      <c r="U154" s="14"/>
      <c r="V154" s="12" t="s">
        <v>1493</v>
      </c>
      <c r="W154" s="12"/>
      <c r="X154" s="12"/>
      <c r="Y154" s="12"/>
      <c r="Z154" s="12"/>
      <c r="AA154" s="12"/>
      <c r="AB154" s="12"/>
      <c r="AC154" s="14"/>
      <c r="AD154" s="12"/>
      <c r="AE154" s="12"/>
      <c r="AF154" s="12"/>
    </row>
    <row r="155" spans="1:32">
      <c r="A155" s="12">
        <v>129</v>
      </c>
      <c r="B155" s="10" t="s">
        <v>33</v>
      </c>
      <c r="C155" s="10" t="s">
        <v>1489</v>
      </c>
      <c r="D155" s="10" t="s">
        <v>1746</v>
      </c>
      <c r="E155" s="10" t="s">
        <v>1763</v>
      </c>
      <c r="F155" s="25" t="s">
        <v>1764</v>
      </c>
      <c r="G155" s="10">
        <v>377.51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2" t="e">
        <f t="shared" si="4"/>
        <v>#DIV/0!</v>
      </c>
      <c r="N155" s="10">
        <v>0</v>
      </c>
      <c r="O155" s="12" t="e">
        <f t="shared" si="5"/>
        <v>#DIV/0!</v>
      </c>
      <c r="P155" s="271">
        <v>0</v>
      </c>
      <c r="Q155" s="10">
        <v>314</v>
      </c>
      <c r="R155" s="12"/>
      <c r="S155" s="14"/>
      <c r="T155" s="12"/>
      <c r="U155" s="14"/>
      <c r="V155" s="12" t="s">
        <v>1493</v>
      </c>
      <c r="W155" s="12"/>
      <c r="X155" s="12"/>
      <c r="Y155" s="12"/>
      <c r="Z155" s="12"/>
      <c r="AA155" s="12"/>
      <c r="AB155" s="12"/>
      <c r="AC155" s="14"/>
      <c r="AD155" s="12"/>
      <c r="AE155" s="12"/>
      <c r="AF155" s="12"/>
    </row>
    <row r="156" spans="1:32">
      <c r="A156" s="12">
        <v>130</v>
      </c>
      <c r="B156" s="10" t="s">
        <v>33</v>
      </c>
      <c r="C156" s="10" t="s">
        <v>1489</v>
      </c>
      <c r="D156" s="10" t="s">
        <v>1746</v>
      </c>
      <c r="E156" s="10" t="s">
        <v>1765</v>
      </c>
      <c r="F156" s="25" t="s">
        <v>1766</v>
      </c>
      <c r="G156" s="10">
        <v>520.80999999999995</v>
      </c>
      <c r="H156" s="10">
        <v>0</v>
      </c>
      <c r="I156" s="10">
        <v>0</v>
      </c>
      <c r="J156" s="10">
        <v>0</v>
      </c>
      <c r="K156" s="10">
        <v>0</v>
      </c>
      <c r="L156" s="10">
        <v>0</v>
      </c>
      <c r="M156" s="12" t="e">
        <f t="shared" si="4"/>
        <v>#DIV/0!</v>
      </c>
      <c r="N156" s="10">
        <v>0</v>
      </c>
      <c r="O156" s="12" t="e">
        <f t="shared" si="5"/>
        <v>#DIV/0!</v>
      </c>
      <c r="P156" s="271">
        <v>0</v>
      </c>
      <c r="Q156" s="10">
        <v>30</v>
      </c>
      <c r="R156" s="12"/>
      <c r="S156" s="14"/>
      <c r="T156" s="12"/>
      <c r="U156" s="14"/>
      <c r="V156" s="12" t="s">
        <v>1493</v>
      </c>
      <c r="W156" s="12"/>
      <c r="X156" s="12"/>
      <c r="Y156" s="12"/>
      <c r="Z156" s="12"/>
      <c r="AA156" s="12"/>
      <c r="AB156" s="12"/>
      <c r="AC156" s="14"/>
      <c r="AD156" s="12"/>
      <c r="AE156" s="12"/>
      <c r="AF156" s="12"/>
    </row>
    <row r="157" spans="1:32">
      <c r="A157" s="12">
        <v>131</v>
      </c>
      <c r="B157" s="10" t="s">
        <v>33</v>
      </c>
      <c r="C157" s="10" t="s">
        <v>1489</v>
      </c>
      <c r="D157" s="10" t="s">
        <v>1767</v>
      </c>
      <c r="E157" s="16" t="s">
        <v>1768</v>
      </c>
      <c r="F157" s="25" t="s">
        <v>1769</v>
      </c>
      <c r="G157" s="10">
        <v>674</v>
      </c>
      <c r="H157" s="10">
        <v>868</v>
      </c>
      <c r="I157" s="10">
        <v>4594</v>
      </c>
      <c r="J157" s="10">
        <v>2343</v>
      </c>
      <c r="K157" s="10">
        <v>2251</v>
      </c>
      <c r="L157" s="10">
        <v>692</v>
      </c>
      <c r="M157" s="12">
        <f t="shared" si="4"/>
        <v>15.063125816282108</v>
      </c>
      <c r="N157" s="10">
        <v>312</v>
      </c>
      <c r="O157" s="12">
        <f t="shared" si="5"/>
        <v>6.7914671310404877</v>
      </c>
      <c r="P157" s="271">
        <v>0</v>
      </c>
      <c r="Q157" s="10">
        <v>170</v>
      </c>
      <c r="R157" s="12" t="s">
        <v>39</v>
      </c>
      <c r="S157" s="11" t="s">
        <v>1770</v>
      </c>
      <c r="T157" s="12"/>
      <c r="U157" s="20"/>
      <c r="V157" s="12" t="s">
        <v>1493</v>
      </c>
      <c r="W157" s="12"/>
      <c r="X157" s="12"/>
      <c r="Y157" s="12"/>
      <c r="Z157" s="12"/>
      <c r="AA157" s="12"/>
      <c r="AB157" s="12" t="s">
        <v>39</v>
      </c>
      <c r="AC157" s="20">
        <v>18</v>
      </c>
      <c r="AD157" s="12" t="s">
        <v>1494</v>
      </c>
      <c r="AE157" s="12"/>
      <c r="AF157" s="12"/>
    </row>
    <row r="158" spans="1:32">
      <c r="A158" s="12">
        <v>132</v>
      </c>
      <c r="B158" s="10" t="s">
        <v>33</v>
      </c>
      <c r="C158" s="10" t="s">
        <v>1489</v>
      </c>
      <c r="D158" s="10" t="s">
        <v>1771</v>
      </c>
      <c r="E158" s="16" t="s">
        <v>1772</v>
      </c>
      <c r="F158" s="25" t="s">
        <v>1773</v>
      </c>
      <c r="G158" s="10">
        <v>1447</v>
      </c>
      <c r="H158" s="10">
        <v>415</v>
      </c>
      <c r="I158" s="10">
        <v>1974</v>
      </c>
      <c r="J158" s="10">
        <v>1020</v>
      </c>
      <c r="K158" s="10">
        <v>954</v>
      </c>
      <c r="L158" s="10">
        <v>660</v>
      </c>
      <c r="M158" s="12">
        <f t="shared" si="4"/>
        <v>33.434650455927049</v>
      </c>
      <c r="N158" s="10">
        <v>452</v>
      </c>
      <c r="O158" s="12">
        <f t="shared" si="5"/>
        <v>22.897669706180345</v>
      </c>
      <c r="P158" s="271">
        <v>535</v>
      </c>
      <c r="Q158" s="10">
        <v>0</v>
      </c>
      <c r="R158" s="12"/>
      <c r="S158" s="11"/>
      <c r="T158" s="12"/>
      <c r="U158" s="20"/>
      <c r="V158" s="12" t="s">
        <v>1493</v>
      </c>
      <c r="W158" s="12"/>
      <c r="X158" s="12"/>
      <c r="Y158" s="12"/>
      <c r="Z158" s="12"/>
      <c r="AA158" s="12"/>
      <c r="AB158" s="12" t="s">
        <v>39</v>
      </c>
      <c r="AC158" s="20">
        <v>10</v>
      </c>
      <c r="AD158" s="12" t="s">
        <v>1494</v>
      </c>
      <c r="AE158" s="12"/>
      <c r="AF158" s="12"/>
    </row>
    <row r="159" spans="1:32">
      <c r="A159" s="12" t="s">
        <v>51</v>
      </c>
      <c r="B159" s="10" t="s">
        <v>33</v>
      </c>
      <c r="C159" s="10" t="s">
        <v>1489</v>
      </c>
      <c r="D159" s="10" t="s">
        <v>1771</v>
      </c>
      <c r="E159" s="16" t="s">
        <v>1772</v>
      </c>
      <c r="F159" s="25"/>
      <c r="G159" s="10"/>
      <c r="H159" s="10"/>
      <c r="I159" s="10"/>
      <c r="J159" s="10"/>
      <c r="K159" s="10"/>
      <c r="L159" s="10"/>
      <c r="M159" s="12"/>
      <c r="N159" s="10"/>
      <c r="O159" s="12"/>
      <c r="P159" s="271"/>
      <c r="Q159" s="10"/>
      <c r="R159" s="12"/>
      <c r="S159" s="11"/>
      <c r="T159" s="12"/>
      <c r="U159" s="20"/>
      <c r="V159" s="12"/>
      <c r="W159" s="12"/>
      <c r="X159" s="12"/>
      <c r="Y159" s="12"/>
      <c r="Z159" s="12"/>
      <c r="AA159" s="12"/>
      <c r="AB159" s="12"/>
      <c r="AC159" s="20">
        <v>22</v>
      </c>
      <c r="AD159" s="12" t="s">
        <v>1494</v>
      </c>
      <c r="AE159" s="12"/>
      <c r="AF159" s="12"/>
    </row>
    <row r="160" spans="1:32">
      <c r="A160" s="12">
        <v>133</v>
      </c>
      <c r="B160" s="10" t="s">
        <v>33</v>
      </c>
      <c r="C160" s="10" t="s">
        <v>1489</v>
      </c>
      <c r="D160" s="10" t="s">
        <v>1771</v>
      </c>
      <c r="E160" s="10" t="s">
        <v>1774</v>
      </c>
      <c r="F160" s="25" t="s">
        <v>1775</v>
      </c>
      <c r="G160" s="10">
        <v>564</v>
      </c>
      <c r="H160" s="10">
        <v>14</v>
      </c>
      <c r="I160" s="10">
        <v>90</v>
      </c>
      <c r="J160" s="10">
        <v>42</v>
      </c>
      <c r="K160" s="10">
        <v>48</v>
      </c>
      <c r="L160" s="10">
        <v>0</v>
      </c>
      <c r="M160" s="12">
        <f t="shared" si="4"/>
        <v>0</v>
      </c>
      <c r="N160" s="10">
        <v>90</v>
      </c>
      <c r="O160" s="12">
        <f t="shared" si="5"/>
        <v>100</v>
      </c>
      <c r="P160" s="271">
        <v>364</v>
      </c>
      <c r="Q160" s="10">
        <v>0</v>
      </c>
      <c r="R160" s="12"/>
      <c r="S160" s="14"/>
      <c r="T160" s="12"/>
      <c r="U160" s="14"/>
      <c r="V160" s="12" t="s">
        <v>1493</v>
      </c>
      <c r="W160" s="12"/>
      <c r="X160" s="12"/>
      <c r="Y160" s="12"/>
      <c r="Z160" s="12"/>
      <c r="AA160" s="12"/>
      <c r="AB160" s="12"/>
      <c r="AC160" s="14"/>
      <c r="AD160" s="12"/>
      <c r="AE160" s="12"/>
      <c r="AF160" s="12"/>
    </row>
    <row r="161" spans="1:32">
      <c r="A161" s="12">
        <v>134</v>
      </c>
      <c r="B161" s="10" t="s">
        <v>33</v>
      </c>
      <c r="C161" s="10" t="s">
        <v>1489</v>
      </c>
      <c r="D161" s="10" t="s">
        <v>1771</v>
      </c>
      <c r="E161" s="10" t="s">
        <v>1776</v>
      </c>
      <c r="F161" s="25" t="s">
        <v>1777</v>
      </c>
      <c r="G161" s="10">
        <v>562</v>
      </c>
      <c r="H161" s="10">
        <v>22</v>
      </c>
      <c r="I161" s="10">
        <v>121</v>
      </c>
      <c r="J161" s="10">
        <v>61</v>
      </c>
      <c r="K161" s="10">
        <v>60</v>
      </c>
      <c r="L161" s="10">
        <v>3</v>
      </c>
      <c r="M161" s="12">
        <f t="shared" si="4"/>
        <v>2.4793388429752068</v>
      </c>
      <c r="N161" s="10">
        <v>106</v>
      </c>
      <c r="O161" s="12">
        <f t="shared" si="5"/>
        <v>87.603305785123965</v>
      </c>
      <c r="P161" s="271">
        <v>180</v>
      </c>
      <c r="Q161" s="10">
        <v>194</v>
      </c>
      <c r="R161" s="12" t="s">
        <v>39</v>
      </c>
      <c r="S161" s="11" t="s">
        <v>1544</v>
      </c>
      <c r="T161" s="12"/>
      <c r="U161" s="20"/>
      <c r="V161" s="12" t="s">
        <v>1493</v>
      </c>
      <c r="W161" s="12"/>
      <c r="X161" s="12"/>
      <c r="Y161" s="12"/>
      <c r="Z161" s="12"/>
      <c r="AA161" s="12"/>
      <c r="AB161" s="12"/>
      <c r="AC161" s="20"/>
      <c r="AD161" s="12"/>
      <c r="AE161" s="12"/>
      <c r="AF161" s="12"/>
    </row>
    <row r="162" spans="1:32">
      <c r="A162" s="12">
        <v>135</v>
      </c>
      <c r="B162" s="10" t="s">
        <v>33</v>
      </c>
      <c r="C162" s="10" t="s">
        <v>1489</v>
      </c>
      <c r="D162" s="10" t="s">
        <v>1771</v>
      </c>
      <c r="E162" s="10" t="s">
        <v>1778</v>
      </c>
      <c r="F162" s="25" t="s">
        <v>1779</v>
      </c>
      <c r="G162" s="10">
        <v>879</v>
      </c>
      <c r="H162" s="10">
        <v>471</v>
      </c>
      <c r="I162" s="10">
        <v>2190</v>
      </c>
      <c r="J162" s="10">
        <v>1132</v>
      </c>
      <c r="K162" s="10">
        <v>1058</v>
      </c>
      <c r="L162" s="10">
        <v>288</v>
      </c>
      <c r="M162" s="12">
        <f t="shared" si="4"/>
        <v>13.150684931506849</v>
      </c>
      <c r="N162" s="10">
        <v>1028</v>
      </c>
      <c r="O162" s="12">
        <f t="shared" si="5"/>
        <v>46.94063926940639</v>
      </c>
      <c r="P162" s="271">
        <v>106</v>
      </c>
      <c r="Q162" s="10">
        <v>0</v>
      </c>
      <c r="R162" s="12" t="s">
        <v>39</v>
      </c>
      <c r="S162" s="11" t="s">
        <v>1780</v>
      </c>
      <c r="T162" s="12"/>
      <c r="U162" s="9">
        <v>50</v>
      </c>
      <c r="V162" s="12" t="s">
        <v>1493</v>
      </c>
      <c r="W162" s="12"/>
      <c r="X162" s="12"/>
      <c r="Y162" s="12"/>
      <c r="Z162" s="12"/>
      <c r="AA162" s="12"/>
      <c r="AB162" s="12" t="s">
        <v>39</v>
      </c>
      <c r="AC162" s="9">
        <v>7</v>
      </c>
      <c r="AD162" s="12" t="s">
        <v>1494</v>
      </c>
      <c r="AE162" s="12"/>
      <c r="AF162" s="12"/>
    </row>
    <row r="163" spans="1:32">
      <c r="A163" s="12">
        <v>136</v>
      </c>
      <c r="B163" s="10" t="s">
        <v>33</v>
      </c>
      <c r="C163" s="10" t="s">
        <v>1489</v>
      </c>
      <c r="D163" s="10" t="s">
        <v>1781</v>
      </c>
      <c r="E163" s="16" t="s">
        <v>1782</v>
      </c>
      <c r="F163" s="25" t="s">
        <v>1783</v>
      </c>
      <c r="G163" s="10">
        <v>436</v>
      </c>
      <c r="H163" s="10">
        <v>377</v>
      </c>
      <c r="I163" s="10">
        <v>1899</v>
      </c>
      <c r="J163" s="10">
        <v>973</v>
      </c>
      <c r="K163" s="10">
        <v>926</v>
      </c>
      <c r="L163" s="10">
        <v>248</v>
      </c>
      <c r="M163" s="12">
        <f t="shared" si="4"/>
        <v>13.059505002632966</v>
      </c>
      <c r="N163" s="10">
        <v>616</v>
      </c>
      <c r="O163" s="12">
        <f t="shared" si="5"/>
        <v>32.438125329120588</v>
      </c>
      <c r="P163" s="271">
        <v>0</v>
      </c>
      <c r="Q163" s="10">
        <v>127</v>
      </c>
      <c r="R163" s="12" t="s">
        <v>39</v>
      </c>
      <c r="S163" s="11" t="s">
        <v>1784</v>
      </c>
      <c r="T163" s="12"/>
      <c r="U163" s="11">
        <v>142.09</v>
      </c>
      <c r="V163" s="12" t="s">
        <v>1493</v>
      </c>
      <c r="W163" s="12"/>
      <c r="X163" s="12"/>
      <c r="Y163" s="12"/>
      <c r="Z163" s="12"/>
      <c r="AA163" s="12"/>
      <c r="AB163" s="12" t="s">
        <v>39</v>
      </c>
      <c r="AC163" s="20">
        <v>12</v>
      </c>
      <c r="AD163" s="12" t="s">
        <v>1494</v>
      </c>
      <c r="AE163" s="12"/>
      <c r="AF163" s="12"/>
    </row>
    <row r="164" spans="1:32">
      <c r="A164" s="12">
        <v>137</v>
      </c>
      <c r="B164" s="10" t="s">
        <v>33</v>
      </c>
      <c r="C164" s="10" t="s">
        <v>1489</v>
      </c>
      <c r="D164" s="10" t="s">
        <v>1781</v>
      </c>
      <c r="E164" s="10" t="s">
        <v>1785</v>
      </c>
      <c r="F164" s="25" t="s">
        <v>1786</v>
      </c>
      <c r="G164" s="10">
        <v>439</v>
      </c>
      <c r="H164" s="10">
        <v>66</v>
      </c>
      <c r="I164" s="10">
        <v>351</v>
      </c>
      <c r="J164" s="10">
        <v>182</v>
      </c>
      <c r="K164" s="10">
        <v>169</v>
      </c>
      <c r="L164" s="10">
        <v>5</v>
      </c>
      <c r="M164" s="12">
        <f t="shared" si="4"/>
        <v>1.4245014245014245</v>
      </c>
      <c r="N164" s="10">
        <v>281</v>
      </c>
      <c r="O164" s="12">
        <f t="shared" si="5"/>
        <v>80.056980056980052</v>
      </c>
      <c r="P164" s="271">
        <v>0</v>
      </c>
      <c r="Q164" s="10">
        <v>14</v>
      </c>
      <c r="R164" s="12" t="s">
        <v>39</v>
      </c>
      <c r="S164" s="11" t="s">
        <v>45</v>
      </c>
      <c r="T164" s="12"/>
      <c r="U164" s="11">
        <v>1.45</v>
      </c>
      <c r="V164" s="12" t="s">
        <v>1493</v>
      </c>
      <c r="W164" s="12"/>
      <c r="X164" s="12"/>
      <c r="Y164" s="12"/>
      <c r="Z164" s="12"/>
      <c r="AA164" s="12"/>
      <c r="AB164" s="12"/>
      <c r="AC164" s="20"/>
      <c r="AD164" s="12"/>
      <c r="AE164" s="12"/>
      <c r="AF164" s="12"/>
    </row>
    <row r="165" spans="1:32">
      <c r="A165" s="12">
        <v>138</v>
      </c>
      <c r="B165" s="10" t="s">
        <v>33</v>
      </c>
      <c r="C165" s="10" t="s">
        <v>1489</v>
      </c>
      <c r="D165" s="10" t="s">
        <v>1781</v>
      </c>
      <c r="E165" s="10" t="s">
        <v>1787</v>
      </c>
      <c r="F165" s="25" t="s">
        <v>1788</v>
      </c>
      <c r="G165" s="10">
        <v>418</v>
      </c>
      <c r="H165" s="10">
        <v>28</v>
      </c>
      <c r="I165" s="10">
        <v>190</v>
      </c>
      <c r="J165" s="10">
        <v>103</v>
      </c>
      <c r="K165" s="10">
        <v>87</v>
      </c>
      <c r="L165" s="10">
        <v>0</v>
      </c>
      <c r="M165" s="12">
        <f t="shared" si="4"/>
        <v>0</v>
      </c>
      <c r="N165" s="10">
        <v>188</v>
      </c>
      <c r="O165" s="12">
        <f t="shared" si="5"/>
        <v>98.94736842105263</v>
      </c>
      <c r="P165" s="271">
        <v>212</v>
      </c>
      <c r="Q165" s="10">
        <v>22</v>
      </c>
      <c r="R165" s="12"/>
      <c r="S165" s="31"/>
      <c r="T165" s="12"/>
      <c r="U165" s="31"/>
      <c r="V165" s="12" t="s">
        <v>1493</v>
      </c>
      <c r="W165" s="12"/>
      <c r="X165" s="12"/>
      <c r="Y165" s="12"/>
      <c r="Z165" s="12"/>
      <c r="AA165" s="12"/>
      <c r="AB165" s="12" t="s">
        <v>39</v>
      </c>
      <c r="AC165" s="31">
        <v>4</v>
      </c>
      <c r="AD165" s="12" t="s">
        <v>1494</v>
      </c>
      <c r="AE165" s="12"/>
      <c r="AF165" s="12"/>
    </row>
    <row r="166" spans="1:32">
      <c r="A166" s="12">
        <v>139</v>
      </c>
      <c r="B166" s="10" t="s">
        <v>33</v>
      </c>
      <c r="C166" s="10" t="s">
        <v>1489</v>
      </c>
      <c r="D166" s="10" t="s">
        <v>1781</v>
      </c>
      <c r="E166" s="10" t="s">
        <v>1789</v>
      </c>
      <c r="F166" s="25" t="s">
        <v>1790</v>
      </c>
      <c r="G166" s="10">
        <v>158</v>
      </c>
      <c r="H166" s="10">
        <v>17</v>
      </c>
      <c r="I166" s="10">
        <v>98</v>
      </c>
      <c r="J166" s="10">
        <v>50</v>
      </c>
      <c r="K166" s="10">
        <v>48</v>
      </c>
      <c r="L166" s="10">
        <v>0</v>
      </c>
      <c r="M166" s="12">
        <f t="shared" si="4"/>
        <v>0</v>
      </c>
      <c r="N166" s="10">
        <v>98</v>
      </c>
      <c r="O166" s="12">
        <f t="shared" si="5"/>
        <v>100</v>
      </c>
      <c r="P166" s="271">
        <v>1</v>
      </c>
      <c r="Q166" s="10">
        <v>89</v>
      </c>
      <c r="R166" s="12"/>
      <c r="S166" s="14"/>
      <c r="T166" s="12"/>
      <c r="U166" s="14"/>
      <c r="V166" s="12" t="s">
        <v>1493</v>
      </c>
      <c r="W166" s="12"/>
      <c r="X166" s="12"/>
      <c r="Y166" s="12"/>
      <c r="Z166" s="12"/>
      <c r="AA166" s="12"/>
      <c r="AB166" s="12"/>
      <c r="AC166" s="14"/>
      <c r="AD166" s="12"/>
      <c r="AE166" s="12"/>
      <c r="AF166" s="12"/>
    </row>
    <row r="167" spans="1:32">
      <c r="A167" s="12">
        <v>140</v>
      </c>
      <c r="B167" s="10" t="s">
        <v>33</v>
      </c>
      <c r="C167" s="10" t="s">
        <v>1489</v>
      </c>
      <c r="D167" s="10" t="s">
        <v>1791</v>
      </c>
      <c r="E167" s="16" t="s">
        <v>1792</v>
      </c>
      <c r="F167" s="25" t="s">
        <v>1793</v>
      </c>
      <c r="G167" s="10">
        <v>1826</v>
      </c>
      <c r="H167" s="10">
        <v>343</v>
      </c>
      <c r="I167" s="10">
        <v>1713</v>
      </c>
      <c r="J167" s="10">
        <v>873</v>
      </c>
      <c r="K167" s="10">
        <v>840</v>
      </c>
      <c r="L167" s="10">
        <v>56</v>
      </c>
      <c r="M167" s="12">
        <f t="shared" si="4"/>
        <v>3.2691185055458263</v>
      </c>
      <c r="N167" s="10">
        <v>970</v>
      </c>
      <c r="O167" s="12">
        <f t="shared" si="5"/>
        <v>56.625802685347345</v>
      </c>
      <c r="P167" s="271">
        <v>314</v>
      </c>
      <c r="Q167" s="10">
        <v>340</v>
      </c>
      <c r="R167" s="12" t="s">
        <v>39</v>
      </c>
      <c r="S167" s="11" t="s">
        <v>1794</v>
      </c>
      <c r="T167" s="12"/>
      <c r="U167" s="9">
        <v>102.4</v>
      </c>
      <c r="V167" s="12" t="s">
        <v>1493</v>
      </c>
      <c r="W167" s="12"/>
      <c r="X167" s="12"/>
      <c r="Y167" s="12"/>
      <c r="Z167" s="12"/>
      <c r="AA167" s="12"/>
      <c r="AB167" s="12" t="s">
        <v>39</v>
      </c>
      <c r="AC167" s="9">
        <v>15</v>
      </c>
      <c r="AD167" s="12" t="s">
        <v>1494</v>
      </c>
      <c r="AE167" s="12"/>
      <c r="AF167" s="12"/>
    </row>
    <row r="168" spans="1:32">
      <c r="A168" s="12" t="s">
        <v>51</v>
      </c>
      <c r="B168" s="10" t="s">
        <v>33</v>
      </c>
      <c r="C168" s="10" t="s">
        <v>1489</v>
      </c>
      <c r="D168" s="10" t="s">
        <v>1791</v>
      </c>
      <c r="E168" s="16" t="s">
        <v>1792</v>
      </c>
      <c r="F168" s="25"/>
      <c r="G168" s="10"/>
      <c r="H168" s="10"/>
      <c r="I168" s="10"/>
      <c r="J168" s="10"/>
      <c r="K168" s="10"/>
      <c r="L168" s="10"/>
      <c r="M168" s="12"/>
      <c r="N168" s="10"/>
      <c r="O168" s="12"/>
      <c r="P168" s="271"/>
      <c r="Q168" s="10"/>
      <c r="R168" s="12"/>
      <c r="S168" s="11"/>
      <c r="T168" s="12"/>
      <c r="U168" s="9"/>
      <c r="V168" s="12"/>
      <c r="W168" s="12"/>
      <c r="X168" s="12"/>
      <c r="Y168" s="12"/>
      <c r="Z168" s="12"/>
      <c r="AA168" s="12"/>
      <c r="AB168" s="12"/>
      <c r="AC168" s="9">
        <v>7</v>
      </c>
      <c r="AD168" s="12"/>
      <c r="AE168" s="12"/>
      <c r="AF168" s="12"/>
    </row>
    <row r="169" spans="1:32">
      <c r="A169" s="12">
        <v>141</v>
      </c>
      <c r="B169" s="10" t="s">
        <v>33</v>
      </c>
      <c r="C169" s="10" t="s">
        <v>1489</v>
      </c>
      <c r="D169" s="10" t="s">
        <v>1791</v>
      </c>
      <c r="E169" s="10" t="s">
        <v>1795</v>
      </c>
      <c r="F169" s="25" t="s">
        <v>1796</v>
      </c>
      <c r="G169" s="10">
        <v>854</v>
      </c>
      <c r="H169" s="10">
        <v>248</v>
      </c>
      <c r="I169" s="10">
        <v>1323</v>
      </c>
      <c r="J169" s="10">
        <v>667</v>
      </c>
      <c r="K169" s="10">
        <v>656</v>
      </c>
      <c r="L169" s="10">
        <v>231</v>
      </c>
      <c r="M169" s="12">
        <f t="shared" si="4"/>
        <v>17.460317460317459</v>
      </c>
      <c r="N169" s="10">
        <v>456</v>
      </c>
      <c r="O169" s="12">
        <f t="shared" si="5"/>
        <v>34.467120181405896</v>
      </c>
      <c r="P169" s="271">
        <v>30</v>
      </c>
      <c r="Q169" s="10">
        <v>130</v>
      </c>
      <c r="R169" s="12" t="s">
        <v>39</v>
      </c>
      <c r="S169" s="11" t="s">
        <v>1794</v>
      </c>
      <c r="T169" s="12"/>
      <c r="U169" s="9">
        <v>70.400000000000006</v>
      </c>
      <c r="V169" s="12" t="s">
        <v>1493</v>
      </c>
      <c r="W169" s="12"/>
      <c r="X169" s="12"/>
      <c r="Y169" s="12"/>
      <c r="Z169" s="12"/>
      <c r="AA169" s="12"/>
      <c r="AB169" s="12"/>
      <c r="AC169" s="9"/>
      <c r="AD169" s="12"/>
      <c r="AE169" s="12"/>
      <c r="AF169" s="12"/>
    </row>
    <row r="170" spans="1:32">
      <c r="A170" s="12" t="s">
        <v>51</v>
      </c>
      <c r="B170" s="10" t="s">
        <v>33</v>
      </c>
      <c r="C170" s="10" t="s">
        <v>1489</v>
      </c>
      <c r="D170" s="10" t="s">
        <v>1791</v>
      </c>
      <c r="E170" s="10" t="s">
        <v>1795</v>
      </c>
      <c r="F170" s="25"/>
      <c r="G170" s="10"/>
      <c r="H170" s="10"/>
      <c r="I170" s="10"/>
      <c r="J170" s="10"/>
      <c r="K170" s="10"/>
      <c r="L170" s="10"/>
      <c r="M170" s="12"/>
      <c r="N170" s="10"/>
      <c r="O170" s="12"/>
      <c r="P170" s="271"/>
      <c r="Q170" s="10"/>
      <c r="R170" s="12"/>
      <c r="S170" s="11"/>
      <c r="T170" s="12"/>
      <c r="U170" s="9"/>
      <c r="V170" s="12"/>
      <c r="W170" s="12"/>
      <c r="X170" s="12"/>
      <c r="Y170" s="12"/>
      <c r="Z170" s="12"/>
      <c r="AA170" s="12"/>
      <c r="AB170" s="12"/>
      <c r="AC170" s="9">
        <v>5</v>
      </c>
      <c r="AD170" s="12"/>
      <c r="AE170" s="12"/>
      <c r="AF170" s="12"/>
    </row>
    <row r="171" spans="1:32">
      <c r="A171" s="12">
        <v>142</v>
      </c>
      <c r="B171" s="10" t="s">
        <v>33</v>
      </c>
      <c r="C171" s="10" t="s">
        <v>1489</v>
      </c>
      <c r="D171" s="10" t="s">
        <v>1797</v>
      </c>
      <c r="E171" s="16" t="s">
        <v>1798</v>
      </c>
      <c r="F171" s="25" t="s">
        <v>1799</v>
      </c>
      <c r="G171" s="10">
        <v>2219</v>
      </c>
      <c r="H171" s="10">
        <v>399</v>
      </c>
      <c r="I171" s="10">
        <v>2070</v>
      </c>
      <c r="J171" s="10">
        <v>1098</v>
      </c>
      <c r="K171" s="10">
        <v>972</v>
      </c>
      <c r="L171" s="10">
        <v>362</v>
      </c>
      <c r="M171" s="12">
        <f t="shared" si="4"/>
        <v>17.487922705314009</v>
      </c>
      <c r="N171" s="10">
        <v>548</v>
      </c>
      <c r="O171" s="12">
        <f t="shared" si="5"/>
        <v>26.473429951690818</v>
      </c>
      <c r="P171" s="271">
        <v>170</v>
      </c>
      <c r="Q171" s="10">
        <v>775</v>
      </c>
      <c r="R171" s="12" t="s">
        <v>39</v>
      </c>
      <c r="S171" s="11" t="s">
        <v>1800</v>
      </c>
      <c r="T171" s="12"/>
      <c r="U171" s="11">
        <v>187.52</v>
      </c>
      <c r="V171" s="12" t="s">
        <v>1493</v>
      </c>
      <c r="W171" s="12"/>
      <c r="X171" s="12"/>
      <c r="Y171" s="12"/>
      <c r="Z171" s="12"/>
      <c r="AA171" s="12"/>
      <c r="AB171" s="12" t="s">
        <v>39</v>
      </c>
      <c r="AC171" s="20">
        <v>4.95</v>
      </c>
      <c r="AD171" s="12" t="s">
        <v>1494</v>
      </c>
      <c r="AE171" s="12"/>
      <c r="AF171" s="12"/>
    </row>
    <row r="172" spans="1:32">
      <c r="A172" s="12" t="s">
        <v>51</v>
      </c>
      <c r="B172" s="10" t="s">
        <v>33</v>
      </c>
      <c r="C172" s="10" t="s">
        <v>1489</v>
      </c>
      <c r="D172" s="10" t="s">
        <v>1797</v>
      </c>
      <c r="E172" s="16" t="s">
        <v>1798</v>
      </c>
      <c r="F172" s="25"/>
      <c r="G172" s="10"/>
      <c r="H172" s="10"/>
      <c r="I172" s="10"/>
      <c r="J172" s="10"/>
      <c r="K172" s="10"/>
      <c r="L172" s="10"/>
      <c r="M172" s="12" t="e">
        <f t="shared" si="4"/>
        <v>#DIV/0!</v>
      </c>
      <c r="N172" s="10"/>
      <c r="O172" s="12" t="e">
        <f t="shared" si="5"/>
        <v>#DIV/0!</v>
      </c>
      <c r="P172" s="271">
        <v>0</v>
      </c>
      <c r="Q172" s="10">
        <v>22</v>
      </c>
      <c r="R172" s="12"/>
      <c r="S172" s="11"/>
      <c r="T172" s="12"/>
      <c r="U172" s="11"/>
      <c r="V172" s="12"/>
      <c r="W172" s="12"/>
      <c r="X172" s="12"/>
      <c r="Y172" s="12"/>
      <c r="Z172" s="12"/>
      <c r="AA172" s="12"/>
      <c r="AB172" s="26" t="s">
        <v>39</v>
      </c>
      <c r="AC172" s="26">
        <v>14</v>
      </c>
      <c r="AD172" s="12" t="s">
        <v>326</v>
      </c>
      <c r="AE172" s="26">
        <v>24.3794</v>
      </c>
      <c r="AF172" s="26">
        <v>77.006799999999998</v>
      </c>
    </row>
    <row r="173" spans="1:32">
      <c r="A173" s="12">
        <v>143</v>
      </c>
      <c r="B173" s="10" t="s">
        <v>33</v>
      </c>
      <c r="C173" s="10" t="s">
        <v>1489</v>
      </c>
      <c r="D173" s="10" t="s">
        <v>1797</v>
      </c>
      <c r="E173" s="10" t="s">
        <v>1801</v>
      </c>
      <c r="F173" s="25" t="s">
        <v>1802</v>
      </c>
      <c r="G173" s="10">
        <v>563</v>
      </c>
      <c r="H173" s="10">
        <v>138</v>
      </c>
      <c r="I173" s="10">
        <v>805</v>
      </c>
      <c r="J173" s="10">
        <v>431</v>
      </c>
      <c r="K173" s="10">
        <v>374</v>
      </c>
      <c r="L173" s="10">
        <v>223</v>
      </c>
      <c r="M173" s="12">
        <f t="shared" si="4"/>
        <v>27.701863354037265</v>
      </c>
      <c r="N173" s="10">
        <v>164</v>
      </c>
      <c r="O173" s="12">
        <f t="shared" si="5"/>
        <v>20.372670807453417</v>
      </c>
      <c r="P173" s="271">
        <v>0</v>
      </c>
      <c r="Q173" s="10">
        <v>688</v>
      </c>
      <c r="R173" s="12" t="s">
        <v>39</v>
      </c>
      <c r="S173" s="11" t="s">
        <v>273</v>
      </c>
      <c r="T173" s="12"/>
      <c r="U173" s="11">
        <v>48.5</v>
      </c>
      <c r="V173" s="12" t="s">
        <v>1493</v>
      </c>
      <c r="W173" s="12"/>
      <c r="X173" s="12"/>
      <c r="Y173" s="12"/>
      <c r="Z173" s="12"/>
      <c r="AA173" s="12"/>
      <c r="AB173" s="12"/>
      <c r="AC173" s="20">
        <v>4</v>
      </c>
      <c r="AD173" s="12" t="s">
        <v>1494</v>
      </c>
      <c r="AE173" s="12"/>
      <c r="AF173" s="12"/>
    </row>
    <row r="174" spans="1:32">
      <c r="A174" s="12">
        <v>144</v>
      </c>
      <c r="B174" s="10" t="s">
        <v>33</v>
      </c>
      <c r="C174" s="10" t="s">
        <v>1489</v>
      </c>
      <c r="D174" s="10" t="s">
        <v>1797</v>
      </c>
      <c r="E174" s="10" t="s">
        <v>1803</v>
      </c>
      <c r="F174" s="25" t="s">
        <v>1804</v>
      </c>
      <c r="G174" s="10">
        <v>397</v>
      </c>
      <c r="H174" s="10">
        <v>22</v>
      </c>
      <c r="I174" s="10">
        <v>154</v>
      </c>
      <c r="J174" s="10">
        <v>78</v>
      </c>
      <c r="K174" s="10">
        <v>76</v>
      </c>
      <c r="L174" s="10">
        <v>0</v>
      </c>
      <c r="M174" s="12">
        <f t="shared" si="4"/>
        <v>0</v>
      </c>
      <c r="N174" s="10">
        <v>154</v>
      </c>
      <c r="O174" s="12">
        <f t="shared" si="5"/>
        <v>100</v>
      </c>
      <c r="P174" s="271">
        <v>194</v>
      </c>
      <c r="Q174" s="10">
        <v>482</v>
      </c>
      <c r="R174" s="12"/>
      <c r="S174" s="31"/>
      <c r="T174" s="12"/>
      <c r="U174" s="31"/>
      <c r="V174" s="12" t="s">
        <v>1493</v>
      </c>
      <c r="W174" s="12"/>
      <c r="X174" s="12"/>
      <c r="Y174" s="12"/>
      <c r="Z174" s="12"/>
      <c r="AA174" s="12"/>
      <c r="AB174" s="12" t="s">
        <v>39</v>
      </c>
      <c r="AC174" s="31">
        <v>9</v>
      </c>
      <c r="AD174" s="12" t="s">
        <v>1494</v>
      </c>
      <c r="AE174" s="12"/>
      <c r="AF174" s="12"/>
    </row>
    <row r="175" spans="1:32">
      <c r="A175" s="12">
        <v>145</v>
      </c>
      <c r="B175" s="10" t="s">
        <v>33</v>
      </c>
      <c r="C175" s="10" t="s">
        <v>1489</v>
      </c>
      <c r="D175" s="10" t="s">
        <v>1797</v>
      </c>
      <c r="E175" s="10" t="s">
        <v>1805</v>
      </c>
      <c r="F175" s="25" t="s">
        <v>1806</v>
      </c>
      <c r="G175" s="10">
        <v>1559</v>
      </c>
      <c r="H175" s="10">
        <v>239</v>
      </c>
      <c r="I175" s="10">
        <v>1331</v>
      </c>
      <c r="J175" s="10">
        <v>694</v>
      </c>
      <c r="K175" s="10">
        <v>637</v>
      </c>
      <c r="L175" s="10">
        <v>276</v>
      </c>
      <c r="M175" s="12">
        <f t="shared" si="4"/>
        <v>20.736288504883547</v>
      </c>
      <c r="N175" s="10">
        <v>430</v>
      </c>
      <c r="O175" s="12">
        <f t="shared" si="5"/>
        <v>32.306536438767843</v>
      </c>
      <c r="P175" s="271">
        <v>0</v>
      </c>
      <c r="Q175" s="10">
        <v>105</v>
      </c>
      <c r="R175" s="12" t="s">
        <v>39</v>
      </c>
      <c r="S175" s="11" t="s">
        <v>273</v>
      </c>
      <c r="T175" s="12"/>
      <c r="U175" s="11">
        <v>117.12</v>
      </c>
      <c r="V175" s="12" t="s">
        <v>1493</v>
      </c>
      <c r="W175" s="12"/>
      <c r="X175" s="12"/>
      <c r="Y175" s="12"/>
      <c r="Z175" s="12"/>
      <c r="AA175" s="12"/>
      <c r="AB175" s="12"/>
      <c r="AC175" s="20">
        <v>4</v>
      </c>
      <c r="AD175" s="12" t="s">
        <v>1494</v>
      </c>
      <c r="AE175" s="12"/>
      <c r="AF175" s="12"/>
    </row>
    <row r="176" spans="1:32">
      <c r="A176" s="12">
        <v>146</v>
      </c>
      <c r="B176" s="10" t="s">
        <v>33</v>
      </c>
      <c r="C176" s="10" t="s">
        <v>1489</v>
      </c>
      <c r="D176" s="10" t="s">
        <v>1807</v>
      </c>
      <c r="E176" s="16" t="s">
        <v>1808</v>
      </c>
      <c r="F176" s="25" t="s">
        <v>1809</v>
      </c>
      <c r="G176" s="10">
        <v>654</v>
      </c>
      <c r="H176" s="10">
        <v>192</v>
      </c>
      <c r="I176" s="10">
        <v>978</v>
      </c>
      <c r="J176" s="10">
        <v>501</v>
      </c>
      <c r="K176" s="10">
        <v>477</v>
      </c>
      <c r="L176" s="10">
        <v>158</v>
      </c>
      <c r="M176" s="12">
        <f t="shared" si="4"/>
        <v>16.155419222903884</v>
      </c>
      <c r="N176" s="10">
        <v>324</v>
      </c>
      <c r="O176" s="12">
        <f t="shared" si="5"/>
        <v>33.128834355828218</v>
      </c>
      <c r="P176" s="271">
        <v>127</v>
      </c>
      <c r="Q176" s="10">
        <v>169</v>
      </c>
      <c r="R176" s="12"/>
      <c r="S176" s="11"/>
      <c r="T176" s="12"/>
      <c r="U176" s="11">
        <v>193</v>
      </c>
      <c r="V176" s="12" t="s">
        <v>1493</v>
      </c>
      <c r="W176" s="12"/>
      <c r="X176" s="12"/>
      <c r="Y176" s="12"/>
      <c r="Z176" s="12"/>
      <c r="AA176" s="12"/>
      <c r="AB176" s="12" t="s">
        <v>39</v>
      </c>
      <c r="AC176" s="11">
        <v>11</v>
      </c>
      <c r="AD176" s="12" t="s">
        <v>1494</v>
      </c>
    </row>
    <row r="177" spans="1:32">
      <c r="A177" s="12"/>
      <c r="B177" s="10" t="s">
        <v>33</v>
      </c>
      <c r="C177" s="10" t="s">
        <v>1489</v>
      </c>
      <c r="D177" s="10" t="s">
        <v>1807</v>
      </c>
      <c r="E177" s="16" t="s">
        <v>1808</v>
      </c>
      <c r="F177" s="25"/>
      <c r="G177" s="10"/>
      <c r="H177" s="10"/>
      <c r="I177" s="10"/>
      <c r="J177" s="10"/>
      <c r="K177" s="10"/>
      <c r="L177" s="10"/>
      <c r="M177" s="12"/>
      <c r="N177" s="10"/>
      <c r="O177" s="12"/>
      <c r="P177" s="271"/>
      <c r="Q177" s="10"/>
      <c r="R177" s="12"/>
      <c r="S177" s="11"/>
      <c r="T177" s="12"/>
      <c r="U177" s="11"/>
      <c r="V177" s="12"/>
      <c r="W177" s="12"/>
      <c r="X177" s="12"/>
      <c r="Y177" s="12"/>
      <c r="Z177" s="12"/>
      <c r="AA177" s="12"/>
      <c r="AB177" s="12" t="s">
        <v>39</v>
      </c>
      <c r="AC177" s="11">
        <v>122</v>
      </c>
      <c r="AD177" s="12"/>
    </row>
    <row r="178" spans="1:32">
      <c r="A178" s="12" t="s">
        <v>51</v>
      </c>
      <c r="B178" s="10" t="s">
        <v>33</v>
      </c>
      <c r="C178" s="10" t="s">
        <v>1489</v>
      </c>
      <c r="D178" s="10" t="s">
        <v>1807</v>
      </c>
      <c r="E178" s="16" t="s">
        <v>1808</v>
      </c>
      <c r="F178" s="25"/>
      <c r="G178" s="10"/>
      <c r="H178" s="10"/>
      <c r="I178" s="10"/>
      <c r="J178" s="10"/>
      <c r="K178" s="10"/>
      <c r="L178" s="10"/>
      <c r="M178" s="12" t="e">
        <f t="shared" si="4"/>
        <v>#DIV/0!</v>
      </c>
      <c r="N178" s="10"/>
      <c r="O178" s="12" t="e">
        <f t="shared" si="5"/>
        <v>#DIV/0!</v>
      </c>
      <c r="P178" s="271">
        <v>14</v>
      </c>
      <c r="Q178" s="10">
        <v>261</v>
      </c>
      <c r="R178" s="12"/>
      <c r="S178" s="11"/>
      <c r="T178" s="12"/>
      <c r="U178" s="11"/>
      <c r="V178" s="12"/>
      <c r="W178" s="12"/>
      <c r="X178" s="12"/>
      <c r="Y178" s="12"/>
      <c r="Z178" s="12"/>
      <c r="AA178" s="12"/>
      <c r="AB178" s="26" t="s">
        <v>39</v>
      </c>
      <c r="AC178" s="26">
        <v>13</v>
      </c>
      <c r="AD178" s="12" t="s">
        <v>326</v>
      </c>
      <c r="AE178" s="26">
        <v>24.361799999999999</v>
      </c>
      <c r="AF178" s="26">
        <v>77.014200000000002</v>
      </c>
    </row>
    <row r="179" spans="1:32">
      <c r="A179" s="12">
        <v>147</v>
      </c>
      <c r="B179" s="10" t="s">
        <v>33</v>
      </c>
      <c r="C179" s="10" t="s">
        <v>1489</v>
      </c>
      <c r="D179" s="10" t="s">
        <v>1807</v>
      </c>
      <c r="E179" s="10" t="s">
        <v>1810</v>
      </c>
      <c r="F179" s="25" t="s">
        <v>1811</v>
      </c>
      <c r="G179" s="10">
        <v>609</v>
      </c>
      <c r="H179" s="10">
        <v>197</v>
      </c>
      <c r="I179" s="10">
        <v>903</v>
      </c>
      <c r="J179" s="10">
        <v>504</v>
      </c>
      <c r="K179" s="10">
        <v>399</v>
      </c>
      <c r="L179" s="10">
        <v>267</v>
      </c>
      <c r="M179" s="12">
        <f t="shared" si="4"/>
        <v>29.568106312292358</v>
      </c>
      <c r="N179" s="10">
        <v>226</v>
      </c>
      <c r="O179" s="12">
        <f t="shared" si="5"/>
        <v>25.027685492801773</v>
      </c>
      <c r="P179" s="271">
        <v>22</v>
      </c>
      <c r="Q179" s="10">
        <v>210</v>
      </c>
      <c r="R179" s="12"/>
      <c r="S179" s="31"/>
      <c r="T179" s="12"/>
      <c r="U179" s="31">
        <v>120.8</v>
      </c>
      <c r="V179" s="12" t="s">
        <v>1493</v>
      </c>
      <c r="W179" s="12"/>
      <c r="X179" s="12"/>
      <c r="Y179" s="12"/>
      <c r="Z179" s="12"/>
      <c r="AA179" s="12"/>
      <c r="AB179" s="12" t="s">
        <v>39</v>
      </c>
      <c r="AC179" s="31">
        <v>2</v>
      </c>
      <c r="AD179" s="12" t="s">
        <v>1494</v>
      </c>
      <c r="AE179" s="12"/>
      <c r="AF179" s="12"/>
    </row>
    <row r="180" spans="1:32">
      <c r="A180" s="12" t="s">
        <v>51</v>
      </c>
      <c r="B180" s="10" t="s">
        <v>33</v>
      </c>
      <c r="C180" s="10" t="s">
        <v>1489</v>
      </c>
      <c r="D180" s="10" t="s">
        <v>1807</v>
      </c>
      <c r="E180" s="10" t="s">
        <v>1810</v>
      </c>
      <c r="F180" s="25"/>
      <c r="G180" s="10"/>
      <c r="H180" s="10"/>
      <c r="I180" s="10"/>
      <c r="J180" s="10"/>
      <c r="K180" s="10"/>
      <c r="L180" s="10"/>
      <c r="M180" s="12" t="e">
        <f t="shared" si="4"/>
        <v>#DIV/0!</v>
      </c>
      <c r="N180" s="10"/>
      <c r="O180" s="12" t="e">
        <f t="shared" si="5"/>
        <v>#DIV/0!</v>
      </c>
      <c r="P180" s="271">
        <v>89</v>
      </c>
      <c r="Q180" s="10">
        <v>195</v>
      </c>
      <c r="R180" s="12"/>
      <c r="S180" s="31"/>
      <c r="T180" s="12"/>
      <c r="U180" s="31"/>
      <c r="V180" s="12"/>
      <c r="W180" s="12"/>
      <c r="X180" s="12"/>
      <c r="Y180" s="12"/>
      <c r="Z180" s="12"/>
      <c r="AA180" s="12"/>
      <c r="AB180" s="26" t="s">
        <v>39</v>
      </c>
      <c r="AC180" s="26">
        <v>13</v>
      </c>
      <c r="AD180" s="12" t="s">
        <v>1812</v>
      </c>
      <c r="AE180" s="26">
        <v>24.356400000000001</v>
      </c>
      <c r="AF180" s="26">
        <v>77.027900000000002</v>
      </c>
    </row>
    <row r="181" spans="1:32" ht="15.75">
      <c r="A181" s="12">
        <v>148</v>
      </c>
      <c r="B181" s="10" t="s">
        <v>33</v>
      </c>
      <c r="C181" s="10" t="s">
        <v>1489</v>
      </c>
      <c r="D181" s="10" t="s">
        <v>1807</v>
      </c>
      <c r="E181" s="10" t="s">
        <v>1813</v>
      </c>
      <c r="F181" s="25" t="s">
        <v>1814</v>
      </c>
      <c r="G181" s="10">
        <v>342</v>
      </c>
      <c r="H181" s="10">
        <v>79</v>
      </c>
      <c r="I181" s="10">
        <v>395</v>
      </c>
      <c r="J181" s="10">
        <v>191</v>
      </c>
      <c r="K181" s="10">
        <v>204</v>
      </c>
      <c r="L181" s="10">
        <v>0</v>
      </c>
      <c r="M181" s="12">
        <f t="shared" si="4"/>
        <v>0</v>
      </c>
      <c r="N181" s="10">
        <v>391</v>
      </c>
      <c r="O181" s="12">
        <f t="shared" si="5"/>
        <v>98.987341772151893</v>
      </c>
      <c r="P181" s="271">
        <v>340</v>
      </c>
      <c r="Q181" s="10">
        <v>15</v>
      </c>
      <c r="R181" s="12" t="s">
        <v>39</v>
      </c>
      <c r="S181" s="37">
        <v>45332</v>
      </c>
      <c r="T181" s="12"/>
      <c r="U181" s="32">
        <v>76.7</v>
      </c>
      <c r="V181" s="12" t="s">
        <v>1493</v>
      </c>
      <c r="W181" s="12"/>
      <c r="X181" s="12"/>
      <c r="Y181" s="12"/>
      <c r="Z181" s="12"/>
      <c r="AA181" s="12"/>
      <c r="AB181" s="12" t="s">
        <v>39</v>
      </c>
      <c r="AC181" s="32">
        <v>4</v>
      </c>
      <c r="AD181" s="12" t="s">
        <v>1494</v>
      </c>
      <c r="AE181" s="12"/>
      <c r="AF181" s="12"/>
    </row>
    <row r="182" spans="1:32">
      <c r="A182" s="12">
        <v>149</v>
      </c>
      <c r="B182" s="10" t="s">
        <v>33</v>
      </c>
      <c r="C182" s="10" t="s">
        <v>1489</v>
      </c>
      <c r="D182" s="10" t="s">
        <v>1807</v>
      </c>
      <c r="E182" s="10" t="s">
        <v>1815</v>
      </c>
      <c r="F182" s="25" t="s">
        <v>1816</v>
      </c>
      <c r="G182" s="10">
        <v>237</v>
      </c>
      <c r="H182" s="10">
        <v>0</v>
      </c>
      <c r="I182" s="10">
        <v>0</v>
      </c>
      <c r="J182" s="10">
        <v>0</v>
      </c>
      <c r="K182" s="10">
        <v>0</v>
      </c>
      <c r="L182" s="10">
        <v>0</v>
      </c>
      <c r="M182" s="12" t="e">
        <f t="shared" si="4"/>
        <v>#DIV/0!</v>
      </c>
      <c r="N182" s="10">
        <v>0</v>
      </c>
      <c r="O182" s="12" t="e">
        <f t="shared" si="5"/>
        <v>#DIV/0!</v>
      </c>
      <c r="P182" s="271">
        <v>0</v>
      </c>
      <c r="Q182" s="10">
        <v>625</v>
      </c>
      <c r="R182" s="12"/>
      <c r="S182" s="14"/>
      <c r="T182" s="12"/>
      <c r="U182" s="14"/>
      <c r="V182" s="12" t="s">
        <v>1493</v>
      </c>
      <c r="W182" s="12"/>
      <c r="X182" s="12"/>
      <c r="Y182" s="12"/>
      <c r="Z182" s="12"/>
      <c r="AA182" s="12"/>
      <c r="AB182" s="12"/>
      <c r="AC182" s="14"/>
      <c r="AD182" s="12"/>
      <c r="AE182" s="12"/>
      <c r="AF182" s="12"/>
    </row>
    <row r="183" spans="1:32">
      <c r="A183" s="12">
        <v>150</v>
      </c>
      <c r="B183" s="10" t="s">
        <v>33</v>
      </c>
      <c r="C183" s="10" t="s">
        <v>1489</v>
      </c>
      <c r="D183" s="10" t="s">
        <v>1807</v>
      </c>
      <c r="E183" s="10" t="s">
        <v>1465</v>
      </c>
      <c r="F183" s="25" t="s">
        <v>1817</v>
      </c>
      <c r="G183" s="10">
        <v>305</v>
      </c>
      <c r="H183" s="10">
        <v>51</v>
      </c>
      <c r="I183" s="10">
        <v>315</v>
      </c>
      <c r="J183" s="10">
        <v>152</v>
      </c>
      <c r="K183" s="10">
        <v>163</v>
      </c>
      <c r="L183" s="10">
        <v>0</v>
      </c>
      <c r="M183" s="12">
        <f t="shared" si="4"/>
        <v>0</v>
      </c>
      <c r="N183" s="10">
        <v>0</v>
      </c>
      <c r="O183" s="12">
        <f t="shared" si="5"/>
        <v>0</v>
      </c>
      <c r="P183" s="271">
        <v>0</v>
      </c>
      <c r="Q183" s="10">
        <v>35</v>
      </c>
      <c r="R183" s="12"/>
      <c r="S183" s="14"/>
      <c r="T183" s="12"/>
      <c r="U183" s="14"/>
      <c r="V183" s="12" t="s">
        <v>1493</v>
      </c>
      <c r="W183" s="12"/>
      <c r="X183" s="12"/>
      <c r="Y183" s="12"/>
      <c r="Z183" s="12"/>
      <c r="AA183" s="12"/>
      <c r="AB183" s="12"/>
      <c r="AC183" s="14"/>
      <c r="AD183" s="12"/>
      <c r="AE183" s="12"/>
      <c r="AF183" s="12"/>
    </row>
    <row r="184" spans="1:32">
      <c r="A184" s="12">
        <v>151</v>
      </c>
      <c r="B184" s="10" t="s">
        <v>33</v>
      </c>
      <c r="C184" s="10" t="s">
        <v>1489</v>
      </c>
      <c r="D184" s="10" t="s">
        <v>1807</v>
      </c>
      <c r="E184" s="10" t="s">
        <v>1818</v>
      </c>
      <c r="F184" s="25" t="s">
        <v>1819</v>
      </c>
      <c r="G184" s="10">
        <v>463</v>
      </c>
      <c r="H184" s="10">
        <v>0</v>
      </c>
      <c r="I184" s="10">
        <v>0</v>
      </c>
      <c r="J184" s="10">
        <v>0</v>
      </c>
      <c r="K184" s="10">
        <v>0</v>
      </c>
      <c r="L184" s="10">
        <v>0</v>
      </c>
      <c r="M184" s="12" t="e">
        <f t="shared" si="4"/>
        <v>#DIV/0!</v>
      </c>
      <c r="N184" s="10">
        <v>0</v>
      </c>
      <c r="O184" s="12" t="e">
        <f t="shared" si="5"/>
        <v>#DIV/0!</v>
      </c>
      <c r="P184" s="271">
        <v>0</v>
      </c>
      <c r="Q184" s="10">
        <v>87</v>
      </c>
      <c r="R184" s="12"/>
      <c r="S184" s="14"/>
      <c r="T184" s="12"/>
      <c r="U184" s="14"/>
      <c r="V184" s="12" t="s">
        <v>1493</v>
      </c>
      <c r="W184" s="12"/>
      <c r="X184" s="12"/>
      <c r="Y184" s="12"/>
      <c r="Z184" s="12"/>
      <c r="AA184" s="12"/>
      <c r="AB184" s="12"/>
      <c r="AC184" s="14"/>
      <c r="AD184" s="12"/>
      <c r="AE184" s="12"/>
      <c r="AF184" s="12"/>
    </row>
    <row r="185" spans="1:32">
      <c r="A185" s="12">
        <v>152</v>
      </c>
      <c r="B185" s="10" t="s">
        <v>33</v>
      </c>
      <c r="C185" s="10" t="s">
        <v>1489</v>
      </c>
      <c r="D185" s="10" t="s">
        <v>1820</v>
      </c>
      <c r="E185" s="16" t="s">
        <v>1821</v>
      </c>
      <c r="F185" s="25" t="s">
        <v>1822</v>
      </c>
      <c r="G185" s="10">
        <v>738</v>
      </c>
      <c r="H185" s="10">
        <v>212</v>
      </c>
      <c r="I185" s="10">
        <v>1016</v>
      </c>
      <c r="J185" s="10">
        <v>511</v>
      </c>
      <c r="K185" s="10">
        <v>505</v>
      </c>
      <c r="L185" s="10">
        <v>513</v>
      </c>
      <c r="M185" s="12">
        <f t="shared" si="4"/>
        <v>50.49212598425197</v>
      </c>
      <c r="N185" s="10">
        <v>90</v>
      </c>
      <c r="O185" s="12">
        <f t="shared" si="5"/>
        <v>8.8582677165354333</v>
      </c>
      <c r="P185" s="271">
        <v>130</v>
      </c>
      <c r="Q185" s="10">
        <v>621</v>
      </c>
      <c r="R185" s="12" t="s">
        <v>39</v>
      </c>
      <c r="S185" s="11" t="s">
        <v>154</v>
      </c>
      <c r="T185" s="12"/>
      <c r="U185" s="20"/>
      <c r="V185" s="12" t="s">
        <v>1493</v>
      </c>
      <c r="W185" s="12"/>
      <c r="X185" s="12"/>
      <c r="Y185" s="12"/>
      <c r="Z185" s="12"/>
      <c r="AA185" s="12"/>
      <c r="AB185" s="12" t="s">
        <v>39</v>
      </c>
      <c r="AC185" s="20">
        <v>6</v>
      </c>
      <c r="AD185" s="12"/>
      <c r="AE185" s="12"/>
      <c r="AF185" s="12"/>
    </row>
    <row r="186" spans="1:32">
      <c r="A186" s="12">
        <v>153</v>
      </c>
      <c r="B186" s="10" t="s">
        <v>33</v>
      </c>
      <c r="C186" s="10" t="s">
        <v>1489</v>
      </c>
      <c r="D186" s="10" t="s">
        <v>1820</v>
      </c>
      <c r="E186" s="10" t="s">
        <v>1823</v>
      </c>
      <c r="F186" s="25" t="s">
        <v>1824</v>
      </c>
      <c r="G186" s="10">
        <v>1633</v>
      </c>
      <c r="H186" s="10">
        <v>388</v>
      </c>
      <c r="I186" s="10">
        <v>1927</v>
      </c>
      <c r="J186" s="10">
        <v>1000</v>
      </c>
      <c r="K186" s="10">
        <v>927</v>
      </c>
      <c r="L186" s="10">
        <v>619</v>
      </c>
      <c r="M186" s="12">
        <f t="shared" si="4"/>
        <v>32.122470160871821</v>
      </c>
      <c r="N186" s="10">
        <v>513</v>
      </c>
      <c r="O186" s="12">
        <f t="shared" si="5"/>
        <v>26.621691748832383</v>
      </c>
      <c r="P186" s="271">
        <v>775</v>
      </c>
      <c r="Q186" s="10">
        <v>271</v>
      </c>
      <c r="R186" s="12" t="s">
        <v>39</v>
      </c>
      <c r="S186" s="11" t="s">
        <v>154</v>
      </c>
      <c r="T186" s="12"/>
      <c r="U186" s="20">
        <v>30</v>
      </c>
      <c r="V186" s="12" t="s">
        <v>1493</v>
      </c>
      <c r="W186" s="12"/>
      <c r="X186" s="12"/>
      <c r="Y186" s="12"/>
      <c r="Z186" s="12"/>
      <c r="AA186" s="12"/>
      <c r="AB186" s="12"/>
      <c r="AC186" s="20">
        <v>7</v>
      </c>
      <c r="AD186" s="12"/>
      <c r="AE186" s="12"/>
      <c r="AF186" s="12"/>
    </row>
    <row r="187" spans="1:32">
      <c r="A187" s="12" t="s">
        <v>51</v>
      </c>
      <c r="B187" s="10" t="s">
        <v>33</v>
      </c>
      <c r="C187" s="10" t="s">
        <v>1489</v>
      </c>
      <c r="D187" s="10" t="s">
        <v>1820</v>
      </c>
      <c r="E187" s="10" t="s">
        <v>1823</v>
      </c>
      <c r="F187" s="25"/>
      <c r="G187" s="10"/>
      <c r="H187" s="10"/>
      <c r="I187" s="10"/>
      <c r="J187" s="10"/>
      <c r="K187" s="10"/>
      <c r="L187" s="10"/>
      <c r="M187" s="12" t="e">
        <f t="shared" si="4"/>
        <v>#DIV/0!</v>
      </c>
      <c r="N187" s="10"/>
      <c r="O187" s="12" t="e">
        <f t="shared" si="5"/>
        <v>#DIV/0!</v>
      </c>
      <c r="P187" s="271">
        <v>22</v>
      </c>
      <c r="Q187" s="10">
        <v>557</v>
      </c>
      <c r="R187" s="12"/>
      <c r="S187" s="11"/>
      <c r="T187" s="12"/>
      <c r="U187" s="20"/>
      <c r="V187" s="12"/>
      <c r="W187" s="12"/>
      <c r="X187" s="12"/>
      <c r="Y187" s="12"/>
      <c r="Z187" s="12"/>
      <c r="AA187" s="12"/>
      <c r="AB187" s="12"/>
      <c r="AC187" s="20">
        <v>12</v>
      </c>
      <c r="AD187" s="12"/>
      <c r="AE187" s="21">
        <v>24.7195</v>
      </c>
      <c r="AF187" s="21">
        <v>76.851100000000002</v>
      </c>
    </row>
    <row r="188" spans="1:32">
      <c r="A188" s="12">
        <v>154</v>
      </c>
      <c r="B188" s="10" t="s">
        <v>33</v>
      </c>
      <c r="C188" s="10" t="s">
        <v>1489</v>
      </c>
      <c r="D188" s="10" t="s">
        <v>1820</v>
      </c>
      <c r="E188" s="10" t="s">
        <v>1825</v>
      </c>
      <c r="F188" s="25" t="s">
        <v>1826</v>
      </c>
      <c r="G188" s="10">
        <v>151</v>
      </c>
      <c r="H188" s="10">
        <v>6</v>
      </c>
      <c r="I188" s="10">
        <v>29</v>
      </c>
      <c r="J188" s="10">
        <v>16</v>
      </c>
      <c r="K188" s="10">
        <v>13</v>
      </c>
      <c r="L188" s="10">
        <v>0</v>
      </c>
      <c r="M188" s="12">
        <f t="shared" si="4"/>
        <v>0</v>
      </c>
      <c r="N188" s="10">
        <v>29</v>
      </c>
      <c r="O188" s="12">
        <f t="shared" si="5"/>
        <v>100</v>
      </c>
      <c r="P188" s="271">
        <v>688</v>
      </c>
      <c r="Q188" s="10">
        <v>363</v>
      </c>
      <c r="R188" s="12"/>
      <c r="S188" s="14"/>
      <c r="T188" s="12"/>
      <c r="U188" s="14"/>
      <c r="V188" s="12" t="s">
        <v>1493</v>
      </c>
      <c r="W188" s="12"/>
      <c r="X188" s="12"/>
      <c r="Y188" s="12"/>
      <c r="Z188" s="12"/>
      <c r="AA188" s="12"/>
      <c r="AB188" s="12"/>
      <c r="AC188" s="14"/>
      <c r="AD188" s="12"/>
      <c r="AE188" s="12"/>
      <c r="AF188" s="12"/>
    </row>
    <row r="189" spans="1:32">
      <c r="A189" s="12">
        <v>155</v>
      </c>
      <c r="B189" s="10" t="s">
        <v>33</v>
      </c>
      <c r="C189" s="10" t="s">
        <v>1489</v>
      </c>
      <c r="D189" s="10" t="s">
        <v>1820</v>
      </c>
      <c r="E189" s="10" t="s">
        <v>1827</v>
      </c>
      <c r="F189" s="25" t="s">
        <v>1828</v>
      </c>
      <c r="G189" s="10">
        <v>1071</v>
      </c>
      <c r="H189" s="10">
        <v>173</v>
      </c>
      <c r="I189" s="10">
        <v>803</v>
      </c>
      <c r="J189" s="10">
        <v>392</v>
      </c>
      <c r="K189" s="10">
        <v>411</v>
      </c>
      <c r="L189" s="10">
        <v>6</v>
      </c>
      <c r="M189" s="12">
        <f t="shared" si="4"/>
        <v>0.74719800747198006</v>
      </c>
      <c r="N189" s="10">
        <v>647</v>
      </c>
      <c r="O189" s="12">
        <f t="shared" si="5"/>
        <v>80.572851805728519</v>
      </c>
      <c r="P189" s="271">
        <v>482</v>
      </c>
      <c r="Q189" s="10">
        <v>889.14</v>
      </c>
      <c r="R189" s="12" t="s">
        <v>39</v>
      </c>
      <c r="S189" s="11" t="s">
        <v>154</v>
      </c>
      <c r="T189" s="12"/>
      <c r="U189" s="20"/>
      <c r="V189" s="12" t="s">
        <v>1493</v>
      </c>
      <c r="W189" s="12"/>
      <c r="X189" s="12"/>
      <c r="Y189" s="12"/>
      <c r="Z189" s="12"/>
      <c r="AA189" s="12"/>
      <c r="AB189" s="12"/>
      <c r="AC189" s="20"/>
      <c r="AD189" s="12"/>
      <c r="AE189" s="12"/>
      <c r="AF189" s="12"/>
    </row>
    <row r="190" spans="1:32">
      <c r="A190" s="12">
        <v>156</v>
      </c>
      <c r="B190" s="10" t="s">
        <v>33</v>
      </c>
      <c r="C190" s="10" t="s">
        <v>1489</v>
      </c>
      <c r="D190" s="10" t="s">
        <v>1820</v>
      </c>
      <c r="E190" s="10" t="s">
        <v>1829</v>
      </c>
      <c r="F190" s="25" t="s">
        <v>1830</v>
      </c>
      <c r="G190" s="10">
        <v>518</v>
      </c>
      <c r="H190" s="10">
        <v>0</v>
      </c>
      <c r="I190" s="10">
        <v>0</v>
      </c>
      <c r="J190" s="10">
        <v>0</v>
      </c>
      <c r="K190" s="10">
        <v>0</v>
      </c>
      <c r="L190" s="10">
        <v>0</v>
      </c>
      <c r="M190" s="12" t="e">
        <f t="shared" si="4"/>
        <v>#DIV/0!</v>
      </c>
      <c r="N190" s="10">
        <v>0</v>
      </c>
      <c r="O190" s="12" t="e">
        <f t="shared" si="5"/>
        <v>#DIV/0!</v>
      </c>
      <c r="P190" s="271">
        <v>105</v>
      </c>
      <c r="Q190" s="10">
        <v>130.13999999999999</v>
      </c>
      <c r="R190" s="12"/>
      <c r="S190" s="14"/>
      <c r="T190" s="12"/>
      <c r="U190" s="14"/>
      <c r="V190" s="12" t="s">
        <v>1493</v>
      </c>
      <c r="W190" s="12"/>
      <c r="X190" s="12"/>
      <c r="Y190" s="12"/>
      <c r="Z190" s="12"/>
      <c r="AA190" s="12"/>
      <c r="AB190" s="12"/>
      <c r="AC190" s="14"/>
      <c r="AD190" s="12"/>
      <c r="AE190" s="12"/>
      <c r="AF190" s="12"/>
    </row>
    <row r="191" spans="1:32">
      <c r="A191" s="12">
        <v>157</v>
      </c>
      <c r="B191" s="10" t="s">
        <v>33</v>
      </c>
      <c r="C191" s="10" t="s">
        <v>1489</v>
      </c>
      <c r="D191" s="10" t="s">
        <v>1831</v>
      </c>
      <c r="E191" s="16" t="s">
        <v>1832</v>
      </c>
      <c r="F191" s="25" t="s">
        <v>1833</v>
      </c>
      <c r="G191" s="10">
        <v>515</v>
      </c>
      <c r="H191" s="10">
        <v>363</v>
      </c>
      <c r="I191" s="10">
        <v>2016</v>
      </c>
      <c r="J191" s="10">
        <v>1032</v>
      </c>
      <c r="K191" s="10">
        <v>984</v>
      </c>
      <c r="L191" s="10">
        <v>7</v>
      </c>
      <c r="M191" s="12">
        <f t="shared" si="4"/>
        <v>0.34722222222222221</v>
      </c>
      <c r="N191" s="10">
        <v>0</v>
      </c>
      <c r="O191" s="12">
        <f t="shared" si="5"/>
        <v>0</v>
      </c>
      <c r="P191" s="271">
        <v>169</v>
      </c>
      <c r="Q191" s="10">
        <v>26.04</v>
      </c>
      <c r="R191" s="12" t="s">
        <v>39</v>
      </c>
      <c r="S191" s="48" t="s">
        <v>1718</v>
      </c>
      <c r="T191" s="12"/>
      <c r="U191" s="48">
        <v>16.34</v>
      </c>
      <c r="V191" s="12" t="s">
        <v>1493</v>
      </c>
      <c r="W191" s="12"/>
      <c r="X191" s="12"/>
      <c r="Y191" s="12"/>
      <c r="Z191" s="12"/>
      <c r="AA191" s="12"/>
      <c r="AB191" s="12" t="s">
        <v>39</v>
      </c>
      <c r="AC191" s="48"/>
      <c r="AD191" s="12"/>
      <c r="AE191" s="12"/>
      <c r="AF191" s="12"/>
    </row>
    <row r="192" spans="1:32">
      <c r="A192" s="12">
        <v>158</v>
      </c>
      <c r="B192" s="10" t="s">
        <v>33</v>
      </c>
      <c r="C192" s="10" t="s">
        <v>1489</v>
      </c>
      <c r="D192" s="10" t="s">
        <v>1831</v>
      </c>
      <c r="E192" s="10" t="s">
        <v>1834</v>
      </c>
      <c r="F192" s="25" t="s">
        <v>1835</v>
      </c>
      <c r="G192" s="10">
        <v>411</v>
      </c>
      <c r="H192" s="10">
        <v>53</v>
      </c>
      <c r="I192" s="10">
        <v>263</v>
      </c>
      <c r="J192" s="10">
        <v>121</v>
      </c>
      <c r="K192" s="10">
        <v>142</v>
      </c>
      <c r="L192" s="10">
        <v>0</v>
      </c>
      <c r="M192" s="12">
        <f t="shared" si="4"/>
        <v>0</v>
      </c>
      <c r="N192" s="10">
        <v>169</v>
      </c>
      <c r="O192" s="12">
        <f t="shared" si="5"/>
        <v>64.258555133079852</v>
      </c>
      <c r="P192" s="271">
        <v>261</v>
      </c>
      <c r="Q192" s="10">
        <v>1.04</v>
      </c>
      <c r="R192" s="12"/>
      <c r="S192" s="14"/>
      <c r="T192" s="12"/>
      <c r="U192" s="14"/>
      <c r="V192" s="12" t="s">
        <v>1493</v>
      </c>
      <c r="W192" s="12"/>
      <c r="X192" s="12"/>
      <c r="Y192" s="12"/>
      <c r="Z192" s="12"/>
      <c r="AA192" s="12"/>
      <c r="AB192" s="12"/>
      <c r="AC192" s="48">
        <v>12</v>
      </c>
      <c r="AD192" s="12" t="s">
        <v>48</v>
      </c>
      <c r="AE192" s="12"/>
      <c r="AF192" s="12"/>
    </row>
    <row r="193" spans="1:32">
      <c r="A193" s="12">
        <v>159</v>
      </c>
      <c r="B193" s="10" t="s">
        <v>33</v>
      </c>
      <c r="C193" s="10" t="s">
        <v>1489</v>
      </c>
      <c r="D193" s="10" t="s">
        <v>1831</v>
      </c>
      <c r="E193" s="10" t="s">
        <v>1836</v>
      </c>
      <c r="F193" s="25" t="s">
        <v>1837</v>
      </c>
      <c r="G193" s="10">
        <v>462</v>
      </c>
      <c r="H193" s="10">
        <v>37</v>
      </c>
      <c r="I193" s="10">
        <v>215</v>
      </c>
      <c r="J193" s="10">
        <v>120</v>
      </c>
      <c r="K193" s="10">
        <v>95</v>
      </c>
      <c r="L193" s="10">
        <v>0</v>
      </c>
      <c r="M193" s="12">
        <f t="shared" si="4"/>
        <v>0</v>
      </c>
      <c r="N193" s="10">
        <v>163</v>
      </c>
      <c r="O193" s="12">
        <f t="shared" si="5"/>
        <v>75.813953488372093</v>
      </c>
      <c r="P193" s="271">
        <v>210</v>
      </c>
      <c r="Q193" s="10">
        <v>0</v>
      </c>
      <c r="R193" s="12"/>
      <c r="S193" s="14"/>
      <c r="T193" s="12"/>
      <c r="U193" s="14"/>
      <c r="V193" s="12" t="s">
        <v>1493</v>
      </c>
      <c r="W193" s="12"/>
      <c r="X193" s="12"/>
      <c r="Y193" s="12"/>
      <c r="Z193" s="12"/>
      <c r="AA193" s="12"/>
      <c r="AB193" s="12"/>
      <c r="AC193" s="14"/>
      <c r="AD193" s="12"/>
      <c r="AE193" s="12"/>
      <c r="AF193" s="12"/>
    </row>
    <row r="194" spans="1:32">
      <c r="A194" s="12">
        <v>160</v>
      </c>
      <c r="B194" s="10" t="s">
        <v>33</v>
      </c>
      <c r="C194" s="10" t="s">
        <v>1489</v>
      </c>
      <c r="D194" s="10" t="s">
        <v>1831</v>
      </c>
      <c r="E194" s="10" t="s">
        <v>1838</v>
      </c>
      <c r="F194" s="25" t="s">
        <v>1839</v>
      </c>
      <c r="G194" s="10">
        <v>501</v>
      </c>
      <c r="H194" s="10">
        <v>107</v>
      </c>
      <c r="I194" s="10">
        <v>557</v>
      </c>
      <c r="J194" s="10">
        <v>282</v>
      </c>
      <c r="K194" s="10">
        <v>275</v>
      </c>
      <c r="L194" s="10">
        <v>6</v>
      </c>
      <c r="M194" s="12">
        <f t="shared" si="4"/>
        <v>1.0771992818671454</v>
      </c>
      <c r="N194" s="10">
        <v>361</v>
      </c>
      <c r="O194" s="12">
        <f t="shared" si="5"/>
        <v>64.811490125673259</v>
      </c>
      <c r="P194" s="271">
        <v>195</v>
      </c>
      <c r="Q194" s="10">
        <v>720.28</v>
      </c>
      <c r="R194" s="12"/>
      <c r="S194" s="14"/>
      <c r="T194" s="12"/>
      <c r="U194" s="14"/>
      <c r="V194" s="12" t="s">
        <v>1493</v>
      </c>
      <c r="W194" s="12"/>
      <c r="X194" s="12"/>
      <c r="Y194" s="12"/>
      <c r="Z194" s="12"/>
      <c r="AA194" s="12"/>
      <c r="AB194" s="12"/>
      <c r="AC194" s="14"/>
      <c r="AD194" s="12"/>
      <c r="AE194" s="12"/>
      <c r="AF194" s="12"/>
    </row>
    <row r="195" spans="1:32">
      <c r="A195" s="12">
        <v>161</v>
      </c>
      <c r="B195" s="10" t="s">
        <v>33</v>
      </c>
      <c r="C195" s="10" t="s">
        <v>1489</v>
      </c>
      <c r="D195" s="10" t="s">
        <v>1831</v>
      </c>
      <c r="E195" s="10" t="s">
        <v>1840</v>
      </c>
      <c r="F195" s="25" t="s">
        <v>1841</v>
      </c>
      <c r="G195" s="10">
        <v>445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2" t="e">
        <f t="shared" si="4"/>
        <v>#DIV/0!</v>
      </c>
      <c r="N195" s="10">
        <v>0</v>
      </c>
      <c r="O195" s="12" t="e">
        <f t="shared" si="5"/>
        <v>#DIV/0!</v>
      </c>
      <c r="P195" s="271">
        <v>15</v>
      </c>
      <c r="Q195" s="10">
        <v>128.97999999999999</v>
      </c>
      <c r="R195" s="12"/>
      <c r="S195" s="14"/>
      <c r="T195" s="12"/>
      <c r="U195" s="14"/>
      <c r="V195" s="12" t="s">
        <v>1493</v>
      </c>
      <c r="W195" s="12"/>
      <c r="X195" s="12"/>
      <c r="Y195" s="12"/>
      <c r="Z195" s="12"/>
      <c r="AA195" s="12"/>
      <c r="AB195" s="12"/>
      <c r="AC195" s="14"/>
      <c r="AD195" s="12"/>
      <c r="AE195" s="12"/>
      <c r="AF195" s="12"/>
    </row>
    <row r="196" spans="1:32">
      <c r="A196" s="12">
        <v>162</v>
      </c>
      <c r="B196" s="10" t="s">
        <v>33</v>
      </c>
      <c r="C196" s="10" t="s">
        <v>1489</v>
      </c>
      <c r="D196" s="10" t="s">
        <v>1831</v>
      </c>
      <c r="E196" s="10" t="s">
        <v>1842</v>
      </c>
      <c r="F196" s="25" t="s">
        <v>1843</v>
      </c>
      <c r="G196" s="10">
        <v>359</v>
      </c>
      <c r="H196" s="10">
        <v>0</v>
      </c>
      <c r="I196" s="10">
        <v>0</v>
      </c>
      <c r="J196" s="10">
        <v>0</v>
      </c>
      <c r="K196" s="10">
        <v>0</v>
      </c>
      <c r="L196" s="10">
        <v>0</v>
      </c>
      <c r="M196" s="12" t="e">
        <f t="shared" si="4"/>
        <v>#DIV/0!</v>
      </c>
      <c r="N196" s="10">
        <v>0</v>
      </c>
      <c r="O196" s="12" t="e">
        <f t="shared" si="5"/>
        <v>#DIV/0!</v>
      </c>
      <c r="P196" s="271">
        <v>0</v>
      </c>
      <c r="Q196" s="10">
        <v>184.08</v>
      </c>
      <c r="R196" s="12"/>
      <c r="S196" s="14"/>
      <c r="T196" s="12"/>
      <c r="U196" s="14"/>
      <c r="V196" s="12" t="s">
        <v>1493</v>
      </c>
      <c r="W196" s="12"/>
      <c r="X196" s="12"/>
      <c r="Y196" s="12"/>
      <c r="Z196" s="12"/>
      <c r="AA196" s="12"/>
      <c r="AB196" s="12"/>
      <c r="AC196" s="14"/>
      <c r="AD196" s="12"/>
      <c r="AE196" s="12"/>
      <c r="AF196" s="12"/>
    </row>
    <row r="197" spans="1:32">
      <c r="A197" s="12">
        <v>163</v>
      </c>
      <c r="B197" s="10" t="s">
        <v>33</v>
      </c>
      <c r="C197" s="10" t="s">
        <v>1489</v>
      </c>
      <c r="D197" s="10" t="s">
        <v>1844</v>
      </c>
      <c r="E197" s="16" t="s">
        <v>1845</v>
      </c>
      <c r="F197" s="25" t="s">
        <v>1846</v>
      </c>
      <c r="G197" s="10">
        <v>1358</v>
      </c>
      <c r="H197" s="10">
        <v>295</v>
      </c>
      <c r="I197" s="10">
        <v>1520</v>
      </c>
      <c r="J197" s="10">
        <v>789</v>
      </c>
      <c r="K197" s="10">
        <v>731</v>
      </c>
      <c r="L197" s="10">
        <v>89</v>
      </c>
      <c r="M197" s="12">
        <f t="shared" si="4"/>
        <v>5.8552631578947372</v>
      </c>
      <c r="N197" s="10">
        <v>806</v>
      </c>
      <c r="O197" s="12">
        <f t="shared" si="5"/>
        <v>53.026315789473685</v>
      </c>
      <c r="P197" s="271">
        <v>625</v>
      </c>
      <c r="Q197" s="10">
        <v>130.15</v>
      </c>
      <c r="R197" s="12"/>
      <c r="S197" s="14"/>
      <c r="T197" s="12"/>
      <c r="U197" s="14"/>
      <c r="V197" s="12" t="s">
        <v>1493</v>
      </c>
      <c r="W197" s="12"/>
      <c r="X197" s="12"/>
      <c r="Y197" s="12"/>
      <c r="Z197" s="12"/>
      <c r="AA197" s="12"/>
      <c r="AB197" s="12"/>
      <c r="AC197" s="14"/>
      <c r="AD197" s="12"/>
      <c r="AE197" s="12"/>
      <c r="AF197" s="12"/>
    </row>
    <row r="198" spans="1:32">
      <c r="A198" s="12">
        <v>164</v>
      </c>
      <c r="B198" s="10" t="s">
        <v>33</v>
      </c>
      <c r="C198" s="10" t="s">
        <v>1489</v>
      </c>
      <c r="D198" s="10" t="s">
        <v>1844</v>
      </c>
      <c r="E198" s="10" t="s">
        <v>624</v>
      </c>
      <c r="F198" s="25" t="s">
        <v>1847</v>
      </c>
      <c r="G198" s="10">
        <v>179</v>
      </c>
      <c r="H198" s="10">
        <v>2</v>
      </c>
      <c r="I198" s="10">
        <v>10</v>
      </c>
      <c r="J198" s="10">
        <v>7</v>
      </c>
      <c r="K198" s="10">
        <v>3</v>
      </c>
      <c r="L198" s="10">
        <v>0</v>
      </c>
      <c r="M198" s="12">
        <f t="shared" si="4"/>
        <v>0</v>
      </c>
      <c r="N198" s="10">
        <v>6</v>
      </c>
      <c r="O198" s="12">
        <f t="shared" si="5"/>
        <v>60</v>
      </c>
      <c r="P198" s="271">
        <v>35</v>
      </c>
      <c r="Q198" s="10">
        <v>943</v>
      </c>
      <c r="R198" s="12"/>
      <c r="S198" s="14"/>
      <c r="T198" s="12"/>
      <c r="U198" s="14"/>
      <c r="V198" s="12" t="s">
        <v>1493</v>
      </c>
      <c r="W198" s="12"/>
      <c r="X198" s="12"/>
      <c r="Y198" s="12"/>
      <c r="Z198" s="12"/>
      <c r="AA198" s="12"/>
      <c r="AB198" s="12"/>
      <c r="AC198" s="14"/>
      <c r="AD198" s="12"/>
      <c r="AE198" s="12"/>
      <c r="AF198" s="12"/>
    </row>
    <row r="199" spans="1:32">
      <c r="A199" s="12">
        <v>165</v>
      </c>
      <c r="B199" s="10" t="s">
        <v>33</v>
      </c>
      <c r="C199" s="10" t="s">
        <v>1489</v>
      </c>
      <c r="D199" s="10" t="s">
        <v>1844</v>
      </c>
      <c r="E199" s="10" t="s">
        <v>1848</v>
      </c>
      <c r="F199" s="25" t="s">
        <v>1849</v>
      </c>
      <c r="G199" s="10">
        <v>538</v>
      </c>
      <c r="H199" s="10">
        <v>174</v>
      </c>
      <c r="I199" s="10">
        <v>935</v>
      </c>
      <c r="J199" s="10">
        <v>500</v>
      </c>
      <c r="K199" s="10">
        <v>435</v>
      </c>
      <c r="L199" s="10">
        <v>80</v>
      </c>
      <c r="M199" s="12">
        <f t="shared" si="4"/>
        <v>8.5561497326203195</v>
      </c>
      <c r="N199" s="10">
        <v>261</v>
      </c>
      <c r="O199" s="12">
        <f t="shared" si="5"/>
        <v>27.9144385026738</v>
      </c>
      <c r="P199" s="271">
        <v>87</v>
      </c>
      <c r="Q199" s="10">
        <v>112</v>
      </c>
      <c r="R199" s="12"/>
      <c r="S199" s="31"/>
      <c r="T199" s="12"/>
      <c r="U199" s="31">
        <v>65.28</v>
      </c>
      <c r="V199" s="12" t="s">
        <v>1493</v>
      </c>
      <c r="W199" s="12"/>
      <c r="X199" s="12"/>
      <c r="Y199" s="12"/>
      <c r="Z199" s="12"/>
      <c r="AA199" s="12"/>
      <c r="AB199" s="12" t="s">
        <v>39</v>
      </c>
      <c r="AC199" s="31">
        <v>12</v>
      </c>
      <c r="AD199" s="12" t="s">
        <v>1494</v>
      </c>
      <c r="AE199" s="12"/>
      <c r="AF199" s="12"/>
    </row>
    <row r="200" spans="1:32">
      <c r="A200" s="12">
        <v>166</v>
      </c>
      <c r="B200" s="10" t="s">
        <v>33</v>
      </c>
      <c r="C200" s="10" t="s">
        <v>1489</v>
      </c>
      <c r="D200" s="10" t="s">
        <v>1844</v>
      </c>
      <c r="E200" s="10" t="s">
        <v>1850</v>
      </c>
      <c r="F200" s="25" t="s">
        <v>1851</v>
      </c>
      <c r="G200" s="10">
        <v>992</v>
      </c>
      <c r="H200" s="10">
        <v>6</v>
      </c>
      <c r="I200" s="10">
        <v>39</v>
      </c>
      <c r="J200" s="10">
        <v>19</v>
      </c>
      <c r="K200" s="10">
        <v>20</v>
      </c>
      <c r="L200" s="10">
        <v>0</v>
      </c>
      <c r="M200" s="12">
        <f t="shared" si="4"/>
        <v>0</v>
      </c>
      <c r="N200" s="10">
        <v>38</v>
      </c>
      <c r="O200" s="12">
        <f t="shared" si="5"/>
        <v>97.435897435897431</v>
      </c>
      <c r="P200" s="271">
        <v>621</v>
      </c>
      <c r="Q200" s="10">
        <v>779</v>
      </c>
      <c r="R200" s="12"/>
      <c r="S200" s="14"/>
      <c r="T200" s="12"/>
      <c r="U200" s="14"/>
      <c r="V200" s="12" t="s">
        <v>1493</v>
      </c>
      <c r="W200" s="12"/>
      <c r="X200" s="12"/>
      <c r="Y200" s="12"/>
      <c r="Z200" s="12"/>
      <c r="AA200" s="12"/>
      <c r="AB200" s="12"/>
      <c r="AC200" s="14"/>
      <c r="AD200" s="12"/>
      <c r="AE200" s="12"/>
      <c r="AF200" s="12"/>
    </row>
    <row r="201" spans="1:32">
      <c r="A201" s="12">
        <v>167</v>
      </c>
      <c r="B201" s="10" t="s">
        <v>33</v>
      </c>
      <c r="C201" s="10" t="s">
        <v>1489</v>
      </c>
      <c r="D201" s="10" t="s">
        <v>1844</v>
      </c>
      <c r="E201" s="10" t="s">
        <v>1852</v>
      </c>
      <c r="F201" s="25" t="s">
        <v>1853</v>
      </c>
      <c r="G201" s="10">
        <v>539</v>
      </c>
      <c r="H201" s="10">
        <v>40</v>
      </c>
      <c r="I201" s="10">
        <v>241</v>
      </c>
      <c r="J201" s="10">
        <v>116</v>
      </c>
      <c r="K201" s="10">
        <v>125</v>
      </c>
      <c r="L201" s="10">
        <v>12</v>
      </c>
      <c r="M201" s="12">
        <f t="shared" si="4"/>
        <v>4.9792531120331951</v>
      </c>
      <c r="N201" s="10">
        <v>188</v>
      </c>
      <c r="O201" s="12">
        <f t="shared" si="5"/>
        <v>78.008298755186729</v>
      </c>
      <c r="P201" s="271">
        <v>271</v>
      </c>
      <c r="Q201" s="10">
        <v>310</v>
      </c>
      <c r="R201" s="12"/>
      <c r="S201" s="14"/>
      <c r="T201" s="12"/>
      <c r="U201" s="14"/>
      <c r="V201" s="12" t="s">
        <v>1493</v>
      </c>
      <c r="W201" s="12"/>
      <c r="X201" s="12"/>
      <c r="Y201" s="12"/>
      <c r="Z201" s="12"/>
      <c r="AA201" s="12"/>
      <c r="AB201" s="12"/>
      <c r="AC201" s="14"/>
      <c r="AD201" s="12"/>
      <c r="AE201" s="12"/>
      <c r="AF201" s="12"/>
    </row>
    <row r="202" spans="1:32">
      <c r="A202" s="12">
        <v>168</v>
      </c>
      <c r="B202" s="10" t="s">
        <v>33</v>
      </c>
      <c r="C202" s="10" t="s">
        <v>1489</v>
      </c>
      <c r="D202" s="10" t="s">
        <v>1844</v>
      </c>
      <c r="E202" s="10" t="s">
        <v>1854</v>
      </c>
      <c r="F202" s="25" t="s">
        <v>1855</v>
      </c>
      <c r="G202" s="10">
        <v>883</v>
      </c>
      <c r="H202" s="10">
        <v>0</v>
      </c>
      <c r="I202" s="10">
        <v>0</v>
      </c>
      <c r="J202" s="10">
        <v>0</v>
      </c>
      <c r="K202" s="10">
        <v>0</v>
      </c>
      <c r="L202" s="10">
        <v>0</v>
      </c>
      <c r="M202" s="12" t="e">
        <f t="shared" si="4"/>
        <v>#DIV/0!</v>
      </c>
      <c r="N202" s="10">
        <v>0</v>
      </c>
      <c r="O202" s="12" t="e">
        <f t="shared" si="5"/>
        <v>#DIV/0!</v>
      </c>
      <c r="P202" s="271">
        <v>557</v>
      </c>
      <c r="Q202" s="10">
        <v>164</v>
      </c>
      <c r="R202" s="12"/>
      <c r="S202" s="14"/>
      <c r="T202" s="12"/>
      <c r="U202" s="14"/>
      <c r="V202" s="12" t="s">
        <v>1493</v>
      </c>
      <c r="W202" s="12"/>
      <c r="X202" s="12"/>
      <c r="Y202" s="12"/>
      <c r="Z202" s="12"/>
      <c r="AA202" s="12"/>
      <c r="AB202" s="12"/>
      <c r="AC202" s="14"/>
      <c r="AD202" s="12"/>
      <c r="AE202" s="12"/>
      <c r="AF202" s="12"/>
    </row>
    <row r="203" spans="1:32">
      <c r="A203" s="12">
        <v>169</v>
      </c>
      <c r="B203" s="10" t="s">
        <v>33</v>
      </c>
      <c r="C203" s="10" t="s">
        <v>1489</v>
      </c>
      <c r="D203" s="10" t="s">
        <v>1844</v>
      </c>
      <c r="E203" s="10" t="s">
        <v>1856</v>
      </c>
      <c r="F203" s="25" t="s">
        <v>1857</v>
      </c>
      <c r="G203" s="10">
        <v>548</v>
      </c>
      <c r="H203" s="10">
        <v>21</v>
      </c>
      <c r="I203" s="10">
        <v>126</v>
      </c>
      <c r="J203" s="10">
        <v>61</v>
      </c>
      <c r="K203" s="10">
        <v>65</v>
      </c>
      <c r="L203" s="10">
        <v>0</v>
      </c>
      <c r="M203" s="12">
        <f t="shared" si="4"/>
        <v>0</v>
      </c>
      <c r="N203" s="10">
        <v>126</v>
      </c>
      <c r="O203" s="12">
        <f t="shared" si="5"/>
        <v>100</v>
      </c>
      <c r="P203" s="271">
        <v>363</v>
      </c>
      <c r="Q203" s="10">
        <v>94</v>
      </c>
      <c r="R203" s="12"/>
      <c r="S203" s="14"/>
      <c r="T203" s="12"/>
      <c r="U203" s="14"/>
      <c r="V203" s="12" t="s">
        <v>1493</v>
      </c>
      <c r="W203" s="12"/>
      <c r="X203" s="12"/>
      <c r="Y203" s="12"/>
      <c r="Z203" s="12"/>
      <c r="AA203" s="12"/>
      <c r="AB203" s="12"/>
      <c r="AC203" s="14"/>
      <c r="AD203" s="12"/>
      <c r="AE203" s="12"/>
      <c r="AF203" s="12"/>
    </row>
    <row r="204" spans="1:32">
      <c r="A204" s="12">
        <v>170</v>
      </c>
      <c r="B204" s="10" t="s">
        <v>33</v>
      </c>
      <c r="C204" s="10" t="s">
        <v>1489</v>
      </c>
      <c r="D204" s="10" t="s">
        <v>1858</v>
      </c>
      <c r="E204" s="16" t="s">
        <v>1859</v>
      </c>
      <c r="F204" s="25" t="s">
        <v>1860</v>
      </c>
      <c r="G204" s="10">
        <v>1402.85</v>
      </c>
      <c r="H204" s="10">
        <v>271</v>
      </c>
      <c r="I204" s="10">
        <v>1475</v>
      </c>
      <c r="J204" s="10">
        <v>813</v>
      </c>
      <c r="K204" s="10">
        <v>662</v>
      </c>
      <c r="L204" s="10">
        <v>331</v>
      </c>
      <c r="M204" s="12">
        <f t="shared" si="4"/>
        <v>22.440677966101692</v>
      </c>
      <c r="N204" s="10">
        <v>507</v>
      </c>
      <c r="O204" s="12">
        <f t="shared" si="5"/>
        <v>34.372881355932208</v>
      </c>
      <c r="P204" s="271">
        <v>889.14</v>
      </c>
      <c r="Q204" s="10">
        <v>2</v>
      </c>
      <c r="R204" s="12"/>
      <c r="S204" s="31"/>
      <c r="T204" s="12"/>
      <c r="U204" s="31">
        <v>81.599999999999994</v>
      </c>
      <c r="V204" s="12" t="s">
        <v>1493</v>
      </c>
      <c r="W204" s="12"/>
      <c r="X204" s="12"/>
      <c r="Y204" s="12"/>
      <c r="Z204" s="12"/>
      <c r="AA204" s="12"/>
      <c r="AB204" s="12" t="s">
        <v>39</v>
      </c>
      <c r="AC204" s="31">
        <v>5</v>
      </c>
      <c r="AD204" s="12" t="s">
        <v>1494</v>
      </c>
      <c r="AE204" s="12"/>
      <c r="AF204" s="12"/>
    </row>
    <row r="205" spans="1:32">
      <c r="A205" s="12">
        <v>171</v>
      </c>
      <c r="B205" s="10" t="s">
        <v>33</v>
      </c>
      <c r="C205" s="10" t="s">
        <v>1489</v>
      </c>
      <c r="D205" s="10" t="s">
        <v>1858</v>
      </c>
      <c r="E205" s="10" t="s">
        <v>1861</v>
      </c>
      <c r="F205" s="25" t="s">
        <v>1862</v>
      </c>
      <c r="G205" s="10">
        <v>263.10000000000002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2" t="e">
        <f t="shared" si="4"/>
        <v>#DIV/0!</v>
      </c>
      <c r="N205" s="10">
        <v>0</v>
      </c>
      <c r="O205" s="12" t="e">
        <f t="shared" si="5"/>
        <v>#DIV/0!</v>
      </c>
      <c r="P205" s="271">
        <v>130.13999999999999</v>
      </c>
      <c r="Q205" s="10">
        <v>0</v>
      </c>
      <c r="R205" s="12"/>
      <c r="S205" s="14"/>
      <c r="T205" s="12"/>
      <c r="U205" s="14"/>
      <c r="V205" s="12" t="s">
        <v>1493</v>
      </c>
      <c r="W205" s="12"/>
      <c r="X205" s="12"/>
      <c r="Y205" s="12"/>
      <c r="Z205" s="12"/>
      <c r="AA205" s="12"/>
      <c r="AB205" s="12"/>
      <c r="AC205" s="14"/>
      <c r="AD205" s="12"/>
      <c r="AE205" s="12"/>
      <c r="AF205" s="12"/>
    </row>
    <row r="206" spans="1:32">
      <c r="A206" s="12">
        <v>172</v>
      </c>
      <c r="B206" s="10" t="s">
        <v>33</v>
      </c>
      <c r="C206" s="10" t="s">
        <v>1489</v>
      </c>
      <c r="D206" s="10" t="s">
        <v>1858</v>
      </c>
      <c r="E206" s="10" t="s">
        <v>1863</v>
      </c>
      <c r="F206" s="25" t="s">
        <v>1864</v>
      </c>
      <c r="G206" s="10">
        <v>164.36</v>
      </c>
      <c r="H206" s="10">
        <v>29</v>
      </c>
      <c r="I206" s="10">
        <v>146</v>
      </c>
      <c r="J206" s="10">
        <v>70</v>
      </c>
      <c r="K206" s="10">
        <v>76</v>
      </c>
      <c r="L206" s="10">
        <v>10</v>
      </c>
      <c r="M206" s="12">
        <f t="shared" si="4"/>
        <v>6.8493150684931505</v>
      </c>
      <c r="N206" s="10">
        <v>126</v>
      </c>
      <c r="O206" s="12">
        <f t="shared" si="5"/>
        <v>86.301369863013704</v>
      </c>
      <c r="P206" s="271">
        <v>26.04</v>
      </c>
      <c r="Q206" s="10">
        <v>1406</v>
      </c>
      <c r="R206" s="12"/>
      <c r="S206" s="14"/>
      <c r="T206" s="12"/>
      <c r="U206" s="14"/>
      <c r="V206" s="12" t="s">
        <v>1493</v>
      </c>
      <c r="W206" s="12"/>
      <c r="X206" s="12"/>
      <c r="Y206" s="12"/>
      <c r="Z206" s="12"/>
      <c r="AA206" s="12"/>
      <c r="AB206" s="12"/>
      <c r="AC206" s="14"/>
      <c r="AD206" s="12"/>
      <c r="AE206" s="12"/>
      <c r="AF206" s="12"/>
    </row>
    <row r="207" spans="1:32">
      <c r="A207" s="12">
        <v>173</v>
      </c>
      <c r="B207" s="10" t="s">
        <v>33</v>
      </c>
      <c r="C207" s="10" t="s">
        <v>1489</v>
      </c>
      <c r="D207" s="10" t="s">
        <v>1858</v>
      </c>
      <c r="E207" s="10" t="s">
        <v>1865</v>
      </c>
      <c r="F207" s="25" t="s">
        <v>1866</v>
      </c>
      <c r="G207" s="10">
        <v>245.3</v>
      </c>
      <c r="H207" s="10">
        <v>60</v>
      </c>
      <c r="I207" s="10">
        <v>359</v>
      </c>
      <c r="J207" s="10">
        <v>191</v>
      </c>
      <c r="K207" s="10">
        <v>168</v>
      </c>
      <c r="L207" s="10">
        <v>1</v>
      </c>
      <c r="M207" s="12">
        <f t="shared" si="4"/>
        <v>0.2785515320334262</v>
      </c>
      <c r="N207" s="10">
        <v>356</v>
      </c>
      <c r="O207" s="12">
        <f t="shared" si="5"/>
        <v>99.164345403899716</v>
      </c>
      <c r="P207" s="271">
        <v>1.04</v>
      </c>
      <c r="Q207" s="10">
        <v>587</v>
      </c>
      <c r="R207" s="12"/>
      <c r="S207" s="31"/>
      <c r="T207" s="12"/>
      <c r="U207" s="31"/>
      <c r="V207" s="12" t="s">
        <v>1493</v>
      </c>
      <c r="W207" s="12"/>
      <c r="X207" s="12"/>
      <c r="Y207" s="12"/>
      <c r="Z207" s="12"/>
      <c r="AA207" s="12"/>
      <c r="AB207" s="12" t="s">
        <v>39</v>
      </c>
      <c r="AC207" s="31">
        <v>1</v>
      </c>
      <c r="AD207" s="12" t="s">
        <v>1494</v>
      </c>
      <c r="AE207" s="12"/>
      <c r="AF207" s="12"/>
    </row>
    <row r="208" spans="1:32">
      <c r="A208" s="12">
        <v>174</v>
      </c>
      <c r="B208" s="10" t="s">
        <v>33</v>
      </c>
      <c r="C208" s="10" t="s">
        <v>1489</v>
      </c>
      <c r="D208" s="10" t="s">
        <v>1858</v>
      </c>
      <c r="E208" s="10" t="s">
        <v>1867</v>
      </c>
      <c r="F208" s="25" t="s">
        <v>1868</v>
      </c>
      <c r="G208" s="10">
        <v>172.52</v>
      </c>
      <c r="H208" s="10">
        <v>195</v>
      </c>
      <c r="I208" s="10">
        <v>763</v>
      </c>
      <c r="J208" s="10">
        <v>419</v>
      </c>
      <c r="K208" s="10">
        <v>344</v>
      </c>
      <c r="L208" s="10">
        <v>268</v>
      </c>
      <c r="M208" s="12">
        <f t="shared" si="4"/>
        <v>35.124508519003932</v>
      </c>
      <c r="N208" s="10">
        <v>0</v>
      </c>
      <c r="O208" s="12">
        <f t="shared" si="5"/>
        <v>0</v>
      </c>
      <c r="P208" s="271">
        <v>0</v>
      </c>
      <c r="Q208" s="10">
        <v>0</v>
      </c>
      <c r="R208" s="12"/>
      <c r="S208" s="31"/>
      <c r="T208" s="12"/>
      <c r="U208" s="31">
        <v>89.13</v>
      </c>
      <c r="V208" s="12" t="s">
        <v>1493</v>
      </c>
      <c r="W208" s="12"/>
      <c r="X208" s="12"/>
      <c r="Y208" s="12"/>
      <c r="Z208" s="12"/>
      <c r="AA208" s="12"/>
      <c r="AB208" s="12" t="s">
        <v>39</v>
      </c>
      <c r="AC208" s="31">
        <v>9</v>
      </c>
      <c r="AD208" s="12" t="s">
        <v>1494</v>
      </c>
      <c r="AE208" s="12"/>
      <c r="AF208" s="12"/>
    </row>
    <row r="209" spans="1:32">
      <c r="A209" s="12">
        <v>175</v>
      </c>
      <c r="B209" s="10" t="s">
        <v>33</v>
      </c>
      <c r="C209" s="10" t="s">
        <v>1489</v>
      </c>
      <c r="D209" s="10" t="s">
        <v>1858</v>
      </c>
      <c r="E209" s="10" t="s">
        <v>1869</v>
      </c>
      <c r="F209" s="25" t="s">
        <v>1870</v>
      </c>
      <c r="G209" s="10">
        <v>1164.0999999999999</v>
      </c>
      <c r="H209" s="10">
        <v>116</v>
      </c>
      <c r="I209" s="10">
        <v>492</v>
      </c>
      <c r="J209" s="10">
        <v>256</v>
      </c>
      <c r="K209" s="10">
        <v>236</v>
      </c>
      <c r="L209" s="10">
        <v>28</v>
      </c>
      <c r="M209" s="12">
        <f t="shared" si="4"/>
        <v>5.6910569105691051</v>
      </c>
      <c r="N209" s="10">
        <v>0</v>
      </c>
      <c r="O209" s="12">
        <f t="shared" si="5"/>
        <v>0</v>
      </c>
      <c r="P209" s="271">
        <v>720.28</v>
      </c>
      <c r="Q209" s="10">
        <v>80</v>
      </c>
      <c r="R209" s="12"/>
      <c r="S209" s="31"/>
      <c r="T209" s="12"/>
      <c r="U209" s="31">
        <v>0.49</v>
      </c>
      <c r="V209" s="12" t="s">
        <v>1493</v>
      </c>
      <c r="W209" s="12"/>
      <c r="X209" s="12"/>
      <c r="Y209" s="12"/>
      <c r="Z209" s="12"/>
      <c r="AA209" s="12"/>
      <c r="AB209" s="12" t="s">
        <v>39</v>
      </c>
      <c r="AC209" s="31">
        <v>4</v>
      </c>
      <c r="AD209" s="12" t="s">
        <v>1494</v>
      </c>
      <c r="AE209" s="12"/>
      <c r="AF209" s="12"/>
    </row>
    <row r="210" spans="1:32">
      <c r="A210" s="12">
        <v>176</v>
      </c>
      <c r="B210" s="10" t="s">
        <v>33</v>
      </c>
      <c r="C210" s="10" t="s">
        <v>1489</v>
      </c>
      <c r="D210" s="10" t="s">
        <v>1858</v>
      </c>
      <c r="E210" s="10" t="s">
        <v>1871</v>
      </c>
      <c r="F210" s="25" t="s">
        <v>1872</v>
      </c>
      <c r="G210" s="10">
        <v>325.86</v>
      </c>
      <c r="H210" s="10">
        <v>5</v>
      </c>
      <c r="I210" s="10">
        <v>13</v>
      </c>
      <c r="J210" s="10">
        <v>10</v>
      </c>
      <c r="K210" s="10">
        <v>3</v>
      </c>
      <c r="L210" s="10">
        <v>0</v>
      </c>
      <c r="M210" s="12">
        <f t="shared" si="4"/>
        <v>0</v>
      </c>
      <c r="N210" s="10">
        <v>0</v>
      </c>
      <c r="O210" s="12">
        <f t="shared" si="5"/>
        <v>0</v>
      </c>
      <c r="P210" s="271">
        <v>128.97999999999999</v>
      </c>
      <c r="Q210" s="10">
        <v>272</v>
      </c>
      <c r="R210" s="12"/>
      <c r="S210" s="14"/>
      <c r="T210" s="12"/>
      <c r="U210" s="14"/>
      <c r="V210" s="12" t="s">
        <v>1493</v>
      </c>
      <c r="W210" s="12"/>
      <c r="X210" s="12"/>
      <c r="Y210" s="12"/>
      <c r="Z210" s="12"/>
      <c r="AA210" s="12"/>
      <c r="AB210" s="12"/>
      <c r="AC210" s="14"/>
      <c r="AD210" s="12"/>
      <c r="AE210" s="12"/>
      <c r="AF210" s="12"/>
    </row>
    <row r="211" spans="1:32">
      <c r="A211" s="12">
        <v>177</v>
      </c>
      <c r="B211" s="10" t="s">
        <v>33</v>
      </c>
      <c r="C211" s="10" t="s">
        <v>1489</v>
      </c>
      <c r="D211" s="10" t="s">
        <v>1858</v>
      </c>
      <c r="E211" s="10" t="s">
        <v>1873</v>
      </c>
      <c r="F211" s="25" t="s">
        <v>1874</v>
      </c>
      <c r="G211" s="10">
        <v>304.74</v>
      </c>
      <c r="H211" s="10">
        <v>2</v>
      </c>
      <c r="I211" s="10">
        <v>11</v>
      </c>
      <c r="J211" s="10">
        <v>4</v>
      </c>
      <c r="K211" s="10">
        <v>7</v>
      </c>
      <c r="L211" s="10">
        <v>11</v>
      </c>
      <c r="M211" s="12">
        <f t="shared" si="4"/>
        <v>100</v>
      </c>
      <c r="N211" s="10">
        <v>0</v>
      </c>
      <c r="O211" s="12">
        <f t="shared" si="5"/>
        <v>0</v>
      </c>
      <c r="P211" s="271">
        <v>184.08</v>
      </c>
      <c r="Q211" s="10">
        <v>1753</v>
      </c>
      <c r="R211" s="12"/>
      <c r="S211" s="14"/>
      <c r="T211" s="12"/>
      <c r="U211" s="14"/>
      <c r="V211" s="12" t="s">
        <v>1493</v>
      </c>
      <c r="W211" s="12"/>
      <c r="X211" s="12"/>
      <c r="Y211" s="12"/>
      <c r="Z211" s="12"/>
      <c r="AA211" s="12"/>
      <c r="AB211" s="12"/>
      <c r="AC211" s="14"/>
      <c r="AD211" s="12"/>
      <c r="AE211" s="12"/>
      <c r="AF211" s="12"/>
    </row>
    <row r="212" spans="1:32">
      <c r="A212" s="12">
        <v>178</v>
      </c>
      <c r="B212" s="10" t="s">
        <v>33</v>
      </c>
      <c r="C212" s="10" t="s">
        <v>1489</v>
      </c>
      <c r="D212" s="10" t="s">
        <v>1858</v>
      </c>
      <c r="E212" s="10" t="s">
        <v>1875</v>
      </c>
      <c r="F212" s="25" t="s">
        <v>1876</v>
      </c>
      <c r="G212" s="10">
        <v>536.79999999999995</v>
      </c>
      <c r="H212" s="10">
        <v>183</v>
      </c>
      <c r="I212" s="10">
        <v>994</v>
      </c>
      <c r="J212" s="10">
        <v>519</v>
      </c>
      <c r="K212" s="10">
        <v>475</v>
      </c>
      <c r="L212" s="10">
        <v>213</v>
      </c>
      <c r="M212" s="12">
        <f t="shared" si="4"/>
        <v>21.428571428571427</v>
      </c>
      <c r="N212" s="10">
        <v>0</v>
      </c>
      <c r="O212" s="12">
        <f t="shared" si="5"/>
        <v>0</v>
      </c>
      <c r="P212" s="271">
        <v>130.15</v>
      </c>
      <c r="Q212" s="10">
        <v>0</v>
      </c>
      <c r="R212" s="12"/>
      <c r="S212" s="31"/>
      <c r="T212" s="12"/>
      <c r="U212" s="31">
        <v>74.08</v>
      </c>
      <c r="V212" s="12" t="s">
        <v>1493</v>
      </c>
      <c r="W212" s="12"/>
      <c r="X212" s="12"/>
      <c r="Y212" s="12"/>
      <c r="Z212" s="12"/>
      <c r="AA212" s="12"/>
      <c r="AB212" s="12"/>
      <c r="AC212" s="31"/>
      <c r="AD212" s="12"/>
      <c r="AE212" s="12"/>
      <c r="AF212" s="12"/>
    </row>
    <row r="213" spans="1:32">
      <c r="A213" s="12" t="s">
        <v>51</v>
      </c>
      <c r="B213" s="10" t="s">
        <v>33</v>
      </c>
      <c r="C213" s="10" t="s">
        <v>1489</v>
      </c>
      <c r="D213" s="10" t="s">
        <v>1858</v>
      </c>
      <c r="E213" s="10" t="s">
        <v>1875</v>
      </c>
      <c r="F213" s="25"/>
      <c r="G213" s="10"/>
      <c r="H213" s="10"/>
      <c r="I213" s="10"/>
      <c r="J213" s="10"/>
      <c r="K213" s="10"/>
      <c r="L213" s="10"/>
      <c r="M213" s="12" t="e">
        <f t="shared" ref="M213:M278" si="6">L213/I213*100</f>
        <v>#DIV/0!</v>
      </c>
      <c r="N213" s="10"/>
      <c r="O213" s="12" t="e">
        <f t="shared" ref="O213:O278" si="7">N213/I213*100</f>
        <v>#DIV/0!</v>
      </c>
      <c r="P213" s="271">
        <v>943</v>
      </c>
      <c r="Q213" s="10">
        <v>0</v>
      </c>
      <c r="R213" s="12"/>
      <c r="S213" s="31"/>
      <c r="T213" s="12"/>
      <c r="U213" s="31"/>
      <c r="V213" s="12"/>
      <c r="W213" s="12"/>
      <c r="X213" s="12"/>
      <c r="Y213" s="12"/>
      <c r="Z213" s="12"/>
      <c r="AA213" s="12"/>
      <c r="AB213" s="12"/>
      <c r="AC213" s="11">
        <v>14</v>
      </c>
      <c r="AD213" s="12" t="s">
        <v>1494</v>
      </c>
      <c r="AE213" s="28">
        <v>25.2074</v>
      </c>
      <c r="AF213" s="28">
        <v>77.3523</v>
      </c>
    </row>
    <row r="214" spans="1:32">
      <c r="A214" s="12">
        <v>179</v>
      </c>
      <c r="B214" s="10" t="s">
        <v>33</v>
      </c>
      <c r="C214" s="10" t="s">
        <v>1489</v>
      </c>
      <c r="D214" s="10" t="s">
        <v>1877</v>
      </c>
      <c r="E214" s="10" t="s">
        <v>1878</v>
      </c>
      <c r="F214" s="25" t="s">
        <v>1879</v>
      </c>
      <c r="G214" s="10">
        <v>1644</v>
      </c>
      <c r="H214" s="10">
        <v>194</v>
      </c>
      <c r="I214" s="10">
        <v>1002</v>
      </c>
      <c r="J214" s="10">
        <v>501</v>
      </c>
      <c r="K214" s="10">
        <v>501</v>
      </c>
      <c r="L214" s="10">
        <v>35</v>
      </c>
      <c r="M214" s="12">
        <f t="shared" si="6"/>
        <v>3.4930139720558881</v>
      </c>
      <c r="N214" s="10">
        <v>706</v>
      </c>
      <c r="O214" s="12">
        <f t="shared" si="7"/>
        <v>70.459081836327343</v>
      </c>
      <c r="P214" s="271">
        <v>0</v>
      </c>
      <c r="Q214" s="10">
        <v>899.12</v>
      </c>
      <c r="R214" s="12" t="s">
        <v>39</v>
      </c>
      <c r="S214" s="11" t="s">
        <v>1880</v>
      </c>
      <c r="T214" s="12"/>
      <c r="U214" s="11">
        <v>50.09</v>
      </c>
      <c r="V214" s="12" t="s">
        <v>1493</v>
      </c>
      <c r="W214" s="12"/>
      <c r="X214" s="12"/>
      <c r="Y214" s="12"/>
      <c r="Z214" s="12"/>
      <c r="AA214" s="12"/>
      <c r="AB214" s="12" t="s">
        <v>39</v>
      </c>
    </row>
    <row r="215" spans="1:32" ht="15.75">
      <c r="A215" s="12">
        <v>180</v>
      </c>
      <c r="B215" s="10" t="s">
        <v>33</v>
      </c>
      <c r="C215" s="10" t="s">
        <v>1489</v>
      </c>
      <c r="D215" s="10" t="s">
        <v>1877</v>
      </c>
      <c r="E215" s="16" t="s">
        <v>1881</v>
      </c>
      <c r="F215" s="25" t="s">
        <v>1882</v>
      </c>
      <c r="G215" s="10">
        <v>707</v>
      </c>
      <c r="H215" s="10">
        <v>219</v>
      </c>
      <c r="I215" s="10">
        <v>1077</v>
      </c>
      <c r="J215" s="10">
        <v>552</v>
      </c>
      <c r="K215" s="10">
        <v>525</v>
      </c>
      <c r="L215" s="10">
        <v>267</v>
      </c>
      <c r="M215" s="12">
        <f t="shared" si="6"/>
        <v>24.791086350974929</v>
      </c>
      <c r="N215" s="10">
        <v>518</v>
      </c>
      <c r="O215" s="12">
        <f t="shared" si="7"/>
        <v>48.096564531104917</v>
      </c>
      <c r="P215" s="271">
        <v>112</v>
      </c>
      <c r="Q215" s="10">
        <v>208.16</v>
      </c>
      <c r="R215" s="12"/>
      <c r="S215" s="32"/>
      <c r="T215" s="12"/>
      <c r="U215" s="32"/>
      <c r="V215" s="12" t="s">
        <v>1493</v>
      </c>
      <c r="W215" s="12"/>
      <c r="X215" s="12"/>
      <c r="Y215" s="12"/>
      <c r="Z215" s="12"/>
      <c r="AA215" s="12"/>
      <c r="AB215" s="12"/>
      <c r="AC215" s="32"/>
      <c r="AD215" s="12"/>
      <c r="AE215" s="12"/>
      <c r="AF215" s="12"/>
    </row>
    <row r="216" spans="1:32" ht="15.75">
      <c r="A216" s="12" t="s">
        <v>51</v>
      </c>
      <c r="B216" s="10" t="s">
        <v>33</v>
      </c>
      <c r="C216" s="10" t="s">
        <v>1489</v>
      </c>
      <c r="D216" s="10" t="s">
        <v>1877</v>
      </c>
      <c r="E216" s="16" t="s">
        <v>1881</v>
      </c>
      <c r="F216" s="25"/>
      <c r="G216" s="10"/>
      <c r="H216" s="10"/>
      <c r="I216" s="10"/>
      <c r="J216" s="10"/>
      <c r="K216" s="10"/>
      <c r="L216" s="10"/>
      <c r="M216" s="12" t="e">
        <f t="shared" si="6"/>
        <v>#DIV/0!</v>
      </c>
      <c r="N216" s="10"/>
      <c r="O216" s="12" t="e">
        <f t="shared" si="7"/>
        <v>#DIV/0!</v>
      </c>
      <c r="P216" s="271">
        <v>779</v>
      </c>
      <c r="Q216" s="10">
        <v>112.06</v>
      </c>
      <c r="R216" s="12"/>
      <c r="S216" s="32"/>
      <c r="T216" s="12"/>
      <c r="U216" s="32"/>
      <c r="V216" s="12"/>
      <c r="W216" s="12"/>
      <c r="X216" s="12"/>
      <c r="Y216" s="12"/>
      <c r="Z216" s="12"/>
      <c r="AA216" s="12"/>
      <c r="AB216" s="12" t="s">
        <v>39</v>
      </c>
      <c r="AC216" s="32">
        <v>15</v>
      </c>
      <c r="AD216" s="12" t="s">
        <v>326</v>
      </c>
      <c r="AE216" s="21">
        <v>25.146000000000001</v>
      </c>
      <c r="AF216" s="21">
        <v>76.933099999999996</v>
      </c>
    </row>
    <row r="217" spans="1:32" ht="17.25">
      <c r="A217" s="12">
        <v>181</v>
      </c>
      <c r="B217" s="10" t="s">
        <v>33</v>
      </c>
      <c r="C217" s="10" t="s">
        <v>1489</v>
      </c>
      <c r="D217" s="10" t="s">
        <v>1877</v>
      </c>
      <c r="E217" s="10" t="s">
        <v>1883</v>
      </c>
      <c r="F217" s="25" t="s">
        <v>1884</v>
      </c>
      <c r="G217" s="10">
        <v>837</v>
      </c>
      <c r="H217" s="10">
        <v>132</v>
      </c>
      <c r="I217" s="10">
        <v>758</v>
      </c>
      <c r="J217" s="10">
        <v>373</v>
      </c>
      <c r="K217" s="10">
        <v>385</v>
      </c>
      <c r="L217" s="10">
        <v>16</v>
      </c>
      <c r="M217" s="12">
        <f t="shared" si="6"/>
        <v>2.1108179419525066</v>
      </c>
      <c r="N217" s="10">
        <v>454</v>
      </c>
      <c r="O217" s="12">
        <f t="shared" si="7"/>
        <v>59.894459102902374</v>
      </c>
      <c r="P217" s="271">
        <v>310</v>
      </c>
      <c r="Q217" s="10">
        <v>105.18</v>
      </c>
      <c r="R217" s="12"/>
      <c r="S217" s="32"/>
      <c r="T217" s="12"/>
      <c r="U217" s="49" t="s">
        <v>1885</v>
      </c>
      <c r="V217" s="12" t="s">
        <v>1493</v>
      </c>
      <c r="W217" s="12"/>
      <c r="X217" s="12"/>
      <c r="Y217" s="12"/>
      <c r="Z217" s="12"/>
      <c r="AA217" s="12"/>
      <c r="AB217" s="12"/>
      <c r="AC217" s="32"/>
      <c r="AD217" s="12"/>
      <c r="AE217" s="12"/>
      <c r="AF217" s="12"/>
    </row>
    <row r="218" spans="1:32">
      <c r="A218" s="12">
        <v>182</v>
      </c>
      <c r="B218" s="10" t="s">
        <v>33</v>
      </c>
      <c r="C218" s="10" t="s">
        <v>1489</v>
      </c>
      <c r="D218" s="10" t="s">
        <v>1886</v>
      </c>
      <c r="E218" s="16" t="s">
        <v>573</v>
      </c>
      <c r="F218" s="25" t="s">
        <v>1887</v>
      </c>
      <c r="G218" s="10">
        <v>1252</v>
      </c>
      <c r="H218" s="10">
        <v>232</v>
      </c>
      <c r="I218" s="10">
        <v>1210</v>
      </c>
      <c r="J218" s="10">
        <v>602</v>
      </c>
      <c r="K218" s="10">
        <v>608</v>
      </c>
      <c r="L218" s="10">
        <v>30</v>
      </c>
      <c r="M218" s="12">
        <f t="shared" si="6"/>
        <v>2.4793388429752068</v>
      </c>
      <c r="N218" s="10">
        <v>433</v>
      </c>
      <c r="O218" s="12">
        <f t="shared" si="7"/>
        <v>35.785123966942152</v>
      </c>
      <c r="P218" s="271">
        <v>164</v>
      </c>
      <c r="Q218" s="10">
        <v>137.18</v>
      </c>
      <c r="R218" s="12"/>
      <c r="S218" s="11"/>
      <c r="T218" s="12"/>
      <c r="U218" s="11">
        <v>104.5</v>
      </c>
      <c r="V218" s="12" t="s">
        <v>1493</v>
      </c>
      <c r="W218" s="12"/>
      <c r="X218" s="12"/>
      <c r="Y218" s="12"/>
      <c r="Z218" s="12"/>
      <c r="AA218" s="12"/>
      <c r="AB218" s="12" t="s">
        <v>39</v>
      </c>
      <c r="AC218" s="9">
        <v>30</v>
      </c>
      <c r="AD218" s="12" t="s">
        <v>1494</v>
      </c>
      <c r="AE218" s="12"/>
      <c r="AF218" s="12"/>
    </row>
    <row r="219" spans="1:32">
      <c r="A219" s="12" t="s">
        <v>51</v>
      </c>
      <c r="B219" s="10" t="s">
        <v>33</v>
      </c>
      <c r="C219" s="10" t="s">
        <v>1489</v>
      </c>
      <c r="D219" s="10" t="s">
        <v>1886</v>
      </c>
      <c r="E219" s="16" t="s">
        <v>573</v>
      </c>
      <c r="F219" s="25"/>
      <c r="G219" s="10"/>
      <c r="H219" s="10"/>
      <c r="I219" s="10"/>
      <c r="J219" s="10"/>
      <c r="K219" s="10"/>
      <c r="L219" s="10"/>
      <c r="M219" s="12" t="e">
        <f t="shared" si="6"/>
        <v>#DIV/0!</v>
      </c>
      <c r="N219" s="10"/>
      <c r="O219" s="12" t="e">
        <f t="shared" si="7"/>
        <v>#DIV/0!</v>
      </c>
      <c r="P219" s="271">
        <v>94</v>
      </c>
      <c r="Q219" s="10">
        <v>69.16</v>
      </c>
      <c r="R219" s="12"/>
      <c r="S219" s="11"/>
      <c r="T219" s="12"/>
      <c r="U219" s="11"/>
      <c r="V219" s="12"/>
      <c r="W219" s="12"/>
      <c r="X219" s="12"/>
      <c r="Y219" s="12"/>
      <c r="Z219" s="12"/>
      <c r="AA219" s="12"/>
      <c r="AB219" s="12" t="s">
        <v>39</v>
      </c>
      <c r="AC219" s="9">
        <v>20</v>
      </c>
      <c r="AD219" s="12" t="s">
        <v>1006</v>
      </c>
      <c r="AE219" s="26">
        <v>24.347899999999999</v>
      </c>
      <c r="AF219" s="26">
        <v>77.041600000000003</v>
      </c>
    </row>
    <row r="220" spans="1:32">
      <c r="A220" s="12">
        <v>183</v>
      </c>
      <c r="B220" s="10" t="s">
        <v>33</v>
      </c>
      <c r="C220" s="10" t="s">
        <v>1489</v>
      </c>
      <c r="D220" s="10" t="s">
        <v>1886</v>
      </c>
      <c r="E220" s="10" t="s">
        <v>1888</v>
      </c>
      <c r="F220" s="25" t="s">
        <v>1889</v>
      </c>
      <c r="G220" s="10">
        <v>332</v>
      </c>
      <c r="H220" s="10">
        <v>0</v>
      </c>
      <c r="I220" s="10">
        <v>0</v>
      </c>
      <c r="J220" s="10">
        <v>0</v>
      </c>
      <c r="K220" s="10">
        <v>0</v>
      </c>
      <c r="L220" s="10">
        <v>0</v>
      </c>
      <c r="M220" s="12" t="e">
        <f t="shared" si="6"/>
        <v>#DIV/0!</v>
      </c>
      <c r="N220" s="10">
        <v>0</v>
      </c>
      <c r="O220" s="12" t="e">
        <f t="shared" si="7"/>
        <v>#DIV/0!</v>
      </c>
      <c r="P220" s="271">
        <v>2</v>
      </c>
      <c r="Q220" s="10">
        <v>46.12</v>
      </c>
      <c r="R220" s="12"/>
      <c r="S220" s="14"/>
      <c r="T220" s="12"/>
      <c r="U220" s="14"/>
      <c r="V220" s="12" t="s">
        <v>1493</v>
      </c>
      <c r="W220" s="12"/>
      <c r="X220" s="12"/>
      <c r="Y220" s="12"/>
      <c r="Z220" s="12"/>
      <c r="AA220" s="12"/>
      <c r="AB220" s="12"/>
      <c r="AC220" s="14"/>
      <c r="AD220" s="12"/>
    </row>
    <row r="221" spans="1:32">
      <c r="A221" s="12">
        <v>184</v>
      </c>
      <c r="B221" s="10" t="s">
        <v>33</v>
      </c>
      <c r="C221" s="10" t="s">
        <v>1489</v>
      </c>
      <c r="D221" s="10" t="s">
        <v>1886</v>
      </c>
      <c r="E221" s="10" t="s">
        <v>1759</v>
      </c>
      <c r="F221" s="25" t="s">
        <v>1890</v>
      </c>
      <c r="G221" s="10">
        <v>637</v>
      </c>
      <c r="H221" s="10">
        <v>291</v>
      </c>
      <c r="I221" s="10">
        <v>1572</v>
      </c>
      <c r="J221" s="10">
        <v>808</v>
      </c>
      <c r="K221" s="10">
        <v>764</v>
      </c>
      <c r="L221" s="10">
        <v>139</v>
      </c>
      <c r="M221" s="12">
        <f t="shared" si="6"/>
        <v>8.8422391857506355</v>
      </c>
      <c r="N221" s="10">
        <v>787</v>
      </c>
      <c r="O221" s="12">
        <f t="shared" si="7"/>
        <v>50.063613231552161</v>
      </c>
      <c r="P221" s="271">
        <v>0</v>
      </c>
      <c r="Q221" s="10">
        <v>0</v>
      </c>
      <c r="R221" s="12" t="s">
        <v>39</v>
      </c>
      <c r="S221" s="11" t="s">
        <v>1891</v>
      </c>
      <c r="T221" s="12"/>
      <c r="U221" s="11">
        <v>85.087999999999994</v>
      </c>
      <c r="V221" s="12" t="s">
        <v>1493</v>
      </c>
      <c r="W221" s="12"/>
      <c r="X221" s="12"/>
      <c r="Y221" s="12"/>
      <c r="Z221" s="12"/>
      <c r="AA221" s="12"/>
      <c r="AB221" s="12" t="s">
        <v>39</v>
      </c>
      <c r="AC221" s="9">
        <v>20</v>
      </c>
      <c r="AD221" s="12" t="s">
        <v>1494</v>
      </c>
      <c r="AE221" s="12"/>
      <c r="AF221" s="12"/>
    </row>
    <row r="222" spans="1:32">
      <c r="A222" s="12" t="s">
        <v>51</v>
      </c>
      <c r="B222" s="10" t="s">
        <v>33</v>
      </c>
      <c r="C222" s="10" t="s">
        <v>1489</v>
      </c>
      <c r="D222" s="10" t="s">
        <v>1886</v>
      </c>
      <c r="E222" s="10" t="s">
        <v>1759</v>
      </c>
      <c r="F222" s="25"/>
      <c r="G222" s="10"/>
      <c r="H222" s="10"/>
      <c r="I222" s="10"/>
      <c r="J222" s="10"/>
      <c r="K222" s="10"/>
      <c r="L222" s="10"/>
      <c r="M222" s="12" t="e">
        <f t="shared" si="6"/>
        <v>#DIV/0!</v>
      </c>
      <c r="N222" s="10"/>
      <c r="O222" s="12" t="e">
        <f t="shared" si="7"/>
        <v>#DIV/0!</v>
      </c>
      <c r="P222" s="271">
        <v>1406</v>
      </c>
      <c r="Q222" s="10">
        <v>210.16</v>
      </c>
      <c r="R222" s="12"/>
      <c r="S222" s="11"/>
      <c r="T222" s="12"/>
      <c r="U222" s="11"/>
      <c r="V222" s="12"/>
      <c r="W222" s="12"/>
      <c r="X222" s="12"/>
      <c r="Y222" s="12"/>
      <c r="Z222" s="12"/>
      <c r="AA222" s="12"/>
      <c r="AB222" s="26" t="s">
        <v>39</v>
      </c>
      <c r="AC222" s="26">
        <v>16</v>
      </c>
      <c r="AD222" s="12" t="s">
        <v>326</v>
      </c>
      <c r="AE222" s="26">
        <v>24.340599999999998</v>
      </c>
      <c r="AF222" s="26">
        <v>77.0261</v>
      </c>
    </row>
    <row r="223" spans="1:32">
      <c r="A223" s="12">
        <v>185</v>
      </c>
      <c r="B223" s="10" t="s">
        <v>33</v>
      </c>
      <c r="C223" s="10" t="s">
        <v>1489</v>
      </c>
      <c r="D223" s="10" t="s">
        <v>1886</v>
      </c>
      <c r="E223" s="10" t="s">
        <v>1892</v>
      </c>
      <c r="F223" s="25" t="s">
        <v>1893</v>
      </c>
      <c r="G223" s="10">
        <v>291</v>
      </c>
      <c r="H223" s="10">
        <v>252</v>
      </c>
      <c r="I223" s="10">
        <v>1369</v>
      </c>
      <c r="J223" s="10">
        <v>696</v>
      </c>
      <c r="K223" s="10">
        <v>673</v>
      </c>
      <c r="L223" s="10">
        <v>144</v>
      </c>
      <c r="M223" s="12">
        <f t="shared" si="6"/>
        <v>10.51862673484295</v>
      </c>
      <c r="N223" s="10">
        <v>701</v>
      </c>
      <c r="O223" s="12">
        <f t="shared" si="7"/>
        <v>51.205259313367421</v>
      </c>
      <c r="P223" s="271">
        <v>587</v>
      </c>
      <c r="Q223" s="10">
        <v>15.18</v>
      </c>
      <c r="R223" s="12" t="s">
        <v>39</v>
      </c>
      <c r="S223" s="11" t="s">
        <v>1891</v>
      </c>
      <c r="T223" s="12"/>
      <c r="U223" s="9"/>
      <c r="V223" s="12" t="s">
        <v>1493</v>
      </c>
      <c r="W223" s="12"/>
      <c r="X223" s="12"/>
      <c r="Y223" s="12"/>
      <c r="Z223" s="12"/>
      <c r="AA223" s="12"/>
      <c r="AB223" s="12" t="s">
        <v>39</v>
      </c>
      <c r="AC223" s="9">
        <v>15</v>
      </c>
      <c r="AD223" s="12" t="s">
        <v>1494</v>
      </c>
      <c r="AE223" s="12"/>
      <c r="AF223" s="12"/>
    </row>
    <row r="224" spans="1:32">
      <c r="A224" s="12">
        <v>186</v>
      </c>
      <c r="B224" s="10" t="s">
        <v>33</v>
      </c>
      <c r="C224" s="10" t="s">
        <v>1489</v>
      </c>
      <c r="D224" s="10" t="s">
        <v>1894</v>
      </c>
      <c r="E224" s="16" t="s">
        <v>1895</v>
      </c>
      <c r="F224" s="25" t="s">
        <v>1896</v>
      </c>
      <c r="G224" s="10">
        <v>553</v>
      </c>
      <c r="H224" s="10">
        <v>565</v>
      </c>
      <c r="I224" s="10">
        <v>2709</v>
      </c>
      <c r="J224" s="10">
        <v>1402</v>
      </c>
      <c r="K224" s="10">
        <v>1307</v>
      </c>
      <c r="L224" s="10">
        <v>543</v>
      </c>
      <c r="M224" s="12">
        <f t="shared" si="6"/>
        <v>20.044296788482836</v>
      </c>
      <c r="N224" s="10">
        <v>717</v>
      </c>
      <c r="O224" s="12">
        <f t="shared" si="7"/>
        <v>26.46733111849391</v>
      </c>
      <c r="P224" s="271">
        <v>0</v>
      </c>
      <c r="Q224" s="10">
        <v>322.16000000000003</v>
      </c>
      <c r="R224" s="12"/>
      <c r="S224" s="50"/>
      <c r="T224" s="12"/>
      <c r="U224" s="51"/>
      <c r="V224" s="12" t="s">
        <v>1493</v>
      </c>
      <c r="W224" s="12"/>
      <c r="X224" s="12"/>
      <c r="Y224" s="12"/>
      <c r="Z224" s="12"/>
      <c r="AA224" s="12"/>
      <c r="AB224" s="12" t="s">
        <v>39</v>
      </c>
      <c r="AC224" s="51">
        <v>16</v>
      </c>
      <c r="AD224" s="12" t="s">
        <v>1494</v>
      </c>
      <c r="AE224" s="12"/>
      <c r="AF224" s="12"/>
    </row>
    <row r="225" spans="1:32">
      <c r="A225" s="12" t="s">
        <v>1897</v>
      </c>
      <c r="B225" s="10" t="s">
        <v>33</v>
      </c>
      <c r="C225" s="10" t="s">
        <v>1489</v>
      </c>
      <c r="D225" s="10" t="s">
        <v>1894</v>
      </c>
      <c r="E225" s="16" t="s">
        <v>1895</v>
      </c>
      <c r="F225" s="25"/>
      <c r="G225" s="10"/>
      <c r="H225" s="10"/>
      <c r="I225" s="10"/>
      <c r="J225" s="10"/>
      <c r="K225" s="10"/>
      <c r="L225" s="10"/>
      <c r="M225" s="12" t="e">
        <f t="shared" si="6"/>
        <v>#DIV/0!</v>
      </c>
      <c r="N225" s="10"/>
      <c r="O225" s="12" t="e">
        <f t="shared" si="7"/>
        <v>#DIV/0!</v>
      </c>
      <c r="P225" s="271">
        <v>1406</v>
      </c>
      <c r="Q225" s="10">
        <v>0</v>
      </c>
      <c r="R225" s="12"/>
      <c r="S225" s="50"/>
      <c r="T225" s="12"/>
      <c r="U225" s="51"/>
      <c r="V225" s="12"/>
      <c r="W225" s="12"/>
      <c r="X225" s="12"/>
      <c r="Y225" s="12"/>
      <c r="Z225" s="12"/>
      <c r="AA225" s="12"/>
      <c r="AB225" s="12" t="s">
        <v>39</v>
      </c>
      <c r="AC225" s="51">
        <v>16</v>
      </c>
      <c r="AD225" s="12"/>
      <c r="AE225" s="26">
        <v>24.340599999999998</v>
      </c>
      <c r="AF225" s="26">
        <v>77.0261</v>
      </c>
    </row>
    <row r="226" spans="1:32">
      <c r="A226" s="12">
        <v>187</v>
      </c>
      <c r="B226" s="10" t="s">
        <v>33</v>
      </c>
      <c r="C226" s="10" t="s">
        <v>1489</v>
      </c>
      <c r="D226" s="10" t="s">
        <v>1894</v>
      </c>
      <c r="E226" s="10" t="s">
        <v>1898</v>
      </c>
      <c r="F226" s="25" t="s">
        <v>1899</v>
      </c>
      <c r="G226" s="10">
        <v>2275</v>
      </c>
      <c r="H226" s="10">
        <v>82</v>
      </c>
      <c r="I226" s="10">
        <v>496</v>
      </c>
      <c r="J226" s="10">
        <v>273</v>
      </c>
      <c r="K226" s="10">
        <v>223</v>
      </c>
      <c r="L226" s="10">
        <v>0</v>
      </c>
      <c r="M226" s="12">
        <f t="shared" si="6"/>
        <v>0</v>
      </c>
      <c r="N226" s="10">
        <v>496</v>
      </c>
      <c r="O226" s="12">
        <f t="shared" si="7"/>
        <v>100</v>
      </c>
      <c r="P226" s="271">
        <v>587</v>
      </c>
      <c r="Q226" s="10">
        <v>54.16</v>
      </c>
      <c r="R226" s="12"/>
      <c r="S226" s="14"/>
      <c r="T226" s="12"/>
      <c r="U226" s="14"/>
      <c r="V226" s="12" t="s">
        <v>1493</v>
      </c>
      <c r="W226" s="12"/>
      <c r="X226" s="12"/>
      <c r="Y226" s="12"/>
      <c r="Z226" s="12"/>
      <c r="AA226" s="12"/>
      <c r="AB226" s="12"/>
      <c r="AC226" s="14"/>
      <c r="AD226" s="12"/>
      <c r="AE226" s="12"/>
      <c r="AF226" s="12"/>
    </row>
    <row r="227" spans="1:32">
      <c r="A227" s="12">
        <v>188</v>
      </c>
      <c r="B227" s="10" t="s">
        <v>33</v>
      </c>
      <c r="C227" s="10" t="s">
        <v>1489</v>
      </c>
      <c r="D227" s="10" t="s">
        <v>1894</v>
      </c>
      <c r="E227" s="10" t="s">
        <v>1900</v>
      </c>
      <c r="F227" s="25" t="s">
        <v>1901</v>
      </c>
      <c r="G227" s="10">
        <v>1014</v>
      </c>
      <c r="H227" s="10">
        <v>102</v>
      </c>
      <c r="I227" s="10">
        <v>505</v>
      </c>
      <c r="J227" s="10">
        <v>256</v>
      </c>
      <c r="K227" s="10">
        <v>249</v>
      </c>
      <c r="L227" s="10">
        <v>0</v>
      </c>
      <c r="M227" s="12">
        <f t="shared" si="6"/>
        <v>0</v>
      </c>
      <c r="N227" s="10">
        <v>370</v>
      </c>
      <c r="O227" s="12">
        <f t="shared" si="7"/>
        <v>73.267326732673268</v>
      </c>
      <c r="P227" s="271">
        <v>0</v>
      </c>
      <c r="Q227" s="10">
        <v>0</v>
      </c>
      <c r="R227" s="12" t="s">
        <v>39</v>
      </c>
      <c r="S227" s="11" t="s">
        <v>1902</v>
      </c>
      <c r="T227" s="12"/>
      <c r="U227" s="11">
        <v>53.76</v>
      </c>
      <c r="V227" s="12" t="s">
        <v>1493</v>
      </c>
      <c r="W227" s="12"/>
      <c r="X227" s="12"/>
      <c r="Y227" s="12"/>
      <c r="Z227" s="12"/>
      <c r="AA227" s="12"/>
      <c r="AB227" s="12"/>
      <c r="AC227" s="9"/>
      <c r="AD227" s="12"/>
      <c r="AE227" s="12"/>
      <c r="AF227" s="12"/>
    </row>
    <row r="228" spans="1:32">
      <c r="A228" s="12">
        <v>189</v>
      </c>
      <c r="B228" s="10" t="s">
        <v>33</v>
      </c>
      <c r="C228" s="10" t="s">
        <v>1489</v>
      </c>
      <c r="D228" s="10" t="s">
        <v>1894</v>
      </c>
      <c r="E228" s="10" t="s">
        <v>1903</v>
      </c>
      <c r="F228" s="25" t="s">
        <v>1904</v>
      </c>
      <c r="G228" s="10">
        <v>397</v>
      </c>
      <c r="H228" s="10">
        <v>0</v>
      </c>
      <c r="I228" s="10">
        <v>0</v>
      </c>
      <c r="J228" s="10">
        <v>0</v>
      </c>
      <c r="K228" s="10">
        <v>0</v>
      </c>
      <c r="L228" s="10">
        <v>0</v>
      </c>
      <c r="M228" s="12" t="e">
        <f t="shared" si="6"/>
        <v>#DIV/0!</v>
      </c>
      <c r="N228" s="10">
        <v>0</v>
      </c>
      <c r="O228" s="12" t="e">
        <f t="shared" si="7"/>
        <v>#DIV/0!</v>
      </c>
      <c r="P228" s="271">
        <v>80</v>
      </c>
      <c r="Q228" s="10">
        <v>58.16</v>
      </c>
      <c r="R228" s="12"/>
      <c r="S228" s="14"/>
      <c r="T228" s="12"/>
      <c r="U228" s="14"/>
      <c r="V228" s="12" t="s">
        <v>1493</v>
      </c>
      <c r="W228" s="12"/>
      <c r="X228" s="12"/>
      <c r="Y228" s="12"/>
      <c r="Z228" s="12"/>
      <c r="AA228" s="12"/>
      <c r="AB228" s="12"/>
      <c r="AC228" s="14"/>
      <c r="AD228" s="12"/>
      <c r="AE228" s="12"/>
      <c r="AF228" s="12"/>
    </row>
    <row r="229" spans="1:32">
      <c r="A229" s="12">
        <v>190</v>
      </c>
      <c r="B229" s="10" t="s">
        <v>33</v>
      </c>
      <c r="C229" s="10" t="s">
        <v>1489</v>
      </c>
      <c r="D229" s="10" t="s">
        <v>1894</v>
      </c>
      <c r="E229" s="10" t="s">
        <v>1905</v>
      </c>
      <c r="F229" s="25" t="s">
        <v>1906</v>
      </c>
      <c r="G229" s="10">
        <v>375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2" t="e">
        <f t="shared" si="6"/>
        <v>#DIV/0!</v>
      </c>
      <c r="N229" s="10">
        <v>0</v>
      </c>
      <c r="O229" s="12" t="e">
        <f t="shared" si="7"/>
        <v>#DIV/0!</v>
      </c>
      <c r="P229" s="271">
        <v>272</v>
      </c>
      <c r="Q229" s="10">
        <v>588</v>
      </c>
      <c r="R229" s="12"/>
      <c r="S229" s="14"/>
      <c r="T229" s="12"/>
      <c r="U229" s="14"/>
      <c r="V229" s="12" t="s">
        <v>1493</v>
      </c>
      <c r="W229" s="12"/>
      <c r="X229" s="12"/>
      <c r="Y229" s="12"/>
      <c r="Z229" s="12"/>
      <c r="AA229" s="12"/>
      <c r="AB229" s="12"/>
      <c r="AC229" s="14"/>
      <c r="AD229" s="12"/>
      <c r="AE229" s="12"/>
      <c r="AF229" s="12"/>
    </row>
    <row r="230" spans="1:32">
      <c r="A230" s="12">
        <v>191</v>
      </c>
      <c r="B230" s="10" t="s">
        <v>33</v>
      </c>
      <c r="C230" s="10" t="s">
        <v>1489</v>
      </c>
      <c r="D230" s="10" t="s">
        <v>1894</v>
      </c>
      <c r="E230" s="10" t="s">
        <v>1907</v>
      </c>
      <c r="F230" s="25" t="s">
        <v>1908</v>
      </c>
      <c r="G230" s="10">
        <v>432</v>
      </c>
      <c r="H230" s="10">
        <v>0</v>
      </c>
      <c r="I230" s="10">
        <v>0</v>
      </c>
      <c r="J230" s="10">
        <v>0</v>
      </c>
      <c r="K230" s="10">
        <v>0</v>
      </c>
      <c r="L230" s="10">
        <v>0</v>
      </c>
      <c r="M230" s="12" t="e">
        <f t="shared" si="6"/>
        <v>#DIV/0!</v>
      </c>
      <c r="N230" s="10">
        <v>0</v>
      </c>
      <c r="O230" s="12" t="e">
        <f t="shared" si="7"/>
        <v>#DIV/0!</v>
      </c>
      <c r="P230" s="44">
        <v>0</v>
      </c>
      <c r="Q230" s="10">
        <v>618.15</v>
      </c>
      <c r="R230" s="12"/>
      <c r="S230" s="14"/>
      <c r="T230" s="12"/>
      <c r="U230" s="14"/>
      <c r="V230" s="12" t="s">
        <v>1493</v>
      </c>
      <c r="W230" s="12"/>
      <c r="X230" s="12"/>
      <c r="Y230" s="12"/>
      <c r="Z230" s="12"/>
      <c r="AA230" s="12"/>
      <c r="AB230" s="12"/>
      <c r="AC230" s="14"/>
      <c r="AD230" s="12"/>
      <c r="AE230" s="12"/>
      <c r="AF230" s="12"/>
    </row>
    <row r="231" spans="1:32">
      <c r="A231" s="12">
        <v>192</v>
      </c>
      <c r="B231" s="10" t="s">
        <v>33</v>
      </c>
      <c r="C231" s="10" t="s">
        <v>1489</v>
      </c>
      <c r="D231" s="10" t="s">
        <v>1894</v>
      </c>
      <c r="E231" s="10" t="s">
        <v>1909</v>
      </c>
      <c r="F231" s="25" t="s">
        <v>1910</v>
      </c>
      <c r="G231" s="10">
        <v>1973</v>
      </c>
      <c r="H231" s="10">
        <v>43</v>
      </c>
      <c r="I231" s="10">
        <v>322</v>
      </c>
      <c r="J231" s="10">
        <v>160</v>
      </c>
      <c r="K231" s="10">
        <v>162</v>
      </c>
      <c r="L231" s="10">
        <v>0</v>
      </c>
      <c r="M231" s="12">
        <f t="shared" si="6"/>
        <v>0</v>
      </c>
      <c r="N231" s="10">
        <v>317</v>
      </c>
      <c r="O231" s="12">
        <f t="shared" si="7"/>
        <v>98.447204968944106</v>
      </c>
      <c r="P231" s="271">
        <v>1753</v>
      </c>
      <c r="Q231" s="10">
        <v>156</v>
      </c>
      <c r="R231" s="12" t="s">
        <v>39</v>
      </c>
      <c r="S231" s="11" t="s">
        <v>1902</v>
      </c>
      <c r="T231" s="12"/>
      <c r="U231" s="11">
        <v>43.85</v>
      </c>
      <c r="V231" s="12" t="s">
        <v>1493</v>
      </c>
      <c r="W231" s="12"/>
      <c r="X231" s="12"/>
      <c r="Y231" s="12"/>
      <c r="Z231" s="12"/>
      <c r="AA231" s="12"/>
      <c r="AB231" s="12" t="s">
        <v>39</v>
      </c>
      <c r="AC231" s="9">
        <v>12</v>
      </c>
      <c r="AD231" s="12" t="s">
        <v>1494</v>
      </c>
      <c r="AE231" s="12"/>
      <c r="AF231" s="12"/>
    </row>
    <row r="232" spans="1:32">
      <c r="A232" s="12">
        <v>193</v>
      </c>
      <c r="B232" s="10" t="s">
        <v>33</v>
      </c>
      <c r="C232" s="10" t="s">
        <v>1489</v>
      </c>
      <c r="D232" s="10" t="s">
        <v>1911</v>
      </c>
      <c r="E232" s="16" t="s">
        <v>1912</v>
      </c>
      <c r="F232" s="25" t="s">
        <v>1913</v>
      </c>
      <c r="G232" s="10">
        <v>1227</v>
      </c>
      <c r="H232" s="10">
        <v>859</v>
      </c>
      <c r="I232" s="10">
        <v>4339</v>
      </c>
      <c r="J232" s="10">
        <v>2218</v>
      </c>
      <c r="K232" s="10">
        <v>2121</v>
      </c>
      <c r="L232" s="10">
        <v>709</v>
      </c>
      <c r="M232" s="12">
        <f t="shared" si="6"/>
        <v>16.340170546208803</v>
      </c>
      <c r="N232" s="10">
        <v>987</v>
      </c>
      <c r="O232" s="12">
        <f t="shared" si="7"/>
        <v>22.747176768840745</v>
      </c>
      <c r="P232" s="271">
        <v>0</v>
      </c>
      <c r="Q232" s="10">
        <v>818.02</v>
      </c>
      <c r="R232" s="12" t="s">
        <v>39</v>
      </c>
      <c r="S232" s="11" t="s">
        <v>1914</v>
      </c>
      <c r="T232" s="12"/>
      <c r="U232" s="11">
        <v>117.44</v>
      </c>
      <c r="V232" s="12" t="s">
        <v>1493</v>
      </c>
      <c r="W232" s="12"/>
      <c r="X232" s="12"/>
      <c r="Y232" s="12"/>
      <c r="Z232" s="12"/>
      <c r="AA232" s="12"/>
      <c r="AB232" s="12" t="s">
        <v>39</v>
      </c>
      <c r="AC232" s="20">
        <v>13</v>
      </c>
      <c r="AD232" s="12" t="s">
        <v>1494</v>
      </c>
      <c r="AE232" s="12">
        <v>25.143599999999999</v>
      </c>
      <c r="AF232" s="12">
        <v>77.006100000000004</v>
      </c>
    </row>
    <row r="233" spans="1:32">
      <c r="A233" s="12">
        <v>194</v>
      </c>
      <c r="B233" s="10" t="s">
        <v>33</v>
      </c>
      <c r="C233" s="10" t="s">
        <v>1489</v>
      </c>
      <c r="D233" s="10" t="s">
        <v>1911</v>
      </c>
      <c r="E233" s="10" t="s">
        <v>1915</v>
      </c>
      <c r="F233" s="25" t="s">
        <v>1916</v>
      </c>
      <c r="G233" s="10">
        <v>93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2" t="e">
        <f t="shared" si="6"/>
        <v>#DIV/0!</v>
      </c>
      <c r="N233" s="10">
        <v>0</v>
      </c>
      <c r="O233" s="12" t="e">
        <f t="shared" si="7"/>
        <v>#DIV/0!</v>
      </c>
      <c r="P233" s="271">
        <v>0</v>
      </c>
      <c r="Q233" s="10">
        <v>1856</v>
      </c>
      <c r="R233" s="12"/>
      <c r="S233" s="14"/>
      <c r="T233" s="12"/>
      <c r="U233" s="14"/>
      <c r="V233" s="12" t="s">
        <v>1493</v>
      </c>
      <c r="W233" s="12"/>
      <c r="X233" s="12"/>
      <c r="Y233" s="12"/>
      <c r="Z233" s="12"/>
      <c r="AA233" s="12"/>
      <c r="AB233" s="12"/>
      <c r="AC233" s="14"/>
      <c r="AD233" s="12"/>
      <c r="AE233" s="12"/>
      <c r="AF233" s="12"/>
    </row>
    <row r="234" spans="1:32" ht="15.75">
      <c r="A234" s="12">
        <v>195</v>
      </c>
      <c r="B234" s="10" t="s">
        <v>33</v>
      </c>
      <c r="C234" s="10" t="s">
        <v>1489</v>
      </c>
      <c r="D234" s="10" t="s">
        <v>1917</v>
      </c>
      <c r="E234" s="16" t="s">
        <v>1918</v>
      </c>
      <c r="F234" s="25" t="s">
        <v>1919</v>
      </c>
      <c r="G234" s="10">
        <v>1528.84</v>
      </c>
      <c r="H234" s="10">
        <v>217</v>
      </c>
      <c r="I234" s="10">
        <v>977</v>
      </c>
      <c r="J234" s="10">
        <v>539</v>
      </c>
      <c r="K234" s="10">
        <v>438</v>
      </c>
      <c r="L234" s="10">
        <v>313</v>
      </c>
      <c r="M234" s="12">
        <f t="shared" si="6"/>
        <v>32.036847492323439</v>
      </c>
      <c r="N234" s="10">
        <v>0</v>
      </c>
      <c r="O234" s="12">
        <f t="shared" si="7"/>
        <v>0</v>
      </c>
      <c r="P234" s="271">
        <v>899.12</v>
      </c>
      <c r="Q234" s="10">
        <v>398</v>
      </c>
      <c r="R234" s="12" t="s">
        <v>39</v>
      </c>
      <c r="S234" s="37">
        <v>45332</v>
      </c>
      <c r="T234" s="12"/>
      <c r="U234" s="32">
        <v>7.2080000000000002</v>
      </c>
      <c r="V234" s="12" t="s">
        <v>1493</v>
      </c>
      <c r="W234" s="12"/>
      <c r="X234" s="12"/>
      <c r="Y234" s="12"/>
      <c r="Z234" s="12"/>
      <c r="AA234" s="12"/>
      <c r="AB234" s="12" t="s">
        <v>39</v>
      </c>
      <c r="AC234" s="32">
        <v>10</v>
      </c>
      <c r="AD234" s="12" t="s">
        <v>1494</v>
      </c>
      <c r="AE234" s="12">
        <v>25.114999999999998</v>
      </c>
      <c r="AF234" s="12">
        <v>77.306200000000004</v>
      </c>
    </row>
    <row r="235" spans="1:32" ht="15.75">
      <c r="A235" s="12">
        <v>196</v>
      </c>
      <c r="B235" s="10" t="s">
        <v>33</v>
      </c>
      <c r="C235" s="10" t="s">
        <v>1489</v>
      </c>
      <c r="D235" s="10" t="s">
        <v>1917</v>
      </c>
      <c r="E235" s="10" t="s">
        <v>1920</v>
      </c>
      <c r="F235" s="25" t="s">
        <v>1921</v>
      </c>
      <c r="G235" s="10">
        <v>209.28</v>
      </c>
      <c r="H235" s="10">
        <v>24</v>
      </c>
      <c r="I235" s="10">
        <v>124</v>
      </c>
      <c r="J235" s="10">
        <v>64</v>
      </c>
      <c r="K235" s="10">
        <v>60</v>
      </c>
      <c r="L235" s="10">
        <v>0</v>
      </c>
      <c r="M235" s="12">
        <f t="shared" si="6"/>
        <v>0</v>
      </c>
      <c r="N235" s="10">
        <v>119</v>
      </c>
      <c r="O235" s="12">
        <f t="shared" si="7"/>
        <v>95.967741935483872</v>
      </c>
      <c r="P235" s="271">
        <v>208.16</v>
      </c>
      <c r="Q235" s="10">
        <v>137</v>
      </c>
      <c r="R235" s="12" t="s">
        <v>39</v>
      </c>
      <c r="S235" s="37">
        <v>45332</v>
      </c>
      <c r="T235" s="12"/>
      <c r="U235" s="32"/>
      <c r="V235" s="12" t="s">
        <v>1493</v>
      </c>
      <c r="W235" s="12"/>
      <c r="X235" s="12"/>
      <c r="Y235" s="12"/>
      <c r="Z235" s="12"/>
      <c r="AA235" s="12"/>
      <c r="AB235" s="12"/>
      <c r="AC235" s="32"/>
      <c r="AD235" s="12"/>
      <c r="AE235" s="12"/>
      <c r="AF235" s="12"/>
    </row>
    <row r="236" spans="1:32">
      <c r="A236" s="12">
        <v>197</v>
      </c>
      <c r="B236" s="10" t="s">
        <v>33</v>
      </c>
      <c r="C236" s="10" t="s">
        <v>1489</v>
      </c>
      <c r="D236" s="10" t="s">
        <v>1917</v>
      </c>
      <c r="E236" s="10" t="s">
        <v>1922</v>
      </c>
      <c r="F236" s="25" t="s">
        <v>1923</v>
      </c>
      <c r="G236" s="10">
        <v>115.52</v>
      </c>
      <c r="H236" s="10">
        <v>7</v>
      </c>
      <c r="I236" s="10">
        <v>28</v>
      </c>
      <c r="J236" s="10">
        <v>13</v>
      </c>
      <c r="K236" s="10">
        <v>15</v>
      </c>
      <c r="L236" s="10">
        <v>0</v>
      </c>
      <c r="M236" s="12">
        <f t="shared" si="6"/>
        <v>0</v>
      </c>
      <c r="N236" s="10">
        <v>28</v>
      </c>
      <c r="O236" s="12">
        <f t="shared" si="7"/>
        <v>100</v>
      </c>
      <c r="P236" s="271">
        <v>112.06</v>
      </c>
      <c r="Q236" s="10">
        <v>231</v>
      </c>
      <c r="R236" s="12"/>
      <c r="S236" s="14"/>
      <c r="T236" s="12"/>
      <c r="U236" s="14"/>
      <c r="V236" s="12" t="s">
        <v>1493</v>
      </c>
      <c r="W236" s="12"/>
      <c r="X236" s="12"/>
      <c r="Y236" s="12"/>
      <c r="Z236" s="12"/>
      <c r="AA236" s="12"/>
      <c r="AB236" s="12"/>
      <c r="AC236" s="14"/>
      <c r="AD236" s="12"/>
      <c r="AE236" s="12"/>
      <c r="AF236" s="12"/>
    </row>
    <row r="237" spans="1:32" ht="15.75">
      <c r="A237" s="12">
        <v>198</v>
      </c>
      <c r="B237" s="10" t="s">
        <v>33</v>
      </c>
      <c r="C237" s="10" t="s">
        <v>1489</v>
      </c>
      <c r="D237" s="52" t="s">
        <v>1917</v>
      </c>
      <c r="E237" s="52" t="s">
        <v>1924</v>
      </c>
      <c r="F237" s="25" t="s">
        <v>1925</v>
      </c>
      <c r="G237" s="10">
        <v>193.59</v>
      </c>
      <c r="H237" s="10">
        <v>23</v>
      </c>
      <c r="I237" s="10">
        <v>118</v>
      </c>
      <c r="J237" s="10">
        <v>62</v>
      </c>
      <c r="K237" s="10">
        <v>56</v>
      </c>
      <c r="L237" s="10">
        <v>0</v>
      </c>
      <c r="M237" s="12">
        <f t="shared" si="6"/>
        <v>0</v>
      </c>
      <c r="N237" s="10">
        <v>118</v>
      </c>
      <c r="O237" s="12">
        <f t="shared" si="7"/>
        <v>100</v>
      </c>
      <c r="P237" s="271">
        <v>105.18</v>
      </c>
      <c r="Q237" s="10">
        <v>632</v>
      </c>
      <c r="R237" s="12" t="s">
        <v>39</v>
      </c>
      <c r="S237" s="37">
        <v>45332</v>
      </c>
      <c r="T237" s="12"/>
      <c r="U237" s="32">
        <v>8.4716000000000005</v>
      </c>
      <c r="V237" s="12" t="s">
        <v>1493</v>
      </c>
      <c r="W237" s="12"/>
      <c r="X237" s="12"/>
      <c r="Y237" s="12"/>
      <c r="Z237" s="12"/>
      <c r="AA237" s="12"/>
      <c r="AB237" s="12" t="s">
        <v>39</v>
      </c>
      <c r="AC237" s="32">
        <v>7</v>
      </c>
      <c r="AD237" s="12" t="s">
        <v>1494</v>
      </c>
      <c r="AE237" s="12">
        <v>25.247299999999999</v>
      </c>
      <c r="AF237" s="12">
        <v>77.152799999999999</v>
      </c>
    </row>
    <row r="238" spans="1:32" ht="15.75">
      <c r="A238" s="12">
        <v>199</v>
      </c>
      <c r="B238" s="10" t="s">
        <v>33</v>
      </c>
      <c r="C238" s="10" t="s">
        <v>1489</v>
      </c>
      <c r="D238" s="10" t="s">
        <v>1917</v>
      </c>
      <c r="E238" s="10" t="s">
        <v>1926</v>
      </c>
      <c r="F238" s="25" t="s">
        <v>1927</v>
      </c>
      <c r="G238" s="10">
        <v>146.52000000000001</v>
      </c>
      <c r="H238" s="10">
        <v>17</v>
      </c>
      <c r="I238" s="10">
        <v>113</v>
      </c>
      <c r="J238" s="10">
        <v>51</v>
      </c>
      <c r="K238" s="10">
        <v>62</v>
      </c>
      <c r="L238" s="10">
        <v>0</v>
      </c>
      <c r="M238" s="12">
        <f t="shared" si="6"/>
        <v>0</v>
      </c>
      <c r="N238" s="10">
        <v>113</v>
      </c>
      <c r="O238" s="12">
        <f t="shared" si="7"/>
        <v>100</v>
      </c>
      <c r="P238" s="271">
        <v>137.18</v>
      </c>
      <c r="Q238" s="10">
        <v>230</v>
      </c>
      <c r="R238" s="12" t="s">
        <v>39</v>
      </c>
      <c r="S238" s="37">
        <v>45332</v>
      </c>
      <c r="T238" s="12"/>
      <c r="U238" s="32">
        <v>26.19</v>
      </c>
      <c r="V238" s="12" t="s">
        <v>1493</v>
      </c>
      <c r="W238" s="12"/>
      <c r="X238" s="12"/>
      <c r="Y238" s="12"/>
      <c r="Z238" s="12"/>
      <c r="AA238" s="12"/>
      <c r="AB238" s="12" t="s">
        <v>39</v>
      </c>
      <c r="AC238" s="32">
        <v>8</v>
      </c>
      <c r="AD238" s="12" t="s">
        <v>1494</v>
      </c>
      <c r="AE238" s="12">
        <v>25.138000000000002</v>
      </c>
      <c r="AF238" s="12">
        <v>77.218000000000004</v>
      </c>
    </row>
    <row r="239" spans="1:32" ht="15.75">
      <c r="A239" s="12">
        <v>200</v>
      </c>
      <c r="B239" s="10" t="s">
        <v>33</v>
      </c>
      <c r="C239" s="10" t="s">
        <v>1489</v>
      </c>
      <c r="D239" s="10" t="s">
        <v>1917</v>
      </c>
      <c r="E239" s="10" t="s">
        <v>1928</v>
      </c>
      <c r="F239" s="25" t="s">
        <v>1929</v>
      </c>
      <c r="G239" s="10">
        <v>70.34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2" t="e">
        <f t="shared" si="6"/>
        <v>#DIV/0!</v>
      </c>
      <c r="N239" s="10">
        <v>0</v>
      </c>
      <c r="O239" s="12" t="e">
        <f t="shared" si="7"/>
        <v>#DIV/0!</v>
      </c>
      <c r="P239" s="271">
        <v>69.16</v>
      </c>
      <c r="Q239" s="10">
        <v>2177</v>
      </c>
      <c r="R239" s="12"/>
      <c r="S239" s="37"/>
      <c r="T239" s="12"/>
      <c r="U239" s="32"/>
      <c r="V239" s="12" t="s">
        <v>1493</v>
      </c>
      <c r="W239" s="12"/>
      <c r="X239" s="12"/>
      <c r="Y239" s="12"/>
      <c r="Z239" s="12"/>
      <c r="AA239" s="12"/>
      <c r="AB239" s="12"/>
      <c r="AC239" s="32"/>
      <c r="AD239" s="12"/>
      <c r="AE239" s="12"/>
      <c r="AF239" s="12"/>
    </row>
    <row r="240" spans="1:32">
      <c r="A240" s="12">
        <v>201</v>
      </c>
      <c r="B240" s="10" t="s">
        <v>33</v>
      </c>
      <c r="C240" s="10" t="s">
        <v>1489</v>
      </c>
      <c r="D240" s="10" t="s">
        <v>1917</v>
      </c>
      <c r="E240" s="10" t="s">
        <v>1930</v>
      </c>
      <c r="F240" s="25" t="s">
        <v>1931</v>
      </c>
      <c r="G240" s="10">
        <v>163.84</v>
      </c>
      <c r="H240" s="10">
        <v>0</v>
      </c>
      <c r="I240" s="10">
        <v>0</v>
      </c>
      <c r="J240" s="10">
        <v>0</v>
      </c>
      <c r="K240" s="10">
        <v>0</v>
      </c>
      <c r="L240" s="10">
        <v>0</v>
      </c>
      <c r="M240" s="12" t="e">
        <f t="shared" si="6"/>
        <v>#DIV/0!</v>
      </c>
      <c r="N240" s="10">
        <v>0</v>
      </c>
      <c r="O240" s="12" t="e">
        <f t="shared" si="7"/>
        <v>#DIV/0!</v>
      </c>
      <c r="P240" s="271">
        <v>46.12</v>
      </c>
      <c r="Q240" s="10">
        <v>232</v>
      </c>
      <c r="R240" s="12"/>
      <c r="S240" s="14"/>
      <c r="T240" s="12"/>
      <c r="U240" s="14"/>
      <c r="V240" s="12" t="s">
        <v>1493</v>
      </c>
      <c r="W240" s="12"/>
      <c r="X240" s="12"/>
      <c r="Y240" s="12"/>
      <c r="Z240" s="12"/>
      <c r="AA240" s="12"/>
      <c r="AB240" s="12"/>
      <c r="AC240" s="14"/>
      <c r="AD240" s="12"/>
      <c r="AE240" s="12"/>
      <c r="AF240" s="12"/>
    </row>
    <row r="241" spans="1:32">
      <c r="A241" s="12">
        <v>202</v>
      </c>
      <c r="B241" s="10" t="s">
        <v>33</v>
      </c>
      <c r="C241" s="10" t="s">
        <v>1489</v>
      </c>
      <c r="D241" s="10" t="s">
        <v>1917</v>
      </c>
      <c r="E241" s="10" t="s">
        <v>1932</v>
      </c>
      <c r="F241" s="25" t="s">
        <v>1933</v>
      </c>
      <c r="G241" s="10">
        <v>82.57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2" t="e">
        <f t="shared" si="6"/>
        <v>#DIV/0!</v>
      </c>
      <c r="N241" s="10">
        <v>0</v>
      </c>
      <c r="O241" s="12" t="e">
        <f t="shared" si="7"/>
        <v>#DIV/0!</v>
      </c>
      <c r="P241" s="271">
        <v>0</v>
      </c>
      <c r="Q241" s="10">
        <v>2</v>
      </c>
      <c r="R241" s="12"/>
      <c r="S241" s="14"/>
      <c r="T241" s="12"/>
      <c r="U241" s="14"/>
      <c r="V241" s="12" t="s">
        <v>1493</v>
      </c>
      <c r="W241" s="12"/>
      <c r="X241" s="12"/>
      <c r="Y241" s="12"/>
      <c r="Z241" s="12"/>
      <c r="AA241" s="12"/>
      <c r="AB241" s="12"/>
      <c r="AC241" s="14"/>
      <c r="AD241" s="12"/>
      <c r="AE241" s="12"/>
      <c r="AF241" s="12"/>
    </row>
    <row r="242" spans="1:32">
      <c r="A242" s="12">
        <v>203</v>
      </c>
      <c r="B242" s="10" t="s">
        <v>33</v>
      </c>
      <c r="C242" s="10" t="s">
        <v>1489</v>
      </c>
      <c r="D242" s="10" t="s">
        <v>1917</v>
      </c>
      <c r="E242" s="10" t="s">
        <v>1934</v>
      </c>
      <c r="F242" s="25" t="s">
        <v>1935</v>
      </c>
      <c r="G242" s="10">
        <v>323.58999999999997</v>
      </c>
      <c r="H242" s="10">
        <v>40</v>
      </c>
      <c r="I242" s="10">
        <v>191</v>
      </c>
      <c r="J242" s="10">
        <v>100</v>
      </c>
      <c r="K242" s="10">
        <v>91</v>
      </c>
      <c r="L242" s="10">
        <v>0</v>
      </c>
      <c r="M242" s="12">
        <f t="shared" si="6"/>
        <v>0</v>
      </c>
      <c r="N242" s="10">
        <v>112</v>
      </c>
      <c r="O242" s="12">
        <f t="shared" si="7"/>
        <v>58.638743455497377</v>
      </c>
      <c r="P242" s="271">
        <v>210.16</v>
      </c>
      <c r="Q242" s="10">
        <v>183</v>
      </c>
      <c r="R242" s="12"/>
      <c r="S242" s="14"/>
      <c r="T242" s="12"/>
      <c r="U242" s="14"/>
      <c r="V242" s="12" t="s">
        <v>1493</v>
      </c>
      <c r="W242" s="12"/>
      <c r="X242" s="12"/>
      <c r="Y242" s="12"/>
      <c r="Z242" s="12"/>
      <c r="AA242" s="12"/>
      <c r="AB242" s="12"/>
      <c r="AC242" s="14"/>
      <c r="AD242" s="12"/>
      <c r="AE242" s="12"/>
      <c r="AF242" s="12"/>
    </row>
    <row r="243" spans="1:32" ht="15.75">
      <c r="A243" s="12">
        <v>204</v>
      </c>
      <c r="B243" s="10" t="s">
        <v>33</v>
      </c>
      <c r="C243" s="10" t="s">
        <v>1489</v>
      </c>
      <c r="D243" s="10" t="s">
        <v>1917</v>
      </c>
      <c r="E243" s="10" t="s">
        <v>1936</v>
      </c>
      <c r="F243" s="25" t="s">
        <v>1937</v>
      </c>
      <c r="G243" s="10">
        <v>208.92</v>
      </c>
      <c r="H243" s="10">
        <v>74</v>
      </c>
      <c r="I243" s="10">
        <v>411</v>
      </c>
      <c r="J243" s="10">
        <v>203</v>
      </c>
      <c r="K243" s="10">
        <v>208</v>
      </c>
      <c r="L243" s="10">
        <v>170</v>
      </c>
      <c r="M243" s="12">
        <f t="shared" si="6"/>
        <v>41.362530413625301</v>
      </c>
      <c r="N243" s="10">
        <v>1</v>
      </c>
      <c r="O243" s="12">
        <f t="shared" si="7"/>
        <v>0.24330900243309003</v>
      </c>
      <c r="P243" s="271">
        <v>15.18</v>
      </c>
      <c r="Q243" s="10">
        <v>478</v>
      </c>
      <c r="R243" s="12" t="s">
        <v>39</v>
      </c>
      <c r="S243" s="37">
        <v>45332</v>
      </c>
      <c r="T243" s="12"/>
      <c r="U243" s="32">
        <v>75.5</v>
      </c>
      <c r="V243" s="12" t="s">
        <v>1493</v>
      </c>
      <c r="W243" s="12"/>
      <c r="X243" s="12"/>
      <c r="Y243" s="12"/>
      <c r="Z243" s="12"/>
      <c r="AA243" s="12"/>
      <c r="AB243" s="12" t="s">
        <v>39</v>
      </c>
      <c r="AC243" s="32">
        <v>5</v>
      </c>
      <c r="AD243" s="12" t="s">
        <v>1494</v>
      </c>
      <c r="AE243" s="12"/>
      <c r="AF243" s="12"/>
    </row>
    <row r="244" spans="1:32" ht="15.75">
      <c r="A244" s="12">
        <v>205</v>
      </c>
      <c r="B244" s="10" t="s">
        <v>33</v>
      </c>
      <c r="C244" s="10" t="s">
        <v>1489</v>
      </c>
      <c r="D244" s="10" t="s">
        <v>1917</v>
      </c>
      <c r="E244" s="10" t="s">
        <v>1938</v>
      </c>
      <c r="F244" s="25" t="s">
        <v>1939</v>
      </c>
      <c r="G244" s="10">
        <v>599.74</v>
      </c>
      <c r="H244" s="10">
        <v>96</v>
      </c>
      <c r="I244" s="10">
        <v>566</v>
      </c>
      <c r="J244" s="10">
        <v>316</v>
      </c>
      <c r="K244" s="10">
        <v>250</v>
      </c>
      <c r="L244" s="10">
        <v>57</v>
      </c>
      <c r="M244" s="12">
        <f t="shared" si="6"/>
        <v>10.070671378091872</v>
      </c>
      <c r="N244" s="10">
        <v>0</v>
      </c>
      <c r="O244" s="12">
        <f t="shared" si="7"/>
        <v>0</v>
      </c>
      <c r="P244" s="271">
        <v>322.16000000000003</v>
      </c>
      <c r="Q244" s="10">
        <v>566</v>
      </c>
      <c r="R244" s="12" t="s">
        <v>39</v>
      </c>
      <c r="S244" s="37">
        <v>45332</v>
      </c>
      <c r="T244" s="12"/>
      <c r="U244" s="32">
        <v>76.7</v>
      </c>
      <c r="V244" s="12" t="s">
        <v>1493</v>
      </c>
      <c r="W244" s="12"/>
      <c r="X244" s="12"/>
      <c r="Y244" s="12"/>
      <c r="Z244" s="12"/>
      <c r="AA244" s="12"/>
      <c r="AB244" s="12" t="s">
        <v>39</v>
      </c>
      <c r="AC244" s="32">
        <v>10</v>
      </c>
      <c r="AD244" s="12" t="s">
        <v>1494</v>
      </c>
      <c r="AE244" s="12"/>
      <c r="AF244" s="12"/>
    </row>
    <row r="245" spans="1:32" ht="15.75">
      <c r="A245" s="12">
        <v>206</v>
      </c>
      <c r="B245" s="10" t="s">
        <v>33</v>
      </c>
      <c r="C245" s="10" t="s">
        <v>1489</v>
      </c>
      <c r="D245" s="10" t="s">
        <v>1917</v>
      </c>
      <c r="E245" s="10" t="s">
        <v>1940</v>
      </c>
      <c r="F245" s="25" t="s">
        <v>1941</v>
      </c>
      <c r="G245" s="10">
        <v>230.67</v>
      </c>
      <c r="H245" s="10">
        <v>128</v>
      </c>
      <c r="I245" s="10">
        <v>682</v>
      </c>
      <c r="J245" s="10">
        <v>359</v>
      </c>
      <c r="K245" s="10">
        <v>323</v>
      </c>
      <c r="L245" s="10">
        <v>159</v>
      </c>
      <c r="M245" s="12">
        <f t="shared" si="6"/>
        <v>23.313782991202345</v>
      </c>
      <c r="N245" s="10">
        <v>0</v>
      </c>
      <c r="O245" s="12">
        <f t="shared" si="7"/>
        <v>0</v>
      </c>
      <c r="P245" s="271">
        <v>0</v>
      </c>
      <c r="Q245" s="10">
        <v>417</v>
      </c>
      <c r="R245" s="12" t="s">
        <v>39</v>
      </c>
      <c r="S245" s="37">
        <v>45332</v>
      </c>
      <c r="T245" s="12"/>
      <c r="U245" s="32">
        <v>4.1506999999999996</v>
      </c>
      <c r="V245" s="12" t="s">
        <v>1493</v>
      </c>
      <c r="W245" s="12"/>
      <c r="X245" s="12"/>
      <c r="Y245" s="12"/>
      <c r="Z245" s="12"/>
      <c r="AA245" s="12"/>
      <c r="AB245" s="12" t="s">
        <v>39</v>
      </c>
      <c r="AC245" s="32">
        <v>3</v>
      </c>
      <c r="AD245" s="12" t="s">
        <v>1494</v>
      </c>
      <c r="AE245" s="12"/>
      <c r="AF245" s="12"/>
    </row>
    <row r="246" spans="1:32">
      <c r="A246" s="12">
        <v>207</v>
      </c>
      <c r="B246" s="10" t="s">
        <v>33</v>
      </c>
      <c r="C246" s="10" t="s">
        <v>1489</v>
      </c>
      <c r="D246" s="10" t="s">
        <v>1917</v>
      </c>
      <c r="E246" s="10" t="s">
        <v>1942</v>
      </c>
      <c r="F246" s="25" t="s">
        <v>1943</v>
      </c>
      <c r="G246" s="10">
        <v>230.64</v>
      </c>
      <c r="H246" s="10">
        <v>0</v>
      </c>
      <c r="I246" s="10">
        <v>0</v>
      </c>
      <c r="J246" s="10">
        <v>0</v>
      </c>
      <c r="K246" s="10">
        <v>0</v>
      </c>
      <c r="L246" s="10">
        <v>0</v>
      </c>
      <c r="M246" s="12" t="e">
        <f t="shared" si="6"/>
        <v>#DIV/0!</v>
      </c>
      <c r="N246" s="10">
        <v>0</v>
      </c>
      <c r="O246" s="12" t="e">
        <f t="shared" si="7"/>
        <v>#DIV/0!</v>
      </c>
      <c r="P246" s="271">
        <v>54.16</v>
      </c>
      <c r="Q246" s="10">
        <v>851</v>
      </c>
      <c r="R246" s="12"/>
      <c r="S246" s="14"/>
      <c r="T246" s="12"/>
      <c r="U246" s="14"/>
      <c r="V246" s="12" t="s">
        <v>1493</v>
      </c>
      <c r="W246" s="12"/>
      <c r="X246" s="12"/>
      <c r="Y246" s="12"/>
      <c r="Z246" s="12"/>
      <c r="AA246" s="12"/>
      <c r="AB246" s="12"/>
      <c r="AC246" s="14"/>
      <c r="AD246" s="12"/>
      <c r="AE246" s="12"/>
      <c r="AF246" s="12"/>
    </row>
    <row r="247" spans="1:32">
      <c r="A247" s="12">
        <v>208</v>
      </c>
      <c r="B247" s="10" t="s">
        <v>33</v>
      </c>
      <c r="C247" s="10" t="s">
        <v>1489</v>
      </c>
      <c r="D247" s="10" t="s">
        <v>1917</v>
      </c>
      <c r="E247" s="10" t="s">
        <v>1924</v>
      </c>
      <c r="F247" s="25" t="s">
        <v>1944</v>
      </c>
      <c r="G247" s="10">
        <v>193.64</v>
      </c>
      <c r="H247" s="10">
        <v>32</v>
      </c>
      <c r="I247" s="10">
        <v>144</v>
      </c>
      <c r="J247" s="10">
        <v>78</v>
      </c>
      <c r="K247" s="10">
        <v>66</v>
      </c>
      <c r="L247" s="10">
        <v>0</v>
      </c>
      <c r="M247" s="12">
        <f t="shared" si="6"/>
        <v>0</v>
      </c>
      <c r="N247" s="10">
        <v>6</v>
      </c>
      <c r="O247" s="12">
        <f t="shared" si="7"/>
        <v>4.1666666666666661</v>
      </c>
      <c r="P247" s="271">
        <v>0</v>
      </c>
      <c r="Q247" s="10">
        <v>306</v>
      </c>
      <c r="R247" s="12"/>
      <c r="S247" s="14"/>
      <c r="T247" s="12"/>
      <c r="U247" s="14"/>
      <c r="V247" s="12" t="s">
        <v>1493</v>
      </c>
      <c r="W247" s="12"/>
      <c r="X247" s="12"/>
      <c r="Y247" s="12"/>
      <c r="Z247" s="12"/>
      <c r="AA247" s="12"/>
      <c r="AB247" s="12"/>
      <c r="AC247" s="14"/>
      <c r="AD247" s="12"/>
      <c r="AE247" s="12"/>
      <c r="AF247" s="12"/>
    </row>
    <row r="248" spans="1:32">
      <c r="A248" s="12">
        <v>209</v>
      </c>
      <c r="B248" s="10" t="s">
        <v>33</v>
      </c>
      <c r="C248" s="10" t="s">
        <v>1489</v>
      </c>
      <c r="D248" s="10" t="s">
        <v>1917</v>
      </c>
      <c r="E248" s="10" t="s">
        <v>1945</v>
      </c>
      <c r="F248" s="25" t="s">
        <v>1946</v>
      </c>
      <c r="G248" s="10">
        <v>265.75</v>
      </c>
      <c r="H248" s="10">
        <v>28</v>
      </c>
      <c r="I248" s="10">
        <v>132</v>
      </c>
      <c r="J248" s="10">
        <v>69</v>
      </c>
      <c r="K248" s="10">
        <v>63</v>
      </c>
      <c r="L248" s="10">
        <v>0</v>
      </c>
      <c r="M248" s="12">
        <f t="shared" si="6"/>
        <v>0</v>
      </c>
      <c r="N248" s="10">
        <v>0</v>
      </c>
      <c r="O248" s="12">
        <f t="shared" si="7"/>
        <v>0</v>
      </c>
      <c r="P248" s="271">
        <v>58.16</v>
      </c>
      <c r="Q248" s="10">
        <v>429</v>
      </c>
      <c r="R248" s="12"/>
      <c r="S248" s="31"/>
      <c r="T248" s="12"/>
      <c r="U248" s="31">
        <v>6.4749999999999996</v>
      </c>
      <c r="V248" s="12" t="s">
        <v>1493</v>
      </c>
      <c r="W248" s="12"/>
      <c r="X248" s="12"/>
      <c r="Y248" s="12"/>
      <c r="Z248" s="12"/>
      <c r="AA248" s="12"/>
      <c r="AB248" s="12" t="s">
        <v>39</v>
      </c>
      <c r="AC248" s="31">
        <v>7</v>
      </c>
      <c r="AD248" s="12" t="s">
        <v>1494</v>
      </c>
      <c r="AE248" s="12"/>
      <c r="AF248" s="12"/>
    </row>
    <row r="249" spans="1:32">
      <c r="A249" s="12">
        <v>210</v>
      </c>
      <c r="B249" s="10" t="s">
        <v>33</v>
      </c>
      <c r="C249" s="10" t="s">
        <v>1489</v>
      </c>
      <c r="D249" s="10" t="s">
        <v>1947</v>
      </c>
      <c r="E249" s="16" t="s">
        <v>1948</v>
      </c>
      <c r="F249" s="25" t="s">
        <v>1949</v>
      </c>
      <c r="G249" s="10">
        <v>899</v>
      </c>
      <c r="H249" s="10">
        <v>217</v>
      </c>
      <c r="I249" s="10">
        <v>868</v>
      </c>
      <c r="J249" s="10">
        <v>449</v>
      </c>
      <c r="K249" s="10">
        <v>419</v>
      </c>
      <c r="L249" s="10">
        <v>0</v>
      </c>
      <c r="M249" s="12">
        <f t="shared" si="6"/>
        <v>0</v>
      </c>
      <c r="N249" s="10">
        <v>756</v>
      </c>
      <c r="O249" s="12">
        <f t="shared" si="7"/>
        <v>87.096774193548384</v>
      </c>
      <c r="P249" s="271">
        <v>588</v>
      </c>
      <c r="Q249" s="10">
        <v>492</v>
      </c>
      <c r="R249" s="12"/>
      <c r="S249" s="31"/>
      <c r="T249" s="12"/>
      <c r="U249" s="31"/>
      <c r="V249" s="12" t="s">
        <v>1493</v>
      </c>
      <c r="W249" s="12"/>
      <c r="X249" s="12"/>
      <c r="Y249" s="12"/>
      <c r="Z249" s="12"/>
      <c r="AA249" s="12"/>
      <c r="AB249" s="12" t="s">
        <v>39</v>
      </c>
      <c r="AC249" s="31">
        <v>12</v>
      </c>
      <c r="AD249" s="12" t="s">
        <v>1494</v>
      </c>
      <c r="AE249" s="12">
        <v>25.1</v>
      </c>
      <c r="AF249" s="12">
        <v>76.52</v>
      </c>
    </row>
    <row r="250" spans="1:32">
      <c r="A250" s="12">
        <v>211</v>
      </c>
      <c r="B250" s="10" t="s">
        <v>33</v>
      </c>
      <c r="C250" s="10" t="s">
        <v>1489</v>
      </c>
      <c r="D250" s="10" t="s">
        <v>1947</v>
      </c>
      <c r="E250" s="10" t="s">
        <v>1815</v>
      </c>
      <c r="F250" s="25" t="s">
        <v>1950</v>
      </c>
      <c r="G250" s="10">
        <v>704.67</v>
      </c>
      <c r="H250" s="10">
        <v>90</v>
      </c>
      <c r="I250" s="10">
        <v>486</v>
      </c>
      <c r="J250" s="10">
        <v>251</v>
      </c>
      <c r="K250" s="10">
        <v>235</v>
      </c>
      <c r="L250" s="10">
        <v>0</v>
      </c>
      <c r="M250" s="12">
        <f t="shared" si="6"/>
        <v>0</v>
      </c>
      <c r="N250" s="10">
        <v>486</v>
      </c>
      <c r="O250" s="12">
        <f t="shared" si="7"/>
        <v>100</v>
      </c>
      <c r="P250" s="271">
        <v>618.15</v>
      </c>
      <c r="Q250" s="10">
        <v>195</v>
      </c>
      <c r="R250" s="12"/>
      <c r="S250" s="14"/>
      <c r="T250" s="12"/>
      <c r="U250" s="14"/>
      <c r="V250" s="12" t="s">
        <v>1493</v>
      </c>
      <c r="W250" s="12"/>
      <c r="X250" s="12"/>
      <c r="Y250" s="12"/>
      <c r="Z250" s="12"/>
      <c r="AA250" s="12"/>
      <c r="AB250" s="12"/>
      <c r="AC250" s="14"/>
      <c r="AD250" s="12"/>
      <c r="AE250" s="12"/>
      <c r="AF250" s="12"/>
    </row>
    <row r="251" spans="1:32">
      <c r="A251" s="12">
        <v>212</v>
      </c>
      <c r="B251" s="10" t="s">
        <v>33</v>
      </c>
      <c r="C251" s="10" t="s">
        <v>1489</v>
      </c>
      <c r="D251" s="10" t="s">
        <v>1947</v>
      </c>
      <c r="E251" s="10" t="s">
        <v>1951</v>
      </c>
      <c r="F251" s="25" t="s">
        <v>1952</v>
      </c>
      <c r="G251" s="10">
        <v>241.53</v>
      </c>
      <c r="H251" s="10">
        <v>27</v>
      </c>
      <c r="I251" s="10">
        <v>116</v>
      </c>
      <c r="J251" s="10">
        <v>67</v>
      </c>
      <c r="K251" s="10">
        <v>49</v>
      </c>
      <c r="L251" s="10">
        <v>0</v>
      </c>
      <c r="M251" s="12">
        <f t="shared" si="6"/>
        <v>0</v>
      </c>
      <c r="N251" s="10">
        <v>7</v>
      </c>
      <c r="O251" s="12">
        <f t="shared" si="7"/>
        <v>6.0344827586206895</v>
      </c>
      <c r="P251" s="271">
        <v>156</v>
      </c>
      <c r="Q251" s="10">
        <v>0</v>
      </c>
      <c r="R251" s="12"/>
      <c r="S251" s="14"/>
      <c r="T251" s="12"/>
      <c r="U251" s="14"/>
      <c r="V251" s="12" t="s">
        <v>1493</v>
      </c>
      <c r="W251" s="12"/>
      <c r="X251" s="12"/>
      <c r="Y251" s="12"/>
      <c r="Z251" s="12"/>
      <c r="AA251" s="12"/>
      <c r="AB251" s="12"/>
      <c r="AC251" s="14"/>
      <c r="AD251" s="12"/>
      <c r="AE251" s="12"/>
      <c r="AF251" s="12"/>
    </row>
    <row r="252" spans="1:32">
      <c r="A252" s="12">
        <v>213</v>
      </c>
      <c r="B252" s="10" t="s">
        <v>33</v>
      </c>
      <c r="C252" s="10" t="s">
        <v>1489</v>
      </c>
      <c r="D252" s="10" t="s">
        <v>1947</v>
      </c>
      <c r="E252" s="10" t="s">
        <v>1953</v>
      </c>
      <c r="F252" s="25" t="s">
        <v>1954</v>
      </c>
      <c r="G252" s="10">
        <v>878.85</v>
      </c>
      <c r="H252" s="10">
        <v>20</v>
      </c>
      <c r="I252" s="10">
        <v>87</v>
      </c>
      <c r="J252" s="10">
        <v>38</v>
      </c>
      <c r="K252" s="10">
        <v>49</v>
      </c>
      <c r="L252" s="10">
        <v>0</v>
      </c>
      <c r="M252" s="12">
        <f t="shared" si="6"/>
        <v>0</v>
      </c>
      <c r="N252" s="10">
        <v>85</v>
      </c>
      <c r="O252" s="12">
        <f t="shared" si="7"/>
        <v>97.701149425287355</v>
      </c>
      <c r="P252" s="271">
        <v>818.02</v>
      </c>
      <c r="Q252" s="10">
        <v>86</v>
      </c>
      <c r="R252" s="12"/>
      <c r="S252" s="14"/>
      <c r="T252" s="12"/>
      <c r="U252" s="14"/>
      <c r="V252" s="12" t="s">
        <v>1493</v>
      </c>
      <c r="W252" s="12"/>
      <c r="X252" s="12"/>
      <c r="Y252" s="12"/>
      <c r="Z252" s="12"/>
      <c r="AA252" s="12"/>
      <c r="AB252" s="12"/>
      <c r="AC252" s="14"/>
      <c r="AD252" s="12"/>
      <c r="AE252" s="12"/>
      <c r="AF252" s="12"/>
    </row>
    <row r="253" spans="1:32">
      <c r="A253" s="12">
        <v>214</v>
      </c>
      <c r="B253" s="10" t="s">
        <v>33</v>
      </c>
      <c r="C253" s="10" t="s">
        <v>1489</v>
      </c>
      <c r="D253" s="10" t="s">
        <v>1947</v>
      </c>
      <c r="E253" s="10" t="s">
        <v>1955</v>
      </c>
      <c r="F253" s="25" t="s">
        <v>1956</v>
      </c>
      <c r="G253" s="10">
        <v>2105.87</v>
      </c>
      <c r="H253" s="10">
        <v>240</v>
      </c>
      <c r="I253" s="10">
        <v>1032</v>
      </c>
      <c r="J253" s="10">
        <v>538</v>
      </c>
      <c r="K253" s="10">
        <v>494</v>
      </c>
      <c r="L253" s="10">
        <v>205</v>
      </c>
      <c r="M253" s="12">
        <f t="shared" si="6"/>
        <v>19.864341085271317</v>
      </c>
      <c r="N253" s="10">
        <v>623</v>
      </c>
      <c r="O253" s="12">
        <f t="shared" si="7"/>
        <v>60.36821705426356</v>
      </c>
      <c r="P253" s="271">
        <v>1856</v>
      </c>
      <c r="Q253" s="10">
        <v>0</v>
      </c>
      <c r="R253" s="12" t="s">
        <v>39</v>
      </c>
      <c r="S253" s="31" t="s">
        <v>1617</v>
      </c>
      <c r="T253" s="12"/>
      <c r="U253" s="31">
        <v>25.78</v>
      </c>
      <c r="V253" s="12" t="s">
        <v>1493</v>
      </c>
      <c r="W253" s="12"/>
      <c r="X253" s="12"/>
      <c r="Y253" s="12"/>
      <c r="Z253" s="12"/>
      <c r="AA253" s="12"/>
      <c r="AB253" s="12" t="s">
        <v>39</v>
      </c>
      <c r="AC253" s="31">
        <v>11</v>
      </c>
      <c r="AD253" s="12" t="s">
        <v>1494</v>
      </c>
      <c r="AE253" s="12"/>
      <c r="AF253" s="12"/>
    </row>
    <row r="254" spans="1:32">
      <c r="A254" s="12">
        <v>215</v>
      </c>
      <c r="B254" s="10" t="s">
        <v>33</v>
      </c>
      <c r="C254" s="10" t="s">
        <v>1489</v>
      </c>
      <c r="D254" s="10" t="s">
        <v>1947</v>
      </c>
      <c r="E254" s="10" t="s">
        <v>1957</v>
      </c>
      <c r="F254" s="25" t="s">
        <v>1958</v>
      </c>
      <c r="G254" s="10">
        <v>508.02</v>
      </c>
      <c r="H254" s="10">
        <v>51</v>
      </c>
      <c r="I254" s="10">
        <v>222</v>
      </c>
      <c r="J254" s="10">
        <v>125</v>
      </c>
      <c r="K254" s="10">
        <v>97</v>
      </c>
      <c r="L254" s="10">
        <v>152</v>
      </c>
      <c r="M254" s="12">
        <f t="shared" si="6"/>
        <v>68.468468468468473</v>
      </c>
      <c r="N254" s="10">
        <v>0</v>
      </c>
      <c r="O254" s="12">
        <f t="shared" si="7"/>
        <v>0</v>
      </c>
      <c r="P254" s="271">
        <v>398</v>
      </c>
      <c r="Q254" s="10">
        <v>484</v>
      </c>
      <c r="R254" s="12"/>
      <c r="S254" s="31"/>
      <c r="T254" s="12"/>
      <c r="U254" s="31">
        <v>23.54</v>
      </c>
      <c r="V254" s="12" t="s">
        <v>1493</v>
      </c>
      <c r="W254" s="12"/>
      <c r="X254" s="12"/>
      <c r="Y254" s="12"/>
      <c r="Z254" s="12"/>
      <c r="AA254" s="12"/>
      <c r="AB254" s="12" t="s">
        <v>39</v>
      </c>
      <c r="AC254" s="31">
        <v>11</v>
      </c>
      <c r="AD254" s="12" t="s">
        <v>1494</v>
      </c>
      <c r="AE254" s="12">
        <v>25.176400000000001</v>
      </c>
      <c r="AF254" s="12">
        <v>77.108900000000006</v>
      </c>
    </row>
    <row r="255" spans="1:32">
      <c r="A255" s="12">
        <v>216</v>
      </c>
      <c r="B255" s="10" t="s">
        <v>33</v>
      </c>
      <c r="C255" s="10" t="s">
        <v>1489</v>
      </c>
      <c r="D255" s="10" t="s">
        <v>1947</v>
      </c>
      <c r="E255" s="10" t="s">
        <v>1959</v>
      </c>
      <c r="F255" s="25" t="s">
        <v>1960</v>
      </c>
      <c r="G255" s="10">
        <v>194.04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2" t="e">
        <f t="shared" si="6"/>
        <v>#DIV/0!</v>
      </c>
      <c r="N255" s="10">
        <v>0</v>
      </c>
      <c r="O255" s="12" t="e">
        <f t="shared" si="7"/>
        <v>#DIV/0!</v>
      </c>
      <c r="P255" s="271">
        <v>137</v>
      </c>
      <c r="Q255" s="10">
        <v>27</v>
      </c>
      <c r="R255" s="12"/>
      <c r="S255" s="14"/>
      <c r="T255" s="12"/>
      <c r="U255" s="14"/>
      <c r="V255" s="12" t="s">
        <v>1493</v>
      </c>
      <c r="W255" s="12"/>
      <c r="X255" s="12"/>
      <c r="Y255" s="12"/>
      <c r="Z255" s="12"/>
      <c r="AA255" s="12"/>
      <c r="AB255" s="12"/>
      <c r="AC255" s="14"/>
      <c r="AD255" s="12"/>
      <c r="AE255" s="12"/>
      <c r="AF255" s="12"/>
    </row>
    <row r="256" spans="1:32">
      <c r="A256" s="12">
        <v>217</v>
      </c>
      <c r="B256" s="10" t="s">
        <v>33</v>
      </c>
      <c r="C256" s="10" t="s">
        <v>1489</v>
      </c>
      <c r="D256" s="10" t="s">
        <v>1947</v>
      </c>
      <c r="E256" s="10" t="s">
        <v>685</v>
      </c>
      <c r="F256" s="25" t="s">
        <v>1961</v>
      </c>
      <c r="G256" s="10">
        <v>459.97</v>
      </c>
      <c r="H256" s="10">
        <v>248</v>
      </c>
      <c r="I256" s="10">
        <v>975</v>
      </c>
      <c r="J256" s="10">
        <v>506</v>
      </c>
      <c r="K256" s="10">
        <v>469</v>
      </c>
      <c r="L256" s="10">
        <v>1</v>
      </c>
      <c r="M256" s="12">
        <f t="shared" si="6"/>
        <v>0.10256410256410256</v>
      </c>
      <c r="N256" s="10">
        <v>741</v>
      </c>
      <c r="O256" s="12">
        <f t="shared" si="7"/>
        <v>76</v>
      </c>
      <c r="P256" s="271">
        <v>231</v>
      </c>
      <c r="Q256" s="12"/>
      <c r="R256" s="12" t="s">
        <v>39</v>
      </c>
      <c r="S256" s="31" t="s">
        <v>1962</v>
      </c>
      <c r="T256" s="12"/>
      <c r="U256" s="31">
        <v>79.86</v>
      </c>
      <c r="V256" s="12" t="s">
        <v>1493</v>
      </c>
      <c r="W256" s="12"/>
      <c r="X256" s="12"/>
      <c r="Y256" s="12"/>
      <c r="Z256" s="12"/>
      <c r="AA256" s="12"/>
      <c r="AB256" s="12"/>
      <c r="AC256" s="31"/>
      <c r="AD256" s="12"/>
      <c r="AE256" s="12"/>
      <c r="AF256" s="12"/>
    </row>
    <row r="257" spans="1:32">
      <c r="A257" s="12">
        <v>218</v>
      </c>
      <c r="B257" s="10" t="s">
        <v>33</v>
      </c>
      <c r="C257" s="10" t="s">
        <v>1489</v>
      </c>
      <c r="D257" s="10" t="s">
        <v>1947</v>
      </c>
      <c r="E257" s="10" t="s">
        <v>1963</v>
      </c>
      <c r="F257" s="25" t="s">
        <v>1964</v>
      </c>
      <c r="G257" s="10">
        <v>681.06</v>
      </c>
      <c r="H257" s="10">
        <v>32</v>
      </c>
      <c r="I257" s="10">
        <v>118</v>
      </c>
      <c r="J257" s="10">
        <v>63</v>
      </c>
      <c r="K257" s="10">
        <v>55</v>
      </c>
      <c r="L257" s="10">
        <v>0</v>
      </c>
      <c r="M257" s="12">
        <f t="shared" si="6"/>
        <v>0</v>
      </c>
      <c r="N257" s="10">
        <v>5</v>
      </c>
      <c r="O257" s="12">
        <f t="shared" si="7"/>
        <v>4.2372881355932197</v>
      </c>
      <c r="P257" s="271">
        <v>632</v>
      </c>
      <c r="Q257" s="12"/>
      <c r="R257" s="12"/>
      <c r="S257" s="31"/>
      <c r="T257" s="12"/>
      <c r="U257" s="31">
        <v>9.19</v>
      </c>
      <c r="V257" s="12" t="s">
        <v>1493</v>
      </c>
      <c r="W257" s="12"/>
      <c r="X257" s="12"/>
      <c r="Y257" s="12"/>
      <c r="Z257" s="12"/>
      <c r="AA257" s="12"/>
      <c r="AB257" s="12" t="s">
        <v>39</v>
      </c>
      <c r="AC257" s="31">
        <v>20</v>
      </c>
      <c r="AD257" s="12" t="s">
        <v>1494</v>
      </c>
      <c r="AE257" s="12"/>
      <c r="AF257" s="12"/>
    </row>
    <row r="258" spans="1:32">
      <c r="A258" s="12">
        <v>219</v>
      </c>
      <c r="B258" s="10" t="s">
        <v>33</v>
      </c>
      <c r="C258" s="10" t="s">
        <v>1489</v>
      </c>
      <c r="D258" s="10" t="s">
        <v>1947</v>
      </c>
      <c r="E258" s="10" t="s">
        <v>1965</v>
      </c>
      <c r="F258" s="25" t="s">
        <v>1966</v>
      </c>
      <c r="G258" s="10">
        <v>260</v>
      </c>
      <c r="H258" s="10">
        <v>0</v>
      </c>
      <c r="I258" s="10">
        <v>0</v>
      </c>
      <c r="J258" s="10">
        <v>0</v>
      </c>
      <c r="K258" s="10">
        <v>0</v>
      </c>
      <c r="L258" s="10">
        <v>0</v>
      </c>
      <c r="M258" s="12" t="e">
        <f t="shared" si="6"/>
        <v>#DIV/0!</v>
      </c>
      <c r="N258" s="10">
        <v>0</v>
      </c>
      <c r="O258" s="12" t="e">
        <f t="shared" si="7"/>
        <v>#DIV/0!</v>
      </c>
      <c r="P258" s="271">
        <v>230</v>
      </c>
      <c r="Q258" s="12"/>
      <c r="R258" s="12"/>
      <c r="S258" s="14"/>
      <c r="T258" s="12"/>
      <c r="U258" s="14"/>
      <c r="V258" s="12" t="s">
        <v>1493</v>
      </c>
      <c r="W258" s="12"/>
      <c r="X258" s="12"/>
      <c r="Y258" s="12"/>
      <c r="Z258" s="12"/>
      <c r="AA258" s="12"/>
      <c r="AB258" s="12"/>
      <c r="AC258" s="14"/>
      <c r="AD258" s="12"/>
      <c r="AE258" s="12"/>
      <c r="AF258" s="12"/>
    </row>
    <row r="259" spans="1:32">
      <c r="A259" s="12">
        <v>220</v>
      </c>
      <c r="B259" s="10" t="s">
        <v>33</v>
      </c>
      <c r="C259" s="10" t="s">
        <v>1489</v>
      </c>
      <c r="D259" s="10" t="s">
        <v>1947</v>
      </c>
      <c r="E259" s="10" t="s">
        <v>1967</v>
      </c>
      <c r="F259" s="25" t="s">
        <v>1968</v>
      </c>
      <c r="G259" s="10">
        <v>2303.88</v>
      </c>
      <c r="H259" s="10">
        <v>97</v>
      </c>
      <c r="I259" s="10">
        <v>441</v>
      </c>
      <c r="J259" s="10">
        <v>236</v>
      </c>
      <c r="K259" s="10">
        <v>205</v>
      </c>
      <c r="L259" s="10">
        <v>1</v>
      </c>
      <c r="M259" s="12">
        <f t="shared" si="6"/>
        <v>0.22675736961451248</v>
      </c>
      <c r="N259" s="10">
        <v>374</v>
      </c>
      <c r="O259" s="12">
        <f t="shared" si="7"/>
        <v>84.807256235827666</v>
      </c>
      <c r="P259" s="271">
        <v>2177</v>
      </c>
      <c r="Q259" s="12"/>
      <c r="R259" s="12"/>
      <c r="S259" s="14"/>
      <c r="T259" s="12"/>
      <c r="U259" s="14"/>
      <c r="V259" s="12" t="s">
        <v>1493</v>
      </c>
      <c r="W259" s="12"/>
      <c r="X259" s="12"/>
      <c r="Y259" s="12"/>
      <c r="Z259" s="12"/>
      <c r="AA259" s="12"/>
      <c r="AB259" s="12"/>
      <c r="AC259" s="14"/>
      <c r="AD259" s="12"/>
      <c r="AE259" s="12"/>
      <c r="AF259" s="12"/>
    </row>
    <row r="260" spans="1:32">
      <c r="A260" s="12">
        <v>221</v>
      </c>
      <c r="B260" s="10" t="s">
        <v>33</v>
      </c>
      <c r="C260" s="10" t="s">
        <v>1489</v>
      </c>
      <c r="D260" s="10" t="s">
        <v>1947</v>
      </c>
      <c r="E260" s="10" t="s">
        <v>1969</v>
      </c>
      <c r="F260" s="25" t="s">
        <v>1970</v>
      </c>
      <c r="G260" s="10">
        <v>391.07</v>
      </c>
      <c r="H260" s="10">
        <v>69</v>
      </c>
      <c r="I260" s="10">
        <v>251</v>
      </c>
      <c r="J260" s="10">
        <v>136</v>
      </c>
      <c r="K260" s="10">
        <v>115</v>
      </c>
      <c r="L260" s="10">
        <v>26</v>
      </c>
      <c r="M260" s="12">
        <f t="shared" si="6"/>
        <v>10.358565737051793</v>
      </c>
      <c r="N260" s="10">
        <v>0</v>
      </c>
      <c r="O260" s="12">
        <f t="shared" si="7"/>
        <v>0</v>
      </c>
      <c r="P260" s="271">
        <v>232</v>
      </c>
      <c r="Q260" s="12"/>
      <c r="R260" s="12"/>
      <c r="S260" s="31"/>
      <c r="T260" s="12"/>
      <c r="U260" s="31">
        <v>60.66</v>
      </c>
      <c r="V260" s="12" t="s">
        <v>1493</v>
      </c>
      <c r="W260" s="12"/>
      <c r="X260" s="12"/>
      <c r="Y260" s="12"/>
      <c r="Z260" s="12"/>
      <c r="AA260" s="12"/>
      <c r="AB260" s="12" t="s">
        <v>39</v>
      </c>
      <c r="AC260" s="31">
        <v>14</v>
      </c>
      <c r="AD260" s="12" t="s">
        <v>1494</v>
      </c>
      <c r="AE260" s="12"/>
      <c r="AF260" s="12"/>
    </row>
    <row r="261" spans="1:32">
      <c r="A261" s="12">
        <v>222</v>
      </c>
      <c r="B261" s="10" t="s">
        <v>33</v>
      </c>
      <c r="C261" s="10" t="s">
        <v>1489</v>
      </c>
      <c r="D261" s="10" t="s">
        <v>1971</v>
      </c>
      <c r="E261" s="16" t="s">
        <v>1972</v>
      </c>
      <c r="F261" s="25" t="s">
        <v>1973</v>
      </c>
      <c r="G261" s="10">
        <v>1272</v>
      </c>
      <c r="H261" s="10">
        <v>338</v>
      </c>
      <c r="I261" s="10">
        <v>1686</v>
      </c>
      <c r="J261" s="10">
        <v>853</v>
      </c>
      <c r="K261" s="10">
        <v>833</v>
      </c>
      <c r="L261" s="10">
        <v>231</v>
      </c>
      <c r="M261" s="12">
        <f t="shared" si="6"/>
        <v>13.701067615658364</v>
      </c>
      <c r="N261" s="10">
        <v>741</v>
      </c>
      <c r="O261" s="12">
        <f t="shared" si="7"/>
        <v>43.95017793594306</v>
      </c>
      <c r="P261" s="271">
        <v>2</v>
      </c>
      <c r="Q261" s="12"/>
      <c r="R261" s="12" t="s">
        <v>39</v>
      </c>
      <c r="S261" s="11" t="s">
        <v>1974</v>
      </c>
      <c r="T261" s="12"/>
      <c r="U261" s="11">
        <v>129.6</v>
      </c>
      <c r="V261" s="12" t="s">
        <v>1493</v>
      </c>
      <c r="W261" s="12"/>
      <c r="X261" s="12"/>
      <c r="Y261" s="12"/>
      <c r="Z261" s="12"/>
      <c r="AA261" s="12"/>
      <c r="AB261" s="12" t="s">
        <v>39</v>
      </c>
      <c r="AC261" s="20">
        <v>12</v>
      </c>
      <c r="AD261" s="12" t="s">
        <v>1494</v>
      </c>
      <c r="AE261" s="12"/>
      <c r="AF261" s="12"/>
    </row>
    <row r="262" spans="1:32">
      <c r="A262" s="12">
        <v>223</v>
      </c>
      <c r="B262" s="10" t="s">
        <v>33</v>
      </c>
      <c r="C262" s="10" t="s">
        <v>1489</v>
      </c>
      <c r="D262" s="10" t="s">
        <v>1971</v>
      </c>
      <c r="E262" s="10" t="s">
        <v>297</v>
      </c>
      <c r="F262" s="25" t="s">
        <v>1975</v>
      </c>
      <c r="G262" s="10">
        <v>483</v>
      </c>
      <c r="H262" s="10">
        <v>111</v>
      </c>
      <c r="I262" s="10">
        <v>582</v>
      </c>
      <c r="J262" s="10">
        <v>295</v>
      </c>
      <c r="K262" s="10">
        <v>287</v>
      </c>
      <c r="L262" s="10">
        <v>313</v>
      </c>
      <c r="M262" s="12">
        <f t="shared" si="6"/>
        <v>53.780068728522338</v>
      </c>
      <c r="N262" s="10">
        <v>0</v>
      </c>
      <c r="O262" s="12">
        <f t="shared" si="7"/>
        <v>0</v>
      </c>
      <c r="P262" s="271">
        <v>183</v>
      </c>
      <c r="Q262" s="12"/>
      <c r="R262" s="12"/>
      <c r="S262" s="14"/>
      <c r="T262" s="12"/>
      <c r="U262" s="14"/>
      <c r="V262" s="12" t="s">
        <v>1493</v>
      </c>
      <c r="W262" s="12"/>
      <c r="X262" s="12"/>
      <c r="Y262" s="12"/>
      <c r="Z262" s="12"/>
      <c r="AA262" s="12"/>
      <c r="AB262" s="12"/>
      <c r="AC262" s="14"/>
      <c r="AD262" s="12"/>
      <c r="AE262" s="12"/>
      <c r="AF262" s="12"/>
    </row>
    <row r="263" spans="1:32">
      <c r="A263" s="12">
        <v>224</v>
      </c>
      <c r="B263" s="10" t="s">
        <v>33</v>
      </c>
      <c r="C263" s="10" t="s">
        <v>1489</v>
      </c>
      <c r="D263" s="10" t="s">
        <v>1971</v>
      </c>
      <c r="E263" s="10" t="s">
        <v>1976</v>
      </c>
      <c r="F263" s="25" t="s">
        <v>1977</v>
      </c>
      <c r="G263" s="10">
        <v>1143</v>
      </c>
      <c r="H263" s="10">
        <v>42</v>
      </c>
      <c r="I263" s="10">
        <v>235</v>
      </c>
      <c r="J263" s="10">
        <v>129</v>
      </c>
      <c r="K263" s="10">
        <v>106</v>
      </c>
      <c r="L263" s="10">
        <v>0</v>
      </c>
      <c r="M263" s="12">
        <f t="shared" si="6"/>
        <v>0</v>
      </c>
      <c r="N263" s="10">
        <v>234</v>
      </c>
      <c r="O263" s="12">
        <f t="shared" si="7"/>
        <v>99.574468085106389</v>
      </c>
      <c r="P263" s="271">
        <v>478</v>
      </c>
      <c r="Q263" s="12"/>
      <c r="R263" s="12"/>
      <c r="S263" s="14"/>
      <c r="T263" s="12"/>
      <c r="U263" s="14"/>
      <c r="V263" s="12" t="s">
        <v>1493</v>
      </c>
      <c r="W263" s="12"/>
      <c r="X263" s="12"/>
      <c r="Y263" s="12"/>
      <c r="Z263" s="12"/>
      <c r="AA263" s="12"/>
      <c r="AB263" s="12"/>
      <c r="AC263" s="14"/>
      <c r="AD263" s="12"/>
      <c r="AE263" s="12"/>
      <c r="AF263" s="12"/>
    </row>
    <row r="264" spans="1:32">
      <c r="A264" s="12">
        <v>225</v>
      </c>
      <c r="B264" s="10" t="s">
        <v>33</v>
      </c>
      <c r="C264" s="10" t="s">
        <v>1489</v>
      </c>
      <c r="D264" s="10" t="s">
        <v>1971</v>
      </c>
      <c r="E264" s="10" t="s">
        <v>1978</v>
      </c>
      <c r="F264" s="25" t="s">
        <v>1979</v>
      </c>
      <c r="G264" s="10">
        <v>966</v>
      </c>
      <c r="H264" s="10">
        <v>74</v>
      </c>
      <c r="I264" s="10">
        <v>371</v>
      </c>
      <c r="J264" s="10">
        <v>193</v>
      </c>
      <c r="K264" s="10">
        <v>178</v>
      </c>
      <c r="L264" s="10">
        <v>0</v>
      </c>
      <c r="M264" s="12">
        <f t="shared" si="6"/>
        <v>0</v>
      </c>
      <c r="N264" s="10">
        <v>369</v>
      </c>
      <c r="O264" s="12">
        <f t="shared" si="7"/>
        <v>99.460916442048514</v>
      </c>
      <c r="P264" s="271">
        <v>566</v>
      </c>
      <c r="Q264" s="12"/>
      <c r="R264" s="12"/>
      <c r="S264" s="14"/>
      <c r="T264" s="12"/>
      <c r="U264" s="14"/>
      <c r="V264" s="12" t="s">
        <v>1493</v>
      </c>
      <c r="W264" s="12"/>
      <c r="X264" s="12"/>
      <c r="Y264" s="12"/>
      <c r="Z264" s="12"/>
      <c r="AA264" s="12"/>
      <c r="AB264" s="12"/>
      <c r="AC264" s="14"/>
      <c r="AD264" s="12"/>
      <c r="AE264" s="12"/>
      <c r="AF264" s="12"/>
    </row>
    <row r="265" spans="1:32">
      <c r="A265" s="12">
        <v>226</v>
      </c>
      <c r="B265" s="10" t="s">
        <v>33</v>
      </c>
      <c r="C265" s="10" t="s">
        <v>1489</v>
      </c>
      <c r="D265" s="10" t="s">
        <v>1971</v>
      </c>
      <c r="E265" s="10" t="s">
        <v>1682</v>
      </c>
      <c r="F265" s="25" t="s">
        <v>1980</v>
      </c>
      <c r="G265" s="10">
        <v>965</v>
      </c>
      <c r="H265" s="10">
        <v>29</v>
      </c>
      <c r="I265" s="10">
        <v>195</v>
      </c>
      <c r="J265" s="10">
        <v>99</v>
      </c>
      <c r="K265" s="10">
        <v>96</v>
      </c>
      <c r="L265" s="10">
        <v>0</v>
      </c>
      <c r="M265" s="12">
        <f t="shared" si="6"/>
        <v>0</v>
      </c>
      <c r="N265" s="10">
        <v>195</v>
      </c>
      <c r="O265" s="12">
        <f t="shared" si="7"/>
        <v>100</v>
      </c>
      <c r="P265" s="271">
        <v>417</v>
      </c>
      <c r="Q265" s="12"/>
      <c r="R265" s="12"/>
      <c r="S265" s="14"/>
      <c r="T265" s="12"/>
      <c r="U265" s="14"/>
      <c r="V265" s="12" t="s">
        <v>1493</v>
      </c>
      <c r="W265" s="12"/>
      <c r="X265" s="12"/>
      <c r="Y265" s="12"/>
      <c r="Z265" s="12"/>
      <c r="AA265" s="12"/>
      <c r="AB265" s="12"/>
      <c r="AC265" s="14"/>
      <c r="AD265" s="12"/>
      <c r="AE265" s="12"/>
      <c r="AF265" s="12"/>
    </row>
    <row r="266" spans="1:32">
      <c r="A266" s="12">
        <v>227</v>
      </c>
      <c r="B266" s="10" t="s">
        <v>33</v>
      </c>
      <c r="C266" s="10" t="s">
        <v>1489</v>
      </c>
      <c r="D266" s="10" t="s">
        <v>1489</v>
      </c>
      <c r="E266" s="16" t="s">
        <v>1981</v>
      </c>
      <c r="F266" s="25" t="s">
        <v>1982</v>
      </c>
      <c r="G266" s="10">
        <v>1002</v>
      </c>
      <c r="H266" s="10">
        <v>732</v>
      </c>
      <c r="I266" s="10">
        <v>3445</v>
      </c>
      <c r="J266" s="10">
        <v>1795</v>
      </c>
      <c r="K266" s="10">
        <v>1650</v>
      </c>
      <c r="L266" s="10">
        <v>738</v>
      </c>
      <c r="M266" s="12">
        <f t="shared" si="6"/>
        <v>21.422351233671989</v>
      </c>
      <c r="N266" s="10">
        <v>569</v>
      </c>
      <c r="O266" s="12">
        <f t="shared" si="7"/>
        <v>16.516690856313499</v>
      </c>
      <c r="P266" s="271">
        <v>851</v>
      </c>
      <c r="Q266" s="12"/>
      <c r="R266" s="12" t="s">
        <v>39</v>
      </c>
      <c r="S266" s="9" t="s">
        <v>1983</v>
      </c>
      <c r="T266" s="12"/>
      <c r="U266" s="9"/>
      <c r="V266" s="12" t="s">
        <v>1493</v>
      </c>
      <c r="W266" s="12"/>
      <c r="X266" s="12"/>
      <c r="Y266" s="12"/>
      <c r="Z266" s="12"/>
      <c r="AA266" s="12"/>
      <c r="AB266" s="12"/>
      <c r="AC266" s="9">
        <v>13</v>
      </c>
      <c r="AD266" s="12"/>
      <c r="AE266" s="12"/>
      <c r="AF266" s="12"/>
    </row>
    <row r="267" spans="1:32">
      <c r="A267" s="12" t="s">
        <v>51</v>
      </c>
      <c r="B267" s="10" t="s">
        <v>33</v>
      </c>
      <c r="C267" s="10" t="s">
        <v>1489</v>
      </c>
      <c r="D267" s="10" t="s">
        <v>1489</v>
      </c>
      <c r="E267" s="16" t="s">
        <v>1981</v>
      </c>
      <c r="F267" s="25"/>
      <c r="G267" s="10"/>
      <c r="H267" s="10"/>
      <c r="I267" s="10"/>
      <c r="J267" s="10"/>
      <c r="K267" s="10"/>
      <c r="L267" s="10"/>
      <c r="M267" s="12"/>
      <c r="N267" s="10"/>
      <c r="O267" s="12"/>
      <c r="P267" s="271"/>
      <c r="Q267" s="12"/>
      <c r="R267" s="12"/>
      <c r="S267" s="9"/>
      <c r="T267" s="12"/>
      <c r="U267" s="9"/>
      <c r="V267" s="12"/>
      <c r="W267" s="12"/>
      <c r="X267" s="12"/>
      <c r="Y267" s="12"/>
      <c r="Z267" s="12"/>
      <c r="AA267" s="12"/>
      <c r="AB267" s="12"/>
      <c r="AC267" s="9">
        <v>15</v>
      </c>
      <c r="AD267" s="12"/>
      <c r="AE267" s="12"/>
      <c r="AF267" s="12"/>
    </row>
    <row r="268" spans="1:32">
      <c r="A268" s="12">
        <v>228</v>
      </c>
      <c r="B268" s="10" t="s">
        <v>33</v>
      </c>
      <c r="C268" s="10" t="s">
        <v>1489</v>
      </c>
      <c r="D268" s="10" t="s">
        <v>1489</v>
      </c>
      <c r="E268" s="10" t="s">
        <v>949</v>
      </c>
      <c r="F268" s="25" t="s">
        <v>1984</v>
      </c>
      <c r="G268" s="10">
        <v>471</v>
      </c>
      <c r="H268" s="10">
        <v>0</v>
      </c>
      <c r="I268" s="10">
        <v>0</v>
      </c>
      <c r="J268" s="10">
        <v>0</v>
      </c>
      <c r="K268" s="10">
        <v>0</v>
      </c>
      <c r="L268" s="10">
        <v>0</v>
      </c>
      <c r="M268" s="12" t="e">
        <f t="shared" si="6"/>
        <v>#DIV/0!</v>
      </c>
      <c r="N268" s="10">
        <v>0</v>
      </c>
      <c r="O268" s="12" t="e">
        <f t="shared" si="7"/>
        <v>#DIV/0!</v>
      </c>
      <c r="P268" s="271">
        <v>306</v>
      </c>
      <c r="Q268" s="12"/>
      <c r="R268" s="12"/>
      <c r="S268" s="14"/>
      <c r="T268" s="12"/>
      <c r="U268" s="14"/>
      <c r="V268" s="12" t="s">
        <v>1493</v>
      </c>
      <c r="W268" s="12"/>
      <c r="X268" s="12"/>
      <c r="Y268" s="12"/>
      <c r="Z268" s="12"/>
      <c r="AA268" s="12"/>
      <c r="AB268" s="12"/>
      <c r="AC268" s="14"/>
      <c r="AD268" s="12"/>
      <c r="AE268" s="12"/>
      <c r="AF268" s="12"/>
    </row>
    <row r="269" spans="1:32">
      <c r="A269" s="12">
        <v>229</v>
      </c>
      <c r="B269" s="10" t="s">
        <v>33</v>
      </c>
      <c r="C269" s="10" t="s">
        <v>1489</v>
      </c>
      <c r="D269" s="10" t="s">
        <v>1489</v>
      </c>
      <c r="E269" s="10" t="s">
        <v>1985</v>
      </c>
      <c r="F269" s="25" t="s">
        <v>1986</v>
      </c>
      <c r="G269" s="10">
        <v>642</v>
      </c>
      <c r="H269" s="10">
        <v>64</v>
      </c>
      <c r="I269" s="10">
        <v>259</v>
      </c>
      <c r="J269" s="10">
        <v>147</v>
      </c>
      <c r="K269" s="10">
        <v>112</v>
      </c>
      <c r="L269" s="10">
        <v>0</v>
      </c>
      <c r="M269" s="12">
        <f t="shared" si="6"/>
        <v>0</v>
      </c>
      <c r="N269" s="10">
        <v>259</v>
      </c>
      <c r="O269" s="12">
        <f t="shared" si="7"/>
        <v>100</v>
      </c>
      <c r="P269" s="271">
        <v>429</v>
      </c>
      <c r="Q269" s="12"/>
      <c r="R269" s="12"/>
      <c r="S269" s="14"/>
      <c r="T269" s="12"/>
      <c r="U269" s="14"/>
      <c r="V269" s="12" t="s">
        <v>1493</v>
      </c>
      <c r="W269" s="12"/>
      <c r="X269" s="12"/>
      <c r="Y269" s="12"/>
      <c r="Z269" s="12"/>
      <c r="AA269" s="12"/>
      <c r="AB269" s="12"/>
      <c r="AC269" s="14"/>
      <c r="AD269" s="12"/>
      <c r="AE269" s="12"/>
      <c r="AF269" s="12"/>
    </row>
    <row r="270" spans="1:32">
      <c r="A270" s="12">
        <v>230</v>
      </c>
      <c r="B270" s="10" t="s">
        <v>33</v>
      </c>
      <c r="C270" s="10" t="s">
        <v>1489</v>
      </c>
      <c r="D270" s="10" t="s">
        <v>1489</v>
      </c>
      <c r="E270" s="10" t="s">
        <v>1987</v>
      </c>
      <c r="F270" s="25" t="s">
        <v>1988</v>
      </c>
      <c r="G270" s="10">
        <v>1549</v>
      </c>
      <c r="H270" s="10">
        <v>374</v>
      </c>
      <c r="I270" s="10">
        <v>1737</v>
      </c>
      <c r="J270" s="10">
        <v>908</v>
      </c>
      <c r="K270" s="10">
        <v>829</v>
      </c>
      <c r="L270" s="10">
        <v>485</v>
      </c>
      <c r="M270" s="12">
        <f t="shared" si="6"/>
        <v>27.921704087507198</v>
      </c>
      <c r="N270" s="10">
        <v>266</v>
      </c>
      <c r="O270" s="12">
        <f t="shared" si="7"/>
        <v>15.313759355210133</v>
      </c>
      <c r="P270" s="271">
        <v>492</v>
      </c>
      <c r="Q270" s="12"/>
      <c r="R270" s="12" t="s">
        <v>39</v>
      </c>
      <c r="S270" s="11" t="s">
        <v>1989</v>
      </c>
      <c r="T270" s="12"/>
      <c r="U270" s="11">
        <v>49.46</v>
      </c>
      <c r="V270" s="12" t="s">
        <v>1493</v>
      </c>
      <c r="W270" s="12"/>
      <c r="X270" s="12"/>
      <c r="Y270" s="12"/>
      <c r="Z270" s="12"/>
      <c r="AA270" s="12"/>
      <c r="AB270" s="12"/>
      <c r="AC270" s="9">
        <v>9</v>
      </c>
      <c r="AD270" s="12"/>
      <c r="AE270" s="12"/>
      <c r="AF270" s="12"/>
    </row>
    <row r="271" spans="1:32">
      <c r="A271" s="12" t="s">
        <v>51</v>
      </c>
      <c r="B271" s="10" t="s">
        <v>33</v>
      </c>
      <c r="C271" s="10" t="s">
        <v>1489</v>
      </c>
      <c r="D271" s="10" t="s">
        <v>1489</v>
      </c>
      <c r="E271" s="10" t="s">
        <v>1987</v>
      </c>
      <c r="F271" s="25"/>
      <c r="G271" s="10"/>
      <c r="H271" s="10"/>
      <c r="I271" s="10"/>
      <c r="J271" s="10"/>
      <c r="K271" s="10"/>
      <c r="L271" s="10"/>
      <c r="M271" s="12"/>
      <c r="N271" s="10"/>
      <c r="O271" s="12"/>
      <c r="P271" s="271"/>
      <c r="Q271" s="12"/>
      <c r="R271" s="12"/>
      <c r="S271" s="11"/>
      <c r="T271" s="12"/>
      <c r="U271" s="11"/>
      <c r="V271" s="12"/>
      <c r="W271" s="12"/>
      <c r="X271" s="12"/>
      <c r="Y271" s="12"/>
      <c r="Z271" s="12"/>
      <c r="AA271" s="12"/>
      <c r="AB271" s="12"/>
      <c r="AC271" s="9">
        <v>9</v>
      </c>
      <c r="AD271" s="12"/>
      <c r="AE271" s="12"/>
      <c r="AF271" s="12"/>
    </row>
    <row r="272" spans="1:32">
      <c r="A272" s="12">
        <v>231</v>
      </c>
      <c r="B272" s="10" t="s">
        <v>33</v>
      </c>
      <c r="C272" s="10" t="s">
        <v>1489</v>
      </c>
      <c r="D272" s="10" t="s">
        <v>1990</v>
      </c>
      <c r="E272" s="10" t="s">
        <v>393</v>
      </c>
      <c r="F272" s="25" t="s">
        <v>1991</v>
      </c>
      <c r="G272" s="10">
        <v>271</v>
      </c>
      <c r="H272" s="10">
        <v>0</v>
      </c>
      <c r="I272" s="10">
        <v>0</v>
      </c>
      <c r="J272" s="10">
        <v>0</v>
      </c>
      <c r="K272" s="10">
        <v>0</v>
      </c>
      <c r="L272" s="10">
        <v>0</v>
      </c>
      <c r="M272" s="12" t="e">
        <f t="shared" si="6"/>
        <v>#DIV/0!</v>
      </c>
      <c r="N272" s="10">
        <v>0</v>
      </c>
      <c r="O272" s="12" t="e">
        <f t="shared" si="7"/>
        <v>#DIV/0!</v>
      </c>
      <c r="P272" s="271">
        <v>195</v>
      </c>
      <c r="Q272" s="12"/>
      <c r="R272" s="12"/>
      <c r="S272" s="14"/>
      <c r="T272" s="12"/>
      <c r="U272" s="14"/>
      <c r="V272" s="12" t="s">
        <v>1493</v>
      </c>
      <c r="W272" s="12"/>
      <c r="X272" s="12"/>
      <c r="Y272" s="12"/>
      <c r="Z272" s="12"/>
      <c r="AA272" s="12"/>
      <c r="AB272" s="12"/>
      <c r="AC272" s="14"/>
      <c r="AD272" s="12"/>
      <c r="AE272" s="12"/>
      <c r="AF272" s="12"/>
    </row>
    <row r="273" spans="1:32">
      <c r="A273" s="12">
        <v>232</v>
      </c>
      <c r="B273" s="10" t="s">
        <v>33</v>
      </c>
      <c r="C273" s="10" t="s">
        <v>1489</v>
      </c>
      <c r="D273" s="10" t="s">
        <v>1990</v>
      </c>
      <c r="E273" s="16" t="s">
        <v>1992</v>
      </c>
      <c r="F273" s="25" t="s">
        <v>1993</v>
      </c>
      <c r="G273" s="10">
        <v>520</v>
      </c>
      <c r="H273" s="10">
        <v>296</v>
      </c>
      <c r="I273" s="10">
        <v>1179</v>
      </c>
      <c r="J273" s="10">
        <v>589</v>
      </c>
      <c r="K273" s="10">
        <v>590</v>
      </c>
      <c r="L273" s="10">
        <v>3</v>
      </c>
      <c r="M273" s="12">
        <f t="shared" si="6"/>
        <v>0.2544529262086514</v>
      </c>
      <c r="N273" s="10">
        <v>1173</v>
      </c>
      <c r="O273" s="12">
        <f t="shared" si="7"/>
        <v>99.491094147582686</v>
      </c>
      <c r="P273" s="271">
        <v>0</v>
      </c>
      <c r="Q273" s="12"/>
      <c r="R273" s="12" t="s">
        <v>39</v>
      </c>
      <c r="S273" s="18" t="s">
        <v>38</v>
      </c>
      <c r="T273" s="12"/>
      <c r="U273" s="9"/>
      <c r="V273" s="12" t="s">
        <v>1493</v>
      </c>
      <c r="W273" s="12"/>
      <c r="X273" s="12"/>
      <c r="Y273" s="12"/>
      <c r="Z273" s="12"/>
      <c r="AA273" s="12"/>
      <c r="AB273" s="12"/>
      <c r="AC273" s="9"/>
      <c r="AD273" s="12"/>
      <c r="AE273" s="12"/>
      <c r="AF273" s="12"/>
    </row>
    <row r="274" spans="1:32">
      <c r="A274" s="12">
        <v>233</v>
      </c>
      <c r="B274" s="10" t="s">
        <v>33</v>
      </c>
      <c r="C274" s="10" t="s">
        <v>1489</v>
      </c>
      <c r="D274" s="10" t="s">
        <v>1990</v>
      </c>
      <c r="E274" s="10" t="s">
        <v>1994</v>
      </c>
      <c r="F274" s="25" t="s">
        <v>1995</v>
      </c>
      <c r="G274" s="10">
        <v>363</v>
      </c>
      <c r="H274" s="10">
        <v>87</v>
      </c>
      <c r="I274" s="10">
        <v>439</v>
      </c>
      <c r="J274" s="10">
        <v>228</v>
      </c>
      <c r="K274" s="10">
        <v>211</v>
      </c>
      <c r="L274" s="10">
        <v>81</v>
      </c>
      <c r="M274" s="12">
        <f t="shared" si="6"/>
        <v>18.451025056947611</v>
      </c>
      <c r="N274" s="10">
        <v>48</v>
      </c>
      <c r="O274" s="12">
        <f t="shared" si="7"/>
        <v>10.933940774487471</v>
      </c>
      <c r="P274" s="271">
        <v>86</v>
      </c>
      <c r="Q274" s="12"/>
      <c r="R274" s="12"/>
      <c r="S274" s="14"/>
      <c r="T274" s="12"/>
      <c r="U274" s="14"/>
      <c r="V274" s="12" t="s">
        <v>1493</v>
      </c>
      <c r="W274" s="12"/>
      <c r="X274" s="12"/>
      <c r="Y274" s="12"/>
      <c r="Z274" s="12"/>
      <c r="AA274" s="12"/>
      <c r="AB274" s="12" t="s">
        <v>39</v>
      </c>
      <c r="AC274" s="14">
        <v>12</v>
      </c>
      <c r="AD274" s="12"/>
      <c r="AE274" s="12"/>
      <c r="AF274" s="12"/>
    </row>
    <row r="275" spans="1:32">
      <c r="A275" s="12">
        <v>234</v>
      </c>
      <c r="B275" s="10" t="s">
        <v>33</v>
      </c>
      <c r="C275" s="10" t="s">
        <v>1489</v>
      </c>
      <c r="D275" s="10" t="s">
        <v>1990</v>
      </c>
      <c r="E275" s="10" t="s">
        <v>1996</v>
      </c>
      <c r="F275" s="25" t="s">
        <v>1997</v>
      </c>
      <c r="G275" s="10">
        <v>306</v>
      </c>
      <c r="H275" s="10">
        <v>55</v>
      </c>
      <c r="I275" s="10">
        <v>302</v>
      </c>
      <c r="J275" s="10">
        <v>159</v>
      </c>
      <c r="K275" s="10">
        <v>143</v>
      </c>
      <c r="L275" s="10">
        <v>0</v>
      </c>
      <c r="M275" s="12">
        <f t="shared" si="6"/>
        <v>0</v>
      </c>
      <c r="N275" s="10">
        <v>0</v>
      </c>
      <c r="O275" s="12">
        <f t="shared" si="7"/>
        <v>0</v>
      </c>
      <c r="P275" s="271">
        <v>0</v>
      </c>
      <c r="Q275" s="12"/>
      <c r="R275" s="12"/>
      <c r="S275" s="14"/>
      <c r="T275" s="12"/>
      <c r="U275" s="14"/>
      <c r="V275" s="12" t="s">
        <v>1493</v>
      </c>
      <c r="W275" s="12"/>
      <c r="X275" s="12"/>
      <c r="Y275" s="12"/>
      <c r="Z275" s="12"/>
      <c r="AA275" s="12"/>
      <c r="AB275" s="12" t="s">
        <v>39</v>
      </c>
      <c r="AC275" s="14">
        <v>12</v>
      </c>
      <c r="AD275" s="12"/>
      <c r="AE275" s="12"/>
      <c r="AF275" s="12"/>
    </row>
    <row r="276" spans="1:32">
      <c r="A276" s="12" t="s">
        <v>51</v>
      </c>
      <c r="B276" s="10" t="s">
        <v>33</v>
      </c>
      <c r="C276" s="10" t="s">
        <v>1489</v>
      </c>
      <c r="D276" s="10" t="s">
        <v>1990</v>
      </c>
      <c r="E276" s="10" t="s">
        <v>1996</v>
      </c>
      <c r="F276" s="25"/>
      <c r="G276" s="10"/>
      <c r="H276" s="10"/>
      <c r="I276" s="10"/>
      <c r="J276" s="10"/>
      <c r="K276" s="10"/>
      <c r="L276" s="10"/>
      <c r="M276" s="12"/>
      <c r="N276" s="10"/>
      <c r="O276" s="12"/>
      <c r="P276" s="271"/>
      <c r="Q276" s="12"/>
      <c r="R276" s="12"/>
      <c r="S276" s="14"/>
      <c r="T276" s="12"/>
      <c r="U276" s="14"/>
      <c r="V276" s="12"/>
      <c r="W276" s="12"/>
      <c r="X276" s="12"/>
      <c r="Y276" s="12"/>
      <c r="Z276" s="12"/>
      <c r="AA276" s="12"/>
      <c r="AB276" s="12" t="s">
        <v>39</v>
      </c>
      <c r="AC276" s="14">
        <v>3</v>
      </c>
      <c r="AD276" s="12"/>
      <c r="AE276" s="12"/>
      <c r="AF276" s="12"/>
    </row>
    <row r="277" spans="1:32">
      <c r="A277" s="12">
        <v>235</v>
      </c>
      <c r="B277" s="10" t="s">
        <v>33</v>
      </c>
      <c r="C277" s="10" t="s">
        <v>1489</v>
      </c>
      <c r="D277" s="10" t="s">
        <v>1990</v>
      </c>
      <c r="E277" s="10" t="s">
        <v>1998</v>
      </c>
      <c r="F277" s="25" t="s">
        <v>1999</v>
      </c>
      <c r="G277" s="10">
        <v>1492.34</v>
      </c>
      <c r="H277" s="10">
        <v>251</v>
      </c>
      <c r="I277" s="10">
        <v>1304</v>
      </c>
      <c r="J277" s="10">
        <v>678</v>
      </c>
      <c r="K277" s="10">
        <v>626</v>
      </c>
      <c r="L277" s="10">
        <v>6</v>
      </c>
      <c r="M277" s="12">
        <f t="shared" si="6"/>
        <v>0.46012269938650308</v>
      </c>
      <c r="N277" s="10">
        <v>1275</v>
      </c>
      <c r="O277" s="12">
        <f t="shared" si="7"/>
        <v>97.776073619631902</v>
      </c>
      <c r="P277" s="271">
        <v>484</v>
      </c>
      <c r="Q277" s="12"/>
      <c r="R277" s="12" t="s">
        <v>39</v>
      </c>
      <c r="S277" s="18" t="s">
        <v>38</v>
      </c>
      <c r="T277" s="12"/>
      <c r="U277" s="31">
        <v>23.69</v>
      </c>
      <c r="V277" s="12" t="s">
        <v>1493</v>
      </c>
      <c r="W277" s="12"/>
      <c r="X277" s="12"/>
      <c r="Y277" s="12"/>
      <c r="Z277" s="12"/>
      <c r="AA277" s="12"/>
      <c r="AB277" s="12" t="s">
        <v>39</v>
      </c>
      <c r="AC277" s="18">
        <v>10</v>
      </c>
      <c r="AD277" s="12" t="s">
        <v>1494</v>
      </c>
      <c r="AE277" s="12"/>
      <c r="AF277" s="12"/>
    </row>
    <row r="278" spans="1:32">
      <c r="A278" s="12">
        <v>236</v>
      </c>
      <c r="B278" s="10" t="s">
        <v>33</v>
      </c>
      <c r="C278" s="10" t="s">
        <v>1489</v>
      </c>
      <c r="D278" s="10" t="s">
        <v>1990</v>
      </c>
      <c r="E278" s="10" t="s">
        <v>187</v>
      </c>
      <c r="F278" s="25" t="s">
        <v>2000</v>
      </c>
      <c r="G278" s="10">
        <v>326</v>
      </c>
      <c r="H278" s="10">
        <v>106</v>
      </c>
      <c r="I278" s="10">
        <v>482</v>
      </c>
      <c r="J278" s="10">
        <v>252</v>
      </c>
      <c r="K278" s="10">
        <v>230</v>
      </c>
      <c r="L278" s="10">
        <v>251</v>
      </c>
      <c r="M278" s="12">
        <f t="shared" si="6"/>
        <v>52.074688796680505</v>
      </c>
      <c r="N278" s="10">
        <v>6</v>
      </c>
      <c r="O278" s="12">
        <f t="shared" si="7"/>
        <v>1.2448132780082988</v>
      </c>
      <c r="P278" s="271">
        <v>27</v>
      </c>
      <c r="Q278" s="12"/>
      <c r="R278" s="12" t="s">
        <v>39</v>
      </c>
      <c r="S278" s="18" t="s">
        <v>38</v>
      </c>
      <c r="T278" s="12"/>
      <c r="U278" s="18">
        <v>10</v>
      </c>
      <c r="V278" s="12" t="s">
        <v>1493</v>
      </c>
      <c r="W278" s="12"/>
      <c r="X278" s="12"/>
      <c r="Y278" s="12"/>
      <c r="Z278" s="12"/>
      <c r="AA278" s="12"/>
      <c r="AB278" s="12" t="s">
        <v>39</v>
      </c>
      <c r="AC278" s="18">
        <v>8</v>
      </c>
      <c r="AD278" s="12" t="s">
        <v>1494</v>
      </c>
      <c r="AE278" s="12"/>
      <c r="AF278" s="12"/>
    </row>
    <row r="279" spans="1:32">
      <c r="A279" s="12"/>
      <c r="B279" s="12"/>
      <c r="C279" s="12"/>
      <c r="D279" s="12"/>
      <c r="E279" s="12"/>
      <c r="F279" s="24"/>
      <c r="G279" s="34">
        <f t="shared" ref="G279:L279" si="8">SUM(G5:G278)</f>
        <v>146884.41</v>
      </c>
      <c r="H279" s="34">
        <f t="shared" si="8"/>
        <v>28480</v>
      </c>
      <c r="I279" s="34">
        <f t="shared" si="8"/>
        <v>142061</v>
      </c>
      <c r="J279" s="34">
        <f t="shared" si="8"/>
        <v>73716</v>
      </c>
      <c r="K279" s="34">
        <f t="shared" si="8"/>
        <v>68345</v>
      </c>
      <c r="L279" s="34">
        <f t="shared" si="8"/>
        <v>21996</v>
      </c>
      <c r="M279" s="12"/>
      <c r="N279" s="34">
        <f>SUM(N5:N278)</f>
        <v>54813</v>
      </c>
      <c r="O279" s="12"/>
      <c r="P279" s="272">
        <f t="shared" ref="P279" si="9">SUM(P5:P278)</f>
        <v>64902.330000000038</v>
      </c>
      <c r="Q279" s="12"/>
      <c r="R279" s="12"/>
      <c r="S279" s="14"/>
      <c r="T279" s="12"/>
      <c r="U279" s="14"/>
      <c r="V279" s="12"/>
      <c r="W279" s="12"/>
      <c r="X279" s="12"/>
      <c r="Y279" s="12"/>
      <c r="Z279" s="12"/>
      <c r="AA279" s="12"/>
      <c r="AB279" s="12"/>
      <c r="AC279" s="21"/>
      <c r="AD279" s="12"/>
      <c r="AE279" s="12"/>
      <c r="AF279" s="12"/>
    </row>
  </sheetData>
  <mergeCells count="3">
    <mergeCell ref="L3:M3"/>
    <mergeCell ref="N3:O3"/>
    <mergeCell ref="AE3:AF3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FF Atru</vt:lpstr>
      <vt:lpstr>FF Anta</vt:lpstr>
      <vt:lpstr>FF Baran</vt:lpstr>
      <vt:lpstr>FF Chabda</vt:lpstr>
      <vt:lpstr>FF Mangrol</vt:lpstr>
      <vt:lpstr>FF Chhipabrod</vt:lpstr>
      <vt:lpstr>FF Kishanganj</vt:lpstr>
      <vt:lpstr>FF Shahbad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fes</cp:lastModifiedBy>
  <dcterms:created xsi:type="dcterms:W3CDTF">2026-10-14T15:57:51Z</dcterms:created>
  <dcterms:modified xsi:type="dcterms:W3CDTF">2026-10-16T19:00:55Z</dcterms:modified>
</cp:coreProperties>
</file>